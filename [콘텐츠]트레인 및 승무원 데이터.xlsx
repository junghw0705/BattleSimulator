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ngh\OneDrive\문서\GitHub\BattleSimulator\"/>
    </mc:Choice>
  </mc:AlternateContent>
  <xr:revisionPtr revIDLastSave="0" documentId="13_ncr:1_{8A74B4C9-51B9-4A88-80EC-9C3B9D568C5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개요" sheetId="1" r:id="rId1"/>
    <sheet name="Factor" sheetId="9" r:id="rId2"/>
    <sheet name="Locomotive" sheetId="2" r:id="rId3"/>
    <sheet name="Couch" sheetId="3" r:id="rId4"/>
    <sheet name="Engine" sheetId="4" r:id="rId5"/>
    <sheet name="Generator" sheetId="5" r:id="rId6"/>
    <sheet name="Break" sheetId="6" r:id="rId7"/>
    <sheet name="Parlor" sheetId="8" r:id="rId8"/>
    <sheet name="Crew" sheetId="1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4" i="8" l="1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C74" i="8"/>
  <c r="G74" i="8"/>
  <c r="B74" i="8" s="1"/>
  <c r="H74" i="8"/>
  <c r="I74" i="8"/>
  <c r="C75" i="8"/>
  <c r="G75" i="8"/>
  <c r="B75" i="8" s="1"/>
  <c r="H75" i="8"/>
  <c r="I75" i="8"/>
  <c r="C76" i="8"/>
  <c r="G76" i="8"/>
  <c r="B76" i="8" s="1"/>
  <c r="H76" i="8"/>
  <c r="I76" i="8"/>
  <c r="C77" i="8"/>
  <c r="G77" i="8"/>
  <c r="B77" i="8" s="1"/>
  <c r="H77" i="8"/>
  <c r="I77" i="8"/>
  <c r="O77" i="8" a="1"/>
  <c r="P77" i="8" a="1"/>
  <c r="Q77" i="8" a="1"/>
  <c r="R77" i="8" a="1"/>
  <c r="S77" i="8" a="1"/>
  <c r="C78" i="8"/>
  <c r="G78" i="8"/>
  <c r="B78" i="8" s="1"/>
  <c r="H78" i="8"/>
  <c r="I78" i="8"/>
  <c r="C79" i="8"/>
  <c r="G79" i="8"/>
  <c r="B79" i="8" s="1"/>
  <c r="H79" i="8"/>
  <c r="I79" i="8"/>
  <c r="C80" i="8"/>
  <c r="G80" i="8"/>
  <c r="B80" i="8" s="1"/>
  <c r="H80" i="8"/>
  <c r="I80" i="8"/>
  <c r="C81" i="8"/>
  <c r="G81" i="8"/>
  <c r="B81" i="8" s="1"/>
  <c r="H81" i="8"/>
  <c r="I81" i="8"/>
  <c r="C82" i="8"/>
  <c r="G82" i="8"/>
  <c r="B82" i="8" s="1"/>
  <c r="H82" i="8"/>
  <c r="I82" i="8"/>
  <c r="C83" i="8"/>
  <c r="G83" i="8"/>
  <c r="B83" i="8" s="1"/>
  <c r="H83" i="8"/>
  <c r="I83" i="8"/>
  <c r="C84" i="8"/>
  <c r="G84" i="8"/>
  <c r="B84" i="8" s="1"/>
  <c r="H84" i="8"/>
  <c r="I84" i="8"/>
  <c r="C85" i="8"/>
  <c r="G85" i="8"/>
  <c r="B85" i="8" s="1"/>
  <c r="H85" i="8"/>
  <c r="I85" i="8"/>
  <c r="C86" i="8"/>
  <c r="G86" i="8"/>
  <c r="B86" i="8" s="1"/>
  <c r="H86" i="8"/>
  <c r="I86" i="8"/>
  <c r="C87" i="8"/>
  <c r="G87" i="8"/>
  <c r="B87" i="8" s="1"/>
  <c r="H87" i="8"/>
  <c r="I87" i="8"/>
  <c r="C88" i="8"/>
  <c r="G88" i="8"/>
  <c r="B88" i="8" s="1"/>
  <c r="H88" i="8"/>
  <c r="I88" i="8"/>
  <c r="C89" i="8"/>
  <c r="G89" i="8"/>
  <c r="B89" i="8" s="1"/>
  <c r="H89" i="8"/>
  <c r="I89" i="8"/>
  <c r="C90" i="8"/>
  <c r="G90" i="8"/>
  <c r="B90" i="8" s="1"/>
  <c r="H90" i="8"/>
  <c r="I90" i="8"/>
  <c r="C91" i="8"/>
  <c r="G91" i="8"/>
  <c r="B91" i="8" s="1"/>
  <c r="H91" i="8"/>
  <c r="I91" i="8"/>
  <c r="C92" i="8"/>
  <c r="G92" i="8"/>
  <c r="B92" i="8" s="1"/>
  <c r="H92" i="8"/>
  <c r="S92" i="8" s="1" a="1"/>
  <c r="I92" i="8"/>
  <c r="C93" i="8"/>
  <c r="G93" i="8"/>
  <c r="B93" i="8" s="1"/>
  <c r="H93" i="8"/>
  <c r="I93" i="8"/>
  <c r="C94" i="8"/>
  <c r="G94" i="8"/>
  <c r="B94" i="8" s="1"/>
  <c r="H94" i="8"/>
  <c r="I94" i="8"/>
  <c r="C95" i="8"/>
  <c r="G95" i="8"/>
  <c r="B95" i="8" s="1"/>
  <c r="H95" i="8"/>
  <c r="I95" i="8"/>
  <c r="C96" i="8"/>
  <c r="G96" i="8"/>
  <c r="B96" i="8" s="1"/>
  <c r="H96" i="8"/>
  <c r="I96" i="8"/>
  <c r="C97" i="8"/>
  <c r="G97" i="8"/>
  <c r="B97" i="8" s="1"/>
  <c r="H97" i="8"/>
  <c r="I97" i="8"/>
  <c r="C98" i="8"/>
  <c r="G98" i="8"/>
  <c r="B98" i="8" s="1"/>
  <c r="H98" i="8"/>
  <c r="I98" i="8"/>
  <c r="C99" i="8"/>
  <c r="G99" i="8"/>
  <c r="B99" i="8" s="1"/>
  <c r="H99" i="8"/>
  <c r="I99" i="8"/>
  <c r="C100" i="8"/>
  <c r="G100" i="8"/>
  <c r="B100" i="8" s="1"/>
  <c r="H100" i="8"/>
  <c r="I100" i="8"/>
  <c r="C101" i="8"/>
  <c r="G101" i="8"/>
  <c r="B101" i="8" s="1"/>
  <c r="H101" i="8"/>
  <c r="S101" i="8" s="1" a="1"/>
  <c r="I101" i="8"/>
  <c r="C102" i="8"/>
  <c r="G102" i="8"/>
  <c r="B102" i="8" s="1"/>
  <c r="H102" i="8"/>
  <c r="I102" i="8"/>
  <c r="C103" i="8"/>
  <c r="G103" i="8"/>
  <c r="B103" i="8" s="1"/>
  <c r="H103" i="8"/>
  <c r="I103" i="8"/>
  <c r="C104" i="8"/>
  <c r="G104" i="8"/>
  <c r="B104" i="8" s="1"/>
  <c r="H104" i="8"/>
  <c r="I104" i="8"/>
  <c r="C105" i="8"/>
  <c r="G105" i="8"/>
  <c r="B105" i="8" s="1"/>
  <c r="H105" i="8"/>
  <c r="I105" i="8"/>
  <c r="C106" i="8"/>
  <c r="G106" i="8"/>
  <c r="B106" i="8" s="1"/>
  <c r="H106" i="8"/>
  <c r="I106" i="8"/>
  <c r="C107" i="8"/>
  <c r="G107" i="8"/>
  <c r="B107" i="8" s="1"/>
  <c r="H107" i="8"/>
  <c r="R107" i="8" s="1" a="1"/>
  <c r="I107" i="8"/>
  <c r="C108" i="8"/>
  <c r="G108" i="8"/>
  <c r="B108" i="8" s="1"/>
  <c r="H108" i="8"/>
  <c r="I108" i="8"/>
  <c r="C109" i="8"/>
  <c r="G109" i="8"/>
  <c r="B109" i="8" s="1"/>
  <c r="H109" i="8"/>
  <c r="I109" i="8"/>
  <c r="C110" i="8"/>
  <c r="G110" i="8"/>
  <c r="B110" i="8" s="1"/>
  <c r="H110" i="8"/>
  <c r="I110" i="8"/>
  <c r="C111" i="8"/>
  <c r="G111" i="8"/>
  <c r="B111" i="8" s="1"/>
  <c r="H111" i="8"/>
  <c r="I111" i="8"/>
  <c r="C112" i="8"/>
  <c r="G112" i="8"/>
  <c r="B112" i="8" s="1"/>
  <c r="H112" i="8"/>
  <c r="I112" i="8"/>
  <c r="C113" i="8"/>
  <c r="G113" i="8"/>
  <c r="B113" i="8" s="1"/>
  <c r="H113" i="8"/>
  <c r="I113" i="8"/>
  <c r="C114" i="8"/>
  <c r="G114" i="8"/>
  <c r="B114" i="8" s="1"/>
  <c r="H114" i="8"/>
  <c r="I114" i="8"/>
  <c r="C115" i="8"/>
  <c r="G115" i="8"/>
  <c r="B115" i="8" s="1"/>
  <c r="H115" i="8"/>
  <c r="I115" i="8"/>
  <c r="C116" i="8"/>
  <c r="G116" i="8"/>
  <c r="B116" i="8" s="1"/>
  <c r="H116" i="8"/>
  <c r="I116" i="8"/>
  <c r="C117" i="8"/>
  <c r="G117" i="8"/>
  <c r="B117" i="8" s="1"/>
  <c r="H117" i="8"/>
  <c r="I117" i="8"/>
  <c r="S117" i="8" a="1"/>
  <c r="C118" i="8"/>
  <c r="G118" i="8"/>
  <c r="B118" i="8" s="1"/>
  <c r="H118" i="8"/>
  <c r="I118" i="8"/>
  <c r="C119" i="8"/>
  <c r="G119" i="8"/>
  <c r="B119" i="8" s="1"/>
  <c r="H119" i="8"/>
  <c r="I119" i="8"/>
  <c r="C120" i="8"/>
  <c r="G120" i="8"/>
  <c r="B120" i="8" s="1"/>
  <c r="H120" i="8"/>
  <c r="I120" i="8"/>
  <c r="C121" i="8"/>
  <c r="G121" i="8"/>
  <c r="B121" i="8" s="1"/>
  <c r="H121" i="8"/>
  <c r="I121" i="8"/>
  <c r="C122" i="8"/>
  <c r="G122" i="8"/>
  <c r="B122" i="8" s="1"/>
  <c r="H122" i="8"/>
  <c r="I122" i="8"/>
  <c r="C123" i="8"/>
  <c r="G123" i="8"/>
  <c r="B123" i="8" s="1"/>
  <c r="H123" i="8"/>
  <c r="I123" i="8"/>
  <c r="C124" i="8"/>
  <c r="G124" i="8"/>
  <c r="B124" i="8" s="1"/>
  <c r="H124" i="8"/>
  <c r="I124" i="8"/>
  <c r="C125" i="8"/>
  <c r="G125" i="8"/>
  <c r="B125" i="8" s="1"/>
  <c r="H125" i="8"/>
  <c r="I125" i="8"/>
  <c r="C126" i="8"/>
  <c r="G126" i="8"/>
  <c r="B126" i="8" s="1"/>
  <c r="H126" i="8"/>
  <c r="I126" i="8"/>
  <c r="C127" i="8"/>
  <c r="G127" i="8"/>
  <c r="B127" i="8" s="1"/>
  <c r="H127" i="8"/>
  <c r="I127" i="8"/>
  <c r="C128" i="8"/>
  <c r="G128" i="8"/>
  <c r="B128" i="8" s="1"/>
  <c r="H128" i="8"/>
  <c r="I128" i="8"/>
  <c r="C129" i="8"/>
  <c r="G129" i="8"/>
  <c r="B129" i="8" s="1"/>
  <c r="H129" i="8"/>
  <c r="I129" i="8"/>
  <c r="C130" i="8"/>
  <c r="G130" i="8"/>
  <c r="B130" i="8" s="1"/>
  <c r="H130" i="8"/>
  <c r="I130" i="8"/>
  <c r="C131" i="8"/>
  <c r="G131" i="8"/>
  <c r="B131" i="8" s="1"/>
  <c r="H131" i="8"/>
  <c r="I131" i="8"/>
  <c r="C132" i="8"/>
  <c r="G132" i="8"/>
  <c r="B132" i="8" s="1"/>
  <c r="H132" i="8"/>
  <c r="I132" i="8"/>
  <c r="C133" i="8"/>
  <c r="G133" i="8"/>
  <c r="B133" i="8" s="1"/>
  <c r="H133" i="8"/>
  <c r="I133" i="8"/>
  <c r="C134" i="8"/>
  <c r="G134" i="8"/>
  <c r="B134" i="8" s="1"/>
  <c r="H134" i="8"/>
  <c r="I134" i="8"/>
  <c r="C135" i="8"/>
  <c r="G135" i="8"/>
  <c r="B135" i="8" s="1"/>
  <c r="H135" i="8"/>
  <c r="I135" i="8"/>
  <c r="C136" i="8"/>
  <c r="G136" i="8"/>
  <c r="B136" i="8" s="1"/>
  <c r="H136" i="8"/>
  <c r="I136" i="8"/>
  <c r="C137" i="8"/>
  <c r="G137" i="8"/>
  <c r="B137" i="8" s="1"/>
  <c r="H137" i="8"/>
  <c r="I137" i="8"/>
  <c r="C138" i="8"/>
  <c r="G138" i="8"/>
  <c r="B138" i="8" s="1"/>
  <c r="H138" i="8"/>
  <c r="I138" i="8"/>
  <c r="C139" i="8"/>
  <c r="G139" i="8"/>
  <c r="B139" i="8" s="1"/>
  <c r="H139" i="8"/>
  <c r="I139" i="8"/>
  <c r="C140" i="8"/>
  <c r="G140" i="8"/>
  <c r="B140" i="8" s="1"/>
  <c r="H140" i="8"/>
  <c r="I140" i="8"/>
  <c r="C141" i="8"/>
  <c r="G141" i="8"/>
  <c r="B141" i="8" s="1"/>
  <c r="H141" i="8"/>
  <c r="I141" i="8"/>
  <c r="C142" i="8"/>
  <c r="G142" i="8"/>
  <c r="B142" i="8" s="1"/>
  <c r="H142" i="8"/>
  <c r="I142" i="8"/>
  <c r="C143" i="8"/>
  <c r="G143" i="8"/>
  <c r="B143" i="8" s="1"/>
  <c r="H143" i="8"/>
  <c r="I143" i="8"/>
  <c r="C144" i="8"/>
  <c r="G144" i="8"/>
  <c r="B144" i="8" s="1"/>
  <c r="H144" i="8"/>
  <c r="I144" i="8"/>
  <c r="C145" i="8"/>
  <c r="G145" i="8"/>
  <c r="B145" i="8" s="1"/>
  <c r="H145" i="8"/>
  <c r="I145" i="8"/>
  <c r="C146" i="8"/>
  <c r="G146" i="8"/>
  <c r="B146" i="8" s="1"/>
  <c r="H146" i="8"/>
  <c r="I146" i="8"/>
  <c r="C147" i="8"/>
  <c r="G147" i="8"/>
  <c r="B147" i="8" s="1"/>
  <c r="H147" i="8"/>
  <c r="I147" i="8"/>
  <c r="C148" i="8"/>
  <c r="G148" i="8"/>
  <c r="B148" i="8" s="1"/>
  <c r="H148" i="8"/>
  <c r="I148" i="8"/>
  <c r="S148" i="8" a="1"/>
  <c r="C149" i="8"/>
  <c r="G149" i="8"/>
  <c r="B149" i="8" s="1"/>
  <c r="H149" i="8"/>
  <c r="I149" i="8"/>
  <c r="S149" i="8" a="1"/>
  <c r="C150" i="8"/>
  <c r="G150" i="8"/>
  <c r="B150" i="8" s="1"/>
  <c r="H150" i="8"/>
  <c r="I150" i="8"/>
  <c r="C151" i="8"/>
  <c r="G151" i="8"/>
  <c r="B151" i="8" s="1"/>
  <c r="H151" i="8"/>
  <c r="I151" i="8"/>
  <c r="C152" i="8"/>
  <c r="G152" i="8"/>
  <c r="B152" i="8" s="1"/>
  <c r="H152" i="8"/>
  <c r="I152" i="8"/>
  <c r="C153" i="8"/>
  <c r="G153" i="8"/>
  <c r="B153" i="8" s="1"/>
  <c r="H153" i="8"/>
  <c r="I153" i="8"/>
  <c r="C154" i="8"/>
  <c r="G154" i="8"/>
  <c r="B154" i="8" s="1"/>
  <c r="H154" i="8"/>
  <c r="I154" i="8"/>
  <c r="C155" i="8"/>
  <c r="G155" i="8"/>
  <c r="B155" i="8" s="1"/>
  <c r="H155" i="8"/>
  <c r="I155" i="8"/>
  <c r="C156" i="8"/>
  <c r="G156" i="8"/>
  <c r="B156" i="8" s="1"/>
  <c r="H156" i="8"/>
  <c r="I156" i="8"/>
  <c r="C157" i="8"/>
  <c r="G157" i="8"/>
  <c r="B157" i="8" s="1"/>
  <c r="H157" i="8"/>
  <c r="I157" i="8"/>
  <c r="C158" i="8"/>
  <c r="G158" i="8"/>
  <c r="B158" i="8" s="1"/>
  <c r="H158" i="8"/>
  <c r="I158" i="8"/>
  <c r="C159" i="8"/>
  <c r="G159" i="8"/>
  <c r="B159" i="8" s="1"/>
  <c r="H159" i="8"/>
  <c r="I159" i="8"/>
  <c r="C160" i="8"/>
  <c r="G160" i="8"/>
  <c r="B160" i="8" s="1"/>
  <c r="H160" i="8"/>
  <c r="I160" i="8"/>
  <c r="C161" i="8"/>
  <c r="G161" i="8"/>
  <c r="B161" i="8" s="1"/>
  <c r="H161" i="8"/>
  <c r="I161" i="8"/>
  <c r="C162" i="8"/>
  <c r="G162" i="8"/>
  <c r="B162" i="8" s="1"/>
  <c r="H162" i="8"/>
  <c r="I162" i="8"/>
  <c r="C163" i="8"/>
  <c r="G163" i="8"/>
  <c r="B163" i="8" s="1"/>
  <c r="H163" i="8"/>
  <c r="I163" i="8"/>
  <c r="C164" i="8"/>
  <c r="G164" i="8"/>
  <c r="B164" i="8" s="1"/>
  <c r="H164" i="8"/>
  <c r="I164" i="8"/>
  <c r="C165" i="8"/>
  <c r="G165" i="8"/>
  <c r="B165" i="8" s="1"/>
  <c r="H165" i="8"/>
  <c r="I165" i="8"/>
  <c r="C166" i="8"/>
  <c r="G166" i="8"/>
  <c r="B166" i="8" s="1"/>
  <c r="H166" i="8"/>
  <c r="I166" i="8"/>
  <c r="C167" i="8"/>
  <c r="G167" i="8"/>
  <c r="B167" i="8" s="1"/>
  <c r="H167" i="8"/>
  <c r="I167" i="8"/>
  <c r="C168" i="8"/>
  <c r="G168" i="8"/>
  <c r="B168" i="8" s="1"/>
  <c r="H168" i="8"/>
  <c r="I168" i="8"/>
  <c r="C169" i="8"/>
  <c r="G169" i="8"/>
  <c r="B169" i="8" s="1"/>
  <c r="H169" i="8"/>
  <c r="I169" i="8"/>
  <c r="C170" i="8"/>
  <c r="G170" i="8"/>
  <c r="B170" i="8" s="1"/>
  <c r="H170" i="8"/>
  <c r="R170" i="8" s="1" a="1"/>
  <c r="I170" i="8"/>
  <c r="C171" i="8"/>
  <c r="G171" i="8"/>
  <c r="B171" i="8" s="1"/>
  <c r="H171" i="8"/>
  <c r="I171" i="8"/>
  <c r="C172" i="8"/>
  <c r="G172" i="8"/>
  <c r="B172" i="8" s="1"/>
  <c r="H172" i="8"/>
  <c r="I172" i="8"/>
  <c r="C173" i="8"/>
  <c r="G173" i="8"/>
  <c r="B173" i="8" s="1"/>
  <c r="H173" i="8"/>
  <c r="I173" i="8"/>
  <c r="C174" i="8"/>
  <c r="G174" i="8"/>
  <c r="B174" i="8" s="1"/>
  <c r="H174" i="8"/>
  <c r="I174" i="8"/>
  <c r="C175" i="8"/>
  <c r="G175" i="8"/>
  <c r="B175" i="8" s="1"/>
  <c r="H175" i="8"/>
  <c r="I175" i="8"/>
  <c r="C176" i="8"/>
  <c r="G176" i="8"/>
  <c r="B176" i="8" s="1"/>
  <c r="H176" i="8"/>
  <c r="I176" i="8"/>
  <c r="C177" i="8"/>
  <c r="G177" i="8"/>
  <c r="B177" i="8" s="1"/>
  <c r="H177" i="8"/>
  <c r="I177" i="8"/>
  <c r="C178" i="8"/>
  <c r="G178" i="8"/>
  <c r="B178" i="8" s="1"/>
  <c r="H178" i="8"/>
  <c r="I178" i="8"/>
  <c r="C179" i="8"/>
  <c r="G179" i="8"/>
  <c r="B179" i="8" s="1"/>
  <c r="H179" i="8"/>
  <c r="I179" i="8"/>
  <c r="C180" i="8"/>
  <c r="G180" i="8"/>
  <c r="B180" i="8" s="1"/>
  <c r="H180" i="8"/>
  <c r="I180" i="8"/>
  <c r="C181" i="8"/>
  <c r="G181" i="8"/>
  <c r="B181" i="8" s="1"/>
  <c r="H181" i="8"/>
  <c r="I181" i="8"/>
  <c r="C182" i="8"/>
  <c r="G182" i="8"/>
  <c r="B182" i="8" s="1"/>
  <c r="H182" i="8"/>
  <c r="I182" i="8"/>
  <c r="C183" i="8"/>
  <c r="G183" i="8"/>
  <c r="B183" i="8" s="1"/>
  <c r="H183" i="8"/>
  <c r="I183" i="8"/>
  <c r="C184" i="8"/>
  <c r="G184" i="8"/>
  <c r="B184" i="8" s="1"/>
  <c r="H184" i="8"/>
  <c r="I184" i="8"/>
  <c r="C185" i="8"/>
  <c r="G185" i="8"/>
  <c r="B185" i="8" s="1"/>
  <c r="H185" i="8"/>
  <c r="I185" i="8"/>
  <c r="C186" i="8"/>
  <c r="G186" i="8"/>
  <c r="B186" i="8" s="1"/>
  <c r="H186" i="8"/>
  <c r="I186" i="8"/>
  <c r="C187" i="8"/>
  <c r="G187" i="8"/>
  <c r="B187" i="8" s="1"/>
  <c r="H187" i="8"/>
  <c r="I187" i="8"/>
  <c r="S187" i="8" a="1"/>
  <c r="C188" i="8"/>
  <c r="G188" i="8"/>
  <c r="B188" i="8" s="1"/>
  <c r="H188" i="8"/>
  <c r="I188" i="8"/>
  <c r="C189" i="8"/>
  <c r="G189" i="8"/>
  <c r="B189" i="8" s="1"/>
  <c r="H189" i="8"/>
  <c r="I189" i="8"/>
  <c r="C190" i="8"/>
  <c r="G190" i="8"/>
  <c r="B190" i="8" s="1"/>
  <c r="H190" i="8"/>
  <c r="I190" i="8"/>
  <c r="C191" i="8"/>
  <c r="G191" i="8"/>
  <c r="B191" i="8" s="1"/>
  <c r="H191" i="8"/>
  <c r="I191" i="8"/>
  <c r="C192" i="8"/>
  <c r="G192" i="8"/>
  <c r="B192" i="8" s="1"/>
  <c r="H192" i="8"/>
  <c r="I192" i="8"/>
  <c r="C193" i="8"/>
  <c r="G193" i="8"/>
  <c r="B193" i="8" s="1"/>
  <c r="H193" i="8"/>
  <c r="I193" i="8"/>
  <c r="C194" i="8"/>
  <c r="G194" i="8"/>
  <c r="B194" i="8" s="1"/>
  <c r="H194" i="8"/>
  <c r="I194" i="8"/>
  <c r="P194" i="8" a="1"/>
  <c r="R194" i="8" a="1"/>
  <c r="S194" i="8" a="1"/>
  <c r="C195" i="8"/>
  <c r="G195" i="8"/>
  <c r="B195" i="8" s="1"/>
  <c r="H195" i="8"/>
  <c r="I195" i="8"/>
  <c r="C196" i="8"/>
  <c r="G196" i="8"/>
  <c r="B196" i="8" s="1"/>
  <c r="H196" i="8"/>
  <c r="I196" i="8"/>
  <c r="C197" i="8"/>
  <c r="G197" i="8"/>
  <c r="B197" i="8" s="1"/>
  <c r="H197" i="8"/>
  <c r="I197" i="8"/>
  <c r="C198" i="8"/>
  <c r="G198" i="8"/>
  <c r="B198" i="8" s="1"/>
  <c r="H198" i="8"/>
  <c r="I198" i="8"/>
  <c r="C199" i="8"/>
  <c r="G199" i="8"/>
  <c r="B199" i="8" s="1"/>
  <c r="H199" i="8"/>
  <c r="I199" i="8"/>
  <c r="C200" i="8"/>
  <c r="G200" i="8"/>
  <c r="B200" i="8" s="1"/>
  <c r="H200" i="8"/>
  <c r="I200" i="8"/>
  <c r="C201" i="8"/>
  <c r="G201" i="8"/>
  <c r="B201" i="8" s="1"/>
  <c r="H201" i="8"/>
  <c r="I201" i="8"/>
  <c r="C202" i="8"/>
  <c r="G202" i="8"/>
  <c r="B202" i="8" s="1"/>
  <c r="H202" i="8"/>
  <c r="I202" i="8"/>
  <c r="C203" i="8"/>
  <c r="G203" i="8"/>
  <c r="B203" i="8" s="1"/>
  <c r="H203" i="8"/>
  <c r="I203" i="8"/>
  <c r="C204" i="8"/>
  <c r="G204" i="8"/>
  <c r="B204" i="8" s="1"/>
  <c r="H204" i="8"/>
  <c r="I204" i="8"/>
  <c r="C205" i="8"/>
  <c r="G205" i="8"/>
  <c r="B205" i="8" s="1"/>
  <c r="H205" i="8"/>
  <c r="I205" i="8"/>
  <c r="C206" i="8"/>
  <c r="G206" i="8"/>
  <c r="B206" i="8" s="1"/>
  <c r="H206" i="8"/>
  <c r="I206" i="8"/>
  <c r="C207" i="8"/>
  <c r="G207" i="8"/>
  <c r="B207" i="8" s="1"/>
  <c r="H207" i="8"/>
  <c r="I207" i="8"/>
  <c r="C208" i="8"/>
  <c r="G208" i="8"/>
  <c r="B208" i="8" s="1"/>
  <c r="H208" i="8"/>
  <c r="I208" i="8"/>
  <c r="C209" i="8"/>
  <c r="G209" i="8"/>
  <c r="B209" i="8" s="1"/>
  <c r="H209" i="8"/>
  <c r="I209" i="8"/>
  <c r="C210" i="8"/>
  <c r="G210" i="8"/>
  <c r="B210" i="8" s="1"/>
  <c r="H210" i="8"/>
  <c r="I210" i="8"/>
  <c r="C211" i="8"/>
  <c r="G211" i="8"/>
  <c r="B211" i="8" s="1"/>
  <c r="H211" i="8"/>
  <c r="I211" i="8"/>
  <c r="C212" i="8"/>
  <c r="G212" i="8"/>
  <c r="B212" i="8" s="1"/>
  <c r="H212" i="8"/>
  <c r="I212" i="8"/>
  <c r="C213" i="8"/>
  <c r="G213" i="8"/>
  <c r="B213" i="8" s="1"/>
  <c r="H213" i="8"/>
  <c r="I213" i="8"/>
  <c r="C214" i="8"/>
  <c r="G214" i="8"/>
  <c r="B214" i="8" s="1"/>
  <c r="H214" i="8"/>
  <c r="I214" i="8"/>
  <c r="A34" i="6"/>
  <c r="C34" i="6"/>
  <c r="G34" i="6"/>
  <c r="A35" i="6"/>
  <c r="C35" i="6"/>
  <c r="G35" i="6"/>
  <c r="A36" i="6"/>
  <c r="C36" i="6"/>
  <c r="G36" i="6"/>
  <c r="A37" i="6"/>
  <c r="C37" i="6"/>
  <c r="G37" i="6"/>
  <c r="A38" i="6"/>
  <c r="C38" i="6"/>
  <c r="G38" i="6"/>
  <c r="A39" i="6"/>
  <c r="C39" i="6"/>
  <c r="G39" i="6"/>
  <c r="A40" i="6"/>
  <c r="C40" i="6"/>
  <c r="G40" i="6"/>
  <c r="A41" i="6"/>
  <c r="C41" i="6"/>
  <c r="G41" i="6"/>
  <c r="A42" i="6"/>
  <c r="C42" i="6"/>
  <c r="G42" i="6"/>
  <c r="A43" i="6"/>
  <c r="C43" i="6"/>
  <c r="G43" i="6"/>
  <c r="J43" i="6" a="1"/>
  <c r="A44" i="6"/>
  <c r="C44" i="6"/>
  <c r="G44" i="6"/>
  <c r="K44" i="6" a="1"/>
  <c r="A45" i="6"/>
  <c r="C45" i="6"/>
  <c r="G45" i="6"/>
  <c r="A46" i="6"/>
  <c r="C46" i="6"/>
  <c r="G46" i="6"/>
  <c r="A47" i="6"/>
  <c r="C47" i="6"/>
  <c r="K47" i="6" s="1" a="1"/>
  <c r="G47" i="6"/>
  <c r="A48" i="6"/>
  <c r="C48" i="6"/>
  <c r="G48" i="6"/>
  <c r="B48" i="6" s="1"/>
  <c r="J48" i="6" a="1"/>
  <c r="K48" i="6" a="1"/>
  <c r="A49" i="6"/>
  <c r="C49" i="6"/>
  <c r="G49" i="6"/>
  <c r="K49" i="6" s="1" a="1"/>
  <c r="A50" i="6"/>
  <c r="C50" i="6"/>
  <c r="G50" i="6"/>
  <c r="A51" i="6"/>
  <c r="C51" i="6"/>
  <c r="G51" i="6"/>
  <c r="A52" i="6"/>
  <c r="C52" i="6"/>
  <c r="G52" i="6"/>
  <c r="A53" i="6"/>
  <c r="C53" i="6"/>
  <c r="G53" i="6"/>
  <c r="K53" i="6" a="1"/>
  <c r="A54" i="6"/>
  <c r="C54" i="6"/>
  <c r="G54" i="6"/>
  <c r="A55" i="6"/>
  <c r="C55" i="6"/>
  <c r="G55" i="6"/>
  <c r="A56" i="6"/>
  <c r="C56" i="6"/>
  <c r="G56" i="6"/>
  <c r="A57" i="6"/>
  <c r="C57" i="6"/>
  <c r="G57" i="6"/>
  <c r="K57" i="6" s="1" a="1"/>
  <c r="A58" i="6"/>
  <c r="C58" i="6"/>
  <c r="G58" i="6"/>
  <c r="A59" i="6"/>
  <c r="C59" i="6"/>
  <c r="G59" i="6"/>
  <c r="A60" i="6"/>
  <c r="C60" i="6"/>
  <c r="G60" i="6"/>
  <c r="K60" i="6" a="1"/>
  <c r="A61" i="6"/>
  <c r="C61" i="6"/>
  <c r="G61" i="6"/>
  <c r="A62" i="6"/>
  <c r="C62" i="6"/>
  <c r="G62" i="6"/>
  <c r="K62" i="6" a="1"/>
  <c r="A63" i="6"/>
  <c r="C63" i="6"/>
  <c r="G63" i="6"/>
  <c r="A64" i="6"/>
  <c r="C64" i="6"/>
  <c r="G64" i="6"/>
  <c r="A65" i="6"/>
  <c r="C65" i="6"/>
  <c r="G65" i="6"/>
  <c r="A66" i="6"/>
  <c r="C66" i="6"/>
  <c r="G66" i="6"/>
  <c r="A67" i="6"/>
  <c r="C67" i="6"/>
  <c r="G67" i="6"/>
  <c r="A68" i="6"/>
  <c r="C68" i="6"/>
  <c r="G68" i="6"/>
  <c r="J68" i="6" a="1"/>
  <c r="A69" i="6"/>
  <c r="C69" i="6"/>
  <c r="G69" i="6"/>
  <c r="K69" i="6" a="1"/>
  <c r="A70" i="6"/>
  <c r="C70" i="6"/>
  <c r="G70" i="6"/>
  <c r="A71" i="6"/>
  <c r="C71" i="6"/>
  <c r="G71" i="6"/>
  <c r="K71" i="6" s="1" a="1"/>
  <c r="A72" i="6"/>
  <c r="C72" i="6"/>
  <c r="G72" i="6"/>
  <c r="K72" i="6" a="1"/>
  <c r="A73" i="6"/>
  <c r="C73" i="6"/>
  <c r="K73" i="6" s="1" a="1"/>
  <c r="G73" i="6"/>
  <c r="A74" i="6"/>
  <c r="C74" i="6"/>
  <c r="G74" i="6"/>
  <c r="A75" i="6"/>
  <c r="C75" i="6"/>
  <c r="G75" i="6"/>
  <c r="K75" i="6" s="1" a="1"/>
  <c r="A76" i="6"/>
  <c r="C76" i="6"/>
  <c r="G76" i="6"/>
  <c r="A77" i="6"/>
  <c r="C77" i="6"/>
  <c r="G77" i="6"/>
  <c r="A78" i="6"/>
  <c r="C78" i="6"/>
  <c r="G78" i="6"/>
  <c r="A79" i="6"/>
  <c r="C79" i="6"/>
  <c r="G79" i="6"/>
  <c r="A80" i="6"/>
  <c r="C80" i="6"/>
  <c r="G80" i="6"/>
  <c r="A81" i="6"/>
  <c r="C81" i="6"/>
  <c r="G81" i="6"/>
  <c r="A82" i="6"/>
  <c r="C82" i="6"/>
  <c r="G82" i="6"/>
  <c r="K82" i="6" a="1"/>
  <c r="A83" i="6"/>
  <c r="C83" i="6"/>
  <c r="G83" i="6"/>
  <c r="B83" i="6" s="1"/>
  <c r="J83" i="6" a="1"/>
  <c r="K83" i="6" a="1"/>
  <c r="A84" i="6"/>
  <c r="C84" i="6"/>
  <c r="G84" i="6"/>
  <c r="A85" i="6"/>
  <c r="C85" i="6"/>
  <c r="G85" i="6"/>
  <c r="K85" i="6" s="1" a="1"/>
  <c r="A86" i="6"/>
  <c r="C86" i="6"/>
  <c r="G86" i="6"/>
  <c r="K86" i="6" s="1" a="1"/>
  <c r="A87" i="6"/>
  <c r="C87" i="6"/>
  <c r="G87" i="6"/>
  <c r="A88" i="6"/>
  <c r="C88" i="6"/>
  <c r="G88" i="6"/>
  <c r="K88" i="6" a="1"/>
  <c r="A89" i="6"/>
  <c r="C89" i="6"/>
  <c r="G89" i="6"/>
  <c r="A90" i="6"/>
  <c r="C90" i="6"/>
  <c r="K90" i="6" s="1" a="1"/>
  <c r="G90" i="6"/>
  <c r="A91" i="6"/>
  <c r="C91" i="6"/>
  <c r="G91" i="6"/>
  <c r="A92" i="6"/>
  <c r="C92" i="6"/>
  <c r="G92" i="6"/>
  <c r="A93" i="6"/>
  <c r="C93" i="6"/>
  <c r="G93" i="6"/>
  <c r="A94" i="6"/>
  <c r="C94" i="6"/>
  <c r="G94" i="6"/>
  <c r="K94" i="6" s="1" a="1"/>
  <c r="A95" i="6"/>
  <c r="C95" i="6"/>
  <c r="G95" i="6"/>
  <c r="B95" i="6" s="1"/>
  <c r="J95" i="6" a="1"/>
  <c r="K95" i="6" a="1"/>
  <c r="A96" i="6"/>
  <c r="C96" i="6"/>
  <c r="G96" i="6"/>
  <c r="A97" i="6"/>
  <c r="C97" i="6"/>
  <c r="G97" i="6"/>
  <c r="A98" i="6"/>
  <c r="C98" i="6"/>
  <c r="G98" i="6"/>
  <c r="A99" i="6"/>
  <c r="C99" i="6"/>
  <c r="G99" i="6"/>
  <c r="K99" i="6" s="1" a="1"/>
  <c r="A100" i="6"/>
  <c r="C100" i="6"/>
  <c r="G100" i="6"/>
  <c r="A101" i="6"/>
  <c r="C101" i="6"/>
  <c r="K101" i="6" s="1" a="1"/>
  <c r="G101" i="6"/>
  <c r="A102" i="6"/>
  <c r="C102" i="6"/>
  <c r="K102" i="6" s="1" a="1"/>
  <c r="G102" i="6"/>
  <c r="A103" i="6"/>
  <c r="C103" i="6"/>
  <c r="G103" i="6"/>
  <c r="A104" i="6"/>
  <c r="C104" i="6"/>
  <c r="G104" i="6"/>
  <c r="K104" i="6" s="1" a="1"/>
  <c r="A105" i="6"/>
  <c r="C105" i="6"/>
  <c r="G105" i="6"/>
  <c r="A106" i="6"/>
  <c r="C106" i="6"/>
  <c r="G106" i="6"/>
  <c r="A107" i="6"/>
  <c r="C107" i="6"/>
  <c r="G107" i="6"/>
  <c r="A108" i="6"/>
  <c r="C108" i="6"/>
  <c r="G108" i="6"/>
  <c r="A109" i="6"/>
  <c r="C109" i="6"/>
  <c r="G109" i="6"/>
  <c r="A110" i="6"/>
  <c r="C110" i="6"/>
  <c r="G110" i="6"/>
  <c r="K110" i="6" a="1"/>
  <c r="A111" i="6"/>
  <c r="C111" i="6"/>
  <c r="G111" i="6"/>
  <c r="B111" i="6" s="1"/>
  <c r="J111" i="6" a="1"/>
  <c r="K111" i="6" a="1"/>
  <c r="A112" i="6"/>
  <c r="C112" i="6"/>
  <c r="G112" i="6"/>
  <c r="A113" i="6"/>
  <c r="C113" i="6"/>
  <c r="G113" i="6"/>
  <c r="B113" i="6" s="1"/>
  <c r="J113" i="6" a="1"/>
  <c r="K113" i="6" a="1"/>
  <c r="A114" i="6"/>
  <c r="C114" i="6"/>
  <c r="G114" i="6"/>
  <c r="K114" i="6" a="1"/>
  <c r="A115" i="6"/>
  <c r="C115" i="6"/>
  <c r="G115" i="6"/>
  <c r="K115" i="6" a="1"/>
  <c r="A116" i="6"/>
  <c r="C116" i="6"/>
  <c r="G116" i="6"/>
  <c r="A117" i="6"/>
  <c r="C117" i="6"/>
  <c r="G117" i="6"/>
  <c r="B117" i="6" s="1"/>
  <c r="J117" i="6" a="1"/>
  <c r="K117" i="6" a="1"/>
  <c r="A118" i="6"/>
  <c r="C118" i="6"/>
  <c r="G118" i="6"/>
  <c r="A119" i="6"/>
  <c r="C119" i="6"/>
  <c r="G119" i="6"/>
  <c r="K119" i="6" s="1" a="1"/>
  <c r="A120" i="6"/>
  <c r="C120" i="6"/>
  <c r="G120" i="6"/>
  <c r="K120" i="6" a="1"/>
  <c r="A121" i="6"/>
  <c r="C121" i="6"/>
  <c r="G121" i="6"/>
  <c r="B121" i="6" s="1"/>
  <c r="J121" i="6" a="1"/>
  <c r="K121" i="6" a="1"/>
  <c r="A122" i="6"/>
  <c r="C122" i="6"/>
  <c r="G122" i="6"/>
  <c r="K122" i="6" a="1"/>
  <c r="A123" i="6"/>
  <c r="C123" i="6"/>
  <c r="G123" i="6"/>
  <c r="K123" i="6" s="1" a="1"/>
  <c r="A124" i="6"/>
  <c r="C124" i="6"/>
  <c r="G124" i="6"/>
  <c r="G6" i="5"/>
  <c r="G7" i="5"/>
  <c r="B7" i="5" s="1"/>
  <c r="G8" i="5"/>
  <c r="B8" i="5" s="1"/>
  <c r="G9" i="5"/>
  <c r="B9" i="5" s="1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K60" i="5" s="1" a="1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B6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G5" i="5"/>
  <c r="B5" i="5" s="1"/>
  <c r="A34" i="5"/>
  <c r="C34" i="5"/>
  <c r="A35" i="5"/>
  <c r="C35" i="5"/>
  <c r="A36" i="5"/>
  <c r="C36" i="5"/>
  <c r="J36" i="5" s="1" a="1"/>
  <c r="A37" i="5"/>
  <c r="C37" i="5"/>
  <c r="J37" i="5" s="1" a="1"/>
  <c r="B37" i="5"/>
  <c r="K37" i="5" a="1"/>
  <c r="A38" i="5"/>
  <c r="C38" i="5"/>
  <c r="A39" i="5"/>
  <c r="C39" i="5"/>
  <c r="B39" i="5"/>
  <c r="J39" i="5" a="1"/>
  <c r="K39" i="5" a="1"/>
  <c r="A40" i="5"/>
  <c r="C40" i="5"/>
  <c r="A41" i="5"/>
  <c r="C41" i="5"/>
  <c r="K41" i="5" a="1"/>
  <c r="A42" i="5"/>
  <c r="C42" i="5"/>
  <c r="B42" i="5"/>
  <c r="A43" i="5"/>
  <c r="C43" i="5"/>
  <c r="A44" i="5"/>
  <c r="C44" i="5"/>
  <c r="B44" i="5"/>
  <c r="J44" i="5" a="1"/>
  <c r="K44" i="5" a="1"/>
  <c r="A45" i="5"/>
  <c r="C45" i="5"/>
  <c r="K45" i="5" a="1"/>
  <c r="A46" i="5"/>
  <c r="C46" i="5"/>
  <c r="K46" i="5" a="1"/>
  <c r="A47" i="5"/>
  <c r="C47" i="5"/>
  <c r="A48" i="5"/>
  <c r="C48" i="5"/>
  <c r="A49" i="5"/>
  <c r="C49" i="5"/>
  <c r="A50" i="5"/>
  <c r="C50" i="5"/>
  <c r="A51" i="5"/>
  <c r="C51" i="5"/>
  <c r="K51" i="5" s="1" a="1"/>
  <c r="A52" i="5"/>
  <c r="C52" i="5"/>
  <c r="A53" i="5"/>
  <c r="C53" i="5"/>
  <c r="A54" i="5"/>
  <c r="C54" i="5"/>
  <c r="A55" i="5"/>
  <c r="C55" i="5"/>
  <c r="A56" i="5"/>
  <c r="C56" i="5"/>
  <c r="A57" i="5"/>
  <c r="C57" i="5"/>
  <c r="A58" i="5"/>
  <c r="C58" i="5"/>
  <c r="A59" i="5"/>
  <c r="C59" i="5"/>
  <c r="A60" i="5"/>
  <c r="C60" i="5"/>
  <c r="A61" i="5"/>
  <c r="C61" i="5"/>
  <c r="A62" i="5"/>
  <c r="C62" i="5"/>
  <c r="A63" i="5"/>
  <c r="C63" i="5"/>
  <c r="A64" i="5"/>
  <c r="C64" i="5"/>
  <c r="A65" i="5"/>
  <c r="C65" i="5"/>
  <c r="A66" i="5"/>
  <c r="C66" i="5"/>
  <c r="A67" i="5"/>
  <c r="C67" i="5"/>
  <c r="A68" i="5"/>
  <c r="C68" i="5"/>
  <c r="A69" i="5"/>
  <c r="C69" i="5"/>
  <c r="A70" i="5"/>
  <c r="C70" i="5"/>
  <c r="K70" i="5" s="1" a="1"/>
  <c r="A71" i="5"/>
  <c r="C71" i="5"/>
  <c r="A72" i="5"/>
  <c r="C72" i="5"/>
  <c r="A73" i="5"/>
  <c r="C73" i="5"/>
  <c r="A74" i="5"/>
  <c r="C74" i="5"/>
  <c r="A75" i="5"/>
  <c r="C75" i="5"/>
  <c r="A76" i="5"/>
  <c r="C76" i="5"/>
  <c r="A77" i="5"/>
  <c r="C77" i="5"/>
  <c r="A78" i="5"/>
  <c r="C78" i="5"/>
  <c r="A79" i="5"/>
  <c r="C79" i="5"/>
  <c r="K79" i="5" s="1" a="1"/>
  <c r="A80" i="5"/>
  <c r="C80" i="5"/>
  <c r="K80" i="5" s="1" a="1"/>
  <c r="A81" i="5"/>
  <c r="C81" i="5"/>
  <c r="A82" i="5"/>
  <c r="C82" i="5"/>
  <c r="K82" i="5" s="1" a="1"/>
  <c r="A83" i="5"/>
  <c r="C83" i="5"/>
  <c r="A84" i="5"/>
  <c r="C84" i="5"/>
  <c r="A85" i="5"/>
  <c r="C85" i="5"/>
  <c r="K85" i="5" s="1" a="1"/>
  <c r="A86" i="5"/>
  <c r="C86" i="5"/>
  <c r="A87" i="5"/>
  <c r="C87" i="5"/>
  <c r="A88" i="5"/>
  <c r="C88" i="5"/>
  <c r="A89" i="5"/>
  <c r="C89" i="5"/>
  <c r="A90" i="5"/>
  <c r="C90" i="5"/>
  <c r="K90" i="5" s="1" a="1"/>
  <c r="A91" i="5"/>
  <c r="C91" i="5"/>
  <c r="A92" i="5"/>
  <c r="C92" i="5"/>
  <c r="A93" i="5"/>
  <c r="C93" i="5"/>
  <c r="K93" i="5" s="1" a="1"/>
  <c r="A94" i="5"/>
  <c r="C94" i="5"/>
  <c r="A95" i="5"/>
  <c r="C95" i="5"/>
  <c r="A96" i="5"/>
  <c r="C96" i="5"/>
  <c r="K96" i="5" s="1" a="1"/>
  <c r="A97" i="5"/>
  <c r="C97" i="5"/>
  <c r="A98" i="5"/>
  <c r="C98" i="5"/>
  <c r="A99" i="5"/>
  <c r="C99" i="5"/>
  <c r="A100" i="5"/>
  <c r="C100" i="5"/>
  <c r="K100" i="5" s="1" a="1"/>
  <c r="A101" i="5"/>
  <c r="C101" i="5"/>
  <c r="A102" i="5"/>
  <c r="C102" i="5"/>
  <c r="A103" i="5"/>
  <c r="C103" i="5"/>
  <c r="A104" i="5"/>
  <c r="C104" i="5"/>
  <c r="K104" i="5" s="1" a="1"/>
  <c r="A105" i="5"/>
  <c r="C105" i="5"/>
  <c r="A106" i="5"/>
  <c r="C106" i="5"/>
  <c r="A107" i="5"/>
  <c r="C107" i="5"/>
  <c r="A108" i="5"/>
  <c r="C108" i="5"/>
  <c r="A109" i="5"/>
  <c r="C109" i="5"/>
  <c r="A110" i="5"/>
  <c r="C110" i="5"/>
  <c r="A111" i="5"/>
  <c r="C111" i="5"/>
  <c r="A112" i="5"/>
  <c r="C112" i="5"/>
  <c r="A113" i="5"/>
  <c r="C113" i="5"/>
  <c r="A114" i="5"/>
  <c r="C114" i="5"/>
  <c r="A115" i="5"/>
  <c r="C115" i="5"/>
  <c r="A116" i="5"/>
  <c r="C116" i="5"/>
  <c r="A117" i="5"/>
  <c r="C117" i="5"/>
  <c r="A118" i="5"/>
  <c r="C118" i="5"/>
  <c r="A119" i="5"/>
  <c r="C119" i="5"/>
  <c r="A120" i="5"/>
  <c r="C120" i="5"/>
  <c r="A121" i="5"/>
  <c r="C121" i="5"/>
  <c r="A122" i="5"/>
  <c r="C122" i="5"/>
  <c r="K122" i="5" s="1" a="1"/>
  <c r="A123" i="5"/>
  <c r="C123" i="5"/>
  <c r="A124" i="5"/>
  <c r="C124" i="5"/>
  <c r="K124" i="5" s="1" a="1"/>
  <c r="A125" i="5"/>
  <c r="C125" i="5"/>
  <c r="K125" i="5" s="1" a="1"/>
  <c r="A126" i="5"/>
  <c r="C126" i="5"/>
  <c r="A127" i="5"/>
  <c r="C127" i="5"/>
  <c r="K127" i="5" s="1" a="1"/>
  <c r="A128" i="5"/>
  <c r="C128" i="5"/>
  <c r="A129" i="5"/>
  <c r="C129" i="5"/>
  <c r="A130" i="5"/>
  <c r="C130" i="5"/>
  <c r="A131" i="5"/>
  <c r="C131" i="5"/>
  <c r="A132" i="5"/>
  <c r="C132" i="5"/>
  <c r="A133" i="5"/>
  <c r="C133" i="5"/>
  <c r="K133" i="5" s="1" a="1"/>
  <c r="A134" i="5"/>
  <c r="C134" i="5"/>
  <c r="A135" i="5"/>
  <c r="C135" i="5"/>
  <c r="A136" i="5"/>
  <c r="C136" i="5"/>
  <c r="A137" i="5"/>
  <c r="C137" i="5"/>
  <c r="A138" i="5"/>
  <c r="C138" i="5"/>
  <c r="K138" i="5" s="1" a="1"/>
  <c r="A139" i="5"/>
  <c r="C139" i="5"/>
  <c r="A140" i="5"/>
  <c r="C140" i="5"/>
  <c r="K140" i="5" s="1" a="1"/>
  <c r="A141" i="5"/>
  <c r="C141" i="5"/>
  <c r="A142" i="5"/>
  <c r="C142" i="5"/>
  <c r="K142" i="5" s="1" a="1"/>
  <c r="A143" i="5"/>
  <c r="C143" i="5"/>
  <c r="A144" i="5"/>
  <c r="C144" i="5"/>
  <c r="A145" i="5"/>
  <c r="C145" i="5"/>
  <c r="K145" i="5" s="1" a="1"/>
  <c r="A146" i="5"/>
  <c r="C146" i="5"/>
  <c r="A147" i="5"/>
  <c r="C147" i="5"/>
  <c r="A148" i="5"/>
  <c r="C148" i="5"/>
  <c r="A149" i="5"/>
  <c r="C149" i="5"/>
  <c r="K149" i="5" s="1" a="1"/>
  <c r="A150" i="5"/>
  <c r="C150" i="5"/>
  <c r="A151" i="5"/>
  <c r="C151" i="5"/>
  <c r="A152" i="5"/>
  <c r="C152" i="5"/>
  <c r="A153" i="5"/>
  <c r="C153" i="5"/>
  <c r="A154" i="5"/>
  <c r="C154" i="5"/>
  <c r="K154" i="5" s="1" a="1"/>
  <c r="A64" i="3"/>
  <c r="C64" i="3"/>
  <c r="G64" i="3"/>
  <c r="A65" i="3"/>
  <c r="C65" i="3"/>
  <c r="G65" i="3"/>
  <c r="A66" i="3"/>
  <c r="C66" i="3"/>
  <c r="G66" i="3"/>
  <c r="P66" i="3" a="1"/>
  <c r="Q66" i="3" a="1"/>
  <c r="A67" i="3"/>
  <c r="C67" i="3"/>
  <c r="G67" i="3"/>
  <c r="A68" i="3"/>
  <c r="C68" i="3"/>
  <c r="G68" i="3"/>
  <c r="O68" i="3" s="1" a="1"/>
  <c r="N68" i="3" a="1"/>
  <c r="P68" i="3" a="1"/>
  <c r="Q68" i="3" a="1"/>
  <c r="A69" i="3"/>
  <c r="C69" i="3"/>
  <c r="G69" i="3"/>
  <c r="A70" i="3"/>
  <c r="C70" i="3"/>
  <c r="G70" i="3"/>
  <c r="A71" i="3"/>
  <c r="C71" i="3"/>
  <c r="G71" i="3"/>
  <c r="P71" i="3" a="1"/>
  <c r="Q71" i="3" a="1"/>
  <c r="A72" i="3"/>
  <c r="C72" i="3"/>
  <c r="G72" i="3"/>
  <c r="B72" i="3" s="1"/>
  <c r="A73" i="3"/>
  <c r="C73" i="3"/>
  <c r="G73" i="3"/>
  <c r="A74" i="3"/>
  <c r="C74" i="3"/>
  <c r="G74" i="3"/>
  <c r="B74" i="3" s="1"/>
  <c r="M74" i="3" a="1"/>
  <c r="N74" i="3" a="1"/>
  <c r="O74" i="3" a="1"/>
  <c r="P74" i="3" a="1"/>
  <c r="Q74" i="3" a="1"/>
  <c r="A75" i="3"/>
  <c r="C75" i="3"/>
  <c r="G75" i="3"/>
  <c r="A76" i="3"/>
  <c r="C76" i="3"/>
  <c r="G76" i="3"/>
  <c r="N76" i="3" a="1"/>
  <c r="O76" i="3" a="1"/>
  <c r="P76" i="3" a="1"/>
  <c r="Q76" i="3" a="1"/>
  <c r="A77" i="3"/>
  <c r="C77" i="3"/>
  <c r="G77" i="3"/>
  <c r="O77" i="3" a="1"/>
  <c r="P77" i="3" a="1"/>
  <c r="Q77" i="3" a="1"/>
  <c r="A78" i="3"/>
  <c r="C78" i="3"/>
  <c r="G78" i="3"/>
  <c r="B78" i="3" s="1"/>
  <c r="P78" i="3" a="1"/>
  <c r="Q78" i="3" a="1"/>
  <c r="A79" i="3"/>
  <c r="C79" i="3"/>
  <c r="G79" i="3"/>
  <c r="N79" i="3" a="1"/>
  <c r="O79" i="3" a="1"/>
  <c r="P79" i="3" a="1"/>
  <c r="Q79" i="3" a="1"/>
  <c r="A80" i="3"/>
  <c r="C80" i="3"/>
  <c r="G80" i="3"/>
  <c r="A81" i="3"/>
  <c r="C81" i="3"/>
  <c r="G81" i="3"/>
  <c r="B81" i="3" s="1"/>
  <c r="M81" i="3" a="1"/>
  <c r="N81" i="3" a="1"/>
  <c r="O81" i="3" a="1"/>
  <c r="P81" i="3" a="1"/>
  <c r="Q81" i="3" a="1"/>
  <c r="A82" i="3"/>
  <c r="C82" i="3"/>
  <c r="G82" i="3"/>
  <c r="B82" i="3" s="1"/>
  <c r="Q82" i="3" a="1"/>
  <c r="A83" i="3"/>
  <c r="C83" i="3"/>
  <c r="G83" i="3"/>
  <c r="A84" i="3"/>
  <c r="C84" i="3"/>
  <c r="G84" i="3"/>
  <c r="N84" i="3" a="1"/>
  <c r="O84" i="3" a="1"/>
  <c r="P84" i="3" a="1"/>
  <c r="Q84" i="3" a="1"/>
  <c r="A85" i="3"/>
  <c r="C85" i="3"/>
  <c r="G85" i="3"/>
  <c r="B85" i="3" s="1"/>
  <c r="M85" i="3" a="1"/>
  <c r="N85" i="3" a="1"/>
  <c r="O85" i="3" a="1"/>
  <c r="P85" i="3" a="1"/>
  <c r="Q85" i="3" a="1"/>
  <c r="A86" i="3"/>
  <c r="C86" i="3"/>
  <c r="G86" i="3"/>
  <c r="A87" i="3"/>
  <c r="C87" i="3"/>
  <c r="O87" i="3" s="1" a="1"/>
  <c r="G87" i="3"/>
  <c r="N87" i="3" a="1"/>
  <c r="P87" i="3" a="1"/>
  <c r="Q87" i="3" a="1"/>
  <c r="A88" i="3"/>
  <c r="C88" i="3"/>
  <c r="G88" i="3"/>
  <c r="A89" i="3"/>
  <c r="C89" i="3"/>
  <c r="P89" i="3" s="1" a="1"/>
  <c r="G89" i="3"/>
  <c r="Q89" i="3" s="1" a="1"/>
  <c r="A90" i="3"/>
  <c r="C90" i="3"/>
  <c r="O90" i="3" s="1" a="1"/>
  <c r="G90" i="3"/>
  <c r="P90" i="3" a="1"/>
  <c r="Q90" i="3" a="1"/>
  <c r="A91" i="3"/>
  <c r="C91" i="3"/>
  <c r="G91" i="3"/>
  <c r="A92" i="3"/>
  <c r="C92" i="3"/>
  <c r="G92" i="3"/>
  <c r="P92" i="3" s="1" a="1"/>
  <c r="Q92" i="3" a="1"/>
  <c r="A93" i="3"/>
  <c r="C93" i="3"/>
  <c r="G93" i="3"/>
  <c r="B93" i="3" s="1"/>
  <c r="M93" i="3" a="1"/>
  <c r="O93" i="3" a="1"/>
  <c r="Q93" i="3" a="1"/>
  <c r="A94" i="3"/>
  <c r="C94" i="3"/>
  <c r="G94" i="3"/>
  <c r="B94" i="3" s="1"/>
  <c r="M94" i="3" a="1"/>
  <c r="N94" i="3" a="1"/>
  <c r="O94" i="3" a="1"/>
  <c r="P94" i="3" a="1"/>
  <c r="Q94" i="3" a="1"/>
  <c r="A95" i="3"/>
  <c r="C95" i="3"/>
  <c r="G95" i="3"/>
  <c r="A96" i="3"/>
  <c r="C96" i="3"/>
  <c r="G96" i="3"/>
  <c r="A97" i="3"/>
  <c r="C97" i="3"/>
  <c r="G97" i="3"/>
  <c r="N97" i="3" a="1"/>
  <c r="O97" i="3" a="1"/>
  <c r="P97" i="3" a="1"/>
  <c r="Q97" i="3" a="1"/>
  <c r="A98" i="3"/>
  <c r="C98" i="3"/>
  <c r="G98" i="3"/>
  <c r="A99" i="3"/>
  <c r="C99" i="3"/>
  <c r="G99" i="3"/>
  <c r="N99" i="3" a="1"/>
  <c r="P99" i="3" a="1"/>
  <c r="Q99" i="3" a="1"/>
  <c r="A100" i="3"/>
  <c r="C100" i="3"/>
  <c r="G100" i="3"/>
  <c r="N100" i="3" a="1"/>
  <c r="O100" i="3" a="1"/>
  <c r="P100" i="3" a="1"/>
  <c r="Q100" i="3" a="1"/>
  <c r="A101" i="3"/>
  <c r="C101" i="3"/>
  <c r="G101" i="3"/>
  <c r="N101" i="3" a="1"/>
  <c r="P101" i="3" a="1"/>
  <c r="Q101" i="3" a="1"/>
  <c r="A102" i="3"/>
  <c r="C102" i="3"/>
  <c r="G102" i="3"/>
  <c r="B102" i="3" s="1"/>
  <c r="M102" i="3" a="1"/>
  <c r="N102" i="3" a="1"/>
  <c r="O102" i="3" a="1"/>
  <c r="P102" i="3" a="1"/>
  <c r="Q102" i="3" a="1"/>
  <c r="A103" i="3"/>
  <c r="C103" i="3"/>
  <c r="G103" i="3"/>
  <c r="A104" i="3"/>
  <c r="C104" i="3"/>
  <c r="G104" i="3"/>
  <c r="O104" i="3" a="1"/>
  <c r="P104" i="3" a="1"/>
  <c r="Q104" i="3" a="1"/>
  <c r="A105" i="3"/>
  <c r="C105" i="3"/>
  <c r="G105" i="3"/>
  <c r="A106" i="3"/>
  <c r="C106" i="3"/>
  <c r="G106" i="3"/>
  <c r="A107" i="3"/>
  <c r="C107" i="3"/>
  <c r="G107" i="3"/>
  <c r="Q107" i="3" a="1"/>
  <c r="A108" i="3"/>
  <c r="C108" i="3"/>
  <c r="G108" i="3"/>
  <c r="P108" i="3" a="1"/>
  <c r="A109" i="3"/>
  <c r="C109" i="3"/>
  <c r="G109" i="3"/>
  <c r="P109" i="3" s="1" a="1"/>
  <c r="Q109" i="3" a="1"/>
  <c r="A110" i="3"/>
  <c r="C110" i="3"/>
  <c r="G110" i="3"/>
  <c r="P110" i="3" a="1"/>
  <c r="Q110" i="3" a="1"/>
  <c r="A111" i="3"/>
  <c r="C111" i="3"/>
  <c r="G111" i="3"/>
  <c r="O111" i="3" s="1" a="1"/>
  <c r="P111" i="3" a="1"/>
  <c r="Q111" i="3" a="1"/>
  <c r="A112" i="3"/>
  <c r="C112" i="3"/>
  <c r="G112" i="3"/>
  <c r="P112" i="3" a="1"/>
  <c r="Q112" i="3" a="1"/>
  <c r="A113" i="3"/>
  <c r="C113" i="3"/>
  <c r="G113" i="3"/>
  <c r="Q113" i="3" a="1"/>
  <c r="A114" i="3"/>
  <c r="C114" i="3"/>
  <c r="G114" i="3"/>
  <c r="P114" i="3" a="1"/>
  <c r="Q114" i="3" a="1"/>
  <c r="A115" i="3"/>
  <c r="C115" i="3"/>
  <c r="Q115" i="3" s="1" a="1"/>
  <c r="G115" i="3"/>
  <c r="O115" i="3" a="1"/>
  <c r="P115" i="3" a="1"/>
  <c r="A116" i="3"/>
  <c r="C116" i="3"/>
  <c r="G116" i="3"/>
  <c r="A117" i="3"/>
  <c r="C117" i="3"/>
  <c r="G117" i="3"/>
  <c r="A118" i="3"/>
  <c r="C118" i="3"/>
  <c r="G118" i="3"/>
  <c r="P118" i="3" a="1"/>
  <c r="Q118" i="3" a="1"/>
  <c r="A119" i="3"/>
  <c r="C119" i="3"/>
  <c r="G119" i="3"/>
  <c r="B119" i="3" s="1"/>
  <c r="M119" i="3" a="1"/>
  <c r="N119" i="3" a="1"/>
  <c r="O119" i="3" a="1"/>
  <c r="P119" i="3" a="1"/>
  <c r="Q119" i="3" a="1"/>
  <c r="A120" i="3"/>
  <c r="C120" i="3"/>
  <c r="Q120" i="3" s="1" a="1"/>
  <c r="G120" i="3"/>
  <c r="O120" i="3" a="1"/>
  <c r="P120" i="3" a="1"/>
  <c r="A121" i="3"/>
  <c r="C121" i="3"/>
  <c r="G121" i="3"/>
  <c r="Q121" i="3" a="1"/>
  <c r="A122" i="3"/>
  <c r="C122" i="3"/>
  <c r="G122" i="3"/>
  <c r="B122" i="3" s="1"/>
  <c r="M122" i="3" a="1"/>
  <c r="N122" i="3" a="1"/>
  <c r="O122" i="3" a="1"/>
  <c r="P122" i="3" a="1"/>
  <c r="Q122" i="3" a="1"/>
  <c r="A123" i="3"/>
  <c r="C123" i="3"/>
  <c r="G123" i="3"/>
  <c r="B123" i="3" s="1"/>
  <c r="M123" i="3" a="1"/>
  <c r="N123" i="3" a="1"/>
  <c r="O123" i="3" a="1"/>
  <c r="P123" i="3" a="1"/>
  <c r="Q123" i="3" a="1"/>
  <c r="A124" i="3"/>
  <c r="C124" i="3"/>
  <c r="G124" i="3"/>
  <c r="N124" i="3" a="1"/>
  <c r="O124" i="3" a="1"/>
  <c r="P124" i="3" a="1"/>
  <c r="Q124" i="3" a="1"/>
  <c r="A125" i="3"/>
  <c r="C125" i="3"/>
  <c r="G125" i="3"/>
  <c r="A126" i="3"/>
  <c r="C126" i="3"/>
  <c r="G126" i="3"/>
  <c r="O126" i="3" a="1"/>
  <c r="P126" i="3" a="1"/>
  <c r="Q126" i="3" a="1"/>
  <c r="A127" i="3"/>
  <c r="C127" i="3"/>
  <c r="G127" i="3"/>
  <c r="A128" i="3"/>
  <c r="C128" i="3"/>
  <c r="G128" i="3"/>
  <c r="P128" i="3" a="1"/>
  <c r="Q128" i="3" a="1"/>
  <c r="A129" i="3"/>
  <c r="C129" i="3"/>
  <c r="G129" i="3"/>
  <c r="P129" i="3" s="1" a="1"/>
  <c r="Q129" i="3" a="1"/>
  <c r="A130" i="3"/>
  <c r="C130" i="3"/>
  <c r="P130" i="3" s="1" a="1"/>
  <c r="G130" i="3"/>
  <c r="Q130" i="3" a="1"/>
  <c r="A131" i="3"/>
  <c r="C131" i="3"/>
  <c r="G131" i="3"/>
  <c r="P131" i="3" s="1" a="1"/>
  <c r="Q131" i="3" a="1"/>
  <c r="A132" i="3"/>
  <c r="C132" i="3"/>
  <c r="P132" i="3" s="1" a="1"/>
  <c r="G132" i="3"/>
  <c r="Q132" i="3" a="1"/>
  <c r="A133" i="3"/>
  <c r="C133" i="3"/>
  <c r="G133" i="3"/>
  <c r="N133" i="3" s="1" a="1"/>
  <c r="O133" i="3" a="1"/>
  <c r="P133" i="3" a="1"/>
  <c r="Q133" i="3" a="1"/>
  <c r="A134" i="3"/>
  <c r="C134" i="3"/>
  <c r="G134" i="3"/>
  <c r="O134" i="3" a="1"/>
  <c r="P134" i="3" a="1"/>
  <c r="Q134" i="3" a="1"/>
  <c r="A135" i="3"/>
  <c r="C135" i="3"/>
  <c r="G135" i="3"/>
  <c r="P135" i="3" a="1"/>
  <c r="Q135" i="3" a="1"/>
  <c r="A136" i="3"/>
  <c r="C136" i="3"/>
  <c r="G136" i="3"/>
  <c r="O136" i="3" a="1"/>
  <c r="P136" i="3" a="1"/>
  <c r="Q136" i="3" a="1"/>
  <c r="A137" i="3"/>
  <c r="C137" i="3"/>
  <c r="G137" i="3"/>
  <c r="O137" i="3" a="1"/>
  <c r="Q137" i="3" a="1"/>
  <c r="A138" i="3"/>
  <c r="C138" i="3"/>
  <c r="G138" i="3"/>
  <c r="N138" i="3" a="1"/>
  <c r="O138" i="3" a="1"/>
  <c r="P138" i="3" a="1"/>
  <c r="Q138" i="3" a="1"/>
  <c r="A139" i="3"/>
  <c r="C139" i="3"/>
  <c r="G139" i="3"/>
  <c r="N139" i="3" a="1"/>
  <c r="O139" i="3" a="1"/>
  <c r="P139" i="3" a="1"/>
  <c r="Q139" i="3" a="1"/>
  <c r="A140" i="3"/>
  <c r="C140" i="3"/>
  <c r="G140" i="3"/>
  <c r="P140" i="3" a="1"/>
  <c r="Q140" i="3" a="1"/>
  <c r="A141" i="3"/>
  <c r="C141" i="3"/>
  <c r="G141" i="3"/>
  <c r="O141" i="3" a="1"/>
  <c r="P141" i="3" a="1"/>
  <c r="Q141" i="3" a="1"/>
  <c r="A142" i="3"/>
  <c r="C142" i="3"/>
  <c r="G142" i="3"/>
  <c r="A143" i="3"/>
  <c r="C143" i="3"/>
  <c r="G143" i="3"/>
  <c r="B143" i="3" s="1"/>
  <c r="M143" i="3" a="1"/>
  <c r="N143" i="3" a="1"/>
  <c r="O143" i="3" a="1"/>
  <c r="P143" i="3" a="1"/>
  <c r="Q143" i="3" a="1"/>
  <c r="A144" i="3"/>
  <c r="C144" i="3"/>
  <c r="G144" i="3"/>
  <c r="O144" i="3" a="1"/>
  <c r="P144" i="3" a="1"/>
  <c r="Q144" i="3" a="1"/>
  <c r="A145" i="3"/>
  <c r="C145" i="3"/>
  <c r="G145" i="3"/>
  <c r="Q145" i="3" s="1" a="1"/>
  <c r="A146" i="3"/>
  <c r="C146" i="3"/>
  <c r="G146" i="3"/>
  <c r="A147" i="3"/>
  <c r="C147" i="3"/>
  <c r="G147" i="3"/>
  <c r="P147" i="3" s="1" a="1"/>
  <c r="Q147" i="3" a="1"/>
  <c r="A148" i="3"/>
  <c r="C148" i="3"/>
  <c r="G148" i="3"/>
  <c r="A149" i="3"/>
  <c r="C149" i="3"/>
  <c r="G149" i="3"/>
  <c r="Q149" i="3" a="1"/>
  <c r="A150" i="3"/>
  <c r="C150" i="3"/>
  <c r="G150" i="3"/>
  <c r="A151" i="3"/>
  <c r="C151" i="3"/>
  <c r="G151" i="3"/>
  <c r="A152" i="3"/>
  <c r="C152" i="3"/>
  <c r="G152" i="3"/>
  <c r="A153" i="3"/>
  <c r="C153" i="3"/>
  <c r="G153" i="3"/>
  <c r="A154" i="3"/>
  <c r="C154" i="3"/>
  <c r="G154" i="3"/>
  <c r="A155" i="3"/>
  <c r="C155" i="3"/>
  <c r="G155" i="3"/>
  <c r="N155" i="3" a="1"/>
  <c r="O155" i="3" a="1"/>
  <c r="P155" i="3" a="1"/>
  <c r="Q155" i="3" a="1"/>
  <c r="A156" i="3"/>
  <c r="C156" i="3"/>
  <c r="Q156" i="3" s="1" a="1"/>
  <c r="G156" i="3"/>
  <c r="A157" i="3"/>
  <c r="C157" i="3"/>
  <c r="G157" i="3"/>
  <c r="O157" i="3" a="1"/>
  <c r="P157" i="3" a="1"/>
  <c r="Q157" i="3" a="1"/>
  <c r="A158" i="3"/>
  <c r="C158" i="3"/>
  <c r="G158" i="3"/>
  <c r="Q158" i="3" a="1"/>
  <c r="A159" i="3"/>
  <c r="C159" i="3"/>
  <c r="M159" i="3" s="1" a="1"/>
  <c r="G159" i="3"/>
  <c r="A160" i="3"/>
  <c r="C160" i="3"/>
  <c r="G160" i="3"/>
  <c r="B160" i="3" s="1"/>
  <c r="A161" i="3"/>
  <c r="C161" i="3"/>
  <c r="G161" i="3"/>
  <c r="Q161" i="3" a="1"/>
  <c r="A162" i="3"/>
  <c r="C162" i="3"/>
  <c r="G162" i="3"/>
  <c r="A163" i="3"/>
  <c r="C163" i="3"/>
  <c r="G163" i="3"/>
  <c r="A164" i="3"/>
  <c r="C164" i="3"/>
  <c r="G164" i="3"/>
  <c r="A165" i="3"/>
  <c r="C165" i="3"/>
  <c r="G165" i="3"/>
  <c r="A166" i="3"/>
  <c r="C166" i="3"/>
  <c r="G166" i="3"/>
  <c r="A167" i="3"/>
  <c r="C167" i="3"/>
  <c r="G167" i="3"/>
  <c r="A168" i="3"/>
  <c r="C168" i="3"/>
  <c r="N168" i="3" s="1" a="1"/>
  <c r="G168" i="3"/>
  <c r="O168" i="3" a="1"/>
  <c r="P168" i="3" a="1"/>
  <c r="Q168" i="3" a="1"/>
  <c r="A169" i="3"/>
  <c r="C169" i="3"/>
  <c r="G169" i="3"/>
  <c r="A170" i="3"/>
  <c r="C170" i="3"/>
  <c r="G170" i="3"/>
  <c r="N170" i="3" a="1"/>
  <c r="O170" i="3" a="1"/>
  <c r="P170" i="3" a="1"/>
  <c r="Q170" i="3" a="1"/>
  <c r="A171" i="3"/>
  <c r="C171" i="3"/>
  <c r="G171" i="3"/>
  <c r="P171" i="3" a="1"/>
  <c r="Q171" i="3" a="1"/>
  <c r="A172" i="3"/>
  <c r="C172" i="3"/>
  <c r="G172" i="3"/>
  <c r="N172" i="3" a="1"/>
  <c r="O172" i="3" a="1"/>
  <c r="P172" i="3" a="1"/>
  <c r="Q172" i="3" a="1"/>
  <c r="A173" i="3"/>
  <c r="C173" i="3"/>
  <c r="G173" i="3"/>
  <c r="A174" i="3"/>
  <c r="C174" i="3"/>
  <c r="O174" i="3" s="1" a="1"/>
  <c r="G174" i="3"/>
  <c r="P174" i="3" a="1"/>
  <c r="Q174" i="3" a="1"/>
  <c r="A175" i="3"/>
  <c r="C175" i="3"/>
  <c r="G175" i="3"/>
  <c r="N175" i="3" a="1"/>
  <c r="O175" i="3" a="1"/>
  <c r="P175" i="3" a="1"/>
  <c r="Q175" i="3" a="1"/>
  <c r="A176" i="3"/>
  <c r="C176" i="3"/>
  <c r="G176" i="3"/>
  <c r="O176" i="3" a="1"/>
  <c r="P176" i="3" a="1"/>
  <c r="Q176" i="3" a="1"/>
  <c r="A177" i="3"/>
  <c r="C177" i="3"/>
  <c r="G177" i="3"/>
  <c r="P177" i="3" a="1"/>
  <c r="Q177" i="3" a="1"/>
  <c r="A178" i="3"/>
  <c r="C178" i="3"/>
  <c r="G178" i="3"/>
  <c r="P178" i="3" a="1"/>
  <c r="Q178" i="3" a="1"/>
  <c r="A179" i="3"/>
  <c r="C179" i="3"/>
  <c r="G179" i="3"/>
  <c r="B179" i="3" s="1"/>
  <c r="M179" i="3" a="1"/>
  <c r="N179" i="3" a="1"/>
  <c r="O179" i="3" a="1"/>
  <c r="A180" i="3"/>
  <c r="C180" i="3"/>
  <c r="M180" i="3" s="1" a="1"/>
  <c r="G180" i="3"/>
  <c r="B180" i="3" s="1"/>
  <c r="N180" i="3" a="1"/>
  <c r="O180" i="3" a="1"/>
  <c r="P180" i="3" a="1"/>
  <c r="Q180" i="3" a="1"/>
  <c r="A181" i="3"/>
  <c r="C181" i="3"/>
  <c r="G181" i="3"/>
  <c r="B181" i="3" s="1"/>
  <c r="P181" i="3" a="1"/>
  <c r="Q181" i="3" a="1"/>
  <c r="A182" i="3"/>
  <c r="C182" i="3"/>
  <c r="G182" i="3"/>
  <c r="O182" i="3" a="1"/>
  <c r="P182" i="3" a="1"/>
  <c r="A183" i="3"/>
  <c r="C183" i="3"/>
  <c r="G183" i="3"/>
  <c r="A184" i="3"/>
  <c r="C184" i="3"/>
  <c r="G184" i="3"/>
  <c r="B184" i="3" s="1"/>
  <c r="M184" i="3" a="1"/>
  <c r="N184" i="3" a="1"/>
  <c r="A185" i="3"/>
  <c r="C185" i="3"/>
  <c r="G185" i="3"/>
  <c r="O185" i="3" a="1"/>
  <c r="P185" i="3" a="1"/>
  <c r="Q185" i="3" a="1"/>
  <c r="A186" i="3"/>
  <c r="C186" i="3"/>
  <c r="G186" i="3"/>
  <c r="B186" i="3" s="1"/>
  <c r="M186" i="3" a="1"/>
  <c r="N186" i="3" a="1"/>
  <c r="O186" i="3" a="1"/>
  <c r="P186" i="3" a="1"/>
  <c r="Q186" i="3" a="1"/>
  <c r="A187" i="3"/>
  <c r="C187" i="3"/>
  <c r="G187" i="3"/>
  <c r="A188" i="3"/>
  <c r="C188" i="3"/>
  <c r="M188" i="3" s="1" a="1"/>
  <c r="G188" i="3"/>
  <c r="A189" i="3"/>
  <c r="C189" i="3"/>
  <c r="G189" i="3"/>
  <c r="A190" i="3"/>
  <c r="C190" i="3"/>
  <c r="G190" i="3"/>
  <c r="A191" i="3"/>
  <c r="C191" i="3"/>
  <c r="G191" i="3"/>
  <c r="O191" i="3" a="1"/>
  <c r="P191" i="3" a="1"/>
  <c r="Q191" i="3" a="1"/>
  <c r="A192" i="3"/>
  <c r="C192" i="3"/>
  <c r="G192" i="3"/>
  <c r="Q192" i="3" a="1"/>
  <c r="A193" i="3"/>
  <c r="C193" i="3"/>
  <c r="G193" i="3"/>
  <c r="P193" i="3" a="1"/>
  <c r="Q193" i="3" a="1"/>
  <c r="A194" i="3"/>
  <c r="C194" i="3"/>
  <c r="G194" i="3"/>
  <c r="A195" i="3"/>
  <c r="C195" i="3"/>
  <c r="G195" i="3"/>
  <c r="N195" i="3" s="1" a="1"/>
  <c r="O195" i="3" a="1"/>
  <c r="P195" i="3" a="1"/>
  <c r="Q195" i="3" a="1"/>
  <c r="A196" i="3"/>
  <c r="C196" i="3"/>
  <c r="G196" i="3"/>
  <c r="A197" i="3"/>
  <c r="C197" i="3"/>
  <c r="G197" i="3"/>
  <c r="A198" i="3"/>
  <c r="C198" i="3"/>
  <c r="G198" i="3"/>
  <c r="Q198" i="3" a="1"/>
  <c r="A199" i="3"/>
  <c r="C199" i="3"/>
  <c r="G199" i="3"/>
  <c r="Q199" i="3" a="1"/>
  <c r="A200" i="3"/>
  <c r="C200" i="3"/>
  <c r="G200" i="3"/>
  <c r="A201" i="3"/>
  <c r="C201" i="3"/>
  <c r="G201" i="3"/>
  <c r="Q201" i="3" a="1"/>
  <c r="A202" i="3"/>
  <c r="C202" i="3"/>
  <c r="G202" i="3"/>
  <c r="P202" i="3" a="1"/>
  <c r="Q202" i="3" a="1"/>
  <c r="A203" i="3"/>
  <c r="C203" i="3"/>
  <c r="G203" i="3"/>
  <c r="M203" i="3" a="1"/>
  <c r="O203" i="3" a="1"/>
  <c r="P203" i="3" a="1"/>
  <c r="Q203" i="3" a="1"/>
  <c r="A204" i="3"/>
  <c r="C204" i="3"/>
  <c r="G204" i="3"/>
  <c r="A205" i="3"/>
  <c r="C205" i="3"/>
  <c r="G205" i="3"/>
  <c r="A206" i="3"/>
  <c r="C206" i="3"/>
  <c r="G206" i="3"/>
  <c r="O206" i="3" a="1"/>
  <c r="Q206" i="3" a="1"/>
  <c r="A207" i="3"/>
  <c r="C207" i="3"/>
  <c r="G207" i="3"/>
  <c r="N207" i="3" a="1"/>
  <c r="O207" i="3" a="1"/>
  <c r="P207" i="3" a="1"/>
  <c r="Q207" i="3" a="1"/>
  <c r="A208" i="3"/>
  <c r="C208" i="3"/>
  <c r="Q208" i="3" s="1" a="1"/>
  <c r="G208" i="3"/>
  <c r="A209" i="3"/>
  <c r="C209" i="3"/>
  <c r="G209" i="3"/>
  <c r="B209" i="3" s="1"/>
  <c r="A210" i="3"/>
  <c r="C210" i="3"/>
  <c r="G210" i="3"/>
  <c r="B210" i="3" s="1"/>
  <c r="M210" i="3" a="1"/>
  <c r="N210" i="3" a="1"/>
  <c r="O210" i="3" a="1"/>
  <c r="P210" i="3" a="1"/>
  <c r="Q210" i="3" a="1"/>
  <c r="A211" i="3"/>
  <c r="C211" i="3"/>
  <c r="G211" i="3"/>
  <c r="B211" i="3" s="1"/>
  <c r="M211" i="3" a="1"/>
  <c r="N211" i="3" a="1"/>
  <c r="O211" i="3" a="1"/>
  <c r="P211" i="3" a="1"/>
  <c r="Q211" i="3" a="1"/>
  <c r="A212" i="3"/>
  <c r="C212" i="3"/>
  <c r="G212" i="3"/>
  <c r="B212" i="3" s="1"/>
  <c r="M212" i="3" a="1"/>
  <c r="N212" i="3" a="1"/>
  <c r="O212" i="3" a="1"/>
  <c r="P212" i="3" a="1"/>
  <c r="Q212" i="3" a="1"/>
  <c r="A213" i="3"/>
  <c r="C213" i="3"/>
  <c r="G213" i="3"/>
  <c r="B213" i="3" s="1"/>
  <c r="M213" i="3" a="1"/>
  <c r="N213" i="3" a="1"/>
  <c r="O213" i="3" a="1"/>
  <c r="P213" i="3" a="1"/>
  <c r="Q213" i="3" a="1"/>
  <c r="A214" i="3"/>
  <c r="C214" i="3"/>
  <c r="G214" i="3"/>
  <c r="B214" i="3" s="1"/>
  <c r="M214" i="3" a="1"/>
  <c r="N214" i="3" a="1"/>
  <c r="O214" i="3" a="1"/>
  <c r="P214" i="3" a="1"/>
  <c r="Q214" i="3" a="1"/>
  <c r="A34" i="4"/>
  <c r="C34" i="4"/>
  <c r="G34" i="4"/>
  <c r="A35" i="4"/>
  <c r="C35" i="4"/>
  <c r="G35" i="4"/>
  <c r="K35" i="4" a="1"/>
  <c r="A36" i="4"/>
  <c r="C36" i="4"/>
  <c r="K36" i="4" s="1" a="1"/>
  <c r="G36" i="4"/>
  <c r="B36" i="4" s="1"/>
  <c r="J36" i="4" a="1"/>
  <c r="A37" i="4"/>
  <c r="C37" i="4"/>
  <c r="G37" i="4"/>
  <c r="K37" i="4" s="1" a="1"/>
  <c r="A38" i="4"/>
  <c r="C38" i="4"/>
  <c r="G38" i="4"/>
  <c r="K38" i="4" s="1" a="1"/>
  <c r="A39" i="4"/>
  <c r="C39" i="4"/>
  <c r="G39" i="4"/>
  <c r="K39" i="4" s="1" a="1"/>
  <c r="A40" i="4"/>
  <c r="C40" i="4"/>
  <c r="G40" i="4"/>
  <c r="K40" i="4" a="1"/>
  <c r="A41" i="4"/>
  <c r="C41" i="4"/>
  <c r="G41" i="4"/>
  <c r="A42" i="4"/>
  <c r="C42" i="4"/>
  <c r="G42" i="4"/>
  <c r="B42" i="4" s="1"/>
  <c r="J42" i="4" a="1"/>
  <c r="K42" i="4" a="1"/>
  <c r="A43" i="4"/>
  <c r="C43" i="4"/>
  <c r="J43" i="4" s="1" a="1"/>
  <c r="G43" i="4"/>
  <c r="A44" i="4"/>
  <c r="C44" i="4"/>
  <c r="G44" i="4"/>
  <c r="A45" i="4"/>
  <c r="C45" i="4"/>
  <c r="G45" i="4"/>
  <c r="K45" i="4" s="1" a="1"/>
  <c r="A46" i="4"/>
  <c r="C46" i="4"/>
  <c r="G46" i="4"/>
  <c r="K46" i="4" s="1" a="1"/>
  <c r="A47" i="4"/>
  <c r="C47" i="4"/>
  <c r="G47" i="4"/>
  <c r="A48" i="4"/>
  <c r="C48" i="4"/>
  <c r="G48" i="4"/>
  <c r="B48" i="4" s="1"/>
  <c r="J48" i="4" a="1"/>
  <c r="K48" i="4" a="1"/>
  <c r="A49" i="4"/>
  <c r="C49" i="4"/>
  <c r="G49" i="4"/>
  <c r="B49" i="4" s="1"/>
  <c r="J49" i="4" a="1"/>
  <c r="K49" i="4" a="1"/>
  <c r="A50" i="4"/>
  <c r="C50" i="4"/>
  <c r="G50" i="4"/>
  <c r="B50" i="4" s="1"/>
  <c r="J50" i="4" a="1"/>
  <c r="K50" i="4" a="1"/>
  <c r="A51" i="4"/>
  <c r="C51" i="4"/>
  <c r="G51" i="4"/>
  <c r="J51" i="4" a="1"/>
  <c r="A52" i="4"/>
  <c r="C52" i="4"/>
  <c r="G52" i="4"/>
  <c r="B52" i="4" s="1"/>
  <c r="J52" i="4" a="1"/>
  <c r="K52" i="4" a="1"/>
  <c r="A53" i="4"/>
  <c r="C53" i="4"/>
  <c r="G53" i="4"/>
  <c r="B53" i="4" s="1"/>
  <c r="J53" i="4" a="1"/>
  <c r="K53" i="4" a="1"/>
  <c r="A54" i="4"/>
  <c r="C54" i="4"/>
  <c r="G54" i="4"/>
  <c r="A55" i="4"/>
  <c r="C55" i="4"/>
  <c r="G55" i="4"/>
  <c r="K55" i="4" a="1"/>
  <c r="A56" i="4"/>
  <c r="C56" i="4"/>
  <c r="G56" i="4"/>
  <c r="A57" i="4"/>
  <c r="C57" i="4"/>
  <c r="G57" i="4"/>
  <c r="A58" i="4"/>
  <c r="C58" i="4"/>
  <c r="G58" i="4"/>
  <c r="K58" i="4" a="1"/>
  <c r="A59" i="4"/>
  <c r="C59" i="4"/>
  <c r="G59" i="4"/>
  <c r="A60" i="4"/>
  <c r="C60" i="4"/>
  <c r="G60" i="4"/>
  <c r="A61" i="4"/>
  <c r="C61" i="4"/>
  <c r="K61" i="4" s="1" a="1"/>
  <c r="G61" i="4"/>
  <c r="A62" i="4"/>
  <c r="C62" i="4"/>
  <c r="G62" i="4"/>
  <c r="A63" i="4"/>
  <c r="C63" i="4"/>
  <c r="G63" i="4"/>
  <c r="B63" i="4" s="1"/>
  <c r="J63" i="4" a="1"/>
  <c r="K63" i="4" a="1"/>
  <c r="A64" i="4"/>
  <c r="C64" i="4"/>
  <c r="G64" i="4"/>
  <c r="K64" i="4" s="1" a="1"/>
  <c r="A65" i="4"/>
  <c r="C65" i="4"/>
  <c r="G65" i="4"/>
  <c r="K65" i="4" a="1"/>
  <c r="A66" i="4"/>
  <c r="C66" i="4"/>
  <c r="G66" i="4"/>
  <c r="J66" i="4" a="1"/>
  <c r="A67" i="4"/>
  <c r="C67" i="4"/>
  <c r="J67" i="4" s="1" a="1"/>
  <c r="G67" i="4"/>
  <c r="B67" i="4" s="1"/>
  <c r="K67" i="4" a="1"/>
  <c r="A68" i="4"/>
  <c r="C68" i="4"/>
  <c r="G68" i="4"/>
  <c r="K68" i="4" a="1"/>
  <c r="A69" i="4"/>
  <c r="C69" i="4"/>
  <c r="G69" i="4"/>
  <c r="A70" i="4"/>
  <c r="C70" i="4"/>
  <c r="K70" i="4" s="1" a="1"/>
  <c r="G70" i="4"/>
  <c r="B70" i="4" s="1"/>
  <c r="J70" i="4" a="1"/>
  <c r="A71" i="4"/>
  <c r="C71" i="4"/>
  <c r="G71" i="4"/>
  <c r="K71" i="4" a="1"/>
  <c r="A72" i="4"/>
  <c r="C72" i="4"/>
  <c r="G72" i="4"/>
  <c r="A73" i="4"/>
  <c r="C73" i="4"/>
  <c r="G73" i="4"/>
  <c r="A74" i="4"/>
  <c r="C74" i="4"/>
  <c r="G74" i="4"/>
  <c r="B74" i="4" s="1"/>
  <c r="J74" i="4" a="1"/>
  <c r="K74" i="4" a="1"/>
  <c r="A75" i="4"/>
  <c r="C75" i="4"/>
  <c r="G75" i="4"/>
  <c r="K75" i="4" s="1" a="1"/>
  <c r="A76" i="4"/>
  <c r="C76" i="4"/>
  <c r="G76" i="4"/>
  <c r="A77" i="4"/>
  <c r="C77" i="4"/>
  <c r="G77" i="4"/>
  <c r="K77" i="4" s="1" a="1"/>
  <c r="A78" i="4"/>
  <c r="C78" i="4"/>
  <c r="G78" i="4"/>
  <c r="A79" i="4"/>
  <c r="C79" i="4"/>
  <c r="G79" i="4"/>
  <c r="A80" i="4"/>
  <c r="C80" i="4"/>
  <c r="G80" i="4"/>
  <c r="A81" i="4"/>
  <c r="C81" i="4"/>
  <c r="G81" i="4"/>
  <c r="B81" i="4" s="1"/>
  <c r="J81" i="4" a="1"/>
  <c r="K81" i="4" a="1"/>
  <c r="A82" i="4"/>
  <c r="C82" i="4"/>
  <c r="G82" i="4"/>
  <c r="A83" i="4"/>
  <c r="C83" i="4"/>
  <c r="G83" i="4"/>
  <c r="K83" i="4" a="1"/>
  <c r="A84" i="4"/>
  <c r="C84" i="4"/>
  <c r="G84" i="4"/>
  <c r="A85" i="4"/>
  <c r="C85" i="4"/>
  <c r="G85" i="4"/>
  <c r="K85" i="4" a="1"/>
  <c r="A86" i="4"/>
  <c r="C86" i="4"/>
  <c r="G86" i="4"/>
  <c r="A87" i="4"/>
  <c r="C87" i="4"/>
  <c r="G87" i="4"/>
  <c r="K87" i="4" a="1"/>
  <c r="A88" i="4"/>
  <c r="C88" i="4"/>
  <c r="G88" i="4"/>
  <c r="K88" i="4" s="1" a="1"/>
  <c r="A89" i="4"/>
  <c r="C89" i="4"/>
  <c r="G89" i="4"/>
  <c r="K89" i="4" s="1" a="1"/>
  <c r="A90" i="4"/>
  <c r="C90" i="4"/>
  <c r="G90" i="4"/>
  <c r="K90" i="4" s="1" a="1"/>
  <c r="A91" i="4"/>
  <c r="C91" i="4"/>
  <c r="G91" i="4"/>
  <c r="K91" i="4" a="1"/>
  <c r="A92" i="4"/>
  <c r="C92" i="4"/>
  <c r="K92" i="4" s="1" a="1"/>
  <c r="G92" i="4"/>
  <c r="A93" i="4"/>
  <c r="C93" i="4"/>
  <c r="G93" i="4"/>
  <c r="A94" i="4"/>
  <c r="C94" i="4"/>
  <c r="G94" i="4"/>
  <c r="A95" i="4"/>
  <c r="C95" i="4"/>
  <c r="G95" i="4"/>
  <c r="A96" i="4"/>
  <c r="C96" i="4"/>
  <c r="G96" i="4"/>
  <c r="A97" i="4"/>
  <c r="C97" i="4"/>
  <c r="G97" i="4"/>
  <c r="A98" i="4"/>
  <c r="C98" i="4"/>
  <c r="G98" i="4"/>
  <c r="A99" i="4"/>
  <c r="C99" i="4"/>
  <c r="G99" i="4"/>
  <c r="J99" i="4" s="1" a="1"/>
  <c r="A100" i="4"/>
  <c r="C100" i="4"/>
  <c r="G100" i="4"/>
  <c r="K100" i="4" a="1"/>
  <c r="A101" i="4"/>
  <c r="C101" i="4"/>
  <c r="G101" i="4"/>
  <c r="A102" i="4"/>
  <c r="C102" i="4"/>
  <c r="G102" i="4"/>
  <c r="A103" i="4"/>
  <c r="C103" i="4"/>
  <c r="G103" i="4"/>
  <c r="B103" i="4" s="1"/>
  <c r="J103" i="4" a="1"/>
  <c r="K103" i="4" a="1"/>
  <c r="A104" i="4"/>
  <c r="C104" i="4"/>
  <c r="G104" i="4"/>
  <c r="K104" i="4" a="1"/>
  <c r="A105" i="4"/>
  <c r="C105" i="4"/>
  <c r="G105" i="4"/>
  <c r="A106" i="4"/>
  <c r="C106" i="4"/>
  <c r="G106" i="4"/>
  <c r="B106" i="4" s="1"/>
  <c r="J106" i="4" a="1"/>
  <c r="K106" i="4" a="1"/>
  <c r="A107" i="4"/>
  <c r="C107" i="4"/>
  <c r="G107" i="4"/>
  <c r="A108" i="4"/>
  <c r="C108" i="4"/>
  <c r="G108" i="4"/>
  <c r="A109" i="4"/>
  <c r="C109" i="4"/>
  <c r="G109" i="4"/>
  <c r="J109" i="4" s="1" a="1"/>
  <c r="A110" i="4"/>
  <c r="C110" i="4"/>
  <c r="G110" i="4"/>
  <c r="A111" i="4"/>
  <c r="C111" i="4"/>
  <c r="G111" i="4"/>
  <c r="K111" i="4" a="1"/>
  <c r="A112" i="4"/>
  <c r="C112" i="4"/>
  <c r="G112" i="4"/>
  <c r="A113" i="4"/>
  <c r="C113" i="4"/>
  <c r="G113" i="4"/>
  <c r="B113" i="4" s="1"/>
  <c r="J113" i="4" a="1"/>
  <c r="A114" i="4"/>
  <c r="C114" i="4"/>
  <c r="G114" i="4"/>
  <c r="K114" i="4" a="1"/>
  <c r="A115" i="4"/>
  <c r="C115" i="4"/>
  <c r="G115" i="4"/>
  <c r="A116" i="4"/>
  <c r="C116" i="4"/>
  <c r="G116" i="4"/>
  <c r="J116" i="4" a="1"/>
  <c r="A117" i="4"/>
  <c r="C117" i="4"/>
  <c r="G117" i="4"/>
  <c r="A118" i="4"/>
  <c r="C118" i="4"/>
  <c r="G118" i="4"/>
  <c r="B118" i="4" s="1"/>
  <c r="J118" i="4" a="1"/>
  <c r="K118" i="4" a="1"/>
  <c r="A119" i="4"/>
  <c r="C119" i="4"/>
  <c r="G119" i="4"/>
  <c r="B119" i="4" s="1"/>
  <c r="J119" i="4" a="1"/>
  <c r="K119" i="4" a="1"/>
  <c r="A120" i="4"/>
  <c r="C120" i="4"/>
  <c r="G120" i="4"/>
  <c r="B120" i="4" s="1"/>
  <c r="J120" i="4" a="1"/>
  <c r="K120" i="4" a="1"/>
  <c r="A121" i="4"/>
  <c r="C121" i="4"/>
  <c r="G121" i="4"/>
  <c r="K121" i="4" a="1"/>
  <c r="A122" i="4"/>
  <c r="C122" i="4"/>
  <c r="G122" i="4"/>
  <c r="A123" i="4"/>
  <c r="C123" i="4"/>
  <c r="G123" i="4"/>
  <c r="A124" i="4"/>
  <c r="C124" i="4"/>
  <c r="G124" i="4"/>
  <c r="K124" i="4" s="1" a="1"/>
  <c r="A125" i="4"/>
  <c r="C125" i="4"/>
  <c r="G125" i="4"/>
  <c r="K125" i="4" s="1" a="1"/>
  <c r="A126" i="4"/>
  <c r="C126" i="4"/>
  <c r="G126" i="4"/>
  <c r="A127" i="4"/>
  <c r="C127" i="4"/>
  <c r="G127" i="4"/>
  <c r="A128" i="4"/>
  <c r="C128" i="4"/>
  <c r="G128" i="4"/>
  <c r="A129" i="4"/>
  <c r="C129" i="4"/>
  <c r="G129" i="4"/>
  <c r="K129" i="4" s="1" a="1"/>
  <c r="A130" i="4"/>
  <c r="C130" i="4"/>
  <c r="G130" i="4"/>
  <c r="A131" i="4"/>
  <c r="C131" i="4"/>
  <c r="G131" i="4"/>
  <c r="K131" i="4" s="1" a="1"/>
  <c r="A132" i="4"/>
  <c r="C132" i="4"/>
  <c r="J132" i="4" s="1" a="1"/>
  <c r="G132" i="4"/>
  <c r="A133" i="4"/>
  <c r="C133" i="4"/>
  <c r="G133" i="4"/>
  <c r="K133" i="4" a="1"/>
  <c r="A134" i="4"/>
  <c r="C134" i="4"/>
  <c r="G134" i="4"/>
  <c r="K134" i="4" a="1"/>
  <c r="A135" i="4"/>
  <c r="C135" i="4"/>
  <c r="G135" i="4"/>
  <c r="B135" i="4" s="1"/>
  <c r="J135" i="4" a="1"/>
  <c r="K135" i="4" a="1"/>
  <c r="A136" i="4"/>
  <c r="C136" i="4"/>
  <c r="G136" i="4"/>
  <c r="A137" i="4"/>
  <c r="C137" i="4"/>
  <c r="G137" i="4"/>
  <c r="A138" i="4"/>
  <c r="C138" i="4"/>
  <c r="G138" i="4"/>
  <c r="A139" i="4"/>
  <c r="C139" i="4"/>
  <c r="G139" i="4"/>
  <c r="A140" i="4"/>
  <c r="C140" i="4"/>
  <c r="G140" i="4"/>
  <c r="A141" i="4"/>
  <c r="C141" i="4"/>
  <c r="G141" i="4"/>
  <c r="A142" i="4"/>
  <c r="C142" i="4"/>
  <c r="G142" i="4"/>
  <c r="K142" i="4" s="1" a="1"/>
  <c r="A143" i="4"/>
  <c r="C143" i="4"/>
  <c r="G143" i="4"/>
  <c r="A144" i="4"/>
  <c r="C144" i="4"/>
  <c r="G144" i="4"/>
  <c r="K144" i="4" s="1" a="1"/>
  <c r="A145" i="4"/>
  <c r="C145" i="4"/>
  <c r="G145" i="4"/>
  <c r="A146" i="4"/>
  <c r="C146" i="4"/>
  <c r="G146" i="4"/>
  <c r="A147" i="4"/>
  <c r="C147" i="4"/>
  <c r="G147" i="4"/>
  <c r="K147" i="4" s="1" a="1"/>
  <c r="A148" i="4"/>
  <c r="C148" i="4"/>
  <c r="G148" i="4"/>
  <c r="A149" i="4"/>
  <c r="C149" i="4"/>
  <c r="K149" i="4" s="1" a="1"/>
  <c r="G149" i="4"/>
  <c r="A150" i="4"/>
  <c r="C150" i="4"/>
  <c r="K150" i="4" s="1" a="1"/>
  <c r="G150" i="4"/>
  <c r="A151" i="4"/>
  <c r="C151" i="4"/>
  <c r="K151" i="4" s="1" a="1"/>
  <c r="G151" i="4"/>
  <c r="A152" i="4"/>
  <c r="C152" i="4"/>
  <c r="G152" i="4"/>
  <c r="B152" i="4" s="1"/>
  <c r="A153" i="4"/>
  <c r="C153" i="4"/>
  <c r="G153" i="4"/>
  <c r="K153" i="4" a="1"/>
  <c r="A154" i="4"/>
  <c r="C154" i="4"/>
  <c r="G154" i="4"/>
  <c r="A155" i="4"/>
  <c r="C155" i="4"/>
  <c r="G155" i="4"/>
  <c r="A156" i="4"/>
  <c r="C156" i="4"/>
  <c r="G156" i="4"/>
  <c r="A157" i="4"/>
  <c r="C157" i="4"/>
  <c r="G157" i="4"/>
  <c r="K157" i="4" a="1"/>
  <c r="A158" i="4"/>
  <c r="C158" i="4"/>
  <c r="G158" i="4"/>
  <c r="A159" i="4"/>
  <c r="C159" i="4"/>
  <c r="G159" i="4"/>
  <c r="A160" i="4"/>
  <c r="C160" i="4"/>
  <c r="G160" i="4"/>
  <c r="A161" i="4"/>
  <c r="C161" i="4"/>
  <c r="G161" i="4"/>
  <c r="A162" i="4"/>
  <c r="C162" i="4"/>
  <c r="G162" i="4"/>
  <c r="A163" i="4"/>
  <c r="C163" i="4"/>
  <c r="G163" i="4"/>
  <c r="A164" i="4"/>
  <c r="C164" i="4"/>
  <c r="G164" i="4"/>
  <c r="A165" i="4"/>
  <c r="C165" i="4"/>
  <c r="G165" i="4"/>
  <c r="A166" i="4"/>
  <c r="C166" i="4"/>
  <c r="G166" i="4"/>
  <c r="B166" i="4" s="1"/>
  <c r="J166" i="4" a="1"/>
  <c r="K166" i="4" a="1"/>
  <c r="A167" i="4"/>
  <c r="C167" i="4"/>
  <c r="G167" i="4"/>
  <c r="A168" i="4"/>
  <c r="C168" i="4"/>
  <c r="G168" i="4"/>
  <c r="A169" i="4"/>
  <c r="C169" i="4"/>
  <c r="G169" i="4"/>
  <c r="A170" i="4"/>
  <c r="C170" i="4"/>
  <c r="G170" i="4"/>
  <c r="K170" i="4" a="1"/>
  <c r="A171" i="4"/>
  <c r="C171" i="4"/>
  <c r="G171" i="4"/>
  <c r="B171" i="4" s="1"/>
  <c r="J171" i="4" a="1"/>
  <c r="K171" i="4" a="1"/>
  <c r="A172" i="4"/>
  <c r="C172" i="4"/>
  <c r="G172" i="4"/>
  <c r="K172" i="4" a="1"/>
  <c r="A173" i="4"/>
  <c r="C173" i="4"/>
  <c r="G173" i="4"/>
  <c r="A174" i="4"/>
  <c r="C174" i="4"/>
  <c r="G174" i="4"/>
  <c r="A175" i="4"/>
  <c r="C175" i="4"/>
  <c r="G175" i="4"/>
  <c r="A176" i="4"/>
  <c r="C176" i="4"/>
  <c r="G176" i="4"/>
  <c r="A177" i="4"/>
  <c r="C177" i="4"/>
  <c r="G177" i="4"/>
  <c r="A178" i="4"/>
  <c r="C178" i="4"/>
  <c r="G178" i="4"/>
  <c r="A179" i="4"/>
  <c r="C179" i="4"/>
  <c r="G179" i="4"/>
  <c r="K179" i="4" s="1" a="1"/>
  <c r="A180" i="4"/>
  <c r="C180" i="4"/>
  <c r="G180" i="4"/>
  <c r="A181" i="4"/>
  <c r="C181" i="4"/>
  <c r="G181" i="4"/>
  <c r="K181" i="4" s="1" a="1"/>
  <c r="A182" i="4"/>
  <c r="C182" i="4"/>
  <c r="G182" i="4"/>
  <c r="A183" i="4"/>
  <c r="C183" i="4"/>
  <c r="G183" i="4"/>
  <c r="K183" i="4" s="1" a="1"/>
  <c r="A184" i="4"/>
  <c r="C184" i="4"/>
  <c r="G184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B24" i="4" s="1"/>
  <c r="G25" i="4"/>
  <c r="G26" i="4"/>
  <c r="G27" i="4"/>
  <c r="G28" i="4"/>
  <c r="G29" i="4"/>
  <c r="G30" i="4"/>
  <c r="G31" i="4"/>
  <c r="G32" i="4"/>
  <c r="G33" i="4"/>
  <c r="B7" i="4"/>
  <c r="B6" i="4"/>
  <c r="B8" i="4"/>
  <c r="B9" i="4"/>
  <c r="B10" i="4"/>
  <c r="B11" i="4"/>
  <c r="B12" i="4"/>
  <c r="B13" i="4"/>
  <c r="B14" i="4"/>
  <c r="B15" i="4"/>
  <c r="B17" i="4"/>
  <c r="B18" i="4"/>
  <c r="B19" i="4"/>
  <c r="B20" i="4"/>
  <c r="B22" i="4"/>
  <c r="B23" i="4"/>
  <c r="B25" i="4"/>
  <c r="B26" i="4"/>
  <c r="B27" i="4"/>
  <c r="B28" i="4"/>
  <c r="B29" i="4"/>
  <c r="B30" i="4"/>
  <c r="B32" i="4"/>
  <c r="B33" i="4"/>
  <c r="G5" i="4"/>
  <c r="B5" i="4" s="1"/>
  <c r="A6" i="8"/>
  <c r="C6" i="8"/>
  <c r="G6" i="8"/>
  <c r="B6" i="8" s="1"/>
  <c r="H6" i="8"/>
  <c r="I6" i="8"/>
  <c r="A7" i="8"/>
  <c r="C7" i="8"/>
  <c r="G7" i="8"/>
  <c r="B7" i="8" s="1"/>
  <c r="H7" i="8"/>
  <c r="I7" i="8"/>
  <c r="A8" i="8"/>
  <c r="C8" i="8"/>
  <c r="G8" i="8"/>
  <c r="B8" i="8" s="1"/>
  <c r="H8" i="8"/>
  <c r="I8" i="8"/>
  <c r="A9" i="8"/>
  <c r="C9" i="8"/>
  <c r="G9" i="8"/>
  <c r="B9" i="8" s="1"/>
  <c r="H9" i="8"/>
  <c r="I9" i="8"/>
  <c r="A10" i="8"/>
  <c r="C10" i="8"/>
  <c r="G10" i="8"/>
  <c r="B10" i="8" s="1"/>
  <c r="H10" i="8"/>
  <c r="I10" i="8"/>
  <c r="A11" i="8"/>
  <c r="C11" i="8"/>
  <c r="G11" i="8"/>
  <c r="B11" i="8" s="1"/>
  <c r="H11" i="8"/>
  <c r="I11" i="8"/>
  <c r="A12" i="8"/>
  <c r="C12" i="8"/>
  <c r="G12" i="8"/>
  <c r="B12" i="8" s="1"/>
  <c r="H12" i="8"/>
  <c r="I12" i="8"/>
  <c r="A13" i="8"/>
  <c r="C13" i="8"/>
  <c r="G13" i="8"/>
  <c r="B13" i="8" s="1"/>
  <c r="H13" i="8"/>
  <c r="I13" i="8"/>
  <c r="A14" i="8"/>
  <c r="C14" i="8"/>
  <c r="G14" i="8"/>
  <c r="B14" i="8" s="1"/>
  <c r="H14" i="8"/>
  <c r="I14" i="8"/>
  <c r="A15" i="8"/>
  <c r="C15" i="8"/>
  <c r="G15" i="8"/>
  <c r="B15" i="8" s="1"/>
  <c r="H15" i="8"/>
  <c r="I15" i="8"/>
  <c r="A16" i="8"/>
  <c r="C16" i="8"/>
  <c r="G16" i="8"/>
  <c r="B16" i="8" s="1"/>
  <c r="H16" i="8"/>
  <c r="I16" i="8"/>
  <c r="A17" i="8"/>
  <c r="C17" i="8"/>
  <c r="G17" i="8"/>
  <c r="B17" i="8" s="1"/>
  <c r="H17" i="8"/>
  <c r="I17" i="8"/>
  <c r="A18" i="8"/>
  <c r="C18" i="8"/>
  <c r="G18" i="8"/>
  <c r="B18" i="8" s="1"/>
  <c r="H18" i="8"/>
  <c r="I18" i="8"/>
  <c r="A19" i="8"/>
  <c r="C19" i="8"/>
  <c r="G19" i="8"/>
  <c r="B19" i="8" s="1"/>
  <c r="H19" i="8"/>
  <c r="I19" i="8"/>
  <c r="A20" i="8"/>
  <c r="C20" i="8"/>
  <c r="G20" i="8"/>
  <c r="B20" i="8" s="1"/>
  <c r="H20" i="8"/>
  <c r="I20" i="8"/>
  <c r="A21" i="8"/>
  <c r="C21" i="8"/>
  <c r="G21" i="8"/>
  <c r="B21" i="8" s="1"/>
  <c r="H21" i="8"/>
  <c r="I21" i="8"/>
  <c r="A22" i="8"/>
  <c r="C22" i="8"/>
  <c r="G22" i="8"/>
  <c r="B22" i="8" s="1"/>
  <c r="H22" i="8"/>
  <c r="I22" i="8"/>
  <c r="A23" i="8"/>
  <c r="C23" i="8"/>
  <c r="G23" i="8"/>
  <c r="B23" i="8" s="1"/>
  <c r="H23" i="8"/>
  <c r="I23" i="8"/>
  <c r="A24" i="8"/>
  <c r="C24" i="8"/>
  <c r="G24" i="8"/>
  <c r="B24" i="8" s="1"/>
  <c r="H24" i="8"/>
  <c r="I24" i="8"/>
  <c r="A25" i="8"/>
  <c r="C25" i="8"/>
  <c r="G25" i="8"/>
  <c r="B25" i="8" s="1"/>
  <c r="H25" i="8"/>
  <c r="I25" i="8"/>
  <c r="A26" i="8"/>
  <c r="C26" i="8"/>
  <c r="G26" i="8"/>
  <c r="B26" i="8" s="1"/>
  <c r="H26" i="8"/>
  <c r="I26" i="8"/>
  <c r="A27" i="8"/>
  <c r="C27" i="8"/>
  <c r="G27" i="8"/>
  <c r="B27" i="8" s="1"/>
  <c r="H27" i="8"/>
  <c r="I27" i="8"/>
  <c r="A28" i="8"/>
  <c r="C28" i="8"/>
  <c r="G28" i="8"/>
  <c r="B28" i="8" s="1"/>
  <c r="H28" i="8"/>
  <c r="I28" i="8"/>
  <c r="A29" i="8"/>
  <c r="C29" i="8"/>
  <c r="G29" i="8"/>
  <c r="B29" i="8" s="1"/>
  <c r="H29" i="8"/>
  <c r="I29" i="8"/>
  <c r="A30" i="8"/>
  <c r="C30" i="8"/>
  <c r="G30" i="8"/>
  <c r="B30" i="8" s="1"/>
  <c r="H30" i="8"/>
  <c r="I30" i="8"/>
  <c r="A31" i="8"/>
  <c r="C31" i="8"/>
  <c r="G31" i="8"/>
  <c r="B31" i="8" s="1"/>
  <c r="H31" i="8"/>
  <c r="I31" i="8"/>
  <c r="A32" i="8"/>
  <c r="C32" i="8"/>
  <c r="G32" i="8"/>
  <c r="B32" i="8" s="1"/>
  <c r="H32" i="8"/>
  <c r="I32" i="8"/>
  <c r="A33" i="8"/>
  <c r="C33" i="8"/>
  <c r="G33" i="8"/>
  <c r="B33" i="8" s="1"/>
  <c r="H33" i="8"/>
  <c r="I33" i="8"/>
  <c r="A34" i="8"/>
  <c r="C34" i="8"/>
  <c r="G34" i="8"/>
  <c r="B34" i="8" s="1"/>
  <c r="H34" i="8"/>
  <c r="I34" i="8"/>
  <c r="A35" i="8"/>
  <c r="C35" i="8"/>
  <c r="G35" i="8"/>
  <c r="B35" i="8" s="1"/>
  <c r="H35" i="8"/>
  <c r="I35" i="8"/>
  <c r="A36" i="8"/>
  <c r="C36" i="8"/>
  <c r="G36" i="8"/>
  <c r="B36" i="8" s="1"/>
  <c r="H36" i="8"/>
  <c r="I36" i="8"/>
  <c r="A37" i="8"/>
  <c r="C37" i="8"/>
  <c r="G37" i="8"/>
  <c r="B37" i="8" s="1"/>
  <c r="H37" i="8"/>
  <c r="I37" i="8"/>
  <c r="A38" i="8"/>
  <c r="C38" i="8"/>
  <c r="G38" i="8"/>
  <c r="B38" i="8" s="1"/>
  <c r="H38" i="8"/>
  <c r="I38" i="8"/>
  <c r="A39" i="8"/>
  <c r="C39" i="8"/>
  <c r="G39" i="8"/>
  <c r="B39" i="8" s="1"/>
  <c r="H39" i="8"/>
  <c r="I39" i="8"/>
  <c r="A40" i="8"/>
  <c r="C40" i="8"/>
  <c r="G40" i="8"/>
  <c r="B40" i="8" s="1"/>
  <c r="H40" i="8"/>
  <c r="I40" i="8"/>
  <c r="A41" i="8"/>
  <c r="C41" i="8"/>
  <c r="G41" i="8"/>
  <c r="B41" i="8" s="1"/>
  <c r="H41" i="8"/>
  <c r="I41" i="8"/>
  <c r="A42" i="8"/>
  <c r="C42" i="8"/>
  <c r="G42" i="8"/>
  <c r="B42" i="8" s="1"/>
  <c r="H42" i="8"/>
  <c r="I42" i="8"/>
  <c r="A43" i="8"/>
  <c r="C43" i="8"/>
  <c r="G43" i="8"/>
  <c r="B43" i="8" s="1"/>
  <c r="H43" i="8"/>
  <c r="I43" i="8"/>
  <c r="A44" i="8"/>
  <c r="C44" i="8"/>
  <c r="G44" i="8"/>
  <c r="B44" i="8" s="1"/>
  <c r="H44" i="8"/>
  <c r="I44" i="8"/>
  <c r="A45" i="8"/>
  <c r="C45" i="8"/>
  <c r="G45" i="8"/>
  <c r="B45" i="8" s="1"/>
  <c r="H45" i="8"/>
  <c r="I45" i="8"/>
  <c r="A46" i="8"/>
  <c r="C46" i="8"/>
  <c r="G46" i="8"/>
  <c r="B46" i="8" s="1"/>
  <c r="H46" i="8"/>
  <c r="I46" i="8"/>
  <c r="A47" i="8"/>
  <c r="C47" i="8"/>
  <c r="G47" i="8"/>
  <c r="B47" i="8" s="1"/>
  <c r="H47" i="8"/>
  <c r="I47" i="8"/>
  <c r="A48" i="8"/>
  <c r="C48" i="8"/>
  <c r="G48" i="8"/>
  <c r="B48" i="8" s="1"/>
  <c r="H48" i="8"/>
  <c r="I48" i="8"/>
  <c r="A49" i="8"/>
  <c r="C49" i="8"/>
  <c r="G49" i="8"/>
  <c r="B49" i="8" s="1"/>
  <c r="H49" i="8"/>
  <c r="I49" i="8"/>
  <c r="A50" i="8"/>
  <c r="C50" i="8"/>
  <c r="G50" i="8"/>
  <c r="B50" i="8" s="1"/>
  <c r="H50" i="8"/>
  <c r="I50" i="8"/>
  <c r="A51" i="8"/>
  <c r="C51" i="8"/>
  <c r="G51" i="8"/>
  <c r="B51" i="8" s="1"/>
  <c r="H51" i="8"/>
  <c r="I51" i="8"/>
  <c r="A52" i="8"/>
  <c r="C52" i="8"/>
  <c r="G52" i="8"/>
  <c r="B52" i="8" s="1"/>
  <c r="H52" i="8"/>
  <c r="I52" i="8"/>
  <c r="A53" i="8"/>
  <c r="C53" i="8"/>
  <c r="G53" i="8"/>
  <c r="B53" i="8" s="1"/>
  <c r="H53" i="8"/>
  <c r="I53" i="8"/>
  <c r="A54" i="8"/>
  <c r="C54" i="8"/>
  <c r="G54" i="8"/>
  <c r="B54" i="8" s="1"/>
  <c r="H54" i="8"/>
  <c r="I54" i="8"/>
  <c r="A55" i="8"/>
  <c r="C55" i="8"/>
  <c r="G55" i="8"/>
  <c r="B55" i="8" s="1"/>
  <c r="H55" i="8"/>
  <c r="I55" i="8"/>
  <c r="A56" i="8"/>
  <c r="C56" i="8"/>
  <c r="G56" i="8"/>
  <c r="B56" i="8" s="1"/>
  <c r="H56" i="8"/>
  <c r="I56" i="8"/>
  <c r="A57" i="8"/>
  <c r="C57" i="8"/>
  <c r="G57" i="8"/>
  <c r="B57" i="8" s="1"/>
  <c r="H57" i="8"/>
  <c r="I57" i="8"/>
  <c r="A58" i="8"/>
  <c r="C58" i="8"/>
  <c r="G58" i="8"/>
  <c r="B58" i="8" s="1"/>
  <c r="H58" i="8"/>
  <c r="I58" i="8"/>
  <c r="A59" i="8"/>
  <c r="C59" i="8"/>
  <c r="G59" i="8"/>
  <c r="B59" i="8" s="1"/>
  <c r="H59" i="8"/>
  <c r="I59" i="8"/>
  <c r="A60" i="8"/>
  <c r="C60" i="8"/>
  <c r="G60" i="8"/>
  <c r="B60" i="8" s="1"/>
  <c r="H60" i="8"/>
  <c r="I60" i="8"/>
  <c r="A61" i="8"/>
  <c r="C61" i="8"/>
  <c r="G61" i="8"/>
  <c r="B61" i="8" s="1"/>
  <c r="H61" i="8"/>
  <c r="I61" i="8"/>
  <c r="A62" i="8"/>
  <c r="C62" i="8"/>
  <c r="G62" i="8"/>
  <c r="B62" i="8" s="1"/>
  <c r="H62" i="8"/>
  <c r="I62" i="8"/>
  <c r="A63" i="8"/>
  <c r="C63" i="8"/>
  <c r="G63" i="8"/>
  <c r="B63" i="8" s="1"/>
  <c r="H63" i="8"/>
  <c r="I63" i="8"/>
  <c r="A64" i="8"/>
  <c r="C64" i="8"/>
  <c r="G64" i="8"/>
  <c r="B64" i="8" s="1"/>
  <c r="H64" i="8"/>
  <c r="I64" i="8"/>
  <c r="A65" i="8"/>
  <c r="C65" i="8"/>
  <c r="G65" i="8"/>
  <c r="B65" i="8" s="1"/>
  <c r="H65" i="8"/>
  <c r="I65" i="8"/>
  <c r="A66" i="8"/>
  <c r="C66" i="8"/>
  <c r="G66" i="8"/>
  <c r="B66" i="8" s="1"/>
  <c r="H66" i="8"/>
  <c r="I66" i="8"/>
  <c r="A67" i="8"/>
  <c r="C67" i="8"/>
  <c r="G67" i="8"/>
  <c r="B67" i="8" s="1"/>
  <c r="H67" i="8"/>
  <c r="I67" i="8"/>
  <c r="A68" i="8"/>
  <c r="C68" i="8"/>
  <c r="G68" i="8"/>
  <c r="B68" i="8" s="1"/>
  <c r="H68" i="8"/>
  <c r="I68" i="8"/>
  <c r="A69" i="8"/>
  <c r="C69" i="8"/>
  <c r="G69" i="8"/>
  <c r="B69" i="8" s="1"/>
  <c r="H69" i="8"/>
  <c r="I69" i="8"/>
  <c r="A70" i="8"/>
  <c r="C70" i="8"/>
  <c r="G70" i="8"/>
  <c r="B70" i="8" s="1"/>
  <c r="H70" i="8"/>
  <c r="I70" i="8"/>
  <c r="A71" i="8"/>
  <c r="C71" i="8"/>
  <c r="G71" i="8"/>
  <c r="B71" i="8" s="1"/>
  <c r="H71" i="8"/>
  <c r="I71" i="8"/>
  <c r="A72" i="8"/>
  <c r="C72" i="8"/>
  <c r="G72" i="8"/>
  <c r="B72" i="8" s="1"/>
  <c r="H72" i="8"/>
  <c r="I72" i="8"/>
  <c r="A73" i="8"/>
  <c r="C73" i="8"/>
  <c r="G73" i="8"/>
  <c r="B73" i="8" s="1"/>
  <c r="H73" i="8"/>
  <c r="I73" i="8"/>
  <c r="A5" i="8"/>
  <c r="C5" i="8"/>
  <c r="I5" i="8"/>
  <c r="H5" i="8"/>
  <c r="G5" i="8"/>
  <c r="B5" i="8" s="1"/>
  <c r="G33" i="6"/>
  <c r="B33" i="6" s="1"/>
  <c r="C33" i="6"/>
  <c r="A33" i="6"/>
  <c r="G32" i="6"/>
  <c r="B32" i="6" s="1"/>
  <c r="C32" i="6"/>
  <c r="A32" i="6"/>
  <c r="G31" i="6"/>
  <c r="C31" i="6"/>
  <c r="B31" i="6"/>
  <c r="A31" i="6"/>
  <c r="G30" i="6"/>
  <c r="C30" i="6"/>
  <c r="B30" i="6"/>
  <c r="A30" i="6"/>
  <c r="G29" i="6"/>
  <c r="C29" i="6"/>
  <c r="B29" i="6"/>
  <c r="A29" i="6"/>
  <c r="G28" i="6"/>
  <c r="B28" i="6" s="1"/>
  <c r="C28" i="6"/>
  <c r="A28" i="6"/>
  <c r="G27" i="6"/>
  <c r="B27" i="6" s="1"/>
  <c r="C27" i="6"/>
  <c r="A27" i="6"/>
  <c r="G26" i="6"/>
  <c r="B26" i="6" s="1"/>
  <c r="C26" i="6"/>
  <c r="A26" i="6"/>
  <c r="G25" i="6"/>
  <c r="B25" i="6" s="1"/>
  <c r="C25" i="6"/>
  <c r="A25" i="6"/>
  <c r="G24" i="6"/>
  <c r="C24" i="6"/>
  <c r="B24" i="6"/>
  <c r="A24" i="6"/>
  <c r="G23" i="6"/>
  <c r="B23" i="6" s="1"/>
  <c r="C23" i="6"/>
  <c r="A23" i="6"/>
  <c r="G22" i="6"/>
  <c r="B22" i="6" s="1"/>
  <c r="C22" i="6"/>
  <c r="A22" i="6"/>
  <c r="G21" i="6"/>
  <c r="B21" i="6" s="1"/>
  <c r="C21" i="6"/>
  <c r="A21" i="6"/>
  <c r="G20" i="6"/>
  <c r="B20" i="6" s="1"/>
  <c r="C20" i="6"/>
  <c r="A20" i="6"/>
  <c r="G19" i="6"/>
  <c r="B19" i="6" s="1"/>
  <c r="C19" i="6"/>
  <c r="A19" i="6"/>
  <c r="G18" i="6"/>
  <c r="C18" i="6"/>
  <c r="B18" i="6"/>
  <c r="A18" i="6"/>
  <c r="G17" i="6"/>
  <c r="B17" i="6" s="1"/>
  <c r="C17" i="6"/>
  <c r="A17" i="6"/>
  <c r="G16" i="6"/>
  <c r="B16" i="6" s="1"/>
  <c r="C16" i="6"/>
  <c r="A16" i="6"/>
  <c r="G15" i="6"/>
  <c r="B15" i="6" s="1"/>
  <c r="C15" i="6"/>
  <c r="A15" i="6"/>
  <c r="G14" i="6"/>
  <c r="B14" i="6" s="1"/>
  <c r="C14" i="6"/>
  <c r="A14" i="6"/>
  <c r="G13" i="6"/>
  <c r="B13" i="6" s="1"/>
  <c r="C13" i="6"/>
  <c r="A13" i="6"/>
  <c r="G12" i="6"/>
  <c r="B12" i="6" s="1"/>
  <c r="C12" i="6"/>
  <c r="A12" i="6"/>
  <c r="G11" i="6"/>
  <c r="B11" i="6" s="1"/>
  <c r="C11" i="6"/>
  <c r="A11" i="6"/>
  <c r="G10" i="6"/>
  <c r="B10" i="6" s="1"/>
  <c r="C10" i="6"/>
  <c r="A10" i="6"/>
  <c r="G9" i="6"/>
  <c r="B9" i="6" s="1"/>
  <c r="C9" i="6"/>
  <c r="A9" i="6"/>
  <c r="G8" i="6"/>
  <c r="B8" i="6" s="1"/>
  <c r="C8" i="6"/>
  <c r="A8" i="6"/>
  <c r="G7" i="6"/>
  <c r="B7" i="6" s="1"/>
  <c r="C7" i="6"/>
  <c r="A7" i="6"/>
  <c r="G6" i="6"/>
  <c r="B6" i="6" s="1"/>
  <c r="C6" i="6"/>
  <c r="A6" i="6"/>
  <c r="A5" i="6"/>
  <c r="C5" i="6"/>
  <c r="G5" i="6"/>
  <c r="B5" i="6" s="1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5" i="5"/>
  <c r="A6" i="4"/>
  <c r="C6" i="4"/>
  <c r="A7" i="4"/>
  <c r="C7" i="4"/>
  <c r="A8" i="4"/>
  <c r="C8" i="4"/>
  <c r="A9" i="4"/>
  <c r="C9" i="4"/>
  <c r="A10" i="4"/>
  <c r="C10" i="4"/>
  <c r="A11" i="4"/>
  <c r="C11" i="4"/>
  <c r="A12" i="4"/>
  <c r="C12" i="4"/>
  <c r="A13" i="4"/>
  <c r="C13" i="4"/>
  <c r="A14" i="4"/>
  <c r="C14" i="4"/>
  <c r="A15" i="4"/>
  <c r="C15" i="4"/>
  <c r="A17" i="4"/>
  <c r="C17" i="4"/>
  <c r="A18" i="4"/>
  <c r="C18" i="4"/>
  <c r="A19" i="4"/>
  <c r="C19" i="4"/>
  <c r="A20" i="4"/>
  <c r="C20" i="4"/>
  <c r="A22" i="4"/>
  <c r="C22" i="4"/>
  <c r="A23" i="4"/>
  <c r="C23" i="4"/>
  <c r="A24" i="4"/>
  <c r="C24" i="4"/>
  <c r="A25" i="4"/>
  <c r="C25" i="4"/>
  <c r="A26" i="4"/>
  <c r="C26" i="4"/>
  <c r="A27" i="4"/>
  <c r="C27" i="4"/>
  <c r="A28" i="4"/>
  <c r="C28" i="4"/>
  <c r="A29" i="4"/>
  <c r="C29" i="4"/>
  <c r="A30" i="4"/>
  <c r="C30" i="4"/>
  <c r="A32" i="4"/>
  <c r="C32" i="4"/>
  <c r="A33" i="4"/>
  <c r="C33" i="4"/>
  <c r="A5" i="4"/>
  <c r="C5" i="4"/>
  <c r="G6" i="3"/>
  <c r="G7" i="3"/>
  <c r="B7" i="3" s="1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B55" i="3" s="1"/>
  <c r="G56" i="3"/>
  <c r="G57" i="3"/>
  <c r="B57" i="3" s="1"/>
  <c r="G58" i="3"/>
  <c r="B58" i="3" s="1"/>
  <c r="G59" i="3"/>
  <c r="B59" i="3" s="1"/>
  <c r="G60" i="3"/>
  <c r="B60" i="3" s="1"/>
  <c r="G61" i="3"/>
  <c r="B61" i="3" s="1"/>
  <c r="G62" i="3"/>
  <c r="G63" i="3"/>
  <c r="B62" i="3"/>
  <c r="B63" i="3"/>
  <c r="A6" i="3"/>
  <c r="B6" i="3"/>
  <c r="C6" i="3"/>
  <c r="A7" i="3"/>
  <c r="C7" i="3"/>
  <c r="P7" i="3" s="1" a="1"/>
  <c r="A8" i="3"/>
  <c r="B8" i="3"/>
  <c r="C8" i="3"/>
  <c r="A9" i="3"/>
  <c r="B9" i="3"/>
  <c r="C9" i="3"/>
  <c r="O9" i="3" s="1" a="1"/>
  <c r="A10" i="3"/>
  <c r="B10" i="3"/>
  <c r="C10" i="3"/>
  <c r="A11" i="3"/>
  <c r="B11" i="3"/>
  <c r="C11" i="3"/>
  <c r="A12" i="3"/>
  <c r="B12" i="3"/>
  <c r="C12" i="3"/>
  <c r="A13" i="3"/>
  <c r="B13" i="3"/>
  <c r="C13" i="3"/>
  <c r="M13" i="3" s="1" a="1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0" i="3"/>
  <c r="B30" i="3"/>
  <c r="C30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A54" i="3"/>
  <c r="B54" i="3"/>
  <c r="C54" i="3"/>
  <c r="A55" i="3"/>
  <c r="C55" i="3"/>
  <c r="A56" i="3"/>
  <c r="B56" i="3"/>
  <c r="C56" i="3"/>
  <c r="A57" i="3"/>
  <c r="C57" i="3"/>
  <c r="A58" i="3"/>
  <c r="C58" i="3"/>
  <c r="A59" i="3"/>
  <c r="C59" i="3"/>
  <c r="A60" i="3"/>
  <c r="C60" i="3"/>
  <c r="A61" i="3"/>
  <c r="C61" i="3"/>
  <c r="A62" i="3"/>
  <c r="C62" i="3"/>
  <c r="A63" i="3"/>
  <c r="C63" i="3"/>
  <c r="C5" i="3"/>
  <c r="A5" i="3"/>
  <c r="G5" i="3"/>
  <c r="A64" i="2"/>
  <c r="B64" i="2"/>
  <c r="C64" i="2"/>
  <c r="A65" i="2"/>
  <c r="B65" i="2"/>
  <c r="C65" i="2"/>
  <c r="A66" i="2"/>
  <c r="B66" i="2"/>
  <c r="C66" i="2"/>
  <c r="A67" i="2"/>
  <c r="B67" i="2"/>
  <c r="C67" i="2"/>
  <c r="A68" i="2"/>
  <c r="B68" i="2"/>
  <c r="C68" i="2"/>
  <c r="AC68" i="2" s="1" a="1"/>
  <c r="A69" i="2"/>
  <c r="B69" i="2"/>
  <c r="C69" i="2"/>
  <c r="A70" i="2"/>
  <c r="B70" i="2"/>
  <c r="C70" i="2"/>
  <c r="T70" i="2" s="1" a="1"/>
  <c r="A71" i="2"/>
  <c r="B71" i="2"/>
  <c r="C71" i="2"/>
  <c r="A72" i="2"/>
  <c r="B72" i="2"/>
  <c r="C72" i="2"/>
  <c r="A73" i="2"/>
  <c r="B73" i="2"/>
  <c r="C73" i="2"/>
  <c r="A74" i="2"/>
  <c r="B74" i="2"/>
  <c r="C74" i="2"/>
  <c r="A75" i="2"/>
  <c r="B75" i="2"/>
  <c r="C75" i="2"/>
  <c r="A76" i="2"/>
  <c r="B76" i="2"/>
  <c r="C76" i="2"/>
  <c r="AC76" i="2" s="1" a="1"/>
  <c r="A77" i="2"/>
  <c r="B77" i="2"/>
  <c r="C77" i="2"/>
  <c r="A78" i="2"/>
  <c r="B78" i="2"/>
  <c r="C78" i="2"/>
  <c r="A79" i="2"/>
  <c r="B79" i="2"/>
  <c r="C79" i="2"/>
  <c r="A80" i="2"/>
  <c r="B80" i="2"/>
  <c r="C80" i="2"/>
  <c r="A81" i="2"/>
  <c r="B81" i="2"/>
  <c r="C81" i="2"/>
  <c r="A82" i="2"/>
  <c r="B82" i="2"/>
  <c r="C82" i="2"/>
  <c r="A83" i="2"/>
  <c r="B83" i="2"/>
  <c r="C83" i="2"/>
  <c r="A84" i="2"/>
  <c r="B84" i="2"/>
  <c r="C84" i="2"/>
  <c r="A85" i="2"/>
  <c r="B85" i="2"/>
  <c r="C85" i="2"/>
  <c r="A86" i="2"/>
  <c r="B86" i="2"/>
  <c r="C86" i="2"/>
  <c r="A87" i="2"/>
  <c r="B87" i="2"/>
  <c r="C87" i="2"/>
  <c r="A88" i="2"/>
  <c r="B88" i="2"/>
  <c r="C88" i="2"/>
  <c r="A89" i="2"/>
  <c r="B89" i="2"/>
  <c r="C89" i="2"/>
  <c r="A90" i="2"/>
  <c r="B90" i="2"/>
  <c r="C90" i="2"/>
  <c r="A91" i="2"/>
  <c r="B91" i="2"/>
  <c r="C91" i="2"/>
  <c r="A92" i="2"/>
  <c r="B92" i="2"/>
  <c r="C92" i="2"/>
  <c r="A93" i="2"/>
  <c r="B93" i="2"/>
  <c r="C93" i="2"/>
  <c r="A94" i="2"/>
  <c r="B94" i="2"/>
  <c r="C94" i="2"/>
  <c r="A95" i="2"/>
  <c r="B95" i="2"/>
  <c r="C95" i="2"/>
  <c r="A96" i="2"/>
  <c r="B96" i="2"/>
  <c r="C96" i="2"/>
  <c r="A97" i="2"/>
  <c r="B97" i="2"/>
  <c r="C97" i="2"/>
  <c r="A98" i="2"/>
  <c r="B98" i="2"/>
  <c r="C98" i="2"/>
  <c r="S98" i="2" s="1" a="1"/>
  <c r="A99" i="2"/>
  <c r="B99" i="2"/>
  <c r="C99" i="2"/>
  <c r="A100" i="2"/>
  <c r="B100" i="2"/>
  <c r="C100" i="2"/>
  <c r="A101" i="2"/>
  <c r="B101" i="2"/>
  <c r="C101" i="2"/>
  <c r="A102" i="2"/>
  <c r="B102" i="2"/>
  <c r="C102" i="2"/>
  <c r="A103" i="2"/>
  <c r="B103" i="2"/>
  <c r="C103" i="2"/>
  <c r="AC103" i="2" s="1" a="1"/>
  <c r="A104" i="2"/>
  <c r="B104" i="2"/>
  <c r="C104" i="2"/>
  <c r="A105" i="2"/>
  <c r="B105" i="2"/>
  <c r="C105" i="2"/>
  <c r="A106" i="2"/>
  <c r="B106" i="2"/>
  <c r="C106" i="2"/>
  <c r="A107" i="2"/>
  <c r="B107" i="2"/>
  <c r="C107" i="2"/>
  <c r="A108" i="2"/>
  <c r="B108" i="2"/>
  <c r="C108" i="2"/>
  <c r="A109" i="2"/>
  <c r="B109" i="2"/>
  <c r="C109" i="2"/>
  <c r="A110" i="2"/>
  <c r="B110" i="2"/>
  <c r="C110" i="2"/>
  <c r="A111" i="2"/>
  <c r="B111" i="2"/>
  <c r="C111" i="2"/>
  <c r="A112" i="2"/>
  <c r="B112" i="2"/>
  <c r="C112" i="2"/>
  <c r="A113" i="2"/>
  <c r="B113" i="2"/>
  <c r="C113" i="2"/>
  <c r="A114" i="2"/>
  <c r="B114" i="2"/>
  <c r="C114" i="2"/>
  <c r="A115" i="2"/>
  <c r="B115" i="2"/>
  <c r="C115" i="2"/>
  <c r="A116" i="2"/>
  <c r="B116" i="2"/>
  <c r="C116" i="2"/>
  <c r="T116" i="2" s="1" a="1"/>
  <c r="A117" i="2"/>
  <c r="B117" i="2"/>
  <c r="C117" i="2"/>
  <c r="A118" i="2"/>
  <c r="B118" i="2"/>
  <c r="C118" i="2"/>
  <c r="A119" i="2"/>
  <c r="B119" i="2"/>
  <c r="C119" i="2"/>
  <c r="A120" i="2"/>
  <c r="B120" i="2"/>
  <c r="C120" i="2"/>
  <c r="A121" i="2"/>
  <c r="B121" i="2"/>
  <c r="C121" i="2"/>
  <c r="A122" i="2"/>
  <c r="B122" i="2"/>
  <c r="C122" i="2"/>
  <c r="A123" i="2"/>
  <c r="B123" i="2"/>
  <c r="C123" i="2"/>
  <c r="A124" i="2"/>
  <c r="B124" i="2"/>
  <c r="C124" i="2"/>
  <c r="A125" i="2"/>
  <c r="B125" i="2"/>
  <c r="C125" i="2"/>
  <c r="A126" i="2"/>
  <c r="B126" i="2"/>
  <c r="C126" i="2"/>
  <c r="A127" i="2"/>
  <c r="B127" i="2"/>
  <c r="C127" i="2"/>
  <c r="A128" i="2"/>
  <c r="B128" i="2"/>
  <c r="C128" i="2"/>
  <c r="A129" i="2"/>
  <c r="B129" i="2"/>
  <c r="C129" i="2"/>
  <c r="A130" i="2"/>
  <c r="B130" i="2"/>
  <c r="C130" i="2"/>
  <c r="A131" i="2"/>
  <c r="B131" i="2"/>
  <c r="C131" i="2"/>
  <c r="A132" i="2"/>
  <c r="B132" i="2"/>
  <c r="C132" i="2"/>
  <c r="A133" i="2"/>
  <c r="B133" i="2"/>
  <c r="C133" i="2"/>
  <c r="A134" i="2"/>
  <c r="B134" i="2"/>
  <c r="C134" i="2"/>
  <c r="A135" i="2"/>
  <c r="B135" i="2"/>
  <c r="C135" i="2"/>
  <c r="A136" i="2"/>
  <c r="B136" i="2"/>
  <c r="C136" i="2"/>
  <c r="A137" i="2"/>
  <c r="B137" i="2"/>
  <c r="C137" i="2"/>
  <c r="A138" i="2"/>
  <c r="B138" i="2"/>
  <c r="C138" i="2"/>
  <c r="A139" i="2"/>
  <c r="B139" i="2"/>
  <c r="C139" i="2"/>
  <c r="AC139" i="2" s="1" a="1"/>
  <c r="A140" i="2"/>
  <c r="B140" i="2"/>
  <c r="C140" i="2"/>
  <c r="A141" i="2"/>
  <c r="B141" i="2"/>
  <c r="C141" i="2"/>
  <c r="A142" i="2"/>
  <c r="B142" i="2"/>
  <c r="C142" i="2"/>
  <c r="A143" i="2"/>
  <c r="B143" i="2"/>
  <c r="C143" i="2"/>
  <c r="W143" i="2" s="1" a="1"/>
  <c r="A144" i="2"/>
  <c r="B144" i="2"/>
  <c r="C144" i="2"/>
  <c r="A145" i="2"/>
  <c r="B145" i="2"/>
  <c r="C145" i="2"/>
  <c r="A146" i="2"/>
  <c r="B146" i="2"/>
  <c r="C146" i="2"/>
  <c r="A147" i="2"/>
  <c r="B147" i="2"/>
  <c r="C147" i="2"/>
  <c r="A148" i="2"/>
  <c r="B148" i="2"/>
  <c r="C148" i="2"/>
  <c r="A149" i="2"/>
  <c r="B149" i="2"/>
  <c r="C149" i="2"/>
  <c r="A150" i="2"/>
  <c r="B150" i="2"/>
  <c r="C150" i="2"/>
  <c r="AC150" i="2" s="1" a="1"/>
  <c r="A151" i="2"/>
  <c r="B151" i="2"/>
  <c r="C151" i="2"/>
  <c r="A152" i="2"/>
  <c r="B152" i="2"/>
  <c r="C152" i="2"/>
  <c r="A153" i="2"/>
  <c r="B153" i="2"/>
  <c r="C153" i="2"/>
  <c r="A154" i="2"/>
  <c r="B154" i="2"/>
  <c r="C154" i="2"/>
  <c r="A155" i="2"/>
  <c r="B155" i="2"/>
  <c r="C155" i="2"/>
  <c r="U155" i="2" s="1" a="1"/>
  <c r="A156" i="2"/>
  <c r="B156" i="2"/>
  <c r="C156" i="2"/>
  <c r="A157" i="2"/>
  <c r="B157" i="2"/>
  <c r="C157" i="2"/>
  <c r="A158" i="2"/>
  <c r="B158" i="2"/>
  <c r="C158" i="2"/>
  <c r="A159" i="2"/>
  <c r="B159" i="2"/>
  <c r="C159" i="2"/>
  <c r="A160" i="2"/>
  <c r="B160" i="2"/>
  <c r="C160" i="2"/>
  <c r="A161" i="2"/>
  <c r="B161" i="2"/>
  <c r="C161" i="2"/>
  <c r="A162" i="2"/>
  <c r="B162" i="2"/>
  <c r="C162" i="2"/>
  <c r="A163" i="2"/>
  <c r="B163" i="2"/>
  <c r="C163" i="2"/>
  <c r="A164" i="2"/>
  <c r="B164" i="2"/>
  <c r="C164" i="2"/>
  <c r="A165" i="2"/>
  <c r="B165" i="2"/>
  <c r="C165" i="2"/>
  <c r="A166" i="2"/>
  <c r="B166" i="2"/>
  <c r="C166" i="2"/>
  <c r="AC166" i="2" s="1" a="1"/>
  <c r="A167" i="2"/>
  <c r="B167" i="2"/>
  <c r="C167" i="2"/>
  <c r="A168" i="2"/>
  <c r="B168" i="2"/>
  <c r="C168" i="2"/>
  <c r="A169" i="2"/>
  <c r="B169" i="2"/>
  <c r="C169" i="2"/>
  <c r="A170" i="2"/>
  <c r="B170" i="2"/>
  <c r="C170" i="2"/>
  <c r="A171" i="2"/>
  <c r="B171" i="2"/>
  <c r="C171" i="2"/>
  <c r="A172" i="2"/>
  <c r="B172" i="2"/>
  <c r="C172" i="2"/>
  <c r="A173" i="2"/>
  <c r="B173" i="2"/>
  <c r="C173" i="2"/>
  <c r="T173" i="2" s="1" a="1"/>
  <c r="A174" i="2"/>
  <c r="B174" i="2"/>
  <c r="C174" i="2"/>
  <c r="A175" i="2"/>
  <c r="B175" i="2"/>
  <c r="C175" i="2"/>
  <c r="A176" i="2"/>
  <c r="B176" i="2"/>
  <c r="C176" i="2"/>
  <c r="A177" i="2"/>
  <c r="B177" i="2"/>
  <c r="C177" i="2"/>
  <c r="A178" i="2"/>
  <c r="B178" i="2"/>
  <c r="C178" i="2"/>
  <c r="A179" i="2"/>
  <c r="B179" i="2"/>
  <c r="C179" i="2"/>
  <c r="A180" i="2"/>
  <c r="B180" i="2"/>
  <c r="C180" i="2"/>
  <c r="A181" i="2"/>
  <c r="B181" i="2"/>
  <c r="C181" i="2"/>
  <c r="A182" i="2"/>
  <c r="B182" i="2"/>
  <c r="C182" i="2"/>
  <c r="A183" i="2"/>
  <c r="B183" i="2"/>
  <c r="C183" i="2"/>
  <c r="A184" i="2"/>
  <c r="B184" i="2"/>
  <c r="C184" i="2"/>
  <c r="A185" i="2"/>
  <c r="B185" i="2"/>
  <c r="C185" i="2"/>
  <c r="A186" i="2"/>
  <c r="B186" i="2"/>
  <c r="C186" i="2"/>
  <c r="A187" i="2"/>
  <c r="B187" i="2"/>
  <c r="C187" i="2"/>
  <c r="A188" i="2"/>
  <c r="B188" i="2"/>
  <c r="C188" i="2"/>
  <c r="A189" i="2"/>
  <c r="B189" i="2"/>
  <c r="C189" i="2"/>
  <c r="A190" i="2"/>
  <c r="B190" i="2"/>
  <c r="C190" i="2"/>
  <c r="A191" i="2"/>
  <c r="B191" i="2"/>
  <c r="C191" i="2"/>
  <c r="A192" i="2"/>
  <c r="B192" i="2"/>
  <c r="C192" i="2"/>
  <c r="A193" i="2"/>
  <c r="B193" i="2"/>
  <c r="C193" i="2"/>
  <c r="A194" i="2"/>
  <c r="B194" i="2"/>
  <c r="C194" i="2"/>
  <c r="A195" i="2"/>
  <c r="B195" i="2"/>
  <c r="C195" i="2"/>
  <c r="A196" i="2"/>
  <c r="B196" i="2"/>
  <c r="C196" i="2"/>
  <c r="A197" i="2"/>
  <c r="B197" i="2"/>
  <c r="C197" i="2"/>
  <c r="A198" i="2"/>
  <c r="B198" i="2"/>
  <c r="C198" i="2"/>
  <c r="A199" i="2"/>
  <c r="B199" i="2"/>
  <c r="C199" i="2"/>
  <c r="A200" i="2"/>
  <c r="B200" i="2"/>
  <c r="C200" i="2"/>
  <c r="A201" i="2"/>
  <c r="B201" i="2"/>
  <c r="C201" i="2"/>
  <c r="A202" i="2"/>
  <c r="B202" i="2"/>
  <c r="C202" i="2"/>
  <c r="A203" i="2"/>
  <c r="B203" i="2"/>
  <c r="C203" i="2"/>
  <c r="A204" i="2"/>
  <c r="B204" i="2"/>
  <c r="C204" i="2"/>
  <c r="A205" i="2"/>
  <c r="B205" i="2"/>
  <c r="C205" i="2"/>
  <c r="A206" i="2"/>
  <c r="B206" i="2"/>
  <c r="C206" i="2"/>
  <c r="A207" i="2"/>
  <c r="B207" i="2"/>
  <c r="C207" i="2"/>
  <c r="A208" i="2"/>
  <c r="B208" i="2"/>
  <c r="C208" i="2"/>
  <c r="A209" i="2"/>
  <c r="B209" i="2"/>
  <c r="C209" i="2"/>
  <c r="A210" i="2"/>
  <c r="B210" i="2"/>
  <c r="C210" i="2"/>
  <c r="A211" i="2"/>
  <c r="B211" i="2"/>
  <c r="C211" i="2"/>
  <c r="A212" i="2"/>
  <c r="B212" i="2"/>
  <c r="C212" i="2"/>
  <c r="A213" i="2"/>
  <c r="B213" i="2"/>
  <c r="C213" i="2"/>
  <c r="A214" i="2"/>
  <c r="B214" i="2"/>
  <c r="C214" i="2"/>
  <c r="A215" i="2"/>
  <c r="B215" i="2"/>
  <c r="C215" i="2"/>
  <c r="A216" i="2"/>
  <c r="B216" i="2"/>
  <c r="C216" i="2"/>
  <c r="A217" i="2"/>
  <c r="B217" i="2"/>
  <c r="C217" i="2"/>
  <c r="A218" i="2"/>
  <c r="B218" i="2"/>
  <c r="C218" i="2"/>
  <c r="A219" i="2"/>
  <c r="B219" i="2"/>
  <c r="C219" i="2"/>
  <c r="A220" i="2"/>
  <c r="B220" i="2"/>
  <c r="C220" i="2"/>
  <c r="A221" i="2"/>
  <c r="B221" i="2"/>
  <c r="C221" i="2"/>
  <c r="A222" i="2"/>
  <c r="B222" i="2"/>
  <c r="C222" i="2"/>
  <c r="A223" i="2"/>
  <c r="B223" i="2"/>
  <c r="C223" i="2"/>
  <c r="A224" i="2"/>
  <c r="B224" i="2"/>
  <c r="C224" i="2"/>
  <c r="A225" i="2"/>
  <c r="B225" i="2"/>
  <c r="C225" i="2"/>
  <c r="A226" i="2"/>
  <c r="B226" i="2"/>
  <c r="C226" i="2"/>
  <c r="A227" i="2"/>
  <c r="B227" i="2"/>
  <c r="C227" i="2"/>
  <c r="A228" i="2"/>
  <c r="B228" i="2"/>
  <c r="C228" i="2"/>
  <c r="A229" i="2"/>
  <c r="B229" i="2"/>
  <c r="C229" i="2"/>
  <c r="A230" i="2"/>
  <c r="B230" i="2"/>
  <c r="C230" i="2"/>
  <c r="A231" i="2"/>
  <c r="B231" i="2"/>
  <c r="C231" i="2"/>
  <c r="AC231" i="2" s="1" a="1"/>
  <c r="A232" i="2"/>
  <c r="B232" i="2"/>
  <c r="C232" i="2"/>
  <c r="A233" i="2"/>
  <c r="B233" i="2"/>
  <c r="C233" i="2"/>
  <c r="A234" i="2"/>
  <c r="B234" i="2"/>
  <c r="C234" i="2"/>
  <c r="A235" i="2"/>
  <c r="B235" i="2"/>
  <c r="C235" i="2"/>
  <c r="A236" i="2"/>
  <c r="B236" i="2"/>
  <c r="C236" i="2"/>
  <c r="A237" i="2"/>
  <c r="B237" i="2"/>
  <c r="C237" i="2"/>
  <c r="A238" i="2"/>
  <c r="B238" i="2"/>
  <c r="C238" i="2"/>
  <c r="A239" i="2"/>
  <c r="B239" i="2"/>
  <c r="C239" i="2"/>
  <c r="A240" i="2"/>
  <c r="B240" i="2"/>
  <c r="C240" i="2"/>
  <c r="A241" i="2"/>
  <c r="B241" i="2"/>
  <c r="C241" i="2"/>
  <c r="A242" i="2"/>
  <c r="B242" i="2"/>
  <c r="C242" i="2"/>
  <c r="S242" i="2" s="1" a="1"/>
  <c r="A243" i="2"/>
  <c r="B243" i="2"/>
  <c r="C243" i="2"/>
  <c r="A244" i="2"/>
  <c r="B244" i="2"/>
  <c r="C244" i="2"/>
  <c r="A245" i="2"/>
  <c r="B245" i="2"/>
  <c r="C245" i="2"/>
  <c r="A246" i="2"/>
  <c r="B246" i="2"/>
  <c r="C246" i="2"/>
  <c r="A247" i="2"/>
  <c r="B247" i="2"/>
  <c r="C247" i="2"/>
  <c r="A248" i="2"/>
  <c r="B248" i="2"/>
  <c r="C248" i="2"/>
  <c r="A249" i="2"/>
  <c r="B249" i="2"/>
  <c r="C249" i="2"/>
  <c r="A250" i="2"/>
  <c r="B250" i="2"/>
  <c r="C250" i="2"/>
  <c r="A251" i="2"/>
  <c r="B251" i="2"/>
  <c r="C251" i="2"/>
  <c r="A252" i="2"/>
  <c r="B252" i="2"/>
  <c r="C252" i="2"/>
  <c r="A253" i="2"/>
  <c r="B253" i="2"/>
  <c r="C253" i="2"/>
  <c r="A254" i="2"/>
  <c r="B254" i="2"/>
  <c r="C254" i="2"/>
  <c r="A255" i="2"/>
  <c r="B255" i="2"/>
  <c r="C255" i="2"/>
  <c r="A256" i="2"/>
  <c r="B256" i="2"/>
  <c r="C256" i="2"/>
  <c r="A257" i="2"/>
  <c r="B257" i="2"/>
  <c r="C257" i="2"/>
  <c r="A258" i="2"/>
  <c r="B258" i="2"/>
  <c r="C258" i="2"/>
  <c r="AC258" i="2" s="1" a="1"/>
  <c r="A259" i="2"/>
  <c r="B259" i="2"/>
  <c r="C259" i="2"/>
  <c r="A260" i="2"/>
  <c r="B260" i="2"/>
  <c r="C260" i="2"/>
  <c r="A261" i="2"/>
  <c r="B261" i="2"/>
  <c r="C261" i="2"/>
  <c r="A262" i="2"/>
  <c r="B262" i="2"/>
  <c r="C262" i="2"/>
  <c r="A263" i="2"/>
  <c r="B263" i="2"/>
  <c r="C263" i="2"/>
  <c r="A264" i="2"/>
  <c r="B264" i="2"/>
  <c r="C264" i="2"/>
  <c r="A265" i="2"/>
  <c r="B265" i="2"/>
  <c r="C265" i="2"/>
  <c r="A266" i="2"/>
  <c r="B266" i="2"/>
  <c r="C266" i="2"/>
  <c r="A267" i="2"/>
  <c r="B267" i="2"/>
  <c r="C267" i="2"/>
  <c r="A268" i="2"/>
  <c r="B268" i="2"/>
  <c r="C268" i="2"/>
  <c r="A269" i="2"/>
  <c r="B269" i="2"/>
  <c r="C269" i="2"/>
  <c r="A270" i="2"/>
  <c r="B270" i="2"/>
  <c r="C270" i="2"/>
  <c r="A271" i="2"/>
  <c r="B271" i="2"/>
  <c r="C271" i="2"/>
  <c r="A272" i="2"/>
  <c r="B272" i="2"/>
  <c r="C272" i="2"/>
  <c r="A273" i="2"/>
  <c r="B273" i="2"/>
  <c r="C273" i="2"/>
  <c r="A274" i="2"/>
  <c r="B274" i="2"/>
  <c r="C27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C5" i="2"/>
  <c r="A6" i="2"/>
  <c r="C6" i="2"/>
  <c r="G6" i="2"/>
  <c r="A7" i="2"/>
  <c r="C7" i="2"/>
  <c r="G7" i="2"/>
  <c r="A8" i="2"/>
  <c r="C8" i="2"/>
  <c r="G8" i="2"/>
  <c r="A9" i="2"/>
  <c r="C9" i="2"/>
  <c r="G9" i="2"/>
  <c r="A10" i="2"/>
  <c r="C10" i="2"/>
  <c r="G10" i="2"/>
  <c r="A11" i="2"/>
  <c r="C11" i="2"/>
  <c r="G11" i="2"/>
  <c r="A12" i="2"/>
  <c r="C12" i="2"/>
  <c r="G12" i="2"/>
  <c r="A13" i="2"/>
  <c r="C13" i="2"/>
  <c r="G13" i="2"/>
  <c r="A14" i="2"/>
  <c r="C14" i="2"/>
  <c r="G14" i="2"/>
  <c r="B14" i="2" s="1"/>
  <c r="U14" i="2" a="1"/>
  <c r="W14" i="2" a="1"/>
  <c r="X14" i="2" a="1"/>
  <c r="Y14" i="2" a="1"/>
  <c r="Z14" i="2" a="1"/>
  <c r="AA14" i="2" a="1"/>
  <c r="AB14" i="2" a="1"/>
  <c r="AC14" i="2" a="1"/>
  <c r="A15" i="2"/>
  <c r="C15" i="2"/>
  <c r="G15" i="2"/>
  <c r="A16" i="2"/>
  <c r="C16" i="2"/>
  <c r="G16" i="2"/>
  <c r="A17" i="2"/>
  <c r="C17" i="2"/>
  <c r="G17" i="2"/>
  <c r="A18" i="2"/>
  <c r="C18" i="2"/>
  <c r="G18" i="2"/>
  <c r="G19" i="2"/>
  <c r="A20" i="2"/>
  <c r="C20" i="2"/>
  <c r="G20" i="2"/>
  <c r="A21" i="2"/>
  <c r="C21" i="2"/>
  <c r="G21" i="2"/>
  <c r="B21" i="2" s="1"/>
  <c r="A22" i="2"/>
  <c r="C22" i="2"/>
  <c r="G22" i="2"/>
  <c r="A23" i="2"/>
  <c r="C23" i="2"/>
  <c r="G23" i="2"/>
  <c r="B23" i="2" s="1"/>
  <c r="A24" i="2"/>
  <c r="C24" i="2"/>
  <c r="G24" i="2"/>
  <c r="Z24" i="2" s="1" a="1"/>
  <c r="AA24" i="2" a="1"/>
  <c r="AB24" i="2" a="1"/>
  <c r="A25" i="2"/>
  <c r="C25" i="2"/>
  <c r="G25" i="2"/>
  <c r="W25" i="2" a="1"/>
  <c r="X25" i="2" a="1"/>
  <c r="Y25" i="2" a="1"/>
  <c r="Z25" i="2" a="1"/>
  <c r="AA25" i="2" a="1"/>
  <c r="AB25" i="2" a="1"/>
  <c r="AC25" i="2" a="1"/>
  <c r="A26" i="2"/>
  <c r="C26" i="2"/>
  <c r="G26" i="2"/>
  <c r="A27" i="2"/>
  <c r="C27" i="2"/>
  <c r="G27" i="2"/>
  <c r="A28" i="2"/>
  <c r="C28" i="2"/>
  <c r="G28" i="2"/>
  <c r="A29" i="2"/>
  <c r="C29" i="2"/>
  <c r="G29" i="2"/>
  <c r="B29" i="2" s="1"/>
  <c r="A30" i="2"/>
  <c r="C30" i="2"/>
  <c r="G30" i="2"/>
  <c r="B30" i="2" s="1"/>
  <c r="A31" i="2"/>
  <c r="C31" i="2"/>
  <c r="G31" i="2"/>
  <c r="A32" i="2"/>
  <c r="C32" i="2"/>
  <c r="G32" i="2"/>
  <c r="A33" i="2"/>
  <c r="C33" i="2"/>
  <c r="G33" i="2"/>
  <c r="A34" i="2"/>
  <c r="C34" i="2"/>
  <c r="G34" i="2"/>
  <c r="A35" i="2"/>
  <c r="C35" i="2"/>
  <c r="G35" i="2"/>
  <c r="A36" i="2"/>
  <c r="C36" i="2"/>
  <c r="G36" i="2"/>
  <c r="A37" i="2"/>
  <c r="C37" i="2"/>
  <c r="G37" i="2"/>
  <c r="A38" i="2"/>
  <c r="C38" i="2"/>
  <c r="G38" i="2"/>
  <c r="A39" i="2"/>
  <c r="C39" i="2"/>
  <c r="G39" i="2"/>
  <c r="A40" i="2"/>
  <c r="C40" i="2"/>
  <c r="G40" i="2"/>
  <c r="A41" i="2"/>
  <c r="C41" i="2"/>
  <c r="G41" i="2"/>
  <c r="A42" i="2"/>
  <c r="C42" i="2"/>
  <c r="G42" i="2"/>
  <c r="X42" i="2" a="1"/>
  <c r="AA42" i="2" a="1"/>
  <c r="AC42" i="2" a="1"/>
  <c r="A43" i="2"/>
  <c r="C43" i="2"/>
  <c r="G43" i="2"/>
  <c r="A44" i="2"/>
  <c r="C44" i="2"/>
  <c r="G44" i="2"/>
  <c r="Y44" i="2" a="1"/>
  <c r="Z44" i="2" a="1"/>
  <c r="A45" i="2"/>
  <c r="C45" i="2"/>
  <c r="G45" i="2"/>
  <c r="U45" i="2" a="1"/>
  <c r="V45" i="2" a="1"/>
  <c r="A46" i="2"/>
  <c r="C46" i="2"/>
  <c r="G46" i="2"/>
  <c r="A47" i="2"/>
  <c r="C47" i="2"/>
  <c r="G47" i="2"/>
  <c r="A48" i="2"/>
  <c r="C48" i="2"/>
  <c r="G48" i="2"/>
  <c r="A49" i="2"/>
  <c r="C49" i="2"/>
  <c r="G49" i="2"/>
  <c r="A50" i="2"/>
  <c r="C50" i="2"/>
  <c r="G50" i="2"/>
  <c r="A51" i="2"/>
  <c r="C51" i="2"/>
  <c r="G51" i="2"/>
  <c r="B51" i="2" s="1"/>
  <c r="A52" i="2"/>
  <c r="C52" i="2"/>
  <c r="G52" i="2"/>
  <c r="B52" i="2" s="1"/>
  <c r="A53" i="2"/>
  <c r="C53" i="2"/>
  <c r="G53" i="2"/>
  <c r="A54" i="2"/>
  <c r="C54" i="2"/>
  <c r="G54" i="2"/>
  <c r="B54" i="2" s="1"/>
  <c r="A55" i="2"/>
  <c r="C55" i="2"/>
  <c r="G55" i="2"/>
  <c r="B55" i="2" s="1"/>
  <c r="A56" i="2"/>
  <c r="C56" i="2"/>
  <c r="G56" i="2"/>
  <c r="A57" i="2"/>
  <c r="C57" i="2"/>
  <c r="G57" i="2"/>
  <c r="A58" i="2"/>
  <c r="C58" i="2"/>
  <c r="G58" i="2"/>
  <c r="A59" i="2"/>
  <c r="C59" i="2"/>
  <c r="G59" i="2"/>
  <c r="A60" i="2"/>
  <c r="C60" i="2"/>
  <c r="G60" i="2"/>
  <c r="B60" i="2" s="1"/>
  <c r="A61" i="2"/>
  <c r="C61" i="2"/>
  <c r="G61" i="2"/>
  <c r="B61" i="2" s="1"/>
  <c r="A62" i="2"/>
  <c r="C62" i="2"/>
  <c r="G62" i="2"/>
  <c r="B62" i="2" s="1"/>
  <c r="A63" i="2"/>
  <c r="C63" i="2"/>
  <c r="G63" i="2"/>
  <c r="B63" i="2" s="1"/>
  <c r="G64" i="2"/>
  <c r="A5" i="2"/>
  <c r="G5" i="2"/>
  <c r="J17" i="11"/>
  <c r="K17" i="11"/>
  <c r="L17" i="11"/>
  <c r="M17" i="11"/>
  <c r="N17" i="11"/>
  <c r="O17" i="11"/>
  <c r="J16" i="11"/>
  <c r="K16" i="11"/>
  <c r="L16" i="11"/>
  <c r="M16" i="11"/>
  <c r="N16" i="11"/>
  <c r="O16" i="11"/>
  <c r="J6" i="11"/>
  <c r="K6" i="11"/>
  <c r="L6" i="11"/>
  <c r="M6" i="11"/>
  <c r="N6" i="11"/>
  <c r="O6" i="11"/>
  <c r="J7" i="11"/>
  <c r="K7" i="11"/>
  <c r="L7" i="11"/>
  <c r="M7" i="11"/>
  <c r="N7" i="11"/>
  <c r="O7" i="11"/>
  <c r="J8" i="11"/>
  <c r="K8" i="11"/>
  <c r="L8" i="11"/>
  <c r="M8" i="11"/>
  <c r="N8" i="11"/>
  <c r="O8" i="11"/>
  <c r="J9" i="11"/>
  <c r="K9" i="11"/>
  <c r="L9" i="11"/>
  <c r="M9" i="11"/>
  <c r="N9" i="11"/>
  <c r="O9" i="11"/>
  <c r="J10" i="11"/>
  <c r="K10" i="11"/>
  <c r="L10" i="11"/>
  <c r="M10" i="11"/>
  <c r="N10" i="11"/>
  <c r="O10" i="11"/>
  <c r="J11" i="11"/>
  <c r="K11" i="11"/>
  <c r="L11" i="11"/>
  <c r="M11" i="11"/>
  <c r="N11" i="11"/>
  <c r="O11" i="11"/>
  <c r="J12" i="11"/>
  <c r="K12" i="11"/>
  <c r="L12" i="11"/>
  <c r="M12" i="11"/>
  <c r="N12" i="11"/>
  <c r="O12" i="11"/>
  <c r="J13" i="11"/>
  <c r="K13" i="11"/>
  <c r="L13" i="11"/>
  <c r="M13" i="11"/>
  <c r="N13" i="11"/>
  <c r="O13" i="11"/>
  <c r="J14" i="11"/>
  <c r="K14" i="11"/>
  <c r="L14" i="11"/>
  <c r="M14" i="11"/>
  <c r="N14" i="11"/>
  <c r="O14" i="11"/>
  <c r="J15" i="11"/>
  <c r="K15" i="11"/>
  <c r="L15" i="11"/>
  <c r="M15" i="11"/>
  <c r="N15" i="11"/>
  <c r="O15" i="11"/>
  <c r="J5" i="11"/>
  <c r="K5" i="11"/>
  <c r="L5" i="11"/>
  <c r="M5" i="11"/>
  <c r="N5" i="11"/>
  <c r="O5" i="11"/>
  <c r="K5" i="5" a="1"/>
  <c r="J5" i="5" a="1"/>
  <c r="P179" i="3" l="1" a="1"/>
  <c r="Q179" i="3" a="1"/>
  <c r="AB169" i="2" a="1"/>
  <c r="AC169" i="2" a="1"/>
  <c r="Z170" i="2" a="1"/>
  <c r="AA170" i="2" a="1"/>
  <c r="AB170" i="2" a="1"/>
  <c r="AC170" i="2" a="1"/>
  <c r="U171" i="2" a="1"/>
  <c r="V171" i="2" a="1"/>
  <c r="W171" i="2" a="1"/>
  <c r="X171" i="2" a="1"/>
  <c r="Y171" i="2" a="1"/>
  <c r="Z171" i="2" a="1"/>
  <c r="AA171" i="2" a="1"/>
  <c r="AB171" i="2" a="1"/>
  <c r="AC171" i="2" a="1"/>
  <c r="W172" i="2" a="1"/>
  <c r="X172" i="2" a="1"/>
  <c r="Y172" i="2" a="1"/>
  <c r="Z172" i="2" a="1"/>
  <c r="AA172" i="2" a="1"/>
  <c r="R106" i="8" a="1"/>
  <c r="O184" i="3" a="1"/>
  <c r="P184" i="3" a="1"/>
  <c r="Q184" i="3" a="1"/>
  <c r="S78" i="2" a="1"/>
  <c r="T78" i="2" a="1"/>
  <c r="U78" i="2" a="1"/>
  <c r="V78" i="2" a="1"/>
  <c r="W78" i="2" a="1"/>
  <c r="AB105" i="2" a="1"/>
  <c r="AC105" i="2" a="1"/>
  <c r="S106" i="2" a="1"/>
  <c r="T106" i="2" a="1"/>
  <c r="U106" i="2" a="1"/>
  <c r="AB110" i="2" a="1"/>
  <c r="AC110" i="2" a="1"/>
  <c r="S111" i="2" a="1"/>
  <c r="T111" i="2" a="1"/>
  <c r="U111" i="2" a="1"/>
  <c r="V111" i="2" a="1"/>
  <c r="W111" i="2" a="1"/>
  <c r="X111" i="2" a="1"/>
  <c r="Y111" i="2" a="1"/>
  <c r="Z111" i="2" a="1"/>
  <c r="AA111" i="2" a="1"/>
  <c r="W112" i="2" a="1"/>
  <c r="X112" i="2" a="1"/>
  <c r="Y112" i="2" a="1"/>
  <c r="Z112" i="2" a="1"/>
  <c r="AA112" i="2" a="1"/>
  <c r="AB112" i="2" a="1"/>
  <c r="AC112" i="2" a="1"/>
  <c r="X114" i="2" a="1"/>
  <c r="Y114" i="2" a="1"/>
  <c r="Z114" i="2" a="1"/>
  <c r="AA114" i="2" a="1"/>
  <c r="AB114" i="2" a="1"/>
  <c r="AC114" i="2" a="1"/>
  <c r="S115" i="2" a="1"/>
  <c r="T115" i="2" a="1"/>
  <c r="U115" i="2" a="1"/>
  <c r="V115" i="2" a="1"/>
  <c r="W115" i="2" a="1"/>
  <c r="X115" i="2" a="1"/>
  <c r="Y115" i="2" a="1"/>
  <c r="Z115" i="2" a="1"/>
  <c r="AA115" i="2" a="1"/>
  <c r="Z241" i="2" a="1"/>
  <c r="AA241" i="2" a="1"/>
  <c r="AB241" i="2" a="1"/>
  <c r="S246" i="2" a="1"/>
  <c r="T246" i="2" a="1"/>
  <c r="U246" i="2" a="1"/>
  <c r="V246" i="2" a="1"/>
  <c r="W246" i="2" a="1"/>
  <c r="X246" i="2" a="1"/>
  <c r="Y246" i="2" a="1"/>
  <c r="Z246" i="2" a="1"/>
  <c r="AA246" i="2" a="1"/>
  <c r="AB246" i="2" a="1"/>
  <c r="AC246" i="2" a="1"/>
  <c r="AA247" i="2" a="1"/>
  <c r="AB247" i="2" a="1"/>
  <c r="AC247" i="2" a="1"/>
  <c r="S248" i="2" a="1"/>
  <c r="T248" i="2" a="1"/>
  <c r="U248" i="2" a="1"/>
  <c r="V248" i="2" a="1"/>
  <c r="W248" i="2" a="1"/>
  <c r="X248" i="2" a="1"/>
  <c r="Y248" i="2" a="1"/>
  <c r="Z248" i="2" a="1"/>
  <c r="K59" i="4" a="1"/>
  <c r="P117" i="8" a="1"/>
  <c r="S130" i="8" a="1"/>
  <c r="S138" i="8" a="1"/>
  <c r="S146" i="8" a="1"/>
  <c r="S163" i="8" a="1"/>
  <c r="S197" i="8" a="1"/>
  <c r="S210" i="8" a="1"/>
  <c r="M104" i="3" a="1"/>
  <c r="P96" i="3" a="1"/>
  <c r="Q96" i="3" a="1"/>
  <c r="P103" i="3" a="1"/>
  <c r="Q103" i="3" a="1"/>
  <c r="O103" i="3" a="1"/>
  <c r="N181" i="3" a="1"/>
  <c r="M181" i="3" a="1"/>
  <c r="O181" i="3" a="1"/>
  <c r="P183" i="3" a="1"/>
  <c r="Q183" i="3" a="1"/>
  <c r="AA248" i="2" a="1"/>
  <c r="AB248" i="2" a="1"/>
  <c r="AC248" i="2" a="1"/>
  <c r="S249" i="2" a="1"/>
  <c r="T249" i="2" a="1"/>
  <c r="O76" i="8" a="1"/>
  <c r="P76" i="8" a="1"/>
  <c r="Q76" i="8" a="1"/>
  <c r="S76" i="8" a="1"/>
  <c r="R76" i="8" a="1"/>
  <c r="S90" i="8" a="1"/>
  <c r="R90" i="8" a="1"/>
  <c r="P111" i="8" a="1"/>
  <c r="R111" i="8" a="1"/>
  <c r="O111" i="8" a="1"/>
  <c r="S111" i="8" a="1"/>
  <c r="Q111" i="8" a="1"/>
  <c r="Q112" i="8" a="1"/>
  <c r="P112" i="8" a="1"/>
  <c r="R112" i="8" a="1"/>
  <c r="S112" i="8" a="1"/>
  <c r="O112" i="8" a="1"/>
  <c r="S125" i="8" a="1"/>
  <c r="R125" i="8" a="1"/>
  <c r="R139" i="8" a="1"/>
  <c r="S139" i="8" a="1"/>
  <c r="R145" i="8" a="1"/>
  <c r="P145" i="8" a="1"/>
  <c r="S145" i="8" a="1"/>
  <c r="O148" i="8" a="1"/>
  <c r="Q148" i="8" a="1"/>
  <c r="R148" i="8" a="1"/>
  <c r="P148" i="8" a="1"/>
  <c r="O149" i="8" a="1"/>
  <c r="P149" i="8" a="1"/>
  <c r="Q149" i="8" a="1"/>
  <c r="R149" i="8" a="1"/>
  <c r="R150" i="8" a="1"/>
  <c r="S150" i="8" a="1"/>
  <c r="S154" i="8" a="1"/>
  <c r="R154" i="8" a="1"/>
  <c r="S159" i="8" a="1"/>
  <c r="R159" i="8" a="1"/>
  <c r="Q159" i="8" a="1"/>
  <c r="S160" i="8" a="1"/>
  <c r="R160" i="8" a="1"/>
  <c r="S171" i="8" a="1"/>
  <c r="R171" i="8" a="1"/>
  <c r="Q180" i="8" a="1"/>
  <c r="R180" i="8" a="1"/>
  <c r="S180" i="8" a="1"/>
  <c r="S183" i="8" a="1"/>
  <c r="R183" i="8" a="1"/>
  <c r="S184" i="8" a="1"/>
  <c r="Q184" i="8" a="1"/>
  <c r="P184" i="8" a="1"/>
  <c r="O184" i="8" a="1"/>
  <c r="R184" i="8" a="1"/>
  <c r="O185" i="8" a="1"/>
  <c r="R185" i="8" a="1"/>
  <c r="Q185" i="8" a="1"/>
  <c r="S185" i="8" a="1"/>
  <c r="P185" i="8" a="1"/>
  <c r="P186" i="8" a="1"/>
  <c r="O186" i="8" a="1"/>
  <c r="S186" i="8" a="1"/>
  <c r="R186" i="8" a="1"/>
  <c r="Q186" i="8" a="1"/>
  <c r="R188" i="8" a="1"/>
  <c r="S188" i="8" a="1"/>
  <c r="R195" i="8" a="1"/>
  <c r="Q195" i="8" a="1"/>
  <c r="S195" i="8" a="1"/>
  <c r="Q198" i="8" a="1"/>
  <c r="S198" i="8" a="1"/>
  <c r="R198" i="8" a="1"/>
  <c r="O208" i="8" a="1"/>
  <c r="P208" i="8" a="1"/>
  <c r="R208" i="8" a="1"/>
  <c r="S208" i="8" a="1"/>
  <c r="Q208" i="8" a="1"/>
  <c r="Q209" i="8" a="1"/>
  <c r="S209" i="8" a="1"/>
  <c r="R209" i="8" a="1"/>
  <c r="R214" i="8" a="1"/>
  <c r="S214" i="8" a="1"/>
  <c r="P74" i="8" a="1"/>
  <c r="S74" i="8" a="1"/>
  <c r="Q74" i="8" a="1"/>
  <c r="R74" i="8" a="1"/>
  <c r="O74" i="8" a="1"/>
  <c r="P75" i="8" a="1"/>
  <c r="R75" i="8" a="1"/>
  <c r="S75" i="8" a="1"/>
  <c r="O75" i="8" a="1"/>
  <c r="Q75" i="8" a="1"/>
  <c r="O78" i="8" a="1"/>
  <c r="R78" i="8" a="1"/>
  <c r="P78" i="8" a="1"/>
  <c r="S78" i="8" a="1"/>
  <c r="Q78" i="8" a="1"/>
  <c r="P79" i="8" a="1"/>
  <c r="S79" i="8" a="1"/>
  <c r="R79" i="8" a="1"/>
  <c r="Q79" i="8" a="1"/>
  <c r="O79" i="8" a="1"/>
  <c r="S80" i="8" a="1"/>
  <c r="P80" i="8" a="1"/>
  <c r="Q80" i="8" a="1"/>
  <c r="R80" i="8" a="1"/>
  <c r="O80" i="8" a="1"/>
  <c r="Q81" i="8" a="1"/>
  <c r="R81" i="8" a="1"/>
  <c r="O81" i="8" a="1"/>
  <c r="S81" i="8" a="1"/>
  <c r="P81" i="8" a="1"/>
  <c r="P82" i="8" a="1"/>
  <c r="Q82" i="8" a="1"/>
  <c r="S82" i="8" a="1"/>
  <c r="R82" i="8" a="1"/>
  <c r="O82" i="8" a="1"/>
  <c r="S83" i="8" a="1"/>
  <c r="P83" i="8" a="1"/>
  <c r="Q83" i="8" a="1"/>
  <c r="O83" i="8" a="1"/>
  <c r="R83" i="8" a="1"/>
  <c r="P84" i="8" a="1"/>
  <c r="O84" i="8" a="1"/>
  <c r="Q84" i="8" a="1"/>
  <c r="S84" i="8" a="1"/>
  <c r="R84" i="8" a="1"/>
  <c r="Q85" i="8" a="1"/>
  <c r="S85" i="8" a="1"/>
  <c r="R85" i="8" a="1"/>
  <c r="O85" i="8" a="1"/>
  <c r="P85" i="8" a="1"/>
  <c r="P86" i="8" a="1"/>
  <c r="O86" i="8" a="1"/>
  <c r="Q86" i="8" a="1"/>
  <c r="R86" i="8" a="1"/>
  <c r="S86" i="8" a="1"/>
  <c r="R87" i="8" a="1"/>
  <c r="O87" i="8" a="1"/>
  <c r="S87" i="8" a="1"/>
  <c r="Q87" i="8" a="1"/>
  <c r="P87" i="8" a="1"/>
  <c r="Q88" i="8" a="1"/>
  <c r="P88" i="8" a="1"/>
  <c r="S88" i="8" a="1"/>
  <c r="R88" i="8" a="1"/>
  <c r="O88" i="8" a="1"/>
  <c r="O89" i="8" a="1"/>
  <c r="R89" i="8" a="1"/>
  <c r="P89" i="8" a="1"/>
  <c r="S89" i="8" a="1"/>
  <c r="Q89" i="8" a="1"/>
  <c r="P90" i="8" a="1"/>
  <c r="O90" i="8" a="1"/>
  <c r="Q90" i="8" a="1"/>
  <c r="P91" i="8" a="1"/>
  <c r="Q91" i="8" a="1"/>
  <c r="O91" i="8" a="1"/>
  <c r="R91" i="8" a="1"/>
  <c r="S91" i="8" a="1"/>
  <c r="R92" i="8" a="1"/>
  <c r="Q92" i="8" a="1"/>
  <c r="P92" i="8" a="1"/>
  <c r="O92" i="8" a="1"/>
  <c r="O93" i="8" a="1"/>
  <c r="S93" i="8" a="1"/>
  <c r="P93" i="8" a="1"/>
  <c r="R93" i="8" a="1"/>
  <c r="Q93" i="8" a="1"/>
  <c r="Q94" i="8" a="1"/>
  <c r="O94" i="8" a="1"/>
  <c r="P94" i="8" a="1"/>
  <c r="R94" i="8" a="1"/>
  <c r="S94" i="8" a="1"/>
  <c r="P95" i="8" a="1"/>
  <c r="O95" i="8" a="1"/>
  <c r="S95" i="8" a="1"/>
  <c r="Q95" i="8" a="1"/>
  <c r="R95" i="8" a="1"/>
  <c r="P96" i="8" a="1"/>
  <c r="R96" i="8" a="1"/>
  <c r="S96" i="8" a="1"/>
  <c r="Q96" i="8" a="1"/>
  <c r="O96" i="8" a="1"/>
  <c r="Q97" i="8" a="1"/>
  <c r="R97" i="8" a="1"/>
  <c r="O97" i="8" a="1"/>
  <c r="S97" i="8" a="1"/>
  <c r="P97" i="8" a="1"/>
  <c r="P98" i="8" a="1"/>
  <c r="S98" i="8" a="1"/>
  <c r="R98" i="8" a="1"/>
  <c r="Q98" i="8" a="1"/>
  <c r="O98" i="8" a="1"/>
  <c r="Q99" i="8" a="1"/>
  <c r="R99" i="8" a="1"/>
  <c r="S99" i="8" a="1"/>
  <c r="P99" i="8" a="1"/>
  <c r="O99" i="8" a="1"/>
  <c r="P100" i="8" a="1"/>
  <c r="S100" i="8" a="1"/>
  <c r="Q100" i="8" a="1"/>
  <c r="R100" i="8" a="1"/>
  <c r="O100" i="8" a="1"/>
  <c r="Q101" i="8" a="1"/>
  <c r="R101" i="8" a="1"/>
  <c r="P101" i="8" a="1"/>
  <c r="O101" i="8" a="1"/>
  <c r="Q102" i="8" a="1"/>
  <c r="O102" i="8" a="1"/>
  <c r="R102" i="8" a="1"/>
  <c r="P102" i="8" a="1"/>
  <c r="S102" i="8" a="1"/>
  <c r="Q103" i="8" a="1"/>
  <c r="S103" i="8" a="1"/>
  <c r="O103" i="8" a="1"/>
  <c r="R103" i="8" a="1"/>
  <c r="P103" i="8" a="1"/>
  <c r="R104" i="8" a="1"/>
  <c r="P104" i="8" a="1"/>
  <c r="S104" i="8" a="1"/>
  <c r="O104" i="8" a="1"/>
  <c r="Q104" i="8" a="1"/>
  <c r="O105" i="8" a="1"/>
  <c r="P105" i="8" a="1"/>
  <c r="R105" i="8" a="1"/>
  <c r="S105" i="8" a="1"/>
  <c r="Q105" i="8" a="1"/>
  <c r="O106" i="8" a="1"/>
  <c r="Q106" i="8" a="1"/>
  <c r="S106" i="8" a="1"/>
  <c r="P106" i="8" a="1"/>
  <c r="O107" i="8" a="1"/>
  <c r="S107" i="8" a="1"/>
  <c r="Q107" i="8" a="1"/>
  <c r="P107" i="8" a="1"/>
  <c r="Q108" i="8" a="1"/>
  <c r="R108" i="8" a="1"/>
  <c r="P108" i="8" a="1"/>
  <c r="S108" i="8" a="1"/>
  <c r="O108" i="8" a="1"/>
  <c r="Q109" i="8" a="1"/>
  <c r="O109" i="8" a="1"/>
  <c r="S109" i="8" a="1"/>
  <c r="R109" i="8" a="1"/>
  <c r="P109" i="8" a="1"/>
  <c r="R110" i="8" a="1"/>
  <c r="S110" i="8" a="1"/>
  <c r="Q110" i="8" a="1"/>
  <c r="P110" i="8" a="1"/>
  <c r="O110" i="8" a="1"/>
  <c r="O113" i="8" a="1"/>
  <c r="R113" i="8" a="1"/>
  <c r="Q113" i="8" a="1"/>
  <c r="S113" i="8" a="1"/>
  <c r="P113" i="8" a="1"/>
  <c r="P114" i="8" a="1"/>
  <c r="R114" i="8" a="1"/>
  <c r="Q114" i="8" a="1"/>
  <c r="O114" i="8" a="1"/>
  <c r="S114" i="8" a="1"/>
  <c r="S115" i="8" a="1"/>
  <c r="O115" i="8" a="1"/>
  <c r="R115" i="8" a="1"/>
  <c r="Q115" i="8" a="1"/>
  <c r="P115" i="8" a="1"/>
  <c r="O116" i="8" a="1"/>
  <c r="P116" i="8" a="1"/>
  <c r="Q116" i="8" a="1"/>
  <c r="S116" i="8" a="1"/>
  <c r="R116" i="8" a="1"/>
  <c r="Q117" i="8" a="1"/>
  <c r="O117" i="8" a="1"/>
  <c r="R117" i="8" a="1"/>
  <c r="R118" i="8" a="1"/>
  <c r="Q118" i="8" a="1"/>
  <c r="O118" i="8" a="1"/>
  <c r="P118" i="8" a="1"/>
  <c r="S118" i="8" a="1"/>
  <c r="S119" i="8" a="1"/>
  <c r="O119" i="8" a="1"/>
  <c r="P119" i="8" a="1"/>
  <c r="Q119" i="8" a="1"/>
  <c r="R119" i="8" a="1"/>
  <c r="O120" i="8" a="1"/>
  <c r="S120" i="8" a="1"/>
  <c r="P120" i="8" a="1"/>
  <c r="R120" i="8" a="1"/>
  <c r="Q120" i="8" a="1"/>
  <c r="S121" i="8" a="1"/>
  <c r="O121" i="8" a="1"/>
  <c r="R121" i="8" a="1"/>
  <c r="P121" i="8" a="1"/>
  <c r="Q121" i="8" a="1"/>
  <c r="Q122" i="8" a="1"/>
  <c r="R122" i="8" a="1"/>
  <c r="S122" i="8" a="1"/>
  <c r="O122" i="8" a="1"/>
  <c r="P122" i="8" a="1"/>
  <c r="R123" i="8" a="1"/>
  <c r="O123" i="8" a="1"/>
  <c r="S123" i="8" a="1"/>
  <c r="P123" i="8" a="1"/>
  <c r="Q123" i="8" a="1"/>
  <c r="S124" i="8" a="1"/>
  <c r="R124" i="8" a="1"/>
  <c r="P124" i="8" a="1"/>
  <c r="O124" i="8" a="1"/>
  <c r="Q124" i="8" a="1"/>
  <c r="O125" i="8" a="1"/>
  <c r="P125" i="8" a="1"/>
  <c r="Q125" i="8" a="1"/>
  <c r="S126" i="8" a="1"/>
  <c r="P126" i="8" a="1"/>
  <c r="Q126" i="8" a="1"/>
  <c r="O126" i="8" a="1"/>
  <c r="R126" i="8" a="1"/>
  <c r="O127" i="8" a="1"/>
  <c r="R127" i="8" a="1"/>
  <c r="Q127" i="8" a="1"/>
  <c r="S127" i="8" a="1"/>
  <c r="P127" i="8" a="1"/>
  <c r="P128" i="8" a="1"/>
  <c r="S128" i="8" a="1"/>
  <c r="R128" i="8" a="1"/>
  <c r="Q128" i="8" a="1"/>
  <c r="O128" i="8" a="1"/>
  <c r="O129" i="8" a="1"/>
  <c r="P129" i="8" a="1"/>
  <c r="Q129" i="8" a="1"/>
  <c r="R129" i="8" a="1"/>
  <c r="S129" i="8" a="1"/>
  <c r="O130" i="8" a="1"/>
  <c r="Q130" i="8" a="1"/>
  <c r="R130" i="8" a="1"/>
  <c r="P130" i="8" a="1"/>
  <c r="Q131" i="8" a="1"/>
  <c r="O131" i="8" a="1"/>
  <c r="S131" i="8" a="1"/>
  <c r="R131" i="8" a="1"/>
  <c r="P131" i="8" a="1"/>
  <c r="S132" i="8" a="1"/>
  <c r="Q132" i="8" a="1"/>
  <c r="P132" i="8" a="1"/>
  <c r="O132" i="8" a="1"/>
  <c r="R132" i="8" a="1"/>
  <c r="O133" i="8" a="1"/>
  <c r="R133" i="8" a="1"/>
  <c r="Q133" i="8" a="1"/>
  <c r="S133" i="8" a="1"/>
  <c r="P133" i="8" a="1"/>
  <c r="Q134" i="8" a="1"/>
  <c r="P134" i="8" a="1"/>
  <c r="R134" i="8" a="1"/>
  <c r="S134" i="8" a="1"/>
  <c r="O134" i="8" a="1"/>
  <c r="Q135" i="8" a="1"/>
  <c r="P135" i="8" a="1"/>
  <c r="S135" i="8" a="1"/>
  <c r="R135" i="8" a="1"/>
  <c r="O135" i="8" a="1"/>
  <c r="Q136" i="8" a="1"/>
  <c r="R136" i="8" a="1"/>
  <c r="S136" i="8" a="1"/>
  <c r="O136" i="8" a="1"/>
  <c r="P136" i="8" a="1"/>
  <c r="Q137" i="8" a="1"/>
  <c r="S137" i="8" a="1"/>
  <c r="R137" i="8" a="1"/>
  <c r="O137" i="8" a="1"/>
  <c r="P137" i="8" a="1"/>
  <c r="O138" i="8" a="1"/>
  <c r="R138" i="8" a="1"/>
  <c r="Q138" i="8" a="1"/>
  <c r="P138" i="8" a="1"/>
  <c r="P139" i="8" a="1"/>
  <c r="O139" i="8" a="1"/>
  <c r="Q139" i="8" a="1"/>
  <c r="Q140" i="8" a="1"/>
  <c r="R140" i="8" a="1"/>
  <c r="P140" i="8" a="1"/>
  <c r="O140" i="8" a="1"/>
  <c r="S140" i="8" a="1"/>
  <c r="P141" i="8" a="1"/>
  <c r="R141" i="8" a="1"/>
  <c r="O141" i="8" a="1"/>
  <c r="Q141" i="8" a="1"/>
  <c r="S141" i="8" a="1"/>
  <c r="P142" i="8" a="1"/>
  <c r="S142" i="8" a="1"/>
  <c r="O142" i="8" a="1"/>
  <c r="R142" i="8" a="1"/>
  <c r="Q142" i="8" a="1"/>
  <c r="P143" i="8" a="1"/>
  <c r="S143" i="8" a="1"/>
  <c r="R143" i="8" a="1"/>
  <c r="Q143" i="8" a="1"/>
  <c r="O143" i="8" a="1"/>
  <c r="P144" i="8" a="1"/>
  <c r="S144" i="8" a="1"/>
  <c r="Q144" i="8" a="1"/>
  <c r="O144" i="8" a="1"/>
  <c r="R144" i="8" a="1"/>
  <c r="Q145" i="8" a="1"/>
  <c r="O145" i="8" a="1"/>
  <c r="P146" i="8" a="1"/>
  <c r="R146" i="8" a="1"/>
  <c r="O146" i="8" a="1"/>
  <c r="Q146" i="8" a="1"/>
  <c r="R147" i="8" a="1"/>
  <c r="S147" i="8" a="1"/>
  <c r="Q147" i="8" a="1"/>
  <c r="P147" i="8" a="1"/>
  <c r="O147" i="8" a="1"/>
  <c r="Q150" i="8" a="1"/>
  <c r="O150" i="8" a="1"/>
  <c r="P150" i="8" a="1"/>
  <c r="Q151" i="8" a="1"/>
  <c r="R151" i="8" a="1"/>
  <c r="O151" i="8" a="1"/>
  <c r="P151" i="8" a="1"/>
  <c r="S151" i="8" a="1"/>
  <c r="O152" i="8" a="1"/>
  <c r="P152" i="8" a="1"/>
  <c r="S152" i="8" a="1"/>
  <c r="R152" i="8" a="1"/>
  <c r="Q152" i="8" a="1"/>
  <c r="Q153" i="8" a="1"/>
  <c r="O153" i="8" a="1"/>
  <c r="R153" i="8" a="1"/>
  <c r="P153" i="8" a="1"/>
  <c r="S153" i="8" a="1"/>
  <c r="Q154" i="8" a="1"/>
  <c r="P154" i="8" a="1"/>
  <c r="O154" i="8" a="1"/>
  <c r="P155" i="8" a="1"/>
  <c r="Q155" i="8" a="1"/>
  <c r="O155" i="8" a="1"/>
  <c r="R155" i="8" a="1"/>
  <c r="S155" i="8" a="1"/>
  <c r="Q156" i="8" a="1"/>
  <c r="S156" i="8" a="1"/>
  <c r="O156" i="8" a="1"/>
  <c r="R156" i="8" a="1"/>
  <c r="P156" i="8" a="1"/>
  <c r="Q157" i="8" a="1"/>
  <c r="O157" i="8" a="1"/>
  <c r="R157" i="8" a="1"/>
  <c r="P157" i="8" a="1"/>
  <c r="S157" i="8" a="1"/>
  <c r="O158" i="8" a="1"/>
  <c r="S158" i="8" a="1"/>
  <c r="Q158" i="8" a="1"/>
  <c r="R158" i="8" a="1"/>
  <c r="P158" i="8" a="1"/>
  <c r="O159" i="8" a="1"/>
  <c r="P159" i="8" a="1"/>
  <c r="Q160" i="8" a="1"/>
  <c r="P160" i="8" a="1"/>
  <c r="O160" i="8" a="1"/>
  <c r="S161" i="8" a="1"/>
  <c r="Q161" i="8" a="1"/>
  <c r="R161" i="8" a="1"/>
  <c r="P161" i="8" a="1"/>
  <c r="O161" i="8" a="1"/>
  <c r="S162" i="8" a="1"/>
  <c r="Q162" i="8" a="1"/>
  <c r="O162" i="8" a="1"/>
  <c r="R162" i="8" a="1"/>
  <c r="P162" i="8" a="1"/>
  <c r="P163" i="8" a="1"/>
  <c r="R163" i="8" a="1"/>
  <c r="O163" i="8" a="1"/>
  <c r="Q163" i="8" a="1"/>
  <c r="P164" i="8" a="1"/>
  <c r="S164" i="8" a="1"/>
  <c r="Q164" i="8" a="1"/>
  <c r="R164" i="8" a="1"/>
  <c r="O164" i="8" a="1"/>
  <c r="S165" i="8" a="1"/>
  <c r="R165" i="8" a="1"/>
  <c r="P165" i="8" a="1"/>
  <c r="O165" i="8" a="1"/>
  <c r="Q165" i="8" a="1"/>
  <c r="S166" i="8" a="1"/>
  <c r="Q166" i="8" a="1"/>
  <c r="P166" i="8" a="1"/>
  <c r="O166" i="8" a="1"/>
  <c r="R166" i="8" a="1"/>
  <c r="Q167" i="8" a="1"/>
  <c r="R167" i="8" a="1"/>
  <c r="O167" i="8" a="1"/>
  <c r="P167" i="8" a="1"/>
  <c r="S167" i="8" a="1"/>
  <c r="R168" i="8" a="1"/>
  <c r="P168" i="8" a="1"/>
  <c r="O168" i="8" a="1"/>
  <c r="Q168" i="8" a="1"/>
  <c r="S168" i="8" a="1"/>
  <c r="O169" i="8" a="1"/>
  <c r="Q169" i="8" a="1"/>
  <c r="S169" i="8" a="1"/>
  <c r="P169" i="8" a="1"/>
  <c r="R169" i="8" a="1"/>
  <c r="S170" i="8" a="1"/>
  <c r="Q170" i="8" a="1"/>
  <c r="P170" i="8" a="1"/>
  <c r="O170" i="8" a="1"/>
  <c r="Q171" i="8" a="1"/>
  <c r="O171" i="8" a="1"/>
  <c r="P171" i="8" a="1"/>
  <c r="S172" i="8" a="1"/>
  <c r="P172" i="8" a="1"/>
  <c r="O172" i="8" a="1"/>
  <c r="Q172" i="8" a="1"/>
  <c r="R172" i="8" a="1"/>
  <c r="Q173" i="8" a="1"/>
  <c r="P173" i="8" a="1"/>
  <c r="R173" i="8" a="1"/>
  <c r="O173" i="8" a="1"/>
  <c r="S173" i="8" a="1"/>
  <c r="S174" i="8" a="1"/>
  <c r="P174" i="8" a="1"/>
  <c r="R174" i="8" a="1"/>
  <c r="Q174" i="8" a="1"/>
  <c r="O174" i="8" a="1"/>
  <c r="P175" i="8" a="1"/>
  <c r="Q175" i="8" a="1"/>
  <c r="R175" i="8" a="1"/>
  <c r="O175" i="8" a="1"/>
  <c r="S175" i="8" a="1"/>
  <c r="P176" i="8" a="1"/>
  <c r="S176" i="8" a="1"/>
  <c r="O176" i="8" a="1"/>
  <c r="R176" i="8" a="1"/>
  <c r="Q176" i="8" a="1"/>
  <c r="R177" i="8" a="1"/>
  <c r="Q177" i="8" a="1"/>
  <c r="S177" i="8" a="1"/>
  <c r="P177" i="8" a="1"/>
  <c r="O177" i="8" a="1"/>
  <c r="O178" i="8" a="1"/>
  <c r="P178" i="8" a="1"/>
  <c r="S178" i="8" a="1"/>
  <c r="Q178" i="8" a="1"/>
  <c r="R178" i="8" a="1"/>
  <c r="Q179" i="8" a="1"/>
  <c r="S179" i="8" a="1"/>
  <c r="P179" i="8" a="1"/>
  <c r="R179" i="8" a="1"/>
  <c r="O179" i="8" a="1"/>
  <c r="O180" i="8" a="1"/>
  <c r="P180" i="8" a="1"/>
  <c r="R181" i="8" a="1"/>
  <c r="S181" i="8" a="1"/>
  <c r="Q181" i="8" a="1"/>
  <c r="P181" i="8" a="1"/>
  <c r="O181" i="8" a="1"/>
  <c r="Q182" i="8" a="1"/>
  <c r="P182" i="8" a="1"/>
  <c r="R182" i="8" a="1"/>
  <c r="O182" i="8" a="1"/>
  <c r="S182" i="8" a="1"/>
  <c r="P183" i="8" a="1"/>
  <c r="Q183" i="8" a="1"/>
  <c r="O183" i="8" a="1"/>
  <c r="O187" i="8" a="1"/>
  <c r="Q187" i="8" a="1"/>
  <c r="P187" i="8" a="1"/>
  <c r="R187" i="8" a="1"/>
  <c r="O188" i="8" a="1"/>
  <c r="P188" i="8" a="1"/>
  <c r="Q188" i="8" a="1"/>
  <c r="Q189" i="8" a="1"/>
  <c r="R189" i="8" a="1"/>
  <c r="O189" i="8" a="1"/>
  <c r="P189" i="8" a="1"/>
  <c r="S189" i="8" a="1"/>
  <c r="Q190" i="8" a="1"/>
  <c r="R190" i="8" a="1"/>
  <c r="O190" i="8" a="1"/>
  <c r="P190" i="8" a="1"/>
  <c r="S190" i="8" a="1"/>
  <c r="P191" i="8" a="1"/>
  <c r="R191" i="8" a="1"/>
  <c r="O191" i="8" a="1"/>
  <c r="Q191" i="8" a="1"/>
  <c r="S191" i="8" a="1"/>
  <c r="Q192" i="8" a="1"/>
  <c r="R192" i="8" a="1"/>
  <c r="O192" i="8" a="1"/>
  <c r="P192" i="8" a="1"/>
  <c r="S192" i="8" a="1"/>
  <c r="R193" i="8" a="1"/>
  <c r="S193" i="8" a="1"/>
  <c r="Q193" i="8" a="1"/>
  <c r="P193" i="8" a="1"/>
  <c r="O193" i="8" a="1"/>
  <c r="Q194" i="8" a="1"/>
  <c r="O194" i="8" a="1"/>
  <c r="P195" i="8" a="1"/>
  <c r="O195" i="8" a="1"/>
  <c r="R196" i="8" a="1"/>
  <c r="Q196" i="8" a="1"/>
  <c r="P196" i="8" a="1"/>
  <c r="O196" i="8" a="1"/>
  <c r="S196" i="8" a="1"/>
  <c r="Q197" i="8" a="1"/>
  <c r="R197" i="8" a="1"/>
  <c r="O197" i="8" a="1"/>
  <c r="P197" i="8" a="1"/>
  <c r="O198" i="8" a="1"/>
  <c r="P198" i="8" a="1"/>
  <c r="O199" i="8" a="1"/>
  <c r="Q199" i="8" a="1"/>
  <c r="P199" i="8" a="1"/>
  <c r="S199" i="8" a="1"/>
  <c r="R199" i="8" a="1"/>
  <c r="S200" i="8" a="1"/>
  <c r="Q200" i="8" a="1"/>
  <c r="R200" i="8" a="1"/>
  <c r="P200" i="8" a="1"/>
  <c r="O200" i="8" a="1"/>
  <c r="R201" i="8" a="1"/>
  <c r="P201" i="8" a="1"/>
  <c r="Q201" i="8" a="1"/>
  <c r="O201" i="8" a="1"/>
  <c r="S201" i="8" a="1"/>
  <c r="O202" i="8" a="1"/>
  <c r="S202" i="8" a="1"/>
  <c r="R202" i="8" a="1"/>
  <c r="Q202" i="8" a="1"/>
  <c r="P202" i="8" a="1"/>
  <c r="R203" i="8" a="1"/>
  <c r="P203" i="8" a="1"/>
  <c r="Q203" i="8" a="1"/>
  <c r="S203" i="8" a="1"/>
  <c r="O203" i="8" a="1"/>
  <c r="R204" i="8" a="1"/>
  <c r="S204" i="8" a="1"/>
  <c r="Q204" i="8" a="1"/>
  <c r="P204" i="8" a="1"/>
  <c r="O204" i="8" a="1"/>
  <c r="P205" i="8" a="1"/>
  <c r="Q205" i="8" a="1"/>
  <c r="O205" i="8" a="1"/>
  <c r="S205" i="8" a="1"/>
  <c r="R205" i="8" a="1"/>
  <c r="O206" i="8" a="1"/>
  <c r="R206" i="8" a="1"/>
  <c r="Q206" i="8" a="1"/>
  <c r="S206" i="8" a="1"/>
  <c r="P206" i="8" a="1"/>
  <c r="S207" i="8" a="1"/>
  <c r="Q207" i="8" a="1"/>
  <c r="R207" i="8" a="1"/>
  <c r="O207" i="8" a="1"/>
  <c r="P207" i="8" a="1"/>
  <c r="O209" i="8" a="1"/>
  <c r="P209" i="8" a="1"/>
  <c r="Q210" i="8" a="1"/>
  <c r="P210" i="8" a="1"/>
  <c r="O210" i="8" a="1"/>
  <c r="R210" i="8" a="1"/>
  <c r="P211" i="8" a="1"/>
  <c r="S211" i="8" a="1"/>
  <c r="Q211" i="8" a="1"/>
  <c r="O211" i="8" a="1"/>
  <c r="R211" i="8" a="1"/>
  <c r="S212" i="8" a="1"/>
  <c r="R212" i="8" a="1"/>
  <c r="O212" i="8" a="1"/>
  <c r="P212" i="8" a="1"/>
  <c r="Q212" i="8" a="1"/>
  <c r="Q213" i="8" a="1"/>
  <c r="R213" i="8" a="1"/>
  <c r="S213" i="8" a="1"/>
  <c r="P213" i="8" a="1"/>
  <c r="O213" i="8" a="1"/>
  <c r="Q214" i="8" a="1"/>
  <c r="P214" i="8" a="1"/>
  <c r="O214" i="8" a="1"/>
  <c r="S5" i="8" a="1"/>
  <c r="O5" i="8" a="1"/>
  <c r="Q5" i="8" a="1"/>
  <c r="R5" i="8" a="1"/>
  <c r="P5" i="8" a="1"/>
  <c r="K39" i="6" a="1"/>
  <c r="B37" i="6"/>
  <c r="J37" i="6" a="1"/>
  <c r="K37" i="6" a="1"/>
  <c r="B41" i="6"/>
  <c r="K41" i="6" a="1"/>
  <c r="J41" i="6" a="1"/>
  <c r="B43" i="6"/>
  <c r="K43" i="6" a="1"/>
  <c r="B64" i="6"/>
  <c r="K64" i="6" a="1"/>
  <c r="J64" i="6" a="1"/>
  <c r="K81" i="6" a="1"/>
  <c r="B81" i="6"/>
  <c r="J81" i="6" a="1"/>
  <c r="B82" i="6"/>
  <c r="J82" i="6" a="1"/>
  <c r="B105" i="6"/>
  <c r="K105" i="6" a="1"/>
  <c r="J105" i="6" a="1"/>
  <c r="B34" i="6"/>
  <c r="J34" i="6" a="1"/>
  <c r="K34" i="6" a="1"/>
  <c r="B35" i="6"/>
  <c r="K35" i="6" a="1"/>
  <c r="J35" i="6" a="1"/>
  <c r="B36" i="6"/>
  <c r="J36" i="6" a="1"/>
  <c r="K36" i="6" a="1"/>
  <c r="B38" i="6"/>
  <c r="K38" i="6" a="1"/>
  <c r="J38" i="6" a="1"/>
  <c r="B39" i="6"/>
  <c r="J39" i="6" a="1"/>
  <c r="B40" i="6"/>
  <c r="J40" i="6" a="1"/>
  <c r="K40" i="6" a="1"/>
  <c r="B42" i="6"/>
  <c r="J42" i="6" a="1"/>
  <c r="K42" i="6" a="1"/>
  <c r="J44" i="6" a="1"/>
  <c r="B44" i="6"/>
  <c r="J45" i="6" a="1"/>
  <c r="K45" i="6" a="1"/>
  <c r="B45" i="6"/>
  <c r="J46" i="6" a="1"/>
  <c r="K46" i="6" a="1"/>
  <c r="B46" i="6"/>
  <c r="J47" i="6" a="1"/>
  <c r="B47" i="6"/>
  <c r="B49" i="6"/>
  <c r="J49" i="6" a="1"/>
  <c r="B50" i="6"/>
  <c r="J50" i="6" a="1"/>
  <c r="K50" i="6" a="1"/>
  <c r="J51" i="6" a="1"/>
  <c r="B51" i="6"/>
  <c r="K51" i="6" a="1"/>
  <c r="J52" i="6" a="1"/>
  <c r="B52" i="6"/>
  <c r="K52" i="6" a="1"/>
  <c r="B53" i="6"/>
  <c r="J53" i="6" a="1"/>
  <c r="B54" i="6"/>
  <c r="J54" i="6" a="1"/>
  <c r="K54" i="6" a="1"/>
  <c r="B55" i="6"/>
  <c r="K55" i="6" a="1"/>
  <c r="J55" i="6" a="1"/>
  <c r="B56" i="6"/>
  <c r="J56" i="6" a="1"/>
  <c r="K56" i="6" a="1"/>
  <c r="J57" i="6" a="1"/>
  <c r="B57" i="6"/>
  <c r="K58" i="6" a="1"/>
  <c r="J58" i="6" a="1"/>
  <c r="B58" i="6"/>
  <c r="J59" i="6" a="1"/>
  <c r="B59" i="6"/>
  <c r="K59" i="6" a="1"/>
  <c r="B60" i="6"/>
  <c r="J60" i="6" a="1"/>
  <c r="K61" i="6" a="1"/>
  <c r="J61" i="6" a="1"/>
  <c r="B61" i="6"/>
  <c r="J62" i="6" a="1"/>
  <c r="B62" i="6"/>
  <c r="K63" i="6" a="1"/>
  <c r="B63" i="6"/>
  <c r="J63" i="6" a="1"/>
  <c r="B65" i="6"/>
  <c r="K65" i="6" a="1"/>
  <c r="J65" i="6" a="1"/>
  <c r="B66" i="6"/>
  <c r="K66" i="6" a="1"/>
  <c r="J66" i="6" a="1"/>
  <c r="B67" i="6"/>
  <c r="K67" i="6" a="1"/>
  <c r="J67" i="6" a="1"/>
  <c r="B68" i="6"/>
  <c r="K68" i="6" a="1"/>
  <c r="B69" i="6"/>
  <c r="J69" i="6" a="1"/>
  <c r="K70" i="6" a="1"/>
  <c r="B70" i="6"/>
  <c r="J70" i="6" a="1"/>
  <c r="J71" i="6" a="1"/>
  <c r="B71" i="6"/>
  <c r="J72" i="6" a="1"/>
  <c r="B72" i="6"/>
  <c r="J73" i="6" a="1"/>
  <c r="B73" i="6"/>
  <c r="J74" i="6" a="1"/>
  <c r="B74" i="6"/>
  <c r="K74" i="6" a="1"/>
  <c r="B75" i="6"/>
  <c r="J75" i="6" a="1"/>
  <c r="K76" i="6" a="1"/>
  <c r="B76" i="6"/>
  <c r="J76" i="6" a="1"/>
  <c r="J77" i="6" a="1"/>
  <c r="K77" i="6" a="1"/>
  <c r="B77" i="6"/>
  <c r="K78" i="6" a="1"/>
  <c r="J78" i="6" a="1"/>
  <c r="B78" i="6"/>
  <c r="J79" i="6" a="1"/>
  <c r="K79" i="6" a="1"/>
  <c r="B79" i="6"/>
  <c r="K80" i="6" a="1"/>
  <c r="J80" i="6" a="1"/>
  <c r="B80" i="6"/>
  <c r="J84" i="6" a="1"/>
  <c r="B84" i="6"/>
  <c r="K84" i="6" a="1"/>
  <c r="J85" i="6" a="1"/>
  <c r="B85" i="6"/>
  <c r="J86" i="6" a="1"/>
  <c r="B86" i="6"/>
  <c r="B87" i="6"/>
  <c r="J87" i="6" a="1"/>
  <c r="K87" i="6" a="1"/>
  <c r="B88" i="6"/>
  <c r="J88" i="6" a="1"/>
  <c r="J89" i="6" a="1"/>
  <c r="B89" i="6"/>
  <c r="K89" i="6" a="1"/>
  <c r="B90" i="6"/>
  <c r="J90" i="6" a="1"/>
  <c r="K91" i="6" a="1"/>
  <c r="J91" i="6" a="1"/>
  <c r="B91" i="6"/>
  <c r="K92" i="6" a="1"/>
  <c r="B92" i="6"/>
  <c r="J92" i="6" a="1"/>
  <c r="K93" i="6" a="1"/>
  <c r="J93" i="6" a="1"/>
  <c r="B93" i="6"/>
  <c r="B94" i="6"/>
  <c r="J94" i="6" a="1"/>
  <c r="J96" i="6" a="1"/>
  <c r="K96" i="6" a="1"/>
  <c r="B96" i="6"/>
  <c r="J97" i="6" a="1"/>
  <c r="K97" i="6" a="1"/>
  <c r="B97" i="6"/>
  <c r="J98" i="6" a="1"/>
  <c r="B98" i="6"/>
  <c r="K98" i="6" a="1"/>
  <c r="B99" i="6"/>
  <c r="J99" i="6" a="1"/>
  <c r="B100" i="6"/>
  <c r="K100" i="6" a="1"/>
  <c r="J100" i="6" a="1"/>
  <c r="B101" i="6"/>
  <c r="J101" i="6" a="1"/>
  <c r="J102" i="6" a="1"/>
  <c r="B102" i="6"/>
  <c r="K103" i="6" a="1"/>
  <c r="B103" i="6"/>
  <c r="J103" i="6" a="1"/>
  <c r="J104" i="6" a="1"/>
  <c r="B104" i="6"/>
  <c r="B106" i="6"/>
  <c r="K106" i="6" a="1"/>
  <c r="J106" i="6" a="1"/>
  <c r="K107" i="6" a="1"/>
  <c r="J107" i="6" a="1"/>
  <c r="B107" i="6"/>
  <c r="K108" i="6" a="1"/>
  <c r="B108" i="6"/>
  <c r="J108" i="6" a="1"/>
  <c r="K109" i="6" a="1"/>
  <c r="J109" i="6" a="1"/>
  <c r="B109" i="6"/>
  <c r="J110" i="6" a="1"/>
  <c r="B110" i="6"/>
  <c r="K112" i="6" a="1"/>
  <c r="J112" i="6" a="1"/>
  <c r="B112" i="6"/>
  <c r="J114" i="6" a="1"/>
  <c r="B114" i="6"/>
  <c r="B115" i="6"/>
  <c r="J115" i="6" a="1"/>
  <c r="J116" i="6" a="1"/>
  <c r="K116" i="6" a="1"/>
  <c r="B116" i="6"/>
  <c r="K118" i="6" a="1"/>
  <c r="B118" i="6"/>
  <c r="J118" i="6" a="1"/>
  <c r="B119" i="6"/>
  <c r="J119" i="6" a="1"/>
  <c r="B120" i="6"/>
  <c r="J120" i="6" a="1"/>
  <c r="J122" i="6" a="1"/>
  <c r="B122" i="6"/>
  <c r="B123" i="6"/>
  <c r="J123" i="6" a="1"/>
  <c r="J124" i="6" a="1"/>
  <c r="B124" i="6"/>
  <c r="K124" i="6" a="1"/>
  <c r="B63" i="5"/>
  <c r="J63" i="5" a="1"/>
  <c r="K63" i="5" a="1"/>
  <c r="J114" i="5" a="1"/>
  <c r="K126" i="5" a="1"/>
  <c r="B81" i="5"/>
  <c r="J81" i="5" a="1"/>
  <c r="K81" i="5" a="1"/>
  <c r="B102" i="5"/>
  <c r="J102" i="5" a="1"/>
  <c r="K102" i="5" a="1"/>
  <c r="B128" i="5"/>
  <c r="J128" i="5" a="1"/>
  <c r="K128" i="5" a="1"/>
  <c r="B41" i="5"/>
  <c r="J41" i="5" a="1"/>
  <c r="K42" i="5" a="1"/>
  <c r="J42" i="5" a="1"/>
  <c r="B43" i="5"/>
  <c r="K43" i="5" a="1"/>
  <c r="J43" i="5" a="1"/>
  <c r="B73" i="5"/>
  <c r="K73" i="5" a="1"/>
  <c r="J73" i="5" a="1"/>
  <c r="B79" i="5"/>
  <c r="J79" i="5" a="1"/>
  <c r="B80" i="5"/>
  <c r="J80" i="5" a="1"/>
  <c r="B82" i="5"/>
  <c r="J82" i="5" a="1"/>
  <c r="B83" i="5"/>
  <c r="K83" i="5" a="1"/>
  <c r="J83" i="5" a="1"/>
  <c r="B85" i="5"/>
  <c r="J85" i="5" a="1"/>
  <c r="B124" i="5"/>
  <c r="J124" i="5" a="1"/>
  <c r="B125" i="5"/>
  <c r="J125" i="5" a="1"/>
  <c r="B126" i="5"/>
  <c r="J126" i="5" a="1"/>
  <c r="B127" i="5"/>
  <c r="J127" i="5" a="1"/>
  <c r="B129" i="5"/>
  <c r="J129" i="5" a="1"/>
  <c r="K129" i="5" a="1"/>
  <c r="B147" i="5"/>
  <c r="K147" i="5" a="1"/>
  <c r="J147" i="5" a="1"/>
  <c r="K34" i="5" a="1"/>
  <c r="J34" i="5" a="1"/>
  <c r="B34" i="5"/>
  <c r="K35" i="5" a="1"/>
  <c r="B35" i="5"/>
  <c r="J35" i="5" a="1"/>
  <c r="B36" i="5"/>
  <c r="K36" i="5" a="1"/>
  <c r="B38" i="5"/>
  <c r="J38" i="5" a="1"/>
  <c r="K38" i="5" a="1"/>
  <c r="K40" i="5" a="1"/>
  <c r="J40" i="5" a="1"/>
  <c r="B40" i="5"/>
  <c r="J45" i="5" a="1"/>
  <c r="B45" i="5"/>
  <c r="J46" i="5" a="1"/>
  <c r="B46" i="5"/>
  <c r="J47" i="5" a="1"/>
  <c r="K47" i="5" a="1"/>
  <c r="B47" i="5"/>
  <c r="B48" i="5"/>
  <c r="K48" i="5" a="1"/>
  <c r="J48" i="5" a="1"/>
  <c r="B49" i="5"/>
  <c r="J49" i="5" a="1"/>
  <c r="K49" i="5" a="1"/>
  <c r="B50" i="5"/>
  <c r="J50" i="5" a="1"/>
  <c r="K50" i="5" a="1"/>
  <c r="J51" i="5" a="1"/>
  <c r="B51" i="5"/>
  <c r="J52" i="5" a="1"/>
  <c r="B52" i="5"/>
  <c r="K52" i="5" a="1"/>
  <c r="B53" i="5"/>
  <c r="K53" i="5" a="1"/>
  <c r="J53" i="5" a="1"/>
  <c r="J54" i="5" a="1"/>
  <c r="B54" i="5"/>
  <c r="K54" i="5" a="1"/>
  <c r="J55" i="5" a="1"/>
  <c r="K55" i="5" a="1"/>
  <c r="B55" i="5"/>
  <c r="K56" i="5" a="1"/>
  <c r="B56" i="5"/>
  <c r="J56" i="5" a="1"/>
  <c r="J57" i="5" a="1"/>
  <c r="K57" i="5" a="1"/>
  <c r="B57" i="5"/>
  <c r="J58" i="5" a="1"/>
  <c r="K58" i="5" a="1"/>
  <c r="B58" i="5"/>
  <c r="K59" i="5" a="1"/>
  <c r="B59" i="5"/>
  <c r="J59" i="5" a="1"/>
  <c r="B60" i="5"/>
  <c r="J60" i="5" a="1"/>
  <c r="K61" i="5" a="1"/>
  <c r="J61" i="5" a="1"/>
  <c r="B61" i="5"/>
  <c r="B62" i="5"/>
  <c r="J62" i="5" a="1"/>
  <c r="K62" i="5" a="1"/>
  <c r="B64" i="5"/>
  <c r="J64" i="5" a="1"/>
  <c r="K64" i="5" a="1"/>
  <c r="J65" i="5" a="1"/>
  <c r="B65" i="5"/>
  <c r="K65" i="5" a="1"/>
  <c r="K66" i="5" a="1"/>
  <c r="J66" i="5" a="1"/>
  <c r="B66" i="5"/>
  <c r="K67" i="5" a="1"/>
  <c r="J67" i="5" a="1"/>
  <c r="B67" i="5"/>
  <c r="J68" i="5" a="1"/>
  <c r="K68" i="5" a="1"/>
  <c r="B68" i="5"/>
  <c r="K69" i="5" a="1"/>
  <c r="B69" i="5"/>
  <c r="J69" i="5" a="1"/>
  <c r="B70" i="5"/>
  <c r="J70" i="5" a="1"/>
  <c r="K71" i="5" a="1"/>
  <c r="J71" i="5" a="1"/>
  <c r="B71" i="5"/>
  <c r="B72" i="5"/>
  <c r="K72" i="5" a="1"/>
  <c r="J72" i="5" a="1"/>
  <c r="B74" i="5"/>
  <c r="K74" i="5" a="1"/>
  <c r="J74" i="5" a="1"/>
  <c r="K75" i="5" a="1"/>
  <c r="J75" i="5" a="1"/>
  <c r="B75" i="5"/>
  <c r="K76" i="5" a="1"/>
  <c r="B76" i="5"/>
  <c r="J76" i="5" a="1"/>
  <c r="J77" i="5" a="1"/>
  <c r="B77" i="5"/>
  <c r="K77" i="5" a="1"/>
  <c r="K78" i="5" a="1"/>
  <c r="B78" i="5"/>
  <c r="J78" i="5" a="1"/>
  <c r="J84" i="5" a="1"/>
  <c r="B84" i="5"/>
  <c r="K84" i="5" a="1"/>
  <c r="B86" i="5"/>
  <c r="K86" i="5" a="1"/>
  <c r="J86" i="5" a="1"/>
  <c r="B87" i="5"/>
  <c r="J87" i="5" a="1"/>
  <c r="K87" i="5" a="1"/>
  <c r="J88" i="5" a="1"/>
  <c r="B88" i="5"/>
  <c r="K88" i="5" a="1"/>
  <c r="J89" i="5" a="1"/>
  <c r="B89" i="5"/>
  <c r="K89" i="5" a="1"/>
  <c r="B90" i="5"/>
  <c r="J90" i="5" a="1"/>
  <c r="K91" i="5" a="1"/>
  <c r="B91" i="5"/>
  <c r="J91" i="5" a="1"/>
  <c r="K92" i="5" a="1"/>
  <c r="J92" i="5" a="1"/>
  <c r="B92" i="5"/>
  <c r="J93" i="5" a="1"/>
  <c r="B93" i="5"/>
  <c r="J94" i="5" a="1"/>
  <c r="K94" i="5" a="1"/>
  <c r="B94" i="5"/>
  <c r="J95" i="5" a="1"/>
  <c r="K95" i="5" a="1"/>
  <c r="B95" i="5"/>
  <c r="J96" i="5" a="1"/>
  <c r="B96" i="5"/>
  <c r="K97" i="5" a="1"/>
  <c r="B97" i="5"/>
  <c r="J97" i="5" a="1"/>
  <c r="J98" i="5" a="1"/>
  <c r="B98" i="5"/>
  <c r="K98" i="5" a="1"/>
  <c r="B99" i="5"/>
  <c r="K99" i="5" a="1"/>
  <c r="J99" i="5" a="1"/>
  <c r="B100" i="5"/>
  <c r="J100" i="5" a="1"/>
  <c r="B101" i="5"/>
  <c r="K101" i="5" a="1"/>
  <c r="J101" i="5" a="1"/>
  <c r="K103" i="5" a="1"/>
  <c r="B103" i="5"/>
  <c r="J103" i="5" a="1"/>
  <c r="J104" i="5" a="1"/>
  <c r="B104" i="5"/>
  <c r="B105" i="5"/>
  <c r="J105" i="5" a="1"/>
  <c r="K105" i="5" a="1"/>
  <c r="K106" i="5" a="1"/>
  <c r="B106" i="5"/>
  <c r="J106" i="5" a="1"/>
  <c r="K107" i="5" a="1"/>
  <c r="B107" i="5"/>
  <c r="J107" i="5" a="1"/>
  <c r="J108" i="5" a="1"/>
  <c r="K108" i="5" a="1"/>
  <c r="B108" i="5"/>
  <c r="B109" i="5"/>
  <c r="J109" i="5" a="1"/>
  <c r="K109" i="5" a="1"/>
  <c r="B110" i="5"/>
  <c r="K110" i="5" a="1"/>
  <c r="J110" i="5" a="1"/>
  <c r="K111" i="5" a="1"/>
  <c r="J111" i="5" a="1"/>
  <c r="B111" i="5"/>
  <c r="K112" i="5" a="1"/>
  <c r="J112" i="5" a="1"/>
  <c r="B112" i="5"/>
  <c r="J113" i="5" a="1"/>
  <c r="K113" i="5" a="1"/>
  <c r="B113" i="5"/>
  <c r="B114" i="5"/>
  <c r="K114" i="5" a="1"/>
  <c r="K115" i="5" a="1"/>
  <c r="J115" i="5" a="1"/>
  <c r="B115" i="5"/>
  <c r="B116" i="5"/>
  <c r="J116" i="5" a="1"/>
  <c r="K116" i="5" a="1"/>
  <c r="B117" i="5"/>
  <c r="K117" i="5" a="1"/>
  <c r="J117" i="5" a="1"/>
  <c r="B118" i="5"/>
  <c r="J118" i="5" a="1"/>
  <c r="K118" i="5" a="1"/>
  <c r="K119" i="5" a="1"/>
  <c r="B119" i="5"/>
  <c r="J119" i="5" a="1"/>
  <c r="B120" i="5"/>
  <c r="J120" i="5" a="1"/>
  <c r="K120" i="5" a="1"/>
  <c r="J121" i="5" a="1"/>
  <c r="K121" i="5" a="1"/>
  <c r="B121" i="5"/>
  <c r="B122" i="5"/>
  <c r="J122" i="5" a="1"/>
  <c r="B123" i="5"/>
  <c r="K123" i="5" a="1"/>
  <c r="J123" i="5" a="1"/>
  <c r="J130" i="5" a="1"/>
  <c r="B130" i="5"/>
  <c r="K130" i="5" a="1"/>
  <c r="J131" i="5" a="1"/>
  <c r="B131" i="5"/>
  <c r="K131" i="5" a="1"/>
  <c r="B132" i="5"/>
  <c r="K132" i="5" a="1"/>
  <c r="J132" i="5" a="1"/>
  <c r="B133" i="5"/>
  <c r="J133" i="5" a="1"/>
  <c r="K134" i="5" a="1"/>
  <c r="B134" i="5"/>
  <c r="J134" i="5" a="1"/>
  <c r="J135" i="5" a="1"/>
  <c r="B135" i="5"/>
  <c r="K135" i="5" a="1"/>
  <c r="B136" i="5"/>
  <c r="K136" i="5" a="1"/>
  <c r="J136" i="5" a="1"/>
  <c r="B137" i="5"/>
  <c r="K137" i="5" a="1"/>
  <c r="J137" i="5" a="1"/>
  <c r="J138" i="5" a="1"/>
  <c r="B138" i="5"/>
  <c r="K139" i="5" a="1"/>
  <c r="B139" i="5"/>
  <c r="J139" i="5" a="1"/>
  <c r="B140" i="5"/>
  <c r="J140" i="5" a="1"/>
  <c r="J141" i="5" a="1"/>
  <c r="K141" i="5" a="1"/>
  <c r="B141" i="5"/>
  <c r="J142" i="5" a="1"/>
  <c r="B142" i="5"/>
  <c r="J143" i="5" a="1"/>
  <c r="B143" i="5"/>
  <c r="K143" i="5" a="1"/>
  <c r="B144" i="5"/>
  <c r="K144" i="5" a="1"/>
  <c r="J144" i="5" a="1"/>
  <c r="B145" i="5"/>
  <c r="J145" i="5" a="1"/>
  <c r="J146" i="5" a="1"/>
  <c r="B146" i="5"/>
  <c r="K146" i="5" a="1"/>
  <c r="B148" i="5"/>
  <c r="K148" i="5" a="1"/>
  <c r="J148" i="5" a="1"/>
  <c r="J149" i="5" a="1"/>
  <c r="B149" i="5"/>
  <c r="B150" i="5"/>
  <c r="K150" i="5" a="1"/>
  <c r="J150" i="5" a="1"/>
  <c r="K151" i="5" a="1"/>
  <c r="J151" i="5" a="1"/>
  <c r="B151" i="5"/>
  <c r="J152" i="5" a="1"/>
  <c r="K152" i="5" a="1"/>
  <c r="B152" i="5"/>
  <c r="B153" i="5"/>
  <c r="K153" i="5" a="1"/>
  <c r="J153" i="5" a="1"/>
  <c r="J154" i="5" a="1"/>
  <c r="B154" i="5"/>
  <c r="O66" i="3" a="1"/>
  <c r="Q173" i="3" a="1"/>
  <c r="M96" i="3" a="1"/>
  <c r="P67" i="3" a="1"/>
  <c r="Q67" i="3" a="1"/>
  <c r="P70" i="3" a="1"/>
  <c r="Q70" i="3" a="1"/>
  <c r="O70" i="3" a="1"/>
  <c r="O72" i="3" a="1"/>
  <c r="Q72" i="3" a="1"/>
  <c r="N72" i="3" a="1"/>
  <c r="M72" i="3" a="1"/>
  <c r="P72" i="3" a="1"/>
  <c r="Q73" i="3" a="1"/>
  <c r="N73" i="3" a="1"/>
  <c r="O73" i="3" a="1"/>
  <c r="P73" i="3" a="1"/>
  <c r="B75" i="3"/>
  <c r="M75" i="3" a="1"/>
  <c r="O75" i="3" a="1"/>
  <c r="Q75" i="3" a="1"/>
  <c r="N75" i="3" a="1"/>
  <c r="P75" i="3" a="1"/>
  <c r="M78" i="3" a="1"/>
  <c r="O78" i="3" a="1"/>
  <c r="N78" i="3" a="1"/>
  <c r="P82" i="3" a="1"/>
  <c r="O82" i="3" a="1"/>
  <c r="B83" i="3"/>
  <c r="O83" i="3" a="1"/>
  <c r="N83" i="3" a="1"/>
  <c r="M83" i="3" a="1"/>
  <c r="P83" i="3" a="1"/>
  <c r="Q83" i="3" a="1"/>
  <c r="B84" i="3"/>
  <c r="M84" i="3" a="1"/>
  <c r="Q86" i="3" a="1"/>
  <c r="O86" i="3" a="1"/>
  <c r="P86" i="3" a="1"/>
  <c r="Q88" i="3" a="1"/>
  <c r="O88" i="3" a="1"/>
  <c r="P88" i="3" a="1"/>
  <c r="Q91" i="3" a="1"/>
  <c r="O91" i="3" a="1"/>
  <c r="N91" i="3" a="1"/>
  <c r="P91" i="3" a="1"/>
  <c r="N93" i="3" a="1"/>
  <c r="P93" i="3" a="1"/>
  <c r="B95" i="3"/>
  <c r="M95" i="3" a="1"/>
  <c r="Q95" i="3" a="1"/>
  <c r="O95" i="3" a="1"/>
  <c r="P95" i="3" a="1"/>
  <c r="N95" i="3" a="1"/>
  <c r="O96" i="3" a="1"/>
  <c r="N96" i="3" a="1"/>
  <c r="B96" i="3"/>
  <c r="B97" i="3"/>
  <c r="M97" i="3" a="1"/>
  <c r="Q98" i="3" a="1"/>
  <c r="P98" i="3" a="1"/>
  <c r="B105" i="3"/>
  <c r="Q105" i="3" a="1"/>
  <c r="P105" i="3" a="1"/>
  <c r="N105" i="3" a="1"/>
  <c r="M105" i="3" a="1"/>
  <c r="O105" i="3" a="1"/>
  <c r="O106" i="3" a="1"/>
  <c r="P106" i="3" a="1"/>
  <c r="Q106" i="3" a="1"/>
  <c r="P107" i="3" a="1"/>
  <c r="N107" i="3" a="1"/>
  <c r="B108" i="3"/>
  <c r="Q108" i="3" a="1"/>
  <c r="O108" i="3" a="1"/>
  <c r="M108" i="3" a="1"/>
  <c r="N108" i="3" a="1"/>
  <c r="B110" i="3"/>
  <c r="O110" i="3" a="1"/>
  <c r="P113" i="3" a="1"/>
  <c r="O113" i="3" a="1"/>
  <c r="N114" i="3" a="1"/>
  <c r="O114" i="3" a="1"/>
  <c r="B115" i="3"/>
  <c r="N115" i="3" a="1"/>
  <c r="M115" i="3" a="1"/>
  <c r="P116" i="3" a="1"/>
  <c r="Q116" i="3" a="1"/>
  <c r="Q117" i="3" a="1"/>
  <c r="P117" i="3" a="1"/>
  <c r="N118" i="3" a="1"/>
  <c r="O118" i="3" a="1"/>
  <c r="B124" i="3"/>
  <c r="M124" i="3" a="1"/>
  <c r="Q125" i="3" a="1"/>
  <c r="P125" i="3" a="1"/>
  <c r="B125" i="3"/>
  <c r="M125" i="3" a="1"/>
  <c r="O125" i="3" a="1"/>
  <c r="N125" i="3" a="1"/>
  <c r="B126" i="3"/>
  <c r="M126" i="3" a="1"/>
  <c r="N126" i="3" a="1"/>
  <c r="B127" i="3"/>
  <c r="N127" i="3" a="1"/>
  <c r="P127" i="3" a="1"/>
  <c r="O127" i="3" a="1"/>
  <c r="Q127" i="3" a="1"/>
  <c r="M127" i="3" a="1"/>
  <c r="B128" i="3"/>
  <c r="O128" i="3" a="1"/>
  <c r="M128" i="3" a="1"/>
  <c r="N128" i="3" a="1"/>
  <c r="Q146" i="3" a="1"/>
  <c r="O146" i="3" a="1"/>
  <c r="P146" i="3" a="1"/>
  <c r="B148" i="3"/>
  <c r="Q148" i="3" a="1"/>
  <c r="P148" i="3" a="1"/>
  <c r="M148" i="3" a="1"/>
  <c r="O148" i="3" a="1"/>
  <c r="N148" i="3" a="1"/>
  <c r="O149" i="3" a="1"/>
  <c r="P149" i="3" a="1"/>
  <c r="P150" i="3" a="1"/>
  <c r="Q150" i="3" a="1"/>
  <c r="B151" i="3"/>
  <c r="Q151" i="3" a="1"/>
  <c r="N151" i="3" a="1"/>
  <c r="M151" i="3" a="1"/>
  <c r="P151" i="3" a="1"/>
  <c r="O151" i="3" a="1"/>
  <c r="B152" i="3"/>
  <c r="O152" i="3" a="1"/>
  <c r="M152" i="3" a="1"/>
  <c r="P152" i="3" a="1"/>
  <c r="Q152" i="3" a="1"/>
  <c r="N152" i="3" a="1"/>
  <c r="O153" i="3" a="1"/>
  <c r="N153" i="3" a="1"/>
  <c r="P153" i="3" a="1"/>
  <c r="Q153" i="3" a="1"/>
  <c r="B153" i="3"/>
  <c r="M153" i="3" a="1"/>
  <c r="B154" i="3"/>
  <c r="M154" i="3" a="1"/>
  <c r="N154" i="3" a="1"/>
  <c r="O154" i="3" a="1"/>
  <c r="Q154" i="3" a="1"/>
  <c r="P154" i="3" a="1"/>
  <c r="B155" i="3"/>
  <c r="M155" i="3" a="1"/>
  <c r="B156" i="3"/>
  <c r="P156" i="3" a="1"/>
  <c r="O156" i="3" a="1"/>
  <c r="M156" i="3" a="1"/>
  <c r="N156" i="3" a="1"/>
  <c r="B157" i="3"/>
  <c r="N157" i="3" a="1"/>
  <c r="M157" i="3" a="1"/>
  <c r="B158" i="3"/>
  <c r="M158" i="3" a="1"/>
  <c r="P158" i="3" a="1"/>
  <c r="O158" i="3" a="1"/>
  <c r="N158" i="3" a="1"/>
  <c r="B159" i="3"/>
  <c r="O159" i="3" a="1"/>
  <c r="N159" i="3" a="1"/>
  <c r="Q159" i="3" a="1"/>
  <c r="P159" i="3" a="1"/>
  <c r="Q160" i="3" a="1"/>
  <c r="O160" i="3" a="1"/>
  <c r="M160" i="3" a="1"/>
  <c r="P160" i="3" a="1"/>
  <c r="N160" i="3" a="1"/>
  <c r="M161" i="3" a="1"/>
  <c r="O161" i="3" a="1"/>
  <c r="P161" i="3" a="1"/>
  <c r="P162" i="3" a="1"/>
  <c r="Q162" i="3" a="1"/>
  <c r="O162" i="3" a="1"/>
  <c r="B163" i="3"/>
  <c r="Q163" i="3" a="1"/>
  <c r="O163" i="3" a="1"/>
  <c r="M163" i="3" a="1"/>
  <c r="N163" i="3" a="1"/>
  <c r="P163" i="3" a="1"/>
  <c r="B164" i="3"/>
  <c r="P164" i="3" a="1"/>
  <c r="M164" i="3" a="1"/>
  <c r="O164" i="3" a="1"/>
  <c r="N164" i="3" a="1"/>
  <c r="Q164" i="3" a="1"/>
  <c r="B165" i="3"/>
  <c r="Q165" i="3" a="1"/>
  <c r="Q166" i="3" a="1"/>
  <c r="P166" i="3" a="1"/>
  <c r="N166" i="3" a="1"/>
  <c r="B166" i="3"/>
  <c r="O166" i="3" a="1"/>
  <c r="M166" i="3" a="1"/>
  <c r="P167" i="3" a="1"/>
  <c r="Q167" i="3" a="1"/>
  <c r="N182" i="3" a="1"/>
  <c r="Q182" i="3" a="1"/>
  <c r="B182" i="3"/>
  <c r="M182" i="3" a="1"/>
  <c r="B183" i="3"/>
  <c r="N183" i="3" a="1"/>
  <c r="M183" i="3" a="1"/>
  <c r="O183" i="3" a="1"/>
  <c r="B185" i="3"/>
  <c r="M185" i="3" a="1"/>
  <c r="N185" i="3" a="1"/>
  <c r="Q187" i="3" a="1"/>
  <c r="P187" i="3" a="1"/>
  <c r="O187" i="3" a="1"/>
  <c r="B187" i="3"/>
  <c r="N187" i="3" a="1"/>
  <c r="M187" i="3" a="1"/>
  <c r="B188" i="3"/>
  <c r="N188" i="3" a="1"/>
  <c r="P188" i="3" a="1"/>
  <c r="Q188" i="3" a="1"/>
  <c r="O188" i="3" a="1"/>
  <c r="B189" i="3"/>
  <c r="M189" i="3" a="1"/>
  <c r="N189" i="3" a="1"/>
  <c r="O189" i="3" a="1"/>
  <c r="P189" i="3" a="1"/>
  <c r="Q189" i="3" a="1"/>
  <c r="P190" i="3" a="1"/>
  <c r="Q190" i="3" a="1"/>
  <c r="O190" i="3" a="1"/>
  <c r="P192" i="3" a="1"/>
  <c r="O192" i="3" a="1"/>
  <c r="O193" i="3" a="1"/>
  <c r="N193" i="3" a="1"/>
  <c r="Q196" i="3" a="1"/>
  <c r="P196" i="3" a="1"/>
  <c r="P198" i="3" a="1"/>
  <c r="O198" i="3" a="1"/>
  <c r="O199" i="3" a="1"/>
  <c r="P199" i="3" a="1"/>
  <c r="N64" i="3" a="1"/>
  <c r="Q64" i="3" a="1"/>
  <c r="O64" i="3" a="1"/>
  <c r="M64" i="3" a="1"/>
  <c r="B64" i="3"/>
  <c r="P64" i="3" a="1"/>
  <c r="N65" i="3" a="1"/>
  <c r="B65" i="3"/>
  <c r="M65" i="3" a="1"/>
  <c r="P65" i="3" a="1"/>
  <c r="O65" i="3" a="1"/>
  <c r="Q65" i="3" a="1"/>
  <c r="B66" i="3"/>
  <c r="M66" i="3" a="1"/>
  <c r="N66" i="3" a="1"/>
  <c r="N67" i="3" a="1"/>
  <c r="O67" i="3" a="1"/>
  <c r="B67" i="3"/>
  <c r="M67" i="3" a="1"/>
  <c r="M68" i="3" a="1"/>
  <c r="B68" i="3"/>
  <c r="O69" i="3" a="1"/>
  <c r="P69" i="3" a="1"/>
  <c r="Q69" i="3" a="1"/>
  <c r="M69" i="3" a="1"/>
  <c r="B69" i="3"/>
  <c r="N69" i="3" a="1"/>
  <c r="B70" i="3"/>
  <c r="M70" i="3" a="1"/>
  <c r="N70" i="3" a="1"/>
  <c r="B71" i="3"/>
  <c r="M71" i="3" a="1"/>
  <c r="O71" i="3" a="1"/>
  <c r="N71" i="3" a="1"/>
  <c r="M73" i="3" a="1"/>
  <c r="B73" i="3"/>
  <c r="M76" i="3" a="1"/>
  <c r="B76" i="3"/>
  <c r="N77" i="3" a="1"/>
  <c r="B77" i="3"/>
  <c r="M77" i="3" a="1"/>
  <c r="M79" i="3" a="1"/>
  <c r="B79" i="3"/>
  <c r="N80" i="3" a="1"/>
  <c r="M80" i="3" a="1"/>
  <c r="B80" i="3"/>
  <c r="Q80" i="3" a="1"/>
  <c r="O80" i="3" a="1"/>
  <c r="P80" i="3" a="1"/>
  <c r="N82" i="3" a="1"/>
  <c r="M82" i="3" a="1"/>
  <c r="M86" i="3" a="1"/>
  <c r="N86" i="3" a="1"/>
  <c r="B86" i="3"/>
  <c r="M87" i="3" a="1"/>
  <c r="B87" i="3"/>
  <c r="B88" i="3"/>
  <c r="N88" i="3" a="1"/>
  <c r="M88" i="3" a="1"/>
  <c r="B89" i="3"/>
  <c r="O89" i="3" a="1"/>
  <c r="M89" i="3" a="1"/>
  <c r="N89" i="3" a="1"/>
  <c r="N90" i="3" a="1"/>
  <c r="M90" i="3" a="1"/>
  <c r="B90" i="3"/>
  <c r="B91" i="3"/>
  <c r="M91" i="3" a="1"/>
  <c r="B92" i="3"/>
  <c r="M92" i="3" a="1"/>
  <c r="O92" i="3" a="1"/>
  <c r="N92" i="3" a="1"/>
  <c r="O98" i="3" a="1"/>
  <c r="B98" i="3"/>
  <c r="M98" i="3" a="1"/>
  <c r="N98" i="3" a="1"/>
  <c r="B99" i="3"/>
  <c r="M99" i="3" a="1"/>
  <c r="O99" i="3" a="1"/>
  <c r="M100" i="3" a="1"/>
  <c r="B100" i="3"/>
  <c r="O101" i="3" a="1"/>
  <c r="B101" i="3"/>
  <c r="M101" i="3" a="1"/>
  <c r="N103" i="3" a="1"/>
  <c r="B103" i="3"/>
  <c r="M103" i="3" a="1"/>
  <c r="B104" i="3"/>
  <c r="N104" i="3" a="1"/>
  <c r="N106" i="3" a="1"/>
  <c r="B106" i="3"/>
  <c r="M106" i="3" a="1"/>
  <c r="B107" i="3"/>
  <c r="M107" i="3" a="1"/>
  <c r="O107" i="3" a="1"/>
  <c r="M109" i="3" a="1"/>
  <c r="O109" i="3" a="1"/>
  <c r="N109" i="3" a="1"/>
  <c r="B109" i="3"/>
  <c r="N110" i="3" a="1"/>
  <c r="M110" i="3" a="1"/>
  <c r="N111" i="3" a="1"/>
  <c r="M111" i="3" a="1"/>
  <c r="B111" i="3"/>
  <c r="B112" i="3"/>
  <c r="O112" i="3" a="1"/>
  <c r="N112" i="3" a="1"/>
  <c r="M112" i="3" a="1"/>
  <c r="B113" i="3"/>
  <c r="M113" i="3" a="1"/>
  <c r="N113" i="3" a="1"/>
  <c r="M114" i="3" a="1"/>
  <c r="B114" i="3"/>
  <c r="M116" i="3" a="1"/>
  <c r="O116" i="3" a="1"/>
  <c r="B116" i="3"/>
  <c r="N116" i="3" a="1"/>
  <c r="N117" i="3" a="1"/>
  <c r="B117" i="3"/>
  <c r="O117" i="3" a="1"/>
  <c r="M117" i="3" a="1"/>
  <c r="M118" i="3" a="1"/>
  <c r="B118" i="3"/>
  <c r="N120" i="3" a="1"/>
  <c r="M120" i="3" a="1"/>
  <c r="B120" i="3"/>
  <c r="M121" i="3" a="1"/>
  <c r="P121" i="3" a="1"/>
  <c r="N121" i="3" a="1"/>
  <c r="B121" i="3"/>
  <c r="O121" i="3" a="1"/>
  <c r="O129" i="3" a="1"/>
  <c r="N129" i="3" a="1"/>
  <c r="M129" i="3" a="1"/>
  <c r="B129" i="3"/>
  <c r="N130" i="3" a="1"/>
  <c r="B130" i="3"/>
  <c r="O130" i="3" a="1"/>
  <c r="M130" i="3" a="1"/>
  <c r="M131" i="3" a="1"/>
  <c r="N131" i="3" a="1"/>
  <c r="O131" i="3" a="1"/>
  <c r="B131" i="3"/>
  <c r="O132" i="3" a="1"/>
  <c r="B132" i="3"/>
  <c r="N132" i="3" a="1"/>
  <c r="M132" i="3" a="1"/>
  <c r="M133" i="3" a="1"/>
  <c r="B133" i="3"/>
  <c r="N134" i="3" a="1"/>
  <c r="M134" i="3" a="1"/>
  <c r="B134" i="3"/>
  <c r="O135" i="3" a="1"/>
  <c r="B135" i="3"/>
  <c r="M135" i="3" a="1"/>
  <c r="N135" i="3" a="1"/>
  <c r="M136" i="3" a="1"/>
  <c r="B136" i="3"/>
  <c r="N136" i="3" a="1"/>
  <c r="M137" i="3" a="1"/>
  <c r="P137" i="3" a="1"/>
  <c r="N137" i="3" a="1"/>
  <c r="B137" i="3"/>
  <c r="B138" i="3"/>
  <c r="M138" i="3" a="1"/>
  <c r="B139" i="3"/>
  <c r="M139" i="3" a="1"/>
  <c r="B140" i="3"/>
  <c r="N140" i="3" a="1"/>
  <c r="M140" i="3" a="1"/>
  <c r="O140" i="3" a="1"/>
  <c r="B141" i="3"/>
  <c r="N141" i="3" a="1"/>
  <c r="M141" i="3" a="1"/>
  <c r="O142" i="3" a="1"/>
  <c r="P142" i="3" a="1"/>
  <c r="Q142" i="3" a="1"/>
  <c r="N142" i="3" a="1"/>
  <c r="B142" i="3"/>
  <c r="M142" i="3" a="1"/>
  <c r="N144" i="3" a="1"/>
  <c r="B144" i="3"/>
  <c r="M144" i="3" a="1"/>
  <c r="M145" i="3" a="1"/>
  <c r="P145" i="3" a="1"/>
  <c r="B145" i="3"/>
  <c r="N145" i="3" a="1"/>
  <c r="O145" i="3" a="1"/>
  <c r="B146" i="3"/>
  <c r="N146" i="3" a="1"/>
  <c r="M146" i="3" a="1"/>
  <c r="M147" i="3" a="1"/>
  <c r="B147" i="3"/>
  <c r="O147" i="3" a="1"/>
  <c r="N147" i="3" a="1"/>
  <c r="B149" i="3"/>
  <c r="N149" i="3" a="1"/>
  <c r="M149" i="3" a="1"/>
  <c r="M150" i="3" a="1"/>
  <c r="N150" i="3" a="1"/>
  <c r="O150" i="3" a="1"/>
  <c r="B150" i="3"/>
  <c r="N161" i="3" a="1"/>
  <c r="B161" i="3"/>
  <c r="M162" i="3" a="1"/>
  <c r="B162" i="3"/>
  <c r="N162" i="3" a="1"/>
  <c r="M165" i="3" a="1"/>
  <c r="P165" i="3" a="1"/>
  <c r="N165" i="3" a="1"/>
  <c r="O165" i="3" a="1"/>
  <c r="N167" i="3" a="1"/>
  <c r="O167" i="3" a="1"/>
  <c r="M167" i="3" a="1"/>
  <c r="B167" i="3"/>
  <c r="M168" i="3" a="1"/>
  <c r="B168" i="3"/>
  <c r="P169" i="3" a="1"/>
  <c r="O169" i="3" a="1"/>
  <c r="Q169" i="3" a="1"/>
  <c r="N169" i="3" a="1"/>
  <c r="B169" i="3"/>
  <c r="M169" i="3" a="1"/>
  <c r="B170" i="3"/>
  <c r="M170" i="3" a="1"/>
  <c r="B171" i="3"/>
  <c r="N171" i="3" a="1"/>
  <c r="O171" i="3" a="1"/>
  <c r="M171" i="3" a="1"/>
  <c r="B172" i="3"/>
  <c r="M172" i="3" a="1"/>
  <c r="N173" i="3" a="1"/>
  <c r="P173" i="3" a="1"/>
  <c r="M173" i="3" a="1"/>
  <c r="B173" i="3"/>
  <c r="O173" i="3" a="1"/>
  <c r="M174" i="3" a="1"/>
  <c r="B174" i="3"/>
  <c r="N174" i="3" a="1"/>
  <c r="B175" i="3"/>
  <c r="M175" i="3" a="1"/>
  <c r="B176" i="3"/>
  <c r="M176" i="3" a="1"/>
  <c r="N176" i="3" a="1"/>
  <c r="M177" i="3" a="1"/>
  <c r="N177" i="3" a="1"/>
  <c r="B177" i="3"/>
  <c r="O177" i="3" a="1"/>
  <c r="M178" i="3" a="1"/>
  <c r="O178" i="3" a="1"/>
  <c r="B178" i="3"/>
  <c r="N178" i="3" a="1"/>
  <c r="B190" i="3"/>
  <c r="N190" i="3" a="1"/>
  <c r="M190" i="3" a="1"/>
  <c r="M191" i="3" a="1"/>
  <c r="B191" i="3"/>
  <c r="N191" i="3" a="1"/>
  <c r="N192" i="3" a="1"/>
  <c r="B192" i="3"/>
  <c r="M192" i="3" a="1"/>
  <c r="M193" i="3" a="1"/>
  <c r="B193" i="3"/>
  <c r="P194" i="3" a="1"/>
  <c r="Q194" i="3" a="1"/>
  <c r="O194" i="3" a="1"/>
  <c r="B194" i="3"/>
  <c r="M194" i="3" a="1"/>
  <c r="N194" i="3" a="1"/>
  <c r="B195" i="3"/>
  <c r="M195" i="3" a="1"/>
  <c r="O196" i="3" a="1"/>
  <c r="B196" i="3"/>
  <c r="M196" i="3" a="1"/>
  <c r="N196" i="3" a="1"/>
  <c r="M197" i="3" a="1"/>
  <c r="Q197" i="3" a="1"/>
  <c r="N197" i="3" a="1"/>
  <c r="O197" i="3" a="1"/>
  <c r="P197" i="3" a="1"/>
  <c r="B197" i="3"/>
  <c r="B198" i="3"/>
  <c r="N198" i="3" a="1"/>
  <c r="M198" i="3" a="1"/>
  <c r="B199" i="3"/>
  <c r="M199" i="3" a="1"/>
  <c r="N199" i="3" a="1"/>
  <c r="M200" i="3" a="1"/>
  <c r="O200" i="3" a="1"/>
  <c r="Q200" i="3" a="1"/>
  <c r="P200" i="3" a="1"/>
  <c r="B200" i="3"/>
  <c r="N200" i="3" a="1"/>
  <c r="O201" i="3" a="1"/>
  <c r="N201" i="3" a="1"/>
  <c r="P201" i="3" a="1"/>
  <c r="B201" i="3"/>
  <c r="M201" i="3" a="1"/>
  <c r="M202" i="3" a="1"/>
  <c r="N202" i="3" a="1"/>
  <c r="B202" i="3"/>
  <c r="O202" i="3" a="1"/>
  <c r="N203" i="3" a="1"/>
  <c r="B203" i="3"/>
  <c r="P204" i="3" a="1"/>
  <c r="M204" i="3" a="1"/>
  <c r="Q204" i="3" a="1"/>
  <c r="O204" i="3" a="1"/>
  <c r="B204" i="3"/>
  <c r="N204" i="3" a="1"/>
  <c r="B205" i="3"/>
  <c r="M205" i="3" a="1"/>
  <c r="P205" i="3" a="1"/>
  <c r="O205" i="3" a="1"/>
  <c r="Q205" i="3" a="1"/>
  <c r="N205" i="3" a="1"/>
  <c r="N206" i="3" a="1"/>
  <c r="P206" i="3" a="1"/>
  <c r="B206" i="3"/>
  <c r="M206" i="3" a="1"/>
  <c r="M207" i="3" a="1"/>
  <c r="B207" i="3"/>
  <c r="M208" i="3" a="1"/>
  <c r="P208" i="3" a="1"/>
  <c r="B208" i="3"/>
  <c r="N208" i="3" a="1"/>
  <c r="O208" i="3" a="1"/>
  <c r="M209" i="3" a="1"/>
  <c r="N209" i="3" a="1"/>
  <c r="O209" i="3" a="1"/>
  <c r="Q209" i="3" a="1"/>
  <c r="P209" i="3" a="1"/>
  <c r="M5" i="3" a="1"/>
  <c r="K113" i="4" a="1"/>
  <c r="K156" i="4" a="1"/>
  <c r="K162" i="4" a="1"/>
  <c r="B40" i="4"/>
  <c r="J40" i="4" a="1"/>
  <c r="B41" i="4"/>
  <c r="J41" i="4" a="1"/>
  <c r="K41" i="4" a="1"/>
  <c r="B43" i="4"/>
  <c r="K43" i="4" a="1"/>
  <c r="B54" i="4"/>
  <c r="J54" i="4" a="1"/>
  <c r="K54" i="4" a="1"/>
  <c r="B55" i="4"/>
  <c r="J55" i="4" a="1"/>
  <c r="B56" i="4"/>
  <c r="J56" i="4" a="1"/>
  <c r="K56" i="4" a="1"/>
  <c r="B57" i="4"/>
  <c r="J57" i="4" a="1"/>
  <c r="K57" i="4" a="1"/>
  <c r="B58" i="4"/>
  <c r="J58" i="4" a="1"/>
  <c r="B60" i="4"/>
  <c r="J60" i="4" a="1"/>
  <c r="K60" i="4" a="1"/>
  <c r="B61" i="4"/>
  <c r="J61" i="4" a="1"/>
  <c r="B65" i="4"/>
  <c r="J65" i="4" a="1"/>
  <c r="B68" i="4"/>
  <c r="J68" i="4" a="1"/>
  <c r="B69" i="4"/>
  <c r="K69" i="4" a="1"/>
  <c r="J69" i="4" a="1"/>
  <c r="B78" i="4"/>
  <c r="K78" i="4" a="1"/>
  <c r="J78" i="4" a="1"/>
  <c r="B79" i="4"/>
  <c r="K79" i="4" a="1"/>
  <c r="J79" i="4" a="1"/>
  <c r="B83" i="4"/>
  <c r="J83" i="4" a="1"/>
  <c r="B85" i="4"/>
  <c r="J85" i="4" a="1"/>
  <c r="B87" i="4"/>
  <c r="J87" i="4" a="1"/>
  <c r="B91" i="4"/>
  <c r="J91" i="4" a="1"/>
  <c r="B92" i="4"/>
  <c r="J92" i="4" a="1"/>
  <c r="B100" i="4"/>
  <c r="J100" i="4" a="1"/>
  <c r="B101" i="4"/>
  <c r="J101" i="4" a="1"/>
  <c r="K101" i="4" a="1"/>
  <c r="B102" i="4"/>
  <c r="J102" i="4" a="1"/>
  <c r="K102" i="4" a="1"/>
  <c r="B104" i="4"/>
  <c r="J104" i="4" a="1"/>
  <c r="B105" i="4"/>
  <c r="K105" i="4" a="1"/>
  <c r="J105" i="4" a="1"/>
  <c r="B128" i="4"/>
  <c r="K128" i="4" a="1"/>
  <c r="J128" i="4" a="1"/>
  <c r="B133" i="4"/>
  <c r="J133" i="4" a="1"/>
  <c r="B134" i="4"/>
  <c r="J134" i="4" a="1"/>
  <c r="B136" i="4"/>
  <c r="J136" i="4" a="1"/>
  <c r="K136" i="4" a="1"/>
  <c r="B137" i="4"/>
  <c r="J137" i="4" a="1"/>
  <c r="K137" i="4" a="1"/>
  <c r="B138" i="4"/>
  <c r="K138" i="4" a="1"/>
  <c r="J138" i="4" a="1"/>
  <c r="B139" i="4"/>
  <c r="K139" i="4" a="1"/>
  <c r="J139" i="4" a="1"/>
  <c r="B140" i="4"/>
  <c r="K140" i="4" a="1"/>
  <c r="J140" i="4" a="1"/>
  <c r="B141" i="4"/>
  <c r="J141" i="4" a="1"/>
  <c r="K141" i="4" a="1"/>
  <c r="B145" i="4"/>
  <c r="J145" i="4" a="1"/>
  <c r="K145" i="4" a="1"/>
  <c r="B148" i="4"/>
  <c r="K148" i="4" a="1"/>
  <c r="J148" i="4" a="1"/>
  <c r="K152" i="4" a="1"/>
  <c r="J152" i="4" a="1"/>
  <c r="B167" i="4"/>
  <c r="K167" i="4" a="1"/>
  <c r="J167" i="4" a="1"/>
  <c r="B168" i="4"/>
  <c r="K168" i="4" a="1"/>
  <c r="J168" i="4" a="1"/>
  <c r="B169" i="4"/>
  <c r="K169" i="4" a="1"/>
  <c r="J169" i="4" a="1"/>
  <c r="B170" i="4"/>
  <c r="J170" i="4" a="1"/>
  <c r="B172" i="4"/>
  <c r="J172" i="4" a="1"/>
  <c r="B173" i="4"/>
  <c r="J173" i="4" a="1"/>
  <c r="K173" i="4" a="1"/>
  <c r="B174" i="4"/>
  <c r="K174" i="4" a="1"/>
  <c r="J174" i="4" a="1"/>
  <c r="B175" i="4"/>
  <c r="K175" i="4" a="1"/>
  <c r="J175" i="4" a="1"/>
  <c r="B176" i="4"/>
  <c r="J176" i="4" a="1"/>
  <c r="K176" i="4" a="1"/>
  <c r="B178" i="4"/>
  <c r="J178" i="4" a="1"/>
  <c r="K178" i="4" a="1"/>
  <c r="B180" i="4"/>
  <c r="J180" i="4" a="1"/>
  <c r="K180" i="4" a="1"/>
  <c r="B182" i="4"/>
  <c r="K182" i="4" a="1"/>
  <c r="J182" i="4" a="1"/>
  <c r="B34" i="4"/>
  <c r="J34" i="4" a="1"/>
  <c r="K34" i="4" a="1"/>
  <c r="J35" i="4" a="1"/>
  <c r="B35" i="4"/>
  <c r="B37" i="4"/>
  <c r="J37" i="4" a="1"/>
  <c r="J38" i="4" a="1"/>
  <c r="B38" i="4"/>
  <c r="B39" i="4"/>
  <c r="J39" i="4" a="1"/>
  <c r="J44" i="4" a="1"/>
  <c r="K44" i="4" a="1"/>
  <c r="B44" i="4"/>
  <c r="J45" i="4" a="1"/>
  <c r="B45" i="4"/>
  <c r="B46" i="4"/>
  <c r="J46" i="4" a="1"/>
  <c r="K47" i="4" a="1"/>
  <c r="B47" i="4"/>
  <c r="J47" i="4" a="1"/>
  <c r="B51" i="4"/>
  <c r="K51" i="4" a="1"/>
  <c r="B59" i="4"/>
  <c r="J59" i="4" a="1"/>
  <c r="K62" i="4" a="1"/>
  <c r="B62" i="4"/>
  <c r="J62" i="4" a="1"/>
  <c r="J64" i="4" a="1"/>
  <c r="B64" i="4"/>
  <c r="K66" i="4" a="1"/>
  <c r="B66" i="4"/>
  <c r="B71" i="4"/>
  <c r="J71" i="4" a="1"/>
  <c r="J72" i="4" a="1"/>
  <c r="B72" i="4"/>
  <c r="K72" i="4" a="1"/>
  <c r="K73" i="4" a="1"/>
  <c r="B73" i="4"/>
  <c r="J73" i="4" a="1"/>
  <c r="J75" i="4" a="1"/>
  <c r="B75" i="4"/>
  <c r="K76" i="4" a="1"/>
  <c r="J76" i="4" a="1"/>
  <c r="B76" i="4"/>
  <c r="J77" i="4" a="1"/>
  <c r="B77" i="4"/>
  <c r="J80" i="4" a="1"/>
  <c r="K80" i="4" a="1"/>
  <c r="B80" i="4"/>
  <c r="B82" i="4"/>
  <c r="K82" i="4" a="1"/>
  <c r="J82" i="4" a="1"/>
  <c r="B84" i="4"/>
  <c r="J84" i="4" a="1"/>
  <c r="K84" i="4" a="1"/>
  <c r="K86" i="4" a="1"/>
  <c r="B86" i="4"/>
  <c r="J86" i="4" a="1"/>
  <c r="J88" i="4" a="1"/>
  <c r="B88" i="4"/>
  <c r="B89" i="4"/>
  <c r="J89" i="4" a="1"/>
  <c r="J90" i="4" a="1"/>
  <c r="B90" i="4"/>
  <c r="J93" i="4" a="1"/>
  <c r="K93" i="4" a="1"/>
  <c r="B93" i="4"/>
  <c r="K94" i="4" a="1"/>
  <c r="B94" i="4"/>
  <c r="J94" i="4" a="1"/>
  <c r="K95" i="4" a="1"/>
  <c r="J95" i="4" a="1"/>
  <c r="B95" i="4"/>
  <c r="K96" i="4" a="1"/>
  <c r="B96" i="4"/>
  <c r="J96" i="4" a="1"/>
  <c r="J97" i="4" a="1"/>
  <c r="K97" i="4" a="1"/>
  <c r="B97" i="4"/>
  <c r="B98" i="4"/>
  <c r="K98" i="4" a="1"/>
  <c r="J98" i="4" a="1"/>
  <c r="K99" i="4" a="1"/>
  <c r="B99" i="4"/>
  <c r="B107" i="4"/>
  <c r="K107" i="4" a="1"/>
  <c r="J107" i="4" a="1"/>
  <c r="K108" i="4" a="1"/>
  <c r="B108" i="4"/>
  <c r="J108" i="4" a="1"/>
  <c r="K109" i="4" a="1"/>
  <c r="B109" i="4"/>
  <c r="K110" i="4" a="1"/>
  <c r="B110" i="4"/>
  <c r="J110" i="4" a="1"/>
  <c r="B111" i="4"/>
  <c r="J111" i="4" a="1"/>
  <c r="B112" i="4"/>
  <c r="K112" i="4" a="1"/>
  <c r="J112" i="4" a="1"/>
  <c r="J114" i="4" a="1"/>
  <c r="B114" i="4"/>
  <c r="K115" i="4" a="1"/>
  <c r="B115" i="4"/>
  <c r="J115" i="4" a="1"/>
  <c r="K116" i="4" a="1"/>
  <c r="B116" i="4"/>
  <c r="J117" i="4" a="1"/>
  <c r="K117" i="4" a="1"/>
  <c r="B117" i="4"/>
  <c r="J121" i="4" a="1"/>
  <c r="B121" i="4"/>
  <c r="J122" i="4" a="1"/>
  <c r="K122" i="4" a="1"/>
  <c r="B122" i="4"/>
  <c r="B123" i="4"/>
  <c r="K123" i="4" a="1"/>
  <c r="J123" i="4" a="1"/>
  <c r="B124" i="4"/>
  <c r="J124" i="4" a="1"/>
  <c r="B125" i="4"/>
  <c r="J125" i="4" a="1"/>
  <c r="J126" i="4" a="1"/>
  <c r="B126" i="4"/>
  <c r="K126" i="4" a="1"/>
  <c r="K127" i="4" a="1"/>
  <c r="B127" i="4"/>
  <c r="J127" i="4" a="1"/>
  <c r="B129" i="4"/>
  <c r="J129" i="4" a="1"/>
  <c r="K130" i="4" a="1"/>
  <c r="B130" i="4"/>
  <c r="J130" i="4" a="1"/>
  <c r="J131" i="4" a="1"/>
  <c r="B131" i="4"/>
  <c r="K132" i="4" a="1"/>
  <c r="B132" i="4"/>
  <c r="J142" i="4" a="1"/>
  <c r="B142" i="4"/>
  <c r="J143" i="4" a="1"/>
  <c r="B143" i="4"/>
  <c r="K143" i="4" a="1"/>
  <c r="J144" i="4" a="1"/>
  <c r="B144" i="4"/>
  <c r="B146" i="4"/>
  <c r="J146" i="4" a="1"/>
  <c r="K146" i="4" a="1"/>
  <c r="B147" i="4"/>
  <c r="J147" i="4" a="1"/>
  <c r="J149" i="4" a="1"/>
  <c r="B149" i="4"/>
  <c r="J150" i="4" a="1"/>
  <c r="B150" i="4"/>
  <c r="J151" i="4" a="1"/>
  <c r="B151" i="4"/>
  <c r="J153" i="4" a="1"/>
  <c r="B153" i="4"/>
  <c r="K154" i="4" a="1"/>
  <c r="B154" i="4"/>
  <c r="J154" i="4" a="1"/>
  <c r="K155" i="4" a="1"/>
  <c r="B155" i="4"/>
  <c r="J155" i="4" a="1"/>
  <c r="B156" i="4"/>
  <c r="J156" i="4" a="1"/>
  <c r="B157" i="4"/>
  <c r="J157" i="4" a="1"/>
  <c r="J158" i="4" a="1"/>
  <c r="B158" i="4"/>
  <c r="K158" i="4" a="1"/>
  <c r="J159" i="4" a="1"/>
  <c r="B159" i="4"/>
  <c r="K159" i="4" a="1"/>
  <c r="J160" i="4" a="1"/>
  <c r="K160" i="4" a="1"/>
  <c r="B160" i="4"/>
  <c r="K161" i="4" a="1"/>
  <c r="J161" i="4" a="1"/>
  <c r="B161" i="4"/>
  <c r="B162" i="4"/>
  <c r="J162" i="4" a="1"/>
  <c r="K163" i="4" a="1"/>
  <c r="J163" i="4" a="1"/>
  <c r="B163" i="4"/>
  <c r="B164" i="4"/>
  <c r="J164" i="4" a="1"/>
  <c r="K164" i="4" a="1"/>
  <c r="J165" i="4" a="1"/>
  <c r="B165" i="4"/>
  <c r="K165" i="4" a="1"/>
  <c r="K177" i="4" a="1"/>
  <c r="B177" i="4"/>
  <c r="J177" i="4" a="1"/>
  <c r="B179" i="4"/>
  <c r="J179" i="4" a="1"/>
  <c r="J181" i="4" a="1"/>
  <c r="B181" i="4"/>
  <c r="J183" i="4" a="1"/>
  <c r="B183" i="4"/>
  <c r="B184" i="4"/>
  <c r="K184" i="4" a="1"/>
  <c r="J184" i="4" a="1"/>
  <c r="S192" i="2" a="1"/>
  <c r="V192" i="2" a="1"/>
  <c r="W192" i="2" a="1"/>
  <c r="X192" i="2" a="1"/>
  <c r="Y192" i="2" a="1"/>
  <c r="Z192" i="2" a="1"/>
  <c r="AA192" i="2" a="1"/>
  <c r="AB192" i="2" a="1"/>
  <c r="AC192" i="2" a="1"/>
  <c r="S193" i="2" a="1"/>
  <c r="T193" i="2" a="1"/>
  <c r="U193" i="2" a="1"/>
  <c r="V193" i="2" a="1"/>
  <c r="W193" i="2" a="1"/>
  <c r="AC241" i="2" a="1"/>
  <c r="S241" i="2" a="1"/>
  <c r="T241" i="2" a="1"/>
  <c r="U241" i="2" a="1"/>
  <c r="V241" i="2" a="1"/>
  <c r="W241" i="2" a="1"/>
  <c r="X241" i="2" a="1"/>
  <c r="Y241" i="2" a="1"/>
  <c r="S113" i="2" a="1"/>
  <c r="T113" i="2" a="1"/>
  <c r="U113" i="2" a="1"/>
  <c r="V113" i="2" a="1"/>
  <c r="W113" i="2" a="1"/>
  <c r="X113" i="2" a="1"/>
  <c r="Y113" i="2" a="1"/>
  <c r="Z113" i="2" a="1"/>
  <c r="AA113" i="2" a="1"/>
  <c r="AB113" i="2" a="1"/>
  <c r="AC113" i="2" a="1"/>
  <c r="U114" i="2" a="1"/>
  <c r="V114" i="2" a="1"/>
  <c r="W114" i="2" a="1"/>
  <c r="V140" i="2" a="1"/>
  <c r="W140" i="2" a="1"/>
  <c r="X140" i="2" a="1"/>
  <c r="Y140" i="2" a="1"/>
  <c r="Z140" i="2" a="1"/>
  <c r="AA140" i="2" a="1"/>
  <c r="AB140" i="2" a="1"/>
  <c r="AC140" i="2" a="1"/>
  <c r="X141" i="2" a="1"/>
  <c r="Y141" i="2" a="1"/>
  <c r="Z141" i="2" a="1"/>
  <c r="AA141" i="2" a="1"/>
  <c r="AB141" i="2" a="1"/>
  <c r="AC141" i="2" a="1"/>
  <c r="Z142" i="2" a="1"/>
  <c r="AA142" i="2" a="1"/>
  <c r="AB142" i="2" a="1"/>
  <c r="AC142" i="2" a="1"/>
  <c r="AB191" i="2" a="1"/>
  <c r="AC191" i="2" a="1"/>
  <c r="T192" i="2" a="1"/>
  <c r="U192" i="2" a="1"/>
  <c r="S116" i="2" a="1"/>
  <c r="AB115" i="2" a="1"/>
  <c r="AC115" i="2" a="1"/>
  <c r="V139" i="2" a="1"/>
  <c r="W139" i="2" a="1"/>
  <c r="X139" i="2" a="1"/>
  <c r="Y139" i="2" a="1"/>
  <c r="Z139" i="2" a="1"/>
  <c r="AA139" i="2" a="1"/>
  <c r="AB139" i="2" a="1"/>
  <c r="X193" i="2" a="1"/>
  <c r="Y193" i="2" a="1"/>
  <c r="Z193" i="2" a="1"/>
  <c r="AA193" i="2" a="1"/>
  <c r="AB193" i="2" a="1"/>
  <c r="AC193" i="2" a="1"/>
  <c r="S194" i="2" a="1"/>
  <c r="T194" i="2" a="1"/>
  <c r="U194" i="2" a="1"/>
  <c r="V194" i="2" a="1"/>
  <c r="W194" i="2" a="1"/>
  <c r="X194" i="2" a="1"/>
  <c r="Y194" i="2" a="1"/>
  <c r="Z194" i="2" a="1"/>
  <c r="AA194" i="2" a="1"/>
  <c r="V205" i="2" a="1"/>
  <c r="W205" i="2" a="1"/>
  <c r="X205" i="2" a="1"/>
  <c r="Y205" i="2" a="1"/>
  <c r="Z205" i="2" a="1"/>
  <c r="AA205" i="2" a="1"/>
  <c r="AB205" i="2" a="1"/>
  <c r="AC205" i="2" a="1"/>
  <c r="S206" i="2" a="1"/>
  <c r="T206" i="2" a="1"/>
  <c r="U206" i="2" a="1"/>
  <c r="V206" i="2" a="1"/>
  <c r="W206" i="2" a="1"/>
  <c r="X206" i="2" a="1"/>
  <c r="Y206" i="2" a="1"/>
  <c r="Z206" i="2" a="1"/>
  <c r="S70" i="2" a="1"/>
  <c r="U139" i="2" a="1"/>
  <c r="J10" i="4" a="1"/>
  <c r="K10" i="4" a="1"/>
  <c r="X69" i="2" a="1"/>
  <c r="Y69" i="2" a="1"/>
  <c r="Z69" i="2" a="1"/>
  <c r="AA69" i="2" a="1"/>
  <c r="AB69" i="2" a="1"/>
  <c r="AC69" i="2" a="1"/>
  <c r="T73" i="2" a="1"/>
  <c r="U73" i="2" a="1"/>
  <c r="V73" i="2" a="1"/>
  <c r="W73" i="2" a="1"/>
  <c r="X73" i="2" a="1"/>
  <c r="Y73" i="2" a="1"/>
  <c r="Z73" i="2" a="1"/>
  <c r="AA73" i="2" a="1"/>
  <c r="AB73" i="2" a="1"/>
  <c r="AC73" i="2" a="1"/>
  <c r="V74" i="2" a="1"/>
  <c r="W74" i="2" a="1"/>
  <c r="X74" i="2" a="1"/>
  <c r="Y74" i="2" a="1"/>
  <c r="Z74" i="2" a="1"/>
  <c r="AA74" i="2" a="1"/>
  <c r="AB74" i="2" a="1"/>
  <c r="AC74" i="2" a="1"/>
  <c r="V75" i="2" a="1"/>
  <c r="W75" i="2" a="1"/>
  <c r="X75" i="2" a="1"/>
  <c r="Y75" i="2" a="1"/>
  <c r="Z75" i="2" a="1"/>
  <c r="S77" i="2" a="1"/>
  <c r="T77" i="2" a="1"/>
  <c r="U77" i="2" a="1"/>
  <c r="V77" i="2" a="1"/>
  <c r="W77" i="2" a="1"/>
  <c r="X77" i="2" a="1"/>
  <c r="Y77" i="2" a="1"/>
  <c r="Z77" i="2" a="1"/>
  <c r="AA77" i="2" a="1"/>
  <c r="AB77" i="2" a="1"/>
  <c r="AC77" i="2" a="1"/>
  <c r="U116" i="2" a="1"/>
  <c r="V116" i="2" a="1"/>
  <c r="W116" i="2" a="1"/>
  <c r="X116" i="2" a="1"/>
  <c r="U138" i="2" a="1"/>
  <c r="V138" i="2" a="1"/>
  <c r="W138" i="2" a="1"/>
  <c r="X138" i="2" a="1"/>
  <c r="Y138" i="2" a="1"/>
  <c r="Z138" i="2" a="1"/>
  <c r="AA138" i="2" a="1"/>
  <c r="AB138" i="2" a="1"/>
  <c r="AC138" i="2" a="1"/>
  <c r="W45" i="2" a="1"/>
  <c r="X45" i="2" a="1"/>
  <c r="Y45" i="2" a="1"/>
  <c r="Z45" i="2" a="1"/>
  <c r="AA45" i="2" a="1"/>
  <c r="AB45" i="2" a="1"/>
  <c r="AC45" i="2" a="1"/>
  <c r="S168" i="2" a="1"/>
  <c r="S239" i="2" a="1"/>
  <c r="AA102" i="2" a="1"/>
  <c r="AB102" i="2" a="1"/>
  <c r="W104" i="2" a="1"/>
  <c r="X104" i="2" a="1"/>
  <c r="Y104" i="2" a="1"/>
  <c r="Z104" i="2" a="1"/>
  <c r="AA104" i="2" a="1"/>
  <c r="AB104" i="2" a="1"/>
  <c r="AC104" i="2" a="1"/>
  <c r="T105" i="2" a="1"/>
  <c r="U105" i="2" a="1"/>
  <c r="V105" i="2" a="1"/>
  <c r="W105" i="2" a="1"/>
  <c r="X105" i="2" a="1"/>
  <c r="Y105" i="2" a="1"/>
  <c r="Z105" i="2" a="1"/>
  <c r="AA105" i="2" a="1"/>
  <c r="X143" i="2" a="1"/>
  <c r="Y143" i="2" a="1"/>
  <c r="Z143" i="2" a="1"/>
  <c r="AA143" i="2" a="1"/>
  <c r="V164" i="2" a="1"/>
  <c r="W164" i="2" a="1"/>
  <c r="X164" i="2" a="1"/>
  <c r="Y164" i="2" a="1"/>
  <c r="Z164" i="2" a="1"/>
  <c r="AA164" i="2" a="1"/>
  <c r="AB164" i="2" a="1"/>
  <c r="AC164" i="2" a="1"/>
  <c r="AC165" i="2" a="1"/>
  <c r="S165" i="2" a="1"/>
  <c r="T165" i="2" a="1"/>
  <c r="U165" i="2" a="1"/>
  <c r="V165" i="2" a="1"/>
  <c r="W165" i="2" a="1"/>
  <c r="X165" i="2" a="1"/>
  <c r="Y165" i="2" a="1"/>
  <c r="Z165" i="2" a="1"/>
  <c r="AA165" i="2" a="1"/>
  <c r="AB165" i="2" a="1"/>
  <c r="S167" i="2" a="1"/>
  <c r="T167" i="2" a="1"/>
  <c r="U167" i="2" a="1"/>
  <c r="V167" i="2" a="1"/>
  <c r="W167" i="2" a="1"/>
  <c r="X167" i="2" a="1"/>
  <c r="Y167" i="2" a="1"/>
  <c r="Z167" i="2" a="1"/>
  <c r="AA167" i="2" a="1"/>
  <c r="AB167" i="2" a="1"/>
  <c r="AC167" i="2" a="1"/>
  <c r="T168" i="2" a="1"/>
  <c r="U168" i="2" a="1"/>
  <c r="V168" i="2" a="1"/>
  <c r="W168" i="2" a="1"/>
  <c r="X168" i="2" a="1"/>
  <c r="Y168" i="2" a="1"/>
  <c r="Z168" i="2" a="1"/>
  <c r="AA168" i="2" a="1"/>
  <c r="AB168" i="2" a="1"/>
  <c r="AC168" i="2" a="1"/>
  <c r="S169" i="2" a="1"/>
  <c r="T169" i="2" a="1"/>
  <c r="U169" i="2" a="1"/>
  <c r="V169" i="2" a="1"/>
  <c r="W169" i="2" a="1"/>
  <c r="X169" i="2" a="1"/>
  <c r="Y169" i="2" a="1"/>
  <c r="Z169" i="2" a="1"/>
  <c r="AA169" i="2" a="1"/>
  <c r="AB194" i="2" a="1"/>
  <c r="AC194" i="2" a="1"/>
  <c r="AC195" i="2" a="1"/>
  <c r="V195" i="2" a="1"/>
  <c r="W195" i="2" a="1"/>
  <c r="X195" i="2" a="1"/>
  <c r="Y195" i="2" a="1"/>
  <c r="Z195" i="2" a="1"/>
  <c r="AA195" i="2" a="1"/>
  <c r="AB195" i="2" a="1"/>
  <c r="S205" i="2" a="1"/>
  <c r="T205" i="2" a="1"/>
  <c r="U205" i="2" a="1"/>
  <c r="Z236" i="2" a="1"/>
  <c r="AA236" i="2" a="1"/>
  <c r="AB236" i="2" a="1"/>
  <c r="AC236" i="2" a="1"/>
  <c r="V237" i="2" a="1"/>
  <c r="W237" i="2" a="1"/>
  <c r="X237" i="2" a="1"/>
  <c r="Y237" i="2" a="1"/>
  <c r="Z237" i="2" a="1"/>
  <c r="AA237" i="2" a="1"/>
  <c r="AB237" i="2" a="1"/>
  <c r="AC237" i="2" a="1"/>
  <c r="W238" i="2" a="1"/>
  <c r="X238" i="2" a="1"/>
  <c r="Y238" i="2" a="1"/>
  <c r="Z238" i="2" a="1"/>
  <c r="AA238" i="2" a="1"/>
  <c r="AB238" i="2" a="1"/>
  <c r="AC238" i="2" a="1"/>
  <c r="T239" i="2" a="1"/>
  <c r="U239" i="2" a="1"/>
  <c r="V239" i="2" a="1"/>
  <c r="W239" i="2" a="1"/>
  <c r="X239" i="2" a="1"/>
  <c r="Y239" i="2" a="1"/>
  <c r="Z239" i="2" a="1"/>
  <c r="AA239" i="2" a="1"/>
  <c r="AB239" i="2" a="1"/>
  <c r="AC239" i="2" a="1"/>
  <c r="O40" i="8" a="1"/>
  <c r="AB111" i="2" a="1"/>
  <c r="AC111" i="2" a="1"/>
  <c r="S112" i="2" a="1"/>
  <c r="T112" i="2" a="1"/>
  <c r="U112" i="2" a="1"/>
  <c r="V112" i="2" a="1"/>
  <c r="V166" i="2" a="1"/>
  <c r="W166" i="2" a="1"/>
  <c r="X166" i="2" a="1"/>
  <c r="Y166" i="2" a="1"/>
  <c r="Z166" i="2" a="1"/>
  <c r="AA166" i="2" a="1"/>
  <c r="AB166" i="2" a="1"/>
  <c r="AA206" i="2" a="1"/>
  <c r="AB206" i="2" a="1"/>
  <c r="AC206" i="2" a="1"/>
  <c r="S207" i="2" a="1"/>
  <c r="T207" i="2" a="1"/>
  <c r="U207" i="2" a="1"/>
  <c r="V207" i="2" a="1"/>
  <c r="W207" i="2" a="1"/>
  <c r="X207" i="2" a="1"/>
  <c r="Y207" i="2" a="1"/>
  <c r="Z207" i="2" a="1"/>
  <c r="AA207" i="2" a="1"/>
  <c r="AB207" i="2" a="1"/>
  <c r="AC207" i="2" a="1"/>
  <c r="S208" i="2" a="1"/>
  <c r="T208" i="2" a="1"/>
  <c r="U208" i="2" a="1"/>
  <c r="V208" i="2" a="1"/>
  <c r="W208" i="2" a="1"/>
  <c r="X208" i="2" a="1"/>
  <c r="Y208" i="2" a="1"/>
  <c r="Z208" i="2" a="1"/>
  <c r="AA208" i="2" a="1"/>
  <c r="AB208" i="2" a="1"/>
  <c r="AC208" i="2" a="1"/>
  <c r="S209" i="2" a="1"/>
  <c r="T209" i="2" a="1"/>
  <c r="U209" i="2" a="1"/>
  <c r="V209" i="2" a="1"/>
  <c r="W209" i="2" a="1"/>
  <c r="X209" i="2" a="1"/>
  <c r="Y209" i="2" a="1"/>
  <c r="Z209" i="2" a="1"/>
  <c r="AA209" i="2" a="1"/>
  <c r="AB209" i="2" a="1"/>
  <c r="AC209" i="2" a="1"/>
  <c r="S210" i="2" a="1"/>
  <c r="T210" i="2" a="1"/>
  <c r="U210" i="2" a="1"/>
  <c r="V210" i="2" a="1"/>
  <c r="W210" i="2" a="1"/>
  <c r="X210" i="2" a="1"/>
  <c r="Y210" i="2" a="1"/>
  <c r="Z210" i="2" a="1"/>
  <c r="AA210" i="2" a="1"/>
  <c r="AB210" i="2" a="1"/>
  <c r="AC210" i="2" a="1"/>
  <c r="X263" i="2" a="1"/>
  <c r="Y263" i="2" a="1"/>
  <c r="Z263" i="2" a="1"/>
  <c r="AA263" i="2" a="1"/>
  <c r="AB263" i="2" a="1"/>
  <c r="AC263" i="2" a="1"/>
  <c r="T101" i="2" a="1"/>
  <c r="T102" i="2" a="1"/>
  <c r="S235" i="2" a="1"/>
  <c r="S265" i="2" a="1"/>
  <c r="Z92" i="2" a="1"/>
  <c r="AA92" i="2" a="1"/>
  <c r="AB92" i="2" a="1"/>
  <c r="AC92" i="2" a="1"/>
  <c r="S93" i="2" a="1"/>
  <c r="T93" i="2" a="1"/>
  <c r="U93" i="2" a="1"/>
  <c r="V93" i="2" a="1"/>
  <c r="W93" i="2" a="1"/>
  <c r="X93" i="2" a="1"/>
  <c r="Y93" i="2" a="1"/>
  <c r="Z93" i="2" a="1"/>
  <c r="AA93" i="2" a="1"/>
  <c r="AB93" i="2" a="1"/>
  <c r="AC93" i="2" a="1"/>
  <c r="T94" i="2" a="1"/>
  <c r="U94" i="2" a="1"/>
  <c r="V94" i="2" a="1"/>
  <c r="W94" i="2" a="1"/>
  <c r="X94" i="2" a="1"/>
  <c r="Y94" i="2" a="1"/>
  <c r="Z94" i="2" a="1"/>
  <c r="AA94" i="2" a="1"/>
  <c r="Y100" i="2" a="1"/>
  <c r="Z100" i="2" a="1"/>
  <c r="AA100" i="2" a="1"/>
  <c r="AB100" i="2" a="1"/>
  <c r="AC100" i="2" a="1"/>
  <c r="U101" i="2" a="1"/>
  <c r="V101" i="2" a="1"/>
  <c r="W101" i="2" a="1"/>
  <c r="X101" i="2" a="1"/>
  <c r="Y101" i="2" a="1"/>
  <c r="Z101" i="2" a="1"/>
  <c r="AA101" i="2" a="1"/>
  <c r="AB101" i="2" a="1"/>
  <c r="AC101" i="2" a="1"/>
  <c r="AC102" i="2" a="1"/>
  <c r="U102" i="2" a="1"/>
  <c r="V102" i="2" a="1"/>
  <c r="W102" i="2" a="1"/>
  <c r="X102" i="2" a="1"/>
  <c r="Y102" i="2" a="1"/>
  <c r="Z102" i="2" a="1"/>
  <c r="Z137" i="2" a="1"/>
  <c r="AA137" i="2" a="1"/>
  <c r="AB137" i="2" a="1"/>
  <c r="AC137" i="2" a="1"/>
  <c r="S138" i="2" a="1"/>
  <c r="T138" i="2" a="1"/>
  <c r="Y181" i="2" a="1"/>
  <c r="Z181" i="2" a="1"/>
  <c r="AA181" i="2" a="1"/>
  <c r="AB181" i="2" a="1"/>
  <c r="AC181" i="2" a="1"/>
  <c r="S182" i="2" a="1"/>
  <c r="T182" i="2" a="1"/>
  <c r="U182" i="2" a="1"/>
  <c r="V182" i="2" a="1"/>
  <c r="W182" i="2" a="1"/>
  <c r="X182" i="2" a="1"/>
  <c r="Y182" i="2" a="1"/>
  <c r="Z182" i="2" a="1"/>
  <c r="AA182" i="2" a="1"/>
  <c r="AB182" i="2" a="1"/>
  <c r="AC182" i="2" a="1"/>
  <c r="S183" i="2" a="1"/>
  <c r="T183" i="2" a="1"/>
  <c r="U183" i="2" a="1"/>
  <c r="V183" i="2" a="1"/>
  <c r="W183" i="2" a="1"/>
  <c r="S232" i="2" a="1"/>
  <c r="T232" i="2" a="1"/>
  <c r="U232" i="2" a="1"/>
  <c r="V232" i="2" a="1"/>
  <c r="W232" i="2" a="1"/>
  <c r="X232" i="2" a="1"/>
  <c r="Y232" i="2" a="1"/>
  <c r="Z232" i="2" a="1"/>
  <c r="AA232" i="2" a="1"/>
  <c r="AB232" i="2" a="1"/>
  <c r="AC232" i="2" a="1"/>
  <c r="S233" i="2" a="1"/>
  <c r="T233" i="2" a="1"/>
  <c r="U233" i="2" a="1"/>
  <c r="V233" i="2" a="1"/>
  <c r="W233" i="2" a="1"/>
  <c r="X233" i="2" a="1"/>
  <c r="Y233" i="2" a="1"/>
  <c r="Z233" i="2" a="1"/>
  <c r="AA233" i="2" a="1"/>
  <c r="AB233" i="2" a="1"/>
  <c r="AC233" i="2" a="1"/>
  <c r="S234" i="2" a="1"/>
  <c r="T234" i="2" a="1"/>
  <c r="U234" i="2" a="1"/>
  <c r="V234" i="2" a="1"/>
  <c r="W234" i="2" a="1"/>
  <c r="X234" i="2" a="1"/>
  <c r="Y234" i="2" a="1"/>
  <c r="Z234" i="2" a="1"/>
  <c r="AA234" i="2" a="1"/>
  <c r="AB234" i="2" a="1"/>
  <c r="AC234" i="2" a="1"/>
  <c r="T235" i="2" a="1"/>
  <c r="U235" i="2" a="1"/>
  <c r="V235" i="2" a="1"/>
  <c r="W235" i="2" a="1"/>
  <c r="X235" i="2" a="1"/>
  <c r="Y235" i="2" a="1"/>
  <c r="Z235" i="2" a="1"/>
  <c r="AA235" i="2" a="1"/>
  <c r="AB235" i="2" a="1"/>
  <c r="AC235" i="2" a="1"/>
  <c r="S236" i="2" a="1"/>
  <c r="T236" i="2" a="1"/>
  <c r="U236" i="2" a="1"/>
  <c r="V236" i="2" a="1"/>
  <c r="W236" i="2" a="1"/>
  <c r="X236" i="2" a="1"/>
  <c r="Y236" i="2" a="1"/>
  <c r="U264" i="2" a="1"/>
  <c r="V264" i="2" a="1"/>
  <c r="W264" i="2" a="1"/>
  <c r="X264" i="2" a="1"/>
  <c r="Y264" i="2" a="1"/>
  <c r="Z264" i="2" a="1"/>
  <c r="AA264" i="2" a="1"/>
  <c r="AB264" i="2" a="1"/>
  <c r="AC264" i="2" a="1"/>
  <c r="T265" i="2" a="1"/>
  <c r="U265" i="2" a="1"/>
  <c r="V265" i="2" a="1"/>
  <c r="W265" i="2" a="1"/>
  <c r="X265" i="2" a="1"/>
  <c r="Y265" i="2" a="1"/>
  <c r="Z265" i="2" a="1"/>
  <c r="AA265" i="2" a="1"/>
  <c r="AB265" i="2" a="1"/>
  <c r="AC265" i="2" a="1"/>
  <c r="S266" i="2" a="1"/>
  <c r="T266" i="2" a="1"/>
  <c r="AC271" i="2" a="1"/>
  <c r="Z271" i="2" a="1"/>
  <c r="AA271" i="2" a="1"/>
  <c r="AB271" i="2" a="1"/>
  <c r="S274" i="2" a="1"/>
  <c r="T274" i="2" a="1"/>
  <c r="U274" i="2" a="1"/>
  <c r="V274" i="2" a="1"/>
  <c r="W274" i="2" a="1"/>
  <c r="X274" i="2" a="1"/>
  <c r="Y274" i="2" a="1"/>
  <c r="Z274" i="2" a="1"/>
  <c r="AA274" i="2" a="1"/>
  <c r="AB274" i="2" a="1"/>
  <c r="AC274" i="2" a="1"/>
  <c r="R38" i="8" a="1"/>
  <c r="P38" i="8" a="1"/>
  <c r="O38" i="8" a="1"/>
  <c r="S38" i="8" a="1"/>
  <c r="Q38" i="8" a="1"/>
  <c r="P39" i="8" a="1"/>
  <c r="Q39" i="8" a="1"/>
  <c r="R39" i="8" a="1"/>
  <c r="O39" i="8" a="1"/>
  <c r="S39" i="8" a="1"/>
  <c r="P40" i="8" a="1"/>
  <c r="Q40" i="8" a="1"/>
  <c r="S40" i="8" a="1"/>
  <c r="R40" i="8" a="1"/>
  <c r="P41" i="8" a="1"/>
  <c r="R41" i="8" a="1"/>
  <c r="O41" i="8" a="1"/>
  <c r="Q41" i="8" a="1"/>
  <c r="S41" i="8" a="1"/>
  <c r="R42" i="8" a="1"/>
  <c r="Q42" i="8" a="1"/>
  <c r="P42" i="8" a="1"/>
  <c r="S42" i="8" a="1"/>
  <c r="O42" i="8" a="1"/>
  <c r="R43" i="8" a="1"/>
  <c r="Q43" i="8" a="1"/>
  <c r="S43" i="8" a="1"/>
  <c r="O43" i="8" a="1"/>
  <c r="P43" i="8" a="1"/>
  <c r="O71" i="8" a="1"/>
  <c r="R71" i="8" a="1"/>
  <c r="Q71" i="8" a="1"/>
  <c r="P71" i="8" a="1"/>
  <c r="S71" i="8" a="1"/>
  <c r="R72" i="8" a="1"/>
  <c r="S72" i="8" a="1"/>
  <c r="P72" i="8" a="1"/>
  <c r="Q72" i="8" a="1"/>
  <c r="O72" i="8" a="1"/>
  <c r="R73" i="8" a="1"/>
  <c r="Q73" i="8" a="1"/>
  <c r="O73" i="8" a="1"/>
  <c r="P73" i="8" a="1"/>
  <c r="S73" i="8" a="1"/>
  <c r="Q6" i="8" a="1"/>
  <c r="O6" i="8" a="1"/>
  <c r="P6" i="8" a="1"/>
  <c r="S6" i="8" a="1"/>
  <c r="R6" i="8" a="1"/>
  <c r="Q7" i="8" a="1"/>
  <c r="S7" i="8" a="1"/>
  <c r="R7" i="8" a="1"/>
  <c r="O7" i="8" a="1"/>
  <c r="P7" i="8" a="1"/>
  <c r="P8" i="8" a="1"/>
  <c r="R8" i="8" a="1"/>
  <c r="S8" i="8" a="1"/>
  <c r="O8" i="8" a="1"/>
  <c r="Q8" i="8" a="1"/>
  <c r="P9" i="8" a="1"/>
  <c r="S9" i="8" a="1"/>
  <c r="Q9" i="8" a="1"/>
  <c r="O9" i="8" a="1"/>
  <c r="R9" i="8" a="1"/>
  <c r="R10" i="8" a="1"/>
  <c r="S10" i="8" a="1"/>
  <c r="Q10" i="8" a="1"/>
  <c r="O10" i="8" a="1"/>
  <c r="P10" i="8" a="1"/>
  <c r="P11" i="8" a="1"/>
  <c r="S11" i="8" a="1"/>
  <c r="Q11" i="8" a="1"/>
  <c r="O11" i="8" a="1"/>
  <c r="R11" i="8" a="1"/>
  <c r="S12" i="8" a="1"/>
  <c r="Q12" i="8" a="1"/>
  <c r="P12" i="8" a="1"/>
  <c r="R12" i="8" a="1"/>
  <c r="O12" i="8" a="1"/>
  <c r="Q13" i="8" a="1"/>
  <c r="S13" i="8" a="1"/>
  <c r="R13" i="8" a="1"/>
  <c r="O13" i="8" a="1"/>
  <c r="P13" i="8" a="1"/>
  <c r="R14" i="8" a="1"/>
  <c r="S14" i="8" a="1"/>
  <c r="Q14" i="8" a="1"/>
  <c r="P14" i="8" a="1"/>
  <c r="O14" i="8" a="1"/>
  <c r="P15" i="8" a="1"/>
  <c r="R15" i="8" a="1"/>
  <c r="Q15" i="8" a="1"/>
  <c r="O15" i="8" a="1"/>
  <c r="S15" i="8" a="1"/>
  <c r="S16" i="8" a="1"/>
  <c r="Q16" i="8" a="1"/>
  <c r="P16" i="8" a="1"/>
  <c r="R16" i="8" a="1"/>
  <c r="O16" i="8" a="1"/>
  <c r="P17" i="8" a="1"/>
  <c r="R17" i="8" a="1"/>
  <c r="O17" i="8" a="1"/>
  <c r="S17" i="8" a="1"/>
  <c r="Q17" i="8" a="1"/>
  <c r="R18" i="8" a="1"/>
  <c r="Q18" i="8" a="1"/>
  <c r="P18" i="8" a="1"/>
  <c r="O18" i="8" a="1"/>
  <c r="S18" i="8" a="1"/>
  <c r="R19" i="8" a="1"/>
  <c r="P19" i="8" a="1"/>
  <c r="Q19" i="8" a="1"/>
  <c r="O19" i="8" a="1"/>
  <c r="S19" i="8" a="1"/>
  <c r="S20" i="8" a="1"/>
  <c r="O20" i="8" a="1"/>
  <c r="Q20" i="8" a="1"/>
  <c r="R20" i="8" a="1"/>
  <c r="P20" i="8" a="1"/>
  <c r="P21" i="8" a="1"/>
  <c r="O21" i="8" a="1"/>
  <c r="S21" i="8" a="1"/>
  <c r="Q21" i="8" a="1"/>
  <c r="R21" i="8" a="1"/>
  <c r="O22" i="8" a="1"/>
  <c r="S22" i="8" a="1"/>
  <c r="P22" i="8" a="1"/>
  <c r="R22" i="8" a="1"/>
  <c r="Q22" i="8" a="1"/>
  <c r="R23" i="8" a="1"/>
  <c r="O23" i="8" a="1"/>
  <c r="P23" i="8" a="1"/>
  <c r="S23" i="8" a="1"/>
  <c r="Q23" i="8" a="1"/>
  <c r="O24" i="8" a="1"/>
  <c r="R24" i="8" a="1"/>
  <c r="P24" i="8" a="1"/>
  <c r="Q24" i="8" a="1"/>
  <c r="S24" i="8" a="1"/>
  <c r="O25" i="8" a="1"/>
  <c r="S25" i="8" a="1"/>
  <c r="P25" i="8" a="1"/>
  <c r="R25" i="8" a="1"/>
  <c r="Q25" i="8" a="1"/>
  <c r="S26" i="8" a="1"/>
  <c r="Q26" i="8" a="1"/>
  <c r="R26" i="8" a="1"/>
  <c r="O26" i="8" a="1"/>
  <c r="P26" i="8" a="1"/>
  <c r="S27" i="8" a="1"/>
  <c r="Q27" i="8" a="1"/>
  <c r="O27" i="8" a="1"/>
  <c r="P27" i="8" a="1"/>
  <c r="R27" i="8" a="1"/>
  <c r="O28" i="8" a="1"/>
  <c r="P28" i="8" a="1"/>
  <c r="S28" i="8" a="1"/>
  <c r="Q28" i="8" a="1"/>
  <c r="R28" i="8" a="1"/>
  <c r="S29" i="8" a="1"/>
  <c r="O29" i="8" a="1"/>
  <c r="Q29" i="8" a="1"/>
  <c r="P29" i="8" a="1"/>
  <c r="R29" i="8" a="1"/>
  <c r="Q30" i="8" a="1"/>
  <c r="R30" i="8" a="1"/>
  <c r="P30" i="8" a="1"/>
  <c r="O30" i="8" a="1"/>
  <c r="S30" i="8" a="1"/>
  <c r="R31" i="8" a="1"/>
  <c r="O31" i="8" a="1"/>
  <c r="P31" i="8" a="1"/>
  <c r="Q31" i="8" a="1"/>
  <c r="S31" i="8" a="1"/>
  <c r="S32" i="8" a="1"/>
  <c r="O32" i="8" a="1"/>
  <c r="Q32" i="8" a="1"/>
  <c r="R32" i="8" a="1"/>
  <c r="P32" i="8" a="1"/>
  <c r="P33" i="8" a="1"/>
  <c r="S33" i="8" a="1"/>
  <c r="R33" i="8" a="1"/>
  <c r="O33" i="8" a="1"/>
  <c r="Q33" i="8" a="1"/>
  <c r="S34" i="8" a="1"/>
  <c r="Q34" i="8" a="1"/>
  <c r="P34" i="8" a="1"/>
  <c r="R34" i="8" a="1"/>
  <c r="O34" i="8" a="1"/>
  <c r="P35" i="8" a="1"/>
  <c r="S35" i="8" a="1"/>
  <c r="Q35" i="8" a="1"/>
  <c r="O35" i="8" a="1"/>
  <c r="R35" i="8" a="1"/>
  <c r="P36" i="8" a="1"/>
  <c r="R36" i="8" a="1"/>
  <c r="O36" i="8" a="1"/>
  <c r="Q36" i="8" a="1"/>
  <c r="S36" i="8" a="1"/>
  <c r="Q37" i="8" a="1"/>
  <c r="S37" i="8" a="1"/>
  <c r="O37" i="8" a="1"/>
  <c r="P37" i="8" a="1"/>
  <c r="R37" i="8" a="1"/>
  <c r="R44" i="8" a="1"/>
  <c r="Q44" i="8" a="1"/>
  <c r="P44" i="8" a="1"/>
  <c r="S44" i="8" a="1"/>
  <c r="O44" i="8" a="1"/>
  <c r="Q45" i="8" a="1"/>
  <c r="R45" i="8" a="1"/>
  <c r="P45" i="8" a="1"/>
  <c r="S45" i="8" a="1"/>
  <c r="O45" i="8" a="1"/>
  <c r="O46" i="8" a="1"/>
  <c r="P46" i="8" a="1"/>
  <c r="Q46" i="8" a="1"/>
  <c r="R46" i="8" a="1"/>
  <c r="S46" i="8" a="1"/>
  <c r="Q47" i="8" a="1"/>
  <c r="R47" i="8" a="1"/>
  <c r="S47" i="8" a="1"/>
  <c r="P47" i="8" a="1"/>
  <c r="O47" i="8" a="1"/>
  <c r="O48" i="8" a="1"/>
  <c r="P48" i="8" a="1"/>
  <c r="R48" i="8" a="1"/>
  <c r="S48" i="8" a="1"/>
  <c r="Q48" i="8" a="1"/>
  <c r="O49" i="8" a="1"/>
  <c r="R49" i="8" a="1"/>
  <c r="Q49" i="8" a="1"/>
  <c r="S49" i="8" a="1"/>
  <c r="P49" i="8" a="1"/>
  <c r="O50" i="8" a="1"/>
  <c r="R50" i="8" a="1"/>
  <c r="Q50" i="8" a="1"/>
  <c r="S50" i="8" a="1"/>
  <c r="P50" i="8" a="1"/>
  <c r="P51" i="8" a="1"/>
  <c r="S51" i="8" a="1"/>
  <c r="O51" i="8" a="1"/>
  <c r="R51" i="8" a="1"/>
  <c r="Q51" i="8" a="1"/>
  <c r="P52" i="8" a="1"/>
  <c r="Q52" i="8" a="1"/>
  <c r="O52" i="8" a="1"/>
  <c r="S52" i="8" a="1"/>
  <c r="R52" i="8" a="1"/>
  <c r="Q53" i="8" a="1"/>
  <c r="R53" i="8" a="1"/>
  <c r="P53" i="8" a="1"/>
  <c r="O53" i="8" a="1"/>
  <c r="S53" i="8" a="1"/>
  <c r="P54" i="8" a="1"/>
  <c r="R54" i="8" a="1"/>
  <c r="S54" i="8" a="1"/>
  <c r="O54" i="8" a="1"/>
  <c r="Q54" i="8" a="1"/>
  <c r="S55" i="8" a="1"/>
  <c r="Q55" i="8" a="1"/>
  <c r="R55" i="8" a="1"/>
  <c r="O55" i="8" a="1"/>
  <c r="P55" i="8" a="1"/>
  <c r="O56" i="8" a="1"/>
  <c r="S56" i="8" a="1"/>
  <c r="Q56" i="8" a="1"/>
  <c r="P56" i="8" a="1"/>
  <c r="R56" i="8" a="1"/>
  <c r="P57" i="8" a="1"/>
  <c r="Q57" i="8" a="1"/>
  <c r="S57" i="8" a="1"/>
  <c r="O57" i="8" a="1"/>
  <c r="R57" i="8" a="1"/>
  <c r="P58" i="8" a="1"/>
  <c r="O58" i="8" a="1"/>
  <c r="R58" i="8" a="1"/>
  <c r="S58" i="8" a="1"/>
  <c r="Q58" i="8" a="1"/>
  <c r="S59" i="8" a="1"/>
  <c r="P59" i="8" a="1"/>
  <c r="O59" i="8" a="1"/>
  <c r="Q59" i="8" a="1"/>
  <c r="R59" i="8" a="1"/>
  <c r="P60" i="8" a="1"/>
  <c r="Q60" i="8" a="1"/>
  <c r="S60" i="8" a="1"/>
  <c r="O60" i="8" a="1"/>
  <c r="R60" i="8" a="1"/>
  <c r="O61" i="8" a="1"/>
  <c r="R61" i="8" a="1"/>
  <c r="P61" i="8" a="1"/>
  <c r="Q61" i="8" a="1"/>
  <c r="S61" i="8" a="1"/>
  <c r="P62" i="8" a="1"/>
  <c r="S62" i="8" a="1"/>
  <c r="R62" i="8" a="1"/>
  <c r="O62" i="8" a="1"/>
  <c r="Q62" i="8" a="1"/>
  <c r="R63" i="8" a="1"/>
  <c r="Q63" i="8" a="1"/>
  <c r="S63" i="8" a="1"/>
  <c r="P63" i="8" a="1"/>
  <c r="O63" i="8" a="1"/>
  <c r="O64" i="8" a="1"/>
  <c r="S64" i="8" a="1"/>
  <c r="P64" i="8" a="1"/>
  <c r="Q64" i="8" a="1"/>
  <c r="R64" i="8" a="1"/>
  <c r="O65" i="8" a="1"/>
  <c r="P65" i="8" a="1"/>
  <c r="R65" i="8" a="1"/>
  <c r="S65" i="8" a="1"/>
  <c r="Q65" i="8" a="1"/>
  <c r="S66" i="8" a="1"/>
  <c r="Q66" i="8" a="1"/>
  <c r="O66" i="8" a="1"/>
  <c r="P66" i="8" a="1"/>
  <c r="R66" i="8" a="1"/>
  <c r="R67" i="8" a="1"/>
  <c r="P67" i="8" a="1"/>
  <c r="S67" i="8" a="1"/>
  <c r="Q67" i="8" a="1"/>
  <c r="O67" i="8" a="1"/>
  <c r="R68" i="8" a="1"/>
  <c r="O68" i="8" a="1"/>
  <c r="S68" i="8" a="1"/>
  <c r="P68" i="8" a="1"/>
  <c r="Q68" i="8" a="1"/>
  <c r="R69" i="8" a="1"/>
  <c r="S69" i="8" a="1"/>
  <c r="O69" i="8" a="1"/>
  <c r="Q69" i="8" a="1"/>
  <c r="P69" i="8" a="1"/>
  <c r="R70" i="8" a="1"/>
  <c r="S70" i="8" a="1"/>
  <c r="P70" i="8" a="1"/>
  <c r="O70" i="8" a="1"/>
  <c r="Q70" i="8" a="1"/>
  <c r="S173" i="2" a="1"/>
  <c r="X78" i="2" a="1"/>
  <c r="Y78" i="2" a="1"/>
  <c r="Z78" i="2" a="1"/>
  <c r="AA78" i="2" a="1"/>
  <c r="AB78" i="2" a="1"/>
  <c r="AC78" i="2" a="1"/>
  <c r="S79" i="2" a="1"/>
  <c r="T79" i="2" a="1"/>
  <c r="U79" i="2" a="1"/>
  <c r="V79" i="2" a="1"/>
  <c r="W79" i="2" a="1"/>
  <c r="X79" i="2" a="1"/>
  <c r="Y79" i="2" a="1"/>
  <c r="Z79" i="2" a="1"/>
  <c r="AA79" i="2" a="1"/>
  <c r="AB79" i="2" a="1"/>
  <c r="AC79" i="2" a="1"/>
  <c r="S80" i="2" a="1"/>
  <c r="T80" i="2" a="1"/>
  <c r="U80" i="2" a="1"/>
  <c r="AB84" i="2" a="1"/>
  <c r="AC84" i="2" a="1"/>
  <c r="S85" i="2" a="1"/>
  <c r="T85" i="2" a="1"/>
  <c r="U85" i="2" a="1"/>
  <c r="V85" i="2" a="1"/>
  <c r="W85" i="2" a="1"/>
  <c r="X85" i="2" a="1"/>
  <c r="Y85" i="2" a="1"/>
  <c r="Z85" i="2" a="1"/>
  <c r="AA85" i="2" a="1"/>
  <c r="AB85" i="2" a="1"/>
  <c r="AC85" i="2" a="1"/>
  <c r="V86" i="2" a="1"/>
  <c r="W86" i="2" a="1"/>
  <c r="X86" i="2" a="1"/>
  <c r="Y86" i="2" a="1"/>
  <c r="Z86" i="2" a="1"/>
  <c r="AA86" i="2" a="1"/>
  <c r="S88" i="2" a="1"/>
  <c r="T88" i="2" a="1"/>
  <c r="U88" i="2" a="1"/>
  <c r="V88" i="2" a="1"/>
  <c r="W88" i="2" a="1"/>
  <c r="X88" i="2" a="1"/>
  <c r="Y88" i="2" a="1"/>
  <c r="Z88" i="2" a="1"/>
  <c r="AA88" i="2" a="1"/>
  <c r="AB88" i="2" a="1"/>
  <c r="AC88" i="2" a="1"/>
  <c r="S89" i="2" a="1"/>
  <c r="T89" i="2" a="1"/>
  <c r="U89" i="2" a="1"/>
  <c r="V89" i="2" a="1"/>
  <c r="W89" i="2" a="1"/>
  <c r="X89" i="2" a="1"/>
  <c r="Y89" i="2" a="1"/>
  <c r="Z89" i="2" a="1"/>
  <c r="AA89" i="2" a="1"/>
  <c r="AB89" i="2" a="1"/>
  <c r="AC89" i="2" a="1"/>
  <c r="S90" i="2" a="1"/>
  <c r="T90" i="2" a="1"/>
  <c r="U90" i="2" a="1"/>
  <c r="V90" i="2" a="1"/>
  <c r="W90" i="2" a="1"/>
  <c r="X90" i="2" a="1"/>
  <c r="Y90" i="2" a="1"/>
  <c r="Z90" i="2" a="1"/>
  <c r="AA90" i="2" a="1"/>
  <c r="AB90" i="2" a="1"/>
  <c r="AC90" i="2" a="1"/>
  <c r="S91" i="2" a="1"/>
  <c r="T91" i="2" a="1"/>
  <c r="U91" i="2" a="1"/>
  <c r="V91" i="2" a="1"/>
  <c r="W91" i="2" a="1"/>
  <c r="X91" i="2" a="1"/>
  <c r="Y91" i="2" a="1"/>
  <c r="Z91" i="2" a="1"/>
  <c r="AA91" i="2" a="1"/>
  <c r="AB91" i="2" a="1"/>
  <c r="AC91" i="2" a="1"/>
  <c r="S92" i="2" a="1"/>
  <c r="T92" i="2" a="1"/>
  <c r="U92" i="2" a="1"/>
  <c r="V92" i="2" a="1"/>
  <c r="W92" i="2" a="1"/>
  <c r="X92" i="2" a="1"/>
  <c r="Y92" i="2" a="1"/>
  <c r="V106" i="2" a="1"/>
  <c r="W106" i="2" a="1"/>
  <c r="X106" i="2" a="1"/>
  <c r="Y106" i="2" a="1"/>
  <c r="Z106" i="2" a="1"/>
  <c r="AA106" i="2" a="1"/>
  <c r="AB106" i="2" a="1"/>
  <c r="AC106" i="2" a="1"/>
  <c r="V107" i="2" a="1"/>
  <c r="W107" i="2" a="1"/>
  <c r="X107" i="2" a="1"/>
  <c r="Y107" i="2" a="1"/>
  <c r="Z107" i="2" a="1"/>
  <c r="AA107" i="2" a="1"/>
  <c r="T108" i="2" a="1"/>
  <c r="U108" i="2" a="1"/>
  <c r="V108" i="2" a="1"/>
  <c r="W108" i="2" a="1"/>
  <c r="X108" i="2" a="1"/>
  <c r="Y108" i="2" a="1"/>
  <c r="Z108" i="2" a="1"/>
  <c r="S109" i="2" a="1"/>
  <c r="T109" i="2" a="1"/>
  <c r="U109" i="2" a="1"/>
  <c r="V109" i="2" a="1"/>
  <c r="W109" i="2" a="1"/>
  <c r="X109" i="2" a="1"/>
  <c r="Y109" i="2" a="1"/>
  <c r="Z109" i="2" a="1"/>
  <c r="AA109" i="2" a="1"/>
  <c r="AB109" i="2" a="1"/>
  <c r="AC109" i="2" a="1"/>
  <c r="S110" i="2" a="1"/>
  <c r="T110" i="2" a="1"/>
  <c r="U110" i="2" a="1"/>
  <c r="V110" i="2" a="1"/>
  <c r="W110" i="2" a="1"/>
  <c r="X110" i="2" a="1"/>
  <c r="Y110" i="2" a="1"/>
  <c r="Z110" i="2" a="1"/>
  <c r="AA110" i="2" a="1"/>
  <c r="AB143" i="2" a="1"/>
  <c r="AC143" i="2" a="1"/>
  <c r="V144" i="2" a="1"/>
  <c r="W144" i="2" a="1"/>
  <c r="X144" i="2" a="1"/>
  <c r="Y144" i="2" a="1"/>
  <c r="Z144" i="2" a="1"/>
  <c r="AA144" i="2" a="1"/>
  <c r="AB144" i="2" a="1"/>
  <c r="AC144" i="2" a="1"/>
  <c r="Z145" i="2" a="1"/>
  <c r="AA145" i="2" a="1"/>
  <c r="AB145" i="2" a="1"/>
  <c r="AC145" i="2" a="1"/>
  <c r="X146" i="2" a="1"/>
  <c r="Y146" i="2" a="1"/>
  <c r="Z146" i="2" a="1"/>
  <c r="AA146" i="2" a="1"/>
  <c r="AB146" i="2" a="1"/>
  <c r="AC146" i="2" a="1"/>
  <c r="X147" i="2" a="1"/>
  <c r="Y147" i="2" a="1"/>
  <c r="Z147" i="2" a="1"/>
  <c r="AA147" i="2" a="1"/>
  <c r="AB147" i="2" a="1"/>
  <c r="AC147" i="2" a="1"/>
  <c r="S148" i="2" a="1"/>
  <c r="T148" i="2" a="1"/>
  <c r="U148" i="2" a="1"/>
  <c r="V148" i="2" a="1"/>
  <c r="W148" i="2" a="1"/>
  <c r="X148" i="2" a="1"/>
  <c r="Y148" i="2" a="1"/>
  <c r="Z148" i="2" a="1"/>
  <c r="AA148" i="2" a="1"/>
  <c r="AB148" i="2" a="1"/>
  <c r="AC148" i="2" a="1"/>
  <c r="W149" i="2" a="1"/>
  <c r="X149" i="2" a="1"/>
  <c r="Y149" i="2" a="1"/>
  <c r="X151" i="2" a="1"/>
  <c r="Y151" i="2" a="1"/>
  <c r="V154" i="2" a="1"/>
  <c r="W154" i="2" a="1"/>
  <c r="X154" i="2" a="1"/>
  <c r="Y154" i="2" a="1"/>
  <c r="Z154" i="2" a="1"/>
  <c r="AA154" i="2" a="1"/>
  <c r="AB154" i="2" a="1"/>
  <c r="AC154" i="2" a="1"/>
  <c r="S156" i="2" a="1"/>
  <c r="T156" i="2" a="1"/>
  <c r="U156" i="2" a="1"/>
  <c r="V156" i="2" a="1"/>
  <c r="W156" i="2" a="1"/>
  <c r="X156" i="2" a="1"/>
  <c r="Y156" i="2" a="1"/>
  <c r="Z156" i="2" a="1"/>
  <c r="AA156" i="2" a="1"/>
  <c r="AB156" i="2" a="1"/>
  <c r="AC156" i="2" a="1"/>
  <c r="S157" i="2" a="1"/>
  <c r="T157" i="2" a="1"/>
  <c r="U157" i="2" a="1"/>
  <c r="V157" i="2" a="1"/>
  <c r="W157" i="2" a="1"/>
  <c r="X157" i="2" a="1"/>
  <c r="Y157" i="2" a="1"/>
  <c r="Z157" i="2" a="1"/>
  <c r="AA157" i="2" a="1"/>
  <c r="AB157" i="2" a="1"/>
  <c r="AC157" i="2" a="1"/>
  <c r="AB163" i="2" a="1"/>
  <c r="AC163" i="2" a="1"/>
  <c r="S164" i="2" a="1"/>
  <c r="T164" i="2" a="1"/>
  <c r="U164" i="2" a="1"/>
  <c r="AB172" i="2" a="1"/>
  <c r="AC172" i="2" a="1"/>
  <c r="V180" i="2" a="1"/>
  <c r="W180" i="2" a="1"/>
  <c r="X180" i="2" a="1"/>
  <c r="Y180" i="2" a="1"/>
  <c r="Z180" i="2" a="1"/>
  <c r="AA180" i="2" a="1"/>
  <c r="AB180" i="2" a="1"/>
  <c r="AC180" i="2" a="1"/>
  <c r="S181" i="2" a="1"/>
  <c r="T181" i="2" a="1"/>
  <c r="U181" i="2" a="1"/>
  <c r="V181" i="2" a="1"/>
  <c r="W181" i="2" a="1"/>
  <c r="X181" i="2" a="1"/>
  <c r="V211" i="2" a="1"/>
  <c r="W211" i="2" a="1"/>
  <c r="X211" i="2" a="1"/>
  <c r="Y211" i="2" a="1"/>
  <c r="Z211" i="2" a="1"/>
  <c r="AA211" i="2" a="1"/>
  <c r="AB211" i="2" a="1"/>
  <c r="AC211" i="2" a="1"/>
  <c r="U212" i="2" a="1"/>
  <c r="V212" i="2" a="1"/>
  <c r="W212" i="2" a="1"/>
  <c r="X212" i="2" a="1"/>
  <c r="Y212" i="2" a="1"/>
  <c r="Z212" i="2" a="1"/>
  <c r="AA212" i="2" a="1"/>
  <c r="AB212" i="2" a="1"/>
  <c r="AC212" i="2" a="1"/>
  <c r="S213" i="2" a="1"/>
  <c r="T213" i="2" a="1"/>
  <c r="U213" i="2" a="1"/>
  <c r="V213" i="2" a="1"/>
  <c r="W213" i="2" a="1"/>
  <c r="Z229" i="2" a="1"/>
  <c r="AA229" i="2" a="1"/>
  <c r="AB229" i="2" a="1"/>
  <c r="AC229" i="2" a="1"/>
  <c r="S230" i="2" a="1"/>
  <c r="T230" i="2" a="1"/>
  <c r="U230" i="2" a="1"/>
  <c r="V230" i="2" a="1"/>
  <c r="W230" i="2" a="1"/>
  <c r="X230" i="2" a="1"/>
  <c r="Y230" i="2" a="1"/>
  <c r="Z230" i="2" a="1"/>
  <c r="AA230" i="2" a="1"/>
  <c r="AB230" i="2" a="1"/>
  <c r="AC230" i="2" a="1"/>
  <c r="S231" i="2" a="1"/>
  <c r="T231" i="2" a="1"/>
  <c r="U231" i="2" a="1"/>
  <c r="V231" i="2" a="1"/>
  <c r="W231" i="2" a="1"/>
  <c r="X231" i="2" a="1"/>
  <c r="Y231" i="2" a="1"/>
  <c r="Z231" i="2" a="1"/>
  <c r="AA231" i="2" a="1"/>
  <c r="AB231" i="2" a="1"/>
  <c r="S247" i="2" a="1"/>
  <c r="T247" i="2" a="1"/>
  <c r="U247" i="2" a="1"/>
  <c r="V247" i="2" a="1"/>
  <c r="W247" i="2" a="1"/>
  <c r="X247" i="2" a="1"/>
  <c r="Y247" i="2" a="1"/>
  <c r="Z247" i="2" a="1"/>
  <c r="U95" i="2" a="1"/>
  <c r="S117" i="2" a="1"/>
  <c r="V119" i="2" a="1"/>
  <c r="W129" i="2" a="1"/>
  <c r="S137" i="2" a="1"/>
  <c r="S153" i="2" a="1"/>
  <c r="S190" i="2" a="1"/>
  <c r="U70" i="2" a="1"/>
  <c r="V70" i="2" a="1"/>
  <c r="W70" i="2" a="1"/>
  <c r="X70" i="2" a="1"/>
  <c r="Y70" i="2" a="1"/>
  <c r="Z70" i="2" a="1"/>
  <c r="AA70" i="2" a="1"/>
  <c r="AB70" i="2" a="1"/>
  <c r="AC70" i="2" a="1"/>
  <c r="S71" i="2" a="1"/>
  <c r="T71" i="2" a="1"/>
  <c r="U71" i="2" a="1"/>
  <c r="V71" i="2" a="1"/>
  <c r="W71" i="2" a="1"/>
  <c r="X71" i="2" a="1"/>
  <c r="Y71" i="2" a="1"/>
  <c r="Z71" i="2" a="1"/>
  <c r="AA71" i="2" a="1"/>
  <c r="AB71" i="2" a="1"/>
  <c r="AC71" i="2" a="1"/>
  <c r="S72" i="2" a="1"/>
  <c r="T72" i="2" a="1"/>
  <c r="U72" i="2" a="1"/>
  <c r="V72" i="2" a="1"/>
  <c r="W72" i="2" a="1"/>
  <c r="X72" i="2" a="1"/>
  <c r="Y72" i="2" a="1"/>
  <c r="Z72" i="2" a="1"/>
  <c r="AA72" i="2" a="1"/>
  <c r="AB72" i="2" a="1"/>
  <c r="AC72" i="2" a="1"/>
  <c r="AB94" i="2" a="1"/>
  <c r="AC94" i="2" a="1"/>
  <c r="V95" i="2" a="1"/>
  <c r="W95" i="2" a="1"/>
  <c r="X95" i="2" a="1"/>
  <c r="Y95" i="2" a="1"/>
  <c r="Z95" i="2" a="1"/>
  <c r="AA95" i="2" a="1"/>
  <c r="AB95" i="2" a="1"/>
  <c r="AC95" i="2" a="1"/>
  <c r="T96" i="2" a="1"/>
  <c r="U96" i="2" a="1"/>
  <c r="V96" i="2" a="1"/>
  <c r="W96" i="2" a="1"/>
  <c r="X96" i="2" a="1"/>
  <c r="Y96" i="2" a="1"/>
  <c r="Z96" i="2" a="1"/>
  <c r="AA96" i="2" a="1"/>
  <c r="AB96" i="2" a="1"/>
  <c r="AC96" i="2" a="1"/>
  <c r="T97" i="2" a="1"/>
  <c r="U97" i="2" a="1"/>
  <c r="V97" i="2" a="1"/>
  <c r="W97" i="2" a="1"/>
  <c r="X97" i="2" a="1"/>
  <c r="Y97" i="2" a="1"/>
  <c r="Z97" i="2" a="1"/>
  <c r="AA97" i="2" a="1"/>
  <c r="AB97" i="2" a="1"/>
  <c r="AC97" i="2" a="1"/>
  <c r="AA99" i="2" a="1"/>
  <c r="AB99" i="2" a="1"/>
  <c r="AC99" i="2" a="1"/>
  <c r="T100" i="2" a="1"/>
  <c r="U100" i="2" a="1"/>
  <c r="V100" i="2" a="1"/>
  <c r="W100" i="2" a="1"/>
  <c r="X100" i="2" a="1"/>
  <c r="Y116" i="2" a="1"/>
  <c r="Z116" i="2" a="1"/>
  <c r="AA116" i="2" a="1"/>
  <c r="AB116" i="2" a="1"/>
  <c r="AC116" i="2" a="1"/>
  <c r="T117" i="2" a="1"/>
  <c r="U117" i="2" a="1"/>
  <c r="V117" i="2" a="1"/>
  <c r="W117" i="2" a="1"/>
  <c r="X117" i="2" a="1"/>
  <c r="Y117" i="2" a="1"/>
  <c r="Z117" i="2" a="1"/>
  <c r="AA117" i="2" a="1"/>
  <c r="AB117" i="2" a="1"/>
  <c r="AC117" i="2" a="1"/>
  <c r="V118" i="2" a="1"/>
  <c r="W118" i="2" a="1"/>
  <c r="X118" i="2" a="1"/>
  <c r="Y118" i="2" a="1"/>
  <c r="Z118" i="2" a="1"/>
  <c r="AA118" i="2" a="1"/>
  <c r="AB118" i="2" a="1"/>
  <c r="AC118" i="2" a="1"/>
  <c r="W119" i="2" a="1"/>
  <c r="X119" i="2" a="1"/>
  <c r="Y119" i="2" a="1"/>
  <c r="Z119" i="2" a="1"/>
  <c r="AA119" i="2" a="1"/>
  <c r="AB119" i="2" a="1"/>
  <c r="AC119" i="2" a="1"/>
  <c r="X120" i="2" a="1"/>
  <c r="Y120" i="2" a="1"/>
  <c r="Z120" i="2" a="1"/>
  <c r="AA120" i="2" a="1"/>
  <c r="AB120" i="2" a="1"/>
  <c r="AC120" i="2" a="1"/>
  <c r="U121" i="2" a="1"/>
  <c r="V121" i="2" a="1"/>
  <c r="W121" i="2" a="1"/>
  <c r="X121" i="2" a="1"/>
  <c r="Y121" i="2" a="1"/>
  <c r="Z121" i="2" a="1"/>
  <c r="AA121" i="2" a="1"/>
  <c r="AA126" i="2" a="1"/>
  <c r="AB126" i="2" a="1"/>
  <c r="AC126" i="2" a="1"/>
  <c r="W127" i="2" a="1"/>
  <c r="X127" i="2" a="1"/>
  <c r="Y127" i="2" a="1"/>
  <c r="Z127" i="2" a="1"/>
  <c r="AA127" i="2" a="1"/>
  <c r="AB127" i="2" a="1"/>
  <c r="AC127" i="2" a="1"/>
  <c r="AB128" i="2" a="1"/>
  <c r="AC128" i="2" a="1"/>
  <c r="X129" i="2" a="1"/>
  <c r="Y129" i="2" a="1"/>
  <c r="Z129" i="2" a="1"/>
  <c r="AA129" i="2" a="1"/>
  <c r="AB129" i="2" a="1"/>
  <c r="AC129" i="2" a="1"/>
  <c r="S130" i="2" a="1"/>
  <c r="T130" i="2" a="1"/>
  <c r="U130" i="2" a="1"/>
  <c r="V130" i="2" a="1"/>
  <c r="W130" i="2" a="1"/>
  <c r="X130" i="2" a="1"/>
  <c r="S132" i="2" a="1"/>
  <c r="T132" i="2" a="1"/>
  <c r="Y136" i="2" a="1"/>
  <c r="Z136" i="2" a="1"/>
  <c r="AA136" i="2" a="1"/>
  <c r="AB136" i="2" a="1"/>
  <c r="AC136" i="2" a="1"/>
  <c r="T137" i="2" a="1"/>
  <c r="U137" i="2" a="1"/>
  <c r="V137" i="2" a="1"/>
  <c r="W137" i="2" a="1"/>
  <c r="X137" i="2" a="1"/>
  <c r="Y137" i="2" a="1"/>
  <c r="Z151" i="2" a="1"/>
  <c r="AA151" i="2" a="1"/>
  <c r="AB151" i="2" a="1"/>
  <c r="AC151" i="2" a="1"/>
  <c r="S152" i="2" a="1"/>
  <c r="T152" i="2" a="1"/>
  <c r="U152" i="2" a="1"/>
  <c r="V152" i="2" a="1"/>
  <c r="W152" i="2" a="1"/>
  <c r="T153" i="2" a="1"/>
  <c r="U153" i="2" a="1"/>
  <c r="V153" i="2" a="1"/>
  <c r="W153" i="2" a="1"/>
  <c r="X153" i="2" a="1"/>
  <c r="Y153" i="2" a="1"/>
  <c r="Z153" i="2" a="1"/>
  <c r="AA153" i="2" a="1"/>
  <c r="AB153" i="2" a="1"/>
  <c r="AC153" i="2" a="1"/>
  <c r="S154" i="2" a="1"/>
  <c r="T154" i="2" a="1"/>
  <c r="U154" i="2" a="1"/>
  <c r="X183" i="2" a="1"/>
  <c r="Y183" i="2" a="1"/>
  <c r="Z183" i="2" a="1"/>
  <c r="AA183" i="2" a="1"/>
  <c r="AB183" i="2" a="1"/>
  <c r="AC183" i="2" a="1"/>
  <c r="AC184" i="2" a="1"/>
  <c r="S184" i="2" a="1"/>
  <c r="T184" i="2" a="1"/>
  <c r="U184" i="2" a="1"/>
  <c r="V184" i="2" a="1"/>
  <c r="W184" i="2" a="1"/>
  <c r="X184" i="2" a="1"/>
  <c r="Y184" i="2" a="1"/>
  <c r="Z184" i="2" a="1"/>
  <c r="AA184" i="2" a="1"/>
  <c r="AB184" i="2" a="1"/>
  <c r="AB187" i="2" a="1"/>
  <c r="AC187" i="2" a="1"/>
  <c r="S188" i="2" a="1"/>
  <c r="T188" i="2" a="1"/>
  <c r="U188" i="2" a="1"/>
  <c r="V188" i="2" a="1"/>
  <c r="W188" i="2" a="1"/>
  <c r="X188" i="2" a="1"/>
  <c r="Y188" i="2" a="1"/>
  <c r="Z188" i="2" a="1"/>
  <c r="AA188" i="2" a="1"/>
  <c r="AB188" i="2" a="1"/>
  <c r="AC188" i="2" a="1"/>
  <c r="S189" i="2" a="1"/>
  <c r="T189" i="2" a="1"/>
  <c r="U189" i="2" a="1"/>
  <c r="V189" i="2" a="1"/>
  <c r="W189" i="2" a="1"/>
  <c r="X189" i="2" a="1"/>
  <c r="Y189" i="2" a="1"/>
  <c r="Z189" i="2" a="1"/>
  <c r="AA189" i="2" a="1"/>
  <c r="AB189" i="2" a="1"/>
  <c r="AC189" i="2" a="1"/>
  <c r="T190" i="2" a="1"/>
  <c r="U190" i="2" a="1"/>
  <c r="V190" i="2" a="1"/>
  <c r="W190" i="2" a="1"/>
  <c r="X190" i="2" a="1"/>
  <c r="Y190" i="2" a="1"/>
  <c r="Z190" i="2" a="1"/>
  <c r="AA190" i="2" a="1"/>
  <c r="AB190" i="2" a="1"/>
  <c r="AC190" i="2" a="1"/>
  <c r="S191" i="2" a="1"/>
  <c r="T191" i="2" a="1"/>
  <c r="U191" i="2" a="1"/>
  <c r="V191" i="2" a="1"/>
  <c r="W191" i="2" a="1"/>
  <c r="X191" i="2" a="1"/>
  <c r="Y191" i="2" a="1"/>
  <c r="Z191" i="2" a="1"/>
  <c r="AA191" i="2" a="1"/>
  <c r="AB228" i="2" a="1"/>
  <c r="AC228" i="2" a="1"/>
  <c r="S229" i="2" a="1"/>
  <c r="T229" i="2" a="1"/>
  <c r="U229" i="2" a="1"/>
  <c r="V229" i="2" a="1"/>
  <c r="W229" i="2" a="1"/>
  <c r="X229" i="2" a="1"/>
  <c r="Y229" i="2" a="1"/>
  <c r="U249" i="2" a="1"/>
  <c r="V249" i="2" a="1"/>
  <c r="W249" i="2" a="1"/>
  <c r="X249" i="2" a="1"/>
  <c r="Y249" i="2" a="1"/>
  <c r="Z249" i="2" a="1"/>
  <c r="AA249" i="2" a="1"/>
  <c r="AB249" i="2" a="1"/>
  <c r="AC249" i="2" a="1"/>
  <c r="S250" i="2" a="1"/>
  <c r="T250" i="2" a="1"/>
  <c r="U250" i="2" a="1"/>
  <c r="V250" i="2" a="1"/>
  <c r="W250" i="2" a="1"/>
  <c r="X250" i="2" a="1"/>
  <c r="Y250" i="2" a="1"/>
  <c r="Z250" i="2" a="1"/>
  <c r="AA250" i="2" a="1"/>
  <c r="AB250" i="2" a="1"/>
  <c r="AC250" i="2" a="1"/>
  <c r="S251" i="2" a="1"/>
  <c r="T251" i="2" a="1"/>
  <c r="U251" i="2" a="1"/>
  <c r="V251" i="2" a="1"/>
  <c r="W251" i="2" a="1"/>
  <c r="X251" i="2" a="1"/>
  <c r="Y251" i="2" a="1"/>
  <c r="Z251" i="2" a="1"/>
  <c r="AA251" i="2" a="1"/>
  <c r="AB251" i="2" a="1"/>
  <c r="AC251" i="2" a="1"/>
  <c r="S252" i="2" a="1"/>
  <c r="T252" i="2" a="1"/>
  <c r="U252" i="2" a="1"/>
  <c r="V252" i="2" a="1"/>
  <c r="W252" i="2" a="1"/>
  <c r="X252" i="2" a="1"/>
  <c r="Y252" i="2" a="1"/>
  <c r="Z252" i="2" a="1"/>
  <c r="AA252" i="2" a="1"/>
  <c r="AB252" i="2" a="1"/>
  <c r="AC252" i="2" a="1"/>
  <c r="S253" i="2" a="1"/>
  <c r="T253" i="2" a="1"/>
  <c r="U253" i="2" a="1"/>
  <c r="V253" i="2" a="1"/>
  <c r="W253" i="2" a="1"/>
  <c r="X253" i="2" a="1"/>
  <c r="Y253" i="2" a="1"/>
  <c r="Z253" i="2" a="1"/>
  <c r="AA253" i="2" a="1"/>
  <c r="AB253" i="2" a="1"/>
  <c r="AC253" i="2" a="1"/>
  <c r="S254" i="2" a="1"/>
  <c r="T254" i="2" a="1"/>
  <c r="U254" i="2" a="1"/>
  <c r="V254" i="2" a="1"/>
  <c r="W254" i="2" a="1"/>
  <c r="X254" i="2" a="1"/>
  <c r="Y254" i="2" a="1"/>
  <c r="Z254" i="2" a="1"/>
  <c r="AA254" i="2" a="1"/>
  <c r="AB254" i="2" a="1"/>
  <c r="AC254" i="2" a="1"/>
  <c r="S255" i="2" a="1"/>
  <c r="T255" i="2" a="1"/>
  <c r="U255" i="2" a="1"/>
  <c r="V255" i="2" a="1"/>
  <c r="W255" i="2" a="1"/>
  <c r="X255" i="2" a="1"/>
  <c r="Y255" i="2" a="1"/>
  <c r="Z255" i="2" a="1"/>
  <c r="AA255" i="2" a="1"/>
  <c r="AB255" i="2" a="1"/>
  <c r="AC255" i="2" a="1"/>
  <c r="U256" i="2" a="1"/>
  <c r="V256" i="2" a="1"/>
  <c r="W256" i="2" a="1"/>
  <c r="X256" i="2" a="1"/>
  <c r="Y256" i="2" a="1"/>
  <c r="Z256" i="2" a="1"/>
  <c r="AA256" i="2" a="1"/>
  <c r="AB256" i="2" a="1"/>
  <c r="AC256" i="2" a="1"/>
  <c r="W257" i="2" a="1"/>
  <c r="X257" i="2" a="1"/>
  <c r="Y257" i="2" a="1"/>
  <c r="Z257" i="2" a="1"/>
  <c r="AA257" i="2" a="1"/>
  <c r="AB257" i="2" a="1"/>
  <c r="AC257" i="2" a="1"/>
  <c r="Z259" i="2" a="1"/>
  <c r="AA259" i="2" a="1"/>
  <c r="AB259" i="2" a="1"/>
  <c r="AC259" i="2" a="1"/>
  <c r="T260" i="2" a="1"/>
  <c r="U260" i="2" a="1"/>
  <c r="V260" i="2" a="1"/>
  <c r="W260" i="2" a="1"/>
  <c r="X260" i="2" a="1"/>
  <c r="Y260" i="2" a="1"/>
  <c r="Z260" i="2" a="1"/>
  <c r="AA260" i="2" a="1"/>
  <c r="AB260" i="2" a="1"/>
  <c r="AC260" i="2" a="1"/>
  <c r="AA261" i="2" a="1"/>
  <c r="AB261" i="2" a="1"/>
  <c r="V262" i="2" a="1"/>
  <c r="W262" i="2" a="1"/>
  <c r="X262" i="2" a="1"/>
  <c r="Y262" i="2" a="1"/>
  <c r="Z262" i="2" a="1"/>
  <c r="AA262" i="2" a="1"/>
  <c r="AB262" i="2" a="1"/>
  <c r="AC262" i="2" a="1"/>
  <c r="V263" i="2" a="1"/>
  <c r="W263" i="2" a="1"/>
  <c r="S67" i="2" a="1"/>
  <c r="X68" i="2" a="1"/>
  <c r="S65" i="2" a="1"/>
  <c r="T65" i="2" a="1"/>
  <c r="U65" i="2" a="1"/>
  <c r="V65" i="2" a="1"/>
  <c r="W65" i="2" a="1"/>
  <c r="X65" i="2" a="1"/>
  <c r="Y65" i="2" a="1"/>
  <c r="Z65" i="2" a="1"/>
  <c r="AA65" i="2" a="1"/>
  <c r="AB65" i="2" a="1"/>
  <c r="AC65" i="2" a="1"/>
  <c r="T67" i="2" a="1"/>
  <c r="U67" i="2" a="1"/>
  <c r="V67" i="2" a="1"/>
  <c r="W67" i="2" a="1"/>
  <c r="X67" i="2" a="1"/>
  <c r="Y67" i="2" a="1"/>
  <c r="Z67" i="2" a="1"/>
  <c r="AA67" i="2" a="1"/>
  <c r="AB67" i="2" a="1"/>
  <c r="AC67" i="2" a="1"/>
  <c r="Y68" i="2" a="1"/>
  <c r="Z68" i="2" a="1"/>
  <c r="AA68" i="2" a="1"/>
  <c r="AB68" i="2" a="1"/>
  <c r="V80" i="2" a="1"/>
  <c r="W80" i="2" a="1"/>
  <c r="X80" i="2" a="1"/>
  <c r="Y80" i="2" a="1"/>
  <c r="Z80" i="2" a="1"/>
  <c r="AA80" i="2" a="1"/>
  <c r="AB80" i="2" a="1"/>
  <c r="AC80" i="2" a="1"/>
  <c r="S81" i="2" a="1"/>
  <c r="T81" i="2" a="1"/>
  <c r="U81" i="2" a="1"/>
  <c r="V81" i="2" a="1"/>
  <c r="W81" i="2" a="1"/>
  <c r="X81" i="2" a="1"/>
  <c r="Y81" i="2" a="1"/>
  <c r="Z81" i="2" a="1"/>
  <c r="AA81" i="2" a="1"/>
  <c r="AB81" i="2" a="1"/>
  <c r="AC81" i="2" a="1"/>
  <c r="S82" i="2" a="1"/>
  <c r="T82" i="2" a="1"/>
  <c r="U82" i="2" a="1"/>
  <c r="V82" i="2" a="1"/>
  <c r="W82" i="2" a="1"/>
  <c r="X82" i="2" a="1"/>
  <c r="Y82" i="2" a="1"/>
  <c r="Z82" i="2" a="1"/>
  <c r="AA82" i="2" a="1"/>
  <c r="AB82" i="2" a="1"/>
  <c r="AC82" i="2" a="1"/>
  <c r="S83" i="2" a="1"/>
  <c r="T83" i="2" a="1"/>
  <c r="U83" i="2" a="1"/>
  <c r="V83" i="2" a="1"/>
  <c r="W83" i="2" a="1"/>
  <c r="X83" i="2" a="1"/>
  <c r="Y83" i="2" a="1"/>
  <c r="Z83" i="2" a="1"/>
  <c r="AA83" i="2" a="1"/>
  <c r="AB83" i="2" a="1"/>
  <c r="AC83" i="2" a="1"/>
  <c r="S84" i="2" a="1"/>
  <c r="T84" i="2" a="1"/>
  <c r="U84" i="2" a="1"/>
  <c r="V84" i="2" a="1"/>
  <c r="W84" i="2" a="1"/>
  <c r="X84" i="2" a="1"/>
  <c r="Y84" i="2" a="1"/>
  <c r="Z84" i="2" a="1"/>
  <c r="AA84" i="2" a="1"/>
  <c r="Y103" i="2" a="1"/>
  <c r="Z103" i="2" a="1"/>
  <c r="AA103" i="2" a="1"/>
  <c r="AB103" i="2" a="1"/>
  <c r="U132" i="2" a="1"/>
  <c r="V132" i="2" a="1"/>
  <c r="W132" i="2" a="1"/>
  <c r="X132" i="2" a="1"/>
  <c r="Y132" i="2" a="1"/>
  <c r="Z132" i="2" a="1"/>
  <c r="AA132" i="2" a="1"/>
  <c r="AB132" i="2" a="1"/>
  <c r="AC132" i="2" a="1"/>
  <c r="S133" i="2" a="1"/>
  <c r="T133" i="2" a="1"/>
  <c r="U133" i="2" a="1"/>
  <c r="V133" i="2" a="1"/>
  <c r="W133" i="2" a="1"/>
  <c r="X133" i="2" a="1"/>
  <c r="Y133" i="2" a="1"/>
  <c r="Z133" i="2" a="1"/>
  <c r="AA133" i="2" a="1"/>
  <c r="AB133" i="2" a="1"/>
  <c r="AC133" i="2" a="1"/>
  <c r="S134" i="2" a="1"/>
  <c r="T134" i="2" a="1"/>
  <c r="U134" i="2" a="1"/>
  <c r="V134" i="2" a="1"/>
  <c r="W134" i="2" a="1"/>
  <c r="X134" i="2" a="1"/>
  <c r="Y134" i="2" a="1"/>
  <c r="Z134" i="2" a="1"/>
  <c r="AA134" i="2" a="1"/>
  <c r="AB134" i="2" a="1"/>
  <c r="AC134" i="2" a="1"/>
  <c r="S135" i="2" a="1"/>
  <c r="T135" i="2" a="1"/>
  <c r="U135" i="2" a="1"/>
  <c r="V135" i="2" a="1"/>
  <c r="W135" i="2" a="1"/>
  <c r="X135" i="2" a="1"/>
  <c r="Y135" i="2" a="1"/>
  <c r="Z135" i="2" a="1"/>
  <c r="AA135" i="2" a="1"/>
  <c r="AB135" i="2" a="1"/>
  <c r="AC135" i="2" a="1"/>
  <c r="S136" i="2" a="1"/>
  <c r="T136" i="2" a="1"/>
  <c r="U136" i="2" a="1"/>
  <c r="V136" i="2" a="1"/>
  <c r="W136" i="2" a="1"/>
  <c r="X136" i="2" a="1"/>
  <c r="S158" i="2" a="1"/>
  <c r="T158" i="2" a="1"/>
  <c r="U158" i="2" a="1"/>
  <c r="V158" i="2" a="1"/>
  <c r="W158" i="2" a="1"/>
  <c r="X158" i="2" a="1"/>
  <c r="Y158" i="2" a="1"/>
  <c r="Z158" i="2" a="1"/>
  <c r="AA158" i="2" a="1"/>
  <c r="AB158" i="2" a="1"/>
  <c r="AC158" i="2" a="1"/>
  <c r="S159" i="2" a="1"/>
  <c r="T159" i="2" a="1"/>
  <c r="U159" i="2" a="1"/>
  <c r="V159" i="2" a="1"/>
  <c r="W159" i="2" a="1"/>
  <c r="X159" i="2" a="1"/>
  <c r="Y159" i="2" a="1"/>
  <c r="Z159" i="2" a="1"/>
  <c r="AA159" i="2" a="1"/>
  <c r="AB159" i="2" a="1"/>
  <c r="AC159" i="2" a="1"/>
  <c r="S160" i="2" a="1"/>
  <c r="T160" i="2" a="1"/>
  <c r="U160" i="2" a="1"/>
  <c r="V160" i="2" a="1"/>
  <c r="W160" i="2" a="1"/>
  <c r="X160" i="2" a="1"/>
  <c r="Y160" i="2" a="1"/>
  <c r="Z160" i="2" a="1"/>
  <c r="AA160" i="2" a="1"/>
  <c r="AB160" i="2" a="1"/>
  <c r="AC160" i="2" a="1"/>
  <c r="S161" i="2" a="1"/>
  <c r="T161" i="2" a="1"/>
  <c r="U161" i="2" a="1"/>
  <c r="V161" i="2" a="1"/>
  <c r="W161" i="2" a="1"/>
  <c r="X161" i="2" a="1"/>
  <c r="Y161" i="2" a="1"/>
  <c r="Z161" i="2" a="1"/>
  <c r="AA161" i="2" a="1"/>
  <c r="AB161" i="2" a="1"/>
  <c r="AC161" i="2" a="1"/>
  <c r="S162" i="2" a="1"/>
  <c r="T162" i="2" a="1"/>
  <c r="U162" i="2" a="1"/>
  <c r="V162" i="2" a="1"/>
  <c r="W162" i="2" a="1"/>
  <c r="X162" i="2" a="1"/>
  <c r="Y162" i="2" a="1"/>
  <c r="Z162" i="2" a="1"/>
  <c r="AA162" i="2" a="1"/>
  <c r="AB162" i="2" a="1"/>
  <c r="AC162" i="2" a="1"/>
  <c r="S163" i="2" a="1"/>
  <c r="T163" i="2" a="1"/>
  <c r="U163" i="2" a="1"/>
  <c r="V163" i="2" a="1"/>
  <c r="W163" i="2" a="1"/>
  <c r="X163" i="2" a="1"/>
  <c r="Y163" i="2" a="1"/>
  <c r="Z163" i="2" a="1"/>
  <c r="AA163" i="2" a="1"/>
  <c r="S185" i="2" a="1"/>
  <c r="T185" i="2" a="1"/>
  <c r="U185" i="2" a="1"/>
  <c r="V185" i="2" a="1"/>
  <c r="W185" i="2" a="1"/>
  <c r="X185" i="2" a="1"/>
  <c r="Y185" i="2" a="1"/>
  <c r="Z185" i="2" a="1"/>
  <c r="AA185" i="2" a="1"/>
  <c r="AB185" i="2" a="1"/>
  <c r="AC185" i="2" a="1"/>
  <c r="V186" i="2" a="1"/>
  <c r="W186" i="2" a="1"/>
  <c r="X186" i="2" a="1"/>
  <c r="Y186" i="2" a="1"/>
  <c r="Z186" i="2" a="1"/>
  <c r="AA186" i="2" a="1"/>
  <c r="AB186" i="2" a="1"/>
  <c r="AC186" i="2" a="1"/>
  <c r="V187" i="2" a="1"/>
  <c r="W187" i="2" a="1"/>
  <c r="X187" i="2" a="1"/>
  <c r="Y187" i="2" a="1"/>
  <c r="Z187" i="2" a="1"/>
  <c r="AA187" i="2" a="1"/>
  <c r="X213" i="2" a="1"/>
  <c r="Y213" i="2" a="1"/>
  <c r="Z213" i="2" a="1"/>
  <c r="AA213" i="2" a="1"/>
  <c r="AB213" i="2" a="1"/>
  <c r="AC213" i="2" a="1"/>
  <c r="S214" i="2" a="1"/>
  <c r="T214" i="2" a="1"/>
  <c r="U214" i="2" a="1"/>
  <c r="V214" i="2" a="1"/>
  <c r="W214" i="2" a="1"/>
  <c r="X214" i="2" a="1"/>
  <c r="Y214" i="2" a="1"/>
  <c r="Z214" i="2" a="1"/>
  <c r="AA214" i="2" a="1"/>
  <c r="AB214" i="2" a="1"/>
  <c r="AC214" i="2" a="1"/>
  <c r="T215" i="2" a="1"/>
  <c r="U215" i="2" a="1"/>
  <c r="V215" i="2" a="1"/>
  <c r="W215" i="2" a="1"/>
  <c r="X215" i="2" a="1"/>
  <c r="Y215" i="2" a="1"/>
  <c r="Z215" i="2" a="1"/>
  <c r="AA215" i="2" a="1"/>
  <c r="AB215" i="2" a="1"/>
  <c r="AC215" i="2" a="1"/>
  <c r="U216" i="2" a="1"/>
  <c r="V216" i="2" a="1"/>
  <c r="W216" i="2" a="1"/>
  <c r="X216" i="2" a="1"/>
  <c r="Y216" i="2" a="1"/>
  <c r="Z216" i="2" a="1"/>
  <c r="AA216" i="2" a="1"/>
  <c r="AB216" i="2" a="1"/>
  <c r="AC216" i="2" a="1"/>
  <c r="U217" i="2" a="1"/>
  <c r="V217" i="2" a="1"/>
  <c r="W217" i="2" a="1"/>
  <c r="X217" i="2" a="1"/>
  <c r="Y217" i="2" a="1"/>
  <c r="Z217" i="2" a="1"/>
  <c r="AA217" i="2" a="1"/>
  <c r="AB217" i="2" a="1"/>
  <c r="AC217" i="2" a="1"/>
  <c r="AC219" i="2" a="1"/>
  <c r="S219" i="2" a="1"/>
  <c r="T219" i="2" a="1"/>
  <c r="U219" i="2" a="1"/>
  <c r="V219" i="2" a="1"/>
  <c r="W219" i="2" a="1"/>
  <c r="X219" i="2" a="1"/>
  <c r="Y219" i="2" a="1"/>
  <c r="Z219" i="2" a="1"/>
  <c r="AA219" i="2" a="1"/>
  <c r="AB219" i="2" a="1"/>
  <c r="S227" i="2" a="1"/>
  <c r="T227" i="2" a="1"/>
  <c r="U227" i="2" a="1"/>
  <c r="V227" i="2" a="1"/>
  <c r="W227" i="2" a="1"/>
  <c r="X227" i="2" a="1"/>
  <c r="Y227" i="2" a="1"/>
  <c r="Z227" i="2" a="1"/>
  <c r="AA227" i="2" a="1"/>
  <c r="AB227" i="2" a="1"/>
  <c r="AC227" i="2" a="1"/>
  <c r="S228" i="2" a="1"/>
  <c r="T228" i="2" a="1"/>
  <c r="U228" i="2" a="1"/>
  <c r="V228" i="2" a="1"/>
  <c r="W228" i="2" a="1"/>
  <c r="X228" i="2" a="1"/>
  <c r="Y228" i="2" a="1"/>
  <c r="Z228" i="2" a="1"/>
  <c r="AA228" i="2" a="1"/>
  <c r="AB244" i="2" a="1"/>
  <c r="AC244" i="2" a="1"/>
  <c r="S245" i="2" a="1"/>
  <c r="T245" i="2" a="1"/>
  <c r="U245" i="2" a="1"/>
  <c r="V245" i="2" a="1"/>
  <c r="W245" i="2" a="1"/>
  <c r="X245" i="2" a="1"/>
  <c r="Y245" i="2" a="1"/>
  <c r="Z245" i="2" a="1"/>
  <c r="AA245" i="2" a="1"/>
  <c r="AB245" i="2" a="1"/>
  <c r="AC245" i="2" a="1"/>
  <c r="S272" i="2" a="1"/>
  <c r="T272" i="2" a="1"/>
  <c r="U272" i="2" a="1"/>
  <c r="V272" i="2" a="1"/>
  <c r="W272" i="2" a="1"/>
  <c r="X272" i="2" a="1"/>
  <c r="Y272" i="2" a="1"/>
  <c r="Z272" i="2" a="1"/>
  <c r="AA272" i="2" a="1"/>
  <c r="AB272" i="2" a="1"/>
  <c r="AC272" i="2" a="1"/>
  <c r="S273" i="2" a="1"/>
  <c r="T273" i="2" a="1"/>
  <c r="U273" i="2" a="1"/>
  <c r="V273" i="2" a="1"/>
  <c r="W273" i="2" a="1"/>
  <c r="X273" i="2" a="1"/>
  <c r="Y273" i="2" a="1"/>
  <c r="Z273" i="2" a="1"/>
  <c r="AA273" i="2" a="1"/>
  <c r="AB273" i="2" a="1"/>
  <c r="AC273" i="2" a="1"/>
  <c r="K6" i="6" a="1"/>
  <c r="J6" i="6" a="1"/>
  <c r="K7" i="6" a="1"/>
  <c r="J7" i="6" a="1"/>
  <c r="J8" i="6" a="1"/>
  <c r="K8" i="6" a="1"/>
  <c r="J9" i="6" a="1"/>
  <c r="K9" i="6" a="1"/>
  <c r="J10" i="6" a="1"/>
  <c r="K10" i="6" a="1"/>
  <c r="J11" i="6" a="1"/>
  <c r="K11" i="6" a="1"/>
  <c r="K12" i="6" a="1"/>
  <c r="J12" i="6" a="1"/>
  <c r="K13" i="6" a="1"/>
  <c r="J13" i="6" a="1"/>
  <c r="J14" i="6" a="1"/>
  <c r="K14" i="6" a="1"/>
  <c r="J15" i="6" a="1"/>
  <c r="K15" i="6" a="1"/>
  <c r="K16" i="6" a="1"/>
  <c r="J16" i="6" a="1"/>
  <c r="J17" i="6" a="1"/>
  <c r="K17" i="6" a="1"/>
  <c r="K18" i="6" a="1"/>
  <c r="J18" i="6" a="1"/>
  <c r="K19" i="6" a="1"/>
  <c r="J19" i="6" a="1"/>
  <c r="J20" i="6" a="1"/>
  <c r="K20" i="6" a="1"/>
  <c r="J21" i="6" a="1"/>
  <c r="K21" i="6" a="1"/>
  <c r="J22" i="6" a="1"/>
  <c r="K22" i="6" a="1"/>
  <c r="J23" i="6" a="1"/>
  <c r="K23" i="6" a="1"/>
  <c r="J24" i="6" a="1"/>
  <c r="K24" i="6" a="1"/>
  <c r="J25" i="6" a="1"/>
  <c r="K25" i="6" a="1"/>
  <c r="K26" i="6" a="1"/>
  <c r="J26" i="6" a="1"/>
  <c r="J27" i="6" a="1"/>
  <c r="K27" i="6" a="1"/>
  <c r="K28" i="6" a="1"/>
  <c r="J28" i="6" a="1"/>
  <c r="K29" i="6" a="1"/>
  <c r="J29" i="6" a="1"/>
  <c r="K30" i="6" a="1"/>
  <c r="J30" i="6" a="1"/>
  <c r="K31" i="6" a="1"/>
  <c r="J31" i="6" a="1"/>
  <c r="K32" i="6" a="1"/>
  <c r="J32" i="6" a="1"/>
  <c r="J33" i="6" a="1"/>
  <c r="K33" i="6" a="1"/>
  <c r="K5" i="6" a="1"/>
  <c r="J5" i="6" a="1"/>
  <c r="J6" i="5" a="1"/>
  <c r="K6" i="5" a="1"/>
  <c r="J7" i="5" a="1"/>
  <c r="K7" i="5" a="1"/>
  <c r="K8" i="5" a="1"/>
  <c r="J8" i="5" a="1"/>
  <c r="K9" i="5" a="1"/>
  <c r="J9" i="5" a="1"/>
  <c r="J10" i="5" a="1"/>
  <c r="K10" i="5" a="1"/>
  <c r="K11" i="5" a="1"/>
  <c r="J11" i="5" a="1"/>
  <c r="K12" i="5" a="1"/>
  <c r="J12" i="5" a="1"/>
  <c r="J13" i="5" a="1"/>
  <c r="K13" i="5" a="1"/>
  <c r="K14" i="5" a="1"/>
  <c r="J14" i="5" a="1"/>
  <c r="K15" i="5" a="1"/>
  <c r="J15" i="5" a="1"/>
  <c r="J16" i="5" a="1"/>
  <c r="K16" i="5" a="1"/>
  <c r="J17" i="5" a="1"/>
  <c r="K17" i="5" a="1"/>
  <c r="J18" i="5" a="1"/>
  <c r="K18" i="5" a="1"/>
  <c r="J19" i="5" a="1"/>
  <c r="K19" i="5" a="1"/>
  <c r="J20" i="5" a="1"/>
  <c r="K20" i="5" a="1"/>
  <c r="J21" i="5" a="1"/>
  <c r="K21" i="5" a="1"/>
  <c r="K22" i="5" a="1"/>
  <c r="J22" i="5" a="1"/>
  <c r="K23" i="5" a="1"/>
  <c r="J23" i="5" a="1"/>
  <c r="J24" i="5" a="1"/>
  <c r="K24" i="5" a="1"/>
  <c r="K25" i="5" a="1"/>
  <c r="J25" i="5" a="1"/>
  <c r="J26" i="5" a="1"/>
  <c r="K26" i="5" a="1"/>
  <c r="J27" i="5" a="1"/>
  <c r="K27" i="5" a="1"/>
  <c r="J28" i="5" a="1"/>
  <c r="K28" i="5" a="1"/>
  <c r="K29" i="5" a="1"/>
  <c r="J29" i="5" a="1"/>
  <c r="J30" i="5" a="1"/>
  <c r="K30" i="5" a="1"/>
  <c r="J31" i="5" a="1"/>
  <c r="K31" i="5" a="1"/>
  <c r="K32" i="5" a="1"/>
  <c r="J32" i="5" a="1"/>
  <c r="K33" i="5" a="1"/>
  <c r="J33" i="5" a="1"/>
  <c r="B16" i="4"/>
  <c r="A16" i="4"/>
  <c r="C16" i="4"/>
  <c r="B21" i="4"/>
  <c r="A21" i="4"/>
  <c r="C21" i="4"/>
  <c r="A31" i="4"/>
  <c r="C31" i="4"/>
  <c r="B31" i="4"/>
  <c r="J6" i="4" a="1"/>
  <c r="K6" i="4" a="1"/>
  <c r="J19" i="4" a="1"/>
  <c r="K19" i="4" a="1"/>
  <c r="J7" i="4" a="1"/>
  <c r="K7" i="4" a="1"/>
  <c r="J8" i="4" a="1"/>
  <c r="K8" i="4" a="1"/>
  <c r="K9" i="4" a="1"/>
  <c r="J9" i="4" a="1"/>
  <c r="J11" i="4" a="1"/>
  <c r="K11" i="4" a="1"/>
  <c r="J12" i="4" a="1"/>
  <c r="K12" i="4" a="1"/>
  <c r="K13" i="4" a="1"/>
  <c r="J13" i="4" a="1"/>
  <c r="J14" i="4" a="1"/>
  <c r="K14" i="4" a="1"/>
  <c r="K15" i="4" a="1"/>
  <c r="J15" i="4" a="1"/>
  <c r="K16" i="4" a="1"/>
  <c r="J16" i="4" a="1"/>
  <c r="K17" i="4" a="1"/>
  <c r="J17" i="4" a="1"/>
  <c r="J18" i="4" a="1"/>
  <c r="K18" i="4" a="1"/>
  <c r="J20" i="4" a="1"/>
  <c r="K20" i="4" a="1"/>
  <c r="J21" i="4" a="1"/>
  <c r="K21" i="4" a="1"/>
  <c r="K22" i="4" a="1"/>
  <c r="J22" i="4" a="1"/>
  <c r="K23" i="4" a="1"/>
  <c r="J23" i="4" a="1"/>
  <c r="J24" i="4" a="1"/>
  <c r="K24" i="4" a="1"/>
  <c r="J25" i="4" a="1"/>
  <c r="K25" i="4" a="1"/>
  <c r="J26" i="4" a="1"/>
  <c r="K26" i="4" a="1"/>
  <c r="J27" i="4" a="1"/>
  <c r="K27" i="4" a="1"/>
  <c r="K28" i="4" a="1"/>
  <c r="J28" i="4" a="1"/>
  <c r="K29" i="4" a="1"/>
  <c r="J29" i="4" a="1"/>
  <c r="J30" i="4" a="1"/>
  <c r="K30" i="4" a="1"/>
  <c r="J32" i="4" a="1"/>
  <c r="K32" i="4" a="1"/>
  <c r="J33" i="4" a="1"/>
  <c r="K33" i="4" a="1"/>
  <c r="J5" i="4" a="1"/>
  <c r="K5" i="4" a="1"/>
  <c r="P6" i="3" a="1"/>
  <c r="Q6" i="3" a="1"/>
  <c r="M6" i="3" a="1"/>
  <c r="N6" i="3" a="1"/>
  <c r="O6" i="3" a="1"/>
  <c r="O7" i="3" a="1"/>
  <c r="N7" i="3" a="1"/>
  <c r="M7" i="3" a="1"/>
  <c r="Q7" i="3" a="1"/>
  <c r="P8" i="3" a="1"/>
  <c r="Q8" i="3" a="1"/>
  <c r="Q9" i="3" a="1"/>
  <c r="N9" i="3" a="1"/>
  <c r="M11" i="3" a="1"/>
  <c r="Q11" i="3" a="1"/>
  <c r="O8" i="3" a="1"/>
  <c r="N8" i="3" a="1"/>
  <c r="M8" i="3" a="1"/>
  <c r="P9" i="3" a="1"/>
  <c r="M9" i="3" a="1"/>
  <c r="Q10" i="3" a="1"/>
  <c r="O10" i="3" a="1"/>
  <c r="P10" i="3" a="1"/>
  <c r="N10" i="3" a="1"/>
  <c r="M10" i="3" a="1"/>
  <c r="P11" i="3" a="1"/>
  <c r="O11" i="3" a="1"/>
  <c r="N11" i="3" a="1"/>
  <c r="Q12" i="3" a="1"/>
  <c r="N12" i="3" a="1"/>
  <c r="P12" i="3" a="1"/>
  <c r="M12" i="3" a="1"/>
  <c r="O12" i="3" a="1"/>
  <c r="O13" i="3" a="1"/>
  <c r="Q13" i="3" a="1"/>
  <c r="P13" i="3" a="1"/>
  <c r="N13" i="3" a="1"/>
  <c r="O14" i="3" a="1"/>
  <c r="P14" i="3" a="1"/>
  <c r="M14" i="3" a="1"/>
  <c r="N14" i="3" a="1"/>
  <c r="Q14" i="3" a="1"/>
  <c r="P15" i="3" a="1"/>
  <c r="M15" i="3" a="1"/>
  <c r="O15" i="3" a="1"/>
  <c r="N15" i="3" a="1"/>
  <c r="Q15" i="3" a="1"/>
  <c r="N16" i="3" a="1"/>
  <c r="O16" i="3" a="1"/>
  <c r="M16" i="3" a="1"/>
  <c r="P16" i="3" a="1"/>
  <c r="Q16" i="3" a="1"/>
  <c r="Q17" i="3" a="1"/>
  <c r="N17" i="3" a="1"/>
  <c r="O17" i="3" a="1"/>
  <c r="M17" i="3" a="1"/>
  <c r="P17" i="3" a="1"/>
  <c r="M18" i="3" a="1"/>
  <c r="O18" i="3" a="1"/>
  <c r="N18" i="3" a="1"/>
  <c r="Q18" i="3" a="1"/>
  <c r="P18" i="3" a="1"/>
  <c r="M19" i="3" a="1"/>
  <c r="P19" i="3" a="1"/>
  <c r="O19" i="3" a="1"/>
  <c r="N19" i="3" a="1"/>
  <c r="Q19" i="3" a="1"/>
  <c r="Q20" i="3" a="1"/>
  <c r="P20" i="3" a="1"/>
  <c r="M20" i="3" a="1"/>
  <c r="N20" i="3" a="1"/>
  <c r="O20" i="3" a="1"/>
  <c r="Q21" i="3" a="1"/>
  <c r="O21" i="3" a="1"/>
  <c r="M21" i="3" a="1"/>
  <c r="N21" i="3" a="1"/>
  <c r="P21" i="3" a="1"/>
  <c r="P22" i="3" a="1"/>
  <c r="Q22" i="3" a="1"/>
  <c r="N22" i="3" a="1"/>
  <c r="M22" i="3" a="1"/>
  <c r="O22" i="3" a="1"/>
  <c r="M23" i="3" a="1"/>
  <c r="N23" i="3" a="1"/>
  <c r="Q23" i="3" a="1"/>
  <c r="O23" i="3" a="1"/>
  <c r="P23" i="3" a="1"/>
  <c r="Q24" i="3" a="1"/>
  <c r="N24" i="3" a="1"/>
  <c r="O24" i="3" a="1"/>
  <c r="M24" i="3" a="1"/>
  <c r="P24" i="3" a="1"/>
  <c r="Q25" i="3" a="1"/>
  <c r="N25" i="3" a="1"/>
  <c r="M25" i="3" a="1"/>
  <c r="P25" i="3" a="1"/>
  <c r="O25" i="3" a="1"/>
  <c r="Q26" i="3" a="1"/>
  <c r="P26" i="3" a="1"/>
  <c r="O26" i="3" a="1"/>
  <c r="N26" i="3" a="1"/>
  <c r="M26" i="3" a="1"/>
  <c r="O27" i="3" a="1"/>
  <c r="P27" i="3" a="1"/>
  <c r="N27" i="3" a="1"/>
  <c r="M27" i="3" a="1"/>
  <c r="Q27" i="3" a="1"/>
  <c r="M28" i="3" a="1"/>
  <c r="Q28" i="3" a="1"/>
  <c r="N28" i="3" a="1"/>
  <c r="O28" i="3" a="1"/>
  <c r="P28" i="3" a="1"/>
  <c r="O29" i="3" a="1"/>
  <c r="M29" i="3" a="1"/>
  <c r="Q29" i="3" a="1"/>
  <c r="N29" i="3" a="1"/>
  <c r="P29" i="3" a="1"/>
  <c r="N30" i="3" a="1"/>
  <c r="P30" i="3" a="1"/>
  <c r="O30" i="3" a="1"/>
  <c r="Q30" i="3" a="1"/>
  <c r="M30" i="3" a="1"/>
  <c r="M31" i="3" a="1"/>
  <c r="N31" i="3" a="1"/>
  <c r="Q31" i="3" a="1"/>
  <c r="P31" i="3" a="1"/>
  <c r="O31" i="3" a="1"/>
  <c r="N32" i="3" a="1"/>
  <c r="P32" i="3" a="1"/>
  <c r="Q32" i="3" a="1"/>
  <c r="O32" i="3" a="1"/>
  <c r="M32" i="3" a="1"/>
  <c r="P33" i="3" a="1"/>
  <c r="Q33" i="3" a="1"/>
  <c r="N33" i="3" a="1"/>
  <c r="M33" i="3" a="1"/>
  <c r="O33" i="3" a="1"/>
  <c r="M34" i="3" a="1"/>
  <c r="P34" i="3" a="1"/>
  <c r="O34" i="3" a="1"/>
  <c r="N34" i="3" a="1"/>
  <c r="Q34" i="3" a="1"/>
  <c r="M35" i="3" a="1"/>
  <c r="P35" i="3" a="1"/>
  <c r="N35" i="3" a="1"/>
  <c r="Q35" i="3" a="1"/>
  <c r="O35" i="3" a="1"/>
  <c r="N36" i="3" a="1"/>
  <c r="M36" i="3" a="1"/>
  <c r="O36" i="3" a="1"/>
  <c r="P36" i="3" a="1"/>
  <c r="Q36" i="3" a="1"/>
  <c r="P37" i="3" a="1"/>
  <c r="M37" i="3" a="1"/>
  <c r="N37" i="3" a="1"/>
  <c r="O37" i="3" a="1"/>
  <c r="Q37" i="3" a="1"/>
  <c r="N38" i="3" a="1"/>
  <c r="O38" i="3" a="1"/>
  <c r="P38" i="3" a="1"/>
  <c r="Q38" i="3" a="1"/>
  <c r="M38" i="3" a="1"/>
  <c r="P39" i="3" a="1"/>
  <c r="O39" i="3" a="1"/>
  <c r="N39" i="3" a="1"/>
  <c r="Q39" i="3" a="1"/>
  <c r="M39" i="3" a="1"/>
  <c r="P40" i="3" a="1"/>
  <c r="O40" i="3" a="1"/>
  <c r="Q40" i="3" a="1"/>
  <c r="M40" i="3" a="1"/>
  <c r="N40" i="3" a="1"/>
  <c r="O41" i="3" a="1"/>
  <c r="P41" i="3" a="1"/>
  <c r="N41" i="3" a="1"/>
  <c r="M41" i="3" a="1"/>
  <c r="Q41" i="3" a="1"/>
  <c r="M42" i="3" a="1"/>
  <c r="Q42" i="3" a="1"/>
  <c r="P42" i="3" a="1"/>
  <c r="N42" i="3" a="1"/>
  <c r="O42" i="3" a="1"/>
  <c r="M43" i="3" a="1"/>
  <c r="N43" i="3" a="1"/>
  <c r="O43" i="3" a="1"/>
  <c r="P43" i="3" a="1"/>
  <c r="Q43" i="3" a="1"/>
  <c r="Q44" i="3" a="1"/>
  <c r="N44" i="3" a="1"/>
  <c r="O44" i="3" a="1"/>
  <c r="P44" i="3" a="1"/>
  <c r="M44" i="3" a="1"/>
  <c r="Q45" i="3" a="1"/>
  <c r="N45" i="3" a="1"/>
  <c r="O45" i="3" a="1"/>
  <c r="M45" i="3" a="1"/>
  <c r="P45" i="3" a="1"/>
  <c r="Q46" i="3" a="1"/>
  <c r="P46" i="3" a="1"/>
  <c r="M46" i="3" a="1"/>
  <c r="N46" i="3" a="1"/>
  <c r="O46" i="3" a="1"/>
  <c r="M47" i="3" a="1"/>
  <c r="O47" i="3" a="1"/>
  <c r="Q47" i="3" a="1"/>
  <c r="N47" i="3" a="1"/>
  <c r="P47" i="3" a="1"/>
  <c r="M48" i="3" a="1"/>
  <c r="P48" i="3" a="1"/>
  <c r="O48" i="3" a="1"/>
  <c r="N48" i="3" a="1"/>
  <c r="Q48" i="3" a="1"/>
  <c r="O49" i="3" a="1"/>
  <c r="M49" i="3" a="1"/>
  <c r="Q49" i="3" a="1"/>
  <c r="N49" i="3" a="1"/>
  <c r="P49" i="3" a="1"/>
  <c r="Q50" i="3" a="1"/>
  <c r="P50" i="3" a="1"/>
  <c r="O50" i="3" a="1"/>
  <c r="M50" i="3" a="1"/>
  <c r="N50" i="3" a="1"/>
  <c r="P51" i="3" a="1"/>
  <c r="Q51" i="3" a="1"/>
  <c r="M51" i="3" a="1"/>
  <c r="N51" i="3" a="1"/>
  <c r="O51" i="3" a="1"/>
  <c r="O52" i="3" a="1"/>
  <c r="M52" i="3" a="1"/>
  <c r="Q52" i="3" a="1"/>
  <c r="N52" i="3" a="1"/>
  <c r="P52" i="3" a="1"/>
  <c r="P53" i="3" a="1"/>
  <c r="O53" i="3" a="1"/>
  <c r="M53" i="3" a="1"/>
  <c r="Q53" i="3" a="1"/>
  <c r="N53" i="3" a="1"/>
  <c r="M54" i="3" a="1"/>
  <c r="Q54" i="3" a="1"/>
  <c r="N54" i="3" a="1"/>
  <c r="P54" i="3" a="1"/>
  <c r="O54" i="3" a="1"/>
  <c r="Q55" i="3" a="1"/>
  <c r="M55" i="3" a="1"/>
  <c r="P55" i="3" a="1"/>
  <c r="N55" i="3" a="1"/>
  <c r="O55" i="3" a="1"/>
  <c r="P56" i="3" a="1"/>
  <c r="N56" i="3" a="1"/>
  <c r="Q56" i="3" a="1"/>
  <c r="M56" i="3" a="1"/>
  <c r="O56" i="3" a="1"/>
  <c r="P57" i="3" a="1"/>
  <c r="N57" i="3" a="1"/>
  <c r="Q57" i="3" a="1"/>
  <c r="M57" i="3" a="1"/>
  <c r="O57" i="3" a="1"/>
  <c r="N58" i="3" a="1"/>
  <c r="O58" i="3" a="1"/>
  <c r="Q58" i="3" a="1"/>
  <c r="P58" i="3" a="1"/>
  <c r="M58" i="3" a="1"/>
  <c r="N59" i="3" a="1"/>
  <c r="M59" i="3" a="1"/>
  <c r="O59" i="3" a="1"/>
  <c r="Q59" i="3" a="1"/>
  <c r="P59" i="3" a="1"/>
  <c r="M60" i="3" a="1"/>
  <c r="N60" i="3" a="1"/>
  <c r="O60" i="3" a="1"/>
  <c r="Q60" i="3" a="1"/>
  <c r="P60" i="3" a="1"/>
  <c r="P61" i="3" a="1"/>
  <c r="O61" i="3" a="1"/>
  <c r="M61" i="3" a="1"/>
  <c r="N61" i="3" a="1"/>
  <c r="Q61" i="3" a="1"/>
  <c r="N62" i="3" a="1"/>
  <c r="Q62" i="3" a="1"/>
  <c r="M62" i="3" a="1"/>
  <c r="P62" i="3" a="1"/>
  <c r="O62" i="3" a="1"/>
  <c r="Q63" i="3" a="1"/>
  <c r="N63" i="3" a="1"/>
  <c r="P63" i="3" a="1"/>
  <c r="O63" i="3" a="1"/>
  <c r="M63" i="3" a="1"/>
  <c r="O5" i="3" a="1"/>
  <c r="B5" i="3"/>
  <c r="N5" i="3" a="1"/>
  <c r="Q5" i="3" a="1"/>
  <c r="P5" i="3" a="1"/>
  <c r="U122" i="2" a="1"/>
  <c r="W123" i="2" a="1"/>
  <c r="S125" i="2" a="1"/>
  <c r="S175" i="2" a="1"/>
  <c r="S220" i="2" a="1"/>
  <c r="AA75" i="2" a="1"/>
  <c r="AB75" i="2" a="1"/>
  <c r="AC75" i="2" a="1"/>
  <c r="W76" i="2" a="1"/>
  <c r="X76" i="2" a="1"/>
  <c r="Y76" i="2" a="1"/>
  <c r="Z76" i="2" a="1"/>
  <c r="AA76" i="2" a="1"/>
  <c r="AB76" i="2" a="1"/>
  <c r="T98" i="2" a="1"/>
  <c r="U98" i="2" a="1"/>
  <c r="V98" i="2" a="1"/>
  <c r="W98" i="2" a="1"/>
  <c r="X98" i="2" a="1"/>
  <c r="Y98" i="2" a="1"/>
  <c r="Z98" i="2" a="1"/>
  <c r="AA98" i="2" a="1"/>
  <c r="AB98" i="2" a="1"/>
  <c r="AC98" i="2" a="1"/>
  <c r="T99" i="2" a="1"/>
  <c r="U99" i="2" a="1"/>
  <c r="V99" i="2" a="1"/>
  <c r="W99" i="2" a="1"/>
  <c r="X99" i="2" a="1"/>
  <c r="Y99" i="2" a="1"/>
  <c r="Z99" i="2" a="1"/>
  <c r="AB121" i="2" a="1"/>
  <c r="AC121" i="2" a="1"/>
  <c r="V122" i="2" a="1"/>
  <c r="W122" i="2" a="1"/>
  <c r="X122" i="2" a="1"/>
  <c r="Y122" i="2" a="1"/>
  <c r="Z122" i="2" a="1"/>
  <c r="AA122" i="2" a="1"/>
  <c r="AB122" i="2" a="1"/>
  <c r="AC122" i="2" a="1"/>
  <c r="X123" i="2" a="1"/>
  <c r="Y123" i="2" a="1"/>
  <c r="Z123" i="2" a="1"/>
  <c r="AA123" i="2" a="1"/>
  <c r="AB123" i="2" a="1"/>
  <c r="AC123" i="2" a="1"/>
  <c r="X124" i="2" a="1"/>
  <c r="Y124" i="2" a="1"/>
  <c r="Z124" i="2" a="1"/>
  <c r="AA124" i="2" a="1"/>
  <c r="AB124" i="2" a="1"/>
  <c r="AC124" i="2" a="1"/>
  <c r="T125" i="2" a="1"/>
  <c r="U125" i="2" a="1"/>
  <c r="V125" i="2" a="1"/>
  <c r="W125" i="2" a="1"/>
  <c r="X125" i="2" a="1"/>
  <c r="Y125" i="2" a="1"/>
  <c r="Z125" i="2" a="1"/>
  <c r="AA125" i="2" a="1"/>
  <c r="AB125" i="2" a="1"/>
  <c r="AC125" i="2" a="1"/>
  <c r="S126" i="2" a="1"/>
  <c r="T126" i="2" a="1"/>
  <c r="U126" i="2" a="1"/>
  <c r="V126" i="2" a="1"/>
  <c r="W126" i="2" a="1"/>
  <c r="X126" i="2" a="1"/>
  <c r="Y126" i="2" a="1"/>
  <c r="Z126" i="2" a="1"/>
  <c r="Z149" i="2" a="1"/>
  <c r="AA149" i="2" a="1"/>
  <c r="AB149" i="2" a="1"/>
  <c r="AC149" i="2" a="1"/>
  <c r="U150" i="2" a="1"/>
  <c r="V150" i="2" a="1"/>
  <c r="W150" i="2" a="1"/>
  <c r="X150" i="2" a="1"/>
  <c r="Y150" i="2" a="1"/>
  <c r="Z150" i="2" a="1"/>
  <c r="AA150" i="2" a="1"/>
  <c r="AB150" i="2" a="1"/>
  <c r="U173" i="2" a="1"/>
  <c r="V173" i="2" a="1"/>
  <c r="W173" i="2" a="1"/>
  <c r="X173" i="2" a="1"/>
  <c r="Y173" i="2" a="1"/>
  <c r="Z173" i="2" a="1"/>
  <c r="AA173" i="2" a="1"/>
  <c r="AB173" i="2" a="1"/>
  <c r="AC173" i="2" a="1"/>
  <c r="T174" i="2" a="1"/>
  <c r="U174" i="2" a="1"/>
  <c r="V174" i="2" a="1"/>
  <c r="T175" i="2" a="1"/>
  <c r="U175" i="2" a="1"/>
  <c r="V175" i="2" a="1"/>
  <c r="W175" i="2" a="1"/>
  <c r="X175" i="2" a="1"/>
  <c r="Y175" i="2" a="1"/>
  <c r="Z175" i="2" a="1"/>
  <c r="AA175" i="2" a="1"/>
  <c r="AB175" i="2" a="1"/>
  <c r="AC175" i="2" a="1"/>
  <c r="U176" i="2" a="1"/>
  <c r="V176" i="2" a="1"/>
  <c r="W176" i="2" a="1"/>
  <c r="X176" i="2" a="1"/>
  <c r="Y176" i="2" a="1"/>
  <c r="Z176" i="2" a="1"/>
  <c r="AA176" i="2" a="1"/>
  <c r="AB176" i="2" a="1"/>
  <c r="AC176" i="2" a="1"/>
  <c r="S177" i="2" a="1"/>
  <c r="T177" i="2" a="1"/>
  <c r="U177" i="2" a="1"/>
  <c r="S178" i="2" a="1"/>
  <c r="T178" i="2" a="1"/>
  <c r="U178" i="2" a="1"/>
  <c r="V178" i="2" a="1"/>
  <c r="W178" i="2" a="1"/>
  <c r="X178" i="2" a="1"/>
  <c r="Y178" i="2" a="1"/>
  <c r="Z178" i="2" a="1"/>
  <c r="AA178" i="2" a="1"/>
  <c r="AB178" i="2" a="1"/>
  <c r="AC178" i="2" a="1"/>
  <c r="S179" i="2" a="1"/>
  <c r="T179" i="2" a="1"/>
  <c r="U179" i="2" a="1"/>
  <c r="V179" i="2" a="1"/>
  <c r="W179" i="2" a="1"/>
  <c r="X179" i="2" a="1"/>
  <c r="Y179" i="2" a="1"/>
  <c r="Z179" i="2" a="1"/>
  <c r="AA179" i="2" a="1"/>
  <c r="AB179" i="2" a="1"/>
  <c r="AC179" i="2" a="1"/>
  <c r="S180" i="2" a="1"/>
  <c r="T180" i="2" a="1"/>
  <c r="U180" i="2" a="1"/>
  <c r="U197" i="2" a="1"/>
  <c r="V197" i="2" a="1"/>
  <c r="W197" i="2" a="1"/>
  <c r="X197" i="2" a="1"/>
  <c r="Y197" i="2" a="1"/>
  <c r="Z197" i="2" a="1"/>
  <c r="AA197" i="2" a="1"/>
  <c r="AB197" i="2" a="1"/>
  <c r="AC197" i="2" a="1"/>
  <c r="S198" i="2" a="1"/>
  <c r="T198" i="2" a="1"/>
  <c r="U198" i="2" a="1"/>
  <c r="V198" i="2" a="1"/>
  <c r="W198" i="2" a="1"/>
  <c r="X198" i="2" a="1"/>
  <c r="Y198" i="2" a="1"/>
  <c r="Z198" i="2" a="1"/>
  <c r="AA198" i="2" a="1"/>
  <c r="AB198" i="2" a="1"/>
  <c r="AC198" i="2" a="1"/>
  <c r="U199" i="2" a="1"/>
  <c r="V199" i="2" a="1"/>
  <c r="S200" i="2" a="1"/>
  <c r="T200" i="2" a="1"/>
  <c r="U200" i="2" a="1"/>
  <c r="V200" i="2" a="1"/>
  <c r="W200" i="2" a="1"/>
  <c r="X200" i="2" a="1"/>
  <c r="Y200" i="2" a="1"/>
  <c r="Z200" i="2" a="1"/>
  <c r="AA200" i="2" a="1"/>
  <c r="AB200" i="2" a="1"/>
  <c r="AC200" i="2" a="1"/>
  <c r="S201" i="2" a="1"/>
  <c r="T201" i="2" a="1"/>
  <c r="U201" i="2" a="1"/>
  <c r="V201" i="2" a="1"/>
  <c r="W201" i="2" a="1"/>
  <c r="X201" i="2" a="1"/>
  <c r="Y201" i="2" a="1"/>
  <c r="Z201" i="2" a="1"/>
  <c r="AA201" i="2" a="1"/>
  <c r="AB201" i="2" a="1"/>
  <c r="AC201" i="2" a="1"/>
  <c r="S202" i="2" a="1"/>
  <c r="T202" i="2" a="1"/>
  <c r="U202" i="2" a="1"/>
  <c r="V202" i="2" a="1"/>
  <c r="W202" i="2" a="1"/>
  <c r="X202" i="2" a="1"/>
  <c r="Y202" i="2" a="1"/>
  <c r="Z202" i="2" a="1"/>
  <c r="AA202" i="2" a="1"/>
  <c r="AB202" i="2" a="1"/>
  <c r="AC202" i="2" a="1"/>
  <c r="S203" i="2" a="1"/>
  <c r="T203" i="2" a="1"/>
  <c r="U203" i="2" a="1"/>
  <c r="V203" i="2" a="1"/>
  <c r="W203" i="2" a="1"/>
  <c r="X203" i="2" a="1"/>
  <c r="Y203" i="2" a="1"/>
  <c r="Z203" i="2" a="1"/>
  <c r="AA203" i="2" a="1"/>
  <c r="AB203" i="2" a="1"/>
  <c r="AC203" i="2" a="1"/>
  <c r="S204" i="2" a="1"/>
  <c r="T204" i="2" a="1"/>
  <c r="U204" i="2" a="1"/>
  <c r="V204" i="2" a="1"/>
  <c r="W204" i="2" a="1"/>
  <c r="X204" i="2" a="1"/>
  <c r="Y204" i="2" a="1"/>
  <c r="Z204" i="2" a="1"/>
  <c r="AA204" i="2" a="1"/>
  <c r="AB204" i="2" a="1"/>
  <c r="AC204" i="2" a="1"/>
  <c r="T220" i="2" a="1"/>
  <c r="U220" i="2" a="1"/>
  <c r="V220" i="2" a="1"/>
  <c r="W220" i="2" a="1"/>
  <c r="X220" i="2" a="1"/>
  <c r="Y220" i="2" a="1"/>
  <c r="Z220" i="2" a="1"/>
  <c r="AA220" i="2" a="1"/>
  <c r="AB220" i="2" a="1"/>
  <c r="AC220" i="2" a="1"/>
  <c r="S221" i="2" a="1"/>
  <c r="T221" i="2" a="1"/>
  <c r="U221" i="2" a="1"/>
  <c r="V221" i="2" a="1"/>
  <c r="W221" i="2" a="1"/>
  <c r="X221" i="2" a="1"/>
  <c r="S222" i="2" a="1"/>
  <c r="T222" i="2" a="1"/>
  <c r="U222" i="2" a="1"/>
  <c r="V222" i="2" a="1"/>
  <c r="W222" i="2" a="1"/>
  <c r="X222" i="2" a="1"/>
  <c r="Y222" i="2" a="1"/>
  <c r="Z222" i="2" a="1"/>
  <c r="AA222" i="2" a="1"/>
  <c r="AB222" i="2" a="1"/>
  <c r="AC222" i="2" a="1"/>
  <c r="S223" i="2" a="1"/>
  <c r="T223" i="2" a="1"/>
  <c r="U223" i="2" a="1"/>
  <c r="V223" i="2" a="1"/>
  <c r="W223" i="2" a="1"/>
  <c r="X223" i="2" a="1"/>
  <c r="Y223" i="2" a="1"/>
  <c r="Z223" i="2" a="1"/>
  <c r="AA223" i="2" a="1"/>
  <c r="AB223" i="2" a="1"/>
  <c r="AC223" i="2" a="1"/>
  <c r="S224" i="2" a="1"/>
  <c r="T224" i="2" a="1"/>
  <c r="U224" i="2" a="1"/>
  <c r="V224" i="2" a="1"/>
  <c r="W224" i="2" a="1"/>
  <c r="X224" i="2" a="1"/>
  <c r="Y224" i="2" a="1"/>
  <c r="Z224" i="2" a="1"/>
  <c r="AA224" i="2" a="1"/>
  <c r="AB224" i="2" a="1"/>
  <c r="AC224" i="2" a="1"/>
  <c r="S225" i="2" a="1"/>
  <c r="T225" i="2" a="1"/>
  <c r="U225" i="2" a="1"/>
  <c r="V225" i="2" a="1"/>
  <c r="W225" i="2" a="1"/>
  <c r="X225" i="2" a="1"/>
  <c r="Y225" i="2" a="1"/>
  <c r="Z225" i="2" a="1"/>
  <c r="AA225" i="2" a="1"/>
  <c r="AB225" i="2" a="1"/>
  <c r="AC225" i="2" a="1"/>
  <c r="S226" i="2" a="1"/>
  <c r="T226" i="2" a="1"/>
  <c r="U226" i="2" a="1"/>
  <c r="V226" i="2" a="1"/>
  <c r="W226" i="2" a="1"/>
  <c r="X226" i="2" a="1"/>
  <c r="Y226" i="2" a="1"/>
  <c r="Z226" i="2" a="1"/>
  <c r="AA226" i="2" a="1"/>
  <c r="AB226" i="2" a="1"/>
  <c r="AC226" i="2" a="1"/>
  <c r="T242" i="2" a="1"/>
  <c r="U242" i="2" a="1"/>
  <c r="V242" i="2" a="1"/>
  <c r="W242" i="2" a="1"/>
  <c r="X242" i="2" a="1"/>
  <c r="Y242" i="2" a="1"/>
  <c r="Z242" i="2" a="1"/>
  <c r="AA242" i="2" a="1"/>
  <c r="AB242" i="2" a="1"/>
  <c r="AC242" i="2" a="1"/>
  <c r="U243" i="2" a="1"/>
  <c r="V243" i="2" a="1"/>
  <c r="W243" i="2" a="1"/>
  <c r="X243" i="2" a="1"/>
  <c r="Y243" i="2" a="1"/>
  <c r="Z243" i="2" a="1"/>
  <c r="AA243" i="2" a="1"/>
  <c r="S244" i="2" a="1"/>
  <c r="T244" i="2" a="1"/>
  <c r="U244" i="2" a="1"/>
  <c r="V244" i="2" a="1"/>
  <c r="W244" i="2" a="1"/>
  <c r="X244" i="2" a="1"/>
  <c r="Y244" i="2" a="1"/>
  <c r="Z244" i="2" a="1"/>
  <c r="AA244" i="2" a="1"/>
  <c r="S267" i="2" a="1"/>
  <c r="T267" i="2" a="1"/>
  <c r="U267" i="2" a="1"/>
  <c r="V267" i="2" a="1"/>
  <c r="W267" i="2" a="1"/>
  <c r="X267" i="2" a="1"/>
  <c r="Y267" i="2" a="1"/>
  <c r="Z267" i="2" a="1"/>
  <c r="AA267" i="2" a="1"/>
  <c r="AB267" i="2" a="1"/>
  <c r="AC267" i="2" a="1"/>
  <c r="S268" i="2" a="1"/>
  <c r="T268" i="2" a="1"/>
  <c r="U268" i="2" a="1"/>
  <c r="V268" i="2" a="1"/>
  <c r="W268" i="2" a="1"/>
  <c r="X268" i="2" a="1"/>
  <c r="Y268" i="2" a="1"/>
  <c r="Z268" i="2" a="1"/>
  <c r="AA268" i="2" a="1"/>
  <c r="AB268" i="2" a="1"/>
  <c r="AC268" i="2" a="1"/>
  <c r="S269" i="2" a="1"/>
  <c r="T269" i="2" a="1"/>
  <c r="U269" i="2" a="1"/>
  <c r="V269" i="2" a="1"/>
  <c r="W269" i="2" a="1"/>
  <c r="X269" i="2" a="1"/>
  <c r="Y269" i="2" a="1"/>
  <c r="Z269" i="2" a="1"/>
  <c r="AA269" i="2" a="1"/>
  <c r="AB269" i="2" a="1"/>
  <c r="AC269" i="2" a="1"/>
  <c r="S270" i="2" a="1"/>
  <c r="T270" i="2" a="1"/>
  <c r="U270" i="2" a="1"/>
  <c r="V270" i="2" a="1"/>
  <c r="W270" i="2" a="1"/>
  <c r="X270" i="2" a="1"/>
  <c r="Y270" i="2" a="1"/>
  <c r="Z270" i="2" a="1"/>
  <c r="AA270" i="2" a="1"/>
  <c r="AB270" i="2" a="1"/>
  <c r="AC270" i="2" a="1"/>
  <c r="S271" i="2" a="1"/>
  <c r="T271" i="2" a="1"/>
  <c r="U271" i="2" a="1"/>
  <c r="V271" i="2" a="1"/>
  <c r="W271" i="2" a="1"/>
  <c r="X271" i="2" a="1"/>
  <c r="Y271" i="2" a="1"/>
  <c r="S66" i="2" a="1"/>
  <c r="T66" i="2" a="1"/>
  <c r="U66" i="2" a="1"/>
  <c r="V66" i="2" a="1"/>
  <c r="W66" i="2" a="1"/>
  <c r="X66" i="2" a="1"/>
  <c r="Y66" i="2" a="1"/>
  <c r="Z66" i="2" a="1"/>
  <c r="AA66" i="2" a="1"/>
  <c r="AB66" i="2" a="1"/>
  <c r="AC66" i="2" a="1"/>
  <c r="AC87" i="2" a="1"/>
  <c r="AB87" i="2" a="1"/>
  <c r="S87" i="2" a="1"/>
  <c r="T87" i="2" a="1"/>
  <c r="U87" i="2" a="1"/>
  <c r="V87" i="2" a="1"/>
  <c r="W87" i="2" a="1"/>
  <c r="X87" i="2" a="1"/>
  <c r="Y87" i="2" a="1"/>
  <c r="Z87" i="2" a="1"/>
  <c r="AA87" i="2" a="1"/>
  <c r="S94" i="2" a="1"/>
  <c r="S97" i="2" a="1"/>
  <c r="S99" i="2" a="1"/>
  <c r="V103" i="2" a="1"/>
  <c r="S103" i="2" a="1"/>
  <c r="T103" i="2" a="1"/>
  <c r="W103" i="2" a="1"/>
  <c r="X103" i="2" a="1"/>
  <c r="U103" i="2" a="1"/>
  <c r="T104" i="2" a="1"/>
  <c r="V104" i="2" a="1"/>
  <c r="U104" i="2" a="1"/>
  <c r="U107" i="2" a="1"/>
  <c r="AB107" i="2" a="1"/>
  <c r="AC107" i="2" a="1"/>
  <c r="T114" i="2" a="1"/>
  <c r="S114" i="2" a="1"/>
  <c r="U120" i="2" a="1"/>
  <c r="V120" i="2" a="1"/>
  <c r="W120" i="2" a="1"/>
  <c r="W124" i="2" a="1"/>
  <c r="V124" i="2" a="1"/>
  <c r="X128" i="2" a="1"/>
  <c r="T128" i="2" a="1"/>
  <c r="V128" i="2" a="1"/>
  <c r="Z128" i="2" a="1"/>
  <c r="S128" i="2" a="1"/>
  <c r="U128" i="2" a="1"/>
  <c r="W128" i="2" a="1"/>
  <c r="Y128" i="2" a="1"/>
  <c r="AA128" i="2" a="1"/>
  <c r="AC131" i="2" a="1"/>
  <c r="Y131" i="2" a="1"/>
  <c r="T131" i="2" a="1"/>
  <c r="V131" i="2" a="1"/>
  <c r="X131" i="2" a="1"/>
  <c r="Z131" i="2" a="1"/>
  <c r="AA131" i="2" a="1"/>
  <c r="AB131" i="2" a="1"/>
  <c r="S131" i="2" a="1"/>
  <c r="U131" i="2" a="1"/>
  <c r="W131" i="2" a="1"/>
  <c r="U140" i="2" a="1"/>
  <c r="S140" i="2" a="1"/>
  <c r="T140" i="2" a="1"/>
  <c r="X142" i="2" a="1"/>
  <c r="Y142" i="2" a="1"/>
  <c r="V143" i="2" a="1"/>
  <c r="U143" i="2" a="1"/>
  <c r="S144" i="2" a="1"/>
  <c r="T144" i="2" a="1"/>
  <c r="U144" i="2" a="1"/>
  <c r="Y145" i="2" a="1"/>
  <c r="U145" i="2" a="1"/>
  <c r="V146" i="2" a="1"/>
  <c r="W146" i="2" a="1"/>
  <c r="W147" i="2" a="1"/>
  <c r="U147" i="2" a="1"/>
  <c r="V147" i="2" a="1"/>
  <c r="S150" i="2" a="1"/>
  <c r="T150" i="2" a="1"/>
  <c r="V151" i="2" a="1"/>
  <c r="W151" i="2" a="1"/>
  <c r="U151" i="2" a="1"/>
  <c r="AA155" i="2" a="1"/>
  <c r="Z155" i="2" a="1"/>
  <c r="Y155" i="2" a="1"/>
  <c r="X155" i="2" a="1"/>
  <c r="W155" i="2" a="1"/>
  <c r="V155" i="2" a="1"/>
  <c r="AC155" i="2" a="1"/>
  <c r="AB155" i="2" a="1"/>
  <c r="S155" i="2" a="1"/>
  <c r="T155" i="2" a="1"/>
  <c r="V170" i="2" a="1"/>
  <c r="W170" i="2" a="1"/>
  <c r="X170" i="2" a="1"/>
  <c r="Y170" i="2" a="1"/>
  <c r="S171" i="2" a="1"/>
  <c r="T171" i="2" a="1"/>
  <c r="S172" i="2" a="1"/>
  <c r="V172" i="2" a="1"/>
  <c r="U172" i="2" a="1"/>
  <c r="T172" i="2" a="1"/>
  <c r="S176" i="2" a="1"/>
  <c r="T176" i="2" a="1"/>
  <c r="AC177" i="2" a="1"/>
  <c r="W177" i="2" a="1"/>
  <c r="V177" i="2" a="1"/>
  <c r="Y177" i="2" a="1"/>
  <c r="Z177" i="2" a="1"/>
  <c r="X177" i="2" a="1"/>
  <c r="AA177" i="2" a="1"/>
  <c r="AB177" i="2" a="1"/>
  <c r="T195" i="2" a="1"/>
  <c r="U195" i="2" a="1"/>
  <c r="S195" i="2" a="1"/>
  <c r="S196" i="2" a="1"/>
  <c r="T196" i="2" a="1"/>
  <c r="T197" i="2" a="1"/>
  <c r="S197" i="2" a="1"/>
  <c r="T199" i="2" a="1"/>
  <c r="AC199" i="2" a="1"/>
  <c r="S199" i="2" a="1"/>
  <c r="W199" i="2" a="1"/>
  <c r="X199" i="2" a="1"/>
  <c r="Y199" i="2" a="1"/>
  <c r="Z199" i="2" a="1"/>
  <c r="AA199" i="2" a="1"/>
  <c r="AB199" i="2" a="1"/>
  <c r="S215" i="2" a="1"/>
  <c r="S216" i="2" a="1"/>
  <c r="T216" i="2" a="1"/>
  <c r="T217" i="2" a="1"/>
  <c r="S217" i="2" a="1"/>
  <c r="AA221" i="2" a="1"/>
  <c r="AB221" i="2" a="1"/>
  <c r="AC221" i="2" a="1"/>
  <c r="Y221" i="2" a="1"/>
  <c r="Z221" i="2" a="1"/>
  <c r="AB243" i="2" a="1"/>
  <c r="T243" i="2" a="1"/>
  <c r="S243" i="2" a="1"/>
  <c r="AC243" i="2" a="1"/>
  <c r="AB258" i="2" a="1"/>
  <c r="Z258" i="2" a="1"/>
  <c r="Y258" i="2" a="1"/>
  <c r="AA258" i="2" a="1"/>
  <c r="X258" i="2" a="1"/>
  <c r="Y259" i="2" a="1"/>
  <c r="W259" i="2" a="1"/>
  <c r="X259" i="2" a="1"/>
  <c r="S260" i="2" a="1"/>
  <c r="Y261" i="2" a="1"/>
  <c r="W261" i="2" a="1"/>
  <c r="Z261" i="2" a="1"/>
  <c r="X261" i="2" a="1"/>
  <c r="U262" i="2" a="1"/>
  <c r="T262" i="2" a="1"/>
  <c r="S262" i="2" a="1"/>
  <c r="S263" i="2" a="1"/>
  <c r="T263" i="2" a="1"/>
  <c r="U263" i="2" a="1"/>
  <c r="T264" i="2" a="1"/>
  <c r="S264" i="2" a="1"/>
  <c r="W266" i="2" a="1"/>
  <c r="V266" i="2" a="1"/>
  <c r="X266" i="2" a="1"/>
  <c r="Y266" i="2" a="1"/>
  <c r="Z266" i="2" a="1"/>
  <c r="AA266" i="2" a="1"/>
  <c r="AB266" i="2" a="1"/>
  <c r="AC266" i="2" a="1"/>
  <c r="U266" i="2" a="1"/>
  <c r="S68" i="2" a="1"/>
  <c r="T68" i="2" a="1"/>
  <c r="U68" i="2" a="1"/>
  <c r="V68" i="2" a="1"/>
  <c r="W68" i="2" a="1"/>
  <c r="S69" i="2" a="1"/>
  <c r="T69" i="2" a="1"/>
  <c r="U69" i="2" a="1"/>
  <c r="W69" i="2" a="1"/>
  <c r="V69" i="2" a="1"/>
  <c r="S73" i="2" a="1"/>
  <c r="S74" i="2" a="1"/>
  <c r="T74" i="2" a="1"/>
  <c r="U74" i="2" a="1"/>
  <c r="U75" i="2" a="1"/>
  <c r="T75" i="2" a="1"/>
  <c r="S75" i="2" a="1"/>
  <c r="T76" i="2" a="1"/>
  <c r="U76" i="2" a="1"/>
  <c r="S76" i="2" a="1"/>
  <c r="V76" i="2" a="1"/>
  <c r="U86" i="2" a="1"/>
  <c r="T86" i="2" a="1"/>
  <c r="AC86" i="2" a="1"/>
  <c r="AB86" i="2" a="1"/>
  <c r="S86" i="2" a="1"/>
  <c r="T95" i="2" a="1"/>
  <c r="S95" i="2" a="1"/>
  <c r="S96" i="2" a="1"/>
  <c r="S100" i="2" a="1"/>
  <c r="S101" i="2" a="1"/>
  <c r="S102" i="2" a="1"/>
  <c r="S104" i="2" a="1"/>
  <c r="S105" i="2" a="1"/>
  <c r="T107" i="2" a="1"/>
  <c r="S107" i="2" a="1"/>
  <c r="S108" i="2" a="1"/>
  <c r="AC108" i="2" a="1"/>
  <c r="AB108" i="2" a="1"/>
  <c r="AA108" i="2" a="1"/>
  <c r="T118" i="2" a="1"/>
  <c r="S118" i="2" a="1"/>
  <c r="U118" i="2" a="1"/>
  <c r="S119" i="2" a="1"/>
  <c r="T119" i="2" a="1"/>
  <c r="U119" i="2" a="1"/>
  <c r="T120" i="2" a="1"/>
  <c r="S120" i="2" a="1"/>
  <c r="T121" i="2" a="1"/>
  <c r="S121" i="2" a="1"/>
  <c r="T122" i="2" a="1"/>
  <c r="S122" i="2" a="1"/>
  <c r="U123" i="2" a="1"/>
  <c r="T123" i="2" a="1"/>
  <c r="V123" i="2" a="1"/>
  <c r="S123" i="2" a="1"/>
  <c r="S124" i="2" a="1"/>
  <c r="U124" i="2" a="1"/>
  <c r="T124" i="2" a="1"/>
  <c r="T127" i="2" a="1"/>
  <c r="S127" i="2" a="1"/>
  <c r="V127" i="2" a="1"/>
  <c r="U127" i="2" a="1"/>
  <c r="T129" i="2" a="1"/>
  <c r="S129" i="2" a="1"/>
  <c r="U129" i="2" a="1"/>
  <c r="V129" i="2" a="1"/>
  <c r="AB130" i="2" a="1"/>
  <c r="AA130" i="2" a="1"/>
  <c r="Z130" i="2" a="1"/>
  <c r="Y130" i="2" a="1"/>
  <c r="AC130" i="2" a="1"/>
  <c r="S139" i="2" a="1"/>
  <c r="T139" i="2" a="1"/>
  <c r="T141" i="2" a="1"/>
  <c r="V141" i="2" a="1"/>
  <c r="S141" i="2" a="1"/>
  <c r="U141" i="2" a="1"/>
  <c r="W141" i="2" a="1"/>
  <c r="V142" i="2" a="1"/>
  <c r="U142" i="2" a="1"/>
  <c r="T142" i="2" a="1"/>
  <c r="S142" i="2" a="1"/>
  <c r="W142" i="2" a="1"/>
  <c r="T143" i="2" a="1"/>
  <c r="S143" i="2" a="1"/>
  <c r="S145" i="2" a="1"/>
  <c r="X145" i="2" a="1"/>
  <c r="W145" i="2" a="1"/>
  <c r="T145" i="2" a="1"/>
  <c r="V145" i="2" a="1"/>
  <c r="T146" i="2" a="1"/>
  <c r="U146" i="2" a="1"/>
  <c r="S146" i="2" a="1"/>
  <c r="T147" i="2" a="1"/>
  <c r="S147" i="2" a="1"/>
  <c r="U149" i="2" a="1"/>
  <c r="T149" i="2" a="1"/>
  <c r="V149" i="2" a="1"/>
  <c r="S149" i="2" a="1"/>
  <c r="T151" i="2" a="1"/>
  <c r="S151" i="2" a="1"/>
  <c r="X152" i="2" a="1"/>
  <c r="AC152" i="2" a="1"/>
  <c r="AB152" i="2" a="1"/>
  <c r="Y152" i="2" a="1"/>
  <c r="AA152" i="2" a="1"/>
  <c r="Z152" i="2" a="1"/>
  <c r="U166" i="2" a="1"/>
  <c r="T166" i="2" a="1"/>
  <c r="S166" i="2" a="1"/>
  <c r="S170" i="2" a="1"/>
  <c r="U170" i="2" a="1"/>
  <c r="T170" i="2" a="1"/>
  <c r="W174" i="2" a="1"/>
  <c r="Z174" i="2" a="1"/>
  <c r="S174" i="2" a="1"/>
  <c r="Y174" i="2" a="1"/>
  <c r="X174" i="2" a="1"/>
  <c r="AA174" i="2" a="1"/>
  <c r="AB174" i="2" a="1"/>
  <c r="AC174" i="2" a="1"/>
  <c r="S186" i="2" a="1"/>
  <c r="U186" i="2" a="1"/>
  <c r="T186" i="2" a="1"/>
  <c r="U187" i="2" a="1"/>
  <c r="T187" i="2" a="1"/>
  <c r="S187" i="2" a="1"/>
  <c r="X196" i="2" a="1"/>
  <c r="Y196" i="2" a="1"/>
  <c r="Z196" i="2" a="1"/>
  <c r="AC196" i="2" a="1"/>
  <c r="AA196" i="2" a="1"/>
  <c r="AB196" i="2" a="1"/>
  <c r="U196" i="2" a="1"/>
  <c r="V196" i="2" a="1"/>
  <c r="W196" i="2" a="1"/>
  <c r="T211" i="2" a="1"/>
  <c r="S211" i="2" a="1"/>
  <c r="U211" i="2" a="1"/>
  <c r="S212" i="2" a="1"/>
  <c r="T212" i="2" a="1"/>
  <c r="AC218" i="2" a="1"/>
  <c r="AB218" i="2" a="1"/>
  <c r="AA218" i="2" a="1"/>
  <c r="Z218" i="2" a="1"/>
  <c r="X218" i="2" a="1"/>
  <c r="S218" i="2" a="1"/>
  <c r="Y218" i="2" a="1"/>
  <c r="T218" i="2" a="1"/>
  <c r="V218" i="2" a="1"/>
  <c r="U218" i="2" a="1"/>
  <c r="W218" i="2" a="1"/>
  <c r="U237" i="2" a="1"/>
  <c r="T237" i="2" a="1"/>
  <c r="S237" i="2" a="1"/>
  <c r="U238" i="2" a="1"/>
  <c r="V238" i="2" a="1"/>
  <c r="T238" i="2" a="1"/>
  <c r="S238" i="2" a="1"/>
  <c r="Y240" i="2" a="1"/>
  <c r="W240" i="2" a="1"/>
  <c r="X240" i="2" a="1"/>
  <c r="Z240" i="2" a="1"/>
  <c r="AC240" i="2" a="1"/>
  <c r="AB240" i="2" a="1"/>
  <c r="AA240" i="2" a="1"/>
  <c r="V240" i="2" a="1"/>
  <c r="U240" i="2" a="1"/>
  <c r="T240" i="2" a="1"/>
  <c r="S240" i="2" a="1"/>
  <c r="T256" i="2" a="1"/>
  <c r="S256" i="2" a="1"/>
  <c r="T257" i="2" a="1"/>
  <c r="V257" i="2" a="1"/>
  <c r="S257" i="2" a="1"/>
  <c r="U257" i="2" a="1"/>
  <c r="T258" i="2" a="1"/>
  <c r="W258" i="2" a="1"/>
  <c r="S258" i="2" a="1"/>
  <c r="U258" i="2" a="1"/>
  <c r="V258" i="2" a="1"/>
  <c r="S259" i="2" a="1"/>
  <c r="V259" i="2" a="1"/>
  <c r="U259" i="2" a="1"/>
  <c r="T259" i="2" a="1"/>
  <c r="AC261" i="2" a="1"/>
  <c r="T261" i="2" a="1"/>
  <c r="U261" i="2" a="1"/>
  <c r="S261" i="2" a="1"/>
  <c r="V261" i="2" a="1"/>
  <c r="AA6" i="2" a="1"/>
  <c r="AC9" i="2" a="1"/>
  <c r="AC12" i="2" a="1"/>
  <c r="AC24" i="2" a="1"/>
  <c r="X44" i="2" a="1"/>
  <c r="AA44" i="2" a="1"/>
  <c r="AB44" i="2" a="1"/>
  <c r="AC44" i="2" a="1"/>
  <c r="AA31" i="2" a="1"/>
  <c r="AB31" i="2" a="1"/>
  <c r="AC31" i="2" a="1"/>
  <c r="X46" i="2" a="1"/>
  <c r="Y46" i="2" a="1"/>
  <c r="Z46" i="2" a="1"/>
  <c r="AC53" i="2" a="1"/>
  <c r="AB53" i="2" a="1"/>
  <c r="AA53" i="2" a="1"/>
  <c r="Z53" i="2" a="1"/>
  <c r="V31" i="2" a="1"/>
  <c r="Y31" i="2" a="1"/>
  <c r="W31" i="2" a="1"/>
  <c r="X31" i="2" a="1"/>
  <c r="Z31" i="2" a="1"/>
  <c r="W35" i="2" a="1"/>
  <c r="Z35" i="2" a="1"/>
  <c r="AA35" i="2" a="1"/>
  <c r="B45" i="2"/>
  <c r="T45" i="2" a="1"/>
  <c r="S45" i="2" a="1"/>
  <c r="Y53" i="2" a="1"/>
  <c r="X53" i="2" a="1"/>
  <c r="AB32" i="2" a="1"/>
  <c r="AC32" i="2" a="1"/>
  <c r="AA41" i="2" a="1"/>
  <c r="AC41" i="2" a="1"/>
  <c r="W53" i="2" a="1"/>
  <c r="V53" i="2" a="1"/>
  <c r="S54" i="2" a="1"/>
  <c r="T54" i="2" a="1"/>
  <c r="U54" i="2" a="1"/>
  <c r="V54" i="2" a="1"/>
  <c r="W54" i="2" a="1"/>
  <c r="X54" i="2" a="1"/>
  <c r="Y54" i="2" a="1"/>
  <c r="Z54" i="2" a="1"/>
  <c r="AA54" i="2" a="1"/>
  <c r="AB54" i="2" a="1"/>
  <c r="AC54" i="2" a="1"/>
  <c r="AA59" i="2" a="1"/>
  <c r="Z59" i="2" a="1"/>
  <c r="T59" i="2" a="1"/>
  <c r="B59" i="2"/>
  <c r="S59" i="2" a="1"/>
  <c r="U59" i="2" a="1"/>
  <c r="V59" i="2" a="1"/>
  <c r="W59" i="2" a="1"/>
  <c r="X59" i="2" a="1"/>
  <c r="Y59" i="2" a="1"/>
  <c r="V35" i="2" a="1"/>
  <c r="Y35" i="2" a="1"/>
  <c r="AB35" i="2" a="1"/>
  <c r="X35" i="2" a="1"/>
  <c r="AA32" i="2" a="1"/>
  <c r="S46" i="2" a="1"/>
  <c r="AB41" i="2" a="1"/>
  <c r="AA47" i="2" a="1"/>
  <c r="Z49" i="2" a="1"/>
  <c r="AC57" i="2" a="1"/>
  <c r="AA33" i="2" a="1"/>
  <c r="W34" i="2" a="1"/>
  <c r="AC33" i="2" a="1"/>
  <c r="Z33" i="2" a="1"/>
  <c r="AB33" i="2" a="1"/>
  <c r="AC34" i="2" a="1"/>
  <c r="AB34" i="2" a="1"/>
  <c r="AA34" i="2" a="1"/>
  <c r="Z34" i="2" a="1"/>
  <c r="Y34" i="2" a="1"/>
  <c r="X34" i="2" a="1"/>
  <c r="B36" i="2"/>
  <c r="W36" i="2" a="1"/>
  <c r="V36" i="2" a="1"/>
  <c r="AA36" i="2" a="1"/>
  <c r="AB36" i="2" a="1"/>
  <c r="AC36" i="2" a="1"/>
  <c r="Y36" i="2" a="1"/>
  <c r="X36" i="2" a="1"/>
  <c r="U36" i="2" a="1"/>
  <c r="Z36" i="2" a="1"/>
  <c r="V42" i="2" a="1"/>
  <c r="AB42" i="2" a="1"/>
  <c r="W42" i="2" a="1"/>
  <c r="Y42" i="2" a="1"/>
  <c r="Z42" i="2" a="1"/>
  <c r="B44" i="2"/>
  <c r="W44" i="2" a="1"/>
  <c r="T44" i="2" a="1"/>
  <c r="U44" i="2" a="1"/>
  <c r="S44" i="2" a="1"/>
  <c r="V44" i="2" a="1"/>
  <c r="B46" i="2"/>
  <c r="W46" i="2" a="1"/>
  <c r="V46" i="2" a="1"/>
  <c r="U46" i="2" a="1"/>
  <c r="T46" i="2" a="1"/>
  <c r="AC49" i="2" a="1"/>
  <c r="AB49" i="2" a="1"/>
  <c r="B53" i="2"/>
  <c r="T53" i="2" a="1"/>
  <c r="Z57" i="2" a="1"/>
  <c r="AA57" i="2" a="1"/>
  <c r="AB57" i="2" a="1"/>
  <c r="S14" i="2" a="1"/>
  <c r="V14" i="2" a="1"/>
  <c r="T14" i="2" a="1"/>
  <c r="AB20" i="2" a="1"/>
  <c r="B5" i="2"/>
  <c r="A19" i="2"/>
  <c r="C19" i="2"/>
  <c r="Y32" i="2" a="1"/>
  <c r="Z32" i="2" a="1"/>
  <c r="U32" i="2" a="1"/>
  <c r="AC6" i="2" a="1"/>
  <c r="AB6" i="2" a="1"/>
  <c r="Y6" i="2" a="1"/>
  <c r="Z6" i="2" a="1"/>
  <c r="T23" i="2" a="1"/>
  <c r="U23" i="2" a="1"/>
  <c r="V23" i="2" a="1"/>
  <c r="X23" i="2" a="1"/>
  <c r="Y23" i="2" a="1"/>
  <c r="Z23" i="2" a="1"/>
  <c r="AA23" i="2" a="1"/>
  <c r="AB23" i="2" a="1"/>
  <c r="AC23" i="2" a="1"/>
  <c r="AB9" i="2" a="1"/>
  <c r="X9" i="2" a="1"/>
  <c r="Y22" i="2" a="1"/>
  <c r="AA22" i="2" a="1"/>
  <c r="AB22" i="2" a="1"/>
  <c r="AC22" i="2" a="1"/>
  <c r="W6" i="2" a="1"/>
  <c r="V6" i="2" a="1"/>
  <c r="X6" i="2" a="1"/>
  <c r="S21" i="2" a="1"/>
  <c r="T21" i="2" a="1"/>
  <c r="U21" i="2" a="1"/>
  <c r="V21" i="2" a="1"/>
  <c r="W21" i="2" a="1"/>
  <c r="X21" i="2" a="1"/>
  <c r="Y21" i="2" a="1"/>
  <c r="Z21" i="2" a="1"/>
  <c r="AA21" i="2" a="1"/>
  <c r="AB21" i="2" a="1"/>
  <c r="AC21" i="2" a="1"/>
  <c r="X8" i="2" a="1"/>
  <c r="AB8" i="2" a="1"/>
  <c r="AC8" i="2" a="1"/>
  <c r="AA8" i="2" a="1"/>
  <c r="Z8" i="2" a="1"/>
  <c r="U6" i="2" a="1"/>
  <c r="T7" i="2" a="1"/>
  <c r="U7" i="2" a="1"/>
  <c r="W7" i="2" a="1"/>
  <c r="Y7" i="2" a="1"/>
  <c r="Z7" i="2" a="1"/>
  <c r="AA7" i="2" a="1"/>
  <c r="AB7" i="2" a="1"/>
  <c r="AC7" i="2" a="1"/>
  <c r="X7" i="2" a="1"/>
  <c r="V7" i="2" a="1"/>
  <c r="Z9" i="2" a="1"/>
  <c r="AA9" i="2" a="1"/>
  <c r="Y9" i="2" a="1"/>
  <c r="AC11" i="2" a="1"/>
  <c r="Y27" i="2" a="1"/>
  <c r="T28" i="2" a="1"/>
  <c r="S29" i="2" a="1"/>
  <c r="AC16" i="2" a="1"/>
  <c r="S8" i="2" a="1"/>
  <c r="B8" i="2"/>
  <c r="B25" i="2"/>
  <c r="V25" i="2" a="1"/>
  <c r="AA27" i="2" a="1"/>
  <c r="Z27" i="2" a="1"/>
  <c r="AC27" i="2" a="1"/>
  <c r="AB27" i="2" a="1"/>
  <c r="Z64" i="2" a="1"/>
  <c r="AA64" i="2" a="1"/>
  <c r="AB64" i="2" a="1"/>
  <c r="AC64" i="2" a="1"/>
  <c r="S52" i="2" a="1"/>
  <c r="T52" i="2" a="1"/>
  <c r="U52" i="2" a="1"/>
  <c r="V52" i="2" a="1"/>
  <c r="W52" i="2" a="1"/>
  <c r="X52" i="2" a="1"/>
  <c r="Y52" i="2" a="1"/>
  <c r="Z52" i="2" a="1"/>
  <c r="AA52" i="2" a="1"/>
  <c r="AB52" i="2" a="1"/>
  <c r="AC52" i="2" a="1"/>
  <c r="AC17" i="2" a="1"/>
  <c r="AB17" i="2" a="1"/>
  <c r="U34" i="2" a="1"/>
  <c r="V34" i="2" a="1"/>
  <c r="T35" i="2" a="1"/>
  <c r="U35" i="2" a="1"/>
  <c r="Z48" i="2" a="1"/>
  <c r="Y48" i="2" a="1"/>
  <c r="V50" i="2" a="1"/>
  <c r="X50" i="2" a="1"/>
  <c r="S62" i="2" a="1"/>
  <c r="T62" i="2" a="1"/>
  <c r="U62" i="2" a="1"/>
  <c r="V62" i="2" a="1"/>
  <c r="W62" i="2" a="1"/>
  <c r="X62" i="2" a="1"/>
  <c r="Y62" i="2" a="1"/>
  <c r="Z62" i="2" a="1"/>
  <c r="AA62" i="2" a="1"/>
  <c r="AB62" i="2" a="1"/>
  <c r="AC62" i="2" a="1"/>
  <c r="S36" i="2" a="1"/>
  <c r="T36" i="2" a="1"/>
  <c r="V40" i="2" a="1"/>
  <c r="X40" i="2" a="1"/>
  <c r="Z40" i="2" a="1"/>
  <c r="AA40" i="2" a="1"/>
  <c r="U50" i="2" a="1"/>
  <c r="Y50" i="2" a="1"/>
  <c r="Z50" i="2" a="1"/>
  <c r="AA50" i="2" a="1"/>
  <c r="U61" i="2" a="1"/>
  <c r="V61" i="2" a="1"/>
  <c r="W61" i="2" a="1"/>
  <c r="X61" i="2" a="1"/>
  <c r="Y61" i="2" a="1"/>
  <c r="Z61" i="2" a="1"/>
  <c r="AA61" i="2" a="1"/>
  <c r="AB61" i="2" a="1"/>
  <c r="AC61" i="2" a="1"/>
  <c r="S51" i="2" a="1"/>
  <c r="T51" i="2" a="1"/>
  <c r="U51" i="2" a="1"/>
  <c r="V51" i="2" a="1"/>
  <c r="W51" i="2" a="1"/>
  <c r="X51" i="2" a="1"/>
  <c r="Y51" i="2" a="1"/>
  <c r="Z51" i="2" a="1"/>
  <c r="AA51" i="2" a="1"/>
  <c r="AB51" i="2" a="1"/>
  <c r="AC51" i="2" a="1"/>
  <c r="S60" i="2" a="1"/>
  <c r="T60" i="2" a="1"/>
  <c r="U60" i="2" a="1"/>
  <c r="V60" i="2" a="1"/>
  <c r="W60" i="2" a="1"/>
  <c r="X60" i="2" a="1"/>
  <c r="Y60" i="2" a="1"/>
  <c r="Z60" i="2" a="1"/>
  <c r="AA60" i="2" a="1"/>
  <c r="AB60" i="2" a="1"/>
  <c r="AC60" i="2" a="1"/>
  <c r="AC37" i="2" a="1"/>
  <c r="AA37" i="2" a="1"/>
  <c r="AB40" i="2" a="1"/>
  <c r="AC40" i="2" a="1"/>
  <c r="AB59" i="2" a="1"/>
  <c r="AC59" i="2" a="1"/>
  <c r="S30" i="2" a="1"/>
  <c r="T30" i="2" a="1"/>
  <c r="U30" i="2" a="1"/>
  <c r="V30" i="2" a="1"/>
  <c r="W30" i="2" a="1"/>
  <c r="X30" i="2" a="1"/>
  <c r="Y30" i="2" a="1"/>
  <c r="Z30" i="2" a="1"/>
  <c r="AA30" i="2" a="1"/>
  <c r="AB30" i="2" a="1"/>
  <c r="AC30" i="2" a="1"/>
  <c r="V39" i="2" a="1"/>
  <c r="W39" i="2" a="1"/>
  <c r="X39" i="2" a="1"/>
  <c r="Y39" i="2" a="1"/>
  <c r="Z39" i="2" a="1"/>
  <c r="AA39" i="2" a="1"/>
  <c r="AB39" i="2" a="1"/>
  <c r="AC39" i="2" a="1"/>
  <c r="X18" i="2" a="1"/>
  <c r="W18" i="2" a="1"/>
  <c r="AA48" i="2" a="1"/>
  <c r="AB48" i="2" a="1"/>
  <c r="AC48" i="2" a="1"/>
  <c r="Y18" i="2" a="1"/>
  <c r="Z18" i="2" a="1"/>
  <c r="T29" i="2" a="1"/>
  <c r="U29" i="2" a="1"/>
  <c r="V38" i="2" a="1"/>
  <c r="W38" i="2" a="1"/>
  <c r="Y38" i="2" a="1"/>
  <c r="Z38" i="2" a="1"/>
  <c r="AA38" i="2" a="1"/>
  <c r="AB38" i="2" a="1"/>
  <c r="AC38" i="2" a="1"/>
  <c r="Z56" i="2" a="1"/>
  <c r="AA56" i="2" a="1"/>
  <c r="AB56" i="2" a="1"/>
  <c r="AC56" i="2" a="1"/>
  <c r="AA18" i="2" a="1"/>
  <c r="AB18" i="2" a="1"/>
  <c r="AC18" i="2" a="1"/>
  <c r="V29" i="2" a="1"/>
  <c r="W29" i="2" a="1"/>
  <c r="X29" i="2" a="1"/>
  <c r="Y29" i="2" a="1"/>
  <c r="Z29" i="2" a="1"/>
  <c r="AA29" i="2" a="1"/>
  <c r="AB29" i="2" a="1"/>
  <c r="AC29" i="2" a="1"/>
  <c r="AB46" i="2" a="1"/>
  <c r="AC46" i="2" a="1"/>
  <c r="AA46" i="2" a="1"/>
  <c r="S53" i="2" a="1"/>
  <c r="U53" i="2" a="1"/>
  <c r="AB55" i="2" a="1"/>
  <c r="AC55" i="2" a="1"/>
  <c r="S55" i="2" a="1"/>
  <c r="T55" i="2" a="1"/>
  <c r="U55" i="2" a="1"/>
  <c r="V55" i="2" a="1"/>
  <c r="W55" i="2" a="1"/>
  <c r="X55" i="2" a="1"/>
  <c r="Y55" i="2" a="1"/>
  <c r="Z55" i="2" a="1"/>
  <c r="AA55" i="2" a="1"/>
  <c r="T61" i="2" a="1"/>
  <c r="S61" i="2" a="1"/>
  <c r="S63" i="2" a="1"/>
  <c r="T63" i="2" a="1"/>
  <c r="U63" i="2" a="1"/>
  <c r="V63" i="2" a="1"/>
  <c r="W63" i="2" a="1"/>
  <c r="X63" i="2" a="1"/>
  <c r="Y63" i="2" a="1"/>
  <c r="Z63" i="2" a="1"/>
  <c r="AA63" i="2" a="1"/>
  <c r="AB63" i="2" a="1"/>
  <c r="AC63" i="2" a="1"/>
  <c r="S6" i="2" a="1"/>
  <c r="T6" i="2" a="1"/>
  <c r="B6" i="2"/>
  <c r="B7" i="2"/>
  <c r="S7" i="2" a="1"/>
  <c r="T8" i="2" a="1"/>
  <c r="Y8" i="2" a="1"/>
  <c r="V8" i="2" a="1"/>
  <c r="U8" i="2" a="1"/>
  <c r="W8" i="2" a="1"/>
  <c r="W9" i="2" a="1"/>
  <c r="V9" i="2" a="1"/>
  <c r="U9" i="2" a="1"/>
  <c r="B9" i="2"/>
  <c r="S9" i="2" a="1"/>
  <c r="T9" i="2" a="1"/>
  <c r="T10" i="2" a="1"/>
  <c r="X10" i="2" a="1"/>
  <c r="Z10" i="2" a="1"/>
  <c r="AB10" i="2" a="1"/>
  <c r="AA10" i="2" a="1"/>
  <c r="U10" i="2" a="1"/>
  <c r="W10" i="2" a="1"/>
  <c r="AC10" i="2" a="1"/>
  <c r="S10" i="2" a="1"/>
  <c r="Y10" i="2" a="1"/>
  <c r="B10" i="2"/>
  <c r="V10" i="2" a="1"/>
  <c r="B11" i="2"/>
  <c r="S11" i="2" a="1"/>
  <c r="T11" i="2" a="1"/>
  <c r="AB11" i="2" a="1"/>
  <c r="Z11" i="2" a="1"/>
  <c r="V11" i="2" a="1"/>
  <c r="Y11" i="2" a="1"/>
  <c r="AA11" i="2" a="1"/>
  <c r="X11" i="2" a="1"/>
  <c r="U11" i="2" a="1"/>
  <c r="W11" i="2" a="1"/>
  <c r="T12" i="2" a="1"/>
  <c r="V12" i="2" a="1"/>
  <c r="S12" i="2" a="1"/>
  <c r="B12" i="2"/>
  <c r="AA12" i="2" a="1"/>
  <c r="U12" i="2" a="1"/>
  <c r="AB12" i="2" a="1"/>
  <c r="W12" i="2" a="1"/>
  <c r="X12" i="2" a="1"/>
  <c r="Z12" i="2" a="1"/>
  <c r="Y12" i="2" a="1"/>
  <c r="X13" i="2" a="1"/>
  <c r="Y13" i="2" a="1"/>
  <c r="Z13" i="2" a="1"/>
  <c r="AA13" i="2" a="1"/>
  <c r="AC13" i="2" a="1"/>
  <c r="AB13" i="2" a="1"/>
  <c r="U13" i="2" a="1"/>
  <c r="S13" i="2" a="1"/>
  <c r="B13" i="2"/>
  <c r="T13" i="2" a="1"/>
  <c r="V13" i="2" a="1"/>
  <c r="W13" i="2" a="1"/>
  <c r="Y15" i="2" a="1"/>
  <c r="AB15" i="2" a="1"/>
  <c r="X15" i="2" a="1"/>
  <c r="T15" i="2" a="1"/>
  <c r="AA15" i="2" a="1"/>
  <c r="W15" i="2" a="1"/>
  <c r="U15" i="2" a="1"/>
  <c r="Z15" i="2" a="1"/>
  <c r="V15" i="2" a="1"/>
  <c r="AC15" i="2" a="1"/>
  <c r="S15" i="2" a="1"/>
  <c r="B15" i="2"/>
  <c r="U16" i="2" a="1"/>
  <c r="Z16" i="2" a="1"/>
  <c r="S16" i="2" a="1"/>
  <c r="B16" i="2"/>
  <c r="AB16" i="2" a="1"/>
  <c r="AA16" i="2" a="1"/>
  <c r="X16" i="2" a="1"/>
  <c r="V16" i="2" a="1"/>
  <c r="T16" i="2" a="1"/>
  <c r="W16" i="2" a="1"/>
  <c r="Y16" i="2" a="1"/>
  <c r="Z17" i="2" a="1"/>
  <c r="AA17" i="2" a="1"/>
  <c r="S17" i="2" a="1"/>
  <c r="V17" i="2" a="1"/>
  <c r="Y17" i="2" a="1"/>
  <c r="B17" i="2"/>
  <c r="W17" i="2" a="1"/>
  <c r="T17" i="2" a="1"/>
  <c r="X17" i="2" a="1"/>
  <c r="U17" i="2" a="1"/>
  <c r="V18" i="2" a="1"/>
  <c r="U18" i="2" a="1"/>
  <c r="T18" i="2" a="1"/>
  <c r="B18" i="2"/>
  <c r="S18" i="2" a="1"/>
  <c r="B19" i="2"/>
  <c r="X20" i="2" a="1"/>
  <c r="S20" i="2" a="1"/>
  <c r="Z20" i="2" a="1"/>
  <c r="B20" i="2"/>
  <c r="Y20" i="2" a="1"/>
  <c r="AC20" i="2" a="1"/>
  <c r="AA20" i="2" a="1"/>
  <c r="V20" i="2" a="1"/>
  <c r="T20" i="2" a="1"/>
  <c r="W20" i="2" a="1"/>
  <c r="U20" i="2" a="1"/>
  <c r="Z22" i="2" a="1"/>
  <c r="X22" i="2" a="1"/>
  <c r="T22" i="2" a="1"/>
  <c r="S22" i="2" a="1"/>
  <c r="W22" i="2" a="1"/>
  <c r="U22" i="2" a="1"/>
  <c r="B22" i="2"/>
  <c r="V22" i="2" a="1"/>
  <c r="W23" i="2" a="1"/>
  <c r="S23" i="2" a="1"/>
  <c r="V24" i="2" a="1"/>
  <c r="T24" i="2" a="1"/>
  <c r="W24" i="2" a="1"/>
  <c r="U24" i="2" a="1"/>
  <c r="S24" i="2" a="1"/>
  <c r="X24" i="2" a="1"/>
  <c r="B24" i="2"/>
  <c r="Y24" i="2" a="1"/>
  <c r="S25" i="2" a="1"/>
  <c r="U25" i="2" a="1"/>
  <c r="T25" i="2" a="1"/>
  <c r="AC26" i="2" a="1"/>
  <c r="Z26" i="2" a="1"/>
  <c r="U26" i="2" a="1"/>
  <c r="S26" i="2" a="1"/>
  <c r="W26" i="2" a="1"/>
  <c r="AB26" i="2" a="1"/>
  <c r="Y26" i="2" a="1"/>
  <c r="X26" i="2" a="1"/>
  <c r="V26" i="2" a="1"/>
  <c r="T26" i="2" a="1"/>
  <c r="B26" i="2"/>
  <c r="AA26" i="2" a="1"/>
  <c r="X27" i="2" a="1"/>
  <c r="B27" i="2"/>
  <c r="V27" i="2" a="1"/>
  <c r="W27" i="2" a="1"/>
  <c r="S27" i="2" a="1"/>
  <c r="U27" i="2" a="1"/>
  <c r="T27" i="2" a="1"/>
  <c r="X28" i="2" a="1"/>
  <c r="Y28" i="2" a="1"/>
  <c r="Z28" i="2" a="1"/>
  <c r="AA28" i="2" a="1"/>
  <c r="AC28" i="2" a="1"/>
  <c r="AB28" i="2" a="1"/>
  <c r="B28" i="2"/>
  <c r="S28" i="2" a="1"/>
  <c r="U28" i="2" a="1"/>
  <c r="V28" i="2" a="1"/>
  <c r="W28" i="2" a="1"/>
  <c r="T31" i="2" a="1"/>
  <c r="B31" i="2"/>
  <c r="U31" i="2" a="1"/>
  <c r="S31" i="2" a="1"/>
  <c r="X32" i="2" a="1"/>
  <c r="V32" i="2" a="1"/>
  <c r="W32" i="2" a="1"/>
  <c r="B32" i="2"/>
  <c r="S32" i="2" a="1"/>
  <c r="T32" i="2" a="1"/>
  <c r="U33" i="2" a="1"/>
  <c r="W33" i="2" a="1"/>
  <c r="V33" i="2" a="1"/>
  <c r="B33" i="2"/>
  <c r="T33" i="2" a="1"/>
  <c r="X33" i="2" a="1"/>
  <c r="Y33" i="2" a="1"/>
  <c r="S33" i="2" a="1"/>
  <c r="T34" i="2" a="1"/>
  <c r="S34" i="2" a="1"/>
  <c r="B34" i="2"/>
  <c r="B35" i="2"/>
  <c r="S35" i="2" a="1"/>
  <c r="AC35" i="2" a="1"/>
  <c r="Y37" i="2" a="1"/>
  <c r="Z37" i="2" a="1"/>
  <c r="AB37" i="2" a="1"/>
  <c r="X37" i="2" a="1"/>
  <c r="W37" i="2" a="1"/>
  <c r="T37" i="2" a="1"/>
  <c r="B37" i="2"/>
  <c r="V37" i="2" a="1"/>
  <c r="S37" i="2" a="1"/>
  <c r="U37" i="2" a="1"/>
  <c r="X38" i="2" a="1"/>
  <c r="T38" i="2" a="1"/>
  <c r="U38" i="2" a="1"/>
  <c r="B38" i="2"/>
  <c r="S38" i="2" a="1"/>
  <c r="U39" i="2" a="1"/>
  <c r="S39" i="2" a="1"/>
  <c r="T39" i="2" a="1"/>
  <c r="B39" i="2"/>
  <c r="U40" i="2" a="1"/>
  <c r="Y40" i="2" a="1"/>
  <c r="W40" i="2" a="1"/>
  <c r="B40" i="2"/>
  <c r="T40" i="2" a="1"/>
  <c r="S40" i="2" a="1"/>
  <c r="S41" i="2" a="1"/>
  <c r="X41" i="2" a="1"/>
  <c r="B41" i="2"/>
  <c r="U41" i="2" a="1"/>
  <c r="W41" i="2" a="1"/>
  <c r="T41" i="2" a="1"/>
  <c r="Y41" i="2" a="1"/>
  <c r="V41" i="2" a="1"/>
  <c r="Z41" i="2" a="1"/>
  <c r="S42" i="2" a="1"/>
  <c r="U42" i="2" a="1"/>
  <c r="T42" i="2" a="1"/>
  <c r="B42" i="2"/>
  <c r="U43" i="2" a="1"/>
  <c r="Y43" i="2" a="1"/>
  <c r="S43" i="2" a="1"/>
  <c r="AC43" i="2" a="1"/>
  <c r="AB43" i="2" a="1"/>
  <c r="AA43" i="2" a="1"/>
  <c r="Z43" i="2" a="1"/>
  <c r="B43" i="2"/>
  <c r="V43" i="2" a="1"/>
  <c r="T43" i="2" a="1"/>
  <c r="X43" i="2" a="1"/>
  <c r="W43" i="2" a="1"/>
  <c r="AB47" i="2" a="1"/>
  <c r="AC47" i="2" a="1"/>
  <c r="B47" i="2"/>
  <c r="Z47" i="2" a="1"/>
  <c r="S47" i="2" a="1"/>
  <c r="U47" i="2" a="1"/>
  <c r="W47" i="2" a="1"/>
  <c r="Y47" i="2" a="1"/>
  <c r="X47" i="2" a="1"/>
  <c r="V47" i="2" a="1"/>
  <c r="T47" i="2" a="1"/>
  <c r="T48" i="2" a="1"/>
  <c r="B48" i="2"/>
  <c r="W48" i="2" a="1"/>
  <c r="V48" i="2" a="1"/>
  <c r="S48" i="2" a="1"/>
  <c r="U48" i="2" a="1"/>
  <c r="X48" i="2" a="1"/>
  <c r="T49" i="2" a="1"/>
  <c r="X49" i="2" a="1"/>
  <c r="S49" i="2" a="1"/>
  <c r="AA49" i="2" a="1"/>
  <c r="Y49" i="2" a="1"/>
  <c r="W49" i="2" a="1"/>
  <c r="B49" i="2"/>
  <c r="U49" i="2" a="1"/>
  <c r="V49" i="2" a="1"/>
  <c r="T50" i="2" a="1"/>
  <c r="W50" i="2" a="1"/>
  <c r="AC50" i="2" a="1"/>
  <c r="S50" i="2" a="1"/>
  <c r="AB50" i="2" a="1"/>
  <c r="B50" i="2"/>
  <c r="V56" i="2" a="1"/>
  <c r="S56" i="2" a="1"/>
  <c r="T56" i="2" a="1"/>
  <c r="W56" i="2" a="1"/>
  <c r="X56" i="2" a="1"/>
  <c r="U56" i="2" a="1"/>
  <c r="B56" i="2"/>
  <c r="Y56" i="2" a="1"/>
  <c r="B57" i="2"/>
  <c r="V57" i="2" a="1"/>
  <c r="S57" i="2" a="1"/>
  <c r="X57" i="2" a="1"/>
  <c r="T57" i="2" a="1"/>
  <c r="Y57" i="2" a="1"/>
  <c r="U57" i="2" a="1"/>
  <c r="W57" i="2" a="1"/>
  <c r="AA58" i="2" a="1"/>
  <c r="AB58" i="2" a="1"/>
  <c r="AC58" i="2" a="1"/>
  <c r="B58" i="2"/>
  <c r="X58" i="2" a="1"/>
  <c r="U58" i="2" a="1"/>
  <c r="Y58" i="2" a="1"/>
  <c r="V58" i="2" a="1"/>
  <c r="W58" i="2" a="1"/>
  <c r="T58" i="2" a="1"/>
  <c r="Z58" i="2" a="1"/>
  <c r="S58" i="2" a="1"/>
  <c r="V64" i="2" a="1"/>
  <c r="S64" i="2" a="1"/>
  <c r="U64" i="2" a="1"/>
  <c r="Y64" i="2" a="1"/>
  <c r="W64" i="2" a="1"/>
  <c r="T64" i="2" a="1"/>
  <c r="X64" i="2" a="1"/>
  <c r="AB5" i="2" a="1"/>
  <c r="Y5" i="2" a="1"/>
  <c r="U5" i="2" a="1"/>
  <c r="AA5" i="2" a="1"/>
  <c r="X5" i="2" a="1"/>
  <c r="Z5" i="2" a="1"/>
  <c r="W5" i="2" a="1"/>
  <c r="V5" i="2" a="1"/>
  <c r="T5" i="2" a="1"/>
  <c r="S5" i="2" a="1"/>
  <c r="AC5" i="2" a="1"/>
  <c r="J31" i="4" l="1" a="1"/>
  <c r="K31" i="4" a="1"/>
  <c r="U19" i="2" a="1"/>
  <c r="AA19" i="2" a="1"/>
  <c r="V19" i="2" a="1"/>
  <c r="W19" i="2" a="1"/>
  <c r="S19" i="2" a="1"/>
  <c r="T19" i="2" a="1"/>
  <c r="AC19" i="2" a="1"/>
  <c r="AB19" i="2" a="1"/>
  <c r="Z19" i="2" a="1"/>
  <c r="Y19" i="2" a="1"/>
  <c r="X19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<sst xmlns="http://schemas.openxmlformats.org/spreadsheetml/2006/main" count="4658" uniqueCount="705">
  <si>
    <t>개요</t>
  </si>
  <si>
    <t>- 게임 서클트레인의 상점, 커스터마이징, 전투에서 사용되는 트레인 파츠의 능력치와 가격의 데이터를 저장하는 테이블이다.</t>
  </si>
  <si>
    <t>내부키</t>
  </si>
  <si>
    <t>외부키</t>
  </si>
  <si>
    <t>테이블 내용</t>
  </si>
  <si>
    <t>Locomotive</t>
  </si>
  <si>
    <t>(기관차의 스탯 정보를 담는 테이블이다.)</t>
  </si>
  <si>
    <t>column명</t>
  </si>
  <si>
    <t>한글명칭</t>
  </si>
  <si>
    <t>데이터타입</t>
  </si>
  <si>
    <t>설명</t>
  </si>
  <si>
    <t>locomotiveId</t>
  </si>
  <si>
    <t>기관차  ID</t>
  </si>
  <si>
    <t>string</t>
  </si>
  <si>
    <t>데이터를 식별하기 위한 ID값이다.</t>
  </si>
  <si>
    <t>locomotiveName</t>
  </si>
  <si>
    <t>기관차 이름</t>
  </si>
  <si>
    <t>기관차의 이름 데이터이다.</t>
  </si>
  <si>
    <t>locomotiveMaxspeed</t>
  </si>
  <si>
    <t>최대속력</t>
  </si>
  <si>
    <t>flaot</t>
  </si>
  <si>
    <t>기관차의 최대 속력 수치 값이다. 인게임 트레인의 속력은 해당 수치 이하로만 가능하다.</t>
  </si>
  <si>
    <t>locomotiveHorsepower</t>
  </si>
  <si>
    <t>최대 출력</t>
  </si>
  <si>
    <t>float</t>
  </si>
  <si>
    <t>기관차의 최대 출력 수치 값이다. 이 수치에 비례해 가속도 및 허용중량이 증가한다.</t>
  </si>
  <si>
    <t>locomotiveCouch</t>
  </si>
  <si>
    <t>최대 연결 칸</t>
  </si>
  <si>
    <t>int</t>
  </si>
  <si>
    <t>기관차의 최대 연결 칸 수치 데이터를 저장한다. 이 수치만큼 편성 칸을 추가할 수 있다.</t>
  </si>
  <si>
    <t>locomotiveAccelpower</t>
  </si>
  <si>
    <t>기본 가속력</t>
  </si>
  <si>
    <t>기관차의 기본 가속력 수치 값이다. 이동시 기차의 초당 몇만큼의 속도가 오를지에 대한 값이다.</t>
  </si>
  <si>
    <t>locomotiveBreakpower</t>
  </si>
  <si>
    <t>제동력</t>
  </si>
  <si>
    <t>기관차의 제동력 수치이다. 정지시 초당 몇만큼 속도가 감소할지에 대한 값이다.</t>
  </si>
  <si>
    <t>locomotiveWeightlimit</t>
  </si>
  <si>
    <t>기본 허용 중량</t>
  </si>
  <si>
    <t xml:space="preserve">기관차의 허용중량 수치 값이다. </t>
  </si>
  <si>
    <t>locomotiveHp</t>
  </si>
  <si>
    <t>내구력</t>
  </si>
  <si>
    <t>기관차의 최대 체력수치이다. 체력수치가 0 이하가 되면 게임오버이다.</t>
  </si>
  <si>
    <t>locomotiveDef</t>
  </si>
  <si>
    <t>방어력</t>
  </si>
  <si>
    <t>기관차의 방어력 수치 값이다. 기관차가 피해를 받을 때 이 수치에 비례해 받는 피해가 감소한다.</t>
  </si>
  <si>
    <t>locomotiveShield</t>
  </si>
  <si>
    <t>자기장 방어막</t>
  </si>
  <si>
    <t>기관차의 보호막 수치이다.</t>
  </si>
  <si>
    <t>locomotiveInventoryUp</t>
  </si>
  <si>
    <t>인벤토리 추가량</t>
  </si>
  <si>
    <t>이 수치만큼 사용 가능한 인벤토리가 확장된다.</t>
  </si>
  <si>
    <t>locomotiveBoardingUp</t>
  </si>
  <si>
    <t>탑승 칸 추가량</t>
  </si>
  <si>
    <t>이 수치만큼 운송가능한 인원이 증가한다.</t>
  </si>
  <si>
    <t>locomotiveCost</t>
  </si>
  <si>
    <t>기관차 가격</t>
  </si>
  <si>
    <t>상점에서 해당 파츠를 구매할 때 필요한 비용수치이다.</t>
  </si>
  <si>
    <t>locomotiveText</t>
  </si>
  <si>
    <t>기관차 설명 문구</t>
  </si>
  <si>
    <t>기관차의 UI상 설명 데이터이다.</t>
  </si>
  <si>
    <t>Couch</t>
  </si>
  <si>
    <t>(편성 칸의 스탯 정보를 담는 테이블이다.)</t>
  </si>
  <si>
    <t>couchId</t>
  </si>
  <si>
    <t>편성칸 ID</t>
  </si>
  <si>
    <t>couchName</t>
  </si>
  <si>
    <t>편성 칸 이름</t>
  </si>
  <si>
    <t>편성 칸의 이름 데이터이다.</t>
  </si>
  <si>
    <t>couchHp</t>
  </si>
  <si>
    <t>편성 칸의 체력 수치이다. 수치가 0 이하면 파괴된다.</t>
  </si>
  <si>
    <t>couchDef</t>
  </si>
  <si>
    <t>편성 칸의 방어력 수치이다. 피해를 받을 때 이 수치에 비례해 받는 피해가 감소한다.</t>
  </si>
  <si>
    <t>couchshield</t>
  </si>
  <si>
    <t>편성 칸의 보호막 수치이다.</t>
  </si>
  <si>
    <t>couchSynergyPower</t>
  </si>
  <si>
    <t>승무원 시너지 계수</t>
  </si>
  <si>
    <t>수치만큼 이 편성 칸의 승무원이 증가시키는 스탯이 증가한다.</t>
  </si>
  <si>
    <t>couchCost</t>
  </si>
  <si>
    <t>편성 칸 가격</t>
  </si>
  <si>
    <t>상점에서 해당 편성 칸을 구매할 때 필요한 비용수치이다.</t>
  </si>
  <si>
    <t>couchWeight</t>
  </si>
  <si>
    <t>편성 칸 무게</t>
  </si>
  <si>
    <t>편성 칸의 무게 수치이다.</t>
  </si>
  <si>
    <t>couchText</t>
  </si>
  <si>
    <t>편성 칸 설명문구</t>
  </si>
  <si>
    <t>편성 칸의 UI상 설명 데이터이다.</t>
  </si>
  <si>
    <t>Engine</t>
  </si>
  <si>
    <t>엔진 파츠의 스탯 정보를 담는 테이블이다.</t>
  </si>
  <si>
    <t>engineId</t>
  </si>
  <si>
    <t>엔진ID</t>
  </si>
  <si>
    <t>engineName</t>
  </si>
  <si>
    <t>엔진 이름</t>
  </si>
  <si>
    <t>엔진의 이름 데이터이다.</t>
  </si>
  <si>
    <t>enginePowerUp</t>
  </si>
  <si>
    <t>최대출력 증가량</t>
  </si>
  <si>
    <t>엔진의 최대 출력 증가량 수치이다.</t>
  </si>
  <si>
    <t>engineCost</t>
  </si>
  <si>
    <t>엔진 가격</t>
  </si>
  <si>
    <t>engineWeight</t>
  </si>
  <si>
    <t>엔진 무게</t>
  </si>
  <si>
    <t>엔진의 무게 수치이다.</t>
  </si>
  <si>
    <t>engineText</t>
  </si>
  <si>
    <t>엔진 설명 문구</t>
  </si>
  <si>
    <t>엔진의 UI상 설명 데이터이다.</t>
  </si>
  <si>
    <t>Generator</t>
  </si>
  <si>
    <t>generatorId</t>
  </si>
  <si>
    <t>제네레이터ID</t>
  </si>
  <si>
    <t>generatorName</t>
  </si>
  <si>
    <t>제네레이터 이름</t>
  </si>
  <si>
    <t>제네레이터의 이름 데이터이다.</t>
  </si>
  <si>
    <t>generatorShieldUp</t>
  </si>
  <si>
    <t>자기장 방벽 증가량</t>
  </si>
  <si>
    <t>제네레이터의 자기장방벽 증가량 수치이다.</t>
  </si>
  <si>
    <t>generatorCost</t>
  </si>
  <si>
    <t>제네레이터 가격</t>
  </si>
  <si>
    <t>generatorWeight</t>
  </si>
  <si>
    <t>제네레이터 무게</t>
  </si>
  <si>
    <t>제네레이터의 무게 수치이다.</t>
  </si>
  <si>
    <t>generatorText</t>
  </si>
  <si>
    <t>제네레이터 설명 문구</t>
  </si>
  <si>
    <t>Break</t>
  </si>
  <si>
    <t>breakId</t>
  </si>
  <si>
    <t>제동장치 Id</t>
  </si>
  <si>
    <t>breakName</t>
  </si>
  <si>
    <t>제동장치 이름</t>
  </si>
  <si>
    <t>제동장치의 이름 데이터이다.</t>
  </si>
  <si>
    <t>breakPowerUp</t>
  </si>
  <si>
    <t>제동력 증가량</t>
  </si>
  <si>
    <t>제동장치의 제동력 증가량 수치이다.</t>
  </si>
  <si>
    <t>breakCost</t>
  </si>
  <si>
    <t>제동장치 가격</t>
  </si>
  <si>
    <t>breakWeight</t>
  </si>
  <si>
    <t>제동장치 무게</t>
  </si>
  <si>
    <t>제동장치의 무게 수치이다.</t>
  </si>
  <si>
    <t>breakText</t>
  </si>
  <si>
    <t>제동장치 설명 문구</t>
  </si>
  <si>
    <t>제동장치의 UI상 설명 데이터이다.</t>
  </si>
  <si>
    <t>Parlor</t>
  </si>
  <si>
    <t>parlorId</t>
  </si>
  <si>
    <t>객실 파츠 ID</t>
  </si>
  <si>
    <t>parlorName</t>
  </si>
  <si>
    <t>객실 파츠 이름</t>
  </si>
  <si>
    <t>객실 파츠의 이름 데이터이다.</t>
  </si>
  <si>
    <t>parlorType</t>
  </si>
  <si>
    <t>객실 파츠 종류</t>
  </si>
  <si>
    <t>객실파츠의 종류 데이터를 넣는다. UI 표시목적으로 사용된다.</t>
  </si>
  <si>
    <t>parlorProductPower</t>
  </si>
  <si>
    <t>객실 파츠 생산력</t>
  </si>
  <si>
    <t>객실파츠의 생산력수치이다.</t>
  </si>
  <si>
    <t>parlorIndustryPower</t>
  </si>
  <si>
    <t>객실 파츠 공업력</t>
  </si>
  <si>
    <t>객실파츠의 공업력 수치이다.</t>
  </si>
  <si>
    <t>palorProduct</t>
  </si>
  <si>
    <t>객실 파츠 생산물</t>
  </si>
  <si>
    <t>parlorInventoryUp</t>
  </si>
  <si>
    <t>객실 파츠 인벤토리 증가량</t>
  </si>
  <si>
    <t>객실 파츠의 인벤토리 증가량 수치이다.</t>
  </si>
  <si>
    <t>parlorpassengerUp</t>
  </si>
  <si>
    <t>객실 파츠 승객수용 증가량</t>
  </si>
  <si>
    <t>객실 파츠의 승객수용 증가량 수치이다.</t>
  </si>
  <si>
    <t>parlorCost</t>
  </si>
  <si>
    <t>객실 파츠 가격</t>
  </si>
  <si>
    <t>parlorWeight</t>
  </si>
  <si>
    <t>객실 파츠 무게</t>
  </si>
  <si>
    <t>객실파츠의 무게 수치이다.</t>
  </si>
  <si>
    <t>parlorText</t>
  </si>
  <si>
    <t>객실 파츠 텍스트</t>
  </si>
  <si>
    <t>객실파츠의 UI상 설명 데이터이다.</t>
  </si>
  <si>
    <t>locomotiveBordingUp</t>
  </si>
  <si>
    <t>couchShield</t>
  </si>
  <si>
    <t>breakWeigt</t>
  </si>
  <si>
    <t>food</t>
  </si>
  <si>
    <t>food</t>
    <phoneticPr fontId="3" type="noConversion"/>
  </si>
  <si>
    <t>생산형</t>
    <phoneticPr fontId="3" type="noConversion"/>
  </si>
  <si>
    <t>방어형</t>
    <phoneticPr fontId="3" type="noConversion"/>
  </si>
  <si>
    <t>전투형</t>
  </si>
  <si>
    <t>전투형</t>
    <phoneticPr fontId="3" type="noConversion"/>
  </si>
  <si>
    <t>skillActive1</t>
    <phoneticPr fontId="3" type="noConversion"/>
  </si>
  <si>
    <t>skillActive2</t>
    <phoneticPr fontId="3" type="noConversion"/>
  </si>
  <si>
    <t>skillActive3</t>
    <phoneticPr fontId="3" type="noConversion"/>
  </si>
  <si>
    <t>skillPassive</t>
    <phoneticPr fontId="3" type="noConversion"/>
  </si>
  <si>
    <t>crewId</t>
    <phoneticPr fontId="3" type="noConversion"/>
  </si>
  <si>
    <t>crewName</t>
    <phoneticPr fontId="3" type="noConversion"/>
  </si>
  <si>
    <t>crewType</t>
    <phoneticPr fontId="3" type="noConversion"/>
  </si>
  <si>
    <t>crewLandpower</t>
    <phoneticPr fontId="3" type="noConversion"/>
  </si>
  <si>
    <t>crewFlypower</t>
    <phoneticPr fontId="3" type="noConversion"/>
  </si>
  <si>
    <t>crewDef</t>
    <phoneticPr fontId="3" type="noConversion"/>
  </si>
  <si>
    <t>crewBasemorale</t>
    <phoneticPr fontId="3" type="noConversion"/>
  </si>
  <si>
    <t>crewProduct</t>
    <phoneticPr fontId="3" type="noConversion"/>
  </si>
  <si>
    <t>crewIndustry</t>
    <phoneticPr fontId="3" type="noConversion"/>
  </si>
  <si>
    <t>parlorProductPower</t>
    <phoneticPr fontId="3" type="noConversion"/>
  </si>
  <si>
    <t>crewFlightpower</t>
    <phoneticPr fontId="3" type="noConversion"/>
  </si>
  <si>
    <t>locomotiveType</t>
    <phoneticPr fontId="3" type="noConversion"/>
  </si>
  <si>
    <t>couchType</t>
    <phoneticPr fontId="3" type="noConversion"/>
  </si>
  <si>
    <t>engineType</t>
    <phoneticPr fontId="3" type="noConversion"/>
  </si>
  <si>
    <t>generatorType</t>
    <phoneticPr fontId="3" type="noConversion"/>
  </si>
  <si>
    <t>breakType</t>
    <phoneticPr fontId="3" type="noConversion"/>
  </si>
  <si>
    <t>표준</t>
    <phoneticPr fontId="3" type="noConversion"/>
  </si>
  <si>
    <t>siecleium</t>
  </si>
  <si>
    <t>ammo</t>
    <phoneticPr fontId="3" type="noConversion"/>
  </si>
  <si>
    <t>shell</t>
    <phoneticPr fontId="3" type="noConversion"/>
  </si>
  <si>
    <t>missile</t>
  </si>
  <si>
    <r>
      <rPr>
        <sz val="10"/>
        <color theme="1"/>
        <rFont val="Arial"/>
        <family val="2"/>
        <charset val="129"/>
        <scheme val="minor"/>
      </rPr>
      <t>내부색인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</si>
  <si>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보정</t>
    </r>
    <phoneticPr fontId="3" type="noConversion"/>
  </si>
  <si>
    <t>breakCost</t>
    <phoneticPr fontId="3" type="noConversion"/>
  </si>
  <si>
    <t>null</t>
    <phoneticPr fontId="3" type="noConversion"/>
  </si>
  <si>
    <t>string</t>
    <phoneticPr fontId="3" type="noConversion"/>
  </si>
  <si>
    <t>float</t>
    <phoneticPr fontId="3" type="noConversion"/>
  </si>
  <si>
    <t>int</t>
    <phoneticPr fontId="3" type="noConversion"/>
  </si>
  <si>
    <t xml:space="preserve"> </t>
    <phoneticPr fontId="3" type="noConversion"/>
  </si>
  <si>
    <t>타레사 플로렌스</t>
    <phoneticPr fontId="3" type="noConversion"/>
  </si>
  <si>
    <t>로잘린 피츠패트릭</t>
    <phoneticPr fontId="3" type="noConversion"/>
  </si>
  <si>
    <t>에밀리 웨버</t>
    <phoneticPr fontId="3" type="noConversion"/>
  </si>
  <si>
    <t>리프 아이렌</t>
    <phoneticPr fontId="3" type="noConversion"/>
  </si>
  <si>
    <t>레이 미아</t>
    <phoneticPr fontId="3" type="noConversion"/>
  </si>
  <si>
    <t>마리나 헤이븐</t>
    <phoneticPr fontId="3" type="noConversion"/>
  </si>
  <si>
    <t>유진 도</t>
    <phoneticPr fontId="3" type="noConversion"/>
  </si>
  <si>
    <t>에코</t>
    <phoneticPr fontId="3" type="noConversion"/>
  </si>
  <si>
    <t>로젤리에</t>
    <phoneticPr fontId="3" type="noConversion"/>
  </si>
  <si>
    <t>휴브리시아</t>
    <phoneticPr fontId="3" type="noConversion"/>
  </si>
  <si>
    <t>도미나 고르고스</t>
    <phoneticPr fontId="3" type="noConversion"/>
  </si>
  <si>
    <t>사카가미 토와</t>
    <phoneticPr fontId="3" type="noConversion"/>
  </si>
  <si>
    <t>에디스 에벗</t>
    <phoneticPr fontId="3" type="noConversion"/>
  </si>
  <si>
    <t>crew_Prod_F01_001</t>
    <phoneticPr fontId="3" type="noConversion"/>
  </si>
  <si>
    <t>crew_Def_F01_002</t>
    <phoneticPr fontId="3" type="noConversion"/>
  </si>
  <si>
    <t>crew_Batt_F01_003</t>
    <phoneticPr fontId="3" type="noConversion"/>
  </si>
  <si>
    <t>crew_Batt_F01_004</t>
    <phoneticPr fontId="3" type="noConversion"/>
  </si>
  <si>
    <t>crew_Def_F01_004</t>
    <phoneticPr fontId="3" type="noConversion"/>
  </si>
  <si>
    <t>crew_Batt_F02_001</t>
    <phoneticPr fontId="3" type="noConversion"/>
  </si>
  <si>
    <t>crew_Batt_F02_002</t>
    <phoneticPr fontId="3" type="noConversion"/>
  </si>
  <si>
    <t>crew_Def_F02_003</t>
    <phoneticPr fontId="3" type="noConversion"/>
  </si>
  <si>
    <t>crew_Batt_F02_004</t>
    <phoneticPr fontId="3" type="noConversion"/>
  </si>
  <si>
    <t>crew_Batt_F03_001</t>
    <phoneticPr fontId="3" type="noConversion"/>
  </si>
  <si>
    <t>crew_Prod_F03_002</t>
    <phoneticPr fontId="3" type="noConversion"/>
  </si>
  <si>
    <t>crew_Prod_F03_003</t>
    <phoneticPr fontId="3" type="noConversion"/>
  </si>
  <si>
    <t>crew_Batt_F03_004</t>
    <phoneticPr fontId="3" type="noConversion"/>
  </si>
  <si>
    <t>skill_Act_Crew_Def_001</t>
  </si>
  <si>
    <t>skill_Act_Crew_Batt_001</t>
  </si>
  <si>
    <t>skill_Act_Crew_Prod_001</t>
  </si>
  <si>
    <t>skill_Act_Crew_Def_002</t>
  </si>
  <si>
    <t>skill_Act_Crew_Def_003</t>
  </si>
  <si>
    <t>skill_Act_Crew_Def_004</t>
  </si>
  <si>
    <t>skill_Act_Crew_Prod_002</t>
  </si>
  <si>
    <t>skill_Act_Crew_Prod_003</t>
  </si>
  <si>
    <t>skill_Pas_Crew_Prod_001</t>
  </si>
  <si>
    <t>skill_Pas_Def_001</t>
  </si>
  <si>
    <t>skill_Act_Crew_Batt_002</t>
  </si>
  <si>
    <t>skill_Act_Crew_Batt_003</t>
  </si>
  <si>
    <t>skill_Pas_Def_Batt_001</t>
  </si>
  <si>
    <t>skill_Act_Crew_Batt_004</t>
  </si>
  <si>
    <t>skill_Act_Crew_Batt_005</t>
  </si>
  <si>
    <t>skill_Act_Crew_Batt_006</t>
  </si>
  <si>
    <t>skill_Pas_Def_Batt_002</t>
  </si>
  <si>
    <t>skill_Act_Crew_Def_005</t>
  </si>
  <si>
    <t>skill_Act_Crew_Def_006</t>
  </si>
  <si>
    <t>skill_Pas_Def_002</t>
  </si>
  <si>
    <t>skill_Act_Crew_Batt_007</t>
  </si>
  <si>
    <t>skill_Act_Crew_Batt_008</t>
  </si>
  <si>
    <t>skill_Act_Crew_Batt_009</t>
  </si>
  <si>
    <t>skill_Pas_Def_Batt_003</t>
  </si>
  <si>
    <t>skill_Act_Crew_Batt_010</t>
  </si>
  <si>
    <t>skill_Act_Crew_Batt_011</t>
  </si>
  <si>
    <t>skill_Act_Crew_Batt_012</t>
  </si>
  <si>
    <t>skill_Pas_Def_Batt_004</t>
  </si>
  <si>
    <t>skill_Act_Crew_Def_007</t>
  </si>
  <si>
    <t>skill_Act_Crew_Def_008</t>
  </si>
  <si>
    <t>skill_Act_Crew_Def_009</t>
  </si>
  <si>
    <t>skill_Pas_Def_003</t>
  </si>
  <si>
    <t>skill_Act_Crew_Batt_013</t>
  </si>
  <si>
    <t>skill_Act_Crew_Batt_014</t>
  </si>
  <si>
    <t>skill_Act_Crew_Batt_015</t>
  </si>
  <si>
    <t>skill_Pas_Def_Batt_005</t>
  </si>
  <si>
    <t>skill_Act_Crew_Batt_016</t>
  </si>
  <si>
    <t>skill_Act_Crew_Batt_017</t>
  </si>
  <si>
    <t>skill_Act_Crew_Batt_018</t>
  </si>
  <si>
    <t>skill_Pas_Def_Batt_006</t>
  </si>
  <si>
    <t>skill_Act_Crew_Prod_004</t>
  </si>
  <si>
    <t>skill_Act_Crew_Prod_005</t>
  </si>
  <si>
    <t>skill_Act_Crew_Prod_006</t>
  </si>
  <si>
    <t>skill_Pas_Crew_Prod_002</t>
  </si>
  <si>
    <t>skill_Act_Crew_Prod_007</t>
  </si>
  <si>
    <t>skill_Act_Crew_Prod_008</t>
  </si>
  <si>
    <t>skill_Act_Crew_Prod_009</t>
  </si>
  <si>
    <t>skill_Pas_Crew_Prod_003</t>
  </si>
  <si>
    <t>skill_Act_Crew_Batt_019</t>
  </si>
  <si>
    <t>skill_Act_Crew_Batt_020</t>
  </si>
  <si>
    <t>skill_Act_Crew_Batt_021</t>
  </si>
  <si>
    <t>skill_Pas_Def_Batt_007</t>
  </si>
  <si>
    <t>승무원 이름</t>
    <phoneticPr fontId="3" type="noConversion"/>
  </si>
  <si>
    <t>승무원 유형</t>
    <phoneticPr fontId="3" type="noConversion"/>
  </si>
  <si>
    <t>생산력</t>
    <phoneticPr fontId="3" type="noConversion"/>
  </si>
  <si>
    <t>Crew</t>
    <phoneticPr fontId="3" type="noConversion"/>
  </si>
  <si>
    <t>대지공격력</t>
    <phoneticPr fontId="3" type="noConversion"/>
  </si>
  <si>
    <t>대공공격력</t>
    <phoneticPr fontId="3" type="noConversion"/>
  </si>
  <si>
    <t>방어력</t>
    <phoneticPr fontId="3" type="noConversion"/>
  </si>
  <si>
    <t>공업력</t>
    <phoneticPr fontId="3" type="noConversion"/>
  </si>
  <si>
    <t>패시브스킬</t>
    <phoneticPr fontId="3" type="noConversion"/>
  </si>
  <si>
    <t>T1</t>
  </si>
  <si>
    <t>T1</t>
    <phoneticPr fontId="3" type="noConversion"/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</si>
  <si>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</si>
  <si>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</si>
  <si>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</si>
  <si>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</si>
  <si>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</si>
  <si>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</si>
  <si>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</si>
  <si>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</si>
  <si>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</si>
  <si>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St</t>
    <phoneticPr fontId="3" type="noConversion"/>
  </si>
  <si>
    <t>El</t>
    <phoneticPr fontId="3" type="noConversion"/>
  </si>
  <si>
    <t>Dz</t>
    <phoneticPr fontId="3" type="noConversion"/>
  </si>
  <si>
    <t>001</t>
    <phoneticPr fontId="3" type="noConversion"/>
  </si>
  <si>
    <t>002</t>
    <phoneticPr fontId="3" type="noConversion"/>
  </si>
  <si>
    <t>003</t>
    <phoneticPr fontId="3" type="noConversion"/>
  </si>
  <si>
    <t>004</t>
    <phoneticPr fontId="3" type="noConversion"/>
  </si>
  <si>
    <t>005</t>
    <phoneticPr fontId="3" type="noConversion"/>
  </si>
  <si>
    <t>006</t>
    <phoneticPr fontId="3" type="noConversion"/>
  </si>
  <si>
    <t>007</t>
    <phoneticPr fontId="3" type="noConversion"/>
  </si>
  <si>
    <t>008</t>
    <phoneticPr fontId="3" type="noConversion"/>
  </si>
  <si>
    <t>009</t>
    <phoneticPr fontId="3" type="noConversion"/>
  </si>
  <si>
    <t>010</t>
    <phoneticPr fontId="3" type="noConversion"/>
  </si>
  <si>
    <t>T2</t>
    <phoneticPr fontId="3" type="noConversion"/>
  </si>
  <si>
    <t>T3</t>
    <phoneticPr fontId="3" type="noConversion"/>
  </si>
  <si>
    <t>T6</t>
    <phoneticPr fontId="3" type="noConversion"/>
  </si>
  <si>
    <t>T4</t>
    <phoneticPr fontId="3" type="noConversion"/>
  </si>
  <si>
    <t>T5</t>
    <phoneticPr fontId="3" type="noConversion"/>
  </si>
  <si>
    <t>T7</t>
    <phoneticPr fontId="3" type="noConversion"/>
  </si>
  <si>
    <t>T8</t>
    <phoneticPr fontId="3" type="noConversion"/>
  </si>
  <si>
    <t>T9</t>
    <phoneticPr fontId="3" type="noConversion"/>
  </si>
  <si>
    <t>T10</t>
    <phoneticPr fontId="3" type="noConversion"/>
  </si>
  <si>
    <t>Ti</t>
    <phoneticPr fontId="3" type="noConversion"/>
  </si>
  <si>
    <t>Wo</t>
    <phoneticPr fontId="3" type="noConversion"/>
  </si>
  <si>
    <t>No</t>
    <phoneticPr fontId="3" type="noConversion"/>
  </si>
  <si>
    <t>Hi</t>
    <phoneticPr fontId="3" type="noConversion"/>
  </si>
  <si>
    <t>Li</t>
    <phoneticPr fontId="3" type="noConversion"/>
  </si>
  <si>
    <t>Sm</t>
    <phoneticPr fontId="3" type="noConversion"/>
  </si>
  <si>
    <t>Bi</t>
    <phoneticPr fontId="3" type="noConversion"/>
  </si>
  <si>
    <t>Mac</t>
    <phoneticPr fontId="3" type="noConversion"/>
  </si>
  <si>
    <t>Hyd</t>
    <phoneticPr fontId="3" type="noConversion"/>
  </si>
  <si>
    <t>Elc</t>
    <phoneticPr fontId="3" type="noConversion"/>
  </si>
  <si>
    <t>ammo</t>
  </si>
  <si>
    <t>shell</t>
  </si>
  <si>
    <t>Prod_Food_</t>
  </si>
  <si>
    <t>Indu_Ammo_</t>
  </si>
  <si>
    <t>Indu_Shell_</t>
  </si>
  <si>
    <t>Indu_Missile_</t>
  </si>
  <si>
    <t>Indu_Siecleium_</t>
  </si>
  <si>
    <t>Trans_Inven_</t>
  </si>
  <si>
    <t>Trans_Pass_</t>
  </si>
  <si>
    <t>parlorId</t>
    <phoneticPr fontId="3" type="noConversion"/>
  </si>
  <si>
    <r>
      <rPr>
        <sz val="10"/>
        <color rgb="FF000000"/>
        <rFont val="Arial"/>
        <family val="3"/>
        <charset val="129"/>
        <scheme val="minor"/>
      </rPr>
      <t>●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되어있는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인게임에서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테이블에서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수치조정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색인을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넣은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데이터이다</t>
    </r>
    <r>
      <rPr>
        <sz val="10"/>
        <color rgb="FF000000"/>
        <rFont val="Arial"/>
        <family val="2"/>
        <scheme val="minor"/>
      </rPr>
      <t xml:space="preserve">.
</t>
    </r>
    <r>
      <rPr>
        <sz val="10"/>
        <color rgb="FF000000"/>
        <rFont val="Arial"/>
        <family val="3"/>
        <charset val="129"/>
        <scheme val="minor"/>
      </rPr>
      <t>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</t>
    </r>
    <r>
      <rPr>
        <sz val="10"/>
        <color rgb="FF000000"/>
        <rFont val="Arial"/>
        <family val="3"/>
        <charset val="129"/>
        <scheme val="minor"/>
      </rPr>
      <t>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조정의도가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유지한다</t>
    </r>
    <r>
      <rPr>
        <sz val="10"/>
        <color rgb="FF000000"/>
        <rFont val="Arial"/>
        <family val="2"/>
        <scheme val="minor"/>
      </rPr>
      <t xml:space="preserve">.
</t>
    </r>
    <r>
      <rPr>
        <sz val="10"/>
        <color rgb="FF000000"/>
        <rFont val="Arial"/>
        <family val="3"/>
        <charset val="129"/>
        <scheme val="minor"/>
      </rPr>
      <t>●</t>
    </r>
    <r>
      <rPr>
        <sz val="10"/>
        <color rgb="FF000000"/>
        <rFont val="Arial"/>
        <family val="2"/>
        <scheme val="minor"/>
      </rPr>
      <t xml:space="preserve"> ID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locomotive_</t>
    </r>
    <r>
      <rPr>
        <sz val="10"/>
        <color rgb="FF000000"/>
        <rFont val="Arial"/>
        <family val="3"/>
        <charset val="129"/>
        <scheme val="minor"/>
      </rPr>
      <t>기관차종류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등급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번호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구성된다</t>
    </r>
    <r>
      <rPr>
        <sz val="10"/>
        <color rgb="FF000000"/>
        <rFont val="Arial"/>
        <family val="2"/>
        <scheme val="minor"/>
      </rPr>
      <t xml:space="preserve">.
</t>
    </r>
    <r>
      <rPr>
        <sz val="10"/>
        <color rgb="FF000000"/>
        <rFont val="Arial"/>
        <family val="3"/>
        <charset val="129"/>
        <scheme val="minor"/>
      </rPr>
      <t>●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3"/>
        <charset val="129"/>
        <scheme val="minor"/>
      </rPr>
      <t>이름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가격은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3"/>
        <charset val="129"/>
        <scheme val="minor"/>
      </rPr>
      <t>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노란색으로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칠해진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내부색인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칼럼에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입력하면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생성된다</t>
    </r>
    <r>
      <rPr>
        <sz val="10"/>
        <color rgb="FF000000"/>
        <rFont val="Arial"/>
        <family val="2"/>
        <scheme val="minor"/>
      </rPr>
      <t xml:space="preserve">.
</t>
    </r>
    <r>
      <rPr>
        <sz val="10"/>
        <color rgb="FF000000"/>
        <rFont val="Arial"/>
        <family val="3"/>
        <charset val="129"/>
        <scheme val="minor"/>
      </rPr>
      <t>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배정되는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값은</t>
    </r>
    <r>
      <rPr>
        <sz val="10"/>
        <color rgb="FF000000"/>
        <rFont val="Arial"/>
        <family val="2"/>
        <scheme val="minor"/>
      </rPr>
      <t xml:space="preserve"> Factor </t>
    </r>
    <r>
      <rPr>
        <sz val="10"/>
        <color rgb="FF000000"/>
        <rFont val="Arial"/>
        <family val="3"/>
        <charset val="129"/>
        <scheme val="minor"/>
      </rPr>
      <t>시트를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참고한다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</si>
  <si>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t xml:space="preserve">● </t>
    </r>
    <r>
      <rPr>
        <sz val="10"/>
        <color rgb="FF000000"/>
        <rFont val="Arial"/>
        <family val="2"/>
        <charset val="129"/>
        <scheme val="minor"/>
      </rPr>
      <t>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시트에서는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시트의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특정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맞춰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일괄적으로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능력치는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종류를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기준으로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적용된다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가격을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기준으로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보정치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배율이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적용된다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객실파츠의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추가적으로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생산하는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물건에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따른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보정이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적용된다</t>
    </r>
    <r>
      <rPr>
        <sz val="10"/>
        <color rgb="FF000000"/>
        <rFont val="Arial"/>
        <family val="2"/>
        <scheme val="minor"/>
      </rPr>
      <t>.
● ID</t>
    </r>
    <r>
      <rPr>
        <sz val="10"/>
        <color rgb="FF000000"/>
        <rFont val="Arial"/>
        <family val="2"/>
        <charset val="129"/>
        <scheme val="minor"/>
      </rPr>
      <t>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2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팩터의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구성요소를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조합해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자동으로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생성을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진행한다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</si>
  <si>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t>● 3</t>
    </r>
    <r>
      <rPr>
        <sz val="10"/>
        <color rgb="FF000000"/>
        <rFont val="Arial"/>
        <family val="3"/>
        <charset val="129"/>
        <scheme val="minor"/>
      </rPr>
      <t>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되어있는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인게임에서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테이블에서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수치조정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색인을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넣은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데이터이다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3"/>
        <charset val="129"/>
        <scheme val="minor"/>
      </rPr>
      <t>보정치의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3"/>
        <charset val="129"/>
        <scheme val="minor"/>
      </rPr>
      <t>보정값의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조정의도가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유지한다</t>
    </r>
    <r>
      <rPr>
        <sz val="10"/>
        <color rgb="FF000000"/>
        <rFont val="Arial"/>
        <family val="2"/>
        <scheme val="minor"/>
      </rPr>
      <t>.
● ID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couch_</t>
    </r>
    <r>
      <rPr>
        <sz val="10"/>
        <color rgb="FF000000"/>
        <rFont val="Arial"/>
        <family val="3"/>
        <charset val="129"/>
        <scheme val="minor"/>
      </rPr>
      <t>객실종류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등급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번호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구성된다</t>
    </r>
    <r>
      <rPr>
        <sz val="10"/>
        <color rgb="FF000000"/>
        <rFont val="Arial"/>
        <family val="2"/>
        <scheme val="minor"/>
      </rPr>
      <t xml:space="preserve">.
● ID </t>
    </r>
    <r>
      <rPr>
        <sz val="10"/>
        <color rgb="FF000000"/>
        <rFont val="Arial"/>
        <family val="2"/>
        <charset val="129"/>
        <scheme val="minor"/>
      </rPr>
      <t>이름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가격은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2"/>
        <charset val="129"/>
        <scheme val="minor"/>
      </rPr>
      <t>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노란색으로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칠해진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내부색인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칼럼에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입력하면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생성된다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배정되는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값은</t>
    </r>
    <r>
      <rPr>
        <sz val="10"/>
        <color rgb="FF000000"/>
        <rFont val="Arial"/>
        <family val="2"/>
        <scheme val="minor"/>
      </rPr>
      <t xml:space="preserve"> Factor </t>
    </r>
    <r>
      <rPr>
        <sz val="10"/>
        <color rgb="FF000000"/>
        <rFont val="Arial"/>
        <family val="2"/>
        <charset val="129"/>
        <scheme val="minor"/>
      </rPr>
      <t>시트를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참고한다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</si>
  <si>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생산할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대상의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종류를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적는다</t>
    </r>
    <r>
      <rPr>
        <sz val="10"/>
        <color theme="1"/>
        <rFont val="Arial"/>
        <family val="2"/>
        <scheme val="minor"/>
      </rPr>
      <t>. ["food", "siecleium", "ammo", "shell", "missile"] 5</t>
    </r>
    <r>
      <rPr>
        <sz val="10"/>
        <color theme="1"/>
        <rFont val="Arial"/>
        <family val="3"/>
        <charset val="129"/>
        <scheme val="minor"/>
      </rPr>
      <t>종류가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있으며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추후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추가될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있다</t>
    </r>
    <r>
      <rPr>
        <sz val="10"/>
        <color theme="1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</si>
  <si>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</t>
    </r>
    <r>
      <rPr>
        <sz val="10"/>
        <color rgb="FF000000"/>
        <rFont val="Arial"/>
        <family val="2"/>
        <scheme val="minor"/>
      </rPr>
      <t xml:space="preserve"> ID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</si>
  <si>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</si>
  <si>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유형데이터다</t>
    </r>
    <r>
      <rPr>
        <sz val="10"/>
        <color rgb="FF000000"/>
        <rFont val="Arial"/>
        <family val="2"/>
        <scheme val="minor"/>
      </rPr>
      <t>. UI</t>
    </r>
    <r>
      <rPr>
        <sz val="10"/>
        <color rgb="FF000000"/>
        <rFont val="Arial"/>
        <family val="3"/>
        <charset val="129"/>
        <scheme val="minor"/>
      </rPr>
      <t>표시를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</si>
  <si>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대지공격력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수치이다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지상속성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포탑의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공격력을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강화한다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</si>
  <si>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대공공격력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수치이다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대공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속성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포탑의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공격력을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강화한다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</si>
  <si>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방어력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수치이다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장착한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방어력을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증가시킨다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</si>
  <si>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t xml:space="preserve">기본 </t>
    </r>
    <r>
      <rPr>
        <sz val="10"/>
        <color rgb="FF000000"/>
        <rFont val="Arial"/>
        <family val="3"/>
        <charset val="129"/>
        <scheme val="minor"/>
      </rPr>
      <t>사기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</si>
  <si>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수치이다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수치가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낮아지면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능력치가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전체적으로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하락한다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</si>
  <si>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생산력이다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장착한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생산력을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증가시킨다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</si>
  <si>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공업력이다</t>
    </r>
    <r>
      <rPr>
        <sz val="10"/>
        <color rgb="FF000000"/>
        <rFont val="Arial"/>
        <family val="2"/>
        <scheme val="minor"/>
      </rPr>
      <t xml:space="preserve">. </t>
    </r>
    <r>
      <rPr>
        <sz val="10"/>
        <color rgb="FF000000"/>
        <rFont val="Arial"/>
        <family val="3"/>
        <charset val="129"/>
        <scheme val="minor"/>
      </rPr>
      <t>장착한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공업력을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증가시킨다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</si>
  <si>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t>액티브1</t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</si>
  <si>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액티브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스킬</t>
    </r>
    <r>
      <rPr>
        <sz val="10"/>
        <color rgb="FF000000"/>
        <rFont val="Arial"/>
        <family val="2"/>
        <scheme val="minor"/>
      </rPr>
      <t>1</t>
    </r>
    <r>
      <rPr>
        <sz val="10"/>
        <color rgb="FF000000"/>
        <rFont val="Arial"/>
        <family val="3"/>
        <charset val="129"/>
        <scheme val="minor"/>
      </rPr>
      <t>의</t>
    </r>
    <r>
      <rPr>
        <sz val="10"/>
        <color rgb="FF000000"/>
        <rFont val="Arial"/>
        <family val="2"/>
        <scheme val="minor"/>
      </rPr>
      <t xml:space="preserve"> ID</t>
    </r>
    <r>
      <rPr>
        <sz val="10"/>
        <color rgb="FF000000"/>
        <rFont val="Arial"/>
        <family val="3"/>
        <charset val="129"/>
        <scheme val="minor"/>
      </rPr>
      <t>이다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</si>
  <si>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t>액티브2</t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</si>
  <si>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액티브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스킬</t>
    </r>
    <r>
      <rPr>
        <sz val="10"/>
        <color rgb="FF000000"/>
        <rFont val="Arial"/>
        <family val="2"/>
        <scheme val="minor"/>
      </rPr>
      <t>2</t>
    </r>
    <r>
      <rPr>
        <sz val="10"/>
        <color rgb="FF000000"/>
        <rFont val="Arial"/>
        <family val="3"/>
        <charset val="129"/>
        <scheme val="minor"/>
      </rPr>
      <t>의</t>
    </r>
    <r>
      <rPr>
        <sz val="10"/>
        <color rgb="FF000000"/>
        <rFont val="Arial"/>
        <family val="2"/>
        <scheme val="minor"/>
      </rPr>
      <t xml:space="preserve"> ID</t>
    </r>
    <r>
      <rPr>
        <sz val="10"/>
        <color rgb="FF000000"/>
        <rFont val="Arial"/>
        <family val="3"/>
        <charset val="129"/>
        <scheme val="minor"/>
      </rPr>
      <t>이다</t>
    </r>
    <r>
      <rPr>
        <sz val="10"/>
        <color rgb="FF000000"/>
        <rFont val="Arial"/>
        <family val="2"/>
        <scheme val="minor"/>
      </rPr>
      <t>.</t>
    </r>
  </si>
  <si>
    <t>액티브3</t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</si>
  <si>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액티브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스킬</t>
    </r>
    <r>
      <rPr>
        <sz val="10"/>
        <color rgb="FF000000"/>
        <rFont val="Arial"/>
        <family val="2"/>
        <scheme val="minor"/>
      </rPr>
      <t>3</t>
    </r>
    <r>
      <rPr>
        <sz val="10"/>
        <color rgb="FF000000"/>
        <rFont val="Arial"/>
        <family val="3"/>
        <charset val="129"/>
        <scheme val="minor"/>
      </rPr>
      <t>의</t>
    </r>
    <r>
      <rPr>
        <sz val="10"/>
        <color rgb="FF000000"/>
        <rFont val="Arial"/>
        <family val="2"/>
        <scheme val="minor"/>
      </rPr>
      <t xml:space="preserve"> ID</t>
    </r>
    <r>
      <rPr>
        <sz val="10"/>
        <color rgb="FF000000"/>
        <rFont val="Arial"/>
        <family val="3"/>
        <charset val="129"/>
        <scheme val="minor"/>
      </rPr>
      <t>이다</t>
    </r>
    <r>
      <rPr>
        <sz val="10"/>
        <color rgb="FF000000"/>
        <rFont val="Arial"/>
        <family val="2"/>
        <scheme val="minor"/>
      </rPr>
      <t>.</t>
    </r>
  </si>
  <si>
    <r>
      <rPr>
        <sz val="10"/>
        <color rgb="FF000000"/>
        <rFont val="Arial"/>
        <family val="3"/>
        <charset val="129"/>
        <scheme val="minor"/>
      </rPr>
      <t>승무원의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패시브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스킬</t>
    </r>
    <r>
      <rPr>
        <sz val="10"/>
        <color rgb="FF000000"/>
        <rFont val="Arial"/>
        <family val="2"/>
        <scheme val="minor"/>
      </rPr>
      <t xml:space="preserve"> ID</t>
    </r>
    <r>
      <rPr>
        <sz val="10"/>
        <color rgb="FF000000"/>
        <rFont val="Arial"/>
        <family val="3"/>
        <charset val="129"/>
        <scheme val="minor"/>
      </rPr>
      <t>이다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</si>
  <si>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능력치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</si>
  <si>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기본능력치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</si>
  <si>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엔진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기본능력치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</si>
  <si>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제네레이터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기본능력치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</si>
  <si>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제동장치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</si>
  <si>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객실파트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</si>
  <si>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공업물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Arial"/>
        <family val="3"/>
        <charset val="129"/>
        <scheme val="minor"/>
      </rPr>
      <t>생산물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</si>
  <si>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</si>
  <si>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3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</si>
  <si>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3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</si>
  <si>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엔진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3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</si>
  <si>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제네레이터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3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</si>
  <si>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제동장치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3"/>
        <charset val="129"/>
        <scheme val="minor"/>
      </rPr>
      <t>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</si>
  <si>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ID </t>
    </r>
    <r>
      <rPr>
        <sz val="10"/>
        <color rgb="FF000000"/>
        <rFont val="Arial"/>
        <family val="3"/>
        <charset val="129"/>
        <scheme val="minor"/>
      </rPr>
      <t>및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자동생성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팩터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</si>
  <si>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구분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</si>
  <si>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종류구분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</si>
  <si>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대지공격력</t>
    </r>
  </si>
  <si>
    <r>
      <rPr>
        <sz val="10"/>
        <color rgb="FF000000"/>
        <rFont val="Arial"/>
        <family val="3"/>
        <charset val="129"/>
        <scheme val="minor"/>
      </rPr>
      <t>대공공격력</t>
    </r>
  </si>
  <si>
    <r>
      <rPr>
        <sz val="10"/>
        <color rgb="FF000000"/>
        <rFont val="Arial"/>
        <family val="3"/>
        <charset val="129"/>
        <scheme val="minor"/>
      </rPr>
      <t>방어력</t>
    </r>
  </si>
  <si>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사기</t>
    </r>
  </si>
  <si>
    <r>
      <rPr>
        <sz val="10"/>
        <color rgb="FF000000"/>
        <rFont val="Arial"/>
        <family val="3"/>
        <charset val="129"/>
        <scheme val="minor"/>
      </rPr>
      <t>생산력</t>
    </r>
  </si>
  <si>
    <r>
      <rPr>
        <sz val="10"/>
        <color rgb="FF000000"/>
        <rFont val="Arial"/>
        <family val="3"/>
        <charset val="129"/>
        <scheme val="minor"/>
      </rPr>
      <t>공업력</t>
    </r>
  </si>
  <si>
    <r>
      <rPr>
        <sz val="10"/>
        <color rgb="FF000000"/>
        <rFont val="Arial"/>
        <family val="3"/>
        <charset val="129"/>
        <scheme val="minor"/>
      </rPr>
      <t>단어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</si>
  <si>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번호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</si>
  <si>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구분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</si>
  <si>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생산물품</t>
    </r>
    <phoneticPr fontId="3" type="noConversion"/>
  </si>
  <si>
    <r>
      <t>ID</t>
    </r>
    <r>
      <rPr>
        <sz val="10"/>
        <color rgb="FF000000"/>
        <rFont val="Arial"/>
        <family val="3"/>
        <charset val="129"/>
        <scheme val="minor"/>
      </rPr>
      <t>중간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형식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</si>
  <si>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</si>
  <si>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생산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</si>
  <si>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생산형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</si>
  <si>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증기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</si>
  <si>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표준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</si>
  <si>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나무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</si>
  <si>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소형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</si>
  <si>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기계식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</si>
  <si>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스마트팜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</si>
  <si>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</si>
  <si>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인원수송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</si>
  <si>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방어형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</si>
  <si>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전기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</si>
  <si>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쾌속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</si>
  <si>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강철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</si>
  <si>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고성능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</si>
  <si>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유압식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</si>
  <si>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탄약공장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</si>
  <si>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공업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</si>
  <si>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</si>
  <si>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물자수송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</si>
  <si>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전투형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</si>
  <si>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디젤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</si>
  <si>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중갑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</si>
  <si>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티타늄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</si>
  <si>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경량형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</si>
  <si>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대형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</si>
  <si>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전자식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</si>
  <si>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포탄공장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</si>
  <si>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쾌속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</si>
  <si>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화물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</si>
  <si>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미사일공장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</si>
  <si>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쾌속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</si>
  <si>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군용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</si>
  <si>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서클리움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정제소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</si>
  <si>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쾌속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</si>
  <si>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여객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</si>
  <si>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수송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</si>
  <si>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중갑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</si>
  <si>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시운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</si>
  <si>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인원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수송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</si>
  <si>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중갑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</si>
  <si>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경량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</si>
  <si>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중갑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</si>
  <si>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견인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</si>
  <si>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</si>
  <si>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</si>
  <si>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</si>
  <si>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군용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</si>
  <si>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군용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</si>
  <si>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군용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</si>
  <si>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여객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</si>
  <si>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여객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</si>
  <si>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여객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</si>
  <si>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시운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</si>
  <si>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시운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</si>
  <si>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시운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</si>
  <si>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경량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</si>
  <si>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경량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</si>
  <si>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경량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</si>
  <si>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견인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증기</t>
    </r>
  </si>
  <si>
    <r>
      <rPr>
        <sz val="10"/>
        <color rgb="FF000000"/>
        <rFont val="Arial"/>
        <family val="3"/>
        <charset val="129"/>
        <scheme val="minor"/>
      </rPr>
      <t>견인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전기</t>
    </r>
  </si>
  <si>
    <r>
      <rPr>
        <sz val="10"/>
        <color rgb="FF000000"/>
        <rFont val="Arial"/>
        <family val="3"/>
        <charset val="129"/>
        <scheme val="minor"/>
      </rPr>
      <t>견인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디젤</t>
    </r>
  </si>
  <si>
    <r>
      <rPr>
        <sz val="10"/>
        <color rgb="FF000000"/>
        <rFont val="Arial"/>
        <family val="3"/>
        <charset val="129"/>
        <scheme val="minor"/>
      </rPr>
      <t>등급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색인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</si>
  <si>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</si>
  <si>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</si>
  <si>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엔진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</si>
  <si>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제네레이터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</si>
  <si>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제동장치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</si>
  <si>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객실파트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</si>
  <si>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등급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</si>
  <si>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ID</t>
    </r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</si>
  <si>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이름</t>
    </r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</si>
  <si>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</si>
  <si>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등급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</si>
  <si>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2"/>
        <charset val="129"/>
        <scheme val="minor"/>
      </rPr>
      <t>특징</t>
    </r>
    <r>
      <rPr>
        <sz val="10"/>
        <color rgb="FF000000"/>
        <rFont val="Arial"/>
        <family val="3"/>
        <charset val="129"/>
        <scheme val="minor"/>
      </rPr>
      <t>구분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</si>
  <si>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동력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구분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</si>
  <si>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합본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</si>
  <si>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최대속력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</si>
  <si>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최대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출력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</si>
  <si>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최대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연결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</si>
  <si>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가속력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</si>
  <si>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제동력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</si>
  <si>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</si>
  <si>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내구력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</si>
  <si>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방어력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</si>
  <si>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자기장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방어막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</si>
  <si>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인벤토리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</si>
  <si>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탑승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</si>
  <si>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기관차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</si>
  <si>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최대속력</t>
    </r>
  </si>
  <si>
    <r>
      <rPr>
        <sz val="10"/>
        <color rgb="FF000000"/>
        <rFont val="Arial"/>
        <family val="3"/>
        <charset val="129"/>
        <scheme val="minor"/>
      </rPr>
      <t>최대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출력</t>
    </r>
  </si>
  <si>
    <r>
      <rPr>
        <sz val="10"/>
        <color rgb="FF000000"/>
        <rFont val="Arial"/>
        <family val="3"/>
        <charset val="129"/>
        <scheme val="minor"/>
      </rPr>
      <t>최대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연결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</si>
  <si>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가속력</t>
    </r>
  </si>
  <si>
    <r>
      <rPr>
        <sz val="10"/>
        <color rgb="FF000000"/>
        <rFont val="Arial"/>
        <family val="3"/>
        <charset val="129"/>
        <scheme val="minor"/>
      </rPr>
      <t>제동력</t>
    </r>
  </si>
  <si>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허용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중량</t>
    </r>
  </si>
  <si>
    <r>
      <rPr>
        <sz val="10"/>
        <color rgb="FF000000"/>
        <rFont val="Arial"/>
        <family val="3"/>
        <charset val="129"/>
        <scheme val="minor"/>
      </rPr>
      <t>내구력</t>
    </r>
  </si>
  <si>
    <r>
      <rPr>
        <sz val="10"/>
        <color rgb="FF000000"/>
        <rFont val="Arial"/>
        <family val="3"/>
        <charset val="129"/>
        <scheme val="minor"/>
      </rPr>
      <t>자기장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방어막</t>
    </r>
  </si>
  <si>
    <r>
      <rPr>
        <sz val="10"/>
        <color rgb="FF000000"/>
        <rFont val="Arial"/>
        <family val="3"/>
        <charset val="129"/>
        <scheme val="minor"/>
      </rPr>
      <t>인벤토리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추가량</t>
    </r>
  </si>
  <si>
    <r>
      <rPr>
        <sz val="10"/>
        <color rgb="FF000000"/>
        <rFont val="Arial"/>
        <family val="3"/>
        <charset val="129"/>
        <scheme val="minor"/>
      </rPr>
      <t>탑승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추가량</t>
    </r>
  </si>
  <si>
    <r>
      <rPr>
        <sz val="10"/>
        <color theme="1"/>
        <rFont val="Arial"/>
        <family val="2"/>
        <charset val="129"/>
        <scheme val="minor"/>
      </rPr>
      <t>내부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색인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</si>
  <si>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보정치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</si>
  <si>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표준</t>
    </r>
  </si>
  <si>
    <r>
      <rPr>
        <sz val="10"/>
        <color theme="1"/>
        <rFont val="Arial"/>
        <family val="2"/>
        <charset val="129"/>
        <scheme val="minor"/>
      </rPr>
      <t>증기</t>
    </r>
  </si>
  <si>
    <r>
      <rPr>
        <sz val="10"/>
        <color theme="1"/>
        <rFont val="Arial"/>
        <family val="3"/>
        <charset val="129"/>
        <scheme val="minor"/>
      </rPr>
      <t>표준</t>
    </r>
  </si>
  <si>
    <r>
      <rPr>
        <sz val="10"/>
        <color theme="1"/>
        <rFont val="Arial"/>
        <family val="3"/>
        <charset val="129"/>
        <scheme val="minor"/>
      </rPr>
      <t>전기</t>
    </r>
  </si>
  <si>
    <r>
      <rPr>
        <sz val="10"/>
        <color theme="1"/>
        <rFont val="Arial"/>
        <family val="3"/>
        <charset val="129"/>
        <scheme val="minor"/>
      </rPr>
      <t>디젤</t>
    </r>
  </si>
  <si>
    <r>
      <rPr>
        <sz val="10"/>
        <color theme="1"/>
        <rFont val="Arial"/>
        <family val="3"/>
        <charset val="129"/>
        <scheme val="minor"/>
      </rPr>
      <t>쾌속</t>
    </r>
  </si>
  <si>
    <r>
      <rPr>
        <sz val="10"/>
        <color theme="1"/>
        <rFont val="Arial"/>
        <family val="3"/>
        <charset val="129"/>
        <scheme val="minor"/>
      </rPr>
      <t>증기</t>
    </r>
  </si>
  <si>
    <r>
      <rPr>
        <sz val="10"/>
        <color theme="1"/>
        <rFont val="Arial"/>
        <family val="3"/>
        <charset val="129"/>
        <scheme val="minor"/>
      </rPr>
      <t>중갑</t>
    </r>
  </si>
  <si>
    <r>
      <rPr>
        <sz val="10"/>
        <color theme="1"/>
        <rFont val="Arial"/>
        <family val="3"/>
        <charset val="129"/>
        <scheme val="minor"/>
      </rPr>
      <t>화물</t>
    </r>
  </si>
  <si>
    <r>
      <rPr>
        <sz val="10"/>
        <color theme="1"/>
        <rFont val="Arial"/>
        <family val="3"/>
        <charset val="129"/>
        <scheme val="minor"/>
      </rPr>
      <t>군용</t>
    </r>
  </si>
  <si>
    <r>
      <rPr>
        <sz val="10"/>
        <color theme="1"/>
        <rFont val="Arial"/>
        <family val="3"/>
        <charset val="129"/>
        <scheme val="minor"/>
      </rPr>
      <t>여객</t>
    </r>
  </si>
  <si>
    <r>
      <rPr>
        <sz val="10"/>
        <color theme="1"/>
        <rFont val="Arial"/>
        <family val="3"/>
        <charset val="129"/>
        <scheme val="minor"/>
      </rPr>
      <t>시운</t>
    </r>
  </si>
  <si>
    <r>
      <rPr>
        <sz val="10"/>
        <color theme="1"/>
        <rFont val="Arial"/>
        <family val="3"/>
        <charset val="129"/>
        <scheme val="minor"/>
      </rPr>
      <t>경량</t>
    </r>
  </si>
  <si>
    <r>
      <rPr>
        <sz val="10"/>
        <color theme="1"/>
        <rFont val="Arial"/>
        <family val="3"/>
        <charset val="129"/>
        <scheme val="minor"/>
      </rPr>
      <t>견인</t>
    </r>
  </si>
  <si>
    <r>
      <rPr>
        <sz val="10"/>
        <color rgb="FF000000"/>
        <rFont val="Arial"/>
        <family val="3"/>
        <charset val="129"/>
        <scheme val="minor"/>
      </rPr>
      <t>편성칸</t>
    </r>
    <r>
      <rPr>
        <sz val="10"/>
        <color rgb="FF000000"/>
        <rFont val="Arial"/>
        <family val="2"/>
        <scheme val="minor"/>
      </rPr>
      <t xml:space="preserve"> ID</t>
    </r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</si>
  <si>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이름</t>
    </r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</si>
  <si>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</si>
  <si>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특징구분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</si>
  <si>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편성칸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자재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구분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</si>
  <si>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</si>
  <si>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</si>
  <si>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</si>
  <si>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시너지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계수</t>
    </r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</si>
  <si>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무게</t>
    </r>
  </si>
  <si>
    <r>
      <rPr>
        <sz val="10"/>
        <color rgb="FF000000"/>
        <rFont val="Arial"/>
        <family val="3"/>
        <charset val="129"/>
        <scheme val="minor"/>
      </rPr>
      <t>편성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설명문구</t>
    </r>
  </si>
  <si>
    <r>
      <t>● 3</t>
    </r>
    <r>
      <rPr>
        <sz val="10"/>
        <color rgb="FF000000"/>
        <rFont val="Arial"/>
        <family val="2"/>
        <charset val="129"/>
        <scheme val="minor"/>
      </rPr>
      <t>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자료형이며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자료형이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한글로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되어있는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인게임에서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사용하지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테이블에서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수치조정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색인을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넣은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데이터이다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보정치의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상세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보정값의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조정의도가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2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유지한다</t>
    </r>
    <r>
      <rPr>
        <sz val="10"/>
        <color rgb="FF000000"/>
        <rFont val="Arial"/>
        <family val="2"/>
        <scheme val="minor"/>
      </rPr>
      <t>.
● ID</t>
    </r>
    <r>
      <rPr>
        <sz val="10"/>
        <color rgb="FF000000"/>
        <rFont val="Arial"/>
        <family val="2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engine_</t>
    </r>
    <r>
      <rPr>
        <sz val="10"/>
        <color rgb="FF000000"/>
        <rFont val="Arial"/>
        <family val="2"/>
        <charset val="129"/>
        <scheme val="minor"/>
      </rPr>
      <t>엔진종류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등급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번호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구성된다</t>
    </r>
    <r>
      <rPr>
        <sz val="10"/>
        <color rgb="FF000000"/>
        <rFont val="Arial"/>
        <family val="2"/>
        <scheme val="minor"/>
      </rPr>
      <t xml:space="preserve">.
● ID </t>
    </r>
    <r>
      <rPr>
        <sz val="10"/>
        <color rgb="FF000000"/>
        <rFont val="Arial"/>
        <family val="2"/>
        <charset val="129"/>
        <scheme val="minor"/>
      </rPr>
      <t>이름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가격은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2"/>
        <charset val="129"/>
        <scheme val="minor"/>
      </rPr>
      <t>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노란색으로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칠해진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내부색인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칼럼에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입력하면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생성된다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배정되는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값은</t>
    </r>
    <r>
      <rPr>
        <sz val="10"/>
        <color rgb="FF000000"/>
        <rFont val="Arial"/>
        <family val="2"/>
        <scheme val="minor"/>
      </rPr>
      <t xml:space="preserve"> Factor </t>
    </r>
    <r>
      <rPr>
        <sz val="10"/>
        <color rgb="FF000000"/>
        <rFont val="Arial"/>
        <family val="2"/>
        <charset val="129"/>
        <scheme val="minor"/>
      </rPr>
      <t>시트를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참고한다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</si>
  <si>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등급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</si>
  <si>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엔진종류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2"/>
        <charset val="129"/>
        <scheme val="minor"/>
      </rPr>
      <t>형식구분</t>
    </r>
    <r>
      <rPr>
        <sz val="10"/>
        <color theme="1"/>
        <rFont val="Arial"/>
        <family val="2"/>
        <scheme val="minor"/>
      </rPr>
      <t>)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</si>
  <si>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엔진종류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2"/>
        <charset val="129"/>
        <scheme val="minor"/>
      </rPr>
      <t>성능구분</t>
    </r>
    <r>
      <rPr>
        <sz val="10"/>
        <color theme="1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</si>
  <si>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엔진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2"/>
        <charset val="129"/>
        <scheme val="minor"/>
      </rPr>
      <t>합본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</si>
  <si>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최대출력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증가량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보정치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</si>
  <si>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엔진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보정치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</si>
  <si>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최대출력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증가량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</si>
  <si>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엔진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무게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</si>
  <si>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보정</t>
    </r>
    <r>
      <rPr>
        <sz val="10"/>
        <color theme="1"/>
        <rFont val="Arial"/>
        <family val="2"/>
        <charset val="129"/>
        <scheme val="minor"/>
      </rPr>
      <t>치</t>
    </r>
    <phoneticPr fontId="3" type="noConversion"/>
  </si>
  <si>
    <r>
      <t>● 3</t>
    </r>
    <r>
      <rPr>
        <sz val="10"/>
        <color rgb="FF000000"/>
        <rFont val="Arial"/>
        <family val="2"/>
        <charset val="129"/>
        <scheme val="minor"/>
      </rPr>
      <t>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자료형이며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자료형이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한글로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되어있는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인게임에서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사용하지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테이블에서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수치조정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색인을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넣은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데이터이다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보정치의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상세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보정값의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조정의도가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2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유지한다</t>
    </r>
    <r>
      <rPr>
        <sz val="10"/>
        <color rgb="FF000000"/>
        <rFont val="Arial"/>
        <family val="2"/>
        <scheme val="minor"/>
      </rPr>
      <t>.
● ID</t>
    </r>
    <r>
      <rPr>
        <sz val="10"/>
        <color rgb="FF000000"/>
        <rFont val="Arial"/>
        <family val="2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generator_</t>
    </r>
    <r>
      <rPr>
        <sz val="10"/>
        <color rgb="FF000000"/>
        <rFont val="Arial"/>
        <family val="2"/>
        <charset val="129"/>
        <scheme val="minor"/>
      </rPr>
      <t>제네레이터종류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등급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번호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구성된다</t>
    </r>
    <r>
      <rPr>
        <sz val="10"/>
        <color rgb="FF000000"/>
        <rFont val="Arial"/>
        <family val="2"/>
        <scheme val="minor"/>
      </rPr>
      <t xml:space="preserve">.
● ID </t>
    </r>
    <r>
      <rPr>
        <sz val="10"/>
        <color rgb="FF000000"/>
        <rFont val="Arial"/>
        <family val="2"/>
        <charset val="129"/>
        <scheme val="minor"/>
      </rPr>
      <t>이름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가격은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2"/>
        <charset val="129"/>
        <scheme val="minor"/>
      </rPr>
      <t>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노란색으로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칠해진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내부색인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칼럼에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입력하면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생성된다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배정되는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값은</t>
    </r>
    <r>
      <rPr>
        <sz val="10"/>
        <color rgb="FF000000"/>
        <rFont val="Arial"/>
        <family val="2"/>
        <scheme val="minor"/>
      </rPr>
      <t xml:space="preserve"> Factor </t>
    </r>
    <r>
      <rPr>
        <sz val="10"/>
        <color rgb="FF000000"/>
        <rFont val="Arial"/>
        <family val="2"/>
        <charset val="129"/>
        <scheme val="minor"/>
      </rPr>
      <t>시트를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참고한다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</si>
  <si>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제네레이터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종류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2"/>
        <charset val="129"/>
        <scheme val="minor"/>
      </rPr>
      <t>형식구분</t>
    </r>
    <r>
      <rPr>
        <sz val="10"/>
        <color theme="1"/>
        <rFont val="Arial"/>
        <family val="2"/>
        <scheme val="minor"/>
      </rPr>
      <t>)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</si>
  <si>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제네레이터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종류</t>
    </r>
    <r>
      <rPr>
        <sz val="10"/>
        <color theme="1"/>
        <rFont val="Arial"/>
        <family val="2"/>
        <scheme val="minor"/>
      </rPr>
      <t>(</t>
    </r>
    <r>
      <rPr>
        <sz val="10"/>
        <color theme="1"/>
        <rFont val="Arial"/>
        <family val="2"/>
        <charset val="129"/>
        <scheme val="minor"/>
      </rPr>
      <t>성능구분</t>
    </r>
    <r>
      <rPr>
        <sz val="10"/>
        <color theme="1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</si>
  <si>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2"/>
        <charset val="129"/>
        <scheme val="minor"/>
      </rPr>
      <t>제네레이터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종류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</si>
  <si>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자기장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방벽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증가량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보정치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</si>
  <si>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제네레이터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보정치</t>
    </r>
    <phoneticPr fontId="3" type="noConversion"/>
  </si>
  <si>
    <r>
      <t>● 3</t>
    </r>
    <r>
      <rPr>
        <sz val="10"/>
        <color rgb="FF000000"/>
        <rFont val="Arial"/>
        <family val="2"/>
        <charset val="129"/>
        <scheme val="minor"/>
      </rPr>
      <t>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자료형이며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자료형이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한글로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되어있는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인게임에서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사용하지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테이블에서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수치조정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색인을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넣은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데이터이다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보정치의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상세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보정값의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수치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조정의도가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2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유지한다</t>
    </r>
    <r>
      <rPr>
        <sz val="10"/>
        <color rgb="FF000000"/>
        <rFont val="Arial"/>
        <family val="2"/>
        <scheme val="minor"/>
      </rPr>
      <t>.
● ID</t>
    </r>
    <r>
      <rPr>
        <sz val="10"/>
        <color rgb="FF000000"/>
        <rFont val="Arial"/>
        <family val="2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break_</t>
    </r>
    <r>
      <rPr>
        <sz val="10"/>
        <color rgb="FF000000"/>
        <rFont val="Arial"/>
        <family val="2"/>
        <charset val="129"/>
        <scheme val="minor"/>
      </rPr>
      <t>제동장치종류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등급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2"/>
        <charset val="129"/>
        <scheme val="minor"/>
      </rPr>
      <t>번호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구성된다</t>
    </r>
    <r>
      <rPr>
        <sz val="10"/>
        <color rgb="FF000000"/>
        <rFont val="Arial"/>
        <family val="2"/>
        <scheme val="minor"/>
      </rPr>
      <t xml:space="preserve">.
● ID </t>
    </r>
    <r>
      <rPr>
        <sz val="10"/>
        <color rgb="FF000000"/>
        <rFont val="Arial"/>
        <family val="2"/>
        <charset val="129"/>
        <scheme val="minor"/>
      </rPr>
      <t>이름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가격은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2"/>
        <charset val="129"/>
        <scheme val="minor"/>
      </rPr>
      <t>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노란색으로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칠해진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내부색인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칼럼에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입력하면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생성된다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배정되는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값은</t>
    </r>
    <r>
      <rPr>
        <sz val="10"/>
        <color rgb="FF000000"/>
        <rFont val="Arial"/>
        <family val="2"/>
        <scheme val="minor"/>
      </rPr>
      <t xml:space="preserve"> Factor </t>
    </r>
    <r>
      <rPr>
        <sz val="10"/>
        <color rgb="FF000000"/>
        <rFont val="Arial"/>
        <family val="2"/>
        <charset val="129"/>
        <scheme val="minor"/>
      </rPr>
      <t>시트를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참고한다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</si>
  <si>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등급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</si>
  <si>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제동장치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종류</t>
    </r>
  </si>
  <si>
    <r>
      <rPr>
        <sz val="10"/>
        <color rgb="FF000000"/>
        <rFont val="Arial"/>
        <family val="2"/>
        <charset val="129"/>
        <scheme val="minor"/>
      </rPr>
      <t>제동장치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종류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</si>
  <si>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제동력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증가량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보정치</t>
    </r>
    <phoneticPr fontId="3" type="noConversion"/>
  </si>
  <si>
    <r>
      <rPr>
        <sz val="10"/>
        <color theme="1"/>
        <rFont val="Arial"/>
        <family val="3"/>
        <charset val="129"/>
        <scheme val="minor"/>
      </rPr>
      <t>제동장치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무게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2"/>
        <charset val="129"/>
        <scheme val="minor"/>
      </rPr>
      <t>보정치</t>
    </r>
    <phoneticPr fontId="3" type="noConversion"/>
  </si>
  <si>
    <r>
      <t>● 3</t>
    </r>
    <r>
      <rPr>
        <sz val="10"/>
        <color rgb="FF000000"/>
        <rFont val="Arial"/>
        <family val="3"/>
        <charset val="129"/>
        <scheme val="minor"/>
      </rPr>
      <t>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되어있는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인게임에서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테이블에서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수치조정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색인을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넣은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데이터이다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3"/>
        <charset val="129"/>
        <scheme val="minor"/>
      </rPr>
      <t>보정치의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3"/>
        <charset val="129"/>
        <scheme val="minor"/>
      </rPr>
      <t>보정값의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조정의도가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유지한다</t>
    </r>
    <r>
      <rPr>
        <sz val="10"/>
        <color rgb="FF000000"/>
        <rFont val="Arial"/>
        <family val="2"/>
        <scheme val="minor"/>
      </rPr>
      <t>.
● ID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parlor_</t>
    </r>
    <r>
      <rPr>
        <sz val="10"/>
        <color rgb="FF000000"/>
        <rFont val="Arial"/>
        <family val="3"/>
        <charset val="129"/>
        <scheme val="minor"/>
      </rPr>
      <t>객실파츠타입</t>
    </r>
    <r>
      <rPr>
        <sz val="10"/>
        <color rgb="FF000000"/>
        <rFont val="Arial"/>
        <family val="2"/>
        <scheme val="minor"/>
      </rPr>
      <t>(Prod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생상</t>
    </r>
    <r>
      <rPr>
        <sz val="10"/>
        <color rgb="FF000000"/>
        <rFont val="Arial"/>
        <family val="2"/>
        <scheme val="minor"/>
      </rPr>
      <t>, Indu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공업</t>
    </r>
    <r>
      <rPr>
        <sz val="10"/>
        <color rgb="FF000000"/>
        <rFont val="Arial"/>
        <family val="2"/>
        <scheme val="minor"/>
      </rPr>
      <t>, Trans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수송</t>
    </r>
    <r>
      <rPr>
        <sz val="10"/>
        <color rgb="FF000000"/>
        <rFont val="Arial"/>
        <family val="2"/>
        <scheme val="minor"/>
      </rPr>
      <t>)_</t>
    </r>
    <r>
      <rPr>
        <sz val="10"/>
        <color rgb="FF000000"/>
        <rFont val="Arial"/>
        <family val="3"/>
        <charset val="129"/>
        <scheme val="minor"/>
      </rPr>
      <t>목적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생산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공업일경우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생산물</t>
    </r>
    <r>
      <rPr>
        <sz val="10"/>
        <color rgb="FF000000"/>
        <rFont val="Arial"/>
        <family val="2"/>
        <scheme val="minor"/>
      </rPr>
      <t xml:space="preserve">/ </t>
    </r>
    <r>
      <rPr>
        <sz val="10"/>
        <color rgb="FF000000"/>
        <rFont val="Arial"/>
        <family val="3"/>
        <charset val="129"/>
        <scheme val="minor"/>
      </rPr>
      <t>수송일경우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수송대상</t>
    </r>
    <r>
      <rPr>
        <sz val="10"/>
        <color rgb="FF000000"/>
        <rFont val="Arial"/>
        <family val="2"/>
        <scheme val="minor"/>
      </rPr>
      <t>)_</t>
    </r>
    <r>
      <rPr>
        <sz val="10"/>
        <color rgb="FF000000"/>
        <rFont val="Arial"/>
        <family val="3"/>
        <charset val="129"/>
        <scheme val="minor"/>
      </rPr>
      <t>등급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번호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생산물이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없는경우</t>
    </r>
    <r>
      <rPr>
        <sz val="10"/>
        <color rgb="FF000000"/>
        <rFont val="Arial"/>
        <family val="2"/>
        <scheme val="minor"/>
      </rPr>
      <t xml:space="preserve"> null</t>
    </r>
    <r>
      <rPr>
        <sz val="10"/>
        <color rgb="FF000000"/>
        <rFont val="Arial"/>
        <family val="2"/>
        <charset val="129"/>
        <scheme val="minor"/>
      </rPr>
      <t>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표시한다</t>
    </r>
    <r>
      <rPr>
        <sz val="10"/>
        <color rgb="FF000000"/>
        <rFont val="Arial"/>
        <family val="2"/>
        <scheme val="minor"/>
      </rPr>
      <t xml:space="preserve">.
● ID </t>
    </r>
    <r>
      <rPr>
        <sz val="10"/>
        <color rgb="FF000000"/>
        <rFont val="Arial"/>
        <family val="2"/>
        <charset val="129"/>
        <scheme val="minor"/>
      </rPr>
      <t>이름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가격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객실파츠종류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객실파츠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생산물은</t>
    </r>
    <r>
      <rPr>
        <sz val="10"/>
        <color rgb="FF000000"/>
        <rFont val="Arial"/>
        <family val="2"/>
        <scheme val="minor"/>
      </rPr>
      <t xml:space="preserve"> 3</t>
    </r>
    <r>
      <rPr>
        <sz val="10"/>
        <color rgb="FF000000"/>
        <rFont val="Arial"/>
        <family val="2"/>
        <charset val="129"/>
        <scheme val="minor"/>
      </rPr>
      <t>열에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노란색으로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칠해진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내부색인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칼럼에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데이터를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입력하면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자동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생성된다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2"/>
        <charset val="129"/>
        <scheme val="minor"/>
      </rPr>
      <t>배정되는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값은</t>
    </r>
    <r>
      <rPr>
        <sz val="10"/>
        <color rgb="FF000000"/>
        <rFont val="Arial"/>
        <family val="2"/>
        <scheme val="minor"/>
      </rPr>
      <t xml:space="preserve"> Factor </t>
    </r>
    <r>
      <rPr>
        <sz val="10"/>
        <color rgb="FF000000"/>
        <rFont val="Arial"/>
        <family val="2"/>
        <charset val="129"/>
        <scheme val="minor"/>
      </rPr>
      <t>시트를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charset val="129"/>
        <scheme val="minor"/>
      </rPr>
      <t>참고한다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</si>
  <si>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ID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</si>
  <si>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이름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</si>
  <si>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가격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</si>
  <si>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유형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</si>
  <si>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기능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</si>
  <si>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  <r>
      <rPr>
        <sz val="10"/>
        <color rgb="FF000000"/>
        <rFont val="Arial"/>
        <family val="2"/>
        <scheme val="minor"/>
      </rPr>
      <t>(</t>
    </r>
    <r>
      <rPr>
        <sz val="10"/>
        <color rgb="FF000000"/>
        <rFont val="Arial"/>
        <family val="3"/>
        <charset val="129"/>
        <scheme val="minor"/>
      </rPr>
      <t>합본</t>
    </r>
    <r>
      <rPr>
        <sz val="10"/>
        <color rgb="FF000000"/>
        <rFont val="Arial"/>
        <family val="2"/>
        <scheme val="minor"/>
      </rPr>
      <t>)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</si>
  <si>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종류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</si>
  <si>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생산물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</si>
  <si>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생산력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</si>
  <si>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공업력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</si>
  <si>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인벤토리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</si>
  <si>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승객수용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</si>
  <si>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</si>
  <si>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생산력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</si>
  <si>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공업력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</si>
  <si>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인벤토리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증가량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</si>
  <si>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승객수용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증가량</t>
    </r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</si>
  <si>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무게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</si>
  <si>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객실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파츠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텍스트</t>
    </r>
  </si>
  <si>
    <r>
      <rPr>
        <sz val="10"/>
        <color theme="1"/>
        <rFont val="Arial"/>
        <family val="3"/>
        <charset val="129"/>
        <scheme val="minor"/>
      </rPr>
      <t>내부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색인</t>
    </r>
    <phoneticPr fontId="3" type="noConversion"/>
  </si>
  <si>
    <r>
      <t>● 3</t>
    </r>
    <r>
      <rPr>
        <sz val="10"/>
        <color rgb="FF000000"/>
        <rFont val="Arial"/>
        <family val="3"/>
        <charset val="129"/>
        <scheme val="minor"/>
      </rPr>
      <t>열은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자료형이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한글로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되어있는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인게임에서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사용하지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않는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데이터지만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테이블에서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수치조정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또는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색인을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위해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넣은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데이터이다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3"/>
        <charset val="129"/>
        <scheme val="minor"/>
      </rPr>
      <t>보정치의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각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몬스터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별로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상세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능력치를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있다</t>
    </r>
    <r>
      <rPr>
        <sz val="10"/>
        <color rgb="FF000000"/>
        <rFont val="Arial"/>
        <family val="2"/>
        <scheme val="minor"/>
      </rPr>
      <t xml:space="preserve">.
● </t>
    </r>
    <r>
      <rPr>
        <sz val="10"/>
        <color rgb="FF000000"/>
        <rFont val="Arial"/>
        <family val="3"/>
        <charset val="129"/>
        <scheme val="minor"/>
      </rPr>
      <t>보정값의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조정의도가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없는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경우</t>
    </r>
    <r>
      <rPr>
        <sz val="10"/>
        <color rgb="FF000000"/>
        <rFont val="Arial"/>
        <family val="2"/>
        <scheme val="minor"/>
      </rPr>
      <t xml:space="preserve"> 1</t>
    </r>
    <r>
      <rPr>
        <sz val="10"/>
        <color rgb="FF000000"/>
        <rFont val="Arial"/>
        <family val="3"/>
        <charset val="129"/>
        <scheme val="minor"/>
      </rPr>
      <t>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유지한다</t>
    </r>
    <r>
      <rPr>
        <sz val="10"/>
        <color rgb="FF000000"/>
        <rFont val="Arial"/>
        <family val="2"/>
        <scheme val="minor"/>
      </rPr>
      <t>.
● ID</t>
    </r>
    <r>
      <rPr>
        <sz val="10"/>
        <color rgb="FF000000"/>
        <rFont val="Arial"/>
        <family val="3"/>
        <charset val="129"/>
        <scheme val="minor"/>
      </rPr>
      <t>는</t>
    </r>
    <r>
      <rPr>
        <sz val="10"/>
        <color rgb="FF000000"/>
        <rFont val="Arial"/>
        <family val="2"/>
        <scheme val="minor"/>
      </rPr>
      <t xml:space="preserve"> crew_</t>
    </r>
    <r>
      <rPr>
        <sz val="10"/>
        <color rgb="FF000000"/>
        <rFont val="Arial"/>
        <family val="3"/>
        <charset val="129"/>
        <scheme val="minor"/>
      </rPr>
      <t>승무원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유형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등장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장소</t>
    </r>
    <r>
      <rPr>
        <sz val="10"/>
        <color rgb="FF000000"/>
        <rFont val="Arial"/>
        <family val="2"/>
        <scheme val="minor"/>
      </rPr>
      <t>_</t>
    </r>
    <r>
      <rPr>
        <sz val="10"/>
        <color rgb="FF000000"/>
        <rFont val="Arial"/>
        <family val="3"/>
        <charset val="129"/>
        <scheme val="minor"/>
      </rPr>
      <t>번호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순으로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구성된다</t>
    </r>
    <r>
      <rPr>
        <sz val="10"/>
        <color rgb="FF000000"/>
        <rFont val="Arial"/>
        <family val="2"/>
        <scheme val="minor"/>
      </rPr>
      <t>.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</si>
  <si>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이름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</si>
  <si>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승무원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유형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</si>
  <si>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대지공격력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</si>
  <si>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대공공격력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</si>
  <si>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기본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사기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</si>
  <si>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생산력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</si>
  <si>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공업력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보정치</t>
    </r>
    <phoneticPr fontId="3" type="noConversion"/>
  </si>
  <si>
    <r>
      <rPr>
        <sz val="10"/>
        <color rgb="FF000000"/>
        <rFont val="Arial"/>
        <family val="3"/>
        <charset val="129"/>
        <scheme val="minor"/>
      </rPr>
      <t>액티브</t>
    </r>
    <r>
      <rPr>
        <sz val="10"/>
        <color rgb="FF000000"/>
        <rFont val="Arial"/>
        <family val="2"/>
        <scheme val="minor"/>
      </rPr>
      <t>1</t>
    </r>
  </si>
  <si>
    <r>
      <rPr>
        <sz val="10"/>
        <color rgb="FF000000"/>
        <rFont val="Arial"/>
        <family val="3"/>
        <charset val="129"/>
        <scheme val="minor"/>
      </rPr>
      <t>액티브</t>
    </r>
    <r>
      <rPr>
        <sz val="10"/>
        <color rgb="FF000000"/>
        <rFont val="Arial"/>
        <family val="2"/>
        <scheme val="minor"/>
      </rPr>
      <t>2</t>
    </r>
  </si>
  <si>
    <r>
      <rPr>
        <sz val="10"/>
        <color rgb="FF000000"/>
        <rFont val="Arial"/>
        <family val="3"/>
        <charset val="129"/>
        <scheme val="minor"/>
      </rPr>
      <t>액티브</t>
    </r>
    <r>
      <rPr>
        <sz val="10"/>
        <color rgb="FF000000"/>
        <rFont val="Arial"/>
        <family val="2"/>
        <scheme val="minor"/>
      </rPr>
      <t>3</t>
    </r>
  </si>
  <si>
    <r>
      <rPr>
        <sz val="10"/>
        <color rgb="FF000000"/>
        <rFont val="Arial"/>
        <family val="3"/>
        <charset val="129"/>
        <scheme val="minor"/>
      </rPr>
      <t>패시브스킬</t>
    </r>
  </si>
  <si>
    <r>
      <rPr>
        <sz val="10"/>
        <color theme="1"/>
        <rFont val="Arial"/>
        <family val="2"/>
        <charset val="129"/>
        <scheme val="minor"/>
      </rPr>
      <t>방어형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</si>
  <si>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전투형</t>
    </r>
    <phoneticPr fontId="3" type="noConversion"/>
  </si>
  <si>
    <r>
      <rPr>
        <sz val="10"/>
        <color theme="1"/>
        <rFont val="Arial"/>
        <family val="2"/>
        <charset val="129"/>
        <scheme val="minor"/>
      </rPr>
      <t>생산형</t>
    </r>
    <phoneticPr fontId="3" type="noConversion"/>
  </si>
  <si>
    <t>표준</t>
  </si>
  <si>
    <t>대형</t>
  </si>
  <si>
    <t>대형</t>
    <phoneticPr fontId="3" type="noConversion"/>
  </si>
  <si>
    <t>경량</t>
  </si>
  <si>
    <t>경량</t>
    <phoneticPr fontId="3" type="noConversion"/>
  </si>
  <si>
    <t>중갑</t>
  </si>
  <si>
    <t>중갑</t>
    <phoneticPr fontId="3" type="noConversion"/>
  </si>
  <si>
    <t>화물</t>
  </si>
  <si>
    <t>화물</t>
    <phoneticPr fontId="3" type="noConversion"/>
  </si>
  <si>
    <t>군용</t>
  </si>
  <si>
    <t>군용</t>
    <phoneticPr fontId="3" type="noConversion"/>
  </si>
  <si>
    <t>여객</t>
  </si>
  <si>
    <t>여객</t>
    <phoneticPr fontId="3" type="noConversion"/>
  </si>
  <si>
    <t>시운</t>
  </si>
  <si>
    <t>시운</t>
    <phoneticPr fontId="3" type="noConversion"/>
  </si>
  <si>
    <t>강철</t>
  </si>
  <si>
    <t>티타늄</t>
  </si>
  <si>
    <t>4기통</t>
    <phoneticPr fontId="3" type="noConversion"/>
  </si>
  <si>
    <t>6기통</t>
    <phoneticPr fontId="3" type="noConversion"/>
  </si>
  <si>
    <t>8기통</t>
    <phoneticPr fontId="3" type="noConversion"/>
  </si>
  <si>
    <t>10기통</t>
    <phoneticPr fontId="3" type="noConversion"/>
  </si>
  <si>
    <r>
      <t>12</t>
    </r>
    <r>
      <rPr>
        <sz val="10"/>
        <color rgb="FF000000"/>
        <rFont val="맑은 고딕"/>
        <family val="2"/>
        <charset val="129"/>
      </rPr>
      <t>기통</t>
    </r>
    <phoneticPr fontId="3" type="noConversion"/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</si>
  <si>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나무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</si>
  <si>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강철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</si>
  <si>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티타늄</t>
    </r>
  </si>
  <si>
    <r>
      <t>중갑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나무</t>
    </r>
  </si>
  <si>
    <r>
      <t>중갑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강철</t>
    </r>
  </si>
  <si>
    <r>
      <t>중갑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티타늄</t>
    </r>
  </si>
  <si>
    <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나무</t>
    </r>
  </si>
  <si>
    <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강철</t>
    </r>
  </si>
  <si>
    <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티타늄</t>
    </r>
  </si>
  <si>
    <r>
      <t>군용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나무</t>
    </r>
  </si>
  <si>
    <r>
      <t>군용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강철</t>
    </r>
  </si>
  <si>
    <r>
      <t>군용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티타늄</t>
    </r>
  </si>
  <si>
    <r>
      <t>여객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나무</t>
    </r>
  </si>
  <si>
    <r>
      <t>여객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강철</t>
    </r>
  </si>
  <si>
    <r>
      <t>여객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티타늄</t>
    </r>
  </si>
  <si>
    <r>
      <t>시운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나무</t>
    </r>
  </si>
  <si>
    <r>
      <t>시운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강철</t>
    </r>
  </si>
  <si>
    <r>
      <t>시운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티타늄</t>
    </r>
  </si>
  <si>
    <r>
      <t>경량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나무</t>
    </r>
  </si>
  <si>
    <r>
      <t>경량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강철</t>
    </r>
  </si>
  <si>
    <r>
      <t>경량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티타늄</t>
    </r>
  </si>
  <si>
    <r>
      <t>표준</t>
    </r>
    <r>
      <rPr>
        <sz val="10"/>
        <color rgb="FF000000"/>
        <rFont val="Arial"/>
        <family val="2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기통</t>
    </r>
  </si>
  <si>
    <r>
      <t>표준</t>
    </r>
    <r>
      <rPr>
        <sz val="10"/>
        <color rgb="FF000000"/>
        <rFont val="Arial"/>
        <family val="2"/>
        <scheme val="minor"/>
      </rPr>
      <t xml:space="preserve"> 6</t>
    </r>
    <r>
      <rPr>
        <sz val="10"/>
        <color rgb="FF000000"/>
        <rFont val="Arial"/>
        <family val="3"/>
        <charset val="129"/>
        <scheme val="minor"/>
      </rPr>
      <t>기통</t>
    </r>
  </si>
  <si>
    <r>
      <t>표준</t>
    </r>
    <r>
      <rPr>
        <sz val="10"/>
        <color rgb="FF000000"/>
        <rFont val="Arial"/>
        <family val="2"/>
        <scheme val="minor"/>
      </rPr>
      <t xml:space="preserve"> 8</t>
    </r>
    <r>
      <rPr>
        <sz val="10"/>
        <color rgb="FF000000"/>
        <rFont val="Arial"/>
        <family val="3"/>
        <charset val="129"/>
        <scheme val="minor"/>
      </rPr>
      <t>기통</t>
    </r>
  </si>
  <si>
    <r>
      <t>표준</t>
    </r>
    <r>
      <rPr>
        <sz val="10"/>
        <color rgb="FF000000"/>
        <rFont val="Arial"/>
        <family val="2"/>
        <scheme val="minor"/>
      </rPr>
      <t xml:space="preserve"> 10</t>
    </r>
    <r>
      <rPr>
        <sz val="10"/>
        <color rgb="FF000000"/>
        <rFont val="Arial"/>
        <family val="3"/>
        <charset val="129"/>
        <scheme val="minor"/>
      </rPr>
      <t>기통</t>
    </r>
  </si>
  <si>
    <r>
      <t>표준</t>
    </r>
    <r>
      <rPr>
        <sz val="10"/>
        <color rgb="FF000000"/>
        <rFont val="Arial"/>
        <family val="2"/>
        <scheme val="minor"/>
      </rPr>
      <t xml:space="preserve"> 12</t>
    </r>
    <r>
      <rPr>
        <sz val="10"/>
        <color rgb="FF000000"/>
        <rFont val="Arial"/>
        <family val="3"/>
        <charset val="129"/>
        <scheme val="minor"/>
      </rPr>
      <t>기통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</si>
  <si>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군용</t>
    </r>
  </si>
  <si>
    <r>
      <t>고성능</t>
    </r>
    <r>
      <rPr>
        <sz val="10"/>
        <color rgb="FF000000"/>
        <rFont val="Arial"/>
        <family val="2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기통</t>
    </r>
  </si>
  <si>
    <r>
      <t>고성능</t>
    </r>
    <r>
      <rPr>
        <sz val="10"/>
        <color rgb="FF000000"/>
        <rFont val="Arial"/>
        <family val="2"/>
        <scheme val="minor"/>
      </rPr>
      <t xml:space="preserve"> 6</t>
    </r>
    <r>
      <rPr>
        <sz val="10"/>
        <color rgb="FF000000"/>
        <rFont val="Arial"/>
        <family val="3"/>
        <charset val="129"/>
        <scheme val="minor"/>
      </rPr>
      <t>기통</t>
    </r>
  </si>
  <si>
    <r>
      <t>고성능</t>
    </r>
    <r>
      <rPr>
        <sz val="10"/>
        <color rgb="FF000000"/>
        <rFont val="Arial"/>
        <family val="2"/>
        <scheme val="minor"/>
      </rPr>
      <t xml:space="preserve"> 8</t>
    </r>
    <r>
      <rPr>
        <sz val="10"/>
        <color rgb="FF000000"/>
        <rFont val="Arial"/>
        <family val="3"/>
        <charset val="129"/>
        <scheme val="minor"/>
      </rPr>
      <t>기통</t>
    </r>
  </si>
  <si>
    <r>
      <t>고성능</t>
    </r>
    <r>
      <rPr>
        <sz val="10"/>
        <color rgb="FF000000"/>
        <rFont val="Arial"/>
        <family val="2"/>
        <scheme val="minor"/>
      </rPr>
      <t xml:space="preserve"> 10</t>
    </r>
    <r>
      <rPr>
        <sz val="10"/>
        <color rgb="FF000000"/>
        <rFont val="Arial"/>
        <family val="3"/>
        <charset val="129"/>
        <scheme val="minor"/>
      </rPr>
      <t>기통</t>
    </r>
  </si>
  <si>
    <r>
      <t>고성능</t>
    </r>
    <r>
      <rPr>
        <sz val="10"/>
        <color rgb="FF000000"/>
        <rFont val="Arial"/>
        <family val="2"/>
        <scheme val="minor"/>
      </rPr>
      <t xml:space="preserve"> 12</t>
    </r>
    <r>
      <rPr>
        <sz val="10"/>
        <color rgb="FF000000"/>
        <rFont val="Arial"/>
        <family val="3"/>
        <charset val="129"/>
        <scheme val="minor"/>
      </rPr>
      <t>기통</t>
    </r>
  </si>
  <si>
    <r>
      <t>고성능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군용</t>
    </r>
  </si>
  <si>
    <r>
      <t>경량형</t>
    </r>
    <r>
      <rPr>
        <sz val="10"/>
        <color rgb="FF000000"/>
        <rFont val="Arial"/>
        <family val="2"/>
        <scheme val="minor"/>
      </rPr>
      <t xml:space="preserve"> 4</t>
    </r>
    <r>
      <rPr>
        <sz val="10"/>
        <color rgb="FF000000"/>
        <rFont val="Arial"/>
        <family val="3"/>
        <charset val="129"/>
        <scheme val="minor"/>
      </rPr>
      <t>기통</t>
    </r>
  </si>
  <si>
    <r>
      <t>경량형</t>
    </r>
    <r>
      <rPr>
        <sz val="10"/>
        <color rgb="FF000000"/>
        <rFont val="Arial"/>
        <family val="2"/>
        <scheme val="minor"/>
      </rPr>
      <t xml:space="preserve"> 6</t>
    </r>
    <r>
      <rPr>
        <sz val="10"/>
        <color rgb="FF000000"/>
        <rFont val="Arial"/>
        <family val="3"/>
        <charset val="129"/>
        <scheme val="minor"/>
      </rPr>
      <t>기통</t>
    </r>
  </si>
  <si>
    <r>
      <t>경량형</t>
    </r>
    <r>
      <rPr>
        <sz val="10"/>
        <color rgb="FF000000"/>
        <rFont val="Arial"/>
        <family val="2"/>
        <scheme val="minor"/>
      </rPr>
      <t xml:space="preserve"> 8</t>
    </r>
    <r>
      <rPr>
        <sz val="10"/>
        <color rgb="FF000000"/>
        <rFont val="Arial"/>
        <family val="3"/>
        <charset val="129"/>
        <scheme val="minor"/>
      </rPr>
      <t>기통</t>
    </r>
  </si>
  <si>
    <r>
      <t>경량형</t>
    </r>
    <r>
      <rPr>
        <sz val="10"/>
        <color rgb="FF000000"/>
        <rFont val="Arial"/>
        <family val="2"/>
        <scheme val="minor"/>
      </rPr>
      <t xml:space="preserve"> 10</t>
    </r>
    <r>
      <rPr>
        <sz val="10"/>
        <color rgb="FF000000"/>
        <rFont val="Arial"/>
        <family val="3"/>
        <charset val="129"/>
        <scheme val="minor"/>
      </rPr>
      <t>기통</t>
    </r>
  </si>
  <si>
    <r>
      <t>경량형</t>
    </r>
    <r>
      <rPr>
        <sz val="10"/>
        <color rgb="FF000000"/>
        <rFont val="Arial"/>
        <family val="2"/>
        <scheme val="minor"/>
      </rPr>
      <t xml:space="preserve"> 12</t>
    </r>
    <r>
      <rPr>
        <sz val="10"/>
        <color rgb="FF000000"/>
        <rFont val="Arial"/>
        <family val="3"/>
        <charset val="129"/>
        <scheme val="minor"/>
      </rPr>
      <t>기통</t>
    </r>
  </si>
  <si>
    <r>
      <t>경량형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군용</t>
    </r>
  </si>
  <si>
    <t>객실 파츠 성능 보정</t>
    <phoneticPr fontId="3" type="noConversion"/>
  </si>
  <si>
    <t>고성능</t>
  </si>
  <si>
    <t>고성능</t>
    <phoneticPr fontId="3" type="noConversion"/>
  </si>
  <si>
    <t>재생</t>
  </si>
  <si>
    <t>재생</t>
    <phoneticPr fontId="3" type="noConversion"/>
  </si>
  <si>
    <t>화물용</t>
  </si>
  <si>
    <t>화물용</t>
    <phoneticPr fontId="3" type="noConversion"/>
  </si>
  <si>
    <t>듀얼코어</t>
  </si>
  <si>
    <t>듀얼코어</t>
    <phoneticPr fontId="3" type="noConversion"/>
  </si>
  <si>
    <r>
      <t>4</t>
    </r>
    <r>
      <rPr>
        <sz val="10"/>
        <color theme="1"/>
        <rFont val="Arial"/>
        <family val="3"/>
        <charset val="129"/>
        <scheme val="minor"/>
      </rPr>
      <t>기통</t>
    </r>
  </si>
  <si>
    <r>
      <t>6</t>
    </r>
    <r>
      <rPr>
        <sz val="10"/>
        <color theme="1"/>
        <rFont val="Arial"/>
        <family val="3"/>
        <charset val="129"/>
        <scheme val="minor"/>
      </rPr>
      <t>기통</t>
    </r>
  </si>
  <si>
    <r>
      <t>8</t>
    </r>
    <r>
      <rPr>
        <sz val="10"/>
        <color theme="1"/>
        <rFont val="Arial"/>
        <family val="3"/>
        <charset val="129"/>
        <scheme val="minor"/>
      </rPr>
      <t>기통</t>
    </r>
  </si>
  <si>
    <r>
      <t>10</t>
    </r>
    <r>
      <rPr>
        <sz val="10"/>
        <color theme="1"/>
        <rFont val="Arial"/>
        <family val="3"/>
        <charset val="129"/>
        <scheme val="minor"/>
      </rPr>
      <t>기통</t>
    </r>
  </si>
  <si>
    <r>
      <t>12</t>
    </r>
    <r>
      <rPr>
        <sz val="10"/>
        <color theme="1"/>
        <rFont val="Arial"/>
        <family val="3"/>
        <charset val="129"/>
        <scheme val="minor"/>
      </rPr>
      <t>기통</t>
    </r>
  </si>
  <si>
    <t>경량형</t>
  </si>
  <si>
    <r>
      <t>6</t>
    </r>
    <r>
      <rPr>
        <sz val="10"/>
        <color rgb="FF000000"/>
        <rFont val="Arial"/>
        <family val="3"/>
        <charset val="129"/>
        <scheme val="minor"/>
      </rPr>
      <t>기통</t>
    </r>
  </si>
  <si>
    <r>
      <t>8</t>
    </r>
    <r>
      <rPr>
        <sz val="10"/>
        <color rgb="FF000000"/>
        <rFont val="Arial"/>
        <family val="3"/>
        <charset val="129"/>
        <scheme val="minor"/>
      </rPr>
      <t>기통</t>
    </r>
  </si>
  <si>
    <r>
      <t>10</t>
    </r>
    <r>
      <rPr>
        <sz val="10"/>
        <color rgb="FF000000"/>
        <rFont val="Arial"/>
        <family val="3"/>
        <charset val="129"/>
        <scheme val="minor"/>
      </rPr>
      <t>기통</t>
    </r>
  </si>
  <si>
    <r>
      <t>12</t>
    </r>
    <r>
      <rPr>
        <sz val="10"/>
        <color rgb="FF000000"/>
        <rFont val="Arial"/>
        <family val="3"/>
        <charset val="129"/>
        <scheme val="minor"/>
      </rPr>
      <t>기통</t>
    </r>
  </si>
  <si>
    <r>
      <t>4</t>
    </r>
    <r>
      <rPr>
        <sz val="10"/>
        <color rgb="FF000000"/>
        <rFont val="Arial"/>
        <family val="3"/>
        <charset val="129"/>
        <scheme val="minor"/>
      </rPr>
      <t>기통</t>
    </r>
  </si>
  <si>
    <t>나무</t>
  </si>
  <si>
    <t>소형</t>
  </si>
  <si>
    <r>
      <t>소형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고성능</t>
    </r>
  </si>
  <si>
    <r>
      <t>소형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경량</t>
    </r>
  </si>
  <si>
    <r>
      <t>소형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재생</t>
    </r>
  </si>
  <si>
    <r>
      <t>소형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듀얼코어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</si>
  <si>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표준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</si>
  <si>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고성능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</si>
  <si>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경량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</si>
  <si>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재생</t>
    </r>
  </si>
  <si>
    <r>
      <t>표준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듀얼코어</t>
    </r>
  </si>
  <si>
    <r>
      <t>대형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표준</t>
    </r>
  </si>
  <si>
    <r>
      <t>대형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고성능</t>
    </r>
  </si>
  <si>
    <r>
      <t>대형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경량</t>
    </r>
  </si>
  <si>
    <r>
      <t>대형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재생</t>
    </r>
  </si>
  <si>
    <r>
      <t>대형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듀얼코어</t>
    </r>
  </si>
  <si>
    <r>
      <rPr>
        <sz val="10"/>
        <color rgb="FF000000"/>
        <rFont val="맑은 고딕"/>
        <family val="3"/>
        <charset val="129"/>
      </rPr>
      <t>소형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표준</t>
    </r>
    <phoneticPr fontId="3" type="noConversion"/>
  </si>
  <si>
    <t>표준 기계식</t>
  </si>
  <si>
    <t>고성능 기계식</t>
  </si>
  <si>
    <t>경량 기계식</t>
  </si>
  <si>
    <t>화물용 기계식</t>
  </si>
  <si>
    <t>표준 유압식</t>
  </si>
  <si>
    <t>고성능 유압식</t>
  </si>
  <si>
    <t>경량 유압식</t>
  </si>
  <si>
    <t>화물용 유압식</t>
  </si>
  <si>
    <t>표준 전자식</t>
  </si>
  <si>
    <t>고성능 전자식</t>
  </si>
  <si>
    <t>경량 전자식</t>
  </si>
  <si>
    <t>화물용 전자식</t>
  </si>
  <si>
    <t>기계식</t>
  </si>
  <si>
    <t>유압식</t>
  </si>
  <si>
    <t>전자식</t>
  </si>
  <si>
    <t>스마트팜</t>
  </si>
  <si>
    <t>탄약공장</t>
  </si>
  <si>
    <t>포탄공장</t>
  </si>
  <si>
    <t>미사일공장</t>
  </si>
  <si>
    <r>
      <t>서클리움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정제소</t>
    </r>
  </si>
  <si>
    <r>
      <t>화물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칸</t>
    </r>
  </si>
  <si>
    <r>
      <t>인원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수송</t>
    </r>
    <r>
      <rPr>
        <sz val="10"/>
        <color theme="1"/>
        <rFont val="Arial"/>
        <family val="2"/>
        <scheme val="minor"/>
      </rPr>
      <t xml:space="preserve"> </t>
    </r>
    <r>
      <rPr>
        <sz val="10"/>
        <color theme="1"/>
        <rFont val="Arial"/>
        <family val="3"/>
        <charset val="129"/>
        <scheme val="minor"/>
      </rPr>
      <t>칸</t>
    </r>
  </si>
  <si>
    <r>
      <t>서클리움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정제소</t>
    </r>
  </si>
  <si>
    <r>
      <t>화물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수송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</si>
  <si>
    <r>
      <t>인원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수송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3"/>
        <charset val="129"/>
        <scheme val="minor"/>
      </rPr>
      <t>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</si>
</sst>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3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3"/>
      <charset val="129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charset val="129"/>
      <scheme val="minor"/>
    </font>
    <font>
      <sz val="10"/>
      <color rgb="FF000000"/>
      <name val="Arial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2"/>
      <charset val="129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rgb="FFD9D9D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7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1" fillId="2" borderId="3" xfId="0" applyFont="1" applyFill="1" applyBorder="1"/>
    <xf numFmtId="0" fontId="2" fillId="5" borderId="4" xfId="0" applyFont="1" applyFill="1" applyBorder="1"/>
    <xf numFmtId="0" fontId="2" fillId="0" borderId="4" xfId="0" applyFont="1" applyBorder="1"/>
    <xf numFmtId="0" fontId="2" fillId="3" borderId="4" xfId="0" applyFont="1" applyFill="1" applyBorder="1"/>
    <xf numFmtId="0" fontId="2" fillId="0" borderId="8" xfId="0" applyFont="1" applyBorder="1"/>
    <xf numFmtId="0" fontId="5" fillId="0" borderId="0" xfId="0" applyFont="1"/>
    <xf numFmtId="0" fontId="2" fillId="6" borderId="5" xfId="0" applyFont="1" applyFill="1" applyBorder="1"/>
    <xf numFmtId="0" fontId="2" fillId="6" borderId="6" xfId="0" applyFont="1" applyFill="1" applyBorder="1"/>
    <xf numFmtId="0" fontId="2" fillId="6" borderId="7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176" fontId="2" fillId="0" borderId="6" xfId="0" applyNumberFormat="1" applyFont="1" applyBorder="1"/>
    <xf numFmtId="176" fontId="2" fillId="6" borderId="6" xfId="0" applyNumberFormat="1" applyFont="1" applyFill="1" applyBorder="1"/>
    <xf numFmtId="0" fontId="2" fillId="2" borderId="8" xfId="0" applyFont="1" applyFill="1" applyBorder="1"/>
    <xf numFmtId="0" fontId="2" fillId="5" borderId="8" xfId="0" applyFont="1" applyFill="1" applyBorder="1"/>
    <xf numFmtId="0" fontId="5" fillId="0" borderId="0" xfId="0" applyFont="1" applyAlignment="1">
      <alignment horizontal="left" vertical="top"/>
    </xf>
    <xf numFmtId="0" fontId="2" fillId="2" borderId="15" xfId="0" applyFont="1" applyFill="1" applyBorder="1"/>
    <xf numFmtId="0" fontId="2" fillId="5" borderId="15" xfId="0" applyFont="1" applyFill="1" applyBorder="1"/>
    <xf numFmtId="0" fontId="2" fillId="2" borderId="16" xfId="0" applyFont="1" applyFill="1" applyBorder="1"/>
    <xf numFmtId="0" fontId="2" fillId="8" borderId="17" xfId="0" applyFont="1" applyFill="1" applyBorder="1"/>
    <xf numFmtId="0" fontId="2" fillId="2" borderId="18" xfId="0" applyFont="1" applyFill="1" applyBorder="1"/>
    <xf numFmtId="0" fontId="2" fillId="9" borderId="4" xfId="0" applyFont="1" applyFill="1" applyBorder="1"/>
    <xf numFmtId="0" fontId="2" fillId="8" borderId="15" xfId="0" applyFont="1" applyFill="1" applyBorder="1"/>
    <xf numFmtId="0" fontId="2" fillId="9" borderId="8" xfId="0" applyFont="1" applyFill="1" applyBorder="1"/>
    <xf numFmtId="0" fontId="2" fillId="5" borderId="19" xfId="0" applyFont="1" applyFill="1" applyBorder="1"/>
    <xf numFmtId="0" fontId="5" fillId="0" borderId="8" xfId="0" applyFont="1" applyBorder="1"/>
    <xf numFmtId="49" fontId="5" fillId="0" borderId="8" xfId="0" applyNumberFormat="1" applyFont="1" applyBorder="1"/>
    <xf numFmtId="49" fontId="5" fillId="0" borderId="0" xfId="0" applyNumberFormat="1" applyFont="1"/>
    <xf numFmtId="0" fontId="5" fillId="0" borderId="9" xfId="0" applyFont="1" applyBorder="1"/>
    <xf numFmtId="0" fontId="2" fillId="9" borderId="1" xfId="0" applyFont="1" applyFill="1" applyBorder="1"/>
    <xf numFmtId="0" fontId="2" fillId="5" borderId="1" xfId="0" applyFont="1" applyFill="1" applyBorder="1"/>
    <xf numFmtId="0" fontId="2" fillId="5" borderId="18" xfId="0" applyFont="1" applyFill="1" applyBorder="1"/>
    <xf numFmtId="0" fontId="2" fillId="6" borderId="13" xfId="0" applyFont="1" applyFill="1" applyBorder="1"/>
    <xf numFmtId="0" fontId="2" fillId="8" borderId="8" xfId="0" applyFont="1" applyFill="1" applyBorder="1"/>
    <xf numFmtId="0" fontId="2" fillId="10" borderId="21" xfId="0" applyFont="1" applyFill="1" applyBorder="1"/>
    <xf numFmtId="0" fontId="2" fillId="10" borderId="15" xfId="0" applyFont="1" applyFill="1" applyBorder="1"/>
    <xf numFmtId="0" fontId="5" fillId="0" borderId="0" xfId="0" applyFont="1" applyAlignment="1">
      <alignment horizontal="center"/>
    </xf>
    <xf numFmtId="0" fontId="5" fillId="9" borderId="8" xfId="0" applyFont="1" applyFill="1" applyBorder="1"/>
    <xf numFmtId="0" fontId="2" fillId="10" borderId="8" xfId="0" applyFont="1" applyFill="1" applyBorder="1"/>
    <xf numFmtId="0" fontId="2" fillId="6" borderId="12" xfId="0" applyFont="1" applyFill="1" applyBorder="1"/>
    <xf numFmtId="0" fontId="2" fillId="6" borderId="14" xfId="0" applyFont="1" applyFill="1" applyBorder="1"/>
    <xf numFmtId="0" fontId="5" fillId="9" borderId="11" xfId="0" applyFont="1" applyFill="1" applyBorder="1"/>
    <xf numFmtId="0" fontId="11" fillId="0" borderId="8" xfId="0" applyFont="1" applyBorder="1"/>
    <xf numFmtId="0" fontId="10" fillId="0" borderId="8" xfId="0" applyFont="1" applyBorder="1"/>
    <xf numFmtId="0" fontId="12" fillId="6" borderId="6" xfId="0" applyFont="1" applyFill="1" applyBorder="1"/>
    <xf numFmtId="0" fontId="6" fillId="6" borderId="13" xfId="0" applyFont="1" applyFill="1" applyBorder="1"/>
    <xf numFmtId="0" fontId="6" fillId="0" borderId="6" xfId="0" applyFont="1" applyBorder="1"/>
    <xf numFmtId="0" fontId="6" fillId="6" borderId="6" xfId="0" applyFont="1" applyFill="1" applyBorder="1"/>
    <xf numFmtId="0" fontId="5" fillId="12" borderId="8" xfId="0" applyFont="1" applyFill="1" applyBorder="1"/>
    <xf numFmtId="0" fontId="5" fillId="7" borderId="8" xfId="0" applyFont="1" applyFill="1" applyBorder="1"/>
    <xf numFmtId="0" fontId="5" fillId="13" borderId="8" xfId="0" applyFont="1" applyFill="1" applyBorder="1"/>
    <xf numFmtId="0" fontId="5" fillId="14" borderId="8" xfId="0" applyFont="1" applyFill="1" applyBorder="1"/>
    <xf numFmtId="0" fontId="5" fillId="11" borderId="8" xfId="0" applyFont="1" applyFill="1" applyBorder="1"/>
    <xf numFmtId="0" fontId="5" fillId="7" borderId="9" xfId="0" applyFont="1" applyFill="1" applyBorder="1" applyAlignment="1">
      <alignment horizontal="center"/>
    </xf>
    <xf numFmtId="0" fontId="5" fillId="7" borderId="10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5" fillId="11" borderId="8" xfId="0" applyFont="1" applyFill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7" borderId="8" xfId="0" applyFont="1" applyFill="1" applyBorder="1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0" xfId="0" applyFont="1" applyBorder="1" applyAlignment="1">
      <alignment horizontal="left" vertical="top"/>
    </xf>
    <xf numFmtId="0" fontId="4" fillId="9" borderId="8" xfId="0" applyFont="1" applyFill="1" applyBorder="1"/>
    <xf numFmtId="0" fontId="4" fillId="12" borderId="8" xfId="0" applyFont="1" applyFill="1" applyBorder="1"/>
    <xf numFmtId="0" fontId="4" fillId="7" borderId="8" xfId="0" applyFont="1" applyFill="1" applyBorder="1"/>
    <xf numFmtId="0" fontId="4" fillId="13" borderId="8" xfId="0" applyFont="1" applyFill="1" applyBorder="1"/>
    <xf numFmtId="0" fontId="4" fillId="14" borderId="8" xfId="0" applyFont="1" applyFill="1" applyBorder="1"/>
    <xf numFmtId="0" fontId="4" fillId="11" borderId="8" xfId="0" applyFont="1" applyFill="1" applyBorder="1"/>
  </cellXfs>
  <cellStyles count="2">
    <cellStyle name="표준" xfId="0" builtinId="0"/>
    <cellStyle name="표준 2" xfId="1" xr:uid="{0391A247-61A3-442E-9AAE-6E634A67C9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992"/>
  <sheetViews>
    <sheetView showGridLines="0" topLeftCell="A62" workbookViewId="0">
      <selection activeCell="A62" sqref="A1:XFD1048576"/>
    </sheetView>
  </sheetViews>
  <sheetFormatPr defaultColWidth="12.5703125" defaultRowHeight="15.75" customHeight="1" x14ac:dyDescent="0.2"/>
  <cols>
    <col min="1" max="1" width="2" style="13" customWidth="1"/>
    <col min="2" max="2" width="17" style="13" customWidth="1"/>
    <col min="3" max="3" width="29.140625" style="13" customWidth="1"/>
    <col min="4" max="4" width="19.42578125" style="13" customWidth="1"/>
    <col min="5" max="5" width="14.42578125" style="13" customWidth="1"/>
    <col min="6" max="6" width="82.42578125" style="13" customWidth="1"/>
    <col min="7" max="16384" width="12.5703125" style="13"/>
  </cols>
  <sheetData>
    <row r="1" spans="1:6" ht="9.75" customHeight="1" x14ac:dyDescent="0.2">
      <c r="A1" s="1"/>
      <c r="B1" s="1"/>
    </row>
    <row r="2" spans="1:6" ht="15" x14ac:dyDescent="0.2">
      <c r="A2" s="1"/>
      <c r="B2" s="2" t="s">
        <v>0</v>
      </c>
      <c r="C2" s="3"/>
      <c r="D2" s="3"/>
      <c r="E2" s="3"/>
      <c r="F2" s="4"/>
    </row>
    <row r="3" spans="1:6" ht="15" x14ac:dyDescent="0.2">
      <c r="A3" s="1"/>
      <c r="B3" s="5" t="s">
        <v>1</v>
      </c>
    </row>
    <row r="4" spans="1:6" ht="15" x14ac:dyDescent="0.2">
      <c r="A4" s="1"/>
      <c r="B4" s="6" t="s">
        <v>2</v>
      </c>
      <c r="C4" s="7" t="s">
        <v>3</v>
      </c>
      <c r="F4" s="1"/>
    </row>
    <row r="5" spans="1:6" ht="15" x14ac:dyDescent="0.2">
      <c r="A5" s="1"/>
      <c r="F5" s="1"/>
    </row>
    <row r="6" spans="1:6" ht="15" x14ac:dyDescent="0.2">
      <c r="A6" s="1"/>
      <c r="B6" s="2" t="s">
        <v>4</v>
      </c>
      <c r="C6" s="3"/>
      <c r="D6" s="3"/>
      <c r="E6" s="3"/>
      <c r="F6" s="8"/>
    </row>
    <row r="7" spans="1:6" ht="15" x14ac:dyDescent="0.2">
      <c r="A7" s="1"/>
      <c r="B7" s="1"/>
    </row>
    <row r="8" spans="1:6" ht="15" x14ac:dyDescent="0.2">
      <c r="A8" s="1"/>
      <c r="B8" s="1" t="s">
        <v>5</v>
      </c>
      <c r="C8" s="5" t="s">
        <v>6</v>
      </c>
    </row>
    <row r="9" spans="1:6" ht="15" x14ac:dyDescent="0.2">
      <c r="A9" s="1"/>
      <c r="B9" s="1"/>
      <c r="C9" s="9" t="s">
        <v>7</v>
      </c>
      <c r="D9" s="9" t="s">
        <v>8</v>
      </c>
      <c r="E9" s="9" t="s">
        <v>9</v>
      </c>
      <c r="F9" s="9" t="s">
        <v>10</v>
      </c>
    </row>
    <row r="10" spans="1:6" ht="15" x14ac:dyDescent="0.2">
      <c r="A10" s="1"/>
      <c r="B10" s="1"/>
      <c r="C10" s="11" t="s">
        <v>11</v>
      </c>
      <c r="D10" s="10" t="s">
        <v>12</v>
      </c>
      <c r="E10" s="10" t="s">
        <v>13</v>
      </c>
      <c r="F10" s="10" t="s">
        <v>14</v>
      </c>
    </row>
    <row r="11" spans="1:6" ht="15" x14ac:dyDescent="0.2">
      <c r="A11" s="1"/>
      <c r="B11" s="1"/>
      <c r="C11" s="11" t="s">
        <v>15</v>
      </c>
      <c r="D11" s="10" t="s">
        <v>16</v>
      </c>
      <c r="E11" s="10" t="s">
        <v>13</v>
      </c>
      <c r="F11" s="10" t="s">
        <v>17</v>
      </c>
    </row>
    <row r="12" spans="1:6" ht="15" x14ac:dyDescent="0.2">
      <c r="A12" s="1"/>
      <c r="B12" s="1"/>
      <c r="C12" s="11" t="s">
        <v>18</v>
      </c>
      <c r="D12" s="10" t="s">
        <v>19</v>
      </c>
      <c r="E12" s="10" t="s">
        <v>20</v>
      </c>
      <c r="F12" s="10" t="s">
        <v>21</v>
      </c>
    </row>
    <row r="13" spans="1:6" ht="15" x14ac:dyDescent="0.2">
      <c r="A13" s="1"/>
      <c r="B13" s="1"/>
      <c r="C13" s="11" t="s">
        <v>22</v>
      </c>
      <c r="D13" s="10" t="s">
        <v>23</v>
      </c>
      <c r="E13" s="10" t="s">
        <v>24</v>
      </c>
      <c r="F13" s="10" t="s">
        <v>25</v>
      </c>
    </row>
    <row r="14" spans="1:6" ht="15" x14ac:dyDescent="0.2">
      <c r="A14" s="1"/>
      <c r="B14" s="1"/>
      <c r="C14" s="11" t="s">
        <v>26</v>
      </c>
      <c r="D14" s="10" t="s">
        <v>27</v>
      </c>
      <c r="E14" s="10" t="s">
        <v>28</v>
      </c>
      <c r="F14" s="10" t="s">
        <v>29</v>
      </c>
    </row>
    <row r="15" spans="1:6" ht="15" x14ac:dyDescent="0.2">
      <c r="A15" s="1"/>
      <c r="B15" s="1"/>
      <c r="C15" s="11" t="s">
        <v>30</v>
      </c>
      <c r="D15" s="10" t="s">
        <v>31</v>
      </c>
      <c r="E15" s="10" t="s">
        <v>24</v>
      </c>
      <c r="F15" s="10" t="s">
        <v>32</v>
      </c>
    </row>
    <row r="16" spans="1:6" ht="15" x14ac:dyDescent="0.2">
      <c r="A16" s="1"/>
      <c r="B16" s="1"/>
      <c r="C16" s="11" t="s">
        <v>33</v>
      </c>
      <c r="D16" s="10" t="s">
        <v>34</v>
      </c>
      <c r="E16" s="10" t="s">
        <v>24</v>
      </c>
      <c r="F16" s="10" t="s">
        <v>35</v>
      </c>
    </row>
    <row r="17" spans="1:6" ht="15" x14ac:dyDescent="0.2">
      <c r="A17" s="1"/>
      <c r="B17" s="1"/>
      <c r="C17" s="11" t="s">
        <v>36</v>
      </c>
      <c r="D17" s="10" t="s">
        <v>37</v>
      </c>
      <c r="E17" s="10" t="s">
        <v>28</v>
      </c>
      <c r="F17" s="10" t="s">
        <v>38</v>
      </c>
    </row>
    <row r="18" spans="1:6" ht="15" x14ac:dyDescent="0.2">
      <c r="A18" s="1"/>
      <c r="B18" s="1"/>
      <c r="C18" s="11" t="s">
        <v>39</v>
      </c>
      <c r="D18" s="10" t="s">
        <v>40</v>
      </c>
      <c r="E18" s="10" t="s">
        <v>28</v>
      </c>
      <c r="F18" s="10" t="s">
        <v>41</v>
      </c>
    </row>
    <row r="19" spans="1:6" ht="15" x14ac:dyDescent="0.2">
      <c r="A19" s="1"/>
      <c r="B19" s="1"/>
      <c r="C19" s="11" t="s">
        <v>42</v>
      </c>
      <c r="D19" s="10" t="s">
        <v>43</v>
      </c>
      <c r="E19" s="10" t="s">
        <v>28</v>
      </c>
      <c r="F19" s="10" t="s">
        <v>44</v>
      </c>
    </row>
    <row r="20" spans="1:6" ht="15" x14ac:dyDescent="0.2">
      <c r="A20" s="1"/>
      <c r="B20" s="1"/>
      <c r="C20" s="11" t="s">
        <v>45</v>
      </c>
      <c r="D20" s="10" t="s">
        <v>46</v>
      </c>
      <c r="E20" s="10" t="s">
        <v>28</v>
      </c>
      <c r="F20" s="10" t="s">
        <v>47</v>
      </c>
    </row>
    <row r="21" spans="1:6" ht="15" x14ac:dyDescent="0.2">
      <c r="A21" s="1"/>
      <c r="B21" s="1"/>
      <c r="C21" s="11" t="s">
        <v>48</v>
      </c>
      <c r="D21" s="10" t="s">
        <v>49</v>
      </c>
      <c r="E21" s="10" t="s">
        <v>28</v>
      </c>
      <c r="F21" s="10" t="s">
        <v>50</v>
      </c>
    </row>
    <row r="22" spans="1:6" ht="15" x14ac:dyDescent="0.2">
      <c r="A22" s="1"/>
      <c r="B22" s="1"/>
      <c r="C22" s="11" t="s">
        <v>51</v>
      </c>
      <c r="D22" s="10" t="s">
        <v>52</v>
      </c>
      <c r="E22" s="10" t="s">
        <v>28</v>
      </c>
      <c r="F22" s="10" t="s">
        <v>53</v>
      </c>
    </row>
    <row r="23" spans="1:6" ht="15" x14ac:dyDescent="0.2">
      <c r="A23" s="1"/>
      <c r="B23" s="1"/>
      <c r="C23" s="11" t="s">
        <v>54</v>
      </c>
      <c r="D23" s="10" t="s">
        <v>55</v>
      </c>
      <c r="E23" s="10" t="s">
        <v>28</v>
      </c>
      <c r="F23" s="10" t="s">
        <v>56</v>
      </c>
    </row>
    <row r="24" spans="1:6" ht="15" x14ac:dyDescent="0.2">
      <c r="A24" s="1"/>
      <c r="B24" s="1"/>
      <c r="C24" s="11" t="s">
        <v>57</v>
      </c>
      <c r="D24" s="10" t="s">
        <v>58</v>
      </c>
      <c r="E24" s="10" t="s">
        <v>13</v>
      </c>
      <c r="F24" s="10" t="s">
        <v>59</v>
      </c>
    </row>
    <row r="25" spans="1:6" ht="15" x14ac:dyDescent="0.2">
      <c r="A25" s="1"/>
      <c r="B25" s="1"/>
    </row>
    <row r="26" spans="1:6" ht="15" x14ac:dyDescent="0.2">
      <c r="A26" s="1"/>
      <c r="B26" s="1" t="s">
        <v>60</v>
      </c>
      <c r="C26" s="5" t="s">
        <v>61</v>
      </c>
    </row>
    <row r="27" spans="1:6" ht="15" x14ac:dyDescent="0.2">
      <c r="A27" s="1"/>
      <c r="B27" s="1"/>
      <c r="C27" s="9" t="s">
        <v>7</v>
      </c>
      <c r="D27" s="9" t="s">
        <v>8</v>
      </c>
      <c r="E27" s="9" t="s">
        <v>9</v>
      </c>
      <c r="F27" s="9" t="s">
        <v>10</v>
      </c>
    </row>
    <row r="28" spans="1:6" ht="15" x14ac:dyDescent="0.2">
      <c r="A28" s="1"/>
      <c r="B28" s="1"/>
      <c r="C28" s="11" t="s">
        <v>62</v>
      </c>
      <c r="D28" s="10" t="s">
        <v>63</v>
      </c>
      <c r="E28" s="10" t="s">
        <v>13</v>
      </c>
      <c r="F28" s="10" t="s">
        <v>14</v>
      </c>
    </row>
    <row r="29" spans="1:6" ht="15" x14ac:dyDescent="0.2">
      <c r="A29" s="1"/>
      <c r="B29" s="1"/>
      <c r="C29" s="11" t="s">
        <v>64</v>
      </c>
      <c r="D29" s="10" t="s">
        <v>65</v>
      </c>
      <c r="E29" s="10" t="s">
        <v>13</v>
      </c>
      <c r="F29" s="10" t="s">
        <v>66</v>
      </c>
    </row>
    <row r="30" spans="1:6" ht="15" x14ac:dyDescent="0.2">
      <c r="A30" s="1"/>
      <c r="B30" s="1"/>
      <c r="C30" s="11" t="s">
        <v>67</v>
      </c>
      <c r="D30" s="10" t="s">
        <v>40</v>
      </c>
      <c r="E30" s="10" t="s">
        <v>28</v>
      </c>
      <c r="F30" s="10" t="s">
        <v>68</v>
      </c>
    </row>
    <row r="31" spans="1:6" ht="15" x14ac:dyDescent="0.2">
      <c r="A31" s="1"/>
      <c r="B31" s="1"/>
      <c r="C31" s="11" t="s">
        <v>69</v>
      </c>
      <c r="D31" s="10" t="s">
        <v>43</v>
      </c>
      <c r="E31" s="10" t="s">
        <v>28</v>
      </c>
      <c r="F31" s="10" t="s">
        <v>70</v>
      </c>
    </row>
    <row r="32" spans="1:6" ht="15" x14ac:dyDescent="0.2">
      <c r="A32" s="1"/>
      <c r="B32" s="1"/>
      <c r="C32" s="11" t="s">
        <v>71</v>
      </c>
      <c r="D32" s="10" t="s">
        <v>46</v>
      </c>
      <c r="E32" s="10" t="s">
        <v>28</v>
      </c>
      <c r="F32" s="10" t="s">
        <v>72</v>
      </c>
    </row>
    <row r="33" spans="1:6" ht="15" x14ac:dyDescent="0.2">
      <c r="A33" s="1"/>
      <c r="B33" s="1"/>
      <c r="C33" s="11" t="s">
        <v>73</v>
      </c>
      <c r="D33" s="10" t="s">
        <v>74</v>
      </c>
      <c r="E33" s="10" t="s">
        <v>24</v>
      </c>
      <c r="F33" s="10" t="s">
        <v>75</v>
      </c>
    </row>
    <row r="34" spans="1:6" ht="15" x14ac:dyDescent="0.2">
      <c r="A34" s="1"/>
      <c r="B34" s="1"/>
      <c r="C34" s="11" t="s">
        <v>76</v>
      </c>
      <c r="D34" s="10" t="s">
        <v>77</v>
      </c>
      <c r="E34" s="10" t="s">
        <v>28</v>
      </c>
      <c r="F34" s="10" t="s">
        <v>78</v>
      </c>
    </row>
    <row r="35" spans="1:6" ht="15" x14ac:dyDescent="0.2">
      <c r="A35" s="1"/>
      <c r="B35" s="1"/>
      <c r="C35" s="11" t="s">
        <v>79</v>
      </c>
      <c r="D35" s="10" t="s">
        <v>80</v>
      </c>
      <c r="E35" s="10" t="s">
        <v>24</v>
      </c>
      <c r="F35" s="10" t="s">
        <v>81</v>
      </c>
    </row>
    <row r="36" spans="1:6" ht="15" x14ac:dyDescent="0.2">
      <c r="A36" s="1"/>
      <c r="B36" s="1"/>
      <c r="C36" s="11" t="s">
        <v>82</v>
      </c>
      <c r="D36" s="10" t="s">
        <v>83</v>
      </c>
      <c r="E36" s="10" t="s">
        <v>13</v>
      </c>
      <c r="F36" s="10" t="s">
        <v>84</v>
      </c>
    </row>
    <row r="37" spans="1:6" ht="15" x14ac:dyDescent="0.2">
      <c r="A37" s="1"/>
      <c r="B37" s="1"/>
    </row>
    <row r="38" spans="1:6" ht="15" x14ac:dyDescent="0.2">
      <c r="A38" s="1"/>
      <c r="B38" s="1" t="s">
        <v>85</v>
      </c>
      <c r="C38" s="5" t="s">
        <v>86</v>
      </c>
    </row>
    <row r="39" spans="1:6" ht="15" x14ac:dyDescent="0.2">
      <c r="A39" s="1"/>
      <c r="B39" s="1"/>
      <c r="C39" s="9" t="s">
        <v>7</v>
      </c>
      <c r="D39" s="9" t="s">
        <v>8</v>
      </c>
      <c r="E39" s="9" t="s">
        <v>9</v>
      </c>
      <c r="F39" s="9" t="s">
        <v>10</v>
      </c>
    </row>
    <row r="40" spans="1:6" ht="15" x14ac:dyDescent="0.2">
      <c r="A40" s="1"/>
      <c r="B40" s="1"/>
      <c r="C40" s="11" t="s">
        <v>87</v>
      </c>
      <c r="D40" s="10" t="s">
        <v>88</v>
      </c>
      <c r="E40" s="10" t="s">
        <v>13</v>
      </c>
      <c r="F40" s="10" t="s">
        <v>14</v>
      </c>
    </row>
    <row r="41" spans="1:6" ht="15" x14ac:dyDescent="0.2">
      <c r="A41" s="1"/>
      <c r="B41" s="1"/>
      <c r="C41" s="11" t="s">
        <v>89</v>
      </c>
      <c r="D41" s="10" t="s">
        <v>90</v>
      </c>
      <c r="E41" s="10" t="s">
        <v>13</v>
      </c>
      <c r="F41" s="10" t="s">
        <v>91</v>
      </c>
    </row>
    <row r="42" spans="1:6" ht="15" x14ac:dyDescent="0.2">
      <c r="A42" s="1"/>
      <c r="B42" s="1"/>
      <c r="C42" s="11" t="s">
        <v>92</v>
      </c>
      <c r="D42" s="10" t="s">
        <v>93</v>
      </c>
      <c r="E42" s="10" t="s">
        <v>24</v>
      </c>
      <c r="F42" s="10" t="s">
        <v>94</v>
      </c>
    </row>
    <row r="43" spans="1:6" ht="15" x14ac:dyDescent="0.2">
      <c r="A43" s="1"/>
      <c r="B43" s="1"/>
      <c r="C43" s="11" t="s">
        <v>95</v>
      </c>
      <c r="D43" s="10" t="s">
        <v>96</v>
      </c>
      <c r="E43" s="10" t="s">
        <v>28</v>
      </c>
      <c r="F43" s="10" t="s">
        <v>56</v>
      </c>
    </row>
    <row r="44" spans="1:6" ht="15" x14ac:dyDescent="0.2">
      <c r="A44" s="1"/>
      <c r="B44" s="1"/>
      <c r="C44" s="11" t="s">
        <v>97</v>
      </c>
      <c r="D44" s="10" t="s">
        <v>98</v>
      </c>
      <c r="E44" s="10" t="s">
        <v>24</v>
      </c>
      <c r="F44" s="10" t="s">
        <v>99</v>
      </c>
    </row>
    <row r="45" spans="1:6" ht="15" x14ac:dyDescent="0.2">
      <c r="A45" s="1"/>
      <c r="B45" s="1"/>
      <c r="C45" s="11" t="s">
        <v>100</v>
      </c>
      <c r="D45" s="10" t="s">
        <v>101</v>
      </c>
      <c r="E45" s="10" t="s">
        <v>13</v>
      </c>
      <c r="F45" s="10" t="s">
        <v>102</v>
      </c>
    </row>
    <row r="46" spans="1:6" ht="15" x14ac:dyDescent="0.2">
      <c r="A46" s="1"/>
      <c r="B46" s="1"/>
    </row>
    <row r="47" spans="1:6" ht="15" x14ac:dyDescent="0.2">
      <c r="A47" s="1"/>
      <c r="B47" s="1" t="s">
        <v>103</v>
      </c>
    </row>
    <row r="48" spans="1:6" ht="15" x14ac:dyDescent="0.2">
      <c r="A48" s="1"/>
      <c r="B48" s="1"/>
      <c r="C48" s="9" t="s">
        <v>7</v>
      </c>
      <c r="D48" s="9" t="s">
        <v>8</v>
      </c>
      <c r="E48" s="9" t="s">
        <v>9</v>
      </c>
      <c r="F48" s="9" t="s">
        <v>10</v>
      </c>
    </row>
    <row r="49" spans="1:6" ht="15" x14ac:dyDescent="0.2">
      <c r="A49" s="1"/>
      <c r="B49" s="1"/>
      <c r="C49" s="11" t="s">
        <v>104</v>
      </c>
      <c r="D49" s="10" t="s">
        <v>105</v>
      </c>
      <c r="E49" s="10" t="s">
        <v>13</v>
      </c>
      <c r="F49" s="10" t="s">
        <v>14</v>
      </c>
    </row>
    <row r="50" spans="1:6" ht="15" x14ac:dyDescent="0.2">
      <c r="A50" s="1"/>
      <c r="B50" s="1"/>
      <c r="C50" s="11" t="s">
        <v>106</v>
      </c>
      <c r="D50" s="10" t="s">
        <v>107</v>
      </c>
      <c r="E50" s="10" t="s">
        <v>13</v>
      </c>
      <c r="F50" s="10" t="s">
        <v>108</v>
      </c>
    </row>
    <row r="51" spans="1:6" ht="15" x14ac:dyDescent="0.2">
      <c r="A51" s="1"/>
      <c r="B51" s="1"/>
      <c r="C51" s="11" t="s">
        <v>109</v>
      </c>
      <c r="D51" s="10" t="s">
        <v>110</v>
      </c>
      <c r="E51" s="10" t="s">
        <v>28</v>
      </c>
      <c r="F51" s="10" t="s">
        <v>111</v>
      </c>
    </row>
    <row r="52" spans="1:6" ht="15" x14ac:dyDescent="0.2">
      <c r="A52" s="1"/>
      <c r="B52" s="1"/>
      <c r="C52" s="11" t="s">
        <v>112</v>
      </c>
      <c r="D52" s="10" t="s">
        <v>113</v>
      </c>
      <c r="E52" s="10" t="s">
        <v>28</v>
      </c>
      <c r="F52" s="10" t="s">
        <v>56</v>
      </c>
    </row>
    <row r="53" spans="1:6" ht="15" x14ac:dyDescent="0.2">
      <c r="A53" s="1"/>
      <c r="B53" s="1"/>
      <c r="C53" s="11" t="s">
        <v>114</v>
      </c>
      <c r="D53" s="10" t="s">
        <v>115</v>
      </c>
      <c r="E53" s="10" t="s">
        <v>24</v>
      </c>
      <c r="F53" s="10" t="s">
        <v>116</v>
      </c>
    </row>
    <row r="54" spans="1:6" ht="15" x14ac:dyDescent="0.2">
      <c r="A54" s="1"/>
      <c r="B54" s="1"/>
      <c r="C54" s="11" t="s">
        <v>117</v>
      </c>
      <c r="D54" s="10" t="s">
        <v>118</v>
      </c>
      <c r="E54" s="10" t="s">
        <v>13</v>
      </c>
      <c r="F54" s="10" t="s">
        <v>102</v>
      </c>
    </row>
    <row r="55" spans="1:6" ht="15" x14ac:dyDescent="0.2">
      <c r="A55" s="1"/>
      <c r="B55" s="1"/>
    </row>
    <row r="56" spans="1:6" ht="15" x14ac:dyDescent="0.2">
      <c r="A56" s="1"/>
      <c r="B56" s="1" t="s">
        <v>119</v>
      </c>
    </row>
    <row r="57" spans="1:6" ht="15" x14ac:dyDescent="0.2">
      <c r="A57" s="1"/>
      <c r="B57" s="1"/>
      <c r="C57" s="9" t="s">
        <v>7</v>
      </c>
      <c r="D57" s="9" t="s">
        <v>8</v>
      </c>
      <c r="E57" s="9" t="s">
        <v>9</v>
      </c>
      <c r="F57" s="9" t="s">
        <v>10</v>
      </c>
    </row>
    <row r="58" spans="1:6" ht="15" x14ac:dyDescent="0.2">
      <c r="A58" s="1"/>
      <c r="B58" s="1"/>
      <c r="C58" s="11" t="s">
        <v>120</v>
      </c>
      <c r="D58" s="10" t="s">
        <v>121</v>
      </c>
      <c r="E58" s="10" t="s">
        <v>13</v>
      </c>
      <c r="F58" s="10" t="s">
        <v>14</v>
      </c>
    </row>
    <row r="59" spans="1:6" ht="15" x14ac:dyDescent="0.2">
      <c r="A59" s="1"/>
      <c r="B59" s="1"/>
      <c r="C59" s="11" t="s">
        <v>122</v>
      </c>
      <c r="D59" s="10" t="s">
        <v>123</v>
      </c>
      <c r="E59" s="10" t="s">
        <v>13</v>
      </c>
      <c r="F59" s="10" t="s">
        <v>124</v>
      </c>
    </row>
    <row r="60" spans="1:6" ht="15" x14ac:dyDescent="0.2">
      <c r="A60" s="1"/>
      <c r="B60" s="1"/>
      <c r="C60" s="11" t="s">
        <v>125</v>
      </c>
      <c r="D60" s="10" t="s">
        <v>126</v>
      </c>
      <c r="E60" s="10" t="s">
        <v>20</v>
      </c>
      <c r="F60" s="10" t="s">
        <v>127</v>
      </c>
    </row>
    <row r="61" spans="1:6" ht="15" x14ac:dyDescent="0.2">
      <c r="A61" s="1"/>
      <c r="B61" s="1"/>
      <c r="C61" s="11" t="s">
        <v>128</v>
      </c>
      <c r="D61" s="10" t="s">
        <v>129</v>
      </c>
      <c r="E61" s="10" t="s">
        <v>28</v>
      </c>
      <c r="F61" s="10" t="s">
        <v>56</v>
      </c>
    </row>
    <row r="62" spans="1:6" ht="15" x14ac:dyDescent="0.2">
      <c r="A62" s="1"/>
      <c r="B62" s="1"/>
      <c r="C62" s="11" t="s">
        <v>130</v>
      </c>
      <c r="D62" s="10" t="s">
        <v>131</v>
      </c>
      <c r="E62" s="10" t="s">
        <v>20</v>
      </c>
      <c r="F62" s="10" t="s">
        <v>132</v>
      </c>
    </row>
    <row r="63" spans="1:6" ht="15" x14ac:dyDescent="0.2">
      <c r="A63" s="1"/>
      <c r="B63" s="1"/>
      <c r="C63" s="11" t="s">
        <v>133</v>
      </c>
      <c r="D63" s="10" t="s">
        <v>134</v>
      </c>
      <c r="E63" s="10" t="s">
        <v>13</v>
      </c>
      <c r="F63" s="10" t="s">
        <v>135</v>
      </c>
    </row>
    <row r="64" spans="1:6" ht="15" x14ac:dyDescent="0.2">
      <c r="A64" s="1"/>
      <c r="B64" s="1"/>
    </row>
    <row r="65" spans="1:6" ht="15" x14ac:dyDescent="0.2">
      <c r="A65" s="1"/>
      <c r="B65" s="1" t="s">
        <v>136</v>
      </c>
    </row>
    <row r="66" spans="1:6" ht="15" x14ac:dyDescent="0.2">
      <c r="A66" s="1"/>
      <c r="B66" s="1"/>
      <c r="C66" s="9" t="s">
        <v>7</v>
      </c>
      <c r="D66" s="9" t="s">
        <v>8</v>
      </c>
      <c r="E66" s="9" t="s">
        <v>9</v>
      </c>
      <c r="F66" s="9" t="s">
        <v>10</v>
      </c>
    </row>
    <row r="67" spans="1:6" ht="15" x14ac:dyDescent="0.2">
      <c r="A67" s="1"/>
      <c r="B67" s="1"/>
      <c r="C67" s="11" t="s">
        <v>137</v>
      </c>
      <c r="D67" s="10" t="s">
        <v>138</v>
      </c>
      <c r="E67" s="10" t="s">
        <v>13</v>
      </c>
      <c r="F67" s="10" t="s">
        <v>14</v>
      </c>
    </row>
    <row r="68" spans="1:6" ht="15" x14ac:dyDescent="0.2">
      <c r="A68" s="1"/>
      <c r="B68" s="1"/>
      <c r="C68" s="11" t="s">
        <v>139</v>
      </c>
      <c r="D68" s="10" t="s">
        <v>140</v>
      </c>
      <c r="E68" s="10" t="s">
        <v>13</v>
      </c>
      <c r="F68" s="10" t="s">
        <v>141</v>
      </c>
    </row>
    <row r="69" spans="1:6" ht="15" x14ac:dyDescent="0.2">
      <c r="A69" s="1"/>
      <c r="B69" s="1"/>
      <c r="C69" s="11" t="s">
        <v>142</v>
      </c>
      <c r="D69" s="10" t="s">
        <v>143</v>
      </c>
      <c r="E69" s="10" t="s">
        <v>13</v>
      </c>
      <c r="F69" s="10" t="s">
        <v>144</v>
      </c>
    </row>
    <row r="70" spans="1:6" ht="15" x14ac:dyDescent="0.2">
      <c r="A70" s="1"/>
      <c r="B70" s="1"/>
      <c r="C70" s="11" t="s">
        <v>145</v>
      </c>
      <c r="D70" s="10" t="s">
        <v>146</v>
      </c>
      <c r="E70" s="10" t="s">
        <v>24</v>
      </c>
      <c r="F70" s="10" t="s">
        <v>147</v>
      </c>
    </row>
    <row r="71" spans="1:6" ht="15" x14ac:dyDescent="0.2">
      <c r="A71" s="1"/>
      <c r="B71" s="1"/>
      <c r="C71" s="11" t="s">
        <v>148</v>
      </c>
      <c r="D71" s="10" t="s">
        <v>149</v>
      </c>
      <c r="E71" s="10" t="s">
        <v>24</v>
      </c>
      <c r="F71" s="10" t="s">
        <v>150</v>
      </c>
    </row>
    <row r="72" spans="1:6" ht="15" x14ac:dyDescent="0.2">
      <c r="A72" s="1"/>
      <c r="B72" s="1"/>
      <c r="C72" s="11" t="s">
        <v>151</v>
      </c>
      <c r="D72" s="10" t="s">
        <v>152</v>
      </c>
      <c r="E72" s="10" t="s">
        <v>13</v>
      </c>
      <c r="F72" s="10" t="s">
        <v>352</v>
      </c>
    </row>
    <row r="73" spans="1:6" ht="15" x14ac:dyDescent="0.2">
      <c r="A73" s="1"/>
      <c r="B73" s="1"/>
      <c r="C73" s="11" t="s">
        <v>153</v>
      </c>
      <c r="D73" s="10" t="s">
        <v>154</v>
      </c>
      <c r="E73" s="10" t="s">
        <v>28</v>
      </c>
      <c r="F73" s="10" t="s">
        <v>155</v>
      </c>
    </row>
    <row r="74" spans="1:6" ht="15" x14ac:dyDescent="0.2">
      <c r="A74" s="1"/>
      <c r="B74" s="1"/>
      <c r="C74" s="11" t="s">
        <v>156</v>
      </c>
      <c r="D74" s="10" t="s">
        <v>157</v>
      </c>
      <c r="E74" s="10" t="s">
        <v>28</v>
      </c>
      <c r="F74" s="10" t="s">
        <v>158</v>
      </c>
    </row>
    <row r="75" spans="1:6" ht="15" x14ac:dyDescent="0.2">
      <c r="A75" s="1"/>
      <c r="B75" s="1"/>
      <c r="C75" s="11" t="s">
        <v>159</v>
      </c>
      <c r="D75" s="10" t="s">
        <v>160</v>
      </c>
      <c r="E75" s="10" t="s">
        <v>28</v>
      </c>
      <c r="F75" s="10" t="s">
        <v>56</v>
      </c>
    </row>
    <row r="76" spans="1:6" ht="15" x14ac:dyDescent="0.2">
      <c r="A76" s="1"/>
      <c r="B76" s="1"/>
      <c r="C76" s="11" t="s">
        <v>161</v>
      </c>
      <c r="D76" s="10" t="s">
        <v>162</v>
      </c>
      <c r="E76" s="10" t="s">
        <v>24</v>
      </c>
      <c r="F76" s="10" t="s">
        <v>163</v>
      </c>
    </row>
    <row r="77" spans="1:6" ht="15" x14ac:dyDescent="0.2">
      <c r="A77" s="1"/>
      <c r="B77" s="1"/>
      <c r="C77" s="11" t="s">
        <v>164</v>
      </c>
      <c r="D77" s="10" t="s">
        <v>165</v>
      </c>
      <c r="E77" s="10" t="s">
        <v>13</v>
      </c>
      <c r="F77" s="10" t="s">
        <v>166</v>
      </c>
    </row>
    <row r="78" spans="1:6" ht="15" x14ac:dyDescent="0.2">
      <c r="A78" s="1"/>
      <c r="B78" s="1"/>
    </row>
    <row r="79" spans="1:6" ht="15" x14ac:dyDescent="0.2">
      <c r="A79" s="1"/>
      <c r="B79" s="1"/>
    </row>
    <row r="80" spans="1:6" ht="15" x14ac:dyDescent="0.2">
      <c r="A80" s="1"/>
      <c r="B80" s="1" t="s">
        <v>290</v>
      </c>
      <c r="C80" s="9" t="s">
        <v>7</v>
      </c>
      <c r="D80" s="9" t="s">
        <v>8</v>
      </c>
      <c r="E80" s="33" t="s">
        <v>9</v>
      </c>
      <c r="F80" s="33" t="s">
        <v>10</v>
      </c>
    </row>
    <row r="81" spans="1:6" ht="15" x14ac:dyDescent="0.2">
      <c r="A81" s="1"/>
      <c r="C81" s="11" t="s">
        <v>180</v>
      </c>
      <c r="D81" s="34" t="s">
        <v>353</v>
      </c>
      <c r="E81" s="34" t="s">
        <v>205</v>
      </c>
      <c r="F81" s="10" t="s">
        <v>14</v>
      </c>
    </row>
    <row r="82" spans="1:6" ht="15" x14ac:dyDescent="0.2">
      <c r="A82" s="1"/>
      <c r="B82" s="1"/>
      <c r="C82" s="11" t="s">
        <v>181</v>
      </c>
      <c r="D82" s="34" t="s">
        <v>287</v>
      </c>
      <c r="E82" s="34" t="s">
        <v>205</v>
      </c>
      <c r="F82" s="34" t="s">
        <v>354</v>
      </c>
    </row>
    <row r="83" spans="1:6" ht="15" x14ac:dyDescent="0.2">
      <c r="A83" s="1"/>
      <c r="B83" s="1"/>
      <c r="C83" s="11" t="s">
        <v>182</v>
      </c>
      <c r="D83" s="34" t="s">
        <v>288</v>
      </c>
      <c r="E83" s="34" t="s">
        <v>205</v>
      </c>
      <c r="F83" s="34" t="s">
        <v>355</v>
      </c>
    </row>
    <row r="84" spans="1:6" ht="15" x14ac:dyDescent="0.2">
      <c r="A84" s="1"/>
      <c r="B84" s="1"/>
      <c r="C84" s="11" t="s">
        <v>183</v>
      </c>
      <c r="D84" s="34" t="s">
        <v>291</v>
      </c>
      <c r="E84" s="34" t="s">
        <v>207</v>
      </c>
      <c r="F84" s="34" t="s">
        <v>356</v>
      </c>
    </row>
    <row r="85" spans="1:6" ht="15" x14ac:dyDescent="0.2">
      <c r="A85" s="1"/>
      <c r="B85" s="1"/>
      <c r="C85" s="11" t="s">
        <v>184</v>
      </c>
      <c r="D85" s="34" t="s">
        <v>292</v>
      </c>
      <c r="E85" s="34" t="s">
        <v>207</v>
      </c>
      <c r="F85" s="34" t="s">
        <v>357</v>
      </c>
    </row>
    <row r="86" spans="1:6" ht="15" x14ac:dyDescent="0.2">
      <c r="A86" s="1"/>
      <c r="B86" s="1"/>
      <c r="C86" s="11" t="s">
        <v>185</v>
      </c>
      <c r="D86" s="34" t="s">
        <v>293</v>
      </c>
      <c r="E86" s="34" t="s">
        <v>207</v>
      </c>
      <c r="F86" s="34" t="s">
        <v>358</v>
      </c>
    </row>
    <row r="87" spans="1:6" ht="15" x14ac:dyDescent="0.2">
      <c r="A87" s="1"/>
      <c r="B87" s="1"/>
      <c r="C87" s="11" t="s">
        <v>186</v>
      </c>
      <c r="D87" s="34" t="s">
        <v>359</v>
      </c>
      <c r="E87" s="34" t="s">
        <v>207</v>
      </c>
      <c r="F87" s="34" t="s">
        <v>360</v>
      </c>
    </row>
    <row r="88" spans="1:6" ht="15" x14ac:dyDescent="0.2">
      <c r="A88" s="1"/>
      <c r="B88" s="1"/>
      <c r="C88" s="11" t="s">
        <v>187</v>
      </c>
      <c r="D88" s="34" t="s">
        <v>289</v>
      </c>
      <c r="E88" s="34" t="s">
        <v>206</v>
      </c>
      <c r="F88" s="34" t="s">
        <v>361</v>
      </c>
    </row>
    <row r="89" spans="1:6" ht="15" x14ac:dyDescent="0.2">
      <c r="A89" s="1"/>
      <c r="B89" s="1"/>
      <c r="C89" s="11" t="s">
        <v>188</v>
      </c>
      <c r="D89" s="34" t="s">
        <v>294</v>
      </c>
      <c r="E89" s="34" t="s">
        <v>206</v>
      </c>
      <c r="F89" s="34" t="s">
        <v>362</v>
      </c>
    </row>
    <row r="90" spans="1:6" ht="15" x14ac:dyDescent="0.2">
      <c r="A90" s="1"/>
      <c r="B90" s="1"/>
      <c r="C90" s="11" t="s">
        <v>176</v>
      </c>
      <c r="D90" s="34" t="s">
        <v>363</v>
      </c>
      <c r="E90" s="34" t="s">
        <v>205</v>
      </c>
      <c r="F90" s="34" t="s">
        <v>364</v>
      </c>
    </row>
    <row r="91" spans="1:6" ht="15" x14ac:dyDescent="0.2">
      <c r="A91" s="1"/>
      <c r="B91" s="1"/>
      <c r="C91" s="11" t="s">
        <v>177</v>
      </c>
      <c r="D91" s="34" t="s">
        <v>365</v>
      </c>
      <c r="E91" s="34" t="s">
        <v>205</v>
      </c>
      <c r="F91" s="34" t="s">
        <v>366</v>
      </c>
    </row>
    <row r="92" spans="1:6" ht="15" x14ac:dyDescent="0.2">
      <c r="A92" s="1"/>
      <c r="B92" s="1"/>
      <c r="C92" s="11" t="s">
        <v>178</v>
      </c>
      <c r="D92" s="34" t="s">
        <v>367</v>
      </c>
      <c r="E92" s="34" t="s">
        <v>205</v>
      </c>
      <c r="F92" s="34" t="s">
        <v>368</v>
      </c>
    </row>
    <row r="93" spans="1:6" ht="15" x14ac:dyDescent="0.2">
      <c r="A93" s="1"/>
      <c r="B93" s="1"/>
      <c r="C93" s="11" t="s">
        <v>179</v>
      </c>
      <c r="D93" s="34" t="s">
        <v>295</v>
      </c>
      <c r="E93" s="34" t="s">
        <v>205</v>
      </c>
      <c r="F93" s="34" t="s">
        <v>369</v>
      </c>
    </row>
    <row r="94" spans="1:6" ht="15" x14ac:dyDescent="0.2">
      <c r="A94" s="1"/>
      <c r="B94" s="1"/>
    </row>
    <row r="95" spans="1:6" ht="15" x14ac:dyDescent="0.2">
      <c r="A95" s="1"/>
      <c r="B95" s="1"/>
    </row>
    <row r="96" spans="1:6" ht="15" x14ac:dyDescent="0.2">
      <c r="A96" s="1"/>
      <c r="B96" s="1"/>
    </row>
    <row r="97" spans="1:2" ht="15" x14ac:dyDescent="0.2">
      <c r="A97" s="1"/>
      <c r="B97" s="1"/>
    </row>
    <row r="98" spans="1:2" ht="15" x14ac:dyDescent="0.2">
      <c r="A98" s="1"/>
      <c r="B98" s="1"/>
    </row>
    <row r="99" spans="1:2" ht="15" x14ac:dyDescent="0.2">
      <c r="A99" s="1"/>
      <c r="B99" s="1"/>
    </row>
    <row r="100" spans="1:2" ht="15" x14ac:dyDescent="0.2">
      <c r="A100" s="1"/>
      <c r="B100" s="1"/>
    </row>
    <row r="101" spans="1:2" ht="15" x14ac:dyDescent="0.2">
      <c r="A101" s="1"/>
      <c r="B101" s="1"/>
    </row>
    <row r="102" spans="1:2" ht="15" x14ac:dyDescent="0.2">
      <c r="A102" s="1"/>
      <c r="B102" s="1"/>
    </row>
    <row r="103" spans="1:2" ht="15" x14ac:dyDescent="0.2">
      <c r="A103" s="1"/>
      <c r="B103" s="1"/>
    </row>
    <row r="104" spans="1:2" ht="15" x14ac:dyDescent="0.2">
      <c r="A104" s="1"/>
      <c r="B104" s="1"/>
    </row>
    <row r="105" spans="1:2" ht="15" x14ac:dyDescent="0.2">
      <c r="A105" s="1"/>
      <c r="B105" s="1"/>
    </row>
    <row r="106" spans="1:2" ht="15" x14ac:dyDescent="0.2">
      <c r="A106" s="1"/>
      <c r="B106" s="1"/>
    </row>
    <row r="107" spans="1:2" ht="15" x14ac:dyDescent="0.2">
      <c r="A107" s="1"/>
      <c r="B107" s="1"/>
    </row>
    <row r="108" spans="1:2" ht="15" x14ac:dyDescent="0.2">
      <c r="A108" s="1"/>
      <c r="B108" s="1"/>
    </row>
    <row r="109" spans="1:2" ht="15" x14ac:dyDescent="0.2">
      <c r="A109" s="1"/>
      <c r="B109" s="1"/>
    </row>
    <row r="110" spans="1:2" ht="15" x14ac:dyDescent="0.2">
      <c r="A110" s="1"/>
      <c r="B110" s="1"/>
    </row>
    <row r="111" spans="1:2" ht="15" x14ac:dyDescent="0.2">
      <c r="A111" s="1"/>
      <c r="B111" s="1"/>
    </row>
    <row r="112" spans="1:2" ht="15" x14ac:dyDescent="0.2">
      <c r="A112" s="1"/>
      <c r="B112" s="1"/>
    </row>
    <row r="113" spans="1:2" ht="15" x14ac:dyDescent="0.2">
      <c r="A113" s="1"/>
      <c r="B113" s="1"/>
    </row>
    <row r="114" spans="1:2" ht="15" x14ac:dyDescent="0.2">
      <c r="A114" s="1"/>
      <c r="B114" s="1"/>
    </row>
    <row r="115" spans="1:2" ht="15" x14ac:dyDescent="0.2">
      <c r="A115" s="1"/>
      <c r="B115" s="1"/>
    </row>
    <row r="116" spans="1:2" ht="15" x14ac:dyDescent="0.2">
      <c r="A116" s="1"/>
      <c r="B116" s="1"/>
    </row>
    <row r="117" spans="1:2" ht="15" x14ac:dyDescent="0.2">
      <c r="A117" s="1"/>
      <c r="B117" s="1"/>
    </row>
    <row r="118" spans="1:2" ht="15" x14ac:dyDescent="0.2">
      <c r="A118" s="1"/>
      <c r="B118" s="1"/>
    </row>
    <row r="119" spans="1:2" ht="15" x14ac:dyDescent="0.2">
      <c r="A119" s="1"/>
      <c r="B119" s="1"/>
    </row>
    <row r="120" spans="1:2" ht="15" x14ac:dyDescent="0.2">
      <c r="A120" s="1"/>
      <c r="B120" s="1"/>
    </row>
    <row r="121" spans="1:2" ht="15" x14ac:dyDescent="0.2">
      <c r="A121" s="1"/>
      <c r="B121" s="1"/>
    </row>
    <row r="122" spans="1:2" ht="15" x14ac:dyDescent="0.2">
      <c r="A122" s="1"/>
      <c r="B122" s="1"/>
    </row>
    <row r="123" spans="1:2" ht="15" x14ac:dyDescent="0.2">
      <c r="A123" s="1"/>
      <c r="B123" s="1"/>
    </row>
    <row r="124" spans="1:2" ht="15" x14ac:dyDescent="0.2">
      <c r="A124" s="1"/>
      <c r="B124" s="1"/>
    </row>
    <row r="125" spans="1:2" ht="15" x14ac:dyDescent="0.2">
      <c r="A125" s="1"/>
      <c r="B125" s="1"/>
    </row>
    <row r="126" spans="1:2" ht="15" x14ac:dyDescent="0.2">
      <c r="A126" s="1"/>
      <c r="B126" s="1"/>
    </row>
    <row r="127" spans="1:2" ht="15" x14ac:dyDescent="0.2">
      <c r="A127" s="1"/>
      <c r="B127" s="1"/>
    </row>
    <row r="128" spans="1:2" ht="15" x14ac:dyDescent="0.2">
      <c r="A128" s="1"/>
      <c r="B128" s="1"/>
    </row>
    <row r="129" spans="1:2" ht="15" x14ac:dyDescent="0.2">
      <c r="A129" s="1"/>
      <c r="B129" s="1"/>
    </row>
    <row r="130" spans="1:2" ht="15" x14ac:dyDescent="0.2">
      <c r="A130" s="1"/>
      <c r="B130" s="1"/>
    </row>
    <row r="131" spans="1:2" ht="15" x14ac:dyDescent="0.2">
      <c r="A131" s="1"/>
      <c r="B131" s="1"/>
    </row>
    <row r="132" spans="1:2" ht="15" x14ac:dyDescent="0.2">
      <c r="A132" s="1"/>
      <c r="B132" s="1"/>
    </row>
    <row r="133" spans="1:2" ht="15" x14ac:dyDescent="0.2">
      <c r="A133" s="1"/>
      <c r="B133" s="1"/>
    </row>
    <row r="134" spans="1:2" ht="15" x14ac:dyDescent="0.2">
      <c r="A134" s="1"/>
      <c r="B134" s="1"/>
    </row>
    <row r="135" spans="1:2" ht="15" x14ac:dyDescent="0.2">
      <c r="A135" s="1"/>
      <c r="B135" s="1"/>
    </row>
    <row r="136" spans="1:2" ht="15" x14ac:dyDescent="0.2">
      <c r="A136" s="1"/>
      <c r="B136" s="1"/>
    </row>
    <row r="137" spans="1:2" ht="15" x14ac:dyDescent="0.2">
      <c r="A137" s="1"/>
      <c r="B137" s="1"/>
    </row>
    <row r="138" spans="1:2" ht="15" x14ac:dyDescent="0.2">
      <c r="A138" s="1"/>
      <c r="B138" s="1"/>
    </row>
    <row r="139" spans="1:2" ht="15" x14ac:dyDescent="0.2">
      <c r="A139" s="1"/>
      <c r="B139" s="1"/>
    </row>
    <row r="140" spans="1:2" ht="15" x14ac:dyDescent="0.2">
      <c r="A140" s="1"/>
      <c r="B140" s="1"/>
    </row>
    <row r="141" spans="1:2" ht="15" x14ac:dyDescent="0.2">
      <c r="A141" s="1"/>
      <c r="B141" s="1"/>
    </row>
    <row r="142" spans="1:2" ht="15" x14ac:dyDescent="0.2">
      <c r="A142" s="1"/>
      <c r="B142" s="1"/>
    </row>
    <row r="143" spans="1:2" ht="15" x14ac:dyDescent="0.2">
      <c r="A143" s="1"/>
      <c r="B143" s="1"/>
    </row>
    <row r="144" spans="1:2" ht="15" x14ac:dyDescent="0.2">
      <c r="A144" s="1"/>
      <c r="B144" s="1"/>
    </row>
    <row r="145" spans="1:2" ht="15" x14ac:dyDescent="0.2">
      <c r="A145" s="1"/>
      <c r="B145" s="1"/>
    </row>
    <row r="146" spans="1:2" ht="15" x14ac:dyDescent="0.2">
      <c r="A146" s="1"/>
      <c r="B146" s="1"/>
    </row>
    <row r="147" spans="1:2" ht="15" x14ac:dyDescent="0.2">
      <c r="A147" s="1"/>
      <c r="B147" s="1"/>
    </row>
    <row r="148" spans="1:2" ht="15" x14ac:dyDescent="0.2">
      <c r="A148" s="1"/>
      <c r="B148" s="1"/>
    </row>
    <row r="149" spans="1:2" ht="15" x14ac:dyDescent="0.2">
      <c r="A149" s="1"/>
      <c r="B149" s="1"/>
    </row>
    <row r="150" spans="1:2" ht="15" x14ac:dyDescent="0.2">
      <c r="A150" s="1"/>
      <c r="B150" s="1"/>
    </row>
    <row r="151" spans="1:2" ht="15" x14ac:dyDescent="0.2">
      <c r="A151" s="1"/>
      <c r="B151" s="1"/>
    </row>
    <row r="152" spans="1:2" ht="15" x14ac:dyDescent="0.2">
      <c r="A152" s="1"/>
      <c r="B152" s="1"/>
    </row>
    <row r="153" spans="1:2" ht="15" x14ac:dyDescent="0.2">
      <c r="A153" s="1"/>
      <c r="B153" s="1"/>
    </row>
    <row r="154" spans="1:2" ht="15" x14ac:dyDescent="0.2">
      <c r="A154" s="1"/>
      <c r="B154" s="1"/>
    </row>
    <row r="155" spans="1:2" ht="15" x14ac:dyDescent="0.2">
      <c r="A155" s="1"/>
      <c r="B155" s="1"/>
    </row>
    <row r="156" spans="1:2" ht="15" x14ac:dyDescent="0.2">
      <c r="A156" s="1"/>
      <c r="B156" s="1"/>
    </row>
    <row r="157" spans="1:2" ht="15" x14ac:dyDescent="0.2">
      <c r="A157" s="1"/>
      <c r="B157" s="1"/>
    </row>
    <row r="158" spans="1:2" ht="15" x14ac:dyDescent="0.2">
      <c r="A158" s="1"/>
      <c r="B158" s="1"/>
    </row>
    <row r="159" spans="1:2" ht="15" x14ac:dyDescent="0.2">
      <c r="A159" s="1"/>
      <c r="B159" s="1"/>
    </row>
    <row r="160" spans="1:2" ht="15" x14ac:dyDescent="0.2">
      <c r="A160" s="1"/>
      <c r="B160" s="1"/>
    </row>
    <row r="161" spans="1:2" ht="15" x14ac:dyDescent="0.2">
      <c r="A161" s="1"/>
      <c r="B161" s="1"/>
    </row>
    <row r="162" spans="1:2" ht="15" x14ac:dyDescent="0.2">
      <c r="A162" s="1"/>
      <c r="B162" s="1"/>
    </row>
    <row r="163" spans="1:2" ht="15" x14ac:dyDescent="0.2">
      <c r="A163" s="1"/>
      <c r="B163" s="1"/>
    </row>
    <row r="164" spans="1:2" ht="15" x14ac:dyDescent="0.2">
      <c r="A164" s="1"/>
      <c r="B164" s="1"/>
    </row>
    <row r="165" spans="1:2" ht="15" x14ac:dyDescent="0.2">
      <c r="A165" s="1"/>
      <c r="B165" s="1"/>
    </row>
    <row r="166" spans="1:2" ht="15" x14ac:dyDescent="0.2">
      <c r="A166" s="1"/>
      <c r="B166" s="1"/>
    </row>
    <row r="167" spans="1:2" ht="15" x14ac:dyDescent="0.2">
      <c r="A167" s="1"/>
      <c r="B167" s="1"/>
    </row>
    <row r="168" spans="1:2" ht="15" x14ac:dyDescent="0.2">
      <c r="A168" s="1"/>
      <c r="B168" s="1"/>
    </row>
    <row r="169" spans="1:2" ht="15" x14ac:dyDescent="0.2">
      <c r="A169" s="1"/>
      <c r="B169" s="1"/>
    </row>
    <row r="170" spans="1:2" ht="15" x14ac:dyDescent="0.2">
      <c r="A170" s="1"/>
      <c r="B170" s="1"/>
    </row>
    <row r="171" spans="1:2" ht="15" x14ac:dyDescent="0.2">
      <c r="A171" s="1"/>
      <c r="B171" s="1"/>
    </row>
    <row r="172" spans="1:2" ht="15" x14ac:dyDescent="0.2">
      <c r="A172" s="1"/>
      <c r="B172" s="1"/>
    </row>
    <row r="173" spans="1:2" ht="15" x14ac:dyDescent="0.2">
      <c r="A173" s="1"/>
      <c r="B173" s="1"/>
    </row>
    <row r="174" spans="1:2" ht="15" x14ac:dyDescent="0.2">
      <c r="A174" s="1"/>
      <c r="B174" s="1"/>
    </row>
    <row r="175" spans="1:2" ht="15" x14ac:dyDescent="0.2">
      <c r="A175" s="1"/>
      <c r="B175" s="1"/>
    </row>
    <row r="176" spans="1:2" ht="15" x14ac:dyDescent="0.2">
      <c r="A176" s="1"/>
      <c r="B176" s="1"/>
    </row>
    <row r="177" spans="1:2" ht="15" x14ac:dyDescent="0.2">
      <c r="A177" s="1"/>
      <c r="B177" s="1"/>
    </row>
    <row r="178" spans="1:2" ht="15" x14ac:dyDescent="0.2">
      <c r="A178" s="1"/>
      <c r="B178" s="1"/>
    </row>
    <row r="179" spans="1:2" ht="15" x14ac:dyDescent="0.2">
      <c r="A179" s="1"/>
      <c r="B179" s="1"/>
    </row>
    <row r="180" spans="1:2" ht="15" x14ac:dyDescent="0.2">
      <c r="A180" s="1"/>
      <c r="B180" s="1"/>
    </row>
    <row r="181" spans="1:2" ht="15" x14ac:dyDescent="0.2">
      <c r="A181" s="1"/>
      <c r="B181" s="1"/>
    </row>
    <row r="182" spans="1:2" ht="15" x14ac:dyDescent="0.2">
      <c r="A182" s="1"/>
      <c r="B182" s="1"/>
    </row>
    <row r="183" spans="1:2" ht="15" x14ac:dyDescent="0.2">
      <c r="A183" s="1"/>
      <c r="B183" s="1"/>
    </row>
    <row r="184" spans="1:2" ht="15" x14ac:dyDescent="0.2">
      <c r="A184" s="1"/>
      <c r="B184" s="1"/>
    </row>
    <row r="185" spans="1:2" ht="15" x14ac:dyDescent="0.2">
      <c r="A185" s="1"/>
      <c r="B185" s="1"/>
    </row>
    <row r="186" spans="1:2" ht="15" x14ac:dyDescent="0.2">
      <c r="A186" s="1"/>
      <c r="B186" s="1"/>
    </row>
    <row r="187" spans="1:2" ht="15" x14ac:dyDescent="0.2">
      <c r="A187" s="1"/>
      <c r="B187" s="1"/>
    </row>
    <row r="188" spans="1:2" ht="15" x14ac:dyDescent="0.2">
      <c r="A188" s="1"/>
      <c r="B188" s="1"/>
    </row>
    <row r="189" spans="1:2" ht="15" x14ac:dyDescent="0.2">
      <c r="A189" s="1"/>
      <c r="B189" s="1"/>
    </row>
    <row r="190" spans="1:2" ht="15" x14ac:dyDescent="0.2">
      <c r="A190" s="1"/>
      <c r="B190" s="1"/>
    </row>
    <row r="191" spans="1:2" ht="15" x14ac:dyDescent="0.2">
      <c r="A191" s="1"/>
      <c r="B191" s="1"/>
    </row>
    <row r="192" spans="1:2" ht="15" x14ac:dyDescent="0.2">
      <c r="A192" s="1"/>
      <c r="B192" s="1"/>
    </row>
    <row r="193" spans="1:2" ht="15" x14ac:dyDescent="0.2">
      <c r="A193" s="1"/>
      <c r="B193" s="1"/>
    </row>
    <row r="194" spans="1:2" ht="15" x14ac:dyDescent="0.2">
      <c r="A194" s="1"/>
      <c r="B194" s="1"/>
    </row>
    <row r="195" spans="1:2" ht="15" x14ac:dyDescent="0.2">
      <c r="A195" s="1"/>
      <c r="B195" s="1"/>
    </row>
    <row r="196" spans="1:2" ht="15" x14ac:dyDescent="0.2">
      <c r="A196" s="1"/>
      <c r="B196" s="1"/>
    </row>
    <row r="197" spans="1:2" ht="15" x14ac:dyDescent="0.2">
      <c r="A197" s="1"/>
      <c r="B197" s="1"/>
    </row>
    <row r="198" spans="1:2" ht="15" x14ac:dyDescent="0.2">
      <c r="A198" s="1"/>
      <c r="B198" s="1"/>
    </row>
    <row r="199" spans="1:2" ht="15" x14ac:dyDescent="0.2">
      <c r="A199" s="1"/>
      <c r="B199" s="1"/>
    </row>
    <row r="200" spans="1:2" ht="15" x14ac:dyDescent="0.2">
      <c r="A200" s="1"/>
      <c r="B200" s="1"/>
    </row>
    <row r="201" spans="1:2" ht="15" x14ac:dyDescent="0.2">
      <c r="A201" s="1"/>
      <c r="B201" s="1"/>
    </row>
    <row r="202" spans="1:2" ht="15" x14ac:dyDescent="0.2">
      <c r="A202" s="1"/>
      <c r="B202" s="1"/>
    </row>
    <row r="203" spans="1:2" ht="15" x14ac:dyDescent="0.2">
      <c r="A203" s="1"/>
      <c r="B203" s="1"/>
    </row>
    <row r="204" spans="1:2" ht="15" x14ac:dyDescent="0.2">
      <c r="A204" s="1"/>
      <c r="B204" s="1"/>
    </row>
    <row r="205" spans="1:2" ht="15" x14ac:dyDescent="0.2">
      <c r="A205" s="1"/>
      <c r="B205" s="1"/>
    </row>
    <row r="206" spans="1:2" ht="15" x14ac:dyDescent="0.2">
      <c r="A206" s="1"/>
      <c r="B206" s="1"/>
    </row>
    <row r="207" spans="1:2" ht="15" x14ac:dyDescent="0.2">
      <c r="A207" s="1"/>
      <c r="B207" s="1"/>
    </row>
    <row r="208" spans="1:2" ht="15" x14ac:dyDescent="0.2">
      <c r="A208" s="1"/>
      <c r="B208" s="1"/>
    </row>
    <row r="209" spans="1:2" ht="15" x14ac:dyDescent="0.2">
      <c r="A209" s="1"/>
      <c r="B209" s="1"/>
    </row>
    <row r="210" spans="1:2" ht="15" x14ac:dyDescent="0.2">
      <c r="A210" s="1"/>
      <c r="B210" s="1"/>
    </row>
    <row r="211" spans="1:2" ht="15" x14ac:dyDescent="0.2">
      <c r="A211" s="1"/>
      <c r="B211" s="1"/>
    </row>
    <row r="212" spans="1:2" ht="15" x14ac:dyDescent="0.2">
      <c r="A212" s="1"/>
      <c r="B212" s="1"/>
    </row>
    <row r="213" spans="1:2" ht="15" x14ac:dyDescent="0.2">
      <c r="A213" s="1"/>
      <c r="B213" s="1"/>
    </row>
    <row r="214" spans="1:2" ht="15" x14ac:dyDescent="0.2">
      <c r="A214" s="1"/>
      <c r="B214" s="1"/>
    </row>
    <row r="215" spans="1:2" ht="15" x14ac:dyDescent="0.2">
      <c r="A215" s="1"/>
      <c r="B215" s="1"/>
    </row>
    <row r="216" spans="1:2" ht="15" x14ac:dyDescent="0.2">
      <c r="A216" s="1"/>
      <c r="B216" s="1"/>
    </row>
    <row r="217" spans="1:2" ht="15" x14ac:dyDescent="0.2">
      <c r="A217" s="1"/>
      <c r="B217" s="1"/>
    </row>
    <row r="218" spans="1:2" ht="15" x14ac:dyDescent="0.2">
      <c r="A218" s="1"/>
      <c r="B218" s="1"/>
    </row>
    <row r="219" spans="1:2" ht="15" x14ac:dyDescent="0.2">
      <c r="A219" s="1"/>
      <c r="B219" s="1"/>
    </row>
    <row r="220" spans="1:2" ht="15" x14ac:dyDescent="0.2">
      <c r="A220" s="1"/>
      <c r="B220" s="1"/>
    </row>
    <row r="221" spans="1:2" ht="15" x14ac:dyDescent="0.2">
      <c r="A221" s="1"/>
      <c r="B221" s="1"/>
    </row>
    <row r="222" spans="1:2" ht="15" x14ac:dyDescent="0.2">
      <c r="A222" s="1"/>
      <c r="B222" s="1"/>
    </row>
    <row r="223" spans="1:2" ht="15" x14ac:dyDescent="0.2">
      <c r="A223" s="1"/>
      <c r="B223" s="1"/>
    </row>
    <row r="224" spans="1:2" ht="15" x14ac:dyDescent="0.2">
      <c r="A224" s="1"/>
      <c r="B224" s="1"/>
    </row>
    <row r="225" spans="1:2" ht="15" x14ac:dyDescent="0.2">
      <c r="A225" s="1"/>
      <c r="B225" s="1"/>
    </row>
    <row r="226" spans="1:2" ht="15" x14ac:dyDescent="0.2">
      <c r="A226" s="1"/>
      <c r="B226" s="1"/>
    </row>
    <row r="227" spans="1:2" ht="15" x14ac:dyDescent="0.2">
      <c r="A227" s="1"/>
      <c r="B227" s="1"/>
    </row>
    <row r="228" spans="1:2" ht="15" x14ac:dyDescent="0.2">
      <c r="A228" s="1"/>
      <c r="B228" s="1"/>
    </row>
    <row r="229" spans="1:2" ht="15" x14ac:dyDescent="0.2">
      <c r="A229" s="1"/>
      <c r="B229" s="1"/>
    </row>
    <row r="230" spans="1:2" ht="15" x14ac:dyDescent="0.2">
      <c r="A230" s="1"/>
      <c r="B230" s="1"/>
    </row>
    <row r="231" spans="1:2" ht="15" x14ac:dyDescent="0.2">
      <c r="A231" s="1"/>
      <c r="B231" s="1"/>
    </row>
    <row r="232" spans="1:2" ht="15" x14ac:dyDescent="0.2">
      <c r="A232" s="1"/>
      <c r="B232" s="1"/>
    </row>
    <row r="233" spans="1:2" ht="15" x14ac:dyDescent="0.2">
      <c r="A233" s="1"/>
      <c r="B233" s="1"/>
    </row>
    <row r="234" spans="1:2" ht="15" x14ac:dyDescent="0.2">
      <c r="A234" s="1"/>
      <c r="B234" s="1"/>
    </row>
    <row r="235" spans="1:2" ht="15" x14ac:dyDescent="0.2">
      <c r="A235" s="1"/>
      <c r="B235" s="1"/>
    </row>
    <row r="236" spans="1:2" ht="15" x14ac:dyDescent="0.2">
      <c r="A236" s="1"/>
      <c r="B236" s="1"/>
    </row>
    <row r="237" spans="1:2" ht="15" x14ac:dyDescent="0.2">
      <c r="A237" s="1"/>
      <c r="B237" s="1"/>
    </row>
    <row r="238" spans="1:2" ht="15" x14ac:dyDescent="0.2">
      <c r="A238" s="1"/>
      <c r="B238" s="1"/>
    </row>
    <row r="239" spans="1:2" ht="15" x14ac:dyDescent="0.2">
      <c r="A239" s="1"/>
      <c r="B239" s="1"/>
    </row>
    <row r="240" spans="1:2" ht="15" x14ac:dyDescent="0.2">
      <c r="A240" s="1"/>
      <c r="B240" s="1"/>
    </row>
    <row r="241" spans="1:2" ht="15" x14ac:dyDescent="0.2">
      <c r="A241" s="1"/>
      <c r="B241" s="1"/>
    </row>
    <row r="242" spans="1:2" ht="15" x14ac:dyDescent="0.2">
      <c r="A242" s="1"/>
      <c r="B242" s="1"/>
    </row>
    <row r="243" spans="1:2" ht="15" x14ac:dyDescent="0.2">
      <c r="A243" s="1"/>
      <c r="B243" s="1"/>
    </row>
    <row r="244" spans="1:2" ht="15" x14ac:dyDescent="0.2">
      <c r="A244" s="1"/>
      <c r="B244" s="1"/>
    </row>
    <row r="245" spans="1:2" ht="15" x14ac:dyDescent="0.2">
      <c r="A245" s="1"/>
      <c r="B245" s="1"/>
    </row>
    <row r="246" spans="1:2" ht="15" x14ac:dyDescent="0.2">
      <c r="A246" s="1"/>
      <c r="B246" s="1"/>
    </row>
    <row r="247" spans="1:2" ht="15" x14ac:dyDescent="0.2">
      <c r="A247" s="1"/>
      <c r="B247" s="1"/>
    </row>
    <row r="248" spans="1:2" ht="15" x14ac:dyDescent="0.2">
      <c r="A248" s="1"/>
      <c r="B248" s="1"/>
    </row>
    <row r="249" spans="1:2" ht="15" x14ac:dyDescent="0.2">
      <c r="A249" s="1"/>
      <c r="B249" s="1"/>
    </row>
    <row r="250" spans="1:2" ht="15" x14ac:dyDescent="0.2">
      <c r="A250" s="1"/>
      <c r="B250" s="1"/>
    </row>
    <row r="251" spans="1:2" ht="15" x14ac:dyDescent="0.2">
      <c r="A251" s="1"/>
      <c r="B251" s="1"/>
    </row>
    <row r="252" spans="1:2" ht="15" x14ac:dyDescent="0.2">
      <c r="A252" s="1"/>
      <c r="B252" s="1"/>
    </row>
    <row r="253" spans="1:2" ht="15" x14ac:dyDescent="0.2">
      <c r="A253" s="1"/>
      <c r="B253" s="1"/>
    </row>
    <row r="254" spans="1:2" ht="15" x14ac:dyDescent="0.2">
      <c r="A254" s="1"/>
      <c r="B254" s="1"/>
    </row>
    <row r="255" spans="1:2" ht="15" x14ac:dyDescent="0.2">
      <c r="A255" s="1"/>
      <c r="B255" s="1"/>
    </row>
    <row r="256" spans="1:2" ht="15" x14ac:dyDescent="0.2">
      <c r="A256" s="1"/>
      <c r="B256" s="1"/>
    </row>
    <row r="257" spans="1:2" ht="15" x14ac:dyDescent="0.2">
      <c r="A257" s="1"/>
      <c r="B257" s="1"/>
    </row>
    <row r="258" spans="1:2" ht="15" x14ac:dyDescent="0.2">
      <c r="A258" s="1"/>
      <c r="B258" s="1"/>
    </row>
    <row r="259" spans="1:2" ht="15" x14ac:dyDescent="0.2">
      <c r="A259" s="1"/>
      <c r="B259" s="1"/>
    </row>
    <row r="260" spans="1:2" ht="15" x14ac:dyDescent="0.2">
      <c r="A260" s="1"/>
      <c r="B260" s="1"/>
    </row>
    <row r="261" spans="1:2" ht="15" x14ac:dyDescent="0.2">
      <c r="A261" s="1"/>
      <c r="B261" s="1"/>
    </row>
    <row r="262" spans="1:2" ht="15" x14ac:dyDescent="0.2">
      <c r="A262" s="1"/>
      <c r="B262" s="1"/>
    </row>
    <row r="263" spans="1:2" ht="15" x14ac:dyDescent="0.2">
      <c r="A263" s="1"/>
      <c r="B263" s="1"/>
    </row>
    <row r="264" spans="1:2" ht="15" x14ac:dyDescent="0.2">
      <c r="A264" s="1"/>
      <c r="B264" s="1"/>
    </row>
    <row r="265" spans="1:2" ht="15" x14ac:dyDescent="0.2">
      <c r="A265" s="1"/>
      <c r="B265" s="1"/>
    </row>
    <row r="266" spans="1:2" ht="15" x14ac:dyDescent="0.2">
      <c r="A266" s="1"/>
      <c r="B266" s="1"/>
    </row>
    <row r="267" spans="1:2" ht="15" x14ac:dyDescent="0.2">
      <c r="A267" s="1"/>
      <c r="B267" s="1"/>
    </row>
    <row r="268" spans="1:2" ht="15" x14ac:dyDescent="0.2">
      <c r="A268" s="1"/>
      <c r="B268" s="1"/>
    </row>
    <row r="269" spans="1:2" ht="15" x14ac:dyDescent="0.2">
      <c r="A269" s="1"/>
      <c r="B269" s="1"/>
    </row>
    <row r="270" spans="1:2" ht="15" x14ac:dyDescent="0.2">
      <c r="A270" s="1"/>
      <c r="B270" s="1"/>
    </row>
    <row r="271" spans="1:2" ht="15" x14ac:dyDescent="0.2">
      <c r="A271" s="1"/>
      <c r="B271" s="1"/>
    </row>
    <row r="272" spans="1:2" ht="15" x14ac:dyDescent="0.2">
      <c r="A272" s="1"/>
      <c r="B272" s="1"/>
    </row>
    <row r="273" spans="1:2" ht="15" x14ac:dyDescent="0.2">
      <c r="A273" s="1"/>
      <c r="B273" s="1"/>
    </row>
    <row r="274" spans="1:2" ht="15" x14ac:dyDescent="0.2">
      <c r="A274" s="1"/>
      <c r="B274" s="1"/>
    </row>
    <row r="275" spans="1:2" ht="15" x14ac:dyDescent="0.2">
      <c r="A275" s="1"/>
      <c r="B275" s="1"/>
    </row>
    <row r="276" spans="1:2" ht="15" x14ac:dyDescent="0.2">
      <c r="A276" s="1"/>
      <c r="B276" s="1"/>
    </row>
    <row r="277" spans="1:2" ht="15" x14ac:dyDescent="0.2">
      <c r="A277" s="1"/>
      <c r="B277" s="1"/>
    </row>
    <row r="278" spans="1:2" ht="15" x14ac:dyDescent="0.2">
      <c r="A278" s="1"/>
      <c r="B278" s="1"/>
    </row>
    <row r="279" spans="1:2" ht="15" x14ac:dyDescent="0.2">
      <c r="A279" s="1"/>
      <c r="B279" s="1"/>
    </row>
    <row r="280" spans="1:2" ht="15" x14ac:dyDescent="0.2">
      <c r="A280" s="1"/>
      <c r="B280" s="1"/>
    </row>
    <row r="281" spans="1:2" ht="15" x14ac:dyDescent="0.2">
      <c r="A281" s="1"/>
      <c r="B281" s="1"/>
    </row>
    <row r="282" spans="1:2" ht="15" x14ac:dyDescent="0.2">
      <c r="A282" s="1"/>
      <c r="B282" s="1"/>
    </row>
    <row r="283" spans="1:2" ht="15" x14ac:dyDescent="0.2">
      <c r="A283" s="1"/>
      <c r="B283" s="1"/>
    </row>
    <row r="284" spans="1:2" ht="15" x14ac:dyDescent="0.2">
      <c r="A284" s="1"/>
      <c r="B284" s="1"/>
    </row>
    <row r="285" spans="1:2" ht="15" x14ac:dyDescent="0.2">
      <c r="A285" s="1"/>
      <c r="B285" s="1"/>
    </row>
    <row r="286" spans="1:2" ht="15" x14ac:dyDescent="0.2">
      <c r="A286" s="1"/>
      <c r="B286" s="1"/>
    </row>
    <row r="287" spans="1:2" ht="15" x14ac:dyDescent="0.2">
      <c r="A287" s="1"/>
      <c r="B287" s="1"/>
    </row>
    <row r="288" spans="1:2" ht="15" x14ac:dyDescent="0.2">
      <c r="A288" s="1"/>
      <c r="B288" s="1"/>
    </row>
    <row r="289" spans="1:2" ht="15" x14ac:dyDescent="0.2">
      <c r="A289" s="1"/>
      <c r="B289" s="1"/>
    </row>
    <row r="290" spans="1:2" ht="15" x14ac:dyDescent="0.2">
      <c r="A290" s="1"/>
      <c r="B290" s="1"/>
    </row>
    <row r="291" spans="1:2" ht="15" x14ac:dyDescent="0.2">
      <c r="A291" s="1"/>
      <c r="B291" s="1"/>
    </row>
    <row r="292" spans="1:2" ht="15" x14ac:dyDescent="0.2">
      <c r="A292" s="1"/>
      <c r="B292" s="1"/>
    </row>
    <row r="293" spans="1:2" ht="15" x14ac:dyDescent="0.2">
      <c r="A293" s="1"/>
      <c r="B293" s="1"/>
    </row>
    <row r="294" spans="1:2" ht="15" x14ac:dyDescent="0.2">
      <c r="A294" s="1"/>
      <c r="B294" s="1"/>
    </row>
    <row r="295" spans="1:2" ht="15" x14ac:dyDescent="0.2">
      <c r="A295" s="1"/>
      <c r="B295" s="1"/>
    </row>
    <row r="296" spans="1:2" ht="15" x14ac:dyDescent="0.2">
      <c r="A296" s="1"/>
      <c r="B296" s="1"/>
    </row>
    <row r="297" spans="1:2" ht="15" x14ac:dyDescent="0.2">
      <c r="A297" s="1"/>
      <c r="B297" s="1"/>
    </row>
    <row r="298" spans="1:2" ht="15" x14ac:dyDescent="0.2">
      <c r="A298" s="1"/>
      <c r="B298" s="1"/>
    </row>
    <row r="299" spans="1:2" ht="15" x14ac:dyDescent="0.2">
      <c r="A299" s="1"/>
      <c r="B299" s="1"/>
    </row>
    <row r="300" spans="1:2" ht="15" x14ac:dyDescent="0.2">
      <c r="A300" s="1"/>
      <c r="B300" s="1"/>
    </row>
    <row r="301" spans="1:2" ht="15" x14ac:dyDescent="0.2">
      <c r="A301" s="1"/>
      <c r="B301" s="1"/>
    </row>
    <row r="302" spans="1:2" ht="15" x14ac:dyDescent="0.2">
      <c r="A302" s="1"/>
      <c r="B302" s="1"/>
    </row>
    <row r="303" spans="1:2" ht="15" x14ac:dyDescent="0.2">
      <c r="A303" s="1"/>
      <c r="B303" s="1"/>
    </row>
    <row r="304" spans="1:2" ht="15" x14ac:dyDescent="0.2">
      <c r="A304" s="1"/>
      <c r="B304" s="1"/>
    </row>
    <row r="305" spans="1:2" ht="15" x14ac:dyDescent="0.2">
      <c r="A305" s="1"/>
      <c r="B305" s="1"/>
    </row>
    <row r="306" spans="1:2" ht="15" x14ac:dyDescent="0.2">
      <c r="A306" s="1"/>
      <c r="B306" s="1"/>
    </row>
    <row r="307" spans="1:2" ht="15" x14ac:dyDescent="0.2">
      <c r="A307" s="1"/>
      <c r="B307" s="1"/>
    </row>
    <row r="308" spans="1:2" ht="15" x14ac:dyDescent="0.2">
      <c r="A308" s="1"/>
      <c r="B308" s="1"/>
    </row>
    <row r="309" spans="1:2" ht="15" x14ac:dyDescent="0.2">
      <c r="A309" s="1"/>
      <c r="B309" s="1"/>
    </row>
    <row r="310" spans="1:2" ht="15" x14ac:dyDescent="0.2">
      <c r="A310" s="1"/>
      <c r="B310" s="1"/>
    </row>
    <row r="311" spans="1:2" ht="15" x14ac:dyDescent="0.2">
      <c r="A311" s="1"/>
      <c r="B311" s="1"/>
    </row>
    <row r="312" spans="1:2" ht="15" x14ac:dyDescent="0.2">
      <c r="A312" s="1"/>
      <c r="B312" s="1"/>
    </row>
    <row r="313" spans="1:2" ht="15" x14ac:dyDescent="0.2">
      <c r="A313" s="1"/>
      <c r="B313" s="1"/>
    </row>
    <row r="314" spans="1:2" ht="15" x14ac:dyDescent="0.2">
      <c r="A314" s="1"/>
      <c r="B314" s="1"/>
    </row>
    <row r="315" spans="1:2" ht="15" x14ac:dyDescent="0.2">
      <c r="A315" s="1"/>
      <c r="B315" s="1"/>
    </row>
    <row r="316" spans="1:2" ht="15" x14ac:dyDescent="0.2">
      <c r="A316" s="1"/>
      <c r="B316" s="1"/>
    </row>
    <row r="317" spans="1:2" ht="15" x14ac:dyDescent="0.2">
      <c r="A317" s="1"/>
      <c r="B317" s="1"/>
    </row>
    <row r="318" spans="1:2" ht="15" x14ac:dyDescent="0.2">
      <c r="A318" s="1"/>
      <c r="B318" s="1"/>
    </row>
    <row r="319" spans="1:2" ht="15" x14ac:dyDescent="0.2">
      <c r="A319" s="1"/>
      <c r="B319" s="1"/>
    </row>
    <row r="320" spans="1:2" ht="15" x14ac:dyDescent="0.2">
      <c r="A320" s="1"/>
      <c r="B320" s="1"/>
    </row>
    <row r="321" spans="1:2" ht="15" x14ac:dyDescent="0.2">
      <c r="A321" s="1"/>
      <c r="B321" s="1"/>
    </row>
    <row r="322" spans="1:2" ht="15" x14ac:dyDescent="0.2">
      <c r="A322" s="1"/>
      <c r="B322" s="1"/>
    </row>
    <row r="323" spans="1:2" ht="15" x14ac:dyDescent="0.2">
      <c r="A323" s="1"/>
      <c r="B323" s="1"/>
    </row>
    <row r="324" spans="1:2" ht="15" x14ac:dyDescent="0.2">
      <c r="A324" s="1"/>
      <c r="B324" s="1"/>
    </row>
    <row r="325" spans="1:2" ht="15" x14ac:dyDescent="0.2">
      <c r="A325" s="1"/>
      <c r="B325" s="1"/>
    </row>
    <row r="326" spans="1:2" ht="15" x14ac:dyDescent="0.2">
      <c r="A326" s="1"/>
      <c r="B326" s="1"/>
    </row>
    <row r="327" spans="1:2" ht="15" x14ac:dyDescent="0.2">
      <c r="A327" s="1"/>
      <c r="B327" s="1"/>
    </row>
    <row r="328" spans="1:2" ht="15" x14ac:dyDescent="0.2">
      <c r="A328" s="1"/>
      <c r="B328" s="1"/>
    </row>
    <row r="329" spans="1:2" ht="15" x14ac:dyDescent="0.2">
      <c r="A329" s="1"/>
      <c r="B329" s="1"/>
    </row>
    <row r="330" spans="1:2" ht="15" x14ac:dyDescent="0.2">
      <c r="A330" s="1"/>
      <c r="B330" s="1"/>
    </row>
    <row r="331" spans="1:2" ht="15" x14ac:dyDescent="0.2">
      <c r="A331" s="1"/>
      <c r="B331" s="1"/>
    </row>
    <row r="332" spans="1:2" ht="15" x14ac:dyDescent="0.2">
      <c r="A332" s="1"/>
      <c r="B332" s="1"/>
    </row>
    <row r="333" spans="1:2" ht="15" x14ac:dyDescent="0.2">
      <c r="A333" s="1"/>
      <c r="B333" s="1"/>
    </row>
    <row r="334" spans="1:2" ht="15" x14ac:dyDescent="0.2">
      <c r="A334" s="1"/>
      <c r="B334" s="1"/>
    </row>
    <row r="335" spans="1:2" ht="15" x14ac:dyDescent="0.2">
      <c r="A335" s="1"/>
      <c r="B335" s="1"/>
    </row>
    <row r="336" spans="1:2" ht="15" x14ac:dyDescent="0.2">
      <c r="A336" s="1"/>
      <c r="B336" s="1"/>
    </row>
    <row r="337" spans="1:2" ht="15" x14ac:dyDescent="0.2">
      <c r="A337" s="1"/>
      <c r="B337" s="1"/>
    </row>
    <row r="338" spans="1:2" ht="15" x14ac:dyDescent="0.2">
      <c r="A338" s="1"/>
      <c r="B338" s="1"/>
    </row>
    <row r="339" spans="1:2" ht="15" x14ac:dyDescent="0.2">
      <c r="A339" s="1"/>
      <c r="B339" s="1"/>
    </row>
    <row r="340" spans="1:2" ht="15" x14ac:dyDescent="0.2">
      <c r="A340" s="1"/>
      <c r="B340" s="1"/>
    </row>
    <row r="341" spans="1:2" ht="15" x14ac:dyDescent="0.2">
      <c r="A341" s="1"/>
      <c r="B341" s="1"/>
    </row>
    <row r="342" spans="1:2" ht="15" x14ac:dyDescent="0.2">
      <c r="A342" s="1"/>
      <c r="B342" s="1"/>
    </row>
    <row r="343" spans="1:2" ht="15" x14ac:dyDescent="0.2">
      <c r="A343" s="1"/>
      <c r="B343" s="1"/>
    </row>
    <row r="344" spans="1:2" ht="15" x14ac:dyDescent="0.2">
      <c r="A344" s="1"/>
      <c r="B344" s="1"/>
    </row>
    <row r="345" spans="1:2" ht="15" x14ac:dyDescent="0.2">
      <c r="A345" s="1"/>
      <c r="B345" s="1"/>
    </row>
    <row r="346" spans="1:2" ht="15" x14ac:dyDescent="0.2">
      <c r="A346" s="1"/>
      <c r="B346" s="1"/>
    </row>
    <row r="347" spans="1:2" ht="15" x14ac:dyDescent="0.2">
      <c r="A347" s="1"/>
      <c r="B347" s="1"/>
    </row>
    <row r="348" spans="1:2" ht="15" x14ac:dyDescent="0.2">
      <c r="A348" s="1"/>
      <c r="B348" s="1"/>
    </row>
    <row r="349" spans="1:2" ht="15" x14ac:dyDescent="0.2">
      <c r="A349" s="1"/>
      <c r="B349" s="1"/>
    </row>
    <row r="350" spans="1:2" ht="15" x14ac:dyDescent="0.2">
      <c r="A350" s="1"/>
      <c r="B350" s="1"/>
    </row>
    <row r="351" spans="1:2" ht="15" x14ac:dyDescent="0.2">
      <c r="A351" s="1"/>
      <c r="B351" s="1"/>
    </row>
    <row r="352" spans="1:2" ht="15" x14ac:dyDescent="0.2">
      <c r="A352" s="1"/>
      <c r="B352" s="1"/>
    </row>
    <row r="353" spans="1:2" ht="15" x14ac:dyDescent="0.2">
      <c r="A353" s="1"/>
      <c r="B353" s="1"/>
    </row>
    <row r="354" spans="1:2" ht="15" x14ac:dyDescent="0.2">
      <c r="A354" s="1"/>
      <c r="B354" s="1"/>
    </row>
    <row r="355" spans="1:2" ht="15" x14ac:dyDescent="0.2">
      <c r="A355" s="1"/>
      <c r="B355" s="1"/>
    </row>
    <row r="356" spans="1:2" ht="15" x14ac:dyDescent="0.2">
      <c r="A356" s="1"/>
      <c r="B356" s="1"/>
    </row>
    <row r="357" spans="1:2" ht="15" x14ac:dyDescent="0.2">
      <c r="A357" s="1"/>
      <c r="B357" s="1"/>
    </row>
    <row r="358" spans="1:2" ht="15" x14ac:dyDescent="0.2">
      <c r="A358" s="1"/>
      <c r="B358" s="1"/>
    </row>
    <row r="359" spans="1:2" ht="15" x14ac:dyDescent="0.2">
      <c r="A359" s="1"/>
      <c r="B359" s="1"/>
    </row>
    <row r="360" spans="1:2" ht="15" x14ac:dyDescent="0.2">
      <c r="A360" s="1"/>
      <c r="B360" s="1"/>
    </row>
    <row r="361" spans="1:2" ht="15" x14ac:dyDescent="0.2">
      <c r="A361" s="1"/>
      <c r="B361" s="1"/>
    </row>
    <row r="362" spans="1:2" ht="15" x14ac:dyDescent="0.2">
      <c r="A362" s="1"/>
      <c r="B362" s="1"/>
    </row>
    <row r="363" spans="1:2" ht="15" x14ac:dyDescent="0.2">
      <c r="A363" s="1"/>
      <c r="B363" s="1"/>
    </row>
    <row r="364" spans="1:2" ht="15" x14ac:dyDescent="0.2">
      <c r="A364" s="1"/>
      <c r="B364" s="1"/>
    </row>
    <row r="365" spans="1:2" ht="15" x14ac:dyDescent="0.2">
      <c r="A365" s="1"/>
      <c r="B365" s="1"/>
    </row>
    <row r="366" spans="1:2" ht="15" x14ac:dyDescent="0.2">
      <c r="A366" s="1"/>
      <c r="B366" s="1"/>
    </row>
    <row r="367" spans="1:2" ht="15" x14ac:dyDescent="0.2">
      <c r="A367" s="1"/>
      <c r="B367" s="1"/>
    </row>
    <row r="368" spans="1:2" ht="15" x14ac:dyDescent="0.2">
      <c r="A368" s="1"/>
      <c r="B368" s="1"/>
    </row>
    <row r="369" spans="1:2" ht="15" x14ac:dyDescent="0.2">
      <c r="A369" s="1"/>
      <c r="B369" s="1"/>
    </row>
    <row r="370" spans="1:2" ht="15" x14ac:dyDescent="0.2">
      <c r="A370" s="1"/>
      <c r="B370" s="1"/>
    </row>
    <row r="371" spans="1:2" ht="15" x14ac:dyDescent="0.2">
      <c r="A371" s="1"/>
      <c r="B371" s="1"/>
    </row>
    <row r="372" spans="1:2" ht="15" x14ac:dyDescent="0.2">
      <c r="A372" s="1"/>
      <c r="B372" s="1"/>
    </row>
    <row r="373" spans="1:2" ht="15" x14ac:dyDescent="0.2">
      <c r="A373" s="1"/>
      <c r="B373" s="1"/>
    </row>
    <row r="374" spans="1:2" ht="15" x14ac:dyDescent="0.2">
      <c r="A374" s="1"/>
      <c r="B374" s="1"/>
    </row>
    <row r="375" spans="1:2" ht="15" x14ac:dyDescent="0.2">
      <c r="A375" s="1"/>
      <c r="B375" s="1"/>
    </row>
    <row r="376" spans="1:2" ht="15" x14ac:dyDescent="0.2">
      <c r="A376" s="1"/>
      <c r="B376" s="1"/>
    </row>
    <row r="377" spans="1:2" ht="15" x14ac:dyDescent="0.2">
      <c r="A377" s="1"/>
      <c r="B377" s="1"/>
    </row>
    <row r="378" spans="1:2" ht="15" x14ac:dyDescent="0.2">
      <c r="A378" s="1"/>
      <c r="B378" s="1"/>
    </row>
    <row r="379" spans="1:2" ht="15" x14ac:dyDescent="0.2">
      <c r="A379" s="1"/>
      <c r="B379" s="1"/>
    </row>
    <row r="380" spans="1:2" ht="15" x14ac:dyDescent="0.2">
      <c r="A380" s="1"/>
      <c r="B380" s="1"/>
    </row>
    <row r="381" spans="1:2" ht="15" x14ac:dyDescent="0.2">
      <c r="A381" s="1"/>
      <c r="B381" s="1"/>
    </row>
    <row r="382" spans="1:2" ht="15" x14ac:dyDescent="0.2">
      <c r="A382" s="1"/>
      <c r="B382" s="1"/>
    </row>
    <row r="383" spans="1:2" ht="15" x14ac:dyDescent="0.2">
      <c r="A383" s="1"/>
      <c r="B383" s="1"/>
    </row>
    <row r="384" spans="1:2" ht="15" x14ac:dyDescent="0.2">
      <c r="A384" s="1"/>
      <c r="B384" s="1"/>
    </row>
    <row r="385" spans="1:2" ht="15" x14ac:dyDescent="0.2">
      <c r="A385" s="1"/>
      <c r="B385" s="1"/>
    </row>
    <row r="386" spans="1:2" ht="15" x14ac:dyDescent="0.2">
      <c r="A386" s="1"/>
      <c r="B386" s="1"/>
    </row>
    <row r="387" spans="1:2" ht="15" x14ac:dyDescent="0.2">
      <c r="A387" s="1"/>
      <c r="B387" s="1"/>
    </row>
    <row r="388" spans="1:2" ht="15" x14ac:dyDescent="0.2">
      <c r="A388" s="1"/>
      <c r="B388" s="1"/>
    </row>
    <row r="389" spans="1:2" ht="15" x14ac:dyDescent="0.2">
      <c r="A389" s="1"/>
      <c r="B389" s="1"/>
    </row>
    <row r="390" spans="1:2" ht="15" x14ac:dyDescent="0.2">
      <c r="A390" s="1"/>
      <c r="B390" s="1"/>
    </row>
    <row r="391" spans="1:2" ht="15" x14ac:dyDescent="0.2">
      <c r="A391" s="1"/>
      <c r="B391" s="1"/>
    </row>
    <row r="392" spans="1:2" ht="15" x14ac:dyDescent="0.2">
      <c r="A392" s="1"/>
      <c r="B392" s="1"/>
    </row>
    <row r="393" spans="1:2" ht="15" x14ac:dyDescent="0.2">
      <c r="A393" s="1"/>
      <c r="B393" s="1"/>
    </row>
    <row r="394" spans="1:2" ht="15" x14ac:dyDescent="0.2">
      <c r="A394" s="1"/>
      <c r="B394" s="1"/>
    </row>
    <row r="395" spans="1:2" ht="15" x14ac:dyDescent="0.2">
      <c r="A395" s="1"/>
      <c r="B395" s="1"/>
    </row>
    <row r="396" spans="1:2" ht="15" x14ac:dyDescent="0.2">
      <c r="A396" s="1"/>
      <c r="B396" s="1"/>
    </row>
    <row r="397" spans="1:2" ht="15" x14ac:dyDescent="0.2">
      <c r="A397" s="1"/>
      <c r="B397" s="1"/>
    </row>
    <row r="398" spans="1:2" ht="15" x14ac:dyDescent="0.2">
      <c r="A398" s="1"/>
      <c r="B398" s="1"/>
    </row>
    <row r="399" spans="1:2" ht="15" x14ac:dyDescent="0.2">
      <c r="A399" s="1"/>
      <c r="B399" s="1"/>
    </row>
    <row r="400" spans="1:2" ht="15" x14ac:dyDescent="0.2">
      <c r="A400" s="1"/>
      <c r="B400" s="1"/>
    </row>
    <row r="401" spans="1:2" ht="15" x14ac:dyDescent="0.2">
      <c r="A401" s="1"/>
      <c r="B401" s="1"/>
    </row>
    <row r="402" spans="1:2" ht="15" x14ac:dyDescent="0.2">
      <c r="A402" s="1"/>
      <c r="B402" s="1"/>
    </row>
    <row r="403" spans="1:2" ht="15" x14ac:dyDescent="0.2">
      <c r="A403" s="1"/>
      <c r="B403" s="1"/>
    </row>
    <row r="404" spans="1:2" ht="15" x14ac:dyDescent="0.2">
      <c r="A404" s="1"/>
      <c r="B404" s="1"/>
    </row>
    <row r="405" spans="1:2" ht="15" x14ac:dyDescent="0.2">
      <c r="A405" s="1"/>
      <c r="B405" s="1"/>
    </row>
    <row r="406" spans="1:2" ht="15" x14ac:dyDescent="0.2">
      <c r="A406" s="1"/>
      <c r="B406" s="1"/>
    </row>
    <row r="407" spans="1:2" ht="15" x14ac:dyDescent="0.2">
      <c r="A407" s="1"/>
      <c r="B407" s="1"/>
    </row>
    <row r="408" spans="1:2" ht="15" x14ac:dyDescent="0.2">
      <c r="A408" s="1"/>
      <c r="B408" s="1"/>
    </row>
    <row r="409" spans="1:2" ht="15" x14ac:dyDescent="0.2">
      <c r="A409" s="1"/>
      <c r="B409" s="1"/>
    </row>
    <row r="410" spans="1:2" ht="15" x14ac:dyDescent="0.2">
      <c r="A410" s="1"/>
      <c r="B410" s="1"/>
    </row>
    <row r="411" spans="1:2" ht="15" x14ac:dyDescent="0.2">
      <c r="A411" s="1"/>
      <c r="B411" s="1"/>
    </row>
    <row r="412" spans="1:2" ht="15" x14ac:dyDescent="0.2">
      <c r="A412" s="1"/>
      <c r="B412" s="1"/>
    </row>
    <row r="413" spans="1:2" ht="15" x14ac:dyDescent="0.2">
      <c r="A413" s="1"/>
      <c r="B413" s="1"/>
    </row>
    <row r="414" spans="1:2" ht="15" x14ac:dyDescent="0.2">
      <c r="A414" s="1"/>
      <c r="B414" s="1"/>
    </row>
    <row r="415" spans="1:2" ht="15" x14ac:dyDescent="0.2">
      <c r="A415" s="1"/>
      <c r="B415" s="1"/>
    </row>
    <row r="416" spans="1:2" ht="15" x14ac:dyDescent="0.2">
      <c r="A416" s="1"/>
      <c r="B416" s="1"/>
    </row>
    <row r="417" spans="1:2" ht="15" x14ac:dyDescent="0.2">
      <c r="A417" s="1"/>
      <c r="B417" s="1"/>
    </row>
    <row r="418" spans="1:2" ht="15" x14ac:dyDescent="0.2">
      <c r="A418" s="1"/>
      <c r="B418" s="1"/>
    </row>
    <row r="419" spans="1:2" ht="15" x14ac:dyDescent="0.2">
      <c r="A419" s="1"/>
      <c r="B419" s="1"/>
    </row>
    <row r="420" spans="1:2" ht="15" x14ac:dyDescent="0.2">
      <c r="A420" s="1"/>
      <c r="B420" s="1"/>
    </row>
    <row r="421" spans="1:2" ht="15" x14ac:dyDescent="0.2">
      <c r="A421" s="1"/>
      <c r="B421" s="1"/>
    </row>
    <row r="422" spans="1:2" ht="15" x14ac:dyDescent="0.2">
      <c r="A422" s="1"/>
      <c r="B422" s="1"/>
    </row>
    <row r="423" spans="1:2" ht="15" x14ac:dyDescent="0.2">
      <c r="A423" s="1"/>
      <c r="B423" s="1"/>
    </row>
    <row r="424" spans="1:2" ht="15" x14ac:dyDescent="0.2">
      <c r="A424" s="1"/>
      <c r="B424" s="1"/>
    </row>
    <row r="425" spans="1:2" ht="15" x14ac:dyDescent="0.2">
      <c r="A425" s="1"/>
      <c r="B425" s="1"/>
    </row>
    <row r="426" spans="1:2" ht="15" x14ac:dyDescent="0.2">
      <c r="A426" s="1"/>
      <c r="B426" s="1"/>
    </row>
    <row r="427" spans="1:2" ht="15" x14ac:dyDescent="0.2">
      <c r="A427" s="1"/>
      <c r="B427" s="1"/>
    </row>
    <row r="428" spans="1:2" ht="15" x14ac:dyDescent="0.2">
      <c r="A428" s="1"/>
      <c r="B428" s="1"/>
    </row>
    <row r="429" spans="1:2" ht="15" x14ac:dyDescent="0.2">
      <c r="A429" s="1"/>
      <c r="B429" s="1"/>
    </row>
    <row r="430" spans="1:2" ht="15" x14ac:dyDescent="0.2">
      <c r="A430" s="1"/>
      <c r="B430" s="1"/>
    </row>
    <row r="431" spans="1:2" ht="15" x14ac:dyDescent="0.2">
      <c r="A431" s="1"/>
      <c r="B431" s="1"/>
    </row>
    <row r="432" spans="1:2" ht="15" x14ac:dyDescent="0.2">
      <c r="A432" s="1"/>
      <c r="B432" s="1"/>
    </row>
    <row r="433" spans="1:2" ht="15" x14ac:dyDescent="0.2">
      <c r="A433" s="1"/>
      <c r="B433" s="1"/>
    </row>
    <row r="434" spans="1:2" ht="15" x14ac:dyDescent="0.2">
      <c r="A434" s="1"/>
      <c r="B434" s="1"/>
    </row>
    <row r="435" spans="1:2" ht="15" x14ac:dyDescent="0.2">
      <c r="A435" s="1"/>
      <c r="B435" s="1"/>
    </row>
    <row r="436" spans="1:2" ht="15" x14ac:dyDescent="0.2">
      <c r="A436" s="1"/>
      <c r="B436" s="1"/>
    </row>
    <row r="437" spans="1:2" ht="15" x14ac:dyDescent="0.2">
      <c r="A437" s="1"/>
      <c r="B437" s="1"/>
    </row>
    <row r="438" spans="1:2" ht="15" x14ac:dyDescent="0.2">
      <c r="A438" s="1"/>
      <c r="B438" s="1"/>
    </row>
    <row r="439" spans="1:2" ht="15" x14ac:dyDescent="0.2">
      <c r="A439" s="1"/>
      <c r="B439" s="1"/>
    </row>
    <row r="440" spans="1:2" ht="15" x14ac:dyDescent="0.2">
      <c r="A440" s="1"/>
      <c r="B440" s="1"/>
    </row>
    <row r="441" spans="1:2" ht="15" x14ac:dyDescent="0.2">
      <c r="A441" s="1"/>
      <c r="B441" s="1"/>
    </row>
    <row r="442" spans="1:2" ht="15" x14ac:dyDescent="0.2">
      <c r="A442" s="1"/>
      <c r="B442" s="1"/>
    </row>
    <row r="443" spans="1:2" ht="15" x14ac:dyDescent="0.2">
      <c r="A443" s="1"/>
      <c r="B443" s="1"/>
    </row>
    <row r="444" spans="1:2" ht="15" x14ac:dyDescent="0.2">
      <c r="A444" s="1"/>
      <c r="B444" s="1"/>
    </row>
    <row r="445" spans="1:2" ht="15" x14ac:dyDescent="0.2">
      <c r="A445" s="1"/>
      <c r="B445" s="1"/>
    </row>
    <row r="446" spans="1:2" ht="15" x14ac:dyDescent="0.2">
      <c r="A446" s="1"/>
      <c r="B446" s="1"/>
    </row>
    <row r="447" spans="1:2" ht="15" x14ac:dyDescent="0.2">
      <c r="A447" s="1"/>
      <c r="B447" s="1"/>
    </row>
    <row r="448" spans="1:2" ht="15" x14ac:dyDescent="0.2">
      <c r="A448" s="1"/>
      <c r="B448" s="1"/>
    </row>
    <row r="449" spans="1:2" ht="15" x14ac:dyDescent="0.2">
      <c r="A449" s="1"/>
      <c r="B449" s="1"/>
    </row>
    <row r="450" spans="1:2" ht="15" x14ac:dyDescent="0.2">
      <c r="A450" s="1"/>
      <c r="B450" s="1"/>
    </row>
    <row r="451" spans="1:2" ht="15" x14ac:dyDescent="0.2">
      <c r="A451" s="1"/>
      <c r="B451" s="1"/>
    </row>
    <row r="452" spans="1:2" ht="15" x14ac:dyDescent="0.2">
      <c r="A452" s="1"/>
      <c r="B452" s="1"/>
    </row>
    <row r="453" spans="1:2" ht="15" x14ac:dyDescent="0.2">
      <c r="A453" s="1"/>
      <c r="B453" s="1"/>
    </row>
    <row r="454" spans="1:2" ht="15" x14ac:dyDescent="0.2">
      <c r="A454" s="1"/>
      <c r="B454" s="1"/>
    </row>
    <row r="455" spans="1:2" ht="15" x14ac:dyDescent="0.2">
      <c r="A455" s="1"/>
      <c r="B455" s="1"/>
    </row>
    <row r="456" spans="1:2" ht="15" x14ac:dyDescent="0.2">
      <c r="A456" s="1"/>
      <c r="B456" s="1"/>
    </row>
    <row r="457" spans="1:2" ht="15" x14ac:dyDescent="0.2">
      <c r="A457" s="1"/>
      <c r="B457" s="1"/>
    </row>
    <row r="458" spans="1:2" ht="15" x14ac:dyDescent="0.2">
      <c r="A458" s="1"/>
      <c r="B458" s="1"/>
    </row>
    <row r="459" spans="1:2" ht="15" x14ac:dyDescent="0.2">
      <c r="A459" s="1"/>
      <c r="B459" s="1"/>
    </row>
    <row r="460" spans="1:2" ht="15" x14ac:dyDescent="0.2">
      <c r="A460" s="1"/>
      <c r="B460" s="1"/>
    </row>
    <row r="461" spans="1:2" ht="15" x14ac:dyDescent="0.2">
      <c r="A461" s="1"/>
      <c r="B461" s="1"/>
    </row>
    <row r="462" spans="1:2" ht="15" x14ac:dyDescent="0.2">
      <c r="A462" s="1"/>
      <c r="B462" s="1"/>
    </row>
    <row r="463" spans="1:2" ht="15" x14ac:dyDescent="0.2">
      <c r="A463" s="1"/>
      <c r="B463" s="1"/>
    </row>
    <row r="464" spans="1:2" ht="15" x14ac:dyDescent="0.2">
      <c r="A464" s="1"/>
      <c r="B464" s="1"/>
    </row>
    <row r="465" spans="1:2" ht="15" x14ac:dyDescent="0.2">
      <c r="A465" s="1"/>
      <c r="B465" s="1"/>
    </row>
    <row r="466" spans="1:2" ht="15" x14ac:dyDescent="0.2">
      <c r="A466" s="1"/>
      <c r="B466" s="1"/>
    </row>
    <row r="467" spans="1:2" ht="15" x14ac:dyDescent="0.2">
      <c r="A467" s="1"/>
      <c r="B467" s="1"/>
    </row>
    <row r="468" spans="1:2" ht="15" x14ac:dyDescent="0.2">
      <c r="A468" s="1"/>
      <c r="B468" s="1"/>
    </row>
    <row r="469" spans="1:2" ht="15" x14ac:dyDescent="0.2">
      <c r="A469" s="1"/>
      <c r="B469" s="1"/>
    </row>
    <row r="470" spans="1:2" ht="15" x14ac:dyDescent="0.2">
      <c r="A470" s="1"/>
      <c r="B470" s="1"/>
    </row>
    <row r="471" spans="1:2" ht="15" x14ac:dyDescent="0.2">
      <c r="A471" s="1"/>
      <c r="B471" s="1"/>
    </row>
    <row r="472" spans="1:2" ht="15" x14ac:dyDescent="0.2">
      <c r="A472" s="1"/>
      <c r="B472" s="1"/>
    </row>
    <row r="473" spans="1:2" ht="15" x14ac:dyDescent="0.2">
      <c r="A473" s="1"/>
      <c r="B473" s="1"/>
    </row>
    <row r="474" spans="1:2" ht="15" x14ac:dyDescent="0.2">
      <c r="A474" s="1"/>
      <c r="B474" s="1"/>
    </row>
    <row r="475" spans="1:2" ht="15" x14ac:dyDescent="0.2">
      <c r="A475" s="1"/>
      <c r="B475" s="1"/>
    </row>
    <row r="476" spans="1:2" ht="15" x14ac:dyDescent="0.2">
      <c r="A476" s="1"/>
      <c r="B476" s="1"/>
    </row>
    <row r="477" spans="1:2" ht="15" x14ac:dyDescent="0.2">
      <c r="A477" s="1"/>
      <c r="B477" s="1"/>
    </row>
    <row r="478" spans="1:2" ht="15" x14ac:dyDescent="0.2">
      <c r="A478" s="1"/>
      <c r="B478" s="1"/>
    </row>
    <row r="479" spans="1:2" ht="15" x14ac:dyDescent="0.2">
      <c r="A479" s="1"/>
      <c r="B479" s="1"/>
    </row>
    <row r="480" spans="1:2" ht="15" x14ac:dyDescent="0.2">
      <c r="A480" s="1"/>
      <c r="B480" s="1"/>
    </row>
    <row r="481" spans="1:2" ht="15" x14ac:dyDescent="0.2">
      <c r="A481" s="1"/>
      <c r="B481" s="1"/>
    </row>
    <row r="482" spans="1:2" ht="15" x14ac:dyDescent="0.2">
      <c r="A482" s="1"/>
      <c r="B482" s="1"/>
    </row>
    <row r="483" spans="1:2" ht="15" x14ac:dyDescent="0.2">
      <c r="A483" s="1"/>
      <c r="B483" s="1"/>
    </row>
    <row r="484" spans="1:2" ht="15" x14ac:dyDescent="0.2">
      <c r="A484" s="1"/>
      <c r="B484" s="1"/>
    </row>
    <row r="485" spans="1:2" ht="15" x14ac:dyDescent="0.2">
      <c r="A485" s="1"/>
      <c r="B485" s="1"/>
    </row>
    <row r="486" spans="1:2" ht="15" x14ac:dyDescent="0.2">
      <c r="A486" s="1"/>
      <c r="B486" s="1"/>
    </row>
    <row r="487" spans="1:2" ht="15" x14ac:dyDescent="0.2">
      <c r="A487" s="1"/>
      <c r="B487" s="1"/>
    </row>
    <row r="488" spans="1:2" ht="15" x14ac:dyDescent="0.2">
      <c r="A488" s="1"/>
      <c r="B488" s="1"/>
    </row>
    <row r="489" spans="1:2" ht="15" x14ac:dyDescent="0.2">
      <c r="A489" s="1"/>
      <c r="B489" s="1"/>
    </row>
    <row r="490" spans="1:2" ht="15" x14ac:dyDescent="0.2">
      <c r="A490" s="1"/>
      <c r="B490" s="1"/>
    </row>
    <row r="491" spans="1:2" ht="15" x14ac:dyDescent="0.2">
      <c r="A491" s="1"/>
      <c r="B491" s="1"/>
    </row>
    <row r="492" spans="1:2" ht="15" x14ac:dyDescent="0.2">
      <c r="A492" s="1"/>
      <c r="B492" s="1"/>
    </row>
    <row r="493" spans="1:2" ht="15" x14ac:dyDescent="0.2">
      <c r="A493" s="1"/>
      <c r="B493" s="1"/>
    </row>
    <row r="494" spans="1:2" ht="15" x14ac:dyDescent="0.2">
      <c r="A494" s="1"/>
      <c r="B494" s="1"/>
    </row>
    <row r="495" spans="1:2" ht="15" x14ac:dyDescent="0.2">
      <c r="A495" s="1"/>
      <c r="B495" s="1"/>
    </row>
    <row r="496" spans="1:2" ht="15" x14ac:dyDescent="0.2">
      <c r="A496" s="1"/>
      <c r="B496" s="1"/>
    </row>
    <row r="497" spans="1:2" ht="15" x14ac:dyDescent="0.2">
      <c r="A497" s="1"/>
      <c r="B497" s="1"/>
    </row>
    <row r="498" spans="1:2" ht="15" x14ac:dyDescent="0.2">
      <c r="A498" s="1"/>
      <c r="B498" s="1"/>
    </row>
    <row r="499" spans="1:2" ht="15" x14ac:dyDescent="0.2">
      <c r="A499" s="1"/>
      <c r="B499" s="1"/>
    </row>
    <row r="500" spans="1:2" ht="15" x14ac:dyDescent="0.2">
      <c r="A500" s="1"/>
      <c r="B500" s="1"/>
    </row>
    <row r="501" spans="1:2" ht="15" x14ac:dyDescent="0.2">
      <c r="A501" s="1"/>
      <c r="B501" s="1"/>
    </row>
    <row r="502" spans="1:2" ht="15" x14ac:dyDescent="0.2">
      <c r="A502" s="1"/>
      <c r="B502" s="1"/>
    </row>
    <row r="503" spans="1:2" ht="15" x14ac:dyDescent="0.2">
      <c r="A503" s="1"/>
      <c r="B503" s="1"/>
    </row>
    <row r="504" spans="1:2" ht="15" x14ac:dyDescent="0.2">
      <c r="A504" s="1"/>
      <c r="B504" s="1"/>
    </row>
    <row r="505" spans="1:2" ht="15" x14ac:dyDescent="0.2">
      <c r="A505" s="1"/>
      <c r="B505" s="1"/>
    </row>
    <row r="506" spans="1:2" ht="15" x14ac:dyDescent="0.2">
      <c r="A506" s="1"/>
      <c r="B506" s="1"/>
    </row>
    <row r="507" spans="1:2" ht="15" x14ac:dyDescent="0.2">
      <c r="A507" s="1"/>
      <c r="B507" s="1"/>
    </row>
    <row r="508" spans="1:2" ht="15" x14ac:dyDescent="0.2">
      <c r="A508" s="1"/>
      <c r="B508" s="1"/>
    </row>
    <row r="509" spans="1:2" ht="15" x14ac:dyDescent="0.2">
      <c r="A509" s="1"/>
      <c r="B509" s="1"/>
    </row>
    <row r="510" spans="1:2" ht="15" x14ac:dyDescent="0.2">
      <c r="A510" s="1"/>
      <c r="B510" s="1"/>
    </row>
    <row r="511" spans="1:2" ht="15" x14ac:dyDescent="0.2">
      <c r="A511" s="1"/>
      <c r="B511" s="1"/>
    </row>
    <row r="512" spans="1:2" ht="15" x14ac:dyDescent="0.2">
      <c r="A512" s="1"/>
      <c r="B512" s="1"/>
    </row>
    <row r="513" spans="1:2" ht="15" x14ac:dyDescent="0.2">
      <c r="A513" s="1"/>
      <c r="B513" s="1"/>
    </row>
    <row r="514" spans="1:2" ht="15" x14ac:dyDescent="0.2">
      <c r="A514" s="1"/>
      <c r="B514" s="1"/>
    </row>
    <row r="515" spans="1:2" ht="15" x14ac:dyDescent="0.2">
      <c r="A515" s="1"/>
      <c r="B515" s="1"/>
    </row>
    <row r="516" spans="1:2" ht="15" x14ac:dyDescent="0.2">
      <c r="A516" s="1"/>
      <c r="B516" s="1"/>
    </row>
    <row r="517" spans="1:2" ht="15" x14ac:dyDescent="0.2">
      <c r="A517" s="1"/>
      <c r="B517" s="1"/>
    </row>
    <row r="518" spans="1:2" ht="15" x14ac:dyDescent="0.2">
      <c r="A518" s="1"/>
      <c r="B518" s="1"/>
    </row>
    <row r="519" spans="1:2" ht="15" x14ac:dyDescent="0.2">
      <c r="A519" s="1"/>
      <c r="B519" s="1"/>
    </row>
    <row r="520" spans="1:2" ht="15" x14ac:dyDescent="0.2">
      <c r="A520" s="1"/>
      <c r="B520" s="1"/>
    </row>
    <row r="521" spans="1:2" ht="15" x14ac:dyDescent="0.2">
      <c r="A521" s="1"/>
      <c r="B521" s="1"/>
    </row>
    <row r="522" spans="1:2" ht="15" x14ac:dyDescent="0.2">
      <c r="A522" s="1"/>
      <c r="B522" s="1"/>
    </row>
    <row r="523" spans="1:2" ht="15" x14ac:dyDescent="0.2">
      <c r="A523" s="1"/>
      <c r="B523" s="1"/>
    </row>
    <row r="524" spans="1:2" ht="15" x14ac:dyDescent="0.2">
      <c r="A524" s="1"/>
      <c r="B524" s="1"/>
    </row>
    <row r="525" spans="1:2" ht="15" x14ac:dyDescent="0.2">
      <c r="A525" s="1"/>
      <c r="B525" s="1"/>
    </row>
    <row r="526" spans="1:2" ht="15" x14ac:dyDescent="0.2">
      <c r="A526" s="1"/>
      <c r="B526" s="1"/>
    </row>
    <row r="527" spans="1:2" ht="15" x14ac:dyDescent="0.2">
      <c r="A527" s="1"/>
      <c r="B527" s="1"/>
    </row>
    <row r="528" spans="1:2" ht="15" x14ac:dyDescent="0.2">
      <c r="A528" s="1"/>
      <c r="B528" s="1"/>
    </row>
    <row r="529" spans="1:2" ht="15" x14ac:dyDescent="0.2">
      <c r="A529" s="1"/>
      <c r="B529" s="1"/>
    </row>
    <row r="530" spans="1:2" ht="15" x14ac:dyDescent="0.2">
      <c r="A530" s="1"/>
      <c r="B530" s="1"/>
    </row>
    <row r="531" spans="1:2" ht="15" x14ac:dyDescent="0.2">
      <c r="A531" s="1"/>
      <c r="B531" s="1"/>
    </row>
    <row r="532" spans="1:2" ht="15" x14ac:dyDescent="0.2">
      <c r="A532" s="1"/>
      <c r="B532" s="1"/>
    </row>
    <row r="533" spans="1:2" ht="15" x14ac:dyDescent="0.2">
      <c r="A533" s="1"/>
      <c r="B533" s="1"/>
    </row>
    <row r="534" spans="1:2" ht="15" x14ac:dyDescent="0.2">
      <c r="A534" s="1"/>
      <c r="B534" s="1"/>
    </row>
    <row r="535" spans="1:2" ht="15" x14ac:dyDescent="0.2">
      <c r="A535" s="1"/>
      <c r="B535" s="1"/>
    </row>
    <row r="536" spans="1:2" ht="15" x14ac:dyDescent="0.2">
      <c r="A536" s="1"/>
      <c r="B536" s="1"/>
    </row>
    <row r="537" spans="1:2" ht="15" x14ac:dyDescent="0.2">
      <c r="A537" s="1"/>
      <c r="B537" s="1"/>
    </row>
    <row r="538" spans="1:2" ht="15" x14ac:dyDescent="0.2">
      <c r="A538" s="1"/>
      <c r="B538" s="1"/>
    </row>
    <row r="539" spans="1:2" ht="15" x14ac:dyDescent="0.2">
      <c r="A539" s="1"/>
      <c r="B539" s="1"/>
    </row>
    <row r="540" spans="1:2" ht="15" x14ac:dyDescent="0.2">
      <c r="A540" s="1"/>
      <c r="B540" s="1"/>
    </row>
    <row r="541" spans="1:2" ht="15" x14ac:dyDescent="0.2">
      <c r="A541" s="1"/>
      <c r="B541" s="1"/>
    </row>
    <row r="542" spans="1:2" ht="15" x14ac:dyDescent="0.2">
      <c r="A542" s="1"/>
      <c r="B542" s="1"/>
    </row>
    <row r="543" spans="1:2" ht="15" x14ac:dyDescent="0.2">
      <c r="A543" s="1"/>
      <c r="B543" s="1"/>
    </row>
    <row r="544" spans="1:2" ht="15" x14ac:dyDescent="0.2">
      <c r="A544" s="1"/>
      <c r="B544" s="1"/>
    </row>
    <row r="545" spans="1:2" ht="15" x14ac:dyDescent="0.2">
      <c r="A545" s="1"/>
      <c r="B545" s="1"/>
    </row>
    <row r="546" spans="1:2" ht="15" x14ac:dyDescent="0.2">
      <c r="A546" s="1"/>
      <c r="B546" s="1"/>
    </row>
    <row r="547" spans="1:2" ht="15" x14ac:dyDescent="0.2">
      <c r="A547" s="1"/>
      <c r="B547" s="1"/>
    </row>
    <row r="548" spans="1:2" ht="15" x14ac:dyDescent="0.2">
      <c r="A548" s="1"/>
      <c r="B548" s="1"/>
    </row>
    <row r="549" spans="1:2" ht="15" x14ac:dyDescent="0.2">
      <c r="A549" s="1"/>
      <c r="B549" s="1"/>
    </row>
    <row r="550" spans="1:2" ht="15" x14ac:dyDescent="0.2">
      <c r="A550" s="1"/>
      <c r="B550" s="1"/>
    </row>
    <row r="551" spans="1:2" ht="15" x14ac:dyDescent="0.2">
      <c r="A551" s="1"/>
      <c r="B551" s="1"/>
    </row>
    <row r="552" spans="1:2" ht="15" x14ac:dyDescent="0.2">
      <c r="A552" s="1"/>
      <c r="B552" s="1"/>
    </row>
    <row r="553" spans="1:2" ht="15" x14ac:dyDescent="0.2">
      <c r="A553" s="1"/>
      <c r="B553" s="1"/>
    </row>
    <row r="554" spans="1:2" ht="15" x14ac:dyDescent="0.2">
      <c r="A554" s="1"/>
      <c r="B554" s="1"/>
    </row>
    <row r="555" spans="1:2" ht="15" x14ac:dyDescent="0.2">
      <c r="A555" s="1"/>
      <c r="B555" s="1"/>
    </row>
    <row r="556" spans="1:2" ht="15" x14ac:dyDescent="0.2">
      <c r="A556" s="1"/>
      <c r="B556" s="1"/>
    </row>
    <row r="557" spans="1:2" ht="15" x14ac:dyDescent="0.2">
      <c r="A557" s="1"/>
      <c r="B557" s="1"/>
    </row>
    <row r="558" spans="1:2" ht="15" x14ac:dyDescent="0.2">
      <c r="A558" s="1"/>
      <c r="B558" s="1"/>
    </row>
    <row r="559" spans="1:2" ht="15" x14ac:dyDescent="0.2">
      <c r="A559" s="1"/>
      <c r="B559" s="1"/>
    </row>
    <row r="560" spans="1:2" ht="15" x14ac:dyDescent="0.2">
      <c r="A560" s="1"/>
      <c r="B560" s="1"/>
    </row>
    <row r="561" spans="1:2" ht="15" x14ac:dyDescent="0.2">
      <c r="A561" s="1"/>
      <c r="B561" s="1"/>
    </row>
    <row r="562" spans="1:2" ht="15" x14ac:dyDescent="0.2">
      <c r="A562" s="1"/>
      <c r="B562" s="1"/>
    </row>
    <row r="563" spans="1:2" ht="15" x14ac:dyDescent="0.2">
      <c r="A563" s="1"/>
      <c r="B563" s="1"/>
    </row>
    <row r="564" spans="1:2" ht="15" x14ac:dyDescent="0.2">
      <c r="A564" s="1"/>
      <c r="B564" s="1"/>
    </row>
    <row r="565" spans="1:2" ht="15" x14ac:dyDescent="0.2">
      <c r="A565" s="1"/>
      <c r="B565" s="1"/>
    </row>
    <row r="566" spans="1:2" ht="15" x14ac:dyDescent="0.2">
      <c r="A566" s="1"/>
      <c r="B566" s="1"/>
    </row>
    <row r="567" spans="1:2" ht="15" x14ac:dyDescent="0.2">
      <c r="A567" s="1"/>
      <c r="B567" s="1"/>
    </row>
    <row r="568" spans="1:2" ht="15" x14ac:dyDescent="0.2">
      <c r="A568" s="1"/>
      <c r="B568" s="1"/>
    </row>
    <row r="569" spans="1:2" ht="15" x14ac:dyDescent="0.2">
      <c r="A569" s="1"/>
      <c r="B569" s="1"/>
    </row>
    <row r="570" spans="1:2" ht="15" x14ac:dyDescent="0.2">
      <c r="A570" s="1"/>
      <c r="B570" s="1"/>
    </row>
    <row r="571" spans="1:2" ht="15" x14ac:dyDescent="0.2">
      <c r="A571" s="1"/>
      <c r="B571" s="1"/>
    </row>
    <row r="572" spans="1:2" ht="15" x14ac:dyDescent="0.2">
      <c r="A572" s="1"/>
      <c r="B572" s="1"/>
    </row>
    <row r="573" spans="1:2" ht="15" x14ac:dyDescent="0.2">
      <c r="A573" s="1"/>
      <c r="B573" s="1"/>
    </row>
    <row r="574" spans="1:2" ht="15" x14ac:dyDescent="0.2">
      <c r="A574" s="1"/>
      <c r="B574" s="1"/>
    </row>
    <row r="575" spans="1:2" ht="15" x14ac:dyDescent="0.2">
      <c r="A575" s="1"/>
      <c r="B575" s="1"/>
    </row>
    <row r="576" spans="1:2" ht="15" x14ac:dyDescent="0.2">
      <c r="A576" s="1"/>
      <c r="B576" s="1"/>
    </row>
    <row r="577" spans="1:2" ht="15" x14ac:dyDescent="0.2">
      <c r="A577" s="1"/>
      <c r="B577" s="1"/>
    </row>
    <row r="578" spans="1:2" ht="15" x14ac:dyDescent="0.2">
      <c r="A578" s="1"/>
      <c r="B578" s="1"/>
    </row>
    <row r="579" spans="1:2" ht="15" x14ac:dyDescent="0.2">
      <c r="A579" s="1"/>
      <c r="B579" s="1"/>
    </row>
    <row r="580" spans="1:2" ht="15" x14ac:dyDescent="0.2">
      <c r="A580" s="1"/>
      <c r="B580" s="1"/>
    </row>
    <row r="581" spans="1:2" ht="15" x14ac:dyDescent="0.2">
      <c r="A581" s="1"/>
      <c r="B581" s="1"/>
    </row>
    <row r="582" spans="1:2" ht="15" x14ac:dyDescent="0.2">
      <c r="A582" s="1"/>
      <c r="B582" s="1"/>
    </row>
    <row r="583" spans="1:2" ht="15" x14ac:dyDescent="0.2">
      <c r="A583" s="1"/>
      <c r="B583" s="1"/>
    </row>
    <row r="584" spans="1:2" ht="15" x14ac:dyDescent="0.2">
      <c r="A584" s="1"/>
      <c r="B584" s="1"/>
    </row>
    <row r="585" spans="1:2" ht="15" x14ac:dyDescent="0.2">
      <c r="A585" s="1"/>
      <c r="B585" s="1"/>
    </row>
    <row r="586" spans="1:2" ht="15" x14ac:dyDescent="0.2">
      <c r="A586" s="1"/>
      <c r="B586" s="1"/>
    </row>
    <row r="587" spans="1:2" ht="15" x14ac:dyDescent="0.2">
      <c r="A587" s="1"/>
      <c r="B587" s="1"/>
    </row>
    <row r="588" spans="1:2" ht="15" x14ac:dyDescent="0.2">
      <c r="A588" s="1"/>
      <c r="B588" s="1"/>
    </row>
    <row r="589" spans="1:2" ht="15" x14ac:dyDescent="0.2">
      <c r="A589" s="1"/>
      <c r="B589" s="1"/>
    </row>
    <row r="590" spans="1:2" ht="15" x14ac:dyDescent="0.2">
      <c r="A590" s="1"/>
      <c r="B590" s="1"/>
    </row>
    <row r="591" spans="1:2" ht="15" x14ac:dyDescent="0.2">
      <c r="A591" s="1"/>
      <c r="B591" s="1"/>
    </row>
    <row r="592" spans="1:2" ht="15" x14ac:dyDescent="0.2">
      <c r="A592" s="1"/>
      <c r="B592" s="1"/>
    </row>
    <row r="593" spans="1:2" ht="15" x14ac:dyDescent="0.2">
      <c r="A593" s="1"/>
      <c r="B593" s="1"/>
    </row>
    <row r="594" spans="1:2" ht="15" x14ac:dyDescent="0.2">
      <c r="A594" s="1"/>
      <c r="B594" s="1"/>
    </row>
    <row r="595" spans="1:2" ht="15" x14ac:dyDescent="0.2">
      <c r="A595" s="1"/>
      <c r="B595" s="1"/>
    </row>
    <row r="596" spans="1:2" ht="15" x14ac:dyDescent="0.2">
      <c r="A596" s="1"/>
      <c r="B596" s="1"/>
    </row>
    <row r="597" spans="1:2" ht="15" x14ac:dyDescent="0.2">
      <c r="A597" s="1"/>
      <c r="B597" s="1"/>
    </row>
    <row r="598" spans="1:2" ht="15" x14ac:dyDescent="0.2">
      <c r="A598" s="1"/>
      <c r="B598" s="1"/>
    </row>
    <row r="599" spans="1:2" ht="15" x14ac:dyDescent="0.2">
      <c r="A599" s="1"/>
      <c r="B599" s="1"/>
    </row>
    <row r="600" spans="1:2" ht="15" x14ac:dyDescent="0.2">
      <c r="A600" s="1"/>
      <c r="B600" s="1"/>
    </row>
    <row r="601" spans="1:2" ht="15" x14ac:dyDescent="0.2">
      <c r="A601" s="1"/>
      <c r="B601" s="1"/>
    </row>
    <row r="602" spans="1:2" ht="15" x14ac:dyDescent="0.2">
      <c r="A602" s="1"/>
      <c r="B602" s="1"/>
    </row>
    <row r="603" spans="1:2" ht="15" x14ac:dyDescent="0.2">
      <c r="A603" s="1"/>
      <c r="B603" s="1"/>
    </row>
    <row r="604" spans="1:2" ht="15" x14ac:dyDescent="0.2">
      <c r="A604" s="1"/>
      <c r="B604" s="1"/>
    </row>
    <row r="605" spans="1:2" ht="15" x14ac:dyDescent="0.2">
      <c r="A605" s="1"/>
      <c r="B605" s="1"/>
    </row>
    <row r="606" spans="1:2" ht="15" x14ac:dyDescent="0.2">
      <c r="A606" s="1"/>
      <c r="B606" s="1"/>
    </row>
    <row r="607" spans="1:2" ht="15" x14ac:dyDescent="0.2">
      <c r="A607" s="1"/>
      <c r="B607" s="1"/>
    </row>
    <row r="608" spans="1:2" ht="15" x14ac:dyDescent="0.2">
      <c r="A608" s="1"/>
      <c r="B608" s="1"/>
    </row>
    <row r="609" spans="1:2" ht="15" x14ac:dyDescent="0.2">
      <c r="A609" s="1"/>
      <c r="B609" s="1"/>
    </row>
    <row r="610" spans="1:2" ht="15" x14ac:dyDescent="0.2">
      <c r="A610" s="1"/>
      <c r="B610" s="1"/>
    </row>
    <row r="611" spans="1:2" ht="15" x14ac:dyDescent="0.2">
      <c r="A611" s="1"/>
      <c r="B611" s="1"/>
    </row>
    <row r="612" spans="1:2" ht="15" x14ac:dyDescent="0.2">
      <c r="A612" s="1"/>
      <c r="B612" s="1"/>
    </row>
    <row r="613" spans="1:2" ht="15" x14ac:dyDescent="0.2">
      <c r="A613" s="1"/>
      <c r="B613" s="1"/>
    </row>
    <row r="614" spans="1:2" ht="15" x14ac:dyDescent="0.2">
      <c r="A614" s="1"/>
      <c r="B614" s="1"/>
    </row>
    <row r="615" spans="1:2" ht="15" x14ac:dyDescent="0.2">
      <c r="A615" s="1"/>
      <c r="B615" s="1"/>
    </row>
    <row r="616" spans="1:2" ht="15" x14ac:dyDescent="0.2">
      <c r="A616" s="1"/>
      <c r="B616" s="1"/>
    </row>
    <row r="617" spans="1:2" ht="15" x14ac:dyDescent="0.2">
      <c r="A617" s="1"/>
      <c r="B617" s="1"/>
    </row>
    <row r="618" spans="1:2" ht="15" x14ac:dyDescent="0.2">
      <c r="A618" s="1"/>
      <c r="B618" s="1"/>
    </row>
    <row r="619" spans="1:2" ht="15" x14ac:dyDescent="0.2">
      <c r="A619" s="1"/>
      <c r="B619" s="1"/>
    </row>
    <row r="620" spans="1:2" ht="15" x14ac:dyDescent="0.2">
      <c r="A620" s="1"/>
      <c r="B620" s="1"/>
    </row>
    <row r="621" spans="1:2" ht="15" x14ac:dyDescent="0.2">
      <c r="A621" s="1"/>
      <c r="B621" s="1"/>
    </row>
    <row r="622" spans="1:2" ht="15" x14ac:dyDescent="0.2">
      <c r="A622" s="1"/>
      <c r="B622" s="1"/>
    </row>
    <row r="623" spans="1:2" ht="15" x14ac:dyDescent="0.2">
      <c r="A623" s="1"/>
      <c r="B623" s="1"/>
    </row>
    <row r="624" spans="1:2" ht="15" x14ac:dyDescent="0.2">
      <c r="A624" s="1"/>
      <c r="B624" s="1"/>
    </row>
    <row r="625" spans="1:2" ht="15" x14ac:dyDescent="0.2">
      <c r="A625" s="1"/>
      <c r="B625" s="1"/>
    </row>
    <row r="626" spans="1:2" ht="15" x14ac:dyDescent="0.2">
      <c r="A626" s="1"/>
      <c r="B626" s="1"/>
    </row>
    <row r="627" spans="1:2" ht="15" x14ac:dyDescent="0.2">
      <c r="A627" s="1"/>
      <c r="B627" s="1"/>
    </row>
    <row r="628" spans="1:2" ht="15" x14ac:dyDescent="0.2">
      <c r="A628" s="1"/>
      <c r="B628" s="1"/>
    </row>
    <row r="629" spans="1:2" ht="15" x14ac:dyDescent="0.2">
      <c r="A629" s="1"/>
      <c r="B629" s="1"/>
    </row>
    <row r="630" spans="1:2" ht="15" x14ac:dyDescent="0.2">
      <c r="A630" s="1"/>
      <c r="B630" s="1"/>
    </row>
    <row r="631" spans="1:2" ht="15" x14ac:dyDescent="0.2">
      <c r="A631" s="1"/>
      <c r="B631" s="1"/>
    </row>
    <row r="632" spans="1:2" ht="15" x14ac:dyDescent="0.2">
      <c r="A632" s="1"/>
      <c r="B632" s="1"/>
    </row>
    <row r="633" spans="1:2" ht="15" x14ac:dyDescent="0.2">
      <c r="A633" s="1"/>
      <c r="B633" s="1"/>
    </row>
    <row r="634" spans="1:2" ht="15" x14ac:dyDescent="0.2">
      <c r="A634" s="1"/>
      <c r="B634" s="1"/>
    </row>
    <row r="635" spans="1:2" ht="15" x14ac:dyDescent="0.2">
      <c r="A635" s="1"/>
      <c r="B635" s="1"/>
    </row>
    <row r="636" spans="1:2" ht="15" x14ac:dyDescent="0.2">
      <c r="A636" s="1"/>
      <c r="B636" s="1"/>
    </row>
    <row r="637" spans="1:2" ht="15" x14ac:dyDescent="0.2">
      <c r="A637" s="1"/>
      <c r="B637" s="1"/>
    </row>
    <row r="638" spans="1:2" ht="15" x14ac:dyDescent="0.2">
      <c r="A638" s="1"/>
      <c r="B638" s="1"/>
    </row>
    <row r="639" spans="1:2" ht="15" x14ac:dyDescent="0.2">
      <c r="A639" s="1"/>
      <c r="B639" s="1"/>
    </row>
    <row r="640" spans="1:2" ht="15" x14ac:dyDescent="0.2">
      <c r="A640" s="1"/>
      <c r="B640" s="1"/>
    </row>
    <row r="641" spans="1:2" ht="15" x14ac:dyDescent="0.2">
      <c r="A641" s="1"/>
      <c r="B641" s="1"/>
    </row>
    <row r="642" spans="1:2" ht="15" x14ac:dyDescent="0.2">
      <c r="A642" s="1"/>
      <c r="B642" s="1"/>
    </row>
    <row r="643" spans="1:2" ht="15" x14ac:dyDescent="0.2">
      <c r="A643" s="1"/>
      <c r="B643" s="1"/>
    </row>
    <row r="644" spans="1:2" ht="15" x14ac:dyDescent="0.2">
      <c r="A644" s="1"/>
      <c r="B644" s="1"/>
    </row>
    <row r="645" spans="1:2" ht="15" x14ac:dyDescent="0.2">
      <c r="A645" s="1"/>
      <c r="B645" s="1"/>
    </row>
    <row r="646" spans="1:2" ht="15" x14ac:dyDescent="0.2">
      <c r="A646" s="1"/>
      <c r="B646" s="1"/>
    </row>
    <row r="647" spans="1:2" ht="15" x14ac:dyDescent="0.2">
      <c r="A647" s="1"/>
      <c r="B647" s="1"/>
    </row>
    <row r="648" spans="1:2" ht="15" x14ac:dyDescent="0.2">
      <c r="A648" s="1"/>
      <c r="B648" s="1"/>
    </row>
    <row r="649" spans="1:2" ht="15" x14ac:dyDescent="0.2">
      <c r="A649" s="1"/>
      <c r="B649" s="1"/>
    </row>
    <row r="650" spans="1:2" ht="15" x14ac:dyDescent="0.2">
      <c r="A650" s="1"/>
      <c r="B650" s="1"/>
    </row>
    <row r="651" spans="1:2" ht="15" x14ac:dyDescent="0.2">
      <c r="A651" s="1"/>
      <c r="B651" s="1"/>
    </row>
    <row r="652" spans="1:2" ht="15" x14ac:dyDescent="0.2">
      <c r="A652" s="1"/>
      <c r="B652" s="1"/>
    </row>
    <row r="653" spans="1:2" ht="15" x14ac:dyDescent="0.2">
      <c r="A653" s="1"/>
      <c r="B653" s="1"/>
    </row>
    <row r="654" spans="1:2" ht="15" x14ac:dyDescent="0.2">
      <c r="A654" s="1"/>
      <c r="B654" s="1"/>
    </row>
    <row r="655" spans="1:2" ht="15" x14ac:dyDescent="0.2">
      <c r="A655" s="1"/>
      <c r="B655" s="1"/>
    </row>
    <row r="656" spans="1:2" ht="15" x14ac:dyDescent="0.2">
      <c r="A656" s="1"/>
      <c r="B656" s="1"/>
    </row>
    <row r="657" spans="1:2" ht="15" x14ac:dyDescent="0.2">
      <c r="A657" s="1"/>
      <c r="B657" s="1"/>
    </row>
    <row r="658" spans="1:2" ht="15" x14ac:dyDescent="0.2">
      <c r="A658" s="1"/>
      <c r="B658" s="1"/>
    </row>
    <row r="659" spans="1:2" ht="15" x14ac:dyDescent="0.2">
      <c r="A659" s="1"/>
      <c r="B659" s="1"/>
    </row>
    <row r="660" spans="1:2" ht="15" x14ac:dyDescent="0.2">
      <c r="A660" s="1"/>
      <c r="B660" s="1"/>
    </row>
    <row r="661" spans="1:2" ht="15" x14ac:dyDescent="0.2">
      <c r="A661" s="1"/>
      <c r="B661" s="1"/>
    </row>
    <row r="662" spans="1:2" ht="15" x14ac:dyDescent="0.2">
      <c r="A662" s="1"/>
      <c r="B662" s="1"/>
    </row>
    <row r="663" spans="1:2" ht="15" x14ac:dyDescent="0.2">
      <c r="A663" s="1"/>
      <c r="B663" s="1"/>
    </row>
    <row r="664" spans="1:2" ht="15" x14ac:dyDescent="0.2">
      <c r="A664" s="1"/>
      <c r="B664" s="1"/>
    </row>
    <row r="665" spans="1:2" ht="15" x14ac:dyDescent="0.2">
      <c r="A665" s="1"/>
      <c r="B665" s="1"/>
    </row>
    <row r="666" spans="1:2" ht="15" x14ac:dyDescent="0.2">
      <c r="A666" s="1"/>
      <c r="B666" s="1"/>
    </row>
    <row r="667" spans="1:2" ht="15" x14ac:dyDescent="0.2">
      <c r="A667" s="1"/>
      <c r="B667" s="1"/>
    </row>
    <row r="668" spans="1:2" ht="15" x14ac:dyDescent="0.2">
      <c r="A668" s="1"/>
      <c r="B668" s="1"/>
    </row>
    <row r="669" spans="1:2" ht="15" x14ac:dyDescent="0.2">
      <c r="A669" s="1"/>
      <c r="B669" s="1"/>
    </row>
    <row r="670" spans="1:2" ht="15" x14ac:dyDescent="0.2">
      <c r="A670" s="1"/>
      <c r="B670" s="1"/>
    </row>
    <row r="671" spans="1:2" ht="15" x14ac:dyDescent="0.2">
      <c r="A671" s="1"/>
      <c r="B671" s="1"/>
    </row>
    <row r="672" spans="1:2" ht="15" x14ac:dyDescent="0.2">
      <c r="A672" s="1"/>
      <c r="B672" s="1"/>
    </row>
    <row r="673" spans="1:2" ht="15" x14ac:dyDescent="0.2">
      <c r="A673" s="1"/>
      <c r="B673" s="1"/>
    </row>
    <row r="674" spans="1:2" ht="15" x14ac:dyDescent="0.2">
      <c r="A674" s="1"/>
      <c r="B674" s="1"/>
    </row>
    <row r="675" spans="1:2" ht="15" x14ac:dyDescent="0.2">
      <c r="A675" s="1"/>
      <c r="B675" s="1"/>
    </row>
    <row r="676" spans="1:2" ht="15" x14ac:dyDescent="0.2">
      <c r="A676" s="1"/>
      <c r="B676" s="1"/>
    </row>
    <row r="677" spans="1:2" ht="15" x14ac:dyDescent="0.2">
      <c r="A677" s="1"/>
      <c r="B677" s="1"/>
    </row>
    <row r="678" spans="1:2" ht="15" x14ac:dyDescent="0.2">
      <c r="A678" s="1"/>
      <c r="B678" s="1"/>
    </row>
    <row r="679" spans="1:2" ht="15" x14ac:dyDescent="0.2">
      <c r="A679" s="1"/>
      <c r="B679" s="1"/>
    </row>
    <row r="680" spans="1:2" ht="15" x14ac:dyDescent="0.2">
      <c r="A680" s="1"/>
      <c r="B680" s="1"/>
    </row>
    <row r="681" spans="1:2" ht="15" x14ac:dyDescent="0.2">
      <c r="A681" s="1"/>
      <c r="B681" s="1"/>
    </row>
    <row r="682" spans="1:2" ht="15" x14ac:dyDescent="0.2">
      <c r="A682" s="1"/>
      <c r="B682" s="1"/>
    </row>
    <row r="683" spans="1:2" ht="15" x14ac:dyDescent="0.2">
      <c r="A683" s="1"/>
      <c r="B683" s="1"/>
    </row>
    <row r="684" spans="1:2" ht="15" x14ac:dyDescent="0.2">
      <c r="A684" s="1"/>
      <c r="B684" s="1"/>
    </row>
    <row r="685" spans="1:2" ht="15" x14ac:dyDescent="0.2">
      <c r="A685" s="1"/>
      <c r="B685" s="1"/>
    </row>
    <row r="686" spans="1:2" ht="15" x14ac:dyDescent="0.2">
      <c r="A686" s="1"/>
      <c r="B686" s="1"/>
    </row>
    <row r="687" spans="1:2" ht="15" x14ac:dyDescent="0.2">
      <c r="A687" s="1"/>
      <c r="B687" s="1"/>
    </row>
    <row r="688" spans="1:2" ht="15" x14ac:dyDescent="0.2">
      <c r="A688" s="1"/>
      <c r="B688" s="1"/>
    </row>
    <row r="689" spans="1:2" ht="15" x14ac:dyDescent="0.2">
      <c r="A689" s="1"/>
      <c r="B689" s="1"/>
    </row>
    <row r="690" spans="1:2" ht="15" x14ac:dyDescent="0.2">
      <c r="A690" s="1"/>
      <c r="B690" s="1"/>
    </row>
    <row r="691" spans="1:2" ht="15" x14ac:dyDescent="0.2">
      <c r="A691" s="1"/>
      <c r="B691" s="1"/>
    </row>
    <row r="692" spans="1:2" ht="15" x14ac:dyDescent="0.2">
      <c r="A692" s="1"/>
      <c r="B692" s="1"/>
    </row>
    <row r="693" spans="1:2" ht="15" x14ac:dyDescent="0.2">
      <c r="A693" s="1"/>
      <c r="B693" s="1"/>
    </row>
    <row r="694" spans="1:2" ht="15" x14ac:dyDescent="0.2">
      <c r="A694" s="1"/>
      <c r="B694" s="1"/>
    </row>
    <row r="695" spans="1:2" ht="15" x14ac:dyDescent="0.2">
      <c r="A695" s="1"/>
      <c r="B695" s="1"/>
    </row>
    <row r="696" spans="1:2" ht="15" x14ac:dyDescent="0.2">
      <c r="A696" s="1"/>
      <c r="B696" s="1"/>
    </row>
    <row r="697" spans="1:2" ht="15" x14ac:dyDescent="0.2">
      <c r="A697" s="1"/>
      <c r="B697" s="1"/>
    </row>
    <row r="698" spans="1:2" ht="15" x14ac:dyDescent="0.2">
      <c r="A698" s="1"/>
      <c r="B698" s="1"/>
    </row>
    <row r="699" spans="1:2" ht="15" x14ac:dyDescent="0.2">
      <c r="A699" s="1"/>
      <c r="B699" s="1"/>
    </row>
    <row r="700" spans="1:2" ht="15" x14ac:dyDescent="0.2">
      <c r="A700" s="1"/>
      <c r="B700" s="1"/>
    </row>
    <row r="701" spans="1:2" ht="15" x14ac:dyDescent="0.2">
      <c r="A701" s="1"/>
      <c r="B701" s="1"/>
    </row>
    <row r="702" spans="1:2" ht="15" x14ac:dyDescent="0.2">
      <c r="A702" s="1"/>
      <c r="B702" s="1"/>
    </row>
    <row r="703" spans="1:2" ht="15" x14ac:dyDescent="0.2">
      <c r="A703" s="1"/>
      <c r="B703" s="1"/>
    </row>
    <row r="704" spans="1:2" ht="15" x14ac:dyDescent="0.2">
      <c r="A704" s="1"/>
      <c r="B704" s="1"/>
    </row>
    <row r="705" spans="1:2" ht="15" x14ac:dyDescent="0.2">
      <c r="A705" s="1"/>
      <c r="B705" s="1"/>
    </row>
    <row r="706" spans="1:2" ht="15" x14ac:dyDescent="0.2">
      <c r="A706" s="1"/>
      <c r="B706" s="1"/>
    </row>
    <row r="707" spans="1:2" ht="15" x14ac:dyDescent="0.2">
      <c r="A707" s="1"/>
      <c r="B707" s="1"/>
    </row>
    <row r="708" spans="1:2" ht="15" x14ac:dyDescent="0.2">
      <c r="A708" s="1"/>
      <c r="B708" s="1"/>
    </row>
    <row r="709" spans="1:2" ht="15" x14ac:dyDescent="0.2">
      <c r="A709" s="1"/>
      <c r="B709" s="1"/>
    </row>
    <row r="710" spans="1:2" ht="15" x14ac:dyDescent="0.2">
      <c r="A710" s="1"/>
      <c r="B710" s="1"/>
    </row>
    <row r="711" spans="1:2" ht="15" x14ac:dyDescent="0.2">
      <c r="A711" s="1"/>
      <c r="B711" s="1"/>
    </row>
    <row r="712" spans="1:2" ht="15" x14ac:dyDescent="0.2">
      <c r="A712" s="1"/>
      <c r="B712" s="1"/>
    </row>
    <row r="713" spans="1:2" ht="15" x14ac:dyDescent="0.2">
      <c r="A713" s="1"/>
      <c r="B713" s="1"/>
    </row>
    <row r="714" spans="1:2" ht="15" x14ac:dyDescent="0.2">
      <c r="A714" s="1"/>
      <c r="B714" s="1"/>
    </row>
    <row r="715" spans="1:2" ht="15" x14ac:dyDescent="0.2">
      <c r="A715" s="1"/>
      <c r="B715" s="1"/>
    </row>
    <row r="716" spans="1:2" ht="15" x14ac:dyDescent="0.2">
      <c r="A716" s="1"/>
      <c r="B716" s="1"/>
    </row>
    <row r="717" spans="1:2" ht="15" x14ac:dyDescent="0.2">
      <c r="A717" s="1"/>
      <c r="B717" s="1"/>
    </row>
    <row r="718" spans="1:2" ht="15" x14ac:dyDescent="0.2">
      <c r="A718" s="1"/>
      <c r="B718" s="1"/>
    </row>
    <row r="719" spans="1:2" ht="15" x14ac:dyDescent="0.2">
      <c r="A719" s="1"/>
      <c r="B719" s="1"/>
    </row>
    <row r="720" spans="1:2" ht="15" x14ac:dyDescent="0.2">
      <c r="A720" s="1"/>
      <c r="B720" s="1"/>
    </row>
    <row r="721" spans="1:2" ht="15" x14ac:dyDescent="0.2">
      <c r="A721" s="1"/>
      <c r="B721" s="1"/>
    </row>
    <row r="722" spans="1:2" ht="15" x14ac:dyDescent="0.2">
      <c r="A722" s="1"/>
      <c r="B722" s="1"/>
    </row>
    <row r="723" spans="1:2" ht="15" x14ac:dyDescent="0.2">
      <c r="A723" s="1"/>
      <c r="B723" s="1"/>
    </row>
    <row r="724" spans="1:2" ht="15" x14ac:dyDescent="0.2">
      <c r="A724" s="1"/>
      <c r="B724" s="1"/>
    </row>
    <row r="725" spans="1:2" ht="15" x14ac:dyDescent="0.2">
      <c r="A725" s="1"/>
      <c r="B725" s="1"/>
    </row>
    <row r="726" spans="1:2" ht="15" x14ac:dyDescent="0.2">
      <c r="A726" s="1"/>
      <c r="B726" s="1"/>
    </row>
    <row r="727" spans="1:2" ht="15" x14ac:dyDescent="0.2">
      <c r="A727" s="1"/>
      <c r="B727" s="1"/>
    </row>
    <row r="728" spans="1:2" ht="15" x14ac:dyDescent="0.2">
      <c r="A728" s="1"/>
      <c r="B728" s="1"/>
    </row>
    <row r="729" spans="1:2" ht="15" x14ac:dyDescent="0.2">
      <c r="A729" s="1"/>
      <c r="B729" s="1"/>
    </row>
    <row r="730" spans="1:2" ht="15" x14ac:dyDescent="0.2">
      <c r="A730" s="1"/>
      <c r="B730" s="1"/>
    </row>
    <row r="731" spans="1:2" ht="15" x14ac:dyDescent="0.2">
      <c r="A731" s="1"/>
      <c r="B731" s="1"/>
    </row>
    <row r="732" spans="1:2" ht="15" x14ac:dyDescent="0.2">
      <c r="A732" s="1"/>
      <c r="B732" s="1"/>
    </row>
    <row r="733" spans="1:2" ht="15" x14ac:dyDescent="0.2">
      <c r="A733" s="1"/>
      <c r="B733" s="1"/>
    </row>
    <row r="734" spans="1:2" ht="15" x14ac:dyDescent="0.2">
      <c r="A734" s="1"/>
      <c r="B734" s="1"/>
    </row>
    <row r="735" spans="1:2" ht="15" x14ac:dyDescent="0.2">
      <c r="A735" s="1"/>
      <c r="B735" s="1"/>
    </row>
    <row r="736" spans="1:2" ht="15" x14ac:dyDescent="0.2">
      <c r="A736" s="1"/>
      <c r="B736" s="1"/>
    </row>
    <row r="737" spans="1:2" ht="15" x14ac:dyDescent="0.2">
      <c r="A737" s="1"/>
      <c r="B737" s="1"/>
    </row>
    <row r="738" spans="1:2" ht="15" x14ac:dyDescent="0.2">
      <c r="A738" s="1"/>
      <c r="B738" s="1"/>
    </row>
    <row r="739" spans="1:2" ht="15" x14ac:dyDescent="0.2">
      <c r="A739" s="1"/>
      <c r="B739" s="1"/>
    </row>
    <row r="740" spans="1:2" ht="15" x14ac:dyDescent="0.2">
      <c r="A740" s="1"/>
      <c r="B740" s="1"/>
    </row>
    <row r="741" spans="1:2" ht="15" x14ac:dyDescent="0.2">
      <c r="A741" s="1"/>
      <c r="B741" s="1"/>
    </row>
    <row r="742" spans="1:2" ht="15" x14ac:dyDescent="0.2">
      <c r="A742" s="1"/>
      <c r="B742" s="1"/>
    </row>
    <row r="743" spans="1:2" ht="15" x14ac:dyDescent="0.2">
      <c r="A743" s="1"/>
      <c r="B743" s="1"/>
    </row>
    <row r="744" spans="1:2" ht="15" x14ac:dyDescent="0.2">
      <c r="A744" s="1"/>
      <c r="B744" s="1"/>
    </row>
    <row r="745" spans="1:2" ht="15" x14ac:dyDescent="0.2">
      <c r="A745" s="1"/>
      <c r="B745" s="1"/>
    </row>
    <row r="746" spans="1:2" ht="15" x14ac:dyDescent="0.2">
      <c r="A746" s="1"/>
      <c r="B746" s="1"/>
    </row>
    <row r="747" spans="1:2" ht="15" x14ac:dyDescent="0.2">
      <c r="A747" s="1"/>
      <c r="B747" s="1"/>
    </row>
    <row r="748" spans="1:2" ht="15" x14ac:dyDescent="0.2">
      <c r="A748" s="1"/>
      <c r="B748" s="1"/>
    </row>
    <row r="749" spans="1:2" ht="15" x14ac:dyDescent="0.2">
      <c r="A749" s="1"/>
      <c r="B749" s="1"/>
    </row>
    <row r="750" spans="1:2" ht="15" x14ac:dyDescent="0.2">
      <c r="A750" s="1"/>
      <c r="B750" s="1"/>
    </row>
    <row r="751" spans="1:2" ht="15" x14ac:dyDescent="0.2">
      <c r="A751" s="1"/>
      <c r="B751" s="1"/>
    </row>
    <row r="752" spans="1:2" ht="15" x14ac:dyDescent="0.2">
      <c r="A752" s="1"/>
      <c r="B752" s="1"/>
    </row>
    <row r="753" spans="1:2" ht="15" x14ac:dyDescent="0.2">
      <c r="A753" s="1"/>
      <c r="B753" s="1"/>
    </row>
    <row r="754" spans="1:2" ht="15" x14ac:dyDescent="0.2">
      <c r="A754" s="1"/>
      <c r="B754" s="1"/>
    </row>
    <row r="755" spans="1:2" ht="15" x14ac:dyDescent="0.2">
      <c r="A755" s="1"/>
      <c r="B755" s="1"/>
    </row>
    <row r="756" spans="1:2" ht="15" x14ac:dyDescent="0.2">
      <c r="A756" s="1"/>
      <c r="B756" s="1"/>
    </row>
    <row r="757" spans="1:2" ht="15" x14ac:dyDescent="0.2">
      <c r="A757" s="1"/>
      <c r="B757" s="1"/>
    </row>
    <row r="758" spans="1:2" ht="15" x14ac:dyDescent="0.2">
      <c r="A758" s="1"/>
      <c r="B758" s="1"/>
    </row>
    <row r="759" spans="1:2" ht="15" x14ac:dyDescent="0.2">
      <c r="A759" s="1"/>
      <c r="B759" s="1"/>
    </row>
    <row r="760" spans="1:2" ht="15" x14ac:dyDescent="0.2">
      <c r="A760" s="1"/>
      <c r="B760" s="1"/>
    </row>
    <row r="761" spans="1:2" ht="15" x14ac:dyDescent="0.2">
      <c r="A761" s="1"/>
      <c r="B761" s="1"/>
    </row>
    <row r="762" spans="1:2" ht="15" x14ac:dyDescent="0.2">
      <c r="A762" s="1"/>
      <c r="B762" s="1"/>
    </row>
    <row r="763" spans="1:2" ht="15" x14ac:dyDescent="0.2">
      <c r="A763" s="1"/>
      <c r="B763" s="1"/>
    </row>
    <row r="764" spans="1:2" ht="15" x14ac:dyDescent="0.2">
      <c r="A764" s="1"/>
      <c r="B764" s="1"/>
    </row>
    <row r="765" spans="1:2" ht="15" x14ac:dyDescent="0.2">
      <c r="A765" s="1"/>
      <c r="B765" s="1"/>
    </row>
    <row r="766" spans="1:2" ht="15" x14ac:dyDescent="0.2">
      <c r="A766" s="1"/>
      <c r="B766" s="1"/>
    </row>
    <row r="767" spans="1:2" ht="15" x14ac:dyDescent="0.2">
      <c r="A767" s="1"/>
      <c r="B767" s="1"/>
    </row>
    <row r="768" spans="1:2" ht="15" x14ac:dyDescent="0.2">
      <c r="A768" s="1"/>
      <c r="B768" s="1"/>
    </row>
    <row r="769" spans="1:2" ht="15" x14ac:dyDescent="0.2">
      <c r="A769" s="1"/>
      <c r="B769" s="1"/>
    </row>
    <row r="770" spans="1:2" ht="15" x14ac:dyDescent="0.2">
      <c r="A770" s="1"/>
      <c r="B770" s="1"/>
    </row>
    <row r="771" spans="1:2" ht="15" x14ac:dyDescent="0.2">
      <c r="A771" s="1"/>
      <c r="B771" s="1"/>
    </row>
    <row r="772" spans="1:2" ht="15" x14ac:dyDescent="0.2">
      <c r="A772" s="1"/>
      <c r="B772" s="1"/>
    </row>
    <row r="773" spans="1:2" ht="15" x14ac:dyDescent="0.2">
      <c r="A773" s="1"/>
      <c r="B773" s="1"/>
    </row>
    <row r="774" spans="1:2" ht="15" x14ac:dyDescent="0.2">
      <c r="A774" s="1"/>
      <c r="B774" s="1"/>
    </row>
    <row r="775" spans="1:2" ht="15" x14ac:dyDescent="0.2">
      <c r="A775" s="1"/>
      <c r="B775" s="1"/>
    </row>
    <row r="776" spans="1:2" ht="15" x14ac:dyDescent="0.2">
      <c r="A776" s="1"/>
      <c r="B776" s="1"/>
    </row>
    <row r="777" spans="1:2" ht="15" x14ac:dyDescent="0.2">
      <c r="A777" s="1"/>
      <c r="B777" s="1"/>
    </row>
    <row r="778" spans="1:2" ht="15" x14ac:dyDescent="0.2">
      <c r="A778" s="1"/>
      <c r="B778" s="1"/>
    </row>
    <row r="779" spans="1:2" ht="15" x14ac:dyDescent="0.2">
      <c r="A779" s="1"/>
      <c r="B779" s="1"/>
    </row>
    <row r="780" spans="1:2" ht="15" x14ac:dyDescent="0.2">
      <c r="A780" s="1"/>
      <c r="B780" s="1"/>
    </row>
    <row r="781" spans="1:2" ht="15" x14ac:dyDescent="0.2">
      <c r="A781" s="1"/>
      <c r="B781" s="1"/>
    </row>
    <row r="782" spans="1:2" ht="15" x14ac:dyDescent="0.2">
      <c r="A782" s="1"/>
      <c r="B782" s="1"/>
    </row>
    <row r="783" spans="1:2" ht="15" x14ac:dyDescent="0.2">
      <c r="A783" s="1"/>
      <c r="B783" s="1"/>
    </row>
    <row r="784" spans="1:2" ht="15" x14ac:dyDescent="0.2">
      <c r="A784" s="1"/>
      <c r="B784" s="1"/>
    </row>
    <row r="785" spans="1:2" ht="15" x14ac:dyDescent="0.2">
      <c r="A785" s="1"/>
      <c r="B785" s="1"/>
    </row>
    <row r="786" spans="1:2" ht="15" x14ac:dyDescent="0.2">
      <c r="A786" s="1"/>
      <c r="B786" s="1"/>
    </row>
    <row r="787" spans="1:2" ht="15" x14ac:dyDescent="0.2">
      <c r="A787" s="1"/>
      <c r="B787" s="1"/>
    </row>
    <row r="788" spans="1:2" ht="15" x14ac:dyDescent="0.2">
      <c r="A788" s="1"/>
      <c r="B788" s="1"/>
    </row>
    <row r="789" spans="1:2" ht="15" x14ac:dyDescent="0.2">
      <c r="A789" s="1"/>
      <c r="B789" s="1"/>
    </row>
    <row r="790" spans="1:2" ht="15" x14ac:dyDescent="0.2">
      <c r="A790" s="1"/>
      <c r="B790" s="1"/>
    </row>
    <row r="791" spans="1:2" ht="15" x14ac:dyDescent="0.2">
      <c r="A791" s="1"/>
      <c r="B791" s="1"/>
    </row>
    <row r="792" spans="1:2" ht="15" x14ac:dyDescent="0.2">
      <c r="A792" s="1"/>
      <c r="B792" s="1"/>
    </row>
    <row r="793" spans="1:2" ht="15" x14ac:dyDescent="0.2">
      <c r="A793" s="1"/>
      <c r="B793" s="1"/>
    </row>
    <row r="794" spans="1:2" ht="15" x14ac:dyDescent="0.2">
      <c r="A794" s="1"/>
      <c r="B794" s="1"/>
    </row>
    <row r="795" spans="1:2" ht="15" x14ac:dyDescent="0.2">
      <c r="A795" s="1"/>
      <c r="B795" s="1"/>
    </row>
    <row r="796" spans="1:2" ht="15" x14ac:dyDescent="0.2">
      <c r="A796" s="1"/>
      <c r="B796" s="1"/>
    </row>
    <row r="797" spans="1:2" ht="15" x14ac:dyDescent="0.2">
      <c r="A797" s="1"/>
      <c r="B797" s="1"/>
    </row>
    <row r="798" spans="1:2" ht="15" x14ac:dyDescent="0.2">
      <c r="A798" s="1"/>
      <c r="B798" s="1"/>
    </row>
    <row r="799" spans="1:2" ht="15" x14ac:dyDescent="0.2">
      <c r="A799" s="1"/>
      <c r="B799" s="1"/>
    </row>
    <row r="800" spans="1:2" ht="15" x14ac:dyDescent="0.2">
      <c r="A800" s="1"/>
      <c r="B800" s="1"/>
    </row>
    <row r="801" spans="1:2" ht="15" x14ac:dyDescent="0.2">
      <c r="A801" s="1"/>
      <c r="B801" s="1"/>
    </row>
    <row r="802" spans="1:2" ht="15" x14ac:dyDescent="0.2">
      <c r="A802" s="1"/>
      <c r="B802" s="1"/>
    </row>
    <row r="803" spans="1:2" ht="15" x14ac:dyDescent="0.2">
      <c r="A803" s="1"/>
      <c r="B803" s="1"/>
    </row>
    <row r="804" spans="1:2" ht="15" x14ac:dyDescent="0.2">
      <c r="A804" s="1"/>
      <c r="B804" s="1"/>
    </row>
    <row r="805" spans="1:2" ht="15" x14ac:dyDescent="0.2">
      <c r="A805" s="1"/>
      <c r="B805" s="1"/>
    </row>
    <row r="806" spans="1:2" ht="15" x14ac:dyDescent="0.2">
      <c r="A806" s="1"/>
      <c r="B806" s="1"/>
    </row>
    <row r="807" spans="1:2" ht="15" x14ac:dyDescent="0.2">
      <c r="A807" s="1"/>
      <c r="B807" s="1"/>
    </row>
    <row r="808" spans="1:2" ht="15" x14ac:dyDescent="0.2">
      <c r="A808" s="1"/>
      <c r="B808" s="1"/>
    </row>
    <row r="809" spans="1:2" ht="15" x14ac:dyDescent="0.2">
      <c r="A809" s="1"/>
      <c r="B809" s="1"/>
    </row>
    <row r="810" spans="1:2" ht="15" x14ac:dyDescent="0.2">
      <c r="A810" s="1"/>
      <c r="B810" s="1"/>
    </row>
    <row r="811" spans="1:2" ht="15" x14ac:dyDescent="0.2">
      <c r="A811" s="1"/>
      <c r="B811" s="1"/>
    </row>
    <row r="812" spans="1:2" ht="15" x14ac:dyDescent="0.2">
      <c r="A812" s="1"/>
      <c r="B812" s="1"/>
    </row>
    <row r="813" spans="1:2" ht="15" x14ac:dyDescent="0.2">
      <c r="A813" s="1"/>
      <c r="B813" s="1"/>
    </row>
    <row r="814" spans="1:2" ht="15" x14ac:dyDescent="0.2">
      <c r="A814" s="1"/>
      <c r="B814" s="1"/>
    </row>
    <row r="815" spans="1:2" ht="15" x14ac:dyDescent="0.2">
      <c r="A815" s="1"/>
      <c r="B815" s="1"/>
    </row>
    <row r="816" spans="1:2" ht="15" x14ac:dyDescent="0.2">
      <c r="A816" s="1"/>
      <c r="B816" s="1"/>
    </row>
    <row r="817" spans="1:2" ht="15" x14ac:dyDescent="0.2">
      <c r="A817" s="1"/>
      <c r="B817" s="1"/>
    </row>
    <row r="818" spans="1:2" ht="15" x14ac:dyDescent="0.2">
      <c r="A818" s="1"/>
      <c r="B818" s="1"/>
    </row>
    <row r="819" spans="1:2" ht="15" x14ac:dyDescent="0.2">
      <c r="A819" s="1"/>
      <c r="B819" s="1"/>
    </row>
    <row r="820" spans="1:2" ht="15" x14ac:dyDescent="0.2">
      <c r="A820" s="1"/>
      <c r="B820" s="1"/>
    </row>
    <row r="821" spans="1:2" ht="15" x14ac:dyDescent="0.2">
      <c r="A821" s="1"/>
      <c r="B821" s="1"/>
    </row>
    <row r="822" spans="1:2" ht="15" x14ac:dyDescent="0.2">
      <c r="A822" s="1"/>
      <c r="B822" s="1"/>
    </row>
    <row r="823" spans="1:2" ht="15" x14ac:dyDescent="0.2">
      <c r="A823" s="1"/>
      <c r="B823" s="1"/>
    </row>
    <row r="824" spans="1:2" ht="15" x14ac:dyDescent="0.2">
      <c r="A824" s="1"/>
      <c r="B824" s="1"/>
    </row>
    <row r="825" spans="1:2" ht="15" x14ac:dyDescent="0.2">
      <c r="A825" s="1"/>
      <c r="B825" s="1"/>
    </row>
    <row r="826" spans="1:2" ht="15" x14ac:dyDescent="0.2">
      <c r="A826" s="1"/>
      <c r="B826" s="1"/>
    </row>
    <row r="827" spans="1:2" ht="15" x14ac:dyDescent="0.2">
      <c r="A827" s="1"/>
      <c r="B827" s="1"/>
    </row>
    <row r="828" spans="1:2" ht="15" x14ac:dyDescent="0.2">
      <c r="A828" s="1"/>
      <c r="B828" s="1"/>
    </row>
    <row r="829" spans="1:2" ht="15" x14ac:dyDescent="0.2">
      <c r="A829" s="1"/>
      <c r="B829" s="1"/>
    </row>
    <row r="830" spans="1:2" ht="15" x14ac:dyDescent="0.2">
      <c r="A830" s="1"/>
      <c r="B830" s="1"/>
    </row>
    <row r="831" spans="1:2" ht="15" x14ac:dyDescent="0.2">
      <c r="A831" s="1"/>
      <c r="B831" s="1"/>
    </row>
    <row r="832" spans="1:2" ht="15" x14ac:dyDescent="0.2">
      <c r="A832" s="1"/>
      <c r="B832" s="1"/>
    </row>
    <row r="833" spans="1:2" ht="15" x14ac:dyDescent="0.2">
      <c r="A833" s="1"/>
      <c r="B833" s="1"/>
    </row>
    <row r="834" spans="1:2" ht="15" x14ac:dyDescent="0.2">
      <c r="A834" s="1"/>
      <c r="B834" s="1"/>
    </row>
    <row r="835" spans="1:2" ht="15" x14ac:dyDescent="0.2">
      <c r="A835" s="1"/>
      <c r="B835" s="1"/>
    </row>
    <row r="836" spans="1:2" ht="15" x14ac:dyDescent="0.2">
      <c r="A836" s="1"/>
      <c r="B836" s="1"/>
    </row>
    <row r="837" spans="1:2" ht="15" x14ac:dyDescent="0.2">
      <c r="A837" s="1"/>
      <c r="B837" s="1"/>
    </row>
    <row r="838" spans="1:2" ht="15" x14ac:dyDescent="0.2">
      <c r="A838" s="1"/>
      <c r="B838" s="1"/>
    </row>
    <row r="839" spans="1:2" ht="15" x14ac:dyDescent="0.2">
      <c r="A839" s="1"/>
      <c r="B839" s="1"/>
    </row>
    <row r="840" spans="1:2" ht="15" x14ac:dyDescent="0.2">
      <c r="A840" s="1"/>
      <c r="B840" s="1"/>
    </row>
    <row r="841" spans="1:2" ht="15" x14ac:dyDescent="0.2">
      <c r="A841" s="1"/>
      <c r="B841" s="1"/>
    </row>
    <row r="842" spans="1:2" ht="15" x14ac:dyDescent="0.2">
      <c r="A842" s="1"/>
      <c r="B842" s="1"/>
    </row>
    <row r="843" spans="1:2" ht="15" x14ac:dyDescent="0.2">
      <c r="A843" s="1"/>
      <c r="B843" s="1"/>
    </row>
    <row r="844" spans="1:2" ht="15" x14ac:dyDescent="0.2">
      <c r="A844" s="1"/>
      <c r="B844" s="1"/>
    </row>
    <row r="845" spans="1:2" ht="15" x14ac:dyDescent="0.2">
      <c r="A845" s="1"/>
      <c r="B845" s="1"/>
    </row>
    <row r="846" spans="1:2" ht="15" x14ac:dyDescent="0.2">
      <c r="A846" s="1"/>
      <c r="B846" s="1"/>
    </row>
    <row r="847" spans="1:2" ht="15" x14ac:dyDescent="0.2">
      <c r="A847" s="1"/>
      <c r="B847" s="1"/>
    </row>
    <row r="848" spans="1:2" ht="15" x14ac:dyDescent="0.2">
      <c r="A848" s="1"/>
      <c r="B848" s="1"/>
    </row>
    <row r="849" spans="1:2" ht="15" x14ac:dyDescent="0.2">
      <c r="A849" s="1"/>
      <c r="B849" s="1"/>
    </row>
    <row r="850" spans="1:2" ht="15" x14ac:dyDescent="0.2">
      <c r="A850" s="1"/>
      <c r="B850" s="1"/>
    </row>
    <row r="851" spans="1:2" ht="15" x14ac:dyDescent="0.2">
      <c r="A851" s="1"/>
      <c r="B851" s="1"/>
    </row>
    <row r="852" spans="1:2" ht="15" x14ac:dyDescent="0.2">
      <c r="A852" s="1"/>
      <c r="B852" s="1"/>
    </row>
    <row r="853" spans="1:2" ht="15" x14ac:dyDescent="0.2">
      <c r="A853" s="1"/>
      <c r="B853" s="1"/>
    </row>
    <row r="854" spans="1:2" ht="15" x14ac:dyDescent="0.2">
      <c r="A854" s="1"/>
      <c r="B854" s="1"/>
    </row>
    <row r="855" spans="1:2" ht="15" x14ac:dyDescent="0.2">
      <c r="A855" s="1"/>
      <c r="B855" s="1"/>
    </row>
    <row r="856" spans="1:2" ht="15" x14ac:dyDescent="0.2">
      <c r="A856" s="1"/>
      <c r="B856" s="1"/>
    </row>
    <row r="857" spans="1:2" ht="15" x14ac:dyDescent="0.2">
      <c r="A857" s="1"/>
      <c r="B857" s="1"/>
    </row>
    <row r="858" spans="1:2" ht="15" x14ac:dyDescent="0.2">
      <c r="A858" s="1"/>
      <c r="B858" s="1"/>
    </row>
    <row r="859" spans="1:2" ht="15" x14ac:dyDescent="0.2">
      <c r="A859" s="1"/>
      <c r="B859" s="1"/>
    </row>
    <row r="860" spans="1:2" ht="15" x14ac:dyDescent="0.2">
      <c r="A860" s="1"/>
      <c r="B860" s="1"/>
    </row>
    <row r="861" spans="1:2" ht="15" x14ac:dyDescent="0.2">
      <c r="A861" s="1"/>
      <c r="B861" s="1"/>
    </row>
    <row r="862" spans="1:2" ht="15" x14ac:dyDescent="0.2">
      <c r="A862" s="1"/>
      <c r="B862" s="1"/>
    </row>
    <row r="863" spans="1:2" ht="15" x14ac:dyDescent="0.2">
      <c r="A863" s="1"/>
      <c r="B863" s="1"/>
    </row>
    <row r="864" spans="1:2" ht="15" x14ac:dyDescent="0.2">
      <c r="A864" s="1"/>
      <c r="B864" s="1"/>
    </row>
    <row r="865" spans="1:2" ht="15" x14ac:dyDescent="0.2">
      <c r="A865" s="1"/>
      <c r="B865" s="1"/>
    </row>
    <row r="866" spans="1:2" ht="15" x14ac:dyDescent="0.2">
      <c r="A866" s="1"/>
      <c r="B866" s="1"/>
    </row>
    <row r="867" spans="1:2" ht="15" x14ac:dyDescent="0.2">
      <c r="A867" s="1"/>
      <c r="B867" s="1"/>
    </row>
    <row r="868" spans="1:2" ht="15" x14ac:dyDescent="0.2">
      <c r="A868" s="1"/>
      <c r="B868" s="1"/>
    </row>
    <row r="869" spans="1:2" ht="15" x14ac:dyDescent="0.2">
      <c r="A869" s="1"/>
      <c r="B869" s="1"/>
    </row>
    <row r="870" spans="1:2" ht="15" x14ac:dyDescent="0.2">
      <c r="A870" s="1"/>
      <c r="B870" s="1"/>
    </row>
    <row r="871" spans="1:2" ht="15" x14ac:dyDescent="0.2">
      <c r="A871" s="1"/>
      <c r="B871" s="1"/>
    </row>
    <row r="872" spans="1:2" ht="15" x14ac:dyDescent="0.2">
      <c r="A872" s="1"/>
      <c r="B872" s="1"/>
    </row>
    <row r="873" spans="1:2" ht="15" x14ac:dyDescent="0.2">
      <c r="A873" s="1"/>
      <c r="B873" s="1"/>
    </row>
    <row r="874" spans="1:2" ht="15" x14ac:dyDescent="0.2">
      <c r="A874" s="1"/>
      <c r="B874" s="1"/>
    </row>
    <row r="875" spans="1:2" ht="15" x14ac:dyDescent="0.2">
      <c r="A875" s="1"/>
      <c r="B875" s="1"/>
    </row>
    <row r="876" spans="1:2" ht="15" x14ac:dyDescent="0.2">
      <c r="A876" s="1"/>
      <c r="B876" s="1"/>
    </row>
    <row r="877" spans="1:2" ht="15" x14ac:dyDescent="0.2">
      <c r="A877" s="1"/>
      <c r="B877" s="1"/>
    </row>
    <row r="878" spans="1:2" ht="15" x14ac:dyDescent="0.2">
      <c r="A878" s="1"/>
      <c r="B878" s="1"/>
    </row>
    <row r="879" spans="1:2" ht="15" x14ac:dyDescent="0.2">
      <c r="A879" s="1"/>
      <c r="B879" s="1"/>
    </row>
    <row r="880" spans="1:2" ht="15" x14ac:dyDescent="0.2">
      <c r="A880" s="1"/>
      <c r="B880" s="1"/>
    </row>
    <row r="881" spans="1:2" ht="15" x14ac:dyDescent="0.2">
      <c r="A881" s="1"/>
      <c r="B881" s="1"/>
    </row>
    <row r="882" spans="1:2" ht="15" x14ac:dyDescent="0.2">
      <c r="A882" s="1"/>
      <c r="B882" s="1"/>
    </row>
    <row r="883" spans="1:2" ht="15" x14ac:dyDescent="0.2">
      <c r="A883" s="1"/>
      <c r="B883" s="1"/>
    </row>
    <row r="884" spans="1:2" ht="15" x14ac:dyDescent="0.2">
      <c r="A884" s="1"/>
      <c r="B884" s="1"/>
    </row>
    <row r="885" spans="1:2" ht="15" x14ac:dyDescent="0.2">
      <c r="A885" s="1"/>
      <c r="B885" s="1"/>
    </row>
    <row r="886" spans="1:2" ht="15" x14ac:dyDescent="0.2">
      <c r="A886" s="1"/>
      <c r="B886" s="1"/>
    </row>
    <row r="887" spans="1:2" ht="15" x14ac:dyDescent="0.2">
      <c r="A887" s="1"/>
      <c r="B887" s="1"/>
    </row>
    <row r="888" spans="1:2" ht="15" x14ac:dyDescent="0.2">
      <c r="A888" s="1"/>
      <c r="B888" s="1"/>
    </row>
    <row r="889" spans="1:2" ht="15" x14ac:dyDescent="0.2">
      <c r="A889" s="1"/>
      <c r="B889" s="1"/>
    </row>
    <row r="890" spans="1:2" ht="15" x14ac:dyDescent="0.2">
      <c r="A890" s="1"/>
      <c r="B890" s="1"/>
    </row>
    <row r="891" spans="1:2" ht="15" x14ac:dyDescent="0.2">
      <c r="A891" s="1"/>
      <c r="B891" s="1"/>
    </row>
    <row r="892" spans="1:2" ht="15" x14ac:dyDescent="0.2">
      <c r="A892" s="1"/>
      <c r="B892" s="1"/>
    </row>
    <row r="893" spans="1:2" ht="15" x14ac:dyDescent="0.2">
      <c r="A893" s="1"/>
      <c r="B893" s="1"/>
    </row>
    <row r="894" spans="1:2" ht="15" x14ac:dyDescent="0.2">
      <c r="A894" s="1"/>
      <c r="B894" s="1"/>
    </row>
    <row r="895" spans="1:2" ht="15" x14ac:dyDescent="0.2">
      <c r="A895" s="1"/>
      <c r="B895" s="1"/>
    </row>
    <row r="896" spans="1:2" ht="15" x14ac:dyDescent="0.2">
      <c r="A896" s="1"/>
      <c r="B896" s="1"/>
    </row>
    <row r="897" spans="1:2" ht="15" x14ac:dyDescent="0.2">
      <c r="A897" s="1"/>
      <c r="B897" s="1"/>
    </row>
    <row r="898" spans="1:2" ht="15" x14ac:dyDescent="0.2">
      <c r="A898" s="1"/>
      <c r="B898" s="1"/>
    </row>
    <row r="899" spans="1:2" ht="15" x14ac:dyDescent="0.2">
      <c r="A899" s="1"/>
      <c r="B899" s="1"/>
    </row>
    <row r="900" spans="1:2" ht="15" x14ac:dyDescent="0.2">
      <c r="A900" s="1"/>
      <c r="B900" s="1"/>
    </row>
    <row r="901" spans="1:2" ht="15" x14ac:dyDescent="0.2">
      <c r="A901" s="1"/>
      <c r="B901" s="1"/>
    </row>
    <row r="902" spans="1:2" ht="15" x14ac:dyDescent="0.2">
      <c r="A902" s="1"/>
      <c r="B902" s="1"/>
    </row>
    <row r="903" spans="1:2" ht="15" x14ac:dyDescent="0.2">
      <c r="A903" s="1"/>
      <c r="B903" s="1"/>
    </row>
    <row r="904" spans="1:2" ht="15" x14ac:dyDescent="0.2">
      <c r="A904" s="1"/>
      <c r="B904" s="1"/>
    </row>
    <row r="905" spans="1:2" ht="15" x14ac:dyDescent="0.2">
      <c r="A905" s="1"/>
      <c r="B905" s="1"/>
    </row>
    <row r="906" spans="1:2" ht="15" x14ac:dyDescent="0.2">
      <c r="A906" s="1"/>
      <c r="B906" s="1"/>
    </row>
    <row r="907" spans="1:2" ht="15" x14ac:dyDescent="0.2">
      <c r="A907" s="1"/>
      <c r="B907" s="1"/>
    </row>
    <row r="908" spans="1:2" ht="15" x14ac:dyDescent="0.2">
      <c r="A908" s="1"/>
      <c r="B908" s="1"/>
    </row>
    <row r="909" spans="1:2" ht="15" x14ac:dyDescent="0.2">
      <c r="A909" s="1"/>
      <c r="B909" s="1"/>
    </row>
    <row r="910" spans="1:2" ht="15" x14ac:dyDescent="0.2">
      <c r="A910" s="1"/>
      <c r="B910" s="1"/>
    </row>
    <row r="911" spans="1:2" ht="15" x14ac:dyDescent="0.2">
      <c r="A911" s="1"/>
      <c r="B911" s="1"/>
    </row>
    <row r="912" spans="1:2" ht="15" x14ac:dyDescent="0.2">
      <c r="A912" s="1"/>
      <c r="B912" s="1"/>
    </row>
    <row r="913" spans="1:2" ht="15" x14ac:dyDescent="0.2">
      <c r="A913" s="1"/>
      <c r="B913" s="1"/>
    </row>
    <row r="914" spans="1:2" ht="15" x14ac:dyDescent="0.2">
      <c r="A914" s="1"/>
      <c r="B914" s="1"/>
    </row>
    <row r="915" spans="1:2" ht="15" x14ac:dyDescent="0.2">
      <c r="A915" s="1"/>
      <c r="B915" s="1"/>
    </row>
    <row r="916" spans="1:2" ht="15" x14ac:dyDescent="0.2">
      <c r="A916" s="1"/>
      <c r="B916" s="1"/>
    </row>
    <row r="917" spans="1:2" ht="15" x14ac:dyDescent="0.2">
      <c r="A917" s="1"/>
      <c r="B917" s="1"/>
    </row>
    <row r="918" spans="1:2" ht="15" x14ac:dyDescent="0.2">
      <c r="A918" s="1"/>
      <c r="B918" s="1"/>
    </row>
    <row r="919" spans="1:2" ht="15" x14ac:dyDescent="0.2">
      <c r="A919" s="1"/>
      <c r="B919" s="1"/>
    </row>
    <row r="920" spans="1:2" ht="15" x14ac:dyDescent="0.2">
      <c r="A920" s="1"/>
      <c r="B920" s="1"/>
    </row>
    <row r="921" spans="1:2" ht="15" x14ac:dyDescent="0.2">
      <c r="A921" s="1"/>
      <c r="B921" s="1"/>
    </row>
    <row r="922" spans="1:2" ht="15" x14ac:dyDescent="0.2">
      <c r="A922" s="1"/>
      <c r="B922" s="1"/>
    </row>
    <row r="923" spans="1:2" ht="15" x14ac:dyDescent="0.2">
      <c r="A923" s="1"/>
      <c r="B923" s="1"/>
    </row>
    <row r="924" spans="1:2" ht="15" x14ac:dyDescent="0.2">
      <c r="A924" s="1"/>
      <c r="B924" s="1"/>
    </row>
    <row r="925" spans="1:2" ht="15" x14ac:dyDescent="0.2">
      <c r="A925" s="1"/>
      <c r="B925" s="1"/>
    </row>
    <row r="926" spans="1:2" ht="15" x14ac:dyDescent="0.2">
      <c r="A926" s="1"/>
      <c r="B926" s="1"/>
    </row>
    <row r="927" spans="1:2" ht="15" x14ac:dyDescent="0.2">
      <c r="A927" s="1"/>
      <c r="B927" s="1"/>
    </row>
    <row r="928" spans="1:2" ht="15" x14ac:dyDescent="0.2">
      <c r="A928" s="1"/>
      <c r="B928" s="1"/>
    </row>
    <row r="929" spans="1:2" ht="15" x14ac:dyDescent="0.2">
      <c r="A929" s="1"/>
      <c r="B929" s="1"/>
    </row>
    <row r="930" spans="1:2" ht="15" x14ac:dyDescent="0.2">
      <c r="A930" s="1"/>
      <c r="B930" s="1"/>
    </row>
    <row r="931" spans="1:2" ht="15" x14ac:dyDescent="0.2">
      <c r="A931" s="1"/>
      <c r="B931" s="1"/>
    </row>
    <row r="932" spans="1:2" ht="15" x14ac:dyDescent="0.2">
      <c r="A932" s="1"/>
      <c r="B932" s="1"/>
    </row>
    <row r="933" spans="1:2" ht="15" x14ac:dyDescent="0.2">
      <c r="A933" s="1"/>
      <c r="B933" s="1"/>
    </row>
    <row r="934" spans="1:2" ht="15" x14ac:dyDescent="0.2">
      <c r="A934" s="1"/>
      <c r="B934" s="1"/>
    </row>
    <row r="935" spans="1:2" ht="15" x14ac:dyDescent="0.2">
      <c r="A935" s="1"/>
      <c r="B935" s="1"/>
    </row>
    <row r="936" spans="1:2" ht="15" x14ac:dyDescent="0.2">
      <c r="A936" s="1"/>
      <c r="B936" s="1"/>
    </row>
    <row r="937" spans="1:2" ht="15" x14ac:dyDescent="0.2">
      <c r="A937" s="1"/>
      <c r="B937" s="1"/>
    </row>
    <row r="938" spans="1:2" ht="15" x14ac:dyDescent="0.2">
      <c r="A938" s="1"/>
      <c r="B938" s="1"/>
    </row>
    <row r="939" spans="1:2" ht="15" x14ac:dyDescent="0.2">
      <c r="A939" s="1"/>
      <c r="B939" s="1"/>
    </row>
    <row r="940" spans="1:2" ht="15" x14ac:dyDescent="0.2">
      <c r="A940" s="1"/>
      <c r="B940" s="1"/>
    </row>
    <row r="941" spans="1:2" ht="15" x14ac:dyDescent="0.2">
      <c r="A941" s="1"/>
      <c r="B941" s="1"/>
    </row>
    <row r="942" spans="1:2" ht="15" x14ac:dyDescent="0.2">
      <c r="A942" s="1"/>
      <c r="B942" s="1"/>
    </row>
    <row r="943" spans="1:2" ht="15" x14ac:dyDescent="0.2">
      <c r="A943" s="1"/>
      <c r="B943" s="1"/>
    </row>
    <row r="944" spans="1:2" ht="15" x14ac:dyDescent="0.2">
      <c r="A944" s="1"/>
      <c r="B944" s="1"/>
    </row>
    <row r="945" spans="1:2" ht="15" x14ac:dyDescent="0.2">
      <c r="A945" s="1"/>
      <c r="B945" s="1"/>
    </row>
    <row r="946" spans="1:2" ht="15" x14ac:dyDescent="0.2">
      <c r="A946" s="1"/>
      <c r="B946" s="1"/>
    </row>
    <row r="947" spans="1:2" ht="15" x14ac:dyDescent="0.2">
      <c r="A947" s="1"/>
      <c r="B947" s="1"/>
    </row>
    <row r="948" spans="1:2" ht="15" x14ac:dyDescent="0.2">
      <c r="A948" s="1"/>
      <c r="B948" s="1"/>
    </row>
    <row r="949" spans="1:2" ht="15" x14ac:dyDescent="0.2">
      <c r="A949" s="1"/>
      <c r="B949" s="1"/>
    </row>
    <row r="950" spans="1:2" ht="15" x14ac:dyDescent="0.2">
      <c r="A950" s="1"/>
      <c r="B950" s="1"/>
    </row>
    <row r="951" spans="1:2" ht="15" x14ac:dyDescent="0.2">
      <c r="A951" s="1"/>
      <c r="B951" s="1"/>
    </row>
    <row r="952" spans="1:2" ht="15" x14ac:dyDescent="0.2">
      <c r="A952" s="1"/>
      <c r="B952" s="1"/>
    </row>
    <row r="953" spans="1:2" ht="15" x14ac:dyDescent="0.2">
      <c r="A953" s="1"/>
      <c r="B953" s="1"/>
    </row>
    <row r="954" spans="1:2" ht="15" x14ac:dyDescent="0.2">
      <c r="A954" s="1"/>
      <c r="B954" s="1"/>
    </row>
    <row r="955" spans="1:2" ht="15" x14ac:dyDescent="0.2">
      <c r="A955" s="1"/>
      <c r="B955" s="1"/>
    </row>
    <row r="956" spans="1:2" ht="15" x14ac:dyDescent="0.2">
      <c r="A956" s="1"/>
      <c r="B956" s="1"/>
    </row>
    <row r="957" spans="1:2" ht="15" x14ac:dyDescent="0.2">
      <c r="A957" s="1"/>
      <c r="B957" s="1"/>
    </row>
    <row r="958" spans="1:2" ht="15" x14ac:dyDescent="0.2">
      <c r="A958" s="1"/>
      <c r="B958" s="1"/>
    </row>
    <row r="959" spans="1:2" ht="15" x14ac:dyDescent="0.2">
      <c r="A959" s="1"/>
      <c r="B959" s="1"/>
    </row>
    <row r="960" spans="1:2" ht="15" x14ac:dyDescent="0.2">
      <c r="A960" s="1"/>
      <c r="B960" s="1"/>
    </row>
    <row r="961" spans="1:2" ht="15" x14ac:dyDescent="0.2">
      <c r="A961" s="1"/>
      <c r="B961" s="1"/>
    </row>
    <row r="962" spans="1:2" ht="15" x14ac:dyDescent="0.2">
      <c r="A962" s="1"/>
      <c r="B962" s="1"/>
    </row>
    <row r="963" spans="1:2" ht="15" x14ac:dyDescent="0.2">
      <c r="A963" s="1"/>
      <c r="B963" s="1"/>
    </row>
    <row r="964" spans="1:2" ht="15" x14ac:dyDescent="0.2">
      <c r="A964" s="1"/>
      <c r="B964" s="1"/>
    </row>
    <row r="965" spans="1:2" ht="15" x14ac:dyDescent="0.2">
      <c r="A965" s="1"/>
      <c r="B965" s="1"/>
    </row>
    <row r="966" spans="1:2" ht="15" x14ac:dyDescent="0.2">
      <c r="A966" s="1"/>
      <c r="B966" s="1"/>
    </row>
    <row r="967" spans="1:2" ht="15" x14ac:dyDescent="0.2">
      <c r="A967" s="1"/>
      <c r="B967" s="1"/>
    </row>
    <row r="968" spans="1:2" ht="15" x14ac:dyDescent="0.2">
      <c r="A968" s="1"/>
      <c r="B968" s="1"/>
    </row>
    <row r="969" spans="1:2" ht="15" x14ac:dyDescent="0.2">
      <c r="A969" s="1"/>
      <c r="B969" s="1"/>
    </row>
    <row r="970" spans="1:2" ht="15" x14ac:dyDescent="0.2">
      <c r="A970" s="1"/>
      <c r="B970" s="1"/>
    </row>
    <row r="971" spans="1:2" ht="15" x14ac:dyDescent="0.2">
      <c r="A971" s="1"/>
      <c r="B971" s="1"/>
    </row>
    <row r="972" spans="1:2" ht="15" x14ac:dyDescent="0.2">
      <c r="A972" s="1"/>
      <c r="B972" s="1"/>
    </row>
    <row r="973" spans="1:2" ht="15" x14ac:dyDescent="0.2">
      <c r="A973" s="1"/>
      <c r="B973" s="1"/>
    </row>
    <row r="974" spans="1:2" ht="15" x14ac:dyDescent="0.2">
      <c r="A974" s="1"/>
      <c r="B974" s="1"/>
    </row>
    <row r="975" spans="1:2" ht="15" x14ac:dyDescent="0.2">
      <c r="A975" s="1"/>
      <c r="B975" s="1"/>
    </row>
    <row r="976" spans="1:2" ht="15" x14ac:dyDescent="0.2">
      <c r="A976" s="1"/>
      <c r="B976" s="1"/>
    </row>
    <row r="977" spans="1:2" ht="15" x14ac:dyDescent="0.2">
      <c r="A977" s="1"/>
      <c r="B977" s="1"/>
    </row>
    <row r="978" spans="1:2" ht="15" x14ac:dyDescent="0.2">
      <c r="A978" s="1"/>
      <c r="B978" s="1"/>
    </row>
    <row r="979" spans="1:2" ht="15" x14ac:dyDescent="0.2">
      <c r="A979" s="1"/>
      <c r="B979" s="1"/>
    </row>
    <row r="980" spans="1:2" ht="15" x14ac:dyDescent="0.2">
      <c r="A980" s="1"/>
      <c r="B980" s="1"/>
    </row>
    <row r="981" spans="1:2" ht="15" x14ac:dyDescent="0.2">
      <c r="A981" s="1"/>
      <c r="B981" s="1"/>
    </row>
    <row r="982" spans="1:2" ht="15" x14ac:dyDescent="0.2">
      <c r="A982" s="1"/>
      <c r="B982" s="1"/>
    </row>
    <row r="983" spans="1:2" ht="15" x14ac:dyDescent="0.2">
      <c r="A983" s="1"/>
      <c r="B983" s="1"/>
    </row>
    <row r="984" spans="1:2" ht="15" x14ac:dyDescent="0.2">
      <c r="A984" s="1"/>
      <c r="B984" s="1"/>
    </row>
    <row r="985" spans="1:2" ht="15" x14ac:dyDescent="0.2">
      <c r="A985" s="1"/>
      <c r="B985" s="1"/>
    </row>
    <row r="986" spans="1:2" ht="15" x14ac:dyDescent="0.2">
      <c r="A986" s="1"/>
      <c r="B986" s="1"/>
    </row>
    <row r="987" spans="1:2" ht="15" x14ac:dyDescent="0.2">
      <c r="A987" s="1"/>
      <c r="B987" s="1"/>
    </row>
    <row r="988" spans="1:2" ht="15" x14ac:dyDescent="0.2">
      <c r="A988" s="1"/>
      <c r="B988" s="1"/>
    </row>
    <row r="989" spans="1:2" ht="15" x14ac:dyDescent="0.2">
      <c r="A989" s="1"/>
      <c r="B989" s="1"/>
    </row>
    <row r="990" spans="1:2" ht="15" x14ac:dyDescent="0.2">
      <c r="A990" s="1"/>
      <c r="B990" s="1"/>
    </row>
    <row r="991" spans="1:2" ht="15" x14ac:dyDescent="0.2">
      <c r="A991" s="1"/>
      <c r="B991" s="1"/>
    </row>
    <row r="992" spans="1:2" ht="15" x14ac:dyDescent="0.2">
      <c r="A992" s="1"/>
      <c r="B992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FA550-58CA-4CF7-9B0F-1D3BF8B3F1B8}">
  <dimension ref="B1:CT87"/>
  <sheetViews>
    <sheetView tabSelected="1" topLeftCell="S1" zoomScale="75" zoomScaleNormal="75" workbookViewId="0">
      <pane ySplit="1" topLeftCell="A2" activePane="bottomLeft" state="frozen"/>
      <selection pane="bottomLeft" activeCell="AL27" sqref="AL27"/>
    </sheetView>
  </sheetViews>
  <sheetFormatPr defaultRowHeight="12.75" x14ac:dyDescent="0.2"/>
  <cols>
    <col min="1" max="1" width="1.85546875" style="13" customWidth="1"/>
    <col min="2" max="2" width="9.140625" style="13" customWidth="1"/>
    <col min="3" max="5" width="9.140625" style="13"/>
    <col min="6" max="6" width="12.140625" style="13" customWidth="1"/>
    <col min="7" max="7" width="11.42578125" style="13" customWidth="1"/>
    <col min="8" max="8" width="9.140625" style="13"/>
    <col min="9" max="9" width="14.28515625" style="13" customWidth="1"/>
    <col min="10" max="11" width="9.140625" style="13"/>
    <col min="12" max="12" width="14.140625" style="13" customWidth="1"/>
    <col min="13" max="13" width="15.42578125" style="13" customWidth="1"/>
    <col min="14" max="14" width="14.85546875" style="13" customWidth="1"/>
    <col min="15" max="16" width="9.140625" style="13"/>
    <col min="17" max="17" width="11.5703125" style="13" customWidth="1"/>
    <col min="18" max="19" width="9.140625" style="13"/>
    <col min="20" max="20" width="14.140625" style="13" customWidth="1"/>
    <col min="21" max="21" width="18.42578125" style="13" customWidth="1"/>
    <col min="22" max="22" width="12.42578125" style="13" customWidth="1"/>
    <col min="23" max="24" width="9.140625" style="13"/>
    <col min="25" max="25" width="15.28515625" style="13" customWidth="1"/>
    <col min="26" max="26" width="17" style="13" customWidth="1"/>
    <col min="27" max="27" width="11" style="13" customWidth="1"/>
    <col min="28" max="29" width="9.140625" style="13"/>
    <col min="30" max="30" width="14.85546875" style="13" customWidth="1"/>
    <col min="31" max="31" width="18" style="13" customWidth="1"/>
    <col min="32" max="32" width="16.7109375" style="13" customWidth="1"/>
    <col min="33" max="34" width="9.140625" style="13"/>
    <col min="35" max="35" width="15" style="13" customWidth="1"/>
    <col min="36" max="36" width="14.28515625" style="13" customWidth="1"/>
    <col min="37" max="37" width="13.7109375" style="13" customWidth="1"/>
    <col min="38" max="40" width="9.140625" style="13"/>
    <col min="41" max="41" width="17.7109375" style="13" customWidth="1"/>
    <col min="42" max="42" width="19.5703125" style="13" customWidth="1"/>
    <col min="43" max="43" width="24.5703125" style="13" customWidth="1"/>
    <col min="44" max="44" width="23.7109375" style="13" customWidth="1"/>
    <col min="45" max="45" width="15.28515625" style="13" customWidth="1"/>
    <col min="46" max="47" width="9.140625" style="13"/>
    <col min="48" max="48" width="16.140625" style="13" customWidth="1"/>
    <col min="49" max="49" width="16.5703125" style="13" customWidth="1"/>
    <col min="50" max="50" width="17.42578125" style="13" customWidth="1"/>
    <col min="51" max="51" width="17" style="13" customWidth="1"/>
    <col min="52" max="52" width="14.140625" style="13" customWidth="1"/>
    <col min="53" max="54" width="9.140625" style="13"/>
    <col min="55" max="55" width="11.85546875" style="13" customWidth="1"/>
    <col min="56" max="56" width="12.5703125" style="13" customWidth="1"/>
    <col min="57" max="65" width="9.140625" style="13"/>
    <col min="66" max="66" width="9.140625" style="36"/>
    <col min="67" max="71" width="9.140625" style="13"/>
    <col min="72" max="72" width="9.140625" style="36"/>
    <col min="73" max="77" width="9.140625" style="13"/>
    <col min="78" max="78" width="9.140625" style="36"/>
    <col min="79" max="83" width="9.140625" style="13"/>
    <col min="84" max="84" width="9.140625" style="36"/>
    <col min="85" max="92" width="9.140625" style="13"/>
    <col min="93" max="93" width="15.28515625" style="13" customWidth="1"/>
    <col min="94" max="95" width="9.140625" style="13"/>
    <col min="96" max="96" width="20.42578125" style="13" customWidth="1"/>
    <col min="97" max="97" width="9.140625" style="13"/>
    <col min="98" max="98" width="9.140625" style="36"/>
    <col min="99" max="16384" width="9.140625" style="13"/>
  </cols>
  <sheetData>
    <row r="1" spans="2:98" ht="99.95" customHeight="1" x14ac:dyDescent="0.2">
      <c r="B1" s="67" t="s">
        <v>350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</row>
    <row r="2" spans="2:98" ht="14.25" customHeight="1" x14ac:dyDescent="0.2">
      <c r="C2" s="68" t="s">
        <v>370</v>
      </c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Q2" s="62" t="s">
        <v>371</v>
      </c>
      <c r="R2" s="63"/>
      <c r="S2" s="63"/>
      <c r="T2" s="63"/>
      <c r="U2" s="63"/>
      <c r="V2" s="64"/>
      <c r="Y2" s="62" t="s">
        <v>372</v>
      </c>
      <c r="Z2" s="63"/>
      <c r="AA2" s="64"/>
      <c r="AD2" s="62" t="s">
        <v>373</v>
      </c>
      <c r="AE2" s="63"/>
      <c r="AF2" s="64"/>
      <c r="AI2" s="62" t="s">
        <v>374</v>
      </c>
      <c r="AJ2" s="63"/>
      <c r="AK2" s="64"/>
      <c r="AN2" s="68" t="s">
        <v>375</v>
      </c>
      <c r="AO2" s="68"/>
      <c r="AP2" s="68"/>
      <c r="AQ2" s="68"/>
      <c r="AR2" s="68"/>
      <c r="AS2" s="68"/>
      <c r="AU2" s="68" t="s">
        <v>376</v>
      </c>
      <c r="AV2" s="68"/>
      <c r="AW2" s="68"/>
      <c r="AX2" s="68"/>
      <c r="AY2" s="5"/>
      <c r="AZ2" s="5"/>
      <c r="BB2" s="62" t="s">
        <v>377</v>
      </c>
      <c r="BC2" s="63"/>
      <c r="BD2" s="63"/>
      <c r="BE2" s="63"/>
      <c r="BF2" s="63"/>
      <c r="BG2" s="63"/>
      <c r="BH2" s="64"/>
      <c r="BK2" s="66" t="s">
        <v>378</v>
      </c>
      <c r="BL2" s="66"/>
      <c r="BM2" s="66"/>
      <c r="BN2" s="66"/>
      <c r="BQ2" s="66" t="s">
        <v>379</v>
      </c>
      <c r="BR2" s="66"/>
      <c r="BS2" s="66"/>
      <c r="BT2" s="66"/>
      <c r="BW2" s="66" t="s">
        <v>380</v>
      </c>
      <c r="BX2" s="66"/>
      <c r="BY2" s="66"/>
      <c r="BZ2" s="66"/>
      <c r="CC2" s="66" t="s">
        <v>381</v>
      </c>
      <c r="CD2" s="66"/>
      <c r="CE2" s="66"/>
      <c r="CF2" s="66"/>
      <c r="CI2" s="66" t="s">
        <v>382</v>
      </c>
      <c r="CJ2" s="66"/>
      <c r="CK2" s="66"/>
      <c r="CL2" s="66"/>
      <c r="CO2" s="66" t="s">
        <v>383</v>
      </c>
      <c r="CP2" s="66"/>
      <c r="CQ2" s="66"/>
      <c r="CR2" s="66"/>
      <c r="CS2" s="66"/>
      <c r="CT2" s="66"/>
    </row>
    <row r="3" spans="2:98" x14ac:dyDescent="0.2">
      <c r="C3" s="34" t="s">
        <v>384</v>
      </c>
      <c r="D3" s="12" t="s">
        <v>19</v>
      </c>
      <c r="E3" s="12" t="s">
        <v>23</v>
      </c>
      <c r="F3" s="12" t="s">
        <v>27</v>
      </c>
      <c r="G3" s="12" t="s">
        <v>31</v>
      </c>
      <c r="H3" s="12" t="s">
        <v>34</v>
      </c>
      <c r="I3" s="12" t="s">
        <v>37</v>
      </c>
      <c r="J3" s="12" t="s">
        <v>40</v>
      </c>
      <c r="K3" s="12" t="s">
        <v>43</v>
      </c>
      <c r="L3" s="12" t="s">
        <v>46</v>
      </c>
      <c r="M3" s="12" t="s">
        <v>49</v>
      </c>
      <c r="N3" s="12" t="s">
        <v>52</v>
      </c>
      <c r="Q3" s="34" t="s">
        <v>385</v>
      </c>
      <c r="R3" s="12" t="s">
        <v>40</v>
      </c>
      <c r="S3" s="12" t="s">
        <v>43</v>
      </c>
      <c r="T3" s="12" t="s">
        <v>46</v>
      </c>
      <c r="U3" s="12" t="s">
        <v>74</v>
      </c>
      <c r="V3" s="12" t="s">
        <v>80</v>
      </c>
      <c r="Y3" s="34" t="s">
        <v>385</v>
      </c>
      <c r="Z3" s="12" t="s">
        <v>93</v>
      </c>
      <c r="AA3" s="12" t="s">
        <v>98</v>
      </c>
      <c r="AD3" s="34" t="s">
        <v>385</v>
      </c>
      <c r="AE3" s="12" t="s">
        <v>110</v>
      </c>
      <c r="AF3" s="12" t="s">
        <v>115</v>
      </c>
      <c r="AI3" s="34" t="s">
        <v>385</v>
      </c>
      <c r="AJ3" s="12" t="s">
        <v>126</v>
      </c>
      <c r="AK3" s="12" t="s">
        <v>131</v>
      </c>
      <c r="AN3" s="34" t="s">
        <v>385</v>
      </c>
      <c r="AO3" s="12" t="s">
        <v>146</v>
      </c>
      <c r="AP3" s="12" t="s">
        <v>149</v>
      </c>
      <c r="AQ3" s="12" t="s">
        <v>154</v>
      </c>
      <c r="AR3" s="12" t="s">
        <v>157</v>
      </c>
      <c r="AS3" s="12" t="s">
        <v>162</v>
      </c>
      <c r="AU3" s="34" t="s">
        <v>385</v>
      </c>
      <c r="AV3" s="12" t="s">
        <v>146</v>
      </c>
      <c r="AW3" s="12" t="s">
        <v>149</v>
      </c>
      <c r="AX3" s="12" t="s">
        <v>162</v>
      </c>
      <c r="AY3" s="5"/>
      <c r="AZ3" s="5"/>
      <c r="BB3" s="34" t="s">
        <v>385</v>
      </c>
      <c r="BC3" s="34" t="s">
        <v>386</v>
      </c>
      <c r="BD3" s="34" t="s">
        <v>387</v>
      </c>
      <c r="BE3" s="34" t="s">
        <v>388</v>
      </c>
      <c r="BF3" s="34" t="s">
        <v>389</v>
      </c>
      <c r="BG3" s="34" t="s">
        <v>390</v>
      </c>
      <c r="BH3" s="34" t="s">
        <v>391</v>
      </c>
      <c r="BK3" s="34" t="s">
        <v>385</v>
      </c>
      <c r="BL3" s="34" t="s">
        <v>392</v>
      </c>
      <c r="BM3" s="34" t="s">
        <v>385</v>
      </c>
      <c r="BN3" s="35" t="s">
        <v>393</v>
      </c>
      <c r="BQ3" s="34" t="s">
        <v>385</v>
      </c>
      <c r="BR3" s="34" t="s">
        <v>392</v>
      </c>
      <c r="BS3" s="34" t="s">
        <v>385</v>
      </c>
      <c r="BT3" s="35" t="s">
        <v>393</v>
      </c>
      <c r="BW3" s="34" t="s">
        <v>385</v>
      </c>
      <c r="BX3" s="34" t="s">
        <v>392</v>
      </c>
      <c r="BY3" s="34" t="s">
        <v>385</v>
      </c>
      <c r="BZ3" s="35" t="s">
        <v>393</v>
      </c>
      <c r="CC3" s="34" t="s">
        <v>385</v>
      </c>
      <c r="CD3" s="34" t="s">
        <v>392</v>
      </c>
      <c r="CE3" s="34" t="s">
        <v>385</v>
      </c>
      <c r="CF3" s="35" t="s">
        <v>393</v>
      </c>
      <c r="CI3" s="34" t="s">
        <v>385</v>
      </c>
      <c r="CJ3" s="34" t="s">
        <v>392</v>
      </c>
      <c r="CK3" s="34" t="s">
        <v>385</v>
      </c>
      <c r="CL3" s="35" t="s">
        <v>393</v>
      </c>
      <c r="CO3" s="34" t="s">
        <v>385</v>
      </c>
      <c r="CP3" s="34" t="s">
        <v>394</v>
      </c>
      <c r="CQ3" s="34" t="s">
        <v>395</v>
      </c>
      <c r="CR3" s="35" t="s">
        <v>396</v>
      </c>
      <c r="CS3" s="34" t="s">
        <v>385</v>
      </c>
      <c r="CT3" s="35" t="s">
        <v>393</v>
      </c>
    </row>
    <row r="4" spans="2:98" ht="13.5" x14ac:dyDescent="0.25">
      <c r="C4" s="46" t="s">
        <v>397</v>
      </c>
      <c r="D4" s="34">
        <v>100</v>
      </c>
      <c r="E4" s="34">
        <v>1000</v>
      </c>
      <c r="F4" s="34">
        <v>1</v>
      </c>
      <c r="G4" s="34">
        <v>4</v>
      </c>
      <c r="H4" s="34">
        <v>10</v>
      </c>
      <c r="I4" s="34">
        <v>10000</v>
      </c>
      <c r="J4" s="34">
        <v>1000</v>
      </c>
      <c r="K4" s="34">
        <v>30</v>
      </c>
      <c r="L4" s="34">
        <v>1000</v>
      </c>
      <c r="M4" s="34">
        <v>1</v>
      </c>
      <c r="N4" s="34">
        <v>1</v>
      </c>
      <c r="Q4" s="72" t="s">
        <v>604</v>
      </c>
      <c r="R4" s="34">
        <v>500</v>
      </c>
      <c r="S4" s="34">
        <v>10</v>
      </c>
      <c r="T4" s="34">
        <v>500</v>
      </c>
      <c r="U4" s="34">
        <v>1</v>
      </c>
      <c r="V4" s="34">
        <v>1000</v>
      </c>
      <c r="Y4" s="72" t="s">
        <v>625</v>
      </c>
      <c r="Z4" s="34">
        <v>10</v>
      </c>
      <c r="AA4" s="34">
        <v>500</v>
      </c>
      <c r="AD4" s="72" t="s">
        <v>679</v>
      </c>
      <c r="AE4" s="34">
        <v>100</v>
      </c>
      <c r="AF4" s="34">
        <v>500</v>
      </c>
      <c r="AI4" s="72" t="s">
        <v>680</v>
      </c>
      <c r="AJ4" s="34">
        <v>5</v>
      </c>
      <c r="AK4" s="34">
        <v>300</v>
      </c>
      <c r="AN4" s="34" t="s">
        <v>398</v>
      </c>
      <c r="AO4" s="34">
        <v>1</v>
      </c>
      <c r="AP4" s="34">
        <v>1</v>
      </c>
      <c r="AQ4" s="34">
        <v>1</v>
      </c>
      <c r="AR4" s="34">
        <v>1</v>
      </c>
      <c r="AS4" s="34">
        <v>5000</v>
      </c>
      <c r="AU4" s="34" t="s">
        <v>198</v>
      </c>
      <c r="AV4" s="34">
        <v>0</v>
      </c>
      <c r="AW4" s="34">
        <v>10</v>
      </c>
      <c r="AX4" s="34">
        <v>1</v>
      </c>
      <c r="BB4" s="34" t="s">
        <v>399</v>
      </c>
      <c r="BC4" s="34">
        <v>5</v>
      </c>
      <c r="BD4" s="34">
        <v>5</v>
      </c>
      <c r="BE4" s="34">
        <v>5</v>
      </c>
      <c r="BF4" s="34">
        <v>50</v>
      </c>
      <c r="BG4" s="34">
        <v>10</v>
      </c>
      <c r="BH4" s="34">
        <v>10</v>
      </c>
      <c r="BK4" s="34" t="s">
        <v>400</v>
      </c>
      <c r="BL4" s="37" t="s">
        <v>307</v>
      </c>
      <c r="BM4" s="34" t="s">
        <v>401</v>
      </c>
      <c r="BN4" s="35" t="s">
        <v>310</v>
      </c>
      <c r="BQ4" s="34" t="s">
        <v>402</v>
      </c>
      <c r="BR4" s="34" t="s">
        <v>330</v>
      </c>
      <c r="BS4" s="51" t="s">
        <v>196</v>
      </c>
      <c r="BT4" s="35" t="s">
        <v>310</v>
      </c>
      <c r="BW4" s="34" t="s">
        <v>401</v>
      </c>
      <c r="BX4" s="34" t="s">
        <v>331</v>
      </c>
      <c r="BY4" s="51" t="s">
        <v>599</v>
      </c>
      <c r="BZ4" s="35" t="s">
        <v>310</v>
      </c>
      <c r="CC4" s="34" t="s">
        <v>403</v>
      </c>
      <c r="CD4" s="34" t="s">
        <v>334</v>
      </c>
      <c r="CE4" s="51" t="s">
        <v>196</v>
      </c>
      <c r="CF4" s="35" t="s">
        <v>310</v>
      </c>
      <c r="CI4" s="34" t="s">
        <v>404</v>
      </c>
      <c r="CJ4" s="34" t="s">
        <v>336</v>
      </c>
      <c r="CK4" s="51" t="s">
        <v>196</v>
      </c>
      <c r="CL4" s="35" t="s">
        <v>310</v>
      </c>
      <c r="CO4" s="34" t="s">
        <v>405</v>
      </c>
      <c r="CP4" s="34" t="s">
        <v>398</v>
      </c>
      <c r="CQ4" s="34" t="s">
        <v>170</v>
      </c>
      <c r="CR4" s="34" t="s">
        <v>341</v>
      </c>
      <c r="CS4" s="51" t="s">
        <v>196</v>
      </c>
      <c r="CT4" s="35" t="s">
        <v>310</v>
      </c>
    </row>
    <row r="5" spans="2:98" ht="13.5" x14ac:dyDescent="0.25">
      <c r="C5" s="46" t="s">
        <v>406</v>
      </c>
      <c r="D5" s="34">
        <v>200</v>
      </c>
      <c r="E5" s="34">
        <v>800</v>
      </c>
      <c r="F5" s="34">
        <v>1</v>
      </c>
      <c r="G5" s="34">
        <v>8</v>
      </c>
      <c r="H5" s="34">
        <v>10</v>
      </c>
      <c r="I5" s="34">
        <v>7000</v>
      </c>
      <c r="J5" s="34">
        <v>700</v>
      </c>
      <c r="K5" s="34">
        <v>5</v>
      </c>
      <c r="L5" s="34">
        <v>700</v>
      </c>
      <c r="M5" s="34">
        <v>1</v>
      </c>
      <c r="N5" s="34">
        <v>1</v>
      </c>
      <c r="Q5" s="72" t="s">
        <v>605</v>
      </c>
      <c r="R5" s="34">
        <v>700</v>
      </c>
      <c r="S5" s="34">
        <v>20</v>
      </c>
      <c r="T5" s="34">
        <v>700</v>
      </c>
      <c r="U5" s="34">
        <v>1.2</v>
      </c>
      <c r="V5" s="34">
        <v>1500</v>
      </c>
      <c r="Y5" s="72" t="s">
        <v>626</v>
      </c>
      <c r="Z5" s="34">
        <v>20</v>
      </c>
      <c r="AA5" s="34">
        <v>1000</v>
      </c>
      <c r="AD5" s="72" t="s">
        <v>665</v>
      </c>
      <c r="AE5" s="34">
        <v>500</v>
      </c>
      <c r="AF5" s="34">
        <v>900</v>
      </c>
      <c r="AI5" s="72" t="s">
        <v>681</v>
      </c>
      <c r="AJ5" s="34">
        <v>10</v>
      </c>
      <c r="AK5" s="34">
        <v>600</v>
      </c>
      <c r="AN5" s="34" t="s">
        <v>407</v>
      </c>
      <c r="AO5" s="34">
        <v>0</v>
      </c>
      <c r="AP5" s="34">
        <v>0</v>
      </c>
      <c r="AQ5" s="34">
        <v>0</v>
      </c>
      <c r="AR5" s="34">
        <v>4</v>
      </c>
      <c r="AS5" s="34">
        <v>1000</v>
      </c>
      <c r="AU5" s="34" t="s">
        <v>199</v>
      </c>
      <c r="AV5" s="34">
        <v>0</v>
      </c>
      <c r="AW5" s="13">
        <v>5</v>
      </c>
      <c r="AX5" s="34">
        <v>1.2</v>
      </c>
      <c r="BB5" s="34" t="s">
        <v>408</v>
      </c>
      <c r="BC5" s="34">
        <v>5</v>
      </c>
      <c r="BD5" s="34">
        <v>5</v>
      </c>
      <c r="BE5" s="34">
        <v>10</v>
      </c>
      <c r="BF5" s="34">
        <v>50</v>
      </c>
      <c r="BG5" s="34">
        <v>5</v>
      </c>
      <c r="BH5" s="34">
        <v>5</v>
      </c>
      <c r="BK5" s="34" t="s">
        <v>409</v>
      </c>
      <c r="BL5" s="37" t="s">
        <v>308</v>
      </c>
      <c r="BM5" s="34" t="s">
        <v>410</v>
      </c>
      <c r="BN5" s="35" t="s">
        <v>311</v>
      </c>
      <c r="BQ5" s="34" t="s">
        <v>411</v>
      </c>
      <c r="BR5" s="34" t="s">
        <v>307</v>
      </c>
      <c r="BS5" s="51" t="s">
        <v>588</v>
      </c>
      <c r="BT5" s="35" t="s">
        <v>311</v>
      </c>
      <c r="BW5" s="34" t="s">
        <v>412</v>
      </c>
      <c r="BX5" s="34" t="s">
        <v>332</v>
      </c>
      <c r="BY5" s="52" t="s">
        <v>600</v>
      </c>
      <c r="BZ5" s="35" t="s">
        <v>311</v>
      </c>
      <c r="CC5" s="34" t="s">
        <v>401</v>
      </c>
      <c r="CD5" s="34" t="s">
        <v>331</v>
      </c>
      <c r="CE5" s="52" t="s">
        <v>645</v>
      </c>
      <c r="CF5" s="35" t="s">
        <v>311</v>
      </c>
      <c r="CI5" s="34" t="s">
        <v>413</v>
      </c>
      <c r="CJ5" s="34" t="s">
        <v>337</v>
      </c>
      <c r="CK5" s="52" t="s">
        <v>645</v>
      </c>
      <c r="CL5" s="35" t="s">
        <v>311</v>
      </c>
      <c r="CO5" s="34" t="s">
        <v>414</v>
      </c>
      <c r="CP5" s="34" t="s">
        <v>415</v>
      </c>
      <c r="CQ5" s="34" t="s">
        <v>339</v>
      </c>
      <c r="CR5" s="34" t="s">
        <v>342</v>
      </c>
      <c r="CS5" s="52" t="s">
        <v>586</v>
      </c>
      <c r="CT5" s="35" t="s">
        <v>311</v>
      </c>
    </row>
    <row r="6" spans="2:98" ht="13.5" x14ac:dyDescent="0.25">
      <c r="C6" s="46" t="s">
        <v>416</v>
      </c>
      <c r="D6" s="34">
        <v>150</v>
      </c>
      <c r="E6" s="34">
        <v>1200</v>
      </c>
      <c r="F6" s="34">
        <v>1</v>
      </c>
      <c r="G6" s="34">
        <v>6</v>
      </c>
      <c r="H6" s="34">
        <v>10</v>
      </c>
      <c r="I6" s="34">
        <v>15000</v>
      </c>
      <c r="J6" s="34">
        <v>800</v>
      </c>
      <c r="K6" s="34">
        <v>10</v>
      </c>
      <c r="L6" s="34">
        <v>800</v>
      </c>
      <c r="M6" s="34">
        <v>1</v>
      </c>
      <c r="N6" s="34">
        <v>1</v>
      </c>
      <c r="Q6" s="72" t="s">
        <v>606</v>
      </c>
      <c r="R6" s="34">
        <v>1000</v>
      </c>
      <c r="S6" s="34">
        <v>30</v>
      </c>
      <c r="T6" s="34">
        <v>1000</v>
      </c>
      <c r="U6" s="34">
        <v>1.4</v>
      </c>
      <c r="V6" s="34">
        <v>2000</v>
      </c>
      <c r="Y6" s="72" t="s">
        <v>627</v>
      </c>
      <c r="Z6" s="34">
        <v>40</v>
      </c>
      <c r="AA6" s="34">
        <v>2000</v>
      </c>
      <c r="AD6" s="72" t="s">
        <v>666</v>
      </c>
      <c r="AE6" s="34">
        <v>70</v>
      </c>
      <c r="AF6" s="34">
        <v>200</v>
      </c>
      <c r="AI6" s="72" t="s">
        <v>682</v>
      </c>
      <c r="AJ6" s="34">
        <v>3</v>
      </c>
      <c r="AK6" s="34">
        <v>100</v>
      </c>
      <c r="AN6" s="34" t="s">
        <v>417</v>
      </c>
      <c r="AO6" s="34">
        <v>0</v>
      </c>
      <c r="AP6" s="34">
        <v>0</v>
      </c>
      <c r="AQ6" s="34">
        <v>2</v>
      </c>
      <c r="AR6" s="34">
        <v>0</v>
      </c>
      <c r="AS6" s="34">
        <v>2000</v>
      </c>
      <c r="AU6" s="34" t="s">
        <v>200</v>
      </c>
      <c r="AV6" s="34">
        <v>0</v>
      </c>
      <c r="AW6" s="34">
        <v>2</v>
      </c>
      <c r="AX6" s="34">
        <v>1.3</v>
      </c>
      <c r="BB6" s="34" t="s">
        <v>418</v>
      </c>
      <c r="BC6" s="34">
        <v>10</v>
      </c>
      <c r="BD6" s="34">
        <v>10</v>
      </c>
      <c r="BE6" s="34">
        <v>5</v>
      </c>
      <c r="BF6" s="34">
        <v>50</v>
      </c>
      <c r="BG6" s="34">
        <v>5</v>
      </c>
      <c r="BH6" s="34">
        <v>5</v>
      </c>
      <c r="BK6" s="34" t="s">
        <v>419</v>
      </c>
      <c r="BL6" s="37" t="s">
        <v>309</v>
      </c>
      <c r="BM6" s="34" t="s">
        <v>420</v>
      </c>
      <c r="BN6" s="35" t="s">
        <v>312</v>
      </c>
      <c r="BQ6" s="34" t="s">
        <v>421</v>
      </c>
      <c r="BR6" s="34" t="s">
        <v>329</v>
      </c>
      <c r="BS6" s="52" t="s">
        <v>590</v>
      </c>
      <c r="BT6" s="35" t="s">
        <v>312</v>
      </c>
      <c r="BW6" s="34" t="s">
        <v>422</v>
      </c>
      <c r="BX6" s="34" t="s">
        <v>333</v>
      </c>
      <c r="BY6" s="52" t="s">
        <v>601</v>
      </c>
      <c r="BZ6" s="35" t="s">
        <v>312</v>
      </c>
      <c r="CC6" s="34" t="s">
        <v>423</v>
      </c>
      <c r="CD6" s="34" t="s">
        <v>335</v>
      </c>
      <c r="CE6" s="52" t="s">
        <v>586</v>
      </c>
      <c r="CF6" s="35" t="s">
        <v>312</v>
      </c>
      <c r="CI6" s="34" t="s">
        <v>424</v>
      </c>
      <c r="CJ6" s="34" t="s">
        <v>338</v>
      </c>
      <c r="CK6" s="52" t="s">
        <v>586</v>
      </c>
      <c r="CL6" s="35" t="s">
        <v>312</v>
      </c>
      <c r="CO6" s="34" t="s">
        <v>425</v>
      </c>
      <c r="CP6" s="34" t="s">
        <v>415</v>
      </c>
      <c r="CQ6" s="34" t="s">
        <v>340</v>
      </c>
      <c r="CR6" s="34" t="s">
        <v>343</v>
      </c>
      <c r="CS6" s="52" t="s">
        <v>584</v>
      </c>
      <c r="CT6" s="35" t="s">
        <v>312</v>
      </c>
    </row>
    <row r="7" spans="2:98" ht="13.5" x14ac:dyDescent="0.25">
      <c r="C7" s="57" t="s">
        <v>426</v>
      </c>
      <c r="D7" s="34">
        <v>110</v>
      </c>
      <c r="E7" s="34">
        <v>900</v>
      </c>
      <c r="F7" s="34">
        <v>1</v>
      </c>
      <c r="G7" s="34">
        <v>6</v>
      </c>
      <c r="H7" s="34">
        <v>10</v>
      </c>
      <c r="I7" s="34">
        <v>10000</v>
      </c>
      <c r="J7" s="34">
        <v>800</v>
      </c>
      <c r="K7" s="34">
        <v>20</v>
      </c>
      <c r="L7" s="34">
        <v>800</v>
      </c>
      <c r="M7" s="34">
        <v>1</v>
      </c>
      <c r="N7" s="34">
        <v>1</v>
      </c>
      <c r="Q7" s="73" t="s">
        <v>607</v>
      </c>
      <c r="R7" s="34">
        <v>500</v>
      </c>
      <c r="S7" s="34">
        <v>20</v>
      </c>
      <c r="T7" s="34">
        <v>500</v>
      </c>
      <c r="U7" s="34">
        <v>1</v>
      </c>
      <c r="V7" s="34">
        <v>2000</v>
      </c>
      <c r="Y7" s="72" t="s">
        <v>628</v>
      </c>
      <c r="Z7" s="34">
        <v>50</v>
      </c>
      <c r="AA7" s="34">
        <v>3000</v>
      </c>
      <c r="AD7" s="72" t="s">
        <v>667</v>
      </c>
      <c r="AE7" s="34">
        <v>140</v>
      </c>
      <c r="AF7" s="34">
        <v>700</v>
      </c>
      <c r="AI7" s="72" t="s">
        <v>683</v>
      </c>
      <c r="AJ7" s="34">
        <v>12</v>
      </c>
      <c r="AK7" s="34">
        <v>800</v>
      </c>
      <c r="AN7" s="34" t="s">
        <v>415</v>
      </c>
      <c r="AO7" s="34">
        <v>0</v>
      </c>
      <c r="AP7" s="34">
        <v>1</v>
      </c>
      <c r="AQ7" s="34">
        <v>0</v>
      </c>
      <c r="AR7" s="34">
        <v>0</v>
      </c>
      <c r="AS7" s="34">
        <v>5000</v>
      </c>
      <c r="AU7" s="34" t="s">
        <v>197</v>
      </c>
      <c r="AV7" s="34">
        <v>0</v>
      </c>
      <c r="AW7" s="34">
        <v>10</v>
      </c>
      <c r="AX7" s="34">
        <v>1</v>
      </c>
      <c r="BM7" s="34" t="s">
        <v>427</v>
      </c>
      <c r="BN7" s="35" t="s">
        <v>313</v>
      </c>
      <c r="BS7" s="52" t="s">
        <v>592</v>
      </c>
      <c r="BT7" s="35" t="s">
        <v>313</v>
      </c>
      <c r="BY7" s="52" t="s">
        <v>602</v>
      </c>
      <c r="BZ7" s="35" t="s">
        <v>313</v>
      </c>
      <c r="CE7" s="52" t="s">
        <v>647</v>
      </c>
      <c r="CF7" s="35" t="s">
        <v>313</v>
      </c>
      <c r="CK7" s="52" t="s">
        <v>649</v>
      </c>
      <c r="CL7" s="35" t="s">
        <v>313</v>
      </c>
      <c r="CO7" s="34" t="s">
        <v>428</v>
      </c>
      <c r="CP7" s="34" t="s">
        <v>415</v>
      </c>
      <c r="CQ7" s="34" t="s">
        <v>200</v>
      </c>
      <c r="CR7" s="34" t="s">
        <v>344</v>
      </c>
      <c r="CS7" s="34"/>
      <c r="CT7" s="35" t="s">
        <v>313</v>
      </c>
    </row>
    <row r="8" spans="2:98" ht="13.5" x14ac:dyDescent="0.25">
      <c r="C8" s="57" t="s">
        <v>429</v>
      </c>
      <c r="D8" s="34">
        <v>220</v>
      </c>
      <c r="E8" s="34">
        <v>700</v>
      </c>
      <c r="F8" s="34">
        <v>1</v>
      </c>
      <c r="G8" s="34">
        <v>10</v>
      </c>
      <c r="H8" s="34">
        <v>10</v>
      </c>
      <c r="I8" s="34">
        <v>7000</v>
      </c>
      <c r="J8" s="34">
        <v>500</v>
      </c>
      <c r="K8" s="34">
        <v>3</v>
      </c>
      <c r="L8" s="34">
        <v>500</v>
      </c>
      <c r="M8" s="34">
        <v>1</v>
      </c>
      <c r="N8" s="34">
        <v>1</v>
      </c>
      <c r="Q8" s="73" t="s">
        <v>608</v>
      </c>
      <c r="R8" s="34">
        <v>700</v>
      </c>
      <c r="S8" s="34">
        <v>35</v>
      </c>
      <c r="T8" s="34">
        <v>700</v>
      </c>
      <c r="U8" s="34">
        <v>1.2</v>
      </c>
      <c r="V8" s="34">
        <v>3000</v>
      </c>
      <c r="Y8" s="72" t="s">
        <v>629</v>
      </c>
      <c r="Z8" s="34">
        <v>70</v>
      </c>
      <c r="AA8" s="34">
        <v>4000</v>
      </c>
      <c r="AD8" s="72" t="s">
        <v>668</v>
      </c>
      <c r="AE8" s="34">
        <v>800</v>
      </c>
      <c r="AF8" s="34">
        <v>1500</v>
      </c>
      <c r="AI8" s="74" t="s">
        <v>684</v>
      </c>
      <c r="AJ8" s="34">
        <v>5.5</v>
      </c>
      <c r="AK8" s="34">
        <v>280</v>
      </c>
      <c r="AN8" s="34"/>
      <c r="AO8" s="34"/>
      <c r="AP8" s="34"/>
      <c r="AQ8" s="34"/>
      <c r="AR8" s="34"/>
      <c r="AS8" s="34"/>
      <c r="AU8" s="34" t="s">
        <v>171</v>
      </c>
      <c r="AV8" s="34">
        <v>10</v>
      </c>
      <c r="AW8" s="34">
        <v>0</v>
      </c>
      <c r="AX8" s="34">
        <v>1</v>
      </c>
      <c r="BM8" s="34" t="s">
        <v>430</v>
      </c>
      <c r="BN8" s="35" t="s">
        <v>314</v>
      </c>
      <c r="BS8" s="52" t="s">
        <v>594</v>
      </c>
      <c r="BT8" s="35" t="s">
        <v>314</v>
      </c>
      <c r="BY8" s="34" t="s">
        <v>603</v>
      </c>
      <c r="BZ8" s="35" t="s">
        <v>314</v>
      </c>
      <c r="CE8" s="52" t="s">
        <v>651</v>
      </c>
      <c r="CF8" s="35" t="s">
        <v>314</v>
      </c>
      <c r="CK8" s="34"/>
      <c r="CL8" s="35" t="s">
        <v>314</v>
      </c>
      <c r="CO8" s="34" t="s">
        <v>431</v>
      </c>
      <c r="CP8" s="34" t="s">
        <v>415</v>
      </c>
      <c r="CQ8" s="34" t="s">
        <v>197</v>
      </c>
      <c r="CR8" s="34" t="s">
        <v>345</v>
      </c>
      <c r="CT8" s="35" t="s">
        <v>314</v>
      </c>
    </row>
    <row r="9" spans="2:98" ht="13.5" x14ac:dyDescent="0.25">
      <c r="C9" s="57" t="s">
        <v>432</v>
      </c>
      <c r="D9" s="34">
        <v>165</v>
      </c>
      <c r="E9" s="34">
        <v>1000</v>
      </c>
      <c r="F9" s="34">
        <v>1</v>
      </c>
      <c r="G9" s="34">
        <v>8</v>
      </c>
      <c r="H9" s="34">
        <v>10</v>
      </c>
      <c r="I9" s="34">
        <v>15000</v>
      </c>
      <c r="J9" s="34">
        <v>650</v>
      </c>
      <c r="K9" s="34">
        <v>5</v>
      </c>
      <c r="L9" s="34">
        <v>650</v>
      </c>
      <c r="M9" s="34">
        <v>1</v>
      </c>
      <c r="N9" s="34">
        <v>1</v>
      </c>
      <c r="Q9" s="73" t="s">
        <v>609</v>
      </c>
      <c r="R9" s="34">
        <v>1000</v>
      </c>
      <c r="S9" s="34">
        <v>55</v>
      </c>
      <c r="T9" s="34">
        <v>1000</v>
      </c>
      <c r="U9" s="34">
        <v>1.4</v>
      </c>
      <c r="V9" s="34">
        <v>4000</v>
      </c>
      <c r="Y9" s="72" t="s">
        <v>630</v>
      </c>
      <c r="Z9" s="34">
        <v>90</v>
      </c>
      <c r="AA9" s="34">
        <v>6000</v>
      </c>
      <c r="AD9" s="73" t="s">
        <v>669</v>
      </c>
      <c r="AE9" s="34">
        <v>100</v>
      </c>
      <c r="AF9" s="34">
        <v>500</v>
      </c>
      <c r="AI9" s="74" t="s">
        <v>685</v>
      </c>
      <c r="AJ9" s="34">
        <v>10.5</v>
      </c>
      <c r="AK9" s="34">
        <v>550</v>
      </c>
      <c r="AN9" s="34"/>
      <c r="AO9" s="34"/>
      <c r="AP9" s="34"/>
      <c r="AQ9" s="34"/>
      <c r="AR9" s="34"/>
      <c r="AS9" s="34"/>
      <c r="AU9" s="34"/>
      <c r="AV9" s="34"/>
      <c r="AW9" s="34"/>
      <c r="AX9" s="34"/>
      <c r="BM9" s="34" t="s">
        <v>433</v>
      </c>
      <c r="BN9" s="35" t="s">
        <v>315</v>
      </c>
      <c r="BS9" s="52" t="s">
        <v>596</v>
      </c>
      <c r="BT9" s="35" t="s">
        <v>315</v>
      </c>
      <c r="BY9" s="52" t="s">
        <v>592</v>
      </c>
      <c r="BZ9" s="35" t="s">
        <v>315</v>
      </c>
      <c r="CE9" s="34"/>
      <c r="CF9" s="35" t="s">
        <v>315</v>
      </c>
      <c r="CK9" s="34"/>
      <c r="CL9" s="35" t="s">
        <v>315</v>
      </c>
      <c r="CO9" s="34" t="s">
        <v>434</v>
      </c>
      <c r="CP9" s="34" t="s">
        <v>417</v>
      </c>
      <c r="CQ9" s="34" t="s">
        <v>204</v>
      </c>
      <c r="CR9" s="34" t="s">
        <v>346</v>
      </c>
      <c r="CS9" s="34"/>
      <c r="CT9" s="35" t="s">
        <v>315</v>
      </c>
    </row>
    <row r="10" spans="2:98" ht="13.5" x14ac:dyDescent="0.25">
      <c r="C10" s="58" t="s">
        <v>435</v>
      </c>
      <c r="D10" s="34">
        <v>90</v>
      </c>
      <c r="E10" s="34">
        <v>1200</v>
      </c>
      <c r="F10" s="34">
        <v>1</v>
      </c>
      <c r="G10" s="34">
        <v>4</v>
      </c>
      <c r="H10" s="34">
        <v>10</v>
      </c>
      <c r="I10" s="34">
        <v>8000</v>
      </c>
      <c r="J10" s="34">
        <v>1500</v>
      </c>
      <c r="K10" s="34">
        <v>50</v>
      </c>
      <c r="L10" s="34">
        <v>1500</v>
      </c>
      <c r="M10" s="34">
        <v>1</v>
      </c>
      <c r="N10" s="34">
        <v>1</v>
      </c>
      <c r="Q10" s="74" t="s">
        <v>610</v>
      </c>
      <c r="R10" s="34">
        <v>500</v>
      </c>
      <c r="S10" s="34">
        <v>10</v>
      </c>
      <c r="T10" s="34">
        <v>500</v>
      </c>
      <c r="U10" s="34">
        <v>0.9</v>
      </c>
      <c r="V10" s="34">
        <v>700</v>
      </c>
      <c r="Y10" s="73" t="s">
        <v>631</v>
      </c>
      <c r="Z10" s="34">
        <v>20</v>
      </c>
      <c r="AA10" s="34">
        <v>1800</v>
      </c>
      <c r="AD10" s="73" t="s">
        <v>670</v>
      </c>
      <c r="AE10" s="34">
        <v>500</v>
      </c>
      <c r="AF10" s="34">
        <v>900</v>
      </c>
      <c r="AI10" s="74" t="s">
        <v>686</v>
      </c>
      <c r="AJ10" s="34">
        <v>3.5</v>
      </c>
      <c r="AK10" s="34">
        <v>90</v>
      </c>
      <c r="AN10" s="34"/>
      <c r="AO10" s="34"/>
      <c r="AP10" s="34"/>
      <c r="AQ10" s="34"/>
      <c r="AR10" s="34"/>
      <c r="AS10" s="34"/>
      <c r="AU10" s="34"/>
      <c r="AV10" s="34"/>
      <c r="AW10" s="34"/>
      <c r="AX10" s="34"/>
      <c r="BM10" s="34" t="s">
        <v>436</v>
      </c>
      <c r="BN10" s="35" t="s">
        <v>316</v>
      </c>
      <c r="BS10" s="52" t="s">
        <v>586</v>
      </c>
      <c r="BT10" s="35" t="s">
        <v>316</v>
      </c>
      <c r="BY10" s="34"/>
      <c r="BZ10" s="35" t="s">
        <v>316</v>
      </c>
      <c r="CE10" s="34"/>
      <c r="CF10" s="35" t="s">
        <v>316</v>
      </c>
      <c r="CK10" s="34"/>
      <c r="CL10" s="35" t="s">
        <v>316</v>
      </c>
      <c r="CO10" s="34" t="s">
        <v>437</v>
      </c>
      <c r="CP10" s="34" t="s">
        <v>407</v>
      </c>
      <c r="CQ10" s="34" t="s">
        <v>204</v>
      </c>
      <c r="CR10" s="34" t="s">
        <v>347</v>
      </c>
      <c r="CS10" s="34"/>
      <c r="CT10" s="35" t="s">
        <v>316</v>
      </c>
    </row>
    <row r="11" spans="2:98" x14ac:dyDescent="0.2">
      <c r="C11" s="58" t="s">
        <v>438</v>
      </c>
      <c r="D11" s="34">
        <v>170</v>
      </c>
      <c r="E11" s="34">
        <v>100</v>
      </c>
      <c r="F11" s="34">
        <v>1</v>
      </c>
      <c r="G11" s="34">
        <v>8</v>
      </c>
      <c r="H11" s="34">
        <v>10</v>
      </c>
      <c r="I11" s="34">
        <v>5000</v>
      </c>
      <c r="J11" s="34">
        <v>1000</v>
      </c>
      <c r="K11" s="34">
        <v>15</v>
      </c>
      <c r="L11" s="34">
        <v>1000</v>
      </c>
      <c r="M11" s="34">
        <v>1</v>
      </c>
      <c r="N11" s="34">
        <v>1</v>
      </c>
      <c r="Q11" s="74" t="s">
        <v>611</v>
      </c>
      <c r="R11" s="34">
        <v>700</v>
      </c>
      <c r="S11" s="34">
        <v>20</v>
      </c>
      <c r="T11" s="34">
        <v>700</v>
      </c>
      <c r="U11" s="34">
        <v>1.1000000000000001</v>
      </c>
      <c r="V11" s="34">
        <v>1000</v>
      </c>
      <c r="Y11" s="73" t="s">
        <v>632</v>
      </c>
      <c r="Z11" s="34">
        <v>40</v>
      </c>
      <c r="AA11" s="34">
        <v>3000</v>
      </c>
      <c r="AD11" s="73" t="s">
        <v>671</v>
      </c>
      <c r="AE11" s="34">
        <v>70</v>
      </c>
      <c r="AF11" s="34">
        <v>200</v>
      </c>
      <c r="AI11" s="74" t="s">
        <v>687</v>
      </c>
      <c r="AJ11" s="34">
        <v>12.5</v>
      </c>
      <c r="AK11" s="34">
        <v>750</v>
      </c>
      <c r="AN11" s="34"/>
      <c r="AO11" s="34"/>
      <c r="AP11" s="34"/>
      <c r="AQ11" s="34"/>
      <c r="AR11" s="34"/>
      <c r="AS11" s="34"/>
      <c r="AU11" s="34"/>
      <c r="AV11" s="34"/>
      <c r="AW11" s="34"/>
      <c r="AX11" s="34"/>
      <c r="BM11" s="34" t="s">
        <v>439</v>
      </c>
      <c r="BN11" s="35" t="s">
        <v>317</v>
      </c>
      <c r="BS11" s="34"/>
      <c r="BT11" s="35" t="s">
        <v>317</v>
      </c>
      <c r="BY11" s="34"/>
      <c r="BZ11" s="35" t="s">
        <v>317</v>
      </c>
      <c r="CE11" s="34"/>
      <c r="CF11" s="35" t="s">
        <v>317</v>
      </c>
      <c r="CK11" s="34"/>
      <c r="CL11" s="35" t="s">
        <v>317</v>
      </c>
      <c r="CS11" s="34"/>
      <c r="CT11" s="35" t="s">
        <v>317</v>
      </c>
    </row>
    <row r="12" spans="2:98" x14ac:dyDescent="0.2">
      <c r="C12" s="58" t="s">
        <v>440</v>
      </c>
      <c r="D12" s="34">
        <v>110</v>
      </c>
      <c r="E12" s="34">
        <v>1500</v>
      </c>
      <c r="F12" s="34">
        <v>1</v>
      </c>
      <c r="G12" s="34">
        <v>6</v>
      </c>
      <c r="H12" s="34">
        <v>10</v>
      </c>
      <c r="I12" s="34">
        <v>12000</v>
      </c>
      <c r="J12" s="34">
        <v>1300</v>
      </c>
      <c r="K12" s="34">
        <v>30</v>
      </c>
      <c r="L12" s="34">
        <v>1300</v>
      </c>
      <c r="M12" s="34">
        <v>1</v>
      </c>
      <c r="N12" s="34">
        <v>1</v>
      </c>
      <c r="Q12" s="74" t="s">
        <v>612</v>
      </c>
      <c r="R12" s="34">
        <v>1000</v>
      </c>
      <c r="S12" s="34">
        <v>30</v>
      </c>
      <c r="T12" s="34">
        <v>1000</v>
      </c>
      <c r="U12" s="34">
        <v>1.2</v>
      </c>
      <c r="V12" s="34">
        <v>1200</v>
      </c>
      <c r="Y12" s="73" t="s">
        <v>633</v>
      </c>
      <c r="Z12" s="34">
        <v>60</v>
      </c>
      <c r="AA12" s="34">
        <v>4000</v>
      </c>
      <c r="AD12" s="73" t="s">
        <v>672</v>
      </c>
      <c r="AE12" s="34">
        <v>140</v>
      </c>
      <c r="AF12" s="34">
        <v>700</v>
      </c>
      <c r="AI12" s="73" t="s">
        <v>688</v>
      </c>
      <c r="AJ12" s="34">
        <v>4.5</v>
      </c>
      <c r="AK12" s="34">
        <v>250</v>
      </c>
      <c r="AN12" s="34"/>
      <c r="AO12" s="34"/>
      <c r="AP12" s="34"/>
      <c r="AQ12" s="34"/>
      <c r="AR12" s="34"/>
      <c r="AS12" s="34"/>
      <c r="AU12" s="34"/>
      <c r="AV12" s="34"/>
      <c r="AW12" s="34"/>
      <c r="AX12" s="34"/>
      <c r="BM12" s="34" t="s">
        <v>441</v>
      </c>
      <c r="BN12" s="35" t="s">
        <v>318</v>
      </c>
      <c r="BS12" s="34"/>
      <c r="BT12" s="35" t="s">
        <v>318</v>
      </c>
      <c r="BY12" s="34"/>
      <c r="BZ12" s="35" t="s">
        <v>318</v>
      </c>
      <c r="CE12" s="34"/>
      <c r="CF12" s="35" t="s">
        <v>318</v>
      </c>
      <c r="CK12" s="34"/>
      <c r="CL12" s="35" t="s">
        <v>318</v>
      </c>
      <c r="CS12" s="34"/>
      <c r="CT12" s="35" t="s">
        <v>318</v>
      </c>
    </row>
    <row r="13" spans="2:98" x14ac:dyDescent="0.2">
      <c r="C13" s="59" t="s">
        <v>442</v>
      </c>
      <c r="D13" s="34">
        <v>90</v>
      </c>
      <c r="E13" s="34">
        <v>1000</v>
      </c>
      <c r="F13" s="34">
        <v>1</v>
      </c>
      <c r="G13" s="34">
        <v>4</v>
      </c>
      <c r="H13" s="34">
        <v>10</v>
      </c>
      <c r="I13" s="34">
        <v>10000</v>
      </c>
      <c r="J13" s="34">
        <v>1000</v>
      </c>
      <c r="K13" s="34">
        <v>30</v>
      </c>
      <c r="L13" s="34">
        <v>1000</v>
      </c>
      <c r="M13" s="34">
        <v>3</v>
      </c>
      <c r="N13" s="34">
        <v>1</v>
      </c>
      <c r="Q13" s="75" t="s">
        <v>613</v>
      </c>
      <c r="R13" s="34">
        <v>700</v>
      </c>
      <c r="S13" s="34">
        <v>15</v>
      </c>
      <c r="T13" s="34">
        <v>700</v>
      </c>
      <c r="U13" s="34">
        <v>1.1000000000000001</v>
      </c>
      <c r="V13" s="34">
        <v>3000</v>
      </c>
      <c r="Y13" s="73" t="s">
        <v>634</v>
      </c>
      <c r="Z13" s="34">
        <v>50</v>
      </c>
      <c r="AA13" s="34">
        <v>3000</v>
      </c>
      <c r="AD13" s="73" t="s">
        <v>673</v>
      </c>
      <c r="AE13" s="34">
        <v>800</v>
      </c>
      <c r="AF13" s="34">
        <v>1500</v>
      </c>
      <c r="AI13" s="73" t="s">
        <v>689</v>
      </c>
      <c r="AJ13" s="34">
        <v>9.5</v>
      </c>
      <c r="AK13" s="34">
        <v>500</v>
      </c>
      <c r="AN13" s="34"/>
      <c r="AO13" s="34"/>
      <c r="AP13" s="34"/>
      <c r="AQ13" s="34"/>
      <c r="AR13" s="34"/>
      <c r="AS13" s="34"/>
      <c r="AU13" s="34"/>
      <c r="AV13" s="34"/>
      <c r="AW13" s="34"/>
      <c r="AX13" s="34"/>
      <c r="BM13" s="34"/>
      <c r="BN13" s="35" t="s">
        <v>319</v>
      </c>
      <c r="BS13" s="34"/>
      <c r="BT13" s="35" t="s">
        <v>319</v>
      </c>
      <c r="BY13" s="34"/>
      <c r="BZ13" s="35" t="s">
        <v>319</v>
      </c>
      <c r="CE13" s="34"/>
      <c r="CF13" s="35" t="s">
        <v>319</v>
      </c>
      <c r="CK13" s="34"/>
      <c r="CL13" s="35" t="s">
        <v>319</v>
      </c>
      <c r="CS13" s="34"/>
      <c r="CT13" s="35" t="s">
        <v>319</v>
      </c>
    </row>
    <row r="14" spans="2:98" x14ac:dyDescent="0.2">
      <c r="C14" s="59" t="s">
        <v>443</v>
      </c>
      <c r="D14" s="34">
        <v>180</v>
      </c>
      <c r="E14" s="34">
        <v>800</v>
      </c>
      <c r="F14" s="34">
        <v>1</v>
      </c>
      <c r="G14" s="34">
        <v>8</v>
      </c>
      <c r="H14" s="34">
        <v>10</v>
      </c>
      <c r="I14" s="34">
        <v>7000</v>
      </c>
      <c r="J14" s="34">
        <v>700</v>
      </c>
      <c r="K14" s="34">
        <v>5</v>
      </c>
      <c r="L14" s="34">
        <v>700</v>
      </c>
      <c r="M14" s="34">
        <v>3</v>
      </c>
      <c r="N14" s="34">
        <v>1</v>
      </c>
      <c r="Q14" s="75" t="s">
        <v>614</v>
      </c>
      <c r="R14" s="34">
        <v>900</v>
      </c>
      <c r="S14" s="34">
        <v>30</v>
      </c>
      <c r="T14" s="34">
        <v>900</v>
      </c>
      <c r="U14" s="34">
        <v>1.3</v>
      </c>
      <c r="V14" s="34">
        <v>4500</v>
      </c>
      <c r="Y14" s="73" t="s">
        <v>635</v>
      </c>
      <c r="Z14" s="34">
        <v>120</v>
      </c>
      <c r="AA14" s="34">
        <v>6000</v>
      </c>
      <c r="AD14" s="74" t="s">
        <v>674</v>
      </c>
      <c r="AE14" s="34">
        <v>100</v>
      </c>
      <c r="AF14" s="34">
        <v>500</v>
      </c>
      <c r="AI14" s="73" t="s">
        <v>690</v>
      </c>
      <c r="AJ14" s="34">
        <v>2.5</v>
      </c>
      <c r="AK14" s="34">
        <v>70</v>
      </c>
      <c r="AN14" s="34"/>
      <c r="AO14" s="34"/>
      <c r="AP14" s="34"/>
      <c r="AQ14" s="34"/>
      <c r="AR14" s="34"/>
      <c r="AS14" s="34"/>
      <c r="AU14" s="34"/>
      <c r="AV14" s="34"/>
      <c r="AW14" s="34"/>
      <c r="AX14" s="34"/>
    </row>
    <row r="15" spans="2:98" x14ac:dyDescent="0.2">
      <c r="C15" s="59" t="s">
        <v>444</v>
      </c>
      <c r="D15" s="34">
        <v>120</v>
      </c>
      <c r="E15" s="34">
        <v>1200</v>
      </c>
      <c r="F15" s="34">
        <v>1</v>
      </c>
      <c r="G15" s="34">
        <v>6</v>
      </c>
      <c r="H15" s="34">
        <v>10</v>
      </c>
      <c r="I15" s="34">
        <v>15000</v>
      </c>
      <c r="J15" s="34">
        <v>800</v>
      </c>
      <c r="K15" s="34">
        <v>10</v>
      </c>
      <c r="L15" s="34">
        <v>800</v>
      </c>
      <c r="M15" s="34">
        <v>3</v>
      </c>
      <c r="N15" s="34">
        <v>1</v>
      </c>
      <c r="Q15" s="75" t="s">
        <v>615</v>
      </c>
      <c r="R15" s="34">
        <v>1400</v>
      </c>
      <c r="S15" s="34">
        <v>50</v>
      </c>
      <c r="T15" s="34">
        <v>1400</v>
      </c>
      <c r="U15" s="34">
        <v>1.5</v>
      </c>
      <c r="V15" s="34">
        <v>6000</v>
      </c>
      <c r="Y15" s="73" t="s">
        <v>636</v>
      </c>
      <c r="Z15" s="34">
        <v>150</v>
      </c>
      <c r="AA15" s="34">
        <v>12000</v>
      </c>
      <c r="AD15" s="74" t="s">
        <v>675</v>
      </c>
      <c r="AE15" s="34">
        <v>500</v>
      </c>
      <c r="AF15" s="34">
        <v>900</v>
      </c>
      <c r="AI15" s="73" t="s">
        <v>691</v>
      </c>
      <c r="AJ15" s="34">
        <v>11.5</v>
      </c>
      <c r="AK15" s="34">
        <v>700</v>
      </c>
      <c r="AN15" s="34"/>
      <c r="AO15" s="34"/>
      <c r="AP15" s="34"/>
      <c r="AQ15" s="34"/>
      <c r="AR15" s="34"/>
      <c r="AS15" s="34"/>
      <c r="AU15" s="34"/>
      <c r="AV15" s="34"/>
      <c r="AW15" s="34"/>
      <c r="AX15" s="34"/>
    </row>
    <row r="16" spans="2:98" x14ac:dyDescent="0.2">
      <c r="C16" s="60" t="s">
        <v>445</v>
      </c>
      <c r="D16" s="34">
        <v>90</v>
      </c>
      <c r="E16" s="34">
        <v>1600</v>
      </c>
      <c r="F16" s="34">
        <v>1</v>
      </c>
      <c r="G16" s="34">
        <v>2</v>
      </c>
      <c r="H16" s="34">
        <v>18</v>
      </c>
      <c r="I16" s="34">
        <v>10000</v>
      </c>
      <c r="J16" s="34">
        <v>1000</v>
      </c>
      <c r="K16" s="34">
        <v>30</v>
      </c>
      <c r="L16" s="34">
        <v>1000</v>
      </c>
      <c r="M16" s="34">
        <v>1</v>
      </c>
      <c r="N16" s="34">
        <v>1</v>
      </c>
      <c r="Q16" s="76" t="s">
        <v>616</v>
      </c>
      <c r="R16" s="34">
        <v>400</v>
      </c>
      <c r="S16" s="34">
        <v>8</v>
      </c>
      <c r="T16" s="34">
        <v>400</v>
      </c>
      <c r="U16" s="34">
        <v>1.2</v>
      </c>
      <c r="V16" s="34">
        <v>1000</v>
      </c>
      <c r="Y16" s="74" t="s">
        <v>637</v>
      </c>
      <c r="Z16" s="34">
        <v>7</v>
      </c>
      <c r="AA16" s="34">
        <v>300</v>
      </c>
      <c r="AD16" s="74" t="s">
        <v>676</v>
      </c>
      <c r="AE16" s="34">
        <v>70</v>
      </c>
      <c r="AF16" s="34">
        <v>200</v>
      </c>
      <c r="AI16" s="34"/>
      <c r="AJ16" s="34"/>
      <c r="AK16" s="34"/>
      <c r="AN16" s="34"/>
      <c r="AO16" s="34"/>
      <c r="AP16" s="34"/>
      <c r="AQ16" s="34"/>
      <c r="AR16" s="34"/>
      <c r="AS16" s="34"/>
      <c r="AU16" s="34"/>
      <c r="AV16" s="34"/>
      <c r="AW16" s="34"/>
      <c r="AX16" s="34"/>
    </row>
    <row r="17" spans="3:50" x14ac:dyDescent="0.2">
      <c r="C17" s="60" t="s">
        <v>446</v>
      </c>
      <c r="D17" s="34">
        <v>170</v>
      </c>
      <c r="E17" s="34">
        <v>1000</v>
      </c>
      <c r="F17" s="34">
        <v>1</v>
      </c>
      <c r="G17" s="34">
        <v>5</v>
      </c>
      <c r="H17" s="34">
        <v>18</v>
      </c>
      <c r="I17" s="34">
        <v>7000</v>
      </c>
      <c r="J17" s="34">
        <v>700</v>
      </c>
      <c r="K17" s="34">
        <v>5</v>
      </c>
      <c r="L17" s="34">
        <v>700</v>
      </c>
      <c r="M17" s="34">
        <v>1</v>
      </c>
      <c r="N17" s="34">
        <v>1</v>
      </c>
      <c r="Q17" s="76" t="s">
        <v>617</v>
      </c>
      <c r="R17" s="34">
        <v>600</v>
      </c>
      <c r="S17" s="34">
        <v>20</v>
      </c>
      <c r="T17" s="34">
        <v>600</v>
      </c>
      <c r="U17" s="34">
        <v>1.4</v>
      </c>
      <c r="V17" s="34">
        <v>1500</v>
      </c>
      <c r="Y17" s="74" t="s">
        <v>638</v>
      </c>
      <c r="Z17" s="34">
        <v>15</v>
      </c>
      <c r="AA17" s="34">
        <v>700</v>
      </c>
      <c r="AD17" s="74" t="s">
        <v>677</v>
      </c>
      <c r="AE17" s="34">
        <v>140</v>
      </c>
      <c r="AF17" s="34">
        <v>700</v>
      </c>
      <c r="AI17" s="34"/>
      <c r="AJ17" s="34"/>
      <c r="AK17" s="34"/>
      <c r="AN17" s="34"/>
      <c r="AO17" s="34"/>
      <c r="AP17" s="34"/>
      <c r="AQ17" s="34"/>
      <c r="AR17" s="34"/>
      <c r="AS17" s="34"/>
      <c r="AU17" s="34"/>
      <c r="AV17" s="34"/>
      <c r="AW17" s="34"/>
      <c r="AX17" s="34"/>
    </row>
    <row r="18" spans="3:50" x14ac:dyDescent="0.2">
      <c r="C18" s="60" t="s">
        <v>447</v>
      </c>
      <c r="D18" s="34">
        <v>110</v>
      </c>
      <c r="E18" s="34">
        <v>1600</v>
      </c>
      <c r="F18" s="34">
        <v>1</v>
      </c>
      <c r="G18" s="34">
        <v>3</v>
      </c>
      <c r="H18" s="34">
        <v>18</v>
      </c>
      <c r="I18" s="34">
        <v>15000</v>
      </c>
      <c r="J18" s="34">
        <v>800</v>
      </c>
      <c r="K18" s="34">
        <v>10</v>
      </c>
      <c r="L18" s="34">
        <v>800</v>
      </c>
      <c r="M18" s="34">
        <v>1</v>
      </c>
      <c r="N18" s="34">
        <v>1</v>
      </c>
      <c r="Q18" s="76" t="s">
        <v>618</v>
      </c>
      <c r="R18" s="34">
        <v>800</v>
      </c>
      <c r="S18" s="34">
        <v>15</v>
      </c>
      <c r="T18" s="34">
        <v>8000</v>
      </c>
      <c r="U18" s="34">
        <v>1.7</v>
      </c>
      <c r="V18" s="34">
        <v>2000</v>
      </c>
      <c r="Y18" s="74" t="s">
        <v>639</v>
      </c>
      <c r="Z18" s="34">
        <v>30</v>
      </c>
      <c r="AA18" s="34">
        <v>1200</v>
      </c>
      <c r="AD18" s="74" t="s">
        <v>678</v>
      </c>
      <c r="AE18" s="34">
        <v>800</v>
      </c>
      <c r="AF18" s="34">
        <v>1500</v>
      </c>
      <c r="AI18" s="34"/>
      <c r="AJ18" s="34"/>
      <c r="AK18" s="34"/>
      <c r="AN18" s="34"/>
      <c r="AO18" s="34"/>
      <c r="AP18" s="34"/>
      <c r="AQ18" s="34"/>
      <c r="AR18" s="34"/>
      <c r="AS18" s="34"/>
      <c r="AU18" s="34"/>
      <c r="AV18" s="34"/>
      <c r="AW18" s="34"/>
      <c r="AX18" s="34"/>
    </row>
    <row r="19" spans="3:50" x14ac:dyDescent="0.2">
      <c r="C19" s="61" t="s">
        <v>448</v>
      </c>
      <c r="D19" s="34">
        <v>100</v>
      </c>
      <c r="E19" s="34">
        <v>1000</v>
      </c>
      <c r="F19" s="34">
        <v>1</v>
      </c>
      <c r="G19" s="34">
        <v>4</v>
      </c>
      <c r="H19" s="34">
        <v>10</v>
      </c>
      <c r="I19" s="34">
        <v>10000</v>
      </c>
      <c r="J19" s="34">
        <v>900</v>
      </c>
      <c r="K19" s="34">
        <v>25</v>
      </c>
      <c r="L19" s="34">
        <v>900</v>
      </c>
      <c r="M19" s="34">
        <v>1</v>
      </c>
      <c r="N19" s="34">
        <v>3</v>
      </c>
      <c r="Q19" s="77" t="s">
        <v>619</v>
      </c>
      <c r="R19" s="34">
        <v>200</v>
      </c>
      <c r="S19" s="34">
        <v>10</v>
      </c>
      <c r="T19" s="34">
        <v>800</v>
      </c>
      <c r="U19" s="34">
        <v>1</v>
      </c>
      <c r="V19" s="34">
        <v>1000</v>
      </c>
      <c r="Y19" s="74" t="s">
        <v>640</v>
      </c>
      <c r="Z19" s="34">
        <v>40</v>
      </c>
      <c r="AA19" s="34">
        <v>1800</v>
      </c>
      <c r="AD19" s="34"/>
      <c r="AE19" s="34"/>
      <c r="AF19" s="34"/>
      <c r="AI19" s="34"/>
      <c r="AJ19" s="34"/>
      <c r="AK19" s="34"/>
      <c r="AN19" s="34"/>
      <c r="AO19" s="34"/>
      <c r="AP19" s="34"/>
      <c r="AQ19" s="34"/>
      <c r="AR19" s="34"/>
      <c r="AS19" s="34"/>
      <c r="AU19" s="34"/>
      <c r="AV19" s="34"/>
      <c r="AW19" s="34"/>
      <c r="AX19" s="34"/>
    </row>
    <row r="20" spans="3:50" x14ac:dyDescent="0.2">
      <c r="C20" s="61" t="s">
        <v>449</v>
      </c>
      <c r="D20" s="34">
        <v>200</v>
      </c>
      <c r="E20" s="34">
        <v>800</v>
      </c>
      <c r="F20" s="34">
        <v>1</v>
      </c>
      <c r="G20" s="34">
        <v>8</v>
      </c>
      <c r="H20" s="34">
        <v>10</v>
      </c>
      <c r="I20" s="34">
        <v>7000</v>
      </c>
      <c r="J20" s="34">
        <v>600</v>
      </c>
      <c r="K20" s="34">
        <v>4</v>
      </c>
      <c r="L20" s="34">
        <v>600</v>
      </c>
      <c r="M20" s="34">
        <v>1</v>
      </c>
      <c r="N20" s="34">
        <v>3</v>
      </c>
      <c r="Q20" s="77" t="s">
        <v>620</v>
      </c>
      <c r="R20" s="34">
        <v>300</v>
      </c>
      <c r="S20" s="34">
        <v>20</v>
      </c>
      <c r="T20" s="34">
        <v>1100</v>
      </c>
      <c r="U20" s="34">
        <v>1.2</v>
      </c>
      <c r="V20" s="34">
        <v>1500</v>
      </c>
      <c r="Y20" s="74" t="s">
        <v>641</v>
      </c>
      <c r="Z20" s="34">
        <v>60</v>
      </c>
      <c r="AA20" s="34">
        <v>2500</v>
      </c>
      <c r="AD20" s="34"/>
      <c r="AE20" s="34"/>
      <c r="AF20" s="34"/>
      <c r="AI20" s="34"/>
      <c r="AJ20" s="34"/>
      <c r="AK20" s="34"/>
      <c r="AN20" s="34"/>
      <c r="AO20" s="34"/>
      <c r="AP20" s="34"/>
      <c r="AQ20" s="34"/>
      <c r="AR20" s="34"/>
      <c r="AS20" s="34"/>
      <c r="AU20" s="34"/>
      <c r="AV20" s="34"/>
      <c r="AW20" s="34"/>
      <c r="AX20" s="34"/>
    </row>
    <row r="21" spans="3:50" x14ac:dyDescent="0.2">
      <c r="C21" s="61" t="s">
        <v>450</v>
      </c>
      <c r="D21" s="34">
        <v>150</v>
      </c>
      <c r="E21" s="34">
        <v>1200</v>
      </c>
      <c r="F21" s="34">
        <v>1</v>
      </c>
      <c r="G21" s="34">
        <v>6</v>
      </c>
      <c r="H21" s="34">
        <v>10</v>
      </c>
      <c r="I21" s="34">
        <v>15000</v>
      </c>
      <c r="J21" s="34">
        <v>700</v>
      </c>
      <c r="K21" s="34">
        <v>7</v>
      </c>
      <c r="L21" s="34">
        <v>700</v>
      </c>
      <c r="M21" s="34">
        <v>1</v>
      </c>
      <c r="N21" s="34">
        <v>3</v>
      </c>
      <c r="Q21" s="77" t="s">
        <v>621</v>
      </c>
      <c r="R21" s="34">
        <v>500</v>
      </c>
      <c r="S21" s="34">
        <v>30</v>
      </c>
      <c r="T21" s="34">
        <v>1500</v>
      </c>
      <c r="U21" s="34">
        <v>1.4</v>
      </c>
      <c r="V21" s="34">
        <v>2000</v>
      </c>
      <c r="Y21" s="74" t="s">
        <v>642</v>
      </c>
      <c r="Z21" s="34">
        <v>70</v>
      </c>
      <c r="AA21" s="34">
        <v>3000</v>
      </c>
      <c r="AD21" s="34"/>
      <c r="AE21" s="34"/>
      <c r="AF21" s="34"/>
      <c r="AI21" s="34"/>
      <c r="AJ21" s="34"/>
      <c r="AK21" s="34"/>
      <c r="AN21" s="34"/>
      <c r="AO21" s="34"/>
      <c r="AP21" s="34"/>
      <c r="AQ21" s="34"/>
      <c r="AR21" s="34"/>
      <c r="AS21" s="34"/>
      <c r="AU21" s="34"/>
      <c r="AV21" s="34"/>
      <c r="AW21" s="34"/>
      <c r="AX21" s="34"/>
    </row>
    <row r="22" spans="3:50" x14ac:dyDescent="0.2">
      <c r="C22" s="46" t="s">
        <v>451</v>
      </c>
      <c r="D22" s="34">
        <v>100</v>
      </c>
      <c r="E22" s="34">
        <v>1000</v>
      </c>
      <c r="F22" s="34">
        <v>1</v>
      </c>
      <c r="G22" s="34">
        <v>6</v>
      </c>
      <c r="H22" s="34">
        <v>10</v>
      </c>
      <c r="I22" s="34">
        <v>10000</v>
      </c>
      <c r="J22" s="34">
        <v>500</v>
      </c>
      <c r="K22" s="34">
        <v>30</v>
      </c>
      <c r="L22" s="34">
        <v>2000</v>
      </c>
      <c r="M22" s="34">
        <v>1</v>
      </c>
      <c r="N22" s="34">
        <v>1</v>
      </c>
      <c r="Q22" s="72" t="s">
        <v>622</v>
      </c>
      <c r="R22" s="34">
        <v>300</v>
      </c>
      <c r="S22" s="34">
        <v>8</v>
      </c>
      <c r="T22" s="34">
        <v>300</v>
      </c>
      <c r="U22" s="34">
        <v>1</v>
      </c>
      <c r="V22" s="34">
        <v>500</v>
      </c>
      <c r="Y22" s="34"/>
      <c r="Z22" s="34"/>
      <c r="AA22" s="34"/>
      <c r="AD22" s="34"/>
      <c r="AE22" s="34"/>
      <c r="AF22" s="34"/>
      <c r="AI22" s="34"/>
      <c r="AJ22" s="34"/>
      <c r="AK22" s="34"/>
      <c r="AN22" s="34"/>
      <c r="AO22" s="34"/>
      <c r="AP22" s="34"/>
      <c r="AQ22" s="34"/>
      <c r="AR22" s="34"/>
      <c r="AS22" s="34"/>
      <c r="AU22" s="34"/>
      <c r="AV22" s="34"/>
      <c r="AW22" s="34"/>
      <c r="AX22" s="34"/>
    </row>
    <row r="23" spans="3:50" x14ac:dyDescent="0.2">
      <c r="C23" s="46" t="s">
        <v>452</v>
      </c>
      <c r="D23" s="34">
        <v>200</v>
      </c>
      <c r="E23" s="34">
        <v>800</v>
      </c>
      <c r="F23" s="34">
        <v>1</v>
      </c>
      <c r="G23" s="34">
        <v>10</v>
      </c>
      <c r="H23" s="34">
        <v>10</v>
      </c>
      <c r="I23" s="34">
        <v>7000</v>
      </c>
      <c r="J23" s="34">
        <v>300</v>
      </c>
      <c r="K23" s="34">
        <v>5</v>
      </c>
      <c r="L23" s="34">
        <v>1000</v>
      </c>
      <c r="M23" s="34">
        <v>1</v>
      </c>
      <c r="N23" s="34">
        <v>1</v>
      </c>
      <c r="Q23" s="72" t="s">
        <v>623</v>
      </c>
      <c r="R23" s="34">
        <v>400</v>
      </c>
      <c r="S23" s="34">
        <v>15</v>
      </c>
      <c r="T23" s="34">
        <v>400</v>
      </c>
      <c r="U23" s="34">
        <v>1.2</v>
      </c>
      <c r="V23" s="34">
        <v>700</v>
      </c>
      <c r="Y23" s="34"/>
      <c r="Z23" s="34"/>
      <c r="AA23" s="34"/>
      <c r="AD23" s="34"/>
      <c r="AE23" s="34"/>
      <c r="AF23" s="34"/>
      <c r="AI23" s="34"/>
      <c r="AJ23" s="34"/>
      <c r="AK23" s="34"/>
      <c r="AN23" s="34"/>
      <c r="AO23" s="34"/>
      <c r="AP23" s="34"/>
      <c r="AQ23" s="34"/>
      <c r="AR23" s="34"/>
      <c r="AS23" s="34"/>
      <c r="AU23" s="34"/>
      <c r="AV23" s="34"/>
      <c r="AW23" s="34"/>
      <c r="AX23" s="34"/>
    </row>
    <row r="24" spans="3:50" x14ac:dyDescent="0.2">
      <c r="C24" s="46" t="s">
        <v>453</v>
      </c>
      <c r="D24" s="34">
        <v>150</v>
      </c>
      <c r="E24" s="34">
        <v>1200</v>
      </c>
      <c r="F24" s="34">
        <v>1</v>
      </c>
      <c r="G24" s="34">
        <v>8</v>
      </c>
      <c r="H24" s="34">
        <v>10</v>
      </c>
      <c r="I24" s="34">
        <v>15000</v>
      </c>
      <c r="J24" s="34">
        <v>400</v>
      </c>
      <c r="K24" s="34">
        <v>10</v>
      </c>
      <c r="L24" s="34">
        <v>1500</v>
      </c>
      <c r="M24" s="34">
        <v>1</v>
      </c>
      <c r="N24" s="34">
        <v>1</v>
      </c>
      <c r="Q24" s="72" t="s">
        <v>624</v>
      </c>
      <c r="R24" s="34">
        <v>600</v>
      </c>
      <c r="S24" s="34">
        <v>20</v>
      </c>
      <c r="T24" s="34">
        <v>600</v>
      </c>
      <c r="U24" s="34">
        <v>1.4</v>
      </c>
      <c r="V24" s="34">
        <v>1000</v>
      </c>
      <c r="Y24" s="34"/>
      <c r="Z24" s="34"/>
      <c r="AA24" s="34"/>
      <c r="AD24" s="34"/>
      <c r="AE24" s="34"/>
      <c r="AF24" s="34"/>
      <c r="AI24" s="34"/>
      <c r="AJ24" s="34"/>
      <c r="AK24" s="34"/>
      <c r="AN24" s="34"/>
      <c r="AO24" s="34"/>
      <c r="AP24" s="34"/>
      <c r="AQ24" s="34"/>
      <c r="AR24" s="34"/>
      <c r="AS24" s="34"/>
      <c r="AU24" s="34"/>
      <c r="AV24" s="34"/>
      <c r="AW24" s="34"/>
      <c r="AX24" s="34"/>
    </row>
    <row r="25" spans="3:50" x14ac:dyDescent="0.2">
      <c r="C25" s="57" t="s">
        <v>454</v>
      </c>
      <c r="D25" s="34">
        <v>100</v>
      </c>
      <c r="E25" s="34">
        <v>900</v>
      </c>
      <c r="F25" s="34">
        <v>1</v>
      </c>
      <c r="G25" s="34">
        <v>5</v>
      </c>
      <c r="H25" s="34">
        <v>10</v>
      </c>
      <c r="I25" s="34">
        <v>8000</v>
      </c>
      <c r="J25" s="34">
        <v>1000</v>
      </c>
      <c r="K25" s="34">
        <v>30</v>
      </c>
      <c r="L25" s="34">
        <v>1000</v>
      </c>
      <c r="M25" s="34">
        <v>1</v>
      </c>
      <c r="N25" s="34">
        <v>1</v>
      </c>
      <c r="Q25" s="34"/>
      <c r="R25" s="34"/>
      <c r="S25" s="34"/>
      <c r="T25" s="34"/>
      <c r="U25" s="34"/>
      <c r="V25" s="34"/>
      <c r="Y25" s="34"/>
      <c r="Z25" s="34"/>
      <c r="AA25" s="34"/>
      <c r="AD25" s="34"/>
      <c r="AE25" s="34"/>
      <c r="AF25" s="34"/>
      <c r="AI25" s="34"/>
      <c r="AJ25" s="34"/>
      <c r="AK25" s="34"/>
      <c r="AN25" s="34"/>
      <c r="AO25" s="34"/>
      <c r="AP25" s="34"/>
      <c r="AQ25" s="34"/>
      <c r="AR25" s="34"/>
      <c r="AS25" s="34"/>
      <c r="AU25" s="34"/>
      <c r="AV25" s="34"/>
      <c r="AW25" s="34"/>
      <c r="AX25" s="34"/>
    </row>
    <row r="26" spans="3:50" x14ac:dyDescent="0.2">
      <c r="C26" s="57" t="s">
        <v>455</v>
      </c>
      <c r="D26" s="34">
        <v>200</v>
      </c>
      <c r="E26" s="34">
        <v>700</v>
      </c>
      <c r="F26" s="34">
        <v>1</v>
      </c>
      <c r="G26" s="34">
        <v>9</v>
      </c>
      <c r="H26" s="34">
        <v>10</v>
      </c>
      <c r="I26" s="34">
        <v>5000</v>
      </c>
      <c r="J26" s="34">
        <v>700</v>
      </c>
      <c r="K26" s="34">
        <v>5</v>
      </c>
      <c r="L26" s="34">
        <v>700</v>
      </c>
      <c r="M26" s="34">
        <v>1</v>
      </c>
      <c r="N26" s="34">
        <v>1</v>
      </c>
      <c r="Q26" s="34"/>
      <c r="R26" s="34"/>
      <c r="S26" s="34"/>
      <c r="T26" s="34"/>
      <c r="U26" s="34"/>
      <c r="V26" s="34"/>
      <c r="Y26" s="34"/>
      <c r="Z26" s="34"/>
      <c r="AA26" s="34"/>
      <c r="AD26" s="34"/>
      <c r="AE26" s="34"/>
      <c r="AF26" s="34"/>
      <c r="AI26" s="34"/>
      <c r="AJ26" s="34"/>
      <c r="AK26" s="34"/>
      <c r="AN26" s="34"/>
      <c r="AO26" s="34"/>
      <c r="AP26" s="34"/>
      <c r="AQ26" s="34"/>
      <c r="AR26" s="34"/>
      <c r="AS26" s="34"/>
      <c r="AU26" s="34"/>
      <c r="AV26" s="34"/>
      <c r="AW26" s="34"/>
      <c r="AX26" s="34"/>
    </row>
    <row r="27" spans="3:50" x14ac:dyDescent="0.2">
      <c r="C27" s="57" t="s">
        <v>456</v>
      </c>
      <c r="D27" s="34">
        <v>150</v>
      </c>
      <c r="E27" s="34">
        <v>1100</v>
      </c>
      <c r="F27" s="34">
        <v>1</v>
      </c>
      <c r="G27" s="34">
        <v>7</v>
      </c>
      <c r="H27" s="34">
        <v>10</v>
      </c>
      <c r="I27" s="34">
        <v>12000</v>
      </c>
      <c r="J27" s="34">
        <v>800</v>
      </c>
      <c r="K27" s="34">
        <v>10</v>
      </c>
      <c r="L27" s="34">
        <v>800</v>
      </c>
      <c r="M27" s="34">
        <v>1</v>
      </c>
      <c r="N27" s="34">
        <v>1</v>
      </c>
      <c r="Q27" s="34"/>
      <c r="R27" s="34"/>
      <c r="S27" s="34"/>
      <c r="T27" s="34"/>
      <c r="U27" s="34"/>
      <c r="V27" s="34"/>
      <c r="Y27" s="34"/>
      <c r="Z27" s="34"/>
      <c r="AA27" s="34"/>
      <c r="AD27" s="34"/>
      <c r="AE27" s="34"/>
      <c r="AF27" s="34"/>
      <c r="AI27" s="34"/>
      <c r="AJ27" s="34"/>
      <c r="AK27" s="34"/>
      <c r="AN27" s="34"/>
      <c r="AO27" s="34"/>
      <c r="AP27" s="34"/>
      <c r="AQ27" s="34"/>
      <c r="AR27" s="34"/>
      <c r="AS27" s="34"/>
      <c r="AU27" s="34"/>
      <c r="AV27" s="34"/>
      <c r="AW27" s="34"/>
      <c r="AX27" s="34"/>
    </row>
    <row r="28" spans="3:50" x14ac:dyDescent="0.2">
      <c r="C28" s="58" t="s">
        <v>457</v>
      </c>
      <c r="D28" s="34">
        <v>90</v>
      </c>
      <c r="E28" s="34">
        <v>1000</v>
      </c>
      <c r="F28" s="34">
        <v>1</v>
      </c>
      <c r="G28" s="34">
        <v>3</v>
      </c>
      <c r="H28" s="34">
        <v>10</v>
      </c>
      <c r="I28" s="34">
        <v>15000</v>
      </c>
      <c r="J28" s="34">
        <v>1000</v>
      </c>
      <c r="K28" s="34">
        <v>30</v>
      </c>
      <c r="L28" s="34">
        <v>1000</v>
      </c>
      <c r="M28" s="34">
        <v>1</v>
      </c>
      <c r="N28" s="34">
        <v>1</v>
      </c>
      <c r="Q28" s="34"/>
      <c r="R28" s="34"/>
      <c r="S28" s="34"/>
      <c r="T28" s="34"/>
      <c r="U28" s="34"/>
      <c r="V28" s="34"/>
      <c r="Y28" s="34"/>
      <c r="Z28" s="34"/>
      <c r="AA28" s="34"/>
      <c r="AD28" s="34"/>
      <c r="AE28" s="34"/>
      <c r="AF28" s="34"/>
      <c r="AI28" s="34"/>
      <c r="AJ28" s="34"/>
      <c r="AK28" s="34"/>
      <c r="AN28" s="34"/>
      <c r="AO28" s="34"/>
      <c r="AP28" s="34"/>
      <c r="AQ28" s="34"/>
      <c r="AR28" s="34"/>
      <c r="AS28" s="34"/>
      <c r="AU28" s="34"/>
      <c r="AV28" s="34"/>
      <c r="AW28" s="34"/>
      <c r="AX28" s="34"/>
    </row>
    <row r="29" spans="3:50" x14ac:dyDescent="0.2">
      <c r="C29" s="58" t="s">
        <v>458</v>
      </c>
      <c r="D29" s="34">
        <v>180</v>
      </c>
      <c r="E29" s="34">
        <v>800</v>
      </c>
      <c r="F29" s="34">
        <v>1</v>
      </c>
      <c r="G29" s="34">
        <v>7</v>
      </c>
      <c r="H29" s="34">
        <v>10</v>
      </c>
      <c r="I29" s="34">
        <v>12000</v>
      </c>
      <c r="J29" s="34">
        <v>700</v>
      </c>
      <c r="K29" s="34">
        <v>5</v>
      </c>
      <c r="L29" s="34">
        <v>700</v>
      </c>
      <c r="M29" s="34">
        <v>1</v>
      </c>
      <c r="N29" s="34">
        <v>1</v>
      </c>
      <c r="Q29" s="34"/>
      <c r="R29" s="34"/>
      <c r="S29" s="34"/>
      <c r="T29" s="34"/>
      <c r="U29" s="34"/>
      <c r="V29" s="34"/>
      <c r="Y29" s="34"/>
      <c r="Z29" s="34"/>
      <c r="AA29" s="34"/>
      <c r="AD29" s="34"/>
      <c r="AE29" s="34"/>
      <c r="AF29" s="34"/>
      <c r="AI29" s="34"/>
      <c r="AJ29" s="34"/>
      <c r="AK29" s="34"/>
      <c r="AN29" s="34"/>
      <c r="AO29" s="34"/>
      <c r="AP29" s="34"/>
      <c r="AQ29" s="34"/>
      <c r="AR29" s="34"/>
      <c r="AS29" s="34"/>
      <c r="AU29" s="34"/>
      <c r="AV29" s="34"/>
      <c r="AW29" s="34"/>
      <c r="AX29" s="34"/>
    </row>
    <row r="30" spans="3:50" x14ac:dyDescent="0.2">
      <c r="C30" s="58" t="s">
        <v>459</v>
      </c>
      <c r="D30" s="34">
        <v>120</v>
      </c>
      <c r="E30" s="34">
        <v>1200</v>
      </c>
      <c r="F30" s="34">
        <v>1</v>
      </c>
      <c r="G30" s="34">
        <v>5</v>
      </c>
      <c r="H30" s="34">
        <v>10</v>
      </c>
      <c r="I30" s="34">
        <v>20000</v>
      </c>
      <c r="J30" s="34">
        <v>800</v>
      </c>
      <c r="K30" s="34">
        <v>10</v>
      </c>
      <c r="L30" s="34">
        <v>800</v>
      </c>
      <c r="M30" s="34">
        <v>1</v>
      </c>
      <c r="N30" s="34">
        <v>1</v>
      </c>
      <c r="Q30" s="34"/>
      <c r="R30" s="34"/>
      <c r="S30" s="34"/>
      <c r="T30" s="34"/>
      <c r="U30" s="34"/>
      <c r="V30" s="34"/>
      <c r="Y30" s="34"/>
      <c r="Z30" s="34"/>
      <c r="AA30" s="34"/>
      <c r="AD30" s="34"/>
      <c r="AE30" s="34"/>
      <c r="AF30" s="34"/>
      <c r="AI30" s="34"/>
      <c r="AJ30" s="34"/>
      <c r="AK30" s="34"/>
      <c r="AN30" s="34"/>
      <c r="AO30" s="34"/>
      <c r="AP30" s="34"/>
      <c r="AQ30" s="34"/>
      <c r="AR30" s="34"/>
      <c r="AS30" s="34"/>
      <c r="AU30" s="34"/>
      <c r="AV30" s="34"/>
      <c r="AW30" s="34"/>
      <c r="AX30" s="34"/>
    </row>
    <row r="31" spans="3:50" x14ac:dyDescent="0.2"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Q31" s="34"/>
      <c r="R31" s="34"/>
      <c r="S31" s="34"/>
      <c r="T31" s="34"/>
      <c r="U31" s="34"/>
      <c r="V31" s="34"/>
      <c r="Y31" s="34"/>
      <c r="Z31" s="34"/>
      <c r="AA31" s="34"/>
      <c r="AD31" s="34"/>
      <c r="AE31" s="34"/>
      <c r="AF31" s="34"/>
      <c r="AI31" s="34"/>
      <c r="AJ31" s="34"/>
      <c r="AK31" s="34"/>
      <c r="AN31" s="34"/>
      <c r="AO31" s="34"/>
      <c r="AP31" s="34"/>
      <c r="AQ31" s="34"/>
      <c r="AR31" s="34"/>
      <c r="AS31" s="34"/>
      <c r="AU31" s="34"/>
      <c r="AV31" s="34"/>
      <c r="AW31" s="34"/>
      <c r="AX31" s="34"/>
    </row>
    <row r="32" spans="3:50" x14ac:dyDescent="0.2"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Q32" s="34"/>
      <c r="R32" s="34"/>
      <c r="S32" s="34"/>
      <c r="T32" s="34"/>
      <c r="U32" s="34"/>
      <c r="V32" s="34"/>
      <c r="Y32" s="34"/>
      <c r="Z32" s="34"/>
      <c r="AA32" s="34"/>
      <c r="AD32" s="34"/>
      <c r="AE32" s="34"/>
      <c r="AF32" s="34"/>
      <c r="AI32" s="34"/>
      <c r="AJ32" s="34"/>
      <c r="AK32" s="34"/>
      <c r="AN32" s="34"/>
      <c r="AO32" s="34"/>
      <c r="AP32" s="34"/>
      <c r="AQ32" s="34"/>
      <c r="AR32" s="34"/>
      <c r="AS32" s="34"/>
      <c r="AU32" s="34"/>
      <c r="AV32" s="34"/>
      <c r="AW32" s="34"/>
      <c r="AX32" s="34"/>
    </row>
    <row r="33" spans="2:52" x14ac:dyDescent="0.2"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Q33" s="34"/>
      <c r="R33" s="34"/>
      <c r="S33" s="34"/>
      <c r="T33" s="34"/>
      <c r="U33" s="34"/>
      <c r="V33" s="34"/>
      <c r="Y33" s="34"/>
      <c r="Z33" s="34"/>
      <c r="AA33" s="34"/>
      <c r="AD33" s="34"/>
      <c r="AE33" s="34"/>
      <c r="AF33" s="34"/>
      <c r="AI33" s="34"/>
      <c r="AJ33" s="34"/>
      <c r="AK33" s="34"/>
      <c r="AN33" s="34"/>
      <c r="AO33" s="34"/>
      <c r="AP33" s="34"/>
      <c r="AQ33" s="34"/>
      <c r="AR33" s="34"/>
      <c r="AS33" s="34"/>
      <c r="AU33" s="34"/>
      <c r="AV33" s="34"/>
      <c r="AW33" s="34"/>
      <c r="AX33" s="34"/>
    </row>
    <row r="34" spans="2:52" x14ac:dyDescent="0.2"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Q34" s="34"/>
      <c r="R34" s="34"/>
      <c r="S34" s="34"/>
      <c r="T34" s="34"/>
      <c r="U34" s="34"/>
      <c r="V34" s="34"/>
      <c r="Y34" s="34"/>
      <c r="Z34" s="34"/>
      <c r="AA34" s="34"/>
      <c r="AD34" s="34"/>
      <c r="AE34" s="34"/>
      <c r="AF34" s="34"/>
      <c r="AI34" s="34"/>
      <c r="AJ34" s="34"/>
      <c r="AK34" s="34"/>
      <c r="AN34" s="34"/>
      <c r="AO34" s="34"/>
      <c r="AP34" s="34"/>
      <c r="AQ34" s="34"/>
      <c r="AR34" s="34"/>
      <c r="AS34" s="34"/>
      <c r="AU34" s="34"/>
      <c r="AV34" s="34"/>
      <c r="AW34" s="34"/>
      <c r="AX34" s="34"/>
    </row>
    <row r="35" spans="2:52" x14ac:dyDescent="0.2"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Q35" s="34"/>
      <c r="R35" s="34"/>
      <c r="S35" s="34"/>
      <c r="T35" s="34"/>
      <c r="U35" s="34"/>
      <c r="V35" s="34"/>
      <c r="Y35" s="34"/>
      <c r="Z35" s="34"/>
      <c r="AA35" s="34"/>
      <c r="AD35" s="34"/>
      <c r="AE35" s="34"/>
      <c r="AF35" s="34"/>
      <c r="AI35" s="34"/>
      <c r="AJ35" s="34"/>
      <c r="AK35" s="34"/>
      <c r="AN35" s="34"/>
      <c r="AO35" s="34"/>
      <c r="AP35" s="34"/>
      <c r="AQ35" s="34"/>
      <c r="AR35" s="34"/>
      <c r="AS35" s="34"/>
      <c r="AU35" s="34"/>
      <c r="AV35" s="34"/>
      <c r="AW35" s="34"/>
      <c r="AX35" s="34"/>
    </row>
    <row r="36" spans="2:52" x14ac:dyDescent="0.2"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Q36" s="34"/>
      <c r="R36" s="34"/>
      <c r="S36" s="34"/>
      <c r="T36" s="34"/>
      <c r="U36" s="34"/>
      <c r="V36" s="34"/>
      <c r="Y36" s="34"/>
      <c r="Z36" s="34"/>
      <c r="AA36" s="34"/>
      <c r="AD36" s="34"/>
      <c r="AE36" s="34"/>
      <c r="AF36" s="34"/>
      <c r="AI36" s="34"/>
      <c r="AJ36" s="34"/>
      <c r="AK36" s="34"/>
      <c r="AN36" s="34"/>
      <c r="AO36" s="34"/>
      <c r="AP36" s="34"/>
      <c r="AQ36" s="34"/>
      <c r="AR36" s="34"/>
      <c r="AS36" s="34"/>
      <c r="AU36" s="34"/>
      <c r="AV36" s="34"/>
      <c r="AW36" s="34"/>
      <c r="AX36" s="34"/>
    </row>
    <row r="38" spans="2:52" x14ac:dyDescent="0.2">
      <c r="AI38" s="45"/>
    </row>
    <row r="39" spans="2:52" ht="13.5" x14ac:dyDescent="0.25">
      <c r="B39" s="13" t="s">
        <v>460</v>
      </c>
      <c r="C39" s="68" t="s">
        <v>461</v>
      </c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P39" s="13" t="s">
        <v>460</v>
      </c>
      <c r="Q39" s="62" t="s">
        <v>462</v>
      </c>
      <c r="R39" s="63"/>
      <c r="S39" s="63"/>
      <c r="T39" s="63"/>
      <c r="U39" s="63"/>
      <c r="V39" s="64"/>
      <c r="X39" s="13" t="s">
        <v>460</v>
      </c>
      <c r="Y39" s="62" t="s">
        <v>463</v>
      </c>
      <c r="Z39" s="63"/>
      <c r="AA39" s="64"/>
      <c r="AC39" s="13" t="s">
        <v>460</v>
      </c>
      <c r="AD39" s="62" t="s">
        <v>464</v>
      </c>
      <c r="AE39" s="63"/>
      <c r="AF39" s="64"/>
      <c r="AH39" s="13" t="s">
        <v>460</v>
      </c>
      <c r="AI39" s="62" t="s">
        <v>465</v>
      </c>
      <c r="AJ39" s="63"/>
      <c r="AK39" s="64"/>
      <c r="AM39" s="13" t="s">
        <v>460</v>
      </c>
      <c r="AN39" s="68" t="s">
        <v>466</v>
      </c>
      <c r="AO39" s="68"/>
      <c r="AP39" s="68"/>
      <c r="AQ39" s="68"/>
      <c r="AR39" s="68"/>
      <c r="AS39" s="68"/>
      <c r="AU39" s="65" t="s">
        <v>643</v>
      </c>
      <c r="AV39" s="65"/>
      <c r="AW39" s="65"/>
      <c r="AX39" s="65"/>
      <c r="AY39" s="65"/>
      <c r="AZ39" s="65"/>
    </row>
    <row r="40" spans="2:52" x14ac:dyDescent="0.2">
      <c r="B40" s="13" t="s">
        <v>467</v>
      </c>
      <c r="C40" s="34" t="s">
        <v>384</v>
      </c>
      <c r="D40" s="12" t="s">
        <v>19</v>
      </c>
      <c r="E40" s="12" t="s">
        <v>23</v>
      </c>
      <c r="F40" s="12" t="s">
        <v>27</v>
      </c>
      <c r="G40" s="12" t="s">
        <v>31</v>
      </c>
      <c r="H40" s="12" t="s">
        <v>34</v>
      </c>
      <c r="I40" s="12" t="s">
        <v>37</v>
      </c>
      <c r="J40" s="12" t="s">
        <v>40</v>
      </c>
      <c r="K40" s="12" t="s">
        <v>43</v>
      </c>
      <c r="L40" s="12" t="s">
        <v>46</v>
      </c>
      <c r="M40" s="12" t="s">
        <v>49</v>
      </c>
      <c r="N40" s="12" t="s">
        <v>52</v>
      </c>
      <c r="P40" s="13" t="s">
        <v>467</v>
      </c>
      <c r="Q40" s="34" t="s">
        <v>385</v>
      </c>
      <c r="R40" s="12" t="s">
        <v>40</v>
      </c>
      <c r="S40" s="12" t="s">
        <v>43</v>
      </c>
      <c r="T40" s="12" t="s">
        <v>46</v>
      </c>
      <c r="U40" s="12" t="s">
        <v>74</v>
      </c>
      <c r="V40" s="12" t="s">
        <v>80</v>
      </c>
      <c r="X40" s="13" t="s">
        <v>467</v>
      </c>
      <c r="Y40" s="34" t="s">
        <v>385</v>
      </c>
      <c r="Z40" s="12" t="s">
        <v>93</v>
      </c>
      <c r="AA40" s="12" t="s">
        <v>98</v>
      </c>
      <c r="AC40" s="13" t="s">
        <v>467</v>
      </c>
      <c r="AD40" s="34" t="s">
        <v>385</v>
      </c>
      <c r="AE40" s="12" t="s">
        <v>110</v>
      </c>
      <c r="AF40" s="12" t="s">
        <v>115</v>
      </c>
      <c r="AH40" s="13" t="s">
        <v>467</v>
      </c>
      <c r="AI40" s="34" t="s">
        <v>385</v>
      </c>
      <c r="AJ40" s="12" t="s">
        <v>126</v>
      </c>
      <c r="AK40" s="12" t="s">
        <v>131</v>
      </c>
      <c r="AM40" s="13" t="s">
        <v>467</v>
      </c>
      <c r="AN40" s="34" t="s">
        <v>385</v>
      </c>
      <c r="AO40" s="12" t="s">
        <v>146</v>
      </c>
      <c r="AP40" s="12" t="s">
        <v>149</v>
      </c>
      <c r="AQ40" s="12" t="s">
        <v>154</v>
      </c>
      <c r="AR40" s="12" t="s">
        <v>157</v>
      </c>
      <c r="AS40" s="12" t="s">
        <v>162</v>
      </c>
      <c r="AU40" s="34" t="s">
        <v>385</v>
      </c>
      <c r="AV40" s="12" t="s">
        <v>146</v>
      </c>
      <c r="AW40" s="12" t="s">
        <v>149</v>
      </c>
      <c r="AX40" s="12" t="s">
        <v>154</v>
      </c>
      <c r="AY40" s="12" t="s">
        <v>157</v>
      </c>
      <c r="AZ40" s="12" t="s">
        <v>162</v>
      </c>
    </row>
    <row r="41" spans="2:52" ht="13.5" x14ac:dyDescent="0.25">
      <c r="B41" s="13" t="s">
        <v>297</v>
      </c>
      <c r="C41" s="34">
        <v>10000</v>
      </c>
      <c r="D41" s="34">
        <v>1</v>
      </c>
      <c r="E41" s="34">
        <v>1</v>
      </c>
      <c r="F41" s="34">
        <v>2</v>
      </c>
      <c r="G41" s="34">
        <v>1</v>
      </c>
      <c r="H41" s="34">
        <v>1</v>
      </c>
      <c r="I41" s="34">
        <v>1</v>
      </c>
      <c r="J41" s="34">
        <v>1</v>
      </c>
      <c r="K41" s="34">
        <v>1</v>
      </c>
      <c r="L41" s="34">
        <v>1</v>
      </c>
      <c r="M41" s="34">
        <v>1</v>
      </c>
      <c r="N41" s="34">
        <v>1</v>
      </c>
      <c r="P41" s="13" t="s">
        <v>297</v>
      </c>
      <c r="Q41" s="34">
        <v>2000</v>
      </c>
      <c r="R41" s="34">
        <v>1</v>
      </c>
      <c r="S41" s="34">
        <v>1</v>
      </c>
      <c r="T41" s="34">
        <v>1</v>
      </c>
      <c r="U41" s="34">
        <v>1</v>
      </c>
      <c r="V41" s="34">
        <v>1</v>
      </c>
      <c r="X41" s="13" t="s">
        <v>297</v>
      </c>
      <c r="Y41" s="34">
        <v>1000</v>
      </c>
      <c r="Z41" s="34">
        <v>1</v>
      </c>
      <c r="AA41" s="34">
        <v>1</v>
      </c>
      <c r="AC41" s="13" t="s">
        <v>297</v>
      </c>
      <c r="AD41" s="34">
        <v>1000</v>
      </c>
      <c r="AE41" s="34">
        <v>1</v>
      </c>
      <c r="AF41" s="34">
        <v>1</v>
      </c>
      <c r="AH41" s="13" t="s">
        <v>297</v>
      </c>
      <c r="AI41" s="34">
        <v>1000</v>
      </c>
      <c r="AJ41" s="34">
        <v>1</v>
      </c>
      <c r="AK41" s="34">
        <v>1</v>
      </c>
      <c r="AM41" s="13" t="s">
        <v>297</v>
      </c>
      <c r="AN41" s="34">
        <v>5000</v>
      </c>
      <c r="AO41" s="34">
        <v>1</v>
      </c>
      <c r="AP41" s="34">
        <v>1</v>
      </c>
      <c r="AQ41" s="34">
        <v>1</v>
      </c>
      <c r="AR41" s="34">
        <v>1</v>
      </c>
      <c r="AS41" s="34">
        <v>1</v>
      </c>
      <c r="AU41" s="51" t="s">
        <v>196</v>
      </c>
      <c r="AV41" s="34">
        <v>1</v>
      </c>
      <c r="AW41" s="34">
        <v>1</v>
      </c>
      <c r="AX41" s="34">
        <v>1</v>
      </c>
      <c r="AY41" s="34">
        <v>1</v>
      </c>
      <c r="AZ41" s="34">
        <v>1</v>
      </c>
    </row>
    <row r="42" spans="2:52" ht="13.5" x14ac:dyDescent="0.25">
      <c r="B42" s="13" t="s">
        <v>298</v>
      </c>
      <c r="C42" s="34">
        <v>20000</v>
      </c>
      <c r="D42" s="34">
        <v>1.2</v>
      </c>
      <c r="E42" s="34">
        <v>1.2</v>
      </c>
      <c r="F42" s="34">
        <v>3</v>
      </c>
      <c r="G42" s="34">
        <v>1.2</v>
      </c>
      <c r="H42" s="34">
        <v>1.2</v>
      </c>
      <c r="I42" s="34">
        <v>1.2</v>
      </c>
      <c r="J42" s="34">
        <v>1.2</v>
      </c>
      <c r="K42" s="34">
        <v>1.2</v>
      </c>
      <c r="L42" s="34">
        <v>1.2</v>
      </c>
      <c r="M42" s="34">
        <v>2</v>
      </c>
      <c r="N42" s="34">
        <v>2</v>
      </c>
      <c r="P42" s="13" t="s">
        <v>298</v>
      </c>
      <c r="Q42" s="34">
        <v>4000</v>
      </c>
      <c r="R42" s="34">
        <v>1.2</v>
      </c>
      <c r="S42" s="34">
        <v>1.2</v>
      </c>
      <c r="T42" s="34">
        <v>1.2</v>
      </c>
      <c r="U42" s="34">
        <v>1.2</v>
      </c>
      <c r="V42" s="34">
        <v>1.2</v>
      </c>
      <c r="X42" s="13" t="s">
        <v>298</v>
      </c>
      <c r="Y42" s="34">
        <v>2000</v>
      </c>
      <c r="Z42" s="34">
        <v>1.2</v>
      </c>
      <c r="AA42" s="34">
        <v>1.2</v>
      </c>
      <c r="AC42" s="13" t="s">
        <v>298</v>
      </c>
      <c r="AD42" s="34">
        <v>2000</v>
      </c>
      <c r="AE42" s="34">
        <v>1.2</v>
      </c>
      <c r="AF42" s="34">
        <v>1.2</v>
      </c>
      <c r="AH42" s="13" t="s">
        <v>298</v>
      </c>
      <c r="AI42" s="34">
        <v>2000</v>
      </c>
      <c r="AJ42" s="34">
        <v>1.2</v>
      </c>
      <c r="AK42" s="34">
        <v>1.2</v>
      </c>
      <c r="AM42" s="13" t="s">
        <v>298</v>
      </c>
      <c r="AN42" s="34">
        <v>10000</v>
      </c>
      <c r="AO42" s="34">
        <v>1.2</v>
      </c>
      <c r="AP42" s="34">
        <v>1.2</v>
      </c>
      <c r="AQ42" s="34">
        <v>1.2</v>
      </c>
      <c r="AR42" s="34">
        <v>1.2</v>
      </c>
      <c r="AS42" s="34">
        <v>1.2</v>
      </c>
      <c r="AU42" s="52" t="s">
        <v>586</v>
      </c>
      <c r="AV42" s="34">
        <v>0.8</v>
      </c>
      <c r="AW42" s="34">
        <v>0.8</v>
      </c>
      <c r="AX42" s="34">
        <v>1</v>
      </c>
      <c r="AY42" s="34">
        <v>1</v>
      </c>
      <c r="AZ42" s="34">
        <v>0.8</v>
      </c>
    </row>
    <row r="43" spans="2:52" ht="13.5" x14ac:dyDescent="0.25">
      <c r="B43" s="13" t="s">
        <v>299</v>
      </c>
      <c r="C43" s="34">
        <v>30000</v>
      </c>
      <c r="D43" s="34">
        <v>1.4</v>
      </c>
      <c r="E43" s="34">
        <v>1.4</v>
      </c>
      <c r="F43" s="34">
        <v>4</v>
      </c>
      <c r="G43" s="34">
        <v>1.4</v>
      </c>
      <c r="H43" s="34">
        <v>1.4</v>
      </c>
      <c r="I43" s="34">
        <v>1.4</v>
      </c>
      <c r="J43" s="34">
        <v>1.4</v>
      </c>
      <c r="K43" s="34">
        <v>1.4</v>
      </c>
      <c r="L43" s="34">
        <v>1.4</v>
      </c>
      <c r="M43" s="34">
        <v>3</v>
      </c>
      <c r="N43" s="34">
        <v>3</v>
      </c>
      <c r="P43" s="13" t="s">
        <v>299</v>
      </c>
      <c r="Q43" s="34">
        <v>6000</v>
      </c>
      <c r="R43" s="34">
        <v>1.4</v>
      </c>
      <c r="S43" s="34">
        <v>1.4</v>
      </c>
      <c r="T43" s="34">
        <v>1.4</v>
      </c>
      <c r="U43" s="34">
        <v>1.4</v>
      </c>
      <c r="V43" s="34">
        <v>1.4</v>
      </c>
      <c r="X43" s="13" t="s">
        <v>299</v>
      </c>
      <c r="Y43" s="34">
        <v>3000</v>
      </c>
      <c r="Z43" s="34">
        <v>1.4</v>
      </c>
      <c r="AA43" s="34">
        <v>1.4</v>
      </c>
      <c r="AC43" s="13" t="s">
        <v>299</v>
      </c>
      <c r="AD43" s="34">
        <v>3000</v>
      </c>
      <c r="AE43" s="34">
        <v>1.4</v>
      </c>
      <c r="AF43" s="34">
        <v>1.4</v>
      </c>
      <c r="AH43" s="13" t="s">
        <v>299</v>
      </c>
      <c r="AI43" s="34">
        <v>3000</v>
      </c>
      <c r="AJ43" s="34">
        <v>1.4</v>
      </c>
      <c r="AK43" s="34">
        <v>1.4</v>
      </c>
      <c r="AM43" s="13" t="s">
        <v>299</v>
      </c>
      <c r="AN43" s="34">
        <v>15000</v>
      </c>
      <c r="AO43" s="34">
        <v>1.4</v>
      </c>
      <c r="AP43" s="34">
        <v>1.4</v>
      </c>
      <c r="AQ43" s="34">
        <v>1.4</v>
      </c>
      <c r="AR43" s="34">
        <v>1.4</v>
      </c>
      <c r="AS43" s="34">
        <v>1.4</v>
      </c>
      <c r="AU43" s="52" t="s">
        <v>584</v>
      </c>
      <c r="AV43" s="34">
        <v>1.2</v>
      </c>
      <c r="AW43" s="34">
        <v>1.2</v>
      </c>
      <c r="AX43" s="34">
        <v>1</v>
      </c>
      <c r="AY43" s="34">
        <v>1</v>
      </c>
      <c r="AZ43" s="34">
        <v>1.2</v>
      </c>
    </row>
    <row r="44" spans="2:52" x14ac:dyDescent="0.2">
      <c r="B44" s="13" t="s">
        <v>300</v>
      </c>
      <c r="C44" s="34">
        <v>40000</v>
      </c>
      <c r="D44" s="34">
        <v>1.6</v>
      </c>
      <c r="E44" s="34">
        <v>1.6</v>
      </c>
      <c r="F44" s="34">
        <v>5</v>
      </c>
      <c r="G44" s="34">
        <v>1.6</v>
      </c>
      <c r="H44" s="34">
        <v>1.6</v>
      </c>
      <c r="I44" s="34">
        <v>1.6</v>
      </c>
      <c r="J44" s="34">
        <v>1.6</v>
      </c>
      <c r="K44" s="34">
        <v>1.6</v>
      </c>
      <c r="L44" s="34">
        <v>1.6</v>
      </c>
      <c r="M44" s="34">
        <v>4</v>
      </c>
      <c r="N44" s="34">
        <v>4</v>
      </c>
      <c r="P44" s="13" t="s">
        <v>300</v>
      </c>
      <c r="Q44" s="34">
        <v>8000</v>
      </c>
      <c r="R44" s="34">
        <v>1.6</v>
      </c>
      <c r="S44" s="34">
        <v>1.6</v>
      </c>
      <c r="T44" s="34">
        <v>1.6</v>
      </c>
      <c r="U44" s="34">
        <v>1.6</v>
      </c>
      <c r="V44" s="34">
        <v>1.6</v>
      </c>
      <c r="X44" s="13" t="s">
        <v>300</v>
      </c>
      <c r="Y44" s="34">
        <v>4000</v>
      </c>
      <c r="Z44" s="34">
        <v>1.6</v>
      </c>
      <c r="AA44" s="34">
        <v>1.6</v>
      </c>
      <c r="AC44" s="13" t="s">
        <v>300</v>
      </c>
      <c r="AD44" s="34">
        <v>4000</v>
      </c>
      <c r="AE44" s="34">
        <v>1.6</v>
      </c>
      <c r="AF44" s="34">
        <v>1.6</v>
      </c>
      <c r="AH44" s="13" t="s">
        <v>300</v>
      </c>
      <c r="AI44" s="34">
        <v>4000</v>
      </c>
      <c r="AJ44" s="34">
        <v>1.6</v>
      </c>
      <c r="AK44" s="34">
        <v>1.6</v>
      </c>
      <c r="AM44" s="13" t="s">
        <v>300</v>
      </c>
      <c r="AN44" s="34">
        <v>20000</v>
      </c>
      <c r="AO44" s="34">
        <v>1.6</v>
      </c>
      <c r="AP44" s="34">
        <v>1.6</v>
      </c>
      <c r="AQ44" s="34">
        <v>1.6</v>
      </c>
      <c r="AR44" s="34">
        <v>1.6</v>
      </c>
      <c r="AS44" s="34">
        <v>1.6</v>
      </c>
    </row>
    <row r="45" spans="2:52" x14ac:dyDescent="0.2">
      <c r="B45" s="13" t="s">
        <v>301</v>
      </c>
      <c r="C45" s="34">
        <v>50000</v>
      </c>
      <c r="D45" s="34">
        <v>1.8</v>
      </c>
      <c r="E45" s="34">
        <v>1.8</v>
      </c>
      <c r="F45" s="34">
        <v>6</v>
      </c>
      <c r="G45" s="34">
        <v>1.8</v>
      </c>
      <c r="H45" s="34">
        <v>1.8</v>
      </c>
      <c r="I45" s="34">
        <v>1.8</v>
      </c>
      <c r="J45" s="34">
        <v>1.8</v>
      </c>
      <c r="K45" s="34">
        <v>1.8</v>
      </c>
      <c r="L45" s="34">
        <v>1.8</v>
      </c>
      <c r="M45" s="34">
        <v>5</v>
      </c>
      <c r="N45" s="34">
        <v>5</v>
      </c>
      <c r="P45" s="13" t="s">
        <v>301</v>
      </c>
      <c r="Q45" s="34">
        <v>10000</v>
      </c>
      <c r="R45" s="34">
        <v>1.8</v>
      </c>
      <c r="S45" s="34">
        <v>1.8</v>
      </c>
      <c r="T45" s="34">
        <v>1.8</v>
      </c>
      <c r="U45" s="34">
        <v>1.8</v>
      </c>
      <c r="V45" s="34">
        <v>1.8</v>
      </c>
      <c r="X45" s="13" t="s">
        <v>301</v>
      </c>
      <c r="Y45" s="34">
        <v>5000</v>
      </c>
      <c r="Z45" s="34">
        <v>1.8</v>
      </c>
      <c r="AA45" s="34">
        <v>1.8</v>
      </c>
      <c r="AC45" s="13" t="s">
        <v>301</v>
      </c>
      <c r="AD45" s="34">
        <v>5000</v>
      </c>
      <c r="AE45" s="34">
        <v>1.8</v>
      </c>
      <c r="AF45" s="34">
        <v>1.8</v>
      </c>
      <c r="AH45" s="13" t="s">
        <v>301</v>
      </c>
      <c r="AI45" s="34">
        <v>5000</v>
      </c>
      <c r="AJ45" s="34">
        <v>1.8</v>
      </c>
      <c r="AK45" s="34">
        <v>1.8</v>
      </c>
      <c r="AM45" s="13" t="s">
        <v>301</v>
      </c>
      <c r="AN45" s="34">
        <v>25000</v>
      </c>
      <c r="AO45" s="34">
        <v>1.8</v>
      </c>
      <c r="AP45" s="34">
        <v>1.8</v>
      </c>
      <c r="AQ45" s="34">
        <v>1.8</v>
      </c>
      <c r="AR45" s="34">
        <v>1.8</v>
      </c>
      <c r="AS45" s="34">
        <v>1.8</v>
      </c>
    </row>
    <row r="46" spans="2:52" x14ac:dyDescent="0.2">
      <c r="B46" s="13" t="s">
        <v>302</v>
      </c>
      <c r="C46" s="34">
        <v>60000</v>
      </c>
      <c r="D46" s="34">
        <v>2</v>
      </c>
      <c r="E46" s="34">
        <v>2</v>
      </c>
      <c r="F46" s="34">
        <v>7</v>
      </c>
      <c r="G46" s="34">
        <v>2</v>
      </c>
      <c r="H46" s="34">
        <v>2</v>
      </c>
      <c r="I46" s="34">
        <v>2</v>
      </c>
      <c r="J46" s="34">
        <v>2</v>
      </c>
      <c r="K46" s="34">
        <v>2</v>
      </c>
      <c r="L46" s="34">
        <v>2</v>
      </c>
      <c r="M46" s="34">
        <v>6</v>
      </c>
      <c r="N46" s="34">
        <v>6</v>
      </c>
      <c r="P46" s="13" t="s">
        <v>302</v>
      </c>
      <c r="Q46" s="34">
        <v>12000</v>
      </c>
      <c r="R46" s="34">
        <v>2</v>
      </c>
      <c r="S46" s="34">
        <v>2</v>
      </c>
      <c r="T46" s="34">
        <v>2</v>
      </c>
      <c r="U46" s="34">
        <v>2</v>
      </c>
      <c r="V46" s="34">
        <v>2</v>
      </c>
      <c r="X46" s="13" t="s">
        <v>302</v>
      </c>
      <c r="Y46" s="34">
        <v>6000</v>
      </c>
      <c r="Z46" s="34">
        <v>2</v>
      </c>
      <c r="AA46" s="34">
        <v>2</v>
      </c>
      <c r="AC46" s="13" t="s">
        <v>302</v>
      </c>
      <c r="AD46" s="34">
        <v>6000</v>
      </c>
      <c r="AE46" s="34">
        <v>2</v>
      </c>
      <c r="AF46" s="34">
        <v>2</v>
      </c>
      <c r="AH46" s="13" t="s">
        <v>302</v>
      </c>
      <c r="AI46" s="34">
        <v>6000</v>
      </c>
      <c r="AJ46" s="34">
        <v>2</v>
      </c>
      <c r="AK46" s="34">
        <v>2</v>
      </c>
      <c r="AM46" s="13" t="s">
        <v>302</v>
      </c>
      <c r="AN46" s="34">
        <v>30000</v>
      </c>
      <c r="AO46" s="34">
        <v>2</v>
      </c>
      <c r="AP46" s="34">
        <v>2</v>
      </c>
      <c r="AQ46" s="34">
        <v>2</v>
      </c>
      <c r="AR46" s="34">
        <v>2</v>
      </c>
      <c r="AS46" s="34">
        <v>2</v>
      </c>
    </row>
    <row r="47" spans="2:52" x14ac:dyDescent="0.2">
      <c r="B47" s="13" t="s">
        <v>303</v>
      </c>
      <c r="C47" s="34">
        <v>70000</v>
      </c>
      <c r="D47" s="34">
        <v>2.2000000000000002</v>
      </c>
      <c r="E47" s="34">
        <v>2.2000000000000002</v>
      </c>
      <c r="F47" s="34">
        <v>8</v>
      </c>
      <c r="G47" s="34">
        <v>2.2000000000000002</v>
      </c>
      <c r="H47" s="34">
        <v>2.2000000000000002</v>
      </c>
      <c r="I47" s="34">
        <v>2.2000000000000002</v>
      </c>
      <c r="J47" s="34">
        <v>2.2000000000000002</v>
      </c>
      <c r="K47" s="34">
        <v>2.2000000000000002</v>
      </c>
      <c r="L47" s="34">
        <v>2.2000000000000002</v>
      </c>
      <c r="M47" s="34">
        <v>7</v>
      </c>
      <c r="N47" s="34">
        <v>7</v>
      </c>
      <c r="P47" s="13" t="s">
        <v>303</v>
      </c>
      <c r="Q47" s="34">
        <v>14000</v>
      </c>
      <c r="R47" s="34">
        <v>2.2000000000000002</v>
      </c>
      <c r="S47" s="34">
        <v>2.2000000000000002</v>
      </c>
      <c r="T47" s="34">
        <v>2.2000000000000002</v>
      </c>
      <c r="U47" s="34">
        <v>2.2000000000000002</v>
      </c>
      <c r="V47" s="34">
        <v>2.2000000000000002</v>
      </c>
      <c r="X47" s="13" t="s">
        <v>303</v>
      </c>
      <c r="Y47" s="34">
        <v>7000</v>
      </c>
      <c r="Z47" s="34">
        <v>2.2000000000000002</v>
      </c>
      <c r="AA47" s="34">
        <v>2.2000000000000002</v>
      </c>
      <c r="AC47" s="13" t="s">
        <v>303</v>
      </c>
      <c r="AD47" s="34">
        <v>7000</v>
      </c>
      <c r="AE47" s="34">
        <v>2.2000000000000002</v>
      </c>
      <c r="AF47" s="34">
        <v>2.2000000000000002</v>
      </c>
      <c r="AH47" s="13" t="s">
        <v>303</v>
      </c>
      <c r="AI47" s="34">
        <v>7000</v>
      </c>
      <c r="AJ47" s="34">
        <v>2.2000000000000002</v>
      </c>
      <c r="AK47" s="34">
        <v>2.2000000000000002</v>
      </c>
      <c r="AM47" s="13" t="s">
        <v>303</v>
      </c>
      <c r="AN47" s="34">
        <v>35000</v>
      </c>
      <c r="AO47" s="34">
        <v>2.2000000000000002</v>
      </c>
      <c r="AP47" s="34">
        <v>2.2000000000000002</v>
      </c>
      <c r="AQ47" s="34">
        <v>2.2000000000000002</v>
      </c>
      <c r="AR47" s="34">
        <v>2.2000000000000002</v>
      </c>
      <c r="AS47" s="34">
        <v>2.2000000000000002</v>
      </c>
    </row>
    <row r="48" spans="2:52" x14ac:dyDescent="0.2">
      <c r="B48" s="13" t="s">
        <v>304</v>
      </c>
      <c r="C48" s="34">
        <v>80000</v>
      </c>
      <c r="D48" s="34">
        <v>2.4</v>
      </c>
      <c r="E48" s="34">
        <v>2.4</v>
      </c>
      <c r="F48" s="34">
        <v>9</v>
      </c>
      <c r="G48" s="34">
        <v>2.4</v>
      </c>
      <c r="H48" s="34">
        <v>2.4</v>
      </c>
      <c r="I48" s="34">
        <v>2.4</v>
      </c>
      <c r="J48" s="34">
        <v>2.4</v>
      </c>
      <c r="K48" s="34">
        <v>2.4</v>
      </c>
      <c r="L48" s="34">
        <v>2.4</v>
      </c>
      <c r="M48" s="34">
        <v>8</v>
      </c>
      <c r="N48" s="34">
        <v>8</v>
      </c>
      <c r="P48" s="13" t="s">
        <v>304</v>
      </c>
      <c r="Q48" s="34">
        <v>16000</v>
      </c>
      <c r="R48" s="34">
        <v>2.4</v>
      </c>
      <c r="S48" s="34">
        <v>2.4</v>
      </c>
      <c r="T48" s="34">
        <v>2.4</v>
      </c>
      <c r="U48" s="34">
        <v>2.4</v>
      </c>
      <c r="V48" s="34">
        <v>2.4</v>
      </c>
      <c r="X48" s="13" t="s">
        <v>304</v>
      </c>
      <c r="Y48" s="34">
        <v>8000</v>
      </c>
      <c r="Z48" s="34">
        <v>2.4</v>
      </c>
      <c r="AA48" s="34">
        <v>2.4</v>
      </c>
      <c r="AC48" s="13" t="s">
        <v>304</v>
      </c>
      <c r="AD48" s="34">
        <v>8000</v>
      </c>
      <c r="AE48" s="34">
        <v>2.4</v>
      </c>
      <c r="AF48" s="34">
        <v>2.4</v>
      </c>
      <c r="AH48" s="13" t="s">
        <v>304</v>
      </c>
      <c r="AI48" s="34">
        <v>8000</v>
      </c>
      <c r="AJ48" s="34">
        <v>2.4</v>
      </c>
      <c r="AK48" s="34">
        <v>2.4</v>
      </c>
      <c r="AM48" s="13" t="s">
        <v>304</v>
      </c>
      <c r="AN48" s="34">
        <v>40000</v>
      </c>
      <c r="AO48" s="34">
        <v>2.4</v>
      </c>
      <c r="AP48" s="34">
        <v>2.4</v>
      </c>
      <c r="AQ48" s="34">
        <v>2.4</v>
      </c>
      <c r="AR48" s="34">
        <v>2.4</v>
      </c>
      <c r="AS48" s="34">
        <v>2.4</v>
      </c>
    </row>
    <row r="49" spans="2:45" x14ac:dyDescent="0.2">
      <c r="B49" s="13" t="s">
        <v>305</v>
      </c>
      <c r="C49" s="34">
        <v>90000</v>
      </c>
      <c r="D49" s="34">
        <v>2.6</v>
      </c>
      <c r="E49" s="34">
        <v>2.6</v>
      </c>
      <c r="F49" s="34">
        <v>10</v>
      </c>
      <c r="G49" s="34">
        <v>2.6</v>
      </c>
      <c r="H49" s="34">
        <v>2.6</v>
      </c>
      <c r="I49" s="34">
        <v>2.6</v>
      </c>
      <c r="J49" s="34">
        <v>2.6</v>
      </c>
      <c r="K49" s="34">
        <v>2.6</v>
      </c>
      <c r="L49" s="34">
        <v>2.6</v>
      </c>
      <c r="M49" s="34">
        <v>9</v>
      </c>
      <c r="N49" s="34">
        <v>9</v>
      </c>
      <c r="P49" s="13" t="s">
        <v>305</v>
      </c>
      <c r="Q49" s="34">
        <v>18000</v>
      </c>
      <c r="R49" s="34">
        <v>2.6</v>
      </c>
      <c r="S49" s="34">
        <v>2.6</v>
      </c>
      <c r="T49" s="34">
        <v>2.6</v>
      </c>
      <c r="U49" s="34">
        <v>2.6</v>
      </c>
      <c r="V49" s="34">
        <v>2.6</v>
      </c>
      <c r="X49" s="13" t="s">
        <v>305</v>
      </c>
      <c r="Y49" s="34">
        <v>9000</v>
      </c>
      <c r="Z49" s="34">
        <v>2.6</v>
      </c>
      <c r="AA49" s="34">
        <v>2.6</v>
      </c>
      <c r="AC49" s="13" t="s">
        <v>305</v>
      </c>
      <c r="AD49" s="34">
        <v>9000</v>
      </c>
      <c r="AE49" s="34">
        <v>2.6</v>
      </c>
      <c r="AF49" s="34">
        <v>2.6</v>
      </c>
      <c r="AH49" s="13" t="s">
        <v>305</v>
      </c>
      <c r="AI49" s="34">
        <v>9000</v>
      </c>
      <c r="AJ49" s="34">
        <v>2.6</v>
      </c>
      <c r="AK49" s="34">
        <v>2.6</v>
      </c>
      <c r="AM49" s="13" t="s">
        <v>305</v>
      </c>
      <c r="AN49" s="34">
        <v>45000</v>
      </c>
      <c r="AO49" s="34">
        <v>2.6</v>
      </c>
      <c r="AP49" s="34">
        <v>2.6</v>
      </c>
      <c r="AQ49" s="34">
        <v>2.6</v>
      </c>
      <c r="AR49" s="34">
        <v>2.6</v>
      </c>
      <c r="AS49" s="34">
        <v>2.6</v>
      </c>
    </row>
    <row r="50" spans="2:45" x14ac:dyDescent="0.2">
      <c r="B50" s="13" t="s">
        <v>306</v>
      </c>
      <c r="C50" s="34">
        <v>100000</v>
      </c>
      <c r="D50" s="34">
        <v>2.8</v>
      </c>
      <c r="E50" s="34">
        <v>2.8</v>
      </c>
      <c r="F50" s="34">
        <v>11</v>
      </c>
      <c r="G50" s="34">
        <v>2.8</v>
      </c>
      <c r="H50" s="34">
        <v>2.8</v>
      </c>
      <c r="I50" s="34">
        <v>2.8</v>
      </c>
      <c r="J50" s="34">
        <v>2.8</v>
      </c>
      <c r="K50" s="34">
        <v>2.8</v>
      </c>
      <c r="L50" s="34">
        <v>2.8</v>
      </c>
      <c r="M50" s="34">
        <v>10</v>
      </c>
      <c r="N50" s="34">
        <v>10</v>
      </c>
      <c r="P50" s="13" t="s">
        <v>306</v>
      </c>
      <c r="Q50" s="34">
        <v>20000</v>
      </c>
      <c r="R50" s="34">
        <v>2.8</v>
      </c>
      <c r="S50" s="34">
        <v>2.8</v>
      </c>
      <c r="T50" s="34">
        <v>2.8</v>
      </c>
      <c r="U50" s="34">
        <v>2.8</v>
      </c>
      <c r="V50" s="34">
        <v>2.8</v>
      </c>
      <c r="X50" s="13" t="s">
        <v>306</v>
      </c>
      <c r="Y50" s="34">
        <v>10000</v>
      </c>
      <c r="Z50" s="34">
        <v>2.8</v>
      </c>
      <c r="AA50" s="34">
        <v>2.8</v>
      </c>
      <c r="AC50" s="13" t="s">
        <v>306</v>
      </c>
      <c r="AD50" s="34">
        <v>10000</v>
      </c>
      <c r="AE50" s="34">
        <v>2.8</v>
      </c>
      <c r="AF50" s="34">
        <v>2.8</v>
      </c>
      <c r="AH50" s="13" t="s">
        <v>306</v>
      </c>
      <c r="AI50" s="34">
        <v>10000</v>
      </c>
      <c r="AJ50" s="34">
        <v>2.8</v>
      </c>
      <c r="AK50" s="34">
        <v>2.8</v>
      </c>
      <c r="AM50" s="13" t="s">
        <v>306</v>
      </c>
      <c r="AN50" s="34">
        <v>50000</v>
      </c>
      <c r="AO50" s="34">
        <v>2.8</v>
      </c>
      <c r="AP50" s="34">
        <v>2.8</v>
      </c>
      <c r="AQ50" s="34">
        <v>2.8</v>
      </c>
      <c r="AR50" s="34">
        <v>2.8</v>
      </c>
      <c r="AS50" s="34">
        <v>2.8</v>
      </c>
    </row>
    <row r="51" spans="2:45" x14ac:dyDescent="0.2"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Q51" s="34"/>
      <c r="R51" s="34"/>
      <c r="S51" s="34"/>
      <c r="T51" s="34"/>
      <c r="U51" s="34"/>
      <c r="V51" s="34"/>
      <c r="Y51" s="34"/>
      <c r="Z51" s="34"/>
      <c r="AA51" s="34"/>
      <c r="AD51" s="34"/>
      <c r="AE51" s="34"/>
      <c r="AF51" s="34"/>
      <c r="AI51" s="34"/>
      <c r="AJ51" s="34"/>
      <c r="AK51" s="34"/>
      <c r="AN51" s="34"/>
      <c r="AO51" s="34"/>
      <c r="AP51" s="34"/>
      <c r="AQ51" s="34"/>
      <c r="AR51" s="34"/>
      <c r="AS51" s="34"/>
    </row>
    <row r="52" spans="2:45" x14ac:dyDescent="0.2"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Q52" s="34"/>
      <c r="R52" s="34"/>
      <c r="S52" s="34"/>
      <c r="T52" s="34"/>
      <c r="U52" s="34"/>
      <c r="V52" s="34"/>
      <c r="Y52" s="34"/>
      <c r="Z52" s="34"/>
      <c r="AA52" s="34"/>
      <c r="AD52" s="34"/>
      <c r="AE52" s="34"/>
      <c r="AF52" s="34"/>
      <c r="AI52" s="34"/>
      <c r="AJ52" s="34"/>
      <c r="AK52" s="34"/>
      <c r="AN52" s="34"/>
      <c r="AO52" s="34"/>
      <c r="AP52" s="34"/>
      <c r="AQ52" s="34"/>
      <c r="AR52" s="34"/>
      <c r="AS52" s="34"/>
    </row>
    <row r="53" spans="2:45" x14ac:dyDescent="0.2"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Q53" s="34"/>
      <c r="R53" s="34"/>
      <c r="S53" s="34"/>
      <c r="T53" s="34"/>
      <c r="U53" s="34"/>
      <c r="V53" s="34"/>
      <c r="Y53" s="34"/>
      <c r="Z53" s="34"/>
      <c r="AA53" s="34"/>
      <c r="AD53" s="34"/>
      <c r="AE53" s="34"/>
      <c r="AF53" s="34"/>
      <c r="AI53" s="34"/>
      <c r="AJ53" s="34"/>
      <c r="AK53" s="34"/>
      <c r="AN53" s="34"/>
      <c r="AO53" s="34"/>
      <c r="AP53" s="34"/>
      <c r="AQ53" s="34"/>
      <c r="AR53" s="34"/>
      <c r="AS53" s="34"/>
    </row>
    <row r="54" spans="2:45" x14ac:dyDescent="0.2"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Q54" s="34"/>
      <c r="R54" s="34"/>
      <c r="S54" s="34"/>
      <c r="T54" s="34"/>
      <c r="U54" s="34"/>
      <c r="V54" s="34"/>
      <c r="Y54" s="34"/>
      <c r="Z54" s="34"/>
      <c r="AA54" s="34"/>
      <c r="AD54" s="34"/>
      <c r="AE54" s="34"/>
      <c r="AF54" s="34"/>
      <c r="AI54" s="34"/>
      <c r="AJ54" s="34"/>
      <c r="AK54" s="34"/>
      <c r="AN54" s="34"/>
      <c r="AO54" s="34"/>
      <c r="AP54" s="34"/>
      <c r="AQ54" s="34"/>
      <c r="AR54" s="34"/>
      <c r="AS54" s="34"/>
    </row>
    <row r="55" spans="2:45" x14ac:dyDescent="0.2"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Q55" s="34"/>
      <c r="R55" s="34"/>
      <c r="S55" s="34"/>
      <c r="T55" s="34"/>
      <c r="U55" s="34"/>
      <c r="V55" s="34"/>
      <c r="Y55" s="34"/>
      <c r="Z55" s="34"/>
      <c r="AA55" s="34"/>
      <c r="AD55" s="34"/>
      <c r="AE55" s="34"/>
      <c r="AF55" s="34"/>
      <c r="AI55" s="34"/>
      <c r="AJ55" s="34"/>
      <c r="AK55" s="34"/>
      <c r="AN55" s="34"/>
      <c r="AO55" s="34"/>
      <c r="AP55" s="34"/>
      <c r="AQ55" s="34"/>
      <c r="AR55" s="34"/>
      <c r="AS55" s="34"/>
    </row>
    <row r="56" spans="2:45" x14ac:dyDescent="0.2"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Q56" s="34"/>
      <c r="R56" s="34"/>
      <c r="S56" s="34"/>
      <c r="T56" s="34"/>
      <c r="U56" s="34"/>
      <c r="V56" s="34"/>
      <c r="Y56" s="34"/>
      <c r="Z56" s="34"/>
      <c r="AA56" s="34"/>
      <c r="AD56" s="34"/>
      <c r="AE56" s="34"/>
      <c r="AF56" s="34"/>
      <c r="AI56" s="34"/>
      <c r="AJ56" s="34"/>
      <c r="AK56" s="34"/>
      <c r="AN56" s="34"/>
      <c r="AO56" s="34"/>
      <c r="AP56" s="34"/>
      <c r="AQ56" s="34"/>
      <c r="AR56" s="34"/>
      <c r="AS56" s="34"/>
    </row>
    <row r="57" spans="2:45" x14ac:dyDescent="0.2"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Q57" s="34"/>
      <c r="R57" s="34"/>
      <c r="S57" s="34"/>
      <c r="T57" s="34"/>
      <c r="U57" s="34"/>
      <c r="V57" s="34"/>
      <c r="Y57" s="34"/>
      <c r="Z57" s="34"/>
      <c r="AA57" s="34"/>
      <c r="AD57" s="34"/>
      <c r="AE57" s="34"/>
      <c r="AF57" s="34"/>
      <c r="AI57" s="34"/>
      <c r="AJ57" s="34"/>
      <c r="AK57" s="34"/>
      <c r="AN57" s="34"/>
      <c r="AO57" s="34"/>
      <c r="AP57" s="34"/>
      <c r="AQ57" s="34"/>
      <c r="AR57" s="34"/>
      <c r="AS57" s="34"/>
    </row>
    <row r="58" spans="2:45" x14ac:dyDescent="0.2"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Q58" s="34"/>
      <c r="R58" s="34"/>
      <c r="S58" s="34"/>
      <c r="T58" s="34"/>
      <c r="U58" s="34"/>
      <c r="V58" s="34"/>
      <c r="Y58" s="34"/>
      <c r="Z58" s="34"/>
      <c r="AA58" s="34"/>
      <c r="AD58" s="34"/>
      <c r="AE58" s="34"/>
      <c r="AF58" s="34"/>
      <c r="AI58" s="34"/>
      <c r="AJ58" s="34"/>
      <c r="AK58" s="34"/>
      <c r="AN58" s="34"/>
      <c r="AO58" s="34"/>
      <c r="AP58" s="34"/>
      <c r="AQ58" s="34"/>
      <c r="AR58" s="34"/>
      <c r="AS58" s="34"/>
    </row>
    <row r="59" spans="2:45" x14ac:dyDescent="0.2"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Q59" s="34"/>
      <c r="R59" s="34"/>
      <c r="S59" s="34"/>
      <c r="T59" s="34"/>
      <c r="U59" s="34"/>
      <c r="V59" s="34"/>
      <c r="Y59" s="34"/>
      <c r="Z59" s="34"/>
      <c r="AA59" s="34"/>
      <c r="AD59" s="34"/>
      <c r="AE59" s="34"/>
      <c r="AF59" s="34"/>
      <c r="AI59" s="34"/>
      <c r="AJ59" s="34"/>
      <c r="AK59" s="34"/>
      <c r="AN59" s="34"/>
      <c r="AO59" s="34"/>
      <c r="AP59" s="34"/>
      <c r="AQ59" s="34"/>
      <c r="AR59" s="34"/>
      <c r="AS59" s="34"/>
    </row>
    <row r="60" spans="2:45" x14ac:dyDescent="0.2"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Q60" s="34"/>
      <c r="R60" s="34"/>
      <c r="S60" s="34"/>
      <c r="T60" s="34"/>
      <c r="U60" s="34"/>
      <c r="V60" s="34"/>
      <c r="Y60" s="34"/>
      <c r="Z60" s="34"/>
      <c r="AA60" s="34"/>
      <c r="AD60" s="34"/>
      <c r="AE60" s="34"/>
      <c r="AF60" s="34"/>
      <c r="AI60" s="34"/>
      <c r="AJ60" s="34"/>
      <c r="AK60" s="34"/>
      <c r="AN60" s="34"/>
      <c r="AO60" s="34"/>
      <c r="AP60" s="34"/>
      <c r="AQ60" s="34"/>
      <c r="AR60" s="34"/>
      <c r="AS60" s="34"/>
    </row>
    <row r="61" spans="2:45" x14ac:dyDescent="0.2"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Q61" s="34"/>
      <c r="R61" s="34"/>
      <c r="S61" s="34"/>
      <c r="T61" s="34"/>
      <c r="U61" s="34"/>
      <c r="V61" s="34"/>
      <c r="Y61" s="34"/>
      <c r="Z61" s="34"/>
      <c r="AA61" s="34"/>
      <c r="AD61" s="34"/>
      <c r="AE61" s="34"/>
      <c r="AF61" s="34"/>
      <c r="AI61" s="34"/>
      <c r="AJ61" s="34"/>
      <c r="AK61" s="34"/>
      <c r="AN61" s="34"/>
      <c r="AO61" s="34"/>
      <c r="AP61" s="34"/>
      <c r="AQ61" s="34"/>
      <c r="AR61" s="34"/>
      <c r="AS61" s="34"/>
    </row>
    <row r="62" spans="2:45" x14ac:dyDescent="0.2"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Q62" s="34"/>
      <c r="R62" s="34"/>
      <c r="S62" s="34"/>
      <c r="T62" s="34"/>
      <c r="U62" s="34"/>
      <c r="V62" s="34"/>
      <c r="Y62" s="34"/>
      <c r="Z62" s="34"/>
      <c r="AA62" s="34"/>
      <c r="AD62" s="34"/>
      <c r="AE62" s="34"/>
      <c r="AF62" s="34"/>
      <c r="AI62" s="34"/>
      <c r="AJ62" s="34"/>
      <c r="AK62" s="34"/>
      <c r="AN62" s="34"/>
      <c r="AO62" s="34"/>
      <c r="AP62" s="34"/>
      <c r="AQ62" s="34"/>
      <c r="AR62" s="34"/>
      <c r="AS62" s="34"/>
    </row>
    <row r="63" spans="2:45" x14ac:dyDescent="0.2"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Q63" s="34"/>
      <c r="R63" s="34"/>
      <c r="S63" s="34"/>
      <c r="T63" s="34"/>
      <c r="U63" s="34"/>
      <c r="V63" s="34"/>
      <c r="Y63" s="34"/>
      <c r="Z63" s="34"/>
      <c r="AA63" s="34"/>
      <c r="AD63" s="34"/>
      <c r="AE63" s="34"/>
      <c r="AF63" s="34"/>
      <c r="AI63" s="34"/>
      <c r="AJ63" s="34"/>
      <c r="AK63" s="34"/>
      <c r="AN63" s="34"/>
      <c r="AO63" s="34"/>
      <c r="AP63" s="34"/>
      <c r="AQ63" s="34"/>
      <c r="AR63" s="34"/>
      <c r="AS63" s="34"/>
    </row>
    <row r="64" spans="2:45" x14ac:dyDescent="0.2"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Q64" s="34"/>
      <c r="R64" s="34"/>
      <c r="S64" s="34"/>
      <c r="T64" s="34"/>
      <c r="U64" s="34"/>
      <c r="V64" s="34"/>
      <c r="Y64" s="34"/>
      <c r="Z64" s="34"/>
      <c r="AA64" s="34"/>
      <c r="AD64" s="34"/>
      <c r="AE64" s="34"/>
      <c r="AF64" s="34"/>
      <c r="AI64" s="34"/>
      <c r="AJ64" s="34"/>
      <c r="AK64" s="34"/>
      <c r="AN64" s="34"/>
      <c r="AO64" s="34"/>
      <c r="AP64" s="34"/>
      <c r="AQ64" s="34"/>
      <c r="AR64" s="34"/>
      <c r="AS64" s="34"/>
    </row>
    <row r="65" spans="3:45" x14ac:dyDescent="0.2"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Q65" s="34"/>
      <c r="R65" s="34"/>
      <c r="S65" s="34"/>
      <c r="T65" s="34"/>
      <c r="U65" s="34"/>
      <c r="V65" s="34"/>
      <c r="Y65" s="34"/>
      <c r="Z65" s="34"/>
      <c r="AA65" s="34"/>
      <c r="AD65" s="34"/>
      <c r="AE65" s="34"/>
      <c r="AF65" s="34"/>
      <c r="AI65" s="34"/>
      <c r="AJ65" s="34"/>
      <c r="AK65" s="34"/>
      <c r="AN65" s="34"/>
      <c r="AO65" s="34"/>
      <c r="AP65" s="34"/>
      <c r="AQ65" s="34"/>
      <c r="AR65" s="34"/>
      <c r="AS65" s="34"/>
    </row>
    <row r="66" spans="3:45" x14ac:dyDescent="0.2"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Q66" s="34"/>
      <c r="R66" s="34"/>
      <c r="S66" s="34"/>
      <c r="T66" s="34"/>
      <c r="U66" s="34"/>
      <c r="V66" s="34"/>
      <c r="Y66" s="34"/>
      <c r="Z66" s="34"/>
      <c r="AA66" s="34"/>
      <c r="AD66" s="34"/>
      <c r="AE66" s="34"/>
      <c r="AF66" s="34"/>
      <c r="AI66" s="34"/>
      <c r="AJ66" s="34"/>
      <c r="AK66" s="34"/>
      <c r="AN66" s="34"/>
      <c r="AO66" s="34"/>
      <c r="AP66" s="34"/>
      <c r="AQ66" s="34"/>
      <c r="AR66" s="34"/>
      <c r="AS66" s="34"/>
    </row>
    <row r="67" spans="3:45" x14ac:dyDescent="0.2"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Q67" s="34"/>
      <c r="R67" s="34"/>
      <c r="S67" s="34"/>
      <c r="T67" s="34"/>
      <c r="U67" s="34"/>
      <c r="V67" s="34"/>
      <c r="Y67" s="34"/>
      <c r="Z67" s="34"/>
      <c r="AA67" s="34"/>
      <c r="AD67" s="34"/>
      <c r="AE67" s="34"/>
      <c r="AF67" s="34"/>
      <c r="AI67" s="34"/>
      <c r="AJ67" s="34"/>
      <c r="AK67" s="34"/>
      <c r="AN67" s="34"/>
      <c r="AO67" s="34"/>
      <c r="AP67" s="34"/>
      <c r="AQ67" s="34"/>
      <c r="AR67" s="34"/>
      <c r="AS67" s="34"/>
    </row>
    <row r="68" spans="3:45" x14ac:dyDescent="0.2"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Q68" s="34"/>
      <c r="R68" s="34"/>
      <c r="S68" s="34"/>
      <c r="T68" s="34"/>
      <c r="U68" s="34"/>
      <c r="V68" s="34"/>
      <c r="Y68" s="34"/>
      <c r="Z68" s="34"/>
      <c r="AA68" s="34"/>
      <c r="AD68" s="34"/>
      <c r="AE68" s="34"/>
      <c r="AF68" s="34"/>
      <c r="AI68" s="34"/>
      <c r="AJ68" s="34"/>
      <c r="AK68" s="34"/>
      <c r="AN68" s="34"/>
      <c r="AO68" s="34"/>
      <c r="AP68" s="34"/>
      <c r="AQ68" s="34"/>
      <c r="AR68" s="34"/>
      <c r="AS68" s="34"/>
    </row>
    <row r="69" spans="3:45" x14ac:dyDescent="0.2"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Q69" s="34"/>
      <c r="R69" s="34"/>
      <c r="S69" s="34"/>
      <c r="T69" s="34"/>
      <c r="U69" s="34"/>
      <c r="V69" s="34"/>
      <c r="Y69" s="34"/>
      <c r="Z69" s="34"/>
      <c r="AA69" s="34"/>
      <c r="AD69" s="34"/>
      <c r="AE69" s="34"/>
      <c r="AF69" s="34"/>
      <c r="AI69" s="34"/>
      <c r="AJ69" s="34"/>
      <c r="AK69" s="34"/>
      <c r="AN69" s="34"/>
      <c r="AO69" s="34"/>
      <c r="AP69" s="34"/>
      <c r="AQ69" s="34"/>
      <c r="AR69" s="34"/>
      <c r="AS69" s="34"/>
    </row>
    <row r="70" spans="3:45" x14ac:dyDescent="0.2"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Q70" s="34"/>
      <c r="R70" s="34"/>
      <c r="S70" s="34"/>
      <c r="T70" s="34"/>
      <c r="U70" s="34"/>
      <c r="V70" s="34"/>
      <c r="Y70" s="34"/>
      <c r="Z70" s="34"/>
      <c r="AA70" s="34"/>
      <c r="AD70" s="34"/>
      <c r="AE70" s="34"/>
      <c r="AF70" s="34"/>
      <c r="AI70" s="34"/>
      <c r="AJ70" s="34"/>
      <c r="AK70" s="34"/>
      <c r="AN70" s="34"/>
      <c r="AO70" s="34"/>
      <c r="AP70" s="34"/>
      <c r="AQ70" s="34"/>
      <c r="AR70" s="34"/>
      <c r="AS70" s="34"/>
    </row>
    <row r="71" spans="3:45" x14ac:dyDescent="0.2"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Q71" s="34"/>
      <c r="R71" s="34"/>
      <c r="S71" s="34"/>
      <c r="T71" s="34"/>
      <c r="U71" s="34"/>
      <c r="V71" s="34"/>
      <c r="Y71" s="34"/>
      <c r="Z71" s="34"/>
      <c r="AA71" s="34"/>
      <c r="AD71" s="34"/>
      <c r="AE71" s="34"/>
      <c r="AF71" s="34"/>
      <c r="AI71" s="34"/>
      <c r="AJ71" s="34"/>
      <c r="AK71" s="34"/>
      <c r="AN71" s="34"/>
      <c r="AO71" s="34"/>
      <c r="AP71" s="34"/>
      <c r="AQ71" s="34"/>
      <c r="AR71" s="34"/>
      <c r="AS71" s="34"/>
    </row>
    <row r="72" spans="3:45" x14ac:dyDescent="0.2"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Q72" s="34"/>
      <c r="R72" s="34"/>
      <c r="S72" s="34"/>
      <c r="T72" s="34"/>
      <c r="U72" s="34"/>
      <c r="V72" s="34"/>
      <c r="Y72" s="34"/>
      <c r="Z72" s="34"/>
      <c r="AA72" s="34"/>
      <c r="AD72" s="34"/>
      <c r="AE72" s="34"/>
      <c r="AF72" s="34"/>
      <c r="AI72" s="34"/>
      <c r="AJ72" s="34"/>
      <c r="AK72" s="34"/>
      <c r="AN72" s="34"/>
      <c r="AO72" s="34"/>
      <c r="AP72" s="34"/>
      <c r="AQ72" s="34"/>
      <c r="AR72" s="34"/>
      <c r="AS72" s="34"/>
    </row>
    <row r="73" spans="3:45" x14ac:dyDescent="0.2"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Q73" s="34"/>
      <c r="R73" s="34"/>
      <c r="S73" s="34"/>
      <c r="T73" s="34"/>
      <c r="U73" s="34"/>
      <c r="V73" s="34"/>
      <c r="Y73" s="34"/>
      <c r="Z73" s="34"/>
      <c r="AA73" s="34"/>
      <c r="AD73" s="34"/>
      <c r="AE73" s="34"/>
      <c r="AF73" s="34"/>
      <c r="AI73" s="34"/>
      <c r="AJ73" s="34"/>
      <c r="AK73" s="34"/>
      <c r="AN73" s="34"/>
      <c r="AO73" s="34"/>
      <c r="AP73" s="34"/>
      <c r="AQ73" s="34"/>
      <c r="AR73" s="34"/>
      <c r="AS73" s="34"/>
    </row>
    <row r="74" spans="3:45" x14ac:dyDescent="0.2"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Q74" s="34"/>
      <c r="R74" s="34"/>
      <c r="S74" s="34"/>
      <c r="T74" s="34"/>
      <c r="U74" s="34"/>
      <c r="V74" s="34"/>
      <c r="Y74" s="34"/>
      <c r="Z74" s="34"/>
      <c r="AA74" s="34"/>
      <c r="AD74" s="34"/>
      <c r="AE74" s="34"/>
      <c r="AF74" s="34"/>
      <c r="AI74" s="34"/>
      <c r="AJ74" s="34"/>
      <c r="AK74" s="34"/>
      <c r="AN74" s="34"/>
      <c r="AO74" s="34"/>
      <c r="AP74" s="34"/>
      <c r="AQ74" s="34"/>
      <c r="AR74" s="34"/>
      <c r="AS74" s="34"/>
    </row>
    <row r="75" spans="3:45" x14ac:dyDescent="0.2"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Q75" s="34"/>
      <c r="R75" s="34"/>
      <c r="S75" s="34"/>
      <c r="T75" s="34"/>
      <c r="U75" s="34"/>
      <c r="V75" s="34"/>
      <c r="Y75" s="34"/>
      <c r="Z75" s="34"/>
      <c r="AA75" s="34"/>
      <c r="AD75" s="34"/>
      <c r="AE75" s="34"/>
      <c r="AF75" s="34"/>
      <c r="AI75" s="34"/>
      <c r="AJ75" s="34"/>
      <c r="AK75" s="34"/>
      <c r="AN75" s="34"/>
      <c r="AO75" s="34"/>
      <c r="AP75" s="34"/>
      <c r="AQ75" s="34"/>
      <c r="AR75" s="34"/>
      <c r="AS75" s="34"/>
    </row>
    <row r="76" spans="3:45" x14ac:dyDescent="0.2"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Q76" s="34"/>
      <c r="R76" s="34"/>
      <c r="S76" s="34"/>
      <c r="T76" s="34"/>
      <c r="U76" s="34"/>
      <c r="V76" s="34"/>
      <c r="Y76" s="34"/>
      <c r="Z76" s="34"/>
      <c r="AA76" s="34"/>
      <c r="AD76" s="34"/>
      <c r="AE76" s="34"/>
      <c r="AF76" s="34"/>
      <c r="AI76" s="34"/>
      <c r="AJ76" s="34"/>
      <c r="AK76" s="34"/>
      <c r="AN76" s="34"/>
      <c r="AO76" s="34"/>
      <c r="AP76" s="34"/>
      <c r="AQ76" s="34"/>
      <c r="AR76" s="34"/>
      <c r="AS76" s="34"/>
    </row>
    <row r="77" spans="3:45" x14ac:dyDescent="0.2"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Q77" s="34"/>
      <c r="R77" s="34"/>
      <c r="S77" s="34"/>
      <c r="T77" s="34"/>
      <c r="U77" s="34"/>
      <c r="V77" s="34"/>
      <c r="Y77" s="34"/>
      <c r="Z77" s="34"/>
      <c r="AA77" s="34"/>
      <c r="AD77" s="34"/>
      <c r="AE77" s="34"/>
      <c r="AF77" s="34"/>
      <c r="AI77" s="34"/>
      <c r="AJ77" s="34"/>
      <c r="AK77" s="34"/>
      <c r="AN77" s="34"/>
      <c r="AO77" s="34"/>
      <c r="AP77" s="34"/>
      <c r="AQ77" s="34"/>
      <c r="AR77" s="34"/>
      <c r="AS77" s="34"/>
    </row>
    <row r="78" spans="3:45" x14ac:dyDescent="0.2"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Q78" s="34"/>
      <c r="R78" s="34"/>
      <c r="S78" s="34"/>
      <c r="T78" s="34"/>
      <c r="U78" s="34"/>
      <c r="V78" s="34"/>
      <c r="Y78" s="34"/>
      <c r="Z78" s="34"/>
      <c r="AA78" s="34"/>
      <c r="AD78" s="34"/>
      <c r="AE78" s="34"/>
      <c r="AF78" s="34"/>
      <c r="AI78" s="34"/>
      <c r="AJ78" s="34"/>
      <c r="AK78" s="34"/>
      <c r="AN78" s="34"/>
      <c r="AO78" s="34"/>
      <c r="AP78" s="34"/>
      <c r="AQ78" s="34"/>
      <c r="AR78" s="34"/>
      <c r="AS78" s="34"/>
    </row>
    <row r="79" spans="3:45" x14ac:dyDescent="0.2"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Q79" s="34"/>
      <c r="R79" s="34"/>
      <c r="S79" s="34"/>
      <c r="T79" s="34"/>
      <c r="U79" s="34"/>
      <c r="V79" s="34"/>
      <c r="Y79" s="34"/>
      <c r="Z79" s="34"/>
      <c r="AA79" s="34"/>
      <c r="AD79" s="34"/>
      <c r="AE79" s="34"/>
      <c r="AF79" s="34"/>
      <c r="AI79" s="34"/>
      <c r="AJ79" s="34"/>
      <c r="AK79" s="34"/>
      <c r="AN79" s="34"/>
      <c r="AO79" s="34"/>
      <c r="AP79" s="34"/>
      <c r="AQ79" s="34"/>
      <c r="AR79" s="34"/>
      <c r="AS79" s="34"/>
    </row>
    <row r="80" spans="3:45" x14ac:dyDescent="0.2"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Q80" s="34"/>
      <c r="R80" s="34"/>
      <c r="S80" s="34"/>
      <c r="T80" s="34"/>
      <c r="U80" s="34"/>
      <c r="V80" s="34"/>
      <c r="Y80" s="34"/>
      <c r="Z80" s="34"/>
      <c r="AA80" s="34"/>
      <c r="AD80" s="34"/>
      <c r="AE80" s="34"/>
      <c r="AF80" s="34"/>
      <c r="AI80" s="34"/>
      <c r="AJ80" s="34"/>
      <c r="AK80" s="34"/>
      <c r="AN80" s="34"/>
      <c r="AO80" s="34"/>
      <c r="AP80" s="34"/>
      <c r="AQ80" s="34"/>
      <c r="AR80" s="34"/>
      <c r="AS80" s="34"/>
    </row>
    <row r="81" spans="3:45" x14ac:dyDescent="0.2"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Q81" s="34"/>
      <c r="R81" s="34"/>
      <c r="S81" s="34"/>
      <c r="T81" s="34"/>
      <c r="U81" s="34"/>
      <c r="V81" s="34"/>
      <c r="Y81" s="34"/>
      <c r="Z81" s="34"/>
      <c r="AA81" s="34"/>
      <c r="AD81" s="34"/>
      <c r="AE81" s="34"/>
      <c r="AF81" s="34"/>
      <c r="AI81" s="34"/>
      <c r="AJ81" s="34"/>
      <c r="AK81" s="34"/>
      <c r="AN81" s="34"/>
      <c r="AO81" s="34"/>
      <c r="AP81" s="34"/>
      <c r="AQ81" s="34"/>
      <c r="AR81" s="34"/>
      <c r="AS81" s="34"/>
    </row>
    <row r="82" spans="3:45" x14ac:dyDescent="0.2"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Q82" s="34"/>
      <c r="R82" s="34"/>
      <c r="S82" s="34"/>
      <c r="T82" s="34"/>
      <c r="U82" s="34"/>
      <c r="V82" s="34"/>
      <c r="Y82" s="34"/>
      <c r="Z82" s="34"/>
      <c r="AA82" s="34"/>
      <c r="AD82" s="34"/>
      <c r="AE82" s="34"/>
      <c r="AF82" s="34"/>
      <c r="AI82" s="34"/>
      <c r="AJ82" s="34"/>
      <c r="AK82" s="34"/>
      <c r="AN82" s="34"/>
      <c r="AO82" s="34"/>
      <c r="AP82" s="34"/>
      <c r="AQ82" s="34"/>
      <c r="AR82" s="34"/>
      <c r="AS82" s="34"/>
    </row>
    <row r="83" spans="3:45" x14ac:dyDescent="0.2"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Q83" s="34"/>
      <c r="R83" s="34"/>
      <c r="S83" s="34"/>
      <c r="T83" s="34"/>
      <c r="U83" s="34"/>
      <c r="V83" s="34"/>
      <c r="Y83" s="34"/>
      <c r="Z83" s="34"/>
      <c r="AA83" s="34"/>
      <c r="AD83" s="34"/>
      <c r="AE83" s="34"/>
      <c r="AF83" s="34"/>
      <c r="AI83" s="34"/>
      <c r="AJ83" s="34"/>
      <c r="AK83" s="34"/>
      <c r="AN83" s="34"/>
      <c r="AO83" s="34"/>
      <c r="AP83" s="34"/>
      <c r="AQ83" s="34"/>
      <c r="AR83" s="34"/>
      <c r="AS83" s="34"/>
    </row>
    <row r="84" spans="3:45" x14ac:dyDescent="0.2"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Q84" s="34"/>
      <c r="R84" s="34"/>
      <c r="S84" s="34"/>
      <c r="T84" s="34"/>
      <c r="U84" s="34"/>
      <c r="V84" s="34"/>
      <c r="Y84" s="34"/>
      <c r="Z84" s="34"/>
      <c r="AA84" s="34"/>
      <c r="AD84" s="34"/>
      <c r="AE84" s="34"/>
      <c r="AF84" s="34"/>
      <c r="AI84" s="34"/>
      <c r="AJ84" s="34"/>
      <c r="AK84" s="34"/>
      <c r="AN84" s="34"/>
      <c r="AO84" s="34"/>
      <c r="AP84" s="34"/>
      <c r="AQ84" s="34"/>
      <c r="AR84" s="34"/>
      <c r="AS84" s="34"/>
    </row>
    <row r="85" spans="3:45" x14ac:dyDescent="0.2"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Q85" s="34"/>
      <c r="R85" s="34"/>
      <c r="S85" s="34"/>
      <c r="T85" s="34"/>
      <c r="U85" s="34"/>
      <c r="V85" s="34"/>
      <c r="Y85" s="34"/>
      <c r="Z85" s="34"/>
      <c r="AA85" s="34"/>
      <c r="AD85" s="34"/>
      <c r="AE85" s="34"/>
      <c r="AF85" s="34"/>
      <c r="AI85" s="34"/>
      <c r="AJ85" s="34"/>
      <c r="AK85" s="34"/>
      <c r="AN85" s="34"/>
      <c r="AO85" s="34"/>
      <c r="AP85" s="34"/>
      <c r="AQ85" s="34"/>
      <c r="AR85" s="34"/>
      <c r="AS85" s="34"/>
    </row>
    <row r="86" spans="3:45" x14ac:dyDescent="0.2"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Q86" s="34"/>
      <c r="R86" s="34"/>
      <c r="S86" s="34"/>
      <c r="T86" s="34"/>
      <c r="U86" s="34"/>
      <c r="V86" s="34"/>
      <c r="Y86" s="34"/>
      <c r="Z86" s="34"/>
      <c r="AA86" s="34"/>
      <c r="AD86" s="34"/>
      <c r="AE86" s="34"/>
      <c r="AF86" s="34"/>
      <c r="AI86" s="34"/>
      <c r="AJ86" s="34"/>
      <c r="AK86" s="34"/>
      <c r="AN86" s="34"/>
      <c r="AO86" s="34"/>
      <c r="AP86" s="34"/>
      <c r="AQ86" s="34"/>
      <c r="AR86" s="34"/>
      <c r="AS86" s="34"/>
    </row>
    <row r="87" spans="3:45" x14ac:dyDescent="0.2"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Q87" s="34"/>
      <c r="R87" s="34"/>
      <c r="S87" s="34"/>
      <c r="T87" s="34"/>
      <c r="U87" s="34"/>
      <c r="V87" s="34"/>
      <c r="Y87" s="34"/>
      <c r="Z87" s="34"/>
      <c r="AA87" s="34"/>
      <c r="AD87" s="34"/>
      <c r="AE87" s="34"/>
      <c r="AF87" s="34"/>
      <c r="AI87" s="34"/>
      <c r="AJ87" s="34"/>
      <c r="AK87" s="34"/>
      <c r="AN87" s="34"/>
      <c r="AO87" s="34"/>
      <c r="AP87" s="34"/>
      <c r="AQ87" s="34"/>
      <c r="AR87" s="34"/>
      <c r="AS87" s="34"/>
    </row>
  </sheetData>
  <mergeCells count="22">
    <mergeCell ref="AU39:AZ39"/>
    <mergeCell ref="CI2:CL2"/>
    <mergeCell ref="CO2:CT2"/>
    <mergeCell ref="B1:AF1"/>
    <mergeCell ref="BK2:BN2"/>
    <mergeCell ref="BQ2:BT2"/>
    <mergeCell ref="BW2:BZ2"/>
    <mergeCell ref="CC2:CF2"/>
    <mergeCell ref="BB2:BH2"/>
    <mergeCell ref="AN2:AS2"/>
    <mergeCell ref="AU2:AX2"/>
    <mergeCell ref="AN39:AS39"/>
    <mergeCell ref="C2:N2"/>
    <mergeCell ref="C39:N39"/>
    <mergeCell ref="Q39:V39"/>
    <mergeCell ref="Q2:V2"/>
    <mergeCell ref="Y2:AA2"/>
    <mergeCell ref="Y39:AA39"/>
    <mergeCell ref="AD39:AF39"/>
    <mergeCell ref="AD2:AF2"/>
    <mergeCell ref="AI2:AK2"/>
    <mergeCell ref="AI39:AK39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274"/>
  <sheetViews>
    <sheetView zoomScale="75" zoomScaleNormal="75" workbookViewId="0">
      <pane ySplit="4" topLeftCell="A5" activePane="bottomLeft" state="frozen"/>
      <selection pane="bottomLeft" activeCell="I33" sqref="I33"/>
    </sheetView>
  </sheetViews>
  <sheetFormatPr defaultColWidth="12.5703125" defaultRowHeight="15.75" customHeight="1" x14ac:dyDescent="0.2"/>
  <cols>
    <col min="1" max="1" width="31.140625" style="13" customWidth="1"/>
    <col min="2" max="29" width="22.7109375" style="13" customWidth="1"/>
    <col min="30" max="30" width="49.28515625" style="13" customWidth="1"/>
    <col min="31" max="16384" width="12.5703125" style="13"/>
  </cols>
  <sheetData>
    <row r="1" spans="1:30" ht="99.95" customHeight="1" x14ac:dyDescent="0.2">
      <c r="A1" s="67" t="s">
        <v>349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</row>
    <row r="2" spans="1:30" ht="15.75" customHeight="1" x14ac:dyDescent="0.2">
      <c r="A2" s="46" t="s">
        <v>468</v>
      </c>
      <c r="B2" s="46" t="s">
        <v>469</v>
      </c>
      <c r="C2" s="46" t="s">
        <v>470</v>
      </c>
      <c r="D2" s="46" t="s">
        <v>471</v>
      </c>
      <c r="E2" s="46" t="s">
        <v>472</v>
      </c>
      <c r="F2" s="46" t="s">
        <v>473</v>
      </c>
      <c r="G2" s="46" t="s">
        <v>474</v>
      </c>
      <c r="H2" s="46" t="s">
        <v>475</v>
      </c>
      <c r="I2" s="46" t="s">
        <v>476</v>
      </c>
      <c r="J2" s="46" t="s">
        <v>477</v>
      </c>
      <c r="K2" s="46" t="s">
        <v>478</v>
      </c>
      <c r="L2" s="46" t="s">
        <v>479</v>
      </c>
      <c r="M2" s="46" t="s">
        <v>480</v>
      </c>
      <c r="N2" s="46" t="s">
        <v>481</v>
      </c>
      <c r="O2" s="46" t="s">
        <v>482</v>
      </c>
      <c r="P2" s="46" t="s">
        <v>483</v>
      </c>
      <c r="Q2" s="46" t="s">
        <v>484</v>
      </c>
      <c r="R2" s="46" t="s">
        <v>485</v>
      </c>
      <c r="S2" s="46" t="s">
        <v>486</v>
      </c>
      <c r="T2" s="46" t="s">
        <v>487</v>
      </c>
      <c r="U2" s="46" t="s">
        <v>488</v>
      </c>
      <c r="V2" s="46" t="s">
        <v>489</v>
      </c>
      <c r="W2" s="46" t="s">
        <v>490</v>
      </c>
      <c r="X2" s="46" t="s">
        <v>491</v>
      </c>
      <c r="Y2" s="46" t="s">
        <v>492</v>
      </c>
      <c r="Z2" s="46" t="s">
        <v>493</v>
      </c>
      <c r="AA2" s="46" t="s">
        <v>388</v>
      </c>
      <c r="AB2" s="46" t="s">
        <v>494</v>
      </c>
      <c r="AC2" s="46" t="s">
        <v>495</v>
      </c>
      <c r="AD2" s="46" t="s">
        <v>496</v>
      </c>
    </row>
    <row r="3" spans="1:30" ht="12.75" x14ac:dyDescent="0.2">
      <c r="A3" s="22" t="s">
        <v>13</v>
      </c>
      <c r="B3" s="22" t="s">
        <v>13</v>
      </c>
      <c r="C3" s="22" t="s">
        <v>28</v>
      </c>
      <c r="D3" s="42" t="s">
        <v>497</v>
      </c>
      <c r="E3" s="42" t="s">
        <v>497</v>
      </c>
      <c r="F3" s="42" t="s">
        <v>497</v>
      </c>
      <c r="G3" s="47" t="s">
        <v>497</v>
      </c>
      <c r="H3" s="42" t="s">
        <v>498</v>
      </c>
      <c r="I3" s="42" t="s">
        <v>498</v>
      </c>
      <c r="J3" s="42" t="s">
        <v>498</v>
      </c>
      <c r="K3" s="42" t="s">
        <v>498</v>
      </c>
      <c r="L3" s="42" t="s">
        <v>498</v>
      </c>
      <c r="M3" s="42" t="s">
        <v>498</v>
      </c>
      <c r="N3" s="42" t="s">
        <v>498</v>
      </c>
      <c r="O3" s="42" t="s">
        <v>498</v>
      </c>
      <c r="P3" s="42" t="s">
        <v>498</v>
      </c>
      <c r="Q3" s="42" t="s">
        <v>498</v>
      </c>
      <c r="R3" s="42" t="s">
        <v>498</v>
      </c>
      <c r="S3" s="22" t="s">
        <v>20</v>
      </c>
      <c r="T3" s="22" t="s">
        <v>24</v>
      </c>
      <c r="U3" s="22" t="s">
        <v>28</v>
      </c>
      <c r="V3" s="22" t="s">
        <v>24</v>
      </c>
      <c r="W3" s="22" t="s">
        <v>24</v>
      </c>
      <c r="X3" s="22" t="s">
        <v>28</v>
      </c>
      <c r="Y3" s="22" t="s">
        <v>28</v>
      </c>
      <c r="Z3" s="22" t="s">
        <v>28</v>
      </c>
      <c r="AA3" s="22" t="s">
        <v>28</v>
      </c>
      <c r="AB3" s="22" t="s">
        <v>28</v>
      </c>
      <c r="AC3" s="22" t="s">
        <v>28</v>
      </c>
      <c r="AD3" s="22" t="s">
        <v>13</v>
      </c>
    </row>
    <row r="4" spans="1:30" ht="12.75" x14ac:dyDescent="0.2">
      <c r="A4" s="23" t="s">
        <v>11</v>
      </c>
      <c r="B4" s="23" t="s">
        <v>15</v>
      </c>
      <c r="C4" s="23" t="s">
        <v>54</v>
      </c>
      <c r="D4" s="23" t="s">
        <v>191</v>
      </c>
      <c r="E4" s="23" t="s">
        <v>191</v>
      </c>
      <c r="F4" s="23" t="s">
        <v>191</v>
      </c>
      <c r="G4" s="23" t="s">
        <v>191</v>
      </c>
      <c r="H4" s="23" t="s">
        <v>18</v>
      </c>
      <c r="I4" s="23" t="s">
        <v>22</v>
      </c>
      <c r="J4" s="23" t="s">
        <v>26</v>
      </c>
      <c r="K4" s="23" t="s">
        <v>30</v>
      </c>
      <c r="L4" s="23" t="s">
        <v>33</v>
      </c>
      <c r="M4" s="23" t="s">
        <v>36</v>
      </c>
      <c r="N4" s="23" t="s">
        <v>39</v>
      </c>
      <c r="O4" s="23" t="s">
        <v>42</v>
      </c>
      <c r="P4" s="23" t="s">
        <v>45</v>
      </c>
      <c r="Q4" s="23" t="s">
        <v>48</v>
      </c>
      <c r="R4" s="23" t="s">
        <v>167</v>
      </c>
      <c r="S4" s="23" t="s">
        <v>18</v>
      </c>
      <c r="T4" s="23" t="s">
        <v>22</v>
      </c>
      <c r="U4" s="23" t="s">
        <v>26</v>
      </c>
      <c r="V4" s="23" t="s">
        <v>30</v>
      </c>
      <c r="W4" s="23" t="s">
        <v>33</v>
      </c>
      <c r="X4" s="23" t="s">
        <v>36</v>
      </c>
      <c r="Y4" s="23" t="s">
        <v>39</v>
      </c>
      <c r="Z4" s="23" t="s">
        <v>42</v>
      </c>
      <c r="AA4" s="23" t="s">
        <v>45</v>
      </c>
      <c r="AB4" s="23" t="s">
        <v>48</v>
      </c>
      <c r="AC4" s="23" t="s">
        <v>167</v>
      </c>
      <c r="AD4" s="23" t="s">
        <v>57</v>
      </c>
    </row>
    <row r="5" spans="1:30" ht="12.75" x14ac:dyDescent="0.2">
      <c r="A5" s="48" t="str">
        <f>"locomotive_"&amp; VLOOKUP(F5, Factor!$BK$4:$BL$6, 2, 0) &amp;"_"&amp;Locomotive!D5&amp;"_"&amp;VLOOKUP(E5, Factor!$BM$4:$BN$36, 2, 0)</f>
        <v>locomotive_St_T1_001</v>
      </c>
      <c r="B5" s="41" t="str">
        <f>D5&amp;" "&amp;G5&amp;"기관차"</f>
        <v>T1 표준 증기기관차</v>
      </c>
      <c r="C5" s="41">
        <f>VLOOKUP(D5, Factor!$B$41:$C$50, 2, 0)</f>
        <v>10000</v>
      </c>
      <c r="D5" s="41" t="s">
        <v>297</v>
      </c>
      <c r="E5" s="41" t="s">
        <v>499</v>
      </c>
      <c r="F5" s="41" t="s">
        <v>500</v>
      </c>
      <c r="G5" s="41" t="str">
        <f>E5&amp;" "&amp;F5</f>
        <v>표준 증기</v>
      </c>
      <c r="H5" s="41">
        <v>1</v>
      </c>
      <c r="I5" s="41">
        <v>1</v>
      </c>
      <c r="J5" s="41">
        <v>1</v>
      </c>
      <c r="K5" s="41">
        <v>1</v>
      </c>
      <c r="L5" s="41">
        <v>1</v>
      </c>
      <c r="M5" s="41">
        <v>1</v>
      </c>
      <c r="N5" s="41">
        <v>1</v>
      </c>
      <c r="O5" s="41">
        <v>1</v>
      </c>
      <c r="P5" s="41">
        <v>1</v>
      </c>
      <c r="Q5" s="41">
        <v>1</v>
      </c>
      <c r="R5" s="41">
        <v>1</v>
      </c>
      <c r="S5" s="41" cm="1">
        <f t="array" ref="S5">H5*VLOOKUP($G5, Factor!$C$4:$N$36, 2, 0)*INDEX(Factor!$C$41:$N$87, _xlfn.XMATCH($C5, Factor!$C$41:$C$87, -1), 2)</f>
        <v>100</v>
      </c>
      <c r="T5" s="41" cm="1">
        <f t="array" ref="T5">I5*VLOOKUP($G5, Factor!$C$4:$N$36, 3, 0)*INDEX(Factor!$C$41:$N$87, _xlfn.XMATCH($C5, Factor!$C$41:$C$87, -1), 3)</f>
        <v>1000</v>
      </c>
      <c r="U5" s="41" cm="1">
        <f t="array" ref="U5">J5*VLOOKUP($G5, Factor!$C$4:$N$36, 4, 0)*INDEX(Factor!$C$41:$N$87, _xlfn.XMATCH($C5, Factor!$C$41:$C$87, -1), 4)</f>
        <v>2</v>
      </c>
      <c r="V5" s="41" cm="1">
        <f t="array" ref="V5">K5*VLOOKUP($G5, Factor!$C$4:$N$36, 5, 0)*INDEX(Factor!$C$41:$N$87, _xlfn.XMATCH($C5, Factor!$C$41:$C$87, -1), 5)</f>
        <v>4</v>
      </c>
      <c r="W5" s="41" cm="1">
        <f t="array" ref="W5">L5*VLOOKUP($G5, Factor!$C$4:$N$36, 6, 0)*INDEX(Factor!$C$41:$N$87, _xlfn.XMATCH($C5, Factor!$C$41:$C$87, -1), 6)</f>
        <v>10</v>
      </c>
      <c r="X5" s="41" cm="1">
        <f t="array" ref="X5">M5*VLOOKUP($G5, Factor!$C$4:$N$36, 7, 0)*INDEX(Factor!$C$41:$N$87, _xlfn.XMATCH($C5, Factor!$C$41:$C$87, -1), 7)</f>
        <v>10000</v>
      </c>
      <c r="Y5" s="41" cm="1">
        <f t="array" ref="Y5">N5*VLOOKUP($G5, Factor!$C$4:$N$36, 8, 0)*INDEX(Factor!$C$41:$N$87, _xlfn.XMATCH($C5, Factor!$C$41:$C$87, -1), 8)</f>
        <v>1000</v>
      </c>
      <c r="Z5" s="41" cm="1">
        <f t="array" ref="Z5">O5*VLOOKUP($G5, Factor!$C$4:$N$36, 9, 0)*INDEX(Factor!$C$41:$N$87, _xlfn.XMATCH($C5, Factor!$C$41:$C$87, -1), 9)</f>
        <v>30</v>
      </c>
      <c r="AA5" s="41" cm="1">
        <f t="array" ref="AA5">P5*VLOOKUP($G5, Factor!$C$4:$N$36, 10, 0)*INDEX(Factor!$C$41:$N$87, _xlfn.XMATCH($C5, Factor!$C$41:$C$87, -1), 10)</f>
        <v>1000</v>
      </c>
      <c r="AB5" s="41" cm="1">
        <f t="array" ref="AB5">Q5*VLOOKUP($G5, Factor!$C$4:$N$36, 11, 0)*INDEX(Factor!$C$41:$N$87, _xlfn.XMATCH($C5, Factor!$C$41:$C$87, -1), 11)</f>
        <v>1</v>
      </c>
      <c r="AC5" s="41" cm="1">
        <f t="array" ref="AC5">R5*VLOOKUP($G5, Factor!$C$4:$N$36, 12, 0)*INDEX(Factor!$C$41:$N$87, _xlfn.XMATCH($C5, Factor!$C$41:$C$87, -1), 12)</f>
        <v>1</v>
      </c>
      <c r="AD5" s="49"/>
    </row>
    <row r="6" spans="1:30" ht="15.75" customHeight="1" x14ac:dyDescent="0.2">
      <c r="A6" s="17" t="str">
        <f>"locomotive_"&amp; VLOOKUP(F6, Factor!$BK$4:$BL$6, 2, 0) &amp;"_"&amp;Locomotive!D6&amp;"_"&amp;VLOOKUP(E6, Factor!$BM$4:$BN$36, 2, 0)</f>
        <v>locomotive_El_T1_001</v>
      </c>
      <c r="B6" s="18" t="str">
        <f t="shared" ref="B6:B64" si="0">D6&amp;" "&amp;G6&amp;"기관차"</f>
        <v>T1 표준 전기기관차</v>
      </c>
      <c r="C6" s="18">
        <f>VLOOKUP(D6, Factor!$B$41:$C$50, 2, 0)</f>
        <v>10000</v>
      </c>
      <c r="D6" s="18" t="s">
        <v>297</v>
      </c>
      <c r="E6" s="18" t="s">
        <v>501</v>
      </c>
      <c r="F6" s="18" t="s">
        <v>502</v>
      </c>
      <c r="G6" s="18" t="str">
        <f t="shared" ref="G6:G64" si="1">E6&amp;" "&amp;F6</f>
        <v>표준 전기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>
        <v>1</v>
      </c>
      <c r="P6" s="18">
        <v>1</v>
      </c>
      <c r="Q6" s="18">
        <v>1</v>
      </c>
      <c r="R6" s="18">
        <v>1</v>
      </c>
      <c r="S6" s="18" cm="1">
        <f t="array" ref="S6">H6*VLOOKUP($G6, Factor!$C$4:$N$36, 2, 0)*INDEX(Factor!$C$41:$N$87, _xlfn.XMATCH($C6, Factor!$C$41:$C$87, -1), 2)</f>
        <v>200</v>
      </c>
      <c r="T6" s="18" cm="1">
        <f t="array" ref="T6">I6*VLOOKUP($G6, Factor!$C$4:$N$36, 3, 0)*INDEX(Factor!$C$41:$N$87, _xlfn.XMATCH($C6, Factor!$C$41:$C$87, -1), 3)</f>
        <v>800</v>
      </c>
      <c r="U6" s="18" cm="1">
        <f t="array" ref="U6">J6*VLOOKUP($G6, Factor!$C$4:$N$36, 4, 0)*INDEX(Factor!$C$41:$N$87, _xlfn.XMATCH($C6, Factor!$C$41:$C$87, -1), 4)</f>
        <v>2</v>
      </c>
      <c r="V6" s="18" cm="1">
        <f t="array" ref="V6">K6*VLOOKUP($G6, Factor!$C$4:$N$36, 5, 0)*INDEX(Factor!$C$41:$N$87, _xlfn.XMATCH($C6, Factor!$C$41:$C$87, -1), 5)</f>
        <v>8</v>
      </c>
      <c r="W6" s="18" cm="1">
        <f t="array" ref="W6">L6*VLOOKUP($G6, Factor!$C$4:$N$36, 6, 0)*INDEX(Factor!$C$41:$N$87, _xlfn.XMATCH($C6, Factor!$C$41:$C$87, -1), 6)</f>
        <v>10</v>
      </c>
      <c r="X6" s="18" cm="1">
        <f t="array" ref="X6">M6*VLOOKUP($G6, Factor!$C$4:$N$36, 7, 0)*INDEX(Factor!$C$41:$N$87, _xlfn.XMATCH($C6, Factor!$C$41:$C$87, -1), 7)</f>
        <v>7000</v>
      </c>
      <c r="Y6" s="18" cm="1">
        <f t="array" ref="Y6">N6*VLOOKUP($G6, Factor!$C$4:$N$36, 8, 0)*INDEX(Factor!$C$41:$N$87, _xlfn.XMATCH($C6, Factor!$C$41:$C$87, -1), 8)</f>
        <v>700</v>
      </c>
      <c r="Z6" s="18" cm="1">
        <f t="array" ref="Z6">O6*VLOOKUP($G6, Factor!$C$4:$N$36, 9, 0)*INDEX(Factor!$C$41:$N$87, _xlfn.XMATCH($C6, Factor!$C$41:$C$87, -1), 9)</f>
        <v>5</v>
      </c>
      <c r="AA6" s="18" cm="1">
        <f t="array" ref="AA6">P6*VLOOKUP($G6, Factor!$C$4:$N$36, 10, 0)*INDEX(Factor!$C$41:$N$87, _xlfn.XMATCH($C6, Factor!$C$41:$C$87, -1), 10)</f>
        <v>700</v>
      </c>
      <c r="AB6" s="18" cm="1">
        <f t="array" ref="AB6">Q6*VLOOKUP($G6, Factor!$C$4:$N$36, 11, 0)*INDEX(Factor!$C$41:$N$87, _xlfn.XMATCH($C6, Factor!$C$41:$C$87, -1), 11)</f>
        <v>1</v>
      </c>
      <c r="AC6" s="18" cm="1">
        <f t="array" ref="AC6">R6*VLOOKUP($G6, Factor!$C$4:$N$36, 12, 0)*INDEX(Factor!$C$41:$N$87, _xlfn.XMATCH($C6, Factor!$C$41:$C$87, -1), 12)</f>
        <v>1</v>
      </c>
      <c r="AD6" s="19"/>
    </row>
    <row r="7" spans="1:30" ht="15.75" customHeight="1" x14ac:dyDescent="0.2">
      <c r="A7" s="14" t="str">
        <f>"locomotive_"&amp; VLOOKUP(F7, Factor!$BK$4:$BL$6, 2, 0) &amp;"_"&amp;Locomotive!D7&amp;"_"&amp;VLOOKUP(E7, Factor!$BM$4:$BN$36, 2, 0)</f>
        <v>locomotive_Dz_T1_001</v>
      </c>
      <c r="B7" s="15" t="str">
        <f t="shared" si="0"/>
        <v>T1 표준 디젤기관차</v>
      </c>
      <c r="C7" s="15">
        <f>VLOOKUP(D7, Factor!$B$41:$C$50, 2, 0)</f>
        <v>10000</v>
      </c>
      <c r="D7" s="15" t="s">
        <v>297</v>
      </c>
      <c r="E7" s="15" t="s">
        <v>501</v>
      </c>
      <c r="F7" s="15" t="s">
        <v>503</v>
      </c>
      <c r="G7" s="15" t="str">
        <f t="shared" si="1"/>
        <v>표준 디젤</v>
      </c>
      <c r="H7" s="41">
        <v>1</v>
      </c>
      <c r="I7" s="41">
        <v>1</v>
      </c>
      <c r="J7" s="41">
        <v>1</v>
      </c>
      <c r="K7" s="41">
        <v>1</v>
      </c>
      <c r="L7" s="41">
        <v>1</v>
      </c>
      <c r="M7" s="41">
        <v>1</v>
      </c>
      <c r="N7" s="41">
        <v>1</v>
      </c>
      <c r="O7" s="41">
        <v>1</v>
      </c>
      <c r="P7" s="41">
        <v>1</v>
      </c>
      <c r="Q7" s="41">
        <v>1</v>
      </c>
      <c r="R7" s="41">
        <v>1</v>
      </c>
      <c r="S7" s="15" cm="1">
        <f t="array" ref="S7">H7*VLOOKUP($G7, Factor!$C$4:$N$36, 2, 0)*INDEX(Factor!$C$41:$N$87, _xlfn.XMATCH($C7, Factor!$C$41:$C$87, -1), 2)</f>
        <v>150</v>
      </c>
      <c r="T7" s="15" cm="1">
        <f t="array" ref="T7">I7*VLOOKUP($G7, Factor!$C$4:$N$36, 3, 0)*INDEX(Factor!$C$41:$N$87, _xlfn.XMATCH($C7, Factor!$C$41:$C$87, -1), 3)</f>
        <v>1200</v>
      </c>
      <c r="U7" s="15" cm="1">
        <f t="array" ref="U7">J7*VLOOKUP($G7, Factor!$C$4:$N$36, 4, 0)*INDEX(Factor!$C$41:$N$87, _xlfn.XMATCH($C7, Factor!$C$41:$C$87, -1), 4)</f>
        <v>2</v>
      </c>
      <c r="V7" s="15" cm="1">
        <f t="array" ref="V7">K7*VLOOKUP($G7, Factor!$C$4:$N$36, 5, 0)*INDEX(Factor!$C$41:$N$87, _xlfn.XMATCH($C7, Factor!$C$41:$C$87, -1), 5)</f>
        <v>6</v>
      </c>
      <c r="W7" s="15" cm="1">
        <f t="array" ref="W7">L7*VLOOKUP($G7, Factor!$C$4:$N$36, 6, 0)*INDEX(Factor!$C$41:$N$87, _xlfn.XMATCH($C7, Factor!$C$41:$C$87, -1), 6)</f>
        <v>10</v>
      </c>
      <c r="X7" s="15" cm="1">
        <f t="array" ref="X7">M7*VLOOKUP($G7, Factor!$C$4:$N$36, 7, 0)*INDEX(Factor!$C$41:$N$87, _xlfn.XMATCH($C7, Factor!$C$41:$C$87, -1), 7)</f>
        <v>15000</v>
      </c>
      <c r="Y7" s="15" cm="1">
        <f t="array" ref="Y7">N7*VLOOKUP($G7, Factor!$C$4:$N$36, 8, 0)*INDEX(Factor!$C$41:$N$87, _xlfn.XMATCH($C7, Factor!$C$41:$C$87, -1), 8)</f>
        <v>800</v>
      </c>
      <c r="Z7" s="15" cm="1">
        <f t="array" ref="Z7">O7*VLOOKUP($G7, Factor!$C$4:$N$36, 9, 0)*INDEX(Factor!$C$41:$N$87, _xlfn.XMATCH($C7, Factor!$C$41:$C$87, -1), 9)</f>
        <v>10</v>
      </c>
      <c r="AA7" s="15" cm="1">
        <f t="array" ref="AA7">P7*VLOOKUP($G7, Factor!$C$4:$N$36, 10, 0)*INDEX(Factor!$C$41:$N$87, _xlfn.XMATCH($C7, Factor!$C$41:$C$87, -1), 10)</f>
        <v>800</v>
      </c>
      <c r="AB7" s="15" cm="1">
        <f t="array" ref="AB7">Q7*VLOOKUP($G7, Factor!$C$4:$N$36, 11, 0)*INDEX(Factor!$C$41:$N$87, _xlfn.XMATCH($C7, Factor!$C$41:$C$87, -1), 11)</f>
        <v>1</v>
      </c>
      <c r="AC7" s="15" cm="1">
        <f t="array" ref="AC7">R7*VLOOKUP($G7, Factor!$C$4:$N$36, 12, 0)*INDEX(Factor!$C$41:$N$87, _xlfn.XMATCH($C7, Factor!$C$41:$C$87, -1), 12)</f>
        <v>1</v>
      </c>
      <c r="AD7" s="16"/>
    </row>
    <row r="8" spans="1:30" ht="15.75" customHeight="1" x14ac:dyDescent="0.2">
      <c r="A8" s="17" t="str">
        <f>"locomotive_"&amp; VLOOKUP(F8, Factor!$BK$4:$BL$6, 2, 0) &amp;"_"&amp;Locomotive!D8&amp;"_"&amp;VLOOKUP(E8, Factor!$BM$4:$BN$36, 2, 0)</f>
        <v>locomotive_St_T1_002</v>
      </c>
      <c r="B8" s="18" t="str">
        <f t="shared" si="0"/>
        <v>T1 쾌속 증기기관차</v>
      </c>
      <c r="C8" s="18">
        <f>VLOOKUP(D8, Factor!$B$41:$C$50, 2, 0)</f>
        <v>10000</v>
      </c>
      <c r="D8" s="18" t="s">
        <v>297</v>
      </c>
      <c r="E8" s="18" t="s">
        <v>504</v>
      </c>
      <c r="F8" s="18" t="s">
        <v>505</v>
      </c>
      <c r="G8" s="18" t="str">
        <f t="shared" si="1"/>
        <v>쾌속 증기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>
        <v>1</v>
      </c>
      <c r="P8" s="18">
        <v>1</v>
      </c>
      <c r="Q8" s="18">
        <v>1</v>
      </c>
      <c r="R8" s="18">
        <v>1</v>
      </c>
      <c r="S8" s="18" cm="1">
        <f t="array" ref="S8">H8*VLOOKUP($G8, Factor!$C$4:$N$36, 2, 0)*INDEX(Factor!$C$41:$N$87, _xlfn.XMATCH($C8, Factor!$C$41:$C$87, -1), 2)</f>
        <v>110</v>
      </c>
      <c r="T8" s="18" cm="1">
        <f t="array" ref="T8">I8*VLOOKUP($G8, Factor!$C$4:$N$36, 3, 0)*INDEX(Factor!$C$41:$N$87, _xlfn.XMATCH($C8, Factor!$C$41:$C$87, -1), 3)</f>
        <v>900</v>
      </c>
      <c r="U8" s="18" cm="1">
        <f t="array" ref="U8">J8*VLOOKUP($G8, Factor!$C$4:$N$36, 4, 0)*INDEX(Factor!$C$41:$N$87, _xlfn.XMATCH($C8, Factor!$C$41:$C$87, -1), 4)</f>
        <v>2</v>
      </c>
      <c r="V8" s="18" cm="1">
        <f t="array" ref="V8">K8*VLOOKUP($G8, Factor!$C$4:$N$36, 5, 0)*INDEX(Factor!$C$41:$N$87, _xlfn.XMATCH($C8, Factor!$C$41:$C$87, -1), 5)</f>
        <v>6</v>
      </c>
      <c r="W8" s="18" cm="1">
        <f t="array" ref="W8">L8*VLOOKUP($G8, Factor!$C$4:$N$36, 6, 0)*INDEX(Factor!$C$41:$N$87, _xlfn.XMATCH($C8, Factor!$C$41:$C$87, -1), 6)</f>
        <v>10</v>
      </c>
      <c r="X8" s="18" cm="1">
        <f t="array" ref="X8">M8*VLOOKUP($G8, Factor!$C$4:$N$36, 7, 0)*INDEX(Factor!$C$41:$N$87, _xlfn.XMATCH($C8, Factor!$C$41:$C$87, -1), 7)</f>
        <v>10000</v>
      </c>
      <c r="Y8" s="18" cm="1">
        <f t="array" ref="Y8">N8*VLOOKUP($G8, Factor!$C$4:$N$36, 8, 0)*INDEX(Factor!$C$41:$N$87, _xlfn.XMATCH($C8, Factor!$C$41:$C$87, -1), 8)</f>
        <v>800</v>
      </c>
      <c r="Z8" s="18" cm="1">
        <f t="array" ref="Z8">O8*VLOOKUP($G8, Factor!$C$4:$N$36, 9, 0)*INDEX(Factor!$C$41:$N$87, _xlfn.XMATCH($C8, Factor!$C$41:$C$87, -1), 9)</f>
        <v>20</v>
      </c>
      <c r="AA8" s="18" cm="1">
        <f t="array" ref="AA8">P8*VLOOKUP($G8, Factor!$C$4:$N$36, 10, 0)*INDEX(Factor!$C$41:$N$87, _xlfn.XMATCH($C8, Factor!$C$41:$C$87, -1), 10)</f>
        <v>800</v>
      </c>
      <c r="AB8" s="18" cm="1">
        <f t="array" ref="AB8">Q8*VLOOKUP($G8, Factor!$C$4:$N$36, 11, 0)*INDEX(Factor!$C$41:$N$87, _xlfn.XMATCH($C8, Factor!$C$41:$C$87, -1), 11)</f>
        <v>1</v>
      </c>
      <c r="AC8" s="18" cm="1">
        <f t="array" ref="AC8">R8*VLOOKUP($G8, Factor!$C$4:$N$36, 12, 0)*INDEX(Factor!$C$41:$N$87, _xlfn.XMATCH($C8, Factor!$C$41:$C$87, -1), 12)</f>
        <v>1</v>
      </c>
      <c r="AD8" s="19"/>
    </row>
    <row r="9" spans="1:30" ht="15.75" customHeight="1" x14ac:dyDescent="0.2">
      <c r="A9" s="14" t="str">
        <f>"locomotive_"&amp; VLOOKUP(F9, Factor!$BK$4:$BL$6, 2, 0) &amp;"_"&amp;Locomotive!D9&amp;"_"&amp;VLOOKUP(E9, Factor!$BM$4:$BN$36, 2, 0)</f>
        <v>locomotive_El_T1_002</v>
      </c>
      <c r="B9" s="15" t="str">
        <f t="shared" si="0"/>
        <v>T1 쾌속 전기기관차</v>
      </c>
      <c r="C9" s="15">
        <f>VLOOKUP(D9, Factor!$B$41:$C$50, 2, 0)</f>
        <v>10000</v>
      </c>
      <c r="D9" s="15" t="s">
        <v>297</v>
      </c>
      <c r="E9" s="15" t="s">
        <v>504</v>
      </c>
      <c r="F9" s="15" t="s">
        <v>502</v>
      </c>
      <c r="G9" s="15" t="str">
        <f t="shared" si="1"/>
        <v>쾌속 전기</v>
      </c>
      <c r="H9" s="41">
        <v>1</v>
      </c>
      <c r="I9" s="41">
        <v>1</v>
      </c>
      <c r="J9" s="41">
        <v>1</v>
      </c>
      <c r="K9" s="41">
        <v>1</v>
      </c>
      <c r="L9" s="41">
        <v>1</v>
      </c>
      <c r="M9" s="41">
        <v>1</v>
      </c>
      <c r="N9" s="41">
        <v>1</v>
      </c>
      <c r="O9" s="41">
        <v>1</v>
      </c>
      <c r="P9" s="41">
        <v>1</v>
      </c>
      <c r="Q9" s="41">
        <v>1</v>
      </c>
      <c r="R9" s="41">
        <v>1</v>
      </c>
      <c r="S9" s="15" cm="1">
        <f t="array" ref="S9">H9*VLOOKUP($G9, Factor!$C$4:$N$36, 2, 0)*INDEX(Factor!$C$41:$N$87, _xlfn.XMATCH($C9, Factor!$C$41:$C$87, -1), 2)</f>
        <v>220</v>
      </c>
      <c r="T9" s="15" cm="1">
        <f t="array" ref="T9">I9*VLOOKUP($G9, Factor!$C$4:$N$36, 3, 0)*INDEX(Factor!$C$41:$N$87, _xlfn.XMATCH($C9, Factor!$C$41:$C$87, -1), 3)</f>
        <v>700</v>
      </c>
      <c r="U9" s="15" cm="1">
        <f t="array" ref="U9">J9*VLOOKUP($G9, Factor!$C$4:$N$36, 4, 0)*INDEX(Factor!$C$41:$N$87, _xlfn.XMATCH($C9, Factor!$C$41:$C$87, -1), 4)</f>
        <v>2</v>
      </c>
      <c r="V9" s="15" cm="1">
        <f t="array" ref="V9">K9*VLOOKUP($G9, Factor!$C$4:$N$36, 5, 0)*INDEX(Factor!$C$41:$N$87, _xlfn.XMATCH($C9, Factor!$C$41:$C$87, -1), 5)</f>
        <v>10</v>
      </c>
      <c r="W9" s="15" cm="1">
        <f t="array" ref="W9">L9*VLOOKUP($G9, Factor!$C$4:$N$36, 6, 0)*INDEX(Factor!$C$41:$N$87, _xlfn.XMATCH($C9, Factor!$C$41:$C$87, -1), 6)</f>
        <v>10</v>
      </c>
      <c r="X9" s="15" cm="1">
        <f t="array" ref="X9">M9*VLOOKUP($G9, Factor!$C$4:$N$36, 7, 0)*INDEX(Factor!$C$41:$N$87, _xlfn.XMATCH($C9, Factor!$C$41:$C$87, -1), 7)</f>
        <v>7000</v>
      </c>
      <c r="Y9" s="15" cm="1">
        <f t="array" ref="Y9">N9*VLOOKUP($G9, Factor!$C$4:$N$36, 8, 0)*INDEX(Factor!$C$41:$N$87, _xlfn.XMATCH($C9, Factor!$C$41:$C$87, -1), 8)</f>
        <v>500</v>
      </c>
      <c r="Z9" s="15" cm="1">
        <f t="array" ref="Z9">O9*VLOOKUP($G9, Factor!$C$4:$N$36, 9, 0)*INDEX(Factor!$C$41:$N$87, _xlfn.XMATCH($C9, Factor!$C$41:$C$87, -1), 9)</f>
        <v>3</v>
      </c>
      <c r="AA9" s="15" cm="1">
        <f t="array" ref="AA9">P9*VLOOKUP($G9, Factor!$C$4:$N$36, 10, 0)*INDEX(Factor!$C$41:$N$87, _xlfn.XMATCH($C9, Factor!$C$41:$C$87, -1), 10)</f>
        <v>500</v>
      </c>
      <c r="AB9" s="15" cm="1">
        <f t="array" ref="AB9">Q9*VLOOKUP($G9, Factor!$C$4:$N$36, 11, 0)*INDEX(Factor!$C$41:$N$87, _xlfn.XMATCH($C9, Factor!$C$41:$C$87, -1), 11)</f>
        <v>1</v>
      </c>
      <c r="AC9" s="15" cm="1">
        <f t="array" ref="AC9">R9*VLOOKUP($G9, Factor!$C$4:$N$36, 12, 0)*INDEX(Factor!$C$41:$N$87, _xlfn.XMATCH($C9, Factor!$C$41:$C$87, -1), 12)</f>
        <v>1</v>
      </c>
      <c r="AD9" s="16"/>
    </row>
    <row r="10" spans="1:30" ht="15.75" customHeight="1" x14ac:dyDescent="0.2">
      <c r="A10" s="17" t="str">
        <f>"locomotive_"&amp; VLOOKUP(F10, Factor!$BK$4:$BL$6, 2, 0) &amp;"_"&amp;Locomotive!D10&amp;"_"&amp;VLOOKUP(E10, Factor!$BM$4:$BN$36, 2, 0)</f>
        <v>locomotive_Dz_T1_002</v>
      </c>
      <c r="B10" s="18" t="str">
        <f t="shared" si="0"/>
        <v>T1 쾌속 디젤기관차</v>
      </c>
      <c r="C10" s="18">
        <f>VLOOKUP(D10, Factor!$B$41:$C$50, 2, 0)</f>
        <v>10000</v>
      </c>
      <c r="D10" s="18" t="s">
        <v>297</v>
      </c>
      <c r="E10" s="18" t="s">
        <v>504</v>
      </c>
      <c r="F10" s="18" t="s">
        <v>503</v>
      </c>
      <c r="G10" s="18" t="str">
        <f t="shared" si="1"/>
        <v>쾌속 디젤</v>
      </c>
      <c r="H10" s="18">
        <v>1</v>
      </c>
      <c r="I10" s="18">
        <v>1</v>
      </c>
      <c r="J10" s="18">
        <v>1</v>
      </c>
      <c r="K10" s="18">
        <v>1</v>
      </c>
      <c r="L10" s="18">
        <v>1</v>
      </c>
      <c r="M10" s="18">
        <v>1</v>
      </c>
      <c r="N10" s="18">
        <v>1</v>
      </c>
      <c r="O10" s="18">
        <v>1</v>
      </c>
      <c r="P10" s="18">
        <v>1</v>
      </c>
      <c r="Q10" s="18">
        <v>1</v>
      </c>
      <c r="R10" s="18">
        <v>1</v>
      </c>
      <c r="S10" s="18" cm="1">
        <f t="array" ref="S10">H10*VLOOKUP($G10, Factor!$C$4:$N$36, 2, 0)*INDEX(Factor!$C$41:$N$87, _xlfn.XMATCH($C10, Factor!$C$41:$C$87, -1), 2)</f>
        <v>165</v>
      </c>
      <c r="T10" s="18" cm="1">
        <f t="array" ref="T10">I10*VLOOKUP($G10, Factor!$C$4:$N$36, 3, 0)*INDEX(Factor!$C$41:$N$87, _xlfn.XMATCH($C10, Factor!$C$41:$C$87, -1), 3)</f>
        <v>1000</v>
      </c>
      <c r="U10" s="18" cm="1">
        <f t="array" ref="U10">J10*VLOOKUP($G10, Factor!$C$4:$N$36, 4, 0)*INDEX(Factor!$C$41:$N$87, _xlfn.XMATCH($C10, Factor!$C$41:$C$87, -1), 4)</f>
        <v>2</v>
      </c>
      <c r="V10" s="18" cm="1">
        <f t="array" ref="V10">K10*VLOOKUP($G10, Factor!$C$4:$N$36, 5, 0)*INDEX(Factor!$C$41:$N$87, _xlfn.XMATCH($C10, Factor!$C$41:$C$87, -1), 5)</f>
        <v>8</v>
      </c>
      <c r="W10" s="18" cm="1">
        <f t="array" ref="W10">L10*VLOOKUP($G10, Factor!$C$4:$N$36, 6, 0)*INDEX(Factor!$C$41:$N$87, _xlfn.XMATCH($C10, Factor!$C$41:$C$87, -1), 6)</f>
        <v>10</v>
      </c>
      <c r="X10" s="18" cm="1">
        <f t="array" ref="X10">M10*VLOOKUP($G10, Factor!$C$4:$N$36, 7, 0)*INDEX(Factor!$C$41:$N$87, _xlfn.XMATCH($C10, Factor!$C$41:$C$87, -1), 7)</f>
        <v>15000</v>
      </c>
      <c r="Y10" s="18" cm="1">
        <f t="array" ref="Y10">N10*VLOOKUP($G10, Factor!$C$4:$N$36, 8, 0)*INDEX(Factor!$C$41:$N$87, _xlfn.XMATCH($C10, Factor!$C$41:$C$87, -1), 8)</f>
        <v>650</v>
      </c>
      <c r="Z10" s="18" cm="1">
        <f t="array" ref="Z10">O10*VLOOKUP($G10, Factor!$C$4:$N$36, 9, 0)*INDEX(Factor!$C$41:$N$87, _xlfn.XMATCH($C10, Factor!$C$41:$C$87, -1), 9)</f>
        <v>5</v>
      </c>
      <c r="AA10" s="18" cm="1">
        <f t="array" ref="AA10">P10*VLOOKUP($G10, Factor!$C$4:$N$36, 10, 0)*INDEX(Factor!$C$41:$N$87, _xlfn.XMATCH($C10, Factor!$C$41:$C$87, -1), 10)</f>
        <v>650</v>
      </c>
      <c r="AB10" s="18" cm="1">
        <f t="array" ref="AB10">Q10*VLOOKUP($G10, Factor!$C$4:$N$36, 11, 0)*INDEX(Factor!$C$41:$N$87, _xlfn.XMATCH($C10, Factor!$C$41:$C$87, -1), 11)</f>
        <v>1</v>
      </c>
      <c r="AC10" s="18" cm="1">
        <f t="array" ref="AC10">R10*VLOOKUP($G10, Factor!$C$4:$N$36, 12, 0)*INDEX(Factor!$C$41:$N$87, _xlfn.XMATCH($C10, Factor!$C$41:$C$87, -1), 12)</f>
        <v>1</v>
      </c>
      <c r="AD10" s="19"/>
    </row>
    <row r="11" spans="1:30" ht="15.75" customHeight="1" x14ac:dyDescent="0.2">
      <c r="A11" s="48" t="str">
        <f>"locomotive_"&amp; VLOOKUP(F11, Factor!$BK$4:$BL$6, 2, 0) &amp;"_"&amp;Locomotive!D11&amp;"_"&amp;VLOOKUP(E11, Factor!$BM$4:$BN$36, 2, 0)</f>
        <v>locomotive_St_T1_003</v>
      </c>
      <c r="B11" s="15" t="str">
        <f t="shared" si="0"/>
        <v>T1 중갑 증기기관차</v>
      </c>
      <c r="C11" s="15">
        <f>VLOOKUP(D11, Factor!$B$41:$C$50, 2, 0)</f>
        <v>10000</v>
      </c>
      <c r="D11" s="15" t="s">
        <v>297</v>
      </c>
      <c r="E11" s="41" t="s">
        <v>506</v>
      </c>
      <c r="F11" s="41" t="s">
        <v>505</v>
      </c>
      <c r="G11" s="41" t="str">
        <f t="shared" si="1"/>
        <v>중갑 증기</v>
      </c>
      <c r="H11" s="41">
        <v>1</v>
      </c>
      <c r="I11" s="41">
        <v>1</v>
      </c>
      <c r="J11" s="41">
        <v>1</v>
      </c>
      <c r="K11" s="41">
        <v>1</v>
      </c>
      <c r="L11" s="41">
        <v>1</v>
      </c>
      <c r="M11" s="41">
        <v>1</v>
      </c>
      <c r="N11" s="41">
        <v>1</v>
      </c>
      <c r="O11" s="41">
        <v>1</v>
      </c>
      <c r="P11" s="41">
        <v>1</v>
      </c>
      <c r="Q11" s="41">
        <v>1</v>
      </c>
      <c r="R11" s="41">
        <v>1</v>
      </c>
      <c r="S11" s="15" cm="1">
        <f t="array" ref="S11">H11*VLOOKUP($G11, Factor!$C$4:$N$36, 2, 0)*INDEX(Factor!$C$41:$N$87, _xlfn.XMATCH($C11, Factor!$C$41:$C$87, -1), 2)</f>
        <v>90</v>
      </c>
      <c r="T11" s="15" cm="1">
        <f t="array" ref="T11">I11*VLOOKUP($G11, Factor!$C$4:$N$36, 3, 0)*INDEX(Factor!$C$41:$N$87, _xlfn.XMATCH($C11, Factor!$C$41:$C$87, -1), 3)</f>
        <v>1200</v>
      </c>
      <c r="U11" s="15" cm="1">
        <f t="array" ref="U11">J11*VLOOKUP($G11, Factor!$C$4:$N$36, 4, 0)*INDEX(Factor!$C$41:$N$87, _xlfn.XMATCH($C11, Factor!$C$41:$C$87, -1), 4)</f>
        <v>2</v>
      </c>
      <c r="V11" s="15" cm="1">
        <f t="array" ref="V11">K11*VLOOKUP($G11, Factor!$C$4:$N$36, 5, 0)*INDEX(Factor!$C$41:$N$87, _xlfn.XMATCH($C11, Factor!$C$41:$C$87, -1), 5)</f>
        <v>4</v>
      </c>
      <c r="W11" s="15" cm="1">
        <f t="array" ref="W11">L11*VLOOKUP($G11, Factor!$C$4:$N$36, 6, 0)*INDEX(Factor!$C$41:$N$87, _xlfn.XMATCH($C11, Factor!$C$41:$C$87, -1), 6)</f>
        <v>10</v>
      </c>
      <c r="X11" s="15" cm="1">
        <f t="array" ref="X11">M11*VLOOKUP($G11, Factor!$C$4:$N$36, 7, 0)*INDEX(Factor!$C$41:$N$87, _xlfn.XMATCH($C11, Factor!$C$41:$C$87, -1), 7)</f>
        <v>8000</v>
      </c>
      <c r="Y11" s="15" cm="1">
        <f t="array" ref="Y11">N11*VLOOKUP($G11, Factor!$C$4:$N$36, 8, 0)*INDEX(Factor!$C$41:$N$87, _xlfn.XMATCH($C11, Factor!$C$41:$C$87, -1), 8)</f>
        <v>1500</v>
      </c>
      <c r="Z11" s="15" cm="1">
        <f t="array" ref="Z11">O11*VLOOKUP($G11, Factor!$C$4:$N$36, 9, 0)*INDEX(Factor!$C$41:$N$87, _xlfn.XMATCH($C11, Factor!$C$41:$C$87, -1), 9)</f>
        <v>50</v>
      </c>
      <c r="AA11" s="15" cm="1">
        <f t="array" ref="AA11">P11*VLOOKUP($G11, Factor!$C$4:$N$36, 10, 0)*INDEX(Factor!$C$41:$N$87, _xlfn.XMATCH($C11, Factor!$C$41:$C$87, -1), 10)</f>
        <v>1500</v>
      </c>
      <c r="AB11" s="15" cm="1">
        <f t="array" ref="AB11">Q11*VLOOKUP($G11, Factor!$C$4:$N$36, 11, 0)*INDEX(Factor!$C$41:$N$87, _xlfn.XMATCH($C11, Factor!$C$41:$C$87, -1), 11)</f>
        <v>1</v>
      </c>
      <c r="AC11" s="15" cm="1">
        <f t="array" ref="AC11">R11*VLOOKUP($G11, Factor!$C$4:$N$36, 12, 0)*INDEX(Factor!$C$41:$N$87, _xlfn.XMATCH($C11, Factor!$C$41:$C$87, -1), 12)</f>
        <v>1</v>
      </c>
      <c r="AD11" s="16"/>
    </row>
    <row r="12" spans="1:30" ht="15.75" customHeight="1" x14ac:dyDescent="0.2">
      <c r="A12" s="17" t="str">
        <f>"locomotive_"&amp; VLOOKUP(F12, Factor!$BK$4:$BL$6, 2, 0) &amp;"_"&amp;Locomotive!D12&amp;"_"&amp;VLOOKUP(E12, Factor!$BM$4:$BN$36, 2, 0)</f>
        <v>locomotive_El_T1_003</v>
      </c>
      <c r="B12" s="18" t="str">
        <f t="shared" si="0"/>
        <v>T1 중갑 전기기관차</v>
      </c>
      <c r="C12" s="18">
        <f>VLOOKUP(D12, Factor!$B$41:$C$50, 2, 0)</f>
        <v>10000</v>
      </c>
      <c r="D12" s="18" t="s">
        <v>297</v>
      </c>
      <c r="E12" s="18" t="s">
        <v>506</v>
      </c>
      <c r="F12" s="18" t="s">
        <v>502</v>
      </c>
      <c r="G12" s="18" t="str">
        <f t="shared" si="1"/>
        <v>중갑 전기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 cm="1">
        <f t="array" ref="S12">H12*VLOOKUP($G12, Factor!$C$4:$N$36, 2, 0)*INDEX(Factor!$C$41:$N$87, _xlfn.XMATCH($C12, Factor!$C$41:$C$87, -1), 2)</f>
        <v>170</v>
      </c>
      <c r="T12" s="18" cm="1">
        <f t="array" ref="T12">I12*VLOOKUP($G12, Factor!$C$4:$N$36, 3, 0)*INDEX(Factor!$C$41:$N$87, _xlfn.XMATCH($C12, Factor!$C$41:$C$87, -1), 3)</f>
        <v>100</v>
      </c>
      <c r="U12" s="18" cm="1">
        <f t="array" ref="U12">J12*VLOOKUP($G12, Factor!$C$4:$N$36, 4, 0)*INDEX(Factor!$C$41:$N$87, _xlfn.XMATCH($C12, Factor!$C$41:$C$87, -1), 4)</f>
        <v>2</v>
      </c>
      <c r="V12" s="18" cm="1">
        <f t="array" ref="V12">K12*VLOOKUP($G12, Factor!$C$4:$N$36, 5, 0)*INDEX(Factor!$C$41:$N$87, _xlfn.XMATCH($C12, Factor!$C$41:$C$87, -1), 5)</f>
        <v>8</v>
      </c>
      <c r="W12" s="18" cm="1">
        <f t="array" ref="W12">L12*VLOOKUP($G12, Factor!$C$4:$N$36, 6, 0)*INDEX(Factor!$C$41:$N$87, _xlfn.XMATCH($C12, Factor!$C$41:$C$87, -1), 6)</f>
        <v>10</v>
      </c>
      <c r="X12" s="18" cm="1">
        <f t="array" ref="X12">M12*VLOOKUP($G12, Factor!$C$4:$N$36, 7, 0)*INDEX(Factor!$C$41:$N$87, _xlfn.XMATCH($C12, Factor!$C$41:$C$87, -1), 7)</f>
        <v>5000</v>
      </c>
      <c r="Y12" s="18" cm="1">
        <f t="array" ref="Y12">N12*VLOOKUP($G12, Factor!$C$4:$N$36, 8, 0)*INDEX(Factor!$C$41:$N$87, _xlfn.XMATCH($C12, Factor!$C$41:$C$87, -1), 8)</f>
        <v>1000</v>
      </c>
      <c r="Z12" s="18" cm="1">
        <f t="array" ref="Z12">O12*VLOOKUP($G12, Factor!$C$4:$N$36, 9, 0)*INDEX(Factor!$C$41:$N$87, _xlfn.XMATCH($C12, Factor!$C$41:$C$87, -1), 9)</f>
        <v>15</v>
      </c>
      <c r="AA12" s="18" cm="1">
        <f t="array" ref="AA12">P12*VLOOKUP($G12, Factor!$C$4:$N$36, 10, 0)*INDEX(Factor!$C$41:$N$87, _xlfn.XMATCH($C12, Factor!$C$41:$C$87, -1), 10)</f>
        <v>1000</v>
      </c>
      <c r="AB12" s="18" cm="1">
        <f t="array" ref="AB12">Q12*VLOOKUP($G12, Factor!$C$4:$N$36, 11, 0)*INDEX(Factor!$C$41:$N$87, _xlfn.XMATCH($C12, Factor!$C$41:$C$87, -1), 11)</f>
        <v>1</v>
      </c>
      <c r="AC12" s="18" cm="1">
        <f t="array" ref="AC12">R12*VLOOKUP($G12, Factor!$C$4:$N$36, 12, 0)*INDEX(Factor!$C$41:$N$87, _xlfn.XMATCH($C12, Factor!$C$41:$C$87, -1), 12)</f>
        <v>1</v>
      </c>
      <c r="AD12" s="19"/>
    </row>
    <row r="13" spans="1:30" ht="15.75" customHeight="1" x14ac:dyDescent="0.2">
      <c r="A13" s="14" t="str">
        <f>"locomotive_"&amp; VLOOKUP(F13, Factor!$BK$4:$BL$6, 2, 0) &amp;"_"&amp;Locomotive!D13&amp;"_"&amp;VLOOKUP(E13, Factor!$BM$4:$BN$36, 2, 0)</f>
        <v>locomotive_Dz_T1_003</v>
      </c>
      <c r="B13" s="15" t="str">
        <f t="shared" si="0"/>
        <v>T1 중갑 디젤기관차</v>
      </c>
      <c r="C13" s="15">
        <f>VLOOKUP(D13, Factor!$B$41:$C$50, 2, 0)</f>
        <v>10000</v>
      </c>
      <c r="D13" s="15" t="s">
        <v>297</v>
      </c>
      <c r="E13" s="15" t="s">
        <v>506</v>
      </c>
      <c r="F13" s="15" t="s">
        <v>503</v>
      </c>
      <c r="G13" s="15" t="str">
        <f t="shared" si="1"/>
        <v>중갑 디젤</v>
      </c>
      <c r="H13" s="41">
        <v>1</v>
      </c>
      <c r="I13" s="41">
        <v>1</v>
      </c>
      <c r="J13" s="41">
        <v>1</v>
      </c>
      <c r="K13" s="41">
        <v>1</v>
      </c>
      <c r="L13" s="41">
        <v>1</v>
      </c>
      <c r="M13" s="41">
        <v>1</v>
      </c>
      <c r="N13" s="41">
        <v>1</v>
      </c>
      <c r="O13" s="41">
        <v>1</v>
      </c>
      <c r="P13" s="41">
        <v>1</v>
      </c>
      <c r="Q13" s="41">
        <v>1</v>
      </c>
      <c r="R13" s="41">
        <v>1</v>
      </c>
      <c r="S13" s="15" cm="1">
        <f t="array" ref="S13">H13*VLOOKUP($G13, Factor!$C$4:$N$36, 2, 0)*INDEX(Factor!$C$41:$N$87, _xlfn.XMATCH($C13, Factor!$C$41:$C$87, -1), 2)</f>
        <v>110</v>
      </c>
      <c r="T13" s="15" cm="1">
        <f t="array" ref="T13">I13*VLOOKUP($G13, Factor!$C$4:$N$36, 3, 0)*INDEX(Factor!$C$41:$N$87, _xlfn.XMATCH($C13, Factor!$C$41:$C$87, -1), 3)</f>
        <v>1500</v>
      </c>
      <c r="U13" s="15" cm="1">
        <f t="array" ref="U13">J13*VLOOKUP($G13, Factor!$C$4:$N$36, 4, 0)*INDEX(Factor!$C$41:$N$87, _xlfn.XMATCH($C13, Factor!$C$41:$C$87, -1), 4)</f>
        <v>2</v>
      </c>
      <c r="V13" s="15" cm="1">
        <f t="array" ref="V13">K13*VLOOKUP($G13, Factor!$C$4:$N$36, 5, 0)*INDEX(Factor!$C$41:$N$87, _xlfn.XMATCH($C13, Factor!$C$41:$C$87, -1), 5)</f>
        <v>6</v>
      </c>
      <c r="W13" s="15" cm="1">
        <f t="array" ref="W13">L13*VLOOKUP($G13, Factor!$C$4:$N$36, 6, 0)*INDEX(Factor!$C$41:$N$87, _xlfn.XMATCH($C13, Factor!$C$41:$C$87, -1), 6)</f>
        <v>10</v>
      </c>
      <c r="X13" s="15" cm="1">
        <f t="array" ref="X13">M13*VLOOKUP($G13, Factor!$C$4:$N$36, 7, 0)*INDEX(Factor!$C$41:$N$87, _xlfn.XMATCH($C13, Factor!$C$41:$C$87, -1), 7)</f>
        <v>12000</v>
      </c>
      <c r="Y13" s="15" cm="1">
        <f t="array" ref="Y13">N13*VLOOKUP($G13, Factor!$C$4:$N$36, 8, 0)*INDEX(Factor!$C$41:$N$87, _xlfn.XMATCH($C13, Factor!$C$41:$C$87, -1), 8)</f>
        <v>1300</v>
      </c>
      <c r="Z13" s="15" cm="1">
        <f t="array" ref="Z13">O13*VLOOKUP($G13, Factor!$C$4:$N$36, 9, 0)*INDEX(Factor!$C$41:$N$87, _xlfn.XMATCH($C13, Factor!$C$41:$C$87, -1), 9)</f>
        <v>30</v>
      </c>
      <c r="AA13" s="15" cm="1">
        <f t="array" ref="AA13">P13*VLOOKUP($G13, Factor!$C$4:$N$36, 10, 0)*INDEX(Factor!$C$41:$N$87, _xlfn.XMATCH($C13, Factor!$C$41:$C$87, -1), 10)</f>
        <v>1300</v>
      </c>
      <c r="AB13" s="15" cm="1">
        <f t="array" ref="AB13">Q13*VLOOKUP($G13, Factor!$C$4:$N$36, 11, 0)*INDEX(Factor!$C$41:$N$87, _xlfn.XMATCH($C13, Factor!$C$41:$C$87, -1), 11)</f>
        <v>1</v>
      </c>
      <c r="AC13" s="15" cm="1">
        <f t="array" ref="AC13">R13*VLOOKUP($G13, Factor!$C$4:$N$36, 12, 0)*INDEX(Factor!$C$41:$N$87, _xlfn.XMATCH($C13, Factor!$C$41:$C$87, -1), 12)</f>
        <v>1</v>
      </c>
      <c r="AD13" s="16"/>
    </row>
    <row r="14" spans="1:30" ht="15.75" customHeight="1" x14ac:dyDescent="0.2">
      <c r="A14" s="17" t="str">
        <f>"locomotive_"&amp; VLOOKUP(F14, Factor!$BK$4:$BL$6, 2, 0) &amp;"_"&amp;Locomotive!D14&amp;"_"&amp;VLOOKUP(E14, Factor!$BM$4:$BN$36, 2, 0)</f>
        <v>locomotive_St_T1_004</v>
      </c>
      <c r="B14" s="18" t="str">
        <f t="shared" si="0"/>
        <v>T1 화물 증기기관차</v>
      </c>
      <c r="C14" s="18">
        <f>VLOOKUP(D14, Factor!$B$41:$C$50, 2, 0)</f>
        <v>10000</v>
      </c>
      <c r="D14" s="18" t="s">
        <v>297</v>
      </c>
      <c r="E14" s="18" t="s">
        <v>507</v>
      </c>
      <c r="F14" s="18" t="s">
        <v>505</v>
      </c>
      <c r="G14" s="18" t="str">
        <f t="shared" si="1"/>
        <v>화물 증기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>
        <v>1</v>
      </c>
      <c r="P14" s="18">
        <v>1</v>
      </c>
      <c r="Q14" s="18">
        <v>1</v>
      </c>
      <c r="R14" s="18">
        <v>1</v>
      </c>
      <c r="S14" s="18" cm="1">
        <f t="array" ref="S14">H14*VLOOKUP($G14, Factor!$C$4:$N$36, 2, 0)*INDEX(Factor!$C$41:$N$87, _xlfn.XMATCH($C14, Factor!$C$41:$C$87, -1), 2)</f>
        <v>90</v>
      </c>
      <c r="T14" s="18" cm="1">
        <f t="array" ref="T14">I14*VLOOKUP($G14, Factor!$C$4:$N$36, 3, 0)*INDEX(Factor!$C$41:$N$87, _xlfn.XMATCH($C14, Factor!$C$41:$C$87, -1), 3)</f>
        <v>1000</v>
      </c>
      <c r="U14" s="18" cm="1">
        <f t="array" ref="U14">J14*VLOOKUP($G14, Factor!$C$4:$N$36, 4, 0)*INDEX(Factor!$C$41:$N$87, _xlfn.XMATCH($C14, Factor!$C$41:$C$87, -1), 4)</f>
        <v>2</v>
      </c>
      <c r="V14" s="18" cm="1">
        <f t="array" ref="V14">K14*VLOOKUP($G14, Factor!$C$4:$N$36, 5, 0)*INDEX(Factor!$C$41:$N$87, _xlfn.XMATCH($C14, Factor!$C$41:$C$87, -1), 5)</f>
        <v>4</v>
      </c>
      <c r="W14" s="18" cm="1">
        <f t="array" ref="W14">L14*VLOOKUP($G14, Factor!$C$4:$N$36, 6, 0)*INDEX(Factor!$C$41:$N$87, _xlfn.XMATCH($C14, Factor!$C$41:$C$87, -1), 6)</f>
        <v>10</v>
      </c>
      <c r="X14" s="18" cm="1">
        <f t="array" ref="X14">M14*VLOOKUP($G14, Factor!$C$4:$N$36, 7, 0)*INDEX(Factor!$C$41:$N$87, _xlfn.XMATCH($C14, Factor!$C$41:$C$87, -1), 7)</f>
        <v>10000</v>
      </c>
      <c r="Y14" s="18" cm="1">
        <f t="array" ref="Y14">N14*VLOOKUP($G14, Factor!$C$4:$N$36, 8, 0)*INDEX(Factor!$C$41:$N$87, _xlfn.XMATCH($C14, Factor!$C$41:$C$87, -1), 8)</f>
        <v>1000</v>
      </c>
      <c r="Z14" s="18" cm="1">
        <f t="array" ref="Z14">O14*VLOOKUP($G14, Factor!$C$4:$N$36, 9, 0)*INDEX(Factor!$C$41:$N$87, _xlfn.XMATCH($C14, Factor!$C$41:$C$87, -1), 9)</f>
        <v>30</v>
      </c>
      <c r="AA14" s="18" cm="1">
        <f t="array" ref="AA14">P14*VLOOKUP($G14, Factor!$C$4:$N$36, 10, 0)*INDEX(Factor!$C$41:$N$87, _xlfn.XMATCH($C14, Factor!$C$41:$C$87, -1), 10)</f>
        <v>1000</v>
      </c>
      <c r="AB14" s="18" cm="1">
        <f t="array" ref="AB14">Q14*VLOOKUP($G14, Factor!$C$4:$N$36, 11, 0)*INDEX(Factor!$C$41:$N$87, _xlfn.XMATCH($C14, Factor!$C$41:$C$87, -1), 11)</f>
        <v>3</v>
      </c>
      <c r="AC14" s="18" cm="1">
        <f t="array" ref="AC14">R14*VLOOKUP($G14, Factor!$C$4:$N$36, 12, 0)*INDEX(Factor!$C$41:$N$87, _xlfn.XMATCH($C14, Factor!$C$41:$C$87, -1), 12)</f>
        <v>1</v>
      </c>
      <c r="AD14" s="19"/>
    </row>
    <row r="15" spans="1:30" ht="15.75" customHeight="1" x14ac:dyDescent="0.2">
      <c r="A15" s="14" t="str">
        <f>"locomotive_"&amp; VLOOKUP(F15, Factor!$BK$4:$BL$6, 2, 0) &amp;"_"&amp;Locomotive!D15&amp;"_"&amp;VLOOKUP(E15, Factor!$BM$4:$BN$36, 2, 0)</f>
        <v>locomotive_El_T1_004</v>
      </c>
      <c r="B15" s="15" t="str">
        <f t="shared" si="0"/>
        <v>T1 화물 전기기관차</v>
      </c>
      <c r="C15" s="15">
        <f>VLOOKUP(D15, Factor!$B$41:$C$50, 2, 0)</f>
        <v>10000</v>
      </c>
      <c r="D15" s="15" t="s">
        <v>297</v>
      </c>
      <c r="E15" s="15" t="s">
        <v>507</v>
      </c>
      <c r="F15" s="15" t="s">
        <v>502</v>
      </c>
      <c r="G15" s="15" t="str">
        <f t="shared" si="1"/>
        <v>화물 전기</v>
      </c>
      <c r="H15" s="41">
        <v>1</v>
      </c>
      <c r="I15" s="41">
        <v>1</v>
      </c>
      <c r="J15" s="41">
        <v>1</v>
      </c>
      <c r="K15" s="41">
        <v>1</v>
      </c>
      <c r="L15" s="41">
        <v>1</v>
      </c>
      <c r="M15" s="41">
        <v>1</v>
      </c>
      <c r="N15" s="41">
        <v>1</v>
      </c>
      <c r="O15" s="41">
        <v>1</v>
      </c>
      <c r="P15" s="41">
        <v>1</v>
      </c>
      <c r="Q15" s="41">
        <v>1</v>
      </c>
      <c r="R15" s="41">
        <v>1</v>
      </c>
      <c r="S15" s="15" cm="1">
        <f t="array" ref="S15">H15*VLOOKUP($G15, Factor!$C$4:$N$36, 2, 0)*INDEX(Factor!$C$41:$N$87, _xlfn.XMATCH($C15, Factor!$C$41:$C$87, -1), 2)</f>
        <v>180</v>
      </c>
      <c r="T15" s="15" cm="1">
        <f t="array" ref="T15">I15*VLOOKUP($G15, Factor!$C$4:$N$36, 3, 0)*INDEX(Factor!$C$41:$N$87, _xlfn.XMATCH($C15, Factor!$C$41:$C$87, -1), 3)</f>
        <v>800</v>
      </c>
      <c r="U15" s="15" cm="1">
        <f t="array" ref="U15">J15*VLOOKUP($G15, Factor!$C$4:$N$36, 4, 0)*INDEX(Factor!$C$41:$N$87, _xlfn.XMATCH($C15, Factor!$C$41:$C$87, -1), 4)</f>
        <v>2</v>
      </c>
      <c r="V15" s="15" cm="1">
        <f t="array" ref="V15">K15*VLOOKUP($G15, Factor!$C$4:$N$36, 5, 0)*INDEX(Factor!$C$41:$N$87, _xlfn.XMATCH($C15, Factor!$C$41:$C$87, -1), 5)</f>
        <v>8</v>
      </c>
      <c r="W15" s="15" cm="1">
        <f t="array" ref="W15">L15*VLOOKUP($G15, Factor!$C$4:$N$36, 6, 0)*INDEX(Factor!$C$41:$N$87, _xlfn.XMATCH($C15, Factor!$C$41:$C$87, -1), 6)</f>
        <v>10</v>
      </c>
      <c r="X15" s="15" cm="1">
        <f t="array" ref="X15">M15*VLOOKUP($G15, Factor!$C$4:$N$36, 7, 0)*INDEX(Factor!$C$41:$N$87, _xlfn.XMATCH($C15, Factor!$C$41:$C$87, -1), 7)</f>
        <v>7000</v>
      </c>
      <c r="Y15" s="15" cm="1">
        <f t="array" ref="Y15">N15*VLOOKUP($G15, Factor!$C$4:$N$36, 8, 0)*INDEX(Factor!$C$41:$N$87, _xlfn.XMATCH($C15, Factor!$C$41:$C$87, -1), 8)</f>
        <v>700</v>
      </c>
      <c r="Z15" s="15" cm="1">
        <f t="array" ref="Z15">O15*VLOOKUP($G15, Factor!$C$4:$N$36, 9, 0)*INDEX(Factor!$C$41:$N$87, _xlfn.XMATCH($C15, Factor!$C$41:$C$87, -1), 9)</f>
        <v>5</v>
      </c>
      <c r="AA15" s="15" cm="1">
        <f t="array" ref="AA15">P15*VLOOKUP($G15, Factor!$C$4:$N$36, 10, 0)*INDEX(Factor!$C$41:$N$87, _xlfn.XMATCH($C15, Factor!$C$41:$C$87, -1), 10)</f>
        <v>700</v>
      </c>
      <c r="AB15" s="15" cm="1">
        <f t="array" ref="AB15">Q15*VLOOKUP($G15, Factor!$C$4:$N$36, 11, 0)*INDEX(Factor!$C$41:$N$87, _xlfn.XMATCH($C15, Factor!$C$41:$C$87, -1), 11)</f>
        <v>3</v>
      </c>
      <c r="AC15" s="15" cm="1">
        <f t="array" ref="AC15">R15*VLOOKUP($G15, Factor!$C$4:$N$36, 12, 0)*INDEX(Factor!$C$41:$N$87, _xlfn.XMATCH($C15, Factor!$C$41:$C$87, -1), 12)</f>
        <v>1</v>
      </c>
      <c r="AD15" s="16"/>
    </row>
    <row r="16" spans="1:30" ht="15.75" customHeight="1" x14ac:dyDescent="0.2">
      <c r="A16" s="17" t="str">
        <f>"locomotive_"&amp; VLOOKUP(F16, Factor!$BK$4:$BL$6, 2, 0) &amp;"_"&amp;Locomotive!D16&amp;"_"&amp;VLOOKUP(E16, Factor!$BM$4:$BN$36, 2, 0)</f>
        <v>locomotive_Dz_T1_004</v>
      </c>
      <c r="B16" s="18" t="str">
        <f t="shared" si="0"/>
        <v>T1 화물 디젤기관차</v>
      </c>
      <c r="C16" s="18">
        <f>VLOOKUP(D16, Factor!$B$41:$C$50, 2, 0)</f>
        <v>10000</v>
      </c>
      <c r="D16" s="18" t="s">
        <v>297</v>
      </c>
      <c r="E16" s="18" t="s">
        <v>507</v>
      </c>
      <c r="F16" s="18" t="s">
        <v>503</v>
      </c>
      <c r="G16" s="18" t="str">
        <f t="shared" si="1"/>
        <v>화물 디젤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>
        <v>1</v>
      </c>
      <c r="P16" s="18">
        <v>1</v>
      </c>
      <c r="Q16" s="18">
        <v>1</v>
      </c>
      <c r="R16" s="18">
        <v>1</v>
      </c>
      <c r="S16" s="18" cm="1">
        <f t="array" ref="S16">H16*VLOOKUP($G16, Factor!$C$4:$N$36, 2, 0)*INDEX(Factor!$C$41:$N$87, _xlfn.XMATCH($C16, Factor!$C$41:$C$87, -1), 2)</f>
        <v>120</v>
      </c>
      <c r="T16" s="18" cm="1">
        <f t="array" ref="T16">I16*VLOOKUP($G16, Factor!$C$4:$N$36, 3, 0)*INDEX(Factor!$C$41:$N$87, _xlfn.XMATCH($C16, Factor!$C$41:$C$87, -1), 3)</f>
        <v>1200</v>
      </c>
      <c r="U16" s="18" cm="1">
        <f t="array" ref="U16">J16*VLOOKUP($G16, Factor!$C$4:$N$36, 4, 0)*INDEX(Factor!$C$41:$N$87, _xlfn.XMATCH($C16, Factor!$C$41:$C$87, -1), 4)</f>
        <v>2</v>
      </c>
      <c r="V16" s="18" cm="1">
        <f t="array" ref="V16">K16*VLOOKUP($G16, Factor!$C$4:$N$36, 5, 0)*INDEX(Factor!$C$41:$N$87, _xlfn.XMATCH($C16, Factor!$C$41:$C$87, -1), 5)</f>
        <v>6</v>
      </c>
      <c r="W16" s="18" cm="1">
        <f t="array" ref="W16">L16*VLOOKUP($G16, Factor!$C$4:$N$36, 6, 0)*INDEX(Factor!$C$41:$N$87, _xlfn.XMATCH($C16, Factor!$C$41:$C$87, -1), 6)</f>
        <v>10</v>
      </c>
      <c r="X16" s="18" cm="1">
        <f t="array" ref="X16">M16*VLOOKUP($G16, Factor!$C$4:$N$36, 7, 0)*INDEX(Factor!$C$41:$N$87, _xlfn.XMATCH($C16, Factor!$C$41:$C$87, -1), 7)</f>
        <v>15000</v>
      </c>
      <c r="Y16" s="18" cm="1">
        <f t="array" ref="Y16">N16*VLOOKUP($G16, Factor!$C$4:$N$36, 8, 0)*INDEX(Factor!$C$41:$N$87, _xlfn.XMATCH($C16, Factor!$C$41:$C$87, -1), 8)</f>
        <v>800</v>
      </c>
      <c r="Z16" s="18" cm="1">
        <f t="array" ref="Z16">O16*VLOOKUP($G16, Factor!$C$4:$N$36, 9, 0)*INDEX(Factor!$C$41:$N$87, _xlfn.XMATCH($C16, Factor!$C$41:$C$87, -1), 9)</f>
        <v>10</v>
      </c>
      <c r="AA16" s="18" cm="1">
        <f t="array" ref="AA16">P16*VLOOKUP($G16, Factor!$C$4:$N$36, 10, 0)*INDEX(Factor!$C$41:$N$87, _xlfn.XMATCH($C16, Factor!$C$41:$C$87, -1), 10)</f>
        <v>800</v>
      </c>
      <c r="AB16" s="18" cm="1">
        <f t="array" ref="AB16">Q16*VLOOKUP($G16, Factor!$C$4:$N$36, 11, 0)*INDEX(Factor!$C$41:$N$87, _xlfn.XMATCH($C16, Factor!$C$41:$C$87, -1), 11)</f>
        <v>3</v>
      </c>
      <c r="AC16" s="18" cm="1">
        <f t="array" ref="AC16">R16*VLOOKUP($G16, Factor!$C$4:$N$36, 12, 0)*INDEX(Factor!$C$41:$N$87, _xlfn.XMATCH($C16, Factor!$C$41:$C$87, -1), 12)</f>
        <v>1</v>
      </c>
      <c r="AD16" s="19"/>
    </row>
    <row r="17" spans="1:30" ht="15.75" customHeight="1" x14ac:dyDescent="0.2">
      <c r="A17" s="48" t="str">
        <f>"locomotive_"&amp; VLOOKUP(F17, Factor!$BK$4:$BL$6, 2, 0) &amp;"_"&amp;Locomotive!D17&amp;"_"&amp;VLOOKUP(E17, Factor!$BM$4:$BN$36, 2, 0)</f>
        <v>locomotive_St_T1_005</v>
      </c>
      <c r="B17" s="15" t="str">
        <f t="shared" si="0"/>
        <v>T1 군용 증기기관차</v>
      </c>
      <c r="C17" s="15">
        <f>VLOOKUP(D17, Factor!$B$41:$C$50, 2, 0)</f>
        <v>10000</v>
      </c>
      <c r="D17" s="15" t="s">
        <v>297</v>
      </c>
      <c r="E17" s="41" t="s">
        <v>508</v>
      </c>
      <c r="F17" s="41" t="s">
        <v>505</v>
      </c>
      <c r="G17" s="41" t="str">
        <f t="shared" si="1"/>
        <v>군용 증기</v>
      </c>
      <c r="H17" s="41">
        <v>1</v>
      </c>
      <c r="I17" s="41">
        <v>1</v>
      </c>
      <c r="J17" s="41">
        <v>1</v>
      </c>
      <c r="K17" s="41">
        <v>1</v>
      </c>
      <c r="L17" s="41">
        <v>1</v>
      </c>
      <c r="M17" s="41">
        <v>1</v>
      </c>
      <c r="N17" s="41">
        <v>1</v>
      </c>
      <c r="O17" s="41">
        <v>1</v>
      </c>
      <c r="P17" s="41">
        <v>1</v>
      </c>
      <c r="Q17" s="41">
        <v>1</v>
      </c>
      <c r="R17" s="41">
        <v>1</v>
      </c>
      <c r="S17" s="15" cm="1">
        <f t="array" ref="S17">H17*VLOOKUP($G17, Factor!$C$4:$N$36, 2, 0)*INDEX(Factor!$C$41:$N$87, _xlfn.XMATCH($C17, Factor!$C$41:$C$87, -1), 2)</f>
        <v>90</v>
      </c>
      <c r="T17" s="15" cm="1">
        <f t="array" ref="T17">I17*VLOOKUP($G17, Factor!$C$4:$N$36, 3, 0)*INDEX(Factor!$C$41:$N$87, _xlfn.XMATCH($C17, Factor!$C$41:$C$87, -1), 3)</f>
        <v>1600</v>
      </c>
      <c r="U17" s="15" cm="1">
        <f t="array" ref="U17">J17*VLOOKUP($G17, Factor!$C$4:$N$36, 4, 0)*INDEX(Factor!$C$41:$N$87, _xlfn.XMATCH($C17, Factor!$C$41:$C$87, -1), 4)</f>
        <v>2</v>
      </c>
      <c r="V17" s="15" cm="1">
        <f t="array" ref="V17">K17*VLOOKUP($G17, Factor!$C$4:$N$36, 5, 0)*INDEX(Factor!$C$41:$N$87, _xlfn.XMATCH($C17, Factor!$C$41:$C$87, -1), 5)</f>
        <v>2</v>
      </c>
      <c r="W17" s="15" cm="1">
        <f t="array" ref="W17">L17*VLOOKUP($G17, Factor!$C$4:$N$36, 6, 0)*INDEX(Factor!$C$41:$N$87, _xlfn.XMATCH($C17, Factor!$C$41:$C$87, -1), 6)</f>
        <v>18</v>
      </c>
      <c r="X17" s="15" cm="1">
        <f t="array" ref="X17">M17*VLOOKUP($G17, Factor!$C$4:$N$36, 7, 0)*INDEX(Factor!$C$41:$N$87, _xlfn.XMATCH($C17, Factor!$C$41:$C$87, -1), 7)</f>
        <v>10000</v>
      </c>
      <c r="Y17" s="15" cm="1">
        <f t="array" ref="Y17">N17*VLOOKUP($G17, Factor!$C$4:$N$36, 8, 0)*INDEX(Factor!$C$41:$N$87, _xlfn.XMATCH($C17, Factor!$C$41:$C$87, -1), 8)</f>
        <v>1000</v>
      </c>
      <c r="Z17" s="15" cm="1">
        <f t="array" ref="Z17">O17*VLOOKUP($G17, Factor!$C$4:$N$36, 9, 0)*INDEX(Factor!$C$41:$N$87, _xlfn.XMATCH($C17, Factor!$C$41:$C$87, -1), 9)</f>
        <v>30</v>
      </c>
      <c r="AA17" s="15" cm="1">
        <f t="array" ref="AA17">P17*VLOOKUP($G17, Factor!$C$4:$N$36, 10, 0)*INDEX(Factor!$C$41:$N$87, _xlfn.XMATCH($C17, Factor!$C$41:$C$87, -1), 10)</f>
        <v>1000</v>
      </c>
      <c r="AB17" s="15" cm="1">
        <f t="array" ref="AB17">Q17*VLOOKUP($G17, Factor!$C$4:$N$36, 11, 0)*INDEX(Factor!$C$41:$N$87, _xlfn.XMATCH($C17, Factor!$C$41:$C$87, -1), 11)</f>
        <v>1</v>
      </c>
      <c r="AC17" s="15" cm="1">
        <f t="array" ref="AC17">R17*VLOOKUP($G17, Factor!$C$4:$N$36, 12, 0)*INDEX(Factor!$C$41:$N$87, _xlfn.XMATCH($C17, Factor!$C$41:$C$87, -1), 12)</f>
        <v>1</v>
      </c>
      <c r="AD17" s="16"/>
    </row>
    <row r="18" spans="1:30" ht="15.75" customHeight="1" x14ac:dyDescent="0.2">
      <c r="A18" s="17" t="str">
        <f>"locomotive_"&amp; VLOOKUP(F18, Factor!$BK$4:$BL$6, 2, 0) &amp;"_"&amp;Locomotive!D18&amp;"_"&amp;VLOOKUP(E18, Factor!$BM$4:$BN$36, 2, 0)</f>
        <v>locomotive_El_T1_005</v>
      </c>
      <c r="B18" s="18" t="str">
        <f t="shared" si="0"/>
        <v>T1 군용 전기기관차</v>
      </c>
      <c r="C18" s="18">
        <f>VLOOKUP(D18, Factor!$B$41:$C$50, 2, 0)</f>
        <v>10000</v>
      </c>
      <c r="D18" s="18" t="s">
        <v>297</v>
      </c>
      <c r="E18" s="18" t="s">
        <v>508</v>
      </c>
      <c r="F18" s="18" t="s">
        <v>502</v>
      </c>
      <c r="G18" s="18" t="str">
        <f t="shared" si="1"/>
        <v>군용 전기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>
        <v>1</v>
      </c>
      <c r="P18" s="18">
        <v>1</v>
      </c>
      <c r="Q18" s="18">
        <v>1</v>
      </c>
      <c r="R18" s="18">
        <v>1</v>
      </c>
      <c r="S18" s="18" cm="1">
        <f t="array" ref="S18">H18*VLOOKUP($G18, Factor!$C$4:$N$36, 2, 0)*INDEX(Factor!$C$41:$N$87, _xlfn.XMATCH($C18, Factor!$C$41:$C$87, -1), 2)</f>
        <v>170</v>
      </c>
      <c r="T18" s="18" cm="1">
        <f t="array" ref="T18">I18*VLOOKUP($G18, Factor!$C$4:$N$36, 3, 0)*INDEX(Factor!$C$41:$N$87, _xlfn.XMATCH($C18, Factor!$C$41:$C$87, -1), 3)</f>
        <v>1000</v>
      </c>
      <c r="U18" s="18" cm="1">
        <f t="array" ref="U18">J18*VLOOKUP($G18, Factor!$C$4:$N$36, 4, 0)*INDEX(Factor!$C$41:$N$87, _xlfn.XMATCH($C18, Factor!$C$41:$C$87, -1), 4)</f>
        <v>2</v>
      </c>
      <c r="V18" s="18" cm="1">
        <f t="array" ref="V18">K18*VLOOKUP($G18, Factor!$C$4:$N$36, 5, 0)*INDEX(Factor!$C$41:$N$87, _xlfn.XMATCH($C18, Factor!$C$41:$C$87, -1), 5)</f>
        <v>5</v>
      </c>
      <c r="W18" s="18" cm="1">
        <f t="array" ref="W18">L18*VLOOKUP($G18, Factor!$C$4:$N$36, 6, 0)*INDEX(Factor!$C$41:$N$87, _xlfn.XMATCH($C18, Factor!$C$41:$C$87, -1), 6)</f>
        <v>18</v>
      </c>
      <c r="X18" s="18" cm="1">
        <f t="array" ref="X18">M18*VLOOKUP($G18, Factor!$C$4:$N$36, 7, 0)*INDEX(Factor!$C$41:$N$87, _xlfn.XMATCH($C18, Factor!$C$41:$C$87, -1), 7)</f>
        <v>7000</v>
      </c>
      <c r="Y18" s="18" cm="1">
        <f t="array" ref="Y18">N18*VLOOKUP($G18, Factor!$C$4:$N$36, 8, 0)*INDEX(Factor!$C$41:$N$87, _xlfn.XMATCH($C18, Factor!$C$41:$C$87, -1), 8)</f>
        <v>700</v>
      </c>
      <c r="Z18" s="18" cm="1">
        <f t="array" ref="Z18">O18*VLOOKUP($G18, Factor!$C$4:$N$36, 9, 0)*INDEX(Factor!$C$41:$N$87, _xlfn.XMATCH($C18, Factor!$C$41:$C$87, -1), 9)</f>
        <v>5</v>
      </c>
      <c r="AA18" s="18" cm="1">
        <f t="array" ref="AA18">P18*VLOOKUP($G18, Factor!$C$4:$N$36, 10, 0)*INDEX(Factor!$C$41:$N$87, _xlfn.XMATCH($C18, Factor!$C$41:$C$87, -1), 10)</f>
        <v>700</v>
      </c>
      <c r="AB18" s="18" cm="1">
        <f t="array" ref="AB18">Q18*VLOOKUP($G18, Factor!$C$4:$N$36, 11, 0)*INDEX(Factor!$C$41:$N$87, _xlfn.XMATCH($C18, Factor!$C$41:$C$87, -1), 11)</f>
        <v>1</v>
      </c>
      <c r="AC18" s="18" cm="1">
        <f t="array" ref="AC18">R18*VLOOKUP($G18, Factor!$C$4:$N$36, 12, 0)*INDEX(Factor!$C$41:$N$87, _xlfn.XMATCH($C18, Factor!$C$41:$C$87, -1), 12)</f>
        <v>1</v>
      </c>
      <c r="AD18" s="19"/>
    </row>
    <row r="19" spans="1:30" ht="15.75" customHeight="1" x14ac:dyDescent="0.2">
      <c r="A19" s="14" t="str">
        <f>"locomotive_"&amp; VLOOKUP(F19, Factor!$BK$4:$BL$6, 2, 0) &amp;"_"&amp;Locomotive!D19&amp;"_"&amp;VLOOKUP(E19, Factor!$BM$4:$BN$36, 2, 0)</f>
        <v>locomotive_Dz_T1_005</v>
      </c>
      <c r="B19" s="15" t="str">
        <f t="shared" si="0"/>
        <v>T1 군용 디젤기관차</v>
      </c>
      <c r="C19" s="15">
        <f>VLOOKUP(D19, Factor!$B$41:$C$50, 2, 0)</f>
        <v>10000</v>
      </c>
      <c r="D19" s="15" t="s">
        <v>297</v>
      </c>
      <c r="E19" s="15" t="s">
        <v>508</v>
      </c>
      <c r="F19" s="15" t="s">
        <v>503</v>
      </c>
      <c r="G19" s="15" t="str">
        <f t="shared" si="1"/>
        <v>군용 디젤</v>
      </c>
      <c r="H19" s="41">
        <v>1</v>
      </c>
      <c r="I19" s="41">
        <v>1</v>
      </c>
      <c r="J19" s="41">
        <v>1</v>
      </c>
      <c r="K19" s="41">
        <v>1</v>
      </c>
      <c r="L19" s="41">
        <v>1</v>
      </c>
      <c r="M19" s="41">
        <v>1</v>
      </c>
      <c r="N19" s="41">
        <v>1</v>
      </c>
      <c r="O19" s="41">
        <v>1</v>
      </c>
      <c r="P19" s="41">
        <v>1</v>
      </c>
      <c r="Q19" s="41">
        <v>1</v>
      </c>
      <c r="R19" s="41">
        <v>1</v>
      </c>
      <c r="S19" s="15" cm="1">
        <f t="array" ref="S19">H19*VLOOKUP($G19, Factor!$C$4:$N$36, 2, 0)*INDEX(Factor!$C$41:$N$87, _xlfn.XMATCH($C19, Factor!$C$41:$C$87, -1), 2)</f>
        <v>110</v>
      </c>
      <c r="T19" s="15" cm="1">
        <f t="array" ref="T19">I19*VLOOKUP($G19, Factor!$C$4:$N$36, 3, 0)*INDEX(Factor!$C$41:$N$87, _xlfn.XMATCH($C19, Factor!$C$41:$C$87, -1), 3)</f>
        <v>1600</v>
      </c>
      <c r="U19" s="15" cm="1">
        <f t="array" ref="U19">J19*VLOOKUP($G19, Factor!$C$4:$N$36, 4, 0)*INDEX(Factor!$C$41:$N$87, _xlfn.XMATCH($C19, Factor!$C$41:$C$87, -1), 4)</f>
        <v>2</v>
      </c>
      <c r="V19" s="15" cm="1">
        <f t="array" ref="V19">K19*VLOOKUP($G19, Factor!$C$4:$N$36, 5, 0)*INDEX(Factor!$C$41:$N$87, _xlfn.XMATCH($C19, Factor!$C$41:$C$87, -1), 5)</f>
        <v>3</v>
      </c>
      <c r="W19" s="15" cm="1">
        <f t="array" ref="W19">L19*VLOOKUP($G19, Factor!$C$4:$N$36, 6, 0)*INDEX(Factor!$C$41:$N$87, _xlfn.XMATCH($C19, Factor!$C$41:$C$87, -1), 6)</f>
        <v>18</v>
      </c>
      <c r="X19" s="15" cm="1">
        <f t="array" ref="X19">M19*VLOOKUP($G19, Factor!$C$4:$N$36, 7, 0)*INDEX(Factor!$C$41:$N$87, _xlfn.XMATCH($C19, Factor!$C$41:$C$87, -1), 7)</f>
        <v>15000</v>
      </c>
      <c r="Y19" s="15" cm="1">
        <f t="array" ref="Y19">N19*VLOOKUP($G19, Factor!$C$4:$N$36, 8, 0)*INDEX(Factor!$C$41:$N$87, _xlfn.XMATCH($C19, Factor!$C$41:$C$87, -1), 8)</f>
        <v>800</v>
      </c>
      <c r="Z19" s="15" cm="1">
        <f t="array" ref="Z19">O19*VLOOKUP($G19, Factor!$C$4:$N$36, 9, 0)*INDEX(Factor!$C$41:$N$87, _xlfn.XMATCH($C19, Factor!$C$41:$C$87, -1), 9)</f>
        <v>10</v>
      </c>
      <c r="AA19" s="15" cm="1">
        <f t="array" ref="AA19">P19*VLOOKUP($G19, Factor!$C$4:$N$36, 10, 0)*INDEX(Factor!$C$41:$N$87, _xlfn.XMATCH($C19, Factor!$C$41:$C$87, -1), 10)</f>
        <v>800</v>
      </c>
      <c r="AB19" s="15" cm="1">
        <f t="array" ref="AB19">Q19*VLOOKUP($G19, Factor!$C$4:$N$36, 11, 0)*INDEX(Factor!$C$41:$N$87, _xlfn.XMATCH($C19, Factor!$C$41:$C$87, -1), 11)</f>
        <v>1</v>
      </c>
      <c r="AC19" s="15" cm="1">
        <f t="array" ref="AC19">R19*VLOOKUP($G19, Factor!$C$4:$N$36, 12, 0)*INDEX(Factor!$C$41:$N$87, _xlfn.XMATCH($C19, Factor!$C$41:$C$87, -1), 12)</f>
        <v>1</v>
      </c>
      <c r="AD19" s="16"/>
    </row>
    <row r="20" spans="1:30" ht="15.75" customHeight="1" x14ac:dyDescent="0.2">
      <c r="A20" s="17" t="str">
        <f>"locomotive_"&amp; VLOOKUP(F20, Factor!$BK$4:$BL$6, 2, 0) &amp;"_"&amp;Locomotive!D20&amp;"_"&amp;VLOOKUP(E20, Factor!$BM$4:$BN$36, 2, 0)</f>
        <v>locomotive_St_T1_006</v>
      </c>
      <c r="B20" s="18" t="str">
        <f t="shared" si="0"/>
        <v>T1 여객 증기기관차</v>
      </c>
      <c r="C20" s="18">
        <f>VLOOKUP(D20, Factor!$B$41:$C$50, 2, 0)</f>
        <v>10000</v>
      </c>
      <c r="D20" s="18" t="s">
        <v>297</v>
      </c>
      <c r="E20" s="18" t="s">
        <v>509</v>
      </c>
      <c r="F20" s="18" t="s">
        <v>505</v>
      </c>
      <c r="G20" s="18" t="str">
        <f t="shared" si="1"/>
        <v>여객 증기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 cm="1">
        <f t="array" ref="S20">H20*VLOOKUP($G20, Factor!$C$4:$N$36, 2, 0)*INDEX(Factor!$C$41:$N$87, _xlfn.XMATCH($C20, Factor!$C$41:$C$87, -1), 2)</f>
        <v>100</v>
      </c>
      <c r="T20" s="18" cm="1">
        <f t="array" ref="T20">I20*VLOOKUP($G20, Factor!$C$4:$N$36, 3, 0)*INDEX(Factor!$C$41:$N$87, _xlfn.XMATCH($C20, Factor!$C$41:$C$87, -1), 3)</f>
        <v>1000</v>
      </c>
      <c r="U20" s="18" cm="1">
        <f t="array" ref="U20">J20*VLOOKUP($G20, Factor!$C$4:$N$36, 4, 0)*INDEX(Factor!$C$41:$N$87, _xlfn.XMATCH($C20, Factor!$C$41:$C$87, -1), 4)</f>
        <v>2</v>
      </c>
      <c r="V20" s="18" cm="1">
        <f t="array" ref="V20">K20*VLOOKUP($G20, Factor!$C$4:$N$36, 5, 0)*INDEX(Factor!$C$41:$N$87, _xlfn.XMATCH($C20, Factor!$C$41:$C$87, -1), 5)</f>
        <v>4</v>
      </c>
      <c r="W20" s="18" cm="1">
        <f t="array" ref="W20">L20*VLOOKUP($G20, Factor!$C$4:$N$36, 6, 0)*INDEX(Factor!$C$41:$N$87, _xlfn.XMATCH($C20, Factor!$C$41:$C$87, -1), 6)</f>
        <v>10</v>
      </c>
      <c r="X20" s="18" cm="1">
        <f t="array" ref="X20">M20*VLOOKUP($G20, Factor!$C$4:$N$36, 7, 0)*INDEX(Factor!$C$41:$N$87, _xlfn.XMATCH($C20, Factor!$C$41:$C$87, -1), 7)</f>
        <v>10000</v>
      </c>
      <c r="Y20" s="18" cm="1">
        <f t="array" ref="Y20">N20*VLOOKUP($G20, Factor!$C$4:$N$36, 8, 0)*INDEX(Factor!$C$41:$N$87, _xlfn.XMATCH($C20, Factor!$C$41:$C$87, -1), 8)</f>
        <v>900</v>
      </c>
      <c r="Z20" s="18" cm="1">
        <f t="array" ref="Z20">O20*VLOOKUP($G20, Factor!$C$4:$N$36, 9, 0)*INDEX(Factor!$C$41:$N$87, _xlfn.XMATCH($C20, Factor!$C$41:$C$87, -1), 9)</f>
        <v>25</v>
      </c>
      <c r="AA20" s="18" cm="1">
        <f t="array" ref="AA20">P20*VLOOKUP($G20, Factor!$C$4:$N$36, 10, 0)*INDEX(Factor!$C$41:$N$87, _xlfn.XMATCH($C20, Factor!$C$41:$C$87, -1), 10)</f>
        <v>900</v>
      </c>
      <c r="AB20" s="18" cm="1">
        <f t="array" ref="AB20">Q20*VLOOKUP($G20, Factor!$C$4:$N$36, 11, 0)*INDEX(Factor!$C$41:$N$87, _xlfn.XMATCH($C20, Factor!$C$41:$C$87, -1), 11)</f>
        <v>1</v>
      </c>
      <c r="AC20" s="18" cm="1">
        <f t="array" ref="AC20">R20*VLOOKUP($G20, Factor!$C$4:$N$36, 12, 0)*INDEX(Factor!$C$41:$N$87, _xlfn.XMATCH($C20, Factor!$C$41:$C$87, -1), 12)</f>
        <v>3</v>
      </c>
      <c r="AD20" s="19"/>
    </row>
    <row r="21" spans="1:30" ht="15.75" customHeight="1" x14ac:dyDescent="0.2">
      <c r="A21" s="14" t="str">
        <f>"locomotive_"&amp; VLOOKUP(F21, Factor!$BK$4:$BL$6, 2, 0) &amp;"_"&amp;Locomotive!D21&amp;"_"&amp;VLOOKUP(E21, Factor!$BM$4:$BN$36, 2, 0)</f>
        <v>locomotive_El_T1_006</v>
      </c>
      <c r="B21" s="15" t="str">
        <f t="shared" si="0"/>
        <v>T1 여객 전기기관차</v>
      </c>
      <c r="C21" s="15">
        <f>VLOOKUP(D21, Factor!$B$41:$C$50, 2, 0)</f>
        <v>10000</v>
      </c>
      <c r="D21" s="15" t="s">
        <v>297</v>
      </c>
      <c r="E21" s="15" t="s">
        <v>509</v>
      </c>
      <c r="F21" s="15" t="s">
        <v>502</v>
      </c>
      <c r="G21" s="15" t="str">
        <f t="shared" si="1"/>
        <v>여객 전기</v>
      </c>
      <c r="H21" s="41">
        <v>1</v>
      </c>
      <c r="I21" s="41">
        <v>1</v>
      </c>
      <c r="J21" s="41">
        <v>1</v>
      </c>
      <c r="K21" s="41">
        <v>1</v>
      </c>
      <c r="L21" s="41">
        <v>1</v>
      </c>
      <c r="M21" s="41">
        <v>1</v>
      </c>
      <c r="N21" s="41">
        <v>1</v>
      </c>
      <c r="O21" s="41">
        <v>1</v>
      </c>
      <c r="P21" s="41">
        <v>1</v>
      </c>
      <c r="Q21" s="41">
        <v>1</v>
      </c>
      <c r="R21" s="41">
        <v>1</v>
      </c>
      <c r="S21" s="15" cm="1">
        <f t="array" ref="S21">H21*VLOOKUP($G21, Factor!$C$4:$N$36, 2, 0)*INDEX(Factor!$C$41:$N$87, _xlfn.XMATCH($C21, Factor!$C$41:$C$87, -1), 2)</f>
        <v>200</v>
      </c>
      <c r="T21" s="15" cm="1">
        <f t="array" ref="T21">I21*VLOOKUP($G21, Factor!$C$4:$N$36, 3, 0)*INDEX(Factor!$C$41:$N$87, _xlfn.XMATCH($C21, Factor!$C$41:$C$87, -1), 3)</f>
        <v>800</v>
      </c>
      <c r="U21" s="15" cm="1">
        <f t="array" ref="U21">J21*VLOOKUP($G21, Factor!$C$4:$N$36, 4, 0)*INDEX(Factor!$C$41:$N$87, _xlfn.XMATCH($C21, Factor!$C$41:$C$87, -1), 4)</f>
        <v>2</v>
      </c>
      <c r="V21" s="15" cm="1">
        <f t="array" ref="V21">K21*VLOOKUP($G21, Factor!$C$4:$N$36, 5, 0)*INDEX(Factor!$C$41:$N$87, _xlfn.XMATCH($C21, Factor!$C$41:$C$87, -1), 5)</f>
        <v>8</v>
      </c>
      <c r="W21" s="15" cm="1">
        <f t="array" ref="W21">L21*VLOOKUP($G21, Factor!$C$4:$N$36, 6, 0)*INDEX(Factor!$C$41:$N$87, _xlfn.XMATCH($C21, Factor!$C$41:$C$87, -1), 6)</f>
        <v>10</v>
      </c>
      <c r="X21" s="15" cm="1">
        <f t="array" ref="X21">M21*VLOOKUP($G21, Factor!$C$4:$N$36, 7, 0)*INDEX(Factor!$C$41:$N$87, _xlfn.XMATCH($C21, Factor!$C$41:$C$87, -1), 7)</f>
        <v>7000</v>
      </c>
      <c r="Y21" s="15" cm="1">
        <f t="array" ref="Y21">N21*VLOOKUP($G21, Factor!$C$4:$N$36, 8, 0)*INDEX(Factor!$C$41:$N$87, _xlfn.XMATCH($C21, Factor!$C$41:$C$87, -1), 8)</f>
        <v>600</v>
      </c>
      <c r="Z21" s="15" cm="1">
        <f t="array" ref="Z21">O21*VLOOKUP($G21, Factor!$C$4:$N$36, 9, 0)*INDEX(Factor!$C$41:$N$87, _xlfn.XMATCH($C21, Factor!$C$41:$C$87, -1), 9)</f>
        <v>4</v>
      </c>
      <c r="AA21" s="15" cm="1">
        <f t="array" ref="AA21">P21*VLOOKUP($G21, Factor!$C$4:$N$36, 10, 0)*INDEX(Factor!$C$41:$N$87, _xlfn.XMATCH($C21, Factor!$C$41:$C$87, -1), 10)</f>
        <v>600</v>
      </c>
      <c r="AB21" s="15" cm="1">
        <f t="array" ref="AB21">Q21*VLOOKUP($G21, Factor!$C$4:$N$36, 11, 0)*INDEX(Factor!$C$41:$N$87, _xlfn.XMATCH($C21, Factor!$C$41:$C$87, -1), 11)</f>
        <v>1</v>
      </c>
      <c r="AC21" s="15" cm="1">
        <f t="array" ref="AC21">R21*VLOOKUP($G21, Factor!$C$4:$N$36, 12, 0)*INDEX(Factor!$C$41:$N$87, _xlfn.XMATCH($C21, Factor!$C$41:$C$87, -1), 12)</f>
        <v>3</v>
      </c>
      <c r="AD21" s="16"/>
    </row>
    <row r="22" spans="1:30" ht="15.75" customHeight="1" x14ac:dyDescent="0.2">
      <c r="A22" s="17" t="str">
        <f>"locomotive_"&amp; VLOOKUP(F22, Factor!$BK$4:$BL$6, 2, 0) &amp;"_"&amp;Locomotive!D22&amp;"_"&amp;VLOOKUP(E22, Factor!$BM$4:$BN$36, 2, 0)</f>
        <v>locomotive_Dz_T1_006</v>
      </c>
      <c r="B22" s="18" t="str">
        <f t="shared" si="0"/>
        <v>T1 여객 디젤기관차</v>
      </c>
      <c r="C22" s="18">
        <f>VLOOKUP(D22, Factor!$B$41:$C$50, 2, 0)</f>
        <v>10000</v>
      </c>
      <c r="D22" s="18" t="s">
        <v>297</v>
      </c>
      <c r="E22" s="18" t="s">
        <v>509</v>
      </c>
      <c r="F22" s="18" t="s">
        <v>503</v>
      </c>
      <c r="G22" s="18" t="str">
        <f t="shared" si="1"/>
        <v>여객 디젤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 cm="1">
        <f t="array" ref="S22">H22*VLOOKUP($G22, Factor!$C$4:$N$36, 2, 0)*INDEX(Factor!$C$41:$N$87, _xlfn.XMATCH($C22, Factor!$C$41:$C$87, -1), 2)</f>
        <v>150</v>
      </c>
      <c r="T22" s="18" cm="1">
        <f t="array" ref="T22">I22*VLOOKUP($G22, Factor!$C$4:$N$36, 3, 0)*INDEX(Factor!$C$41:$N$87, _xlfn.XMATCH($C22, Factor!$C$41:$C$87, -1), 3)</f>
        <v>1200</v>
      </c>
      <c r="U22" s="18" cm="1">
        <f t="array" ref="U22">J22*VLOOKUP($G22, Factor!$C$4:$N$36, 4, 0)*INDEX(Factor!$C$41:$N$87, _xlfn.XMATCH($C22, Factor!$C$41:$C$87, -1), 4)</f>
        <v>2</v>
      </c>
      <c r="V22" s="18" cm="1">
        <f t="array" ref="V22">K22*VLOOKUP($G22, Factor!$C$4:$N$36, 5, 0)*INDEX(Factor!$C$41:$N$87, _xlfn.XMATCH($C22, Factor!$C$41:$C$87, -1), 5)</f>
        <v>6</v>
      </c>
      <c r="W22" s="18" cm="1">
        <f t="array" ref="W22">L22*VLOOKUP($G22, Factor!$C$4:$N$36, 6, 0)*INDEX(Factor!$C$41:$N$87, _xlfn.XMATCH($C22, Factor!$C$41:$C$87, -1), 6)</f>
        <v>10</v>
      </c>
      <c r="X22" s="18" cm="1">
        <f t="array" ref="X22">M22*VLOOKUP($G22, Factor!$C$4:$N$36, 7, 0)*INDEX(Factor!$C$41:$N$87, _xlfn.XMATCH($C22, Factor!$C$41:$C$87, -1), 7)</f>
        <v>15000</v>
      </c>
      <c r="Y22" s="18" cm="1">
        <f t="array" ref="Y22">N22*VLOOKUP($G22, Factor!$C$4:$N$36, 8, 0)*INDEX(Factor!$C$41:$N$87, _xlfn.XMATCH($C22, Factor!$C$41:$C$87, -1), 8)</f>
        <v>700</v>
      </c>
      <c r="Z22" s="18" cm="1">
        <f t="array" ref="Z22">O22*VLOOKUP($G22, Factor!$C$4:$N$36, 9, 0)*INDEX(Factor!$C$41:$N$87, _xlfn.XMATCH($C22, Factor!$C$41:$C$87, -1), 9)</f>
        <v>7</v>
      </c>
      <c r="AA22" s="18" cm="1">
        <f t="array" ref="AA22">P22*VLOOKUP($G22, Factor!$C$4:$N$36, 10, 0)*INDEX(Factor!$C$41:$N$87, _xlfn.XMATCH($C22, Factor!$C$41:$C$87, -1), 10)</f>
        <v>700</v>
      </c>
      <c r="AB22" s="18" cm="1">
        <f t="array" ref="AB22">Q22*VLOOKUP($G22, Factor!$C$4:$N$36, 11, 0)*INDEX(Factor!$C$41:$N$87, _xlfn.XMATCH($C22, Factor!$C$41:$C$87, -1), 11)</f>
        <v>1</v>
      </c>
      <c r="AC22" s="18" cm="1">
        <f t="array" ref="AC22">R22*VLOOKUP($G22, Factor!$C$4:$N$36, 12, 0)*INDEX(Factor!$C$41:$N$87, _xlfn.XMATCH($C22, Factor!$C$41:$C$87, -1), 12)</f>
        <v>3</v>
      </c>
      <c r="AD22" s="19"/>
    </row>
    <row r="23" spans="1:30" ht="15.75" customHeight="1" x14ac:dyDescent="0.2">
      <c r="A23" s="48" t="str">
        <f>"locomotive_"&amp; VLOOKUP(F23, Factor!$BK$4:$BL$6, 2, 0) &amp;"_"&amp;Locomotive!D23&amp;"_"&amp;VLOOKUP(E23, Factor!$BM$4:$BN$36, 2, 0)</f>
        <v>locomotive_St_T1_007</v>
      </c>
      <c r="B23" s="15" t="str">
        <f t="shared" si="0"/>
        <v>T1 시운 증기기관차</v>
      </c>
      <c r="C23" s="15">
        <f>VLOOKUP(D23, Factor!$B$41:$C$50, 2, 0)</f>
        <v>10000</v>
      </c>
      <c r="D23" s="15" t="s">
        <v>297</v>
      </c>
      <c r="E23" s="41" t="s">
        <v>510</v>
      </c>
      <c r="F23" s="41" t="s">
        <v>505</v>
      </c>
      <c r="G23" s="41" t="str">
        <f t="shared" si="1"/>
        <v>시운 증기</v>
      </c>
      <c r="H23" s="41">
        <v>1</v>
      </c>
      <c r="I23" s="41">
        <v>1</v>
      </c>
      <c r="J23" s="41">
        <v>1</v>
      </c>
      <c r="K23" s="41">
        <v>1</v>
      </c>
      <c r="L23" s="41">
        <v>1</v>
      </c>
      <c r="M23" s="41">
        <v>1</v>
      </c>
      <c r="N23" s="41">
        <v>1</v>
      </c>
      <c r="O23" s="41">
        <v>1</v>
      </c>
      <c r="P23" s="41">
        <v>1</v>
      </c>
      <c r="Q23" s="41">
        <v>1</v>
      </c>
      <c r="R23" s="41">
        <v>1</v>
      </c>
      <c r="S23" s="15" cm="1">
        <f t="array" ref="S23">H23*VLOOKUP($G23, Factor!$C$4:$N$36, 2, 0)*INDEX(Factor!$C$41:$N$87, _xlfn.XMATCH($C23, Factor!$C$41:$C$87, -1), 2)</f>
        <v>100</v>
      </c>
      <c r="T23" s="15" cm="1">
        <f t="array" ref="T23">I23*VLOOKUP($G23, Factor!$C$4:$N$36, 3, 0)*INDEX(Factor!$C$41:$N$87, _xlfn.XMATCH($C23, Factor!$C$41:$C$87, -1), 3)</f>
        <v>1000</v>
      </c>
      <c r="U23" s="15" cm="1">
        <f t="array" ref="U23">J23*VLOOKUP($G23, Factor!$C$4:$N$36, 4, 0)*INDEX(Factor!$C$41:$N$87, _xlfn.XMATCH($C23, Factor!$C$41:$C$87, -1), 4)</f>
        <v>2</v>
      </c>
      <c r="V23" s="15" cm="1">
        <f t="array" ref="V23">K23*VLOOKUP($G23, Factor!$C$4:$N$36, 5, 0)*INDEX(Factor!$C$41:$N$87, _xlfn.XMATCH($C23, Factor!$C$41:$C$87, -1), 5)</f>
        <v>6</v>
      </c>
      <c r="W23" s="15" cm="1">
        <f t="array" ref="W23">L23*VLOOKUP($G23, Factor!$C$4:$N$36, 6, 0)*INDEX(Factor!$C$41:$N$87, _xlfn.XMATCH($C23, Factor!$C$41:$C$87, -1), 6)</f>
        <v>10</v>
      </c>
      <c r="X23" s="15" cm="1">
        <f t="array" ref="X23">M23*VLOOKUP($G23, Factor!$C$4:$N$36, 7, 0)*INDEX(Factor!$C$41:$N$87, _xlfn.XMATCH($C23, Factor!$C$41:$C$87, -1), 7)</f>
        <v>10000</v>
      </c>
      <c r="Y23" s="15" cm="1">
        <f t="array" ref="Y23">N23*VLOOKUP($G23, Factor!$C$4:$N$36, 8, 0)*INDEX(Factor!$C$41:$N$87, _xlfn.XMATCH($C23, Factor!$C$41:$C$87, -1), 8)</f>
        <v>500</v>
      </c>
      <c r="Z23" s="15" cm="1">
        <f t="array" ref="Z23">O23*VLOOKUP($G23, Factor!$C$4:$N$36, 9, 0)*INDEX(Factor!$C$41:$N$87, _xlfn.XMATCH($C23, Factor!$C$41:$C$87, -1), 9)</f>
        <v>30</v>
      </c>
      <c r="AA23" s="15" cm="1">
        <f t="array" ref="AA23">P23*VLOOKUP($G23, Factor!$C$4:$N$36, 10, 0)*INDEX(Factor!$C$41:$N$87, _xlfn.XMATCH($C23, Factor!$C$41:$C$87, -1), 10)</f>
        <v>2000</v>
      </c>
      <c r="AB23" s="15" cm="1">
        <f t="array" ref="AB23">Q23*VLOOKUP($G23, Factor!$C$4:$N$36, 11, 0)*INDEX(Factor!$C$41:$N$87, _xlfn.XMATCH($C23, Factor!$C$41:$C$87, -1), 11)</f>
        <v>1</v>
      </c>
      <c r="AC23" s="15" cm="1">
        <f t="array" ref="AC23">R23*VLOOKUP($G23, Factor!$C$4:$N$36, 12, 0)*INDEX(Factor!$C$41:$N$87, _xlfn.XMATCH($C23, Factor!$C$41:$C$87, -1), 12)</f>
        <v>1</v>
      </c>
      <c r="AD23" s="16"/>
    </row>
    <row r="24" spans="1:30" ht="15.75" customHeight="1" x14ac:dyDescent="0.2">
      <c r="A24" s="17" t="str">
        <f>"locomotive_"&amp; VLOOKUP(F24, Factor!$BK$4:$BL$6, 2, 0) &amp;"_"&amp;Locomotive!D24&amp;"_"&amp;VLOOKUP(E24, Factor!$BM$4:$BN$36, 2, 0)</f>
        <v>locomotive_El_T1_007</v>
      </c>
      <c r="B24" s="18" t="str">
        <f t="shared" si="0"/>
        <v>T1 시운 전기기관차</v>
      </c>
      <c r="C24" s="18">
        <f>VLOOKUP(D24, Factor!$B$41:$C$50, 2, 0)</f>
        <v>10000</v>
      </c>
      <c r="D24" s="18" t="s">
        <v>297</v>
      </c>
      <c r="E24" s="18" t="s">
        <v>510</v>
      </c>
      <c r="F24" s="18" t="s">
        <v>502</v>
      </c>
      <c r="G24" s="18" t="str">
        <f t="shared" si="1"/>
        <v>시운 전기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 cm="1">
        <f t="array" ref="S24">H24*VLOOKUP($G24, Factor!$C$4:$N$36, 2, 0)*INDEX(Factor!$C$41:$N$87, _xlfn.XMATCH($C24, Factor!$C$41:$C$87, -1), 2)</f>
        <v>200</v>
      </c>
      <c r="T24" s="18" cm="1">
        <f t="array" ref="T24">I24*VLOOKUP($G24, Factor!$C$4:$N$36, 3, 0)*INDEX(Factor!$C$41:$N$87, _xlfn.XMATCH($C24, Factor!$C$41:$C$87, -1), 3)</f>
        <v>800</v>
      </c>
      <c r="U24" s="18" cm="1">
        <f t="array" ref="U24">J24*VLOOKUP($G24, Factor!$C$4:$N$36, 4, 0)*INDEX(Factor!$C$41:$N$87, _xlfn.XMATCH($C24, Factor!$C$41:$C$87, -1), 4)</f>
        <v>2</v>
      </c>
      <c r="V24" s="18" cm="1">
        <f t="array" ref="V24">K24*VLOOKUP($G24, Factor!$C$4:$N$36, 5, 0)*INDEX(Factor!$C$41:$N$87, _xlfn.XMATCH($C24, Factor!$C$41:$C$87, -1), 5)</f>
        <v>10</v>
      </c>
      <c r="W24" s="18" cm="1">
        <f t="array" ref="W24">L24*VLOOKUP($G24, Factor!$C$4:$N$36, 6, 0)*INDEX(Factor!$C$41:$N$87, _xlfn.XMATCH($C24, Factor!$C$41:$C$87, -1), 6)</f>
        <v>10</v>
      </c>
      <c r="X24" s="18" cm="1">
        <f t="array" ref="X24">M24*VLOOKUP($G24, Factor!$C$4:$N$36, 7, 0)*INDEX(Factor!$C$41:$N$87, _xlfn.XMATCH($C24, Factor!$C$41:$C$87, -1), 7)</f>
        <v>7000</v>
      </c>
      <c r="Y24" s="18" cm="1">
        <f t="array" ref="Y24">N24*VLOOKUP($G24, Factor!$C$4:$N$36, 8, 0)*INDEX(Factor!$C$41:$N$87, _xlfn.XMATCH($C24, Factor!$C$41:$C$87, -1), 8)</f>
        <v>300</v>
      </c>
      <c r="Z24" s="18" cm="1">
        <f t="array" ref="Z24">O24*VLOOKUP($G24, Factor!$C$4:$N$36, 9, 0)*INDEX(Factor!$C$41:$N$87, _xlfn.XMATCH($C24, Factor!$C$41:$C$87, -1), 9)</f>
        <v>5</v>
      </c>
      <c r="AA24" s="18" cm="1">
        <f t="array" ref="AA24">P24*VLOOKUP($G24, Factor!$C$4:$N$36, 10, 0)*INDEX(Factor!$C$41:$N$87, _xlfn.XMATCH($C24, Factor!$C$41:$C$87, -1), 10)</f>
        <v>1000</v>
      </c>
      <c r="AB24" s="18" cm="1">
        <f t="array" ref="AB24">Q24*VLOOKUP($G24, Factor!$C$4:$N$36, 11, 0)*INDEX(Factor!$C$41:$N$87, _xlfn.XMATCH($C24, Factor!$C$41:$C$87, -1), 11)</f>
        <v>1</v>
      </c>
      <c r="AC24" s="18" cm="1">
        <f t="array" ref="AC24">R24*VLOOKUP($G24, Factor!$C$4:$N$36, 12, 0)*INDEX(Factor!$C$41:$N$87, _xlfn.XMATCH($C24, Factor!$C$41:$C$87, -1), 12)</f>
        <v>1</v>
      </c>
      <c r="AD24" s="19"/>
    </row>
    <row r="25" spans="1:30" ht="15.75" customHeight="1" x14ac:dyDescent="0.2">
      <c r="A25" s="14" t="str">
        <f>"locomotive_"&amp; VLOOKUP(F25, Factor!$BK$4:$BL$6, 2, 0) &amp;"_"&amp;Locomotive!D25&amp;"_"&amp;VLOOKUP(E25, Factor!$BM$4:$BN$36, 2, 0)</f>
        <v>locomotive_Dz_T1_007</v>
      </c>
      <c r="B25" s="15" t="str">
        <f t="shared" si="0"/>
        <v>T1 시운 디젤기관차</v>
      </c>
      <c r="C25" s="15">
        <f>VLOOKUP(D25, Factor!$B$41:$C$50, 2, 0)</f>
        <v>10000</v>
      </c>
      <c r="D25" s="15" t="s">
        <v>297</v>
      </c>
      <c r="E25" s="15" t="s">
        <v>510</v>
      </c>
      <c r="F25" s="15" t="s">
        <v>503</v>
      </c>
      <c r="G25" s="15" t="str">
        <f t="shared" si="1"/>
        <v>시운 디젤</v>
      </c>
      <c r="H25" s="41">
        <v>1</v>
      </c>
      <c r="I25" s="41">
        <v>1</v>
      </c>
      <c r="J25" s="41">
        <v>1</v>
      </c>
      <c r="K25" s="41">
        <v>1</v>
      </c>
      <c r="L25" s="41">
        <v>1</v>
      </c>
      <c r="M25" s="41">
        <v>1</v>
      </c>
      <c r="N25" s="41">
        <v>1</v>
      </c>
      <c r="O25" s="41">
        <v>1</v>
      </c>
      <c r="P25" s="41">
        <v>1</v>
      </c>
      <c r="Q25" s="41">
        <v>1</v>
      </c>
      <c r="R25" s="41">
        <v>1</v>
      </c>
      <c r="S25" s="15" cm="1">
        <f t="array" ref="S25">H25*VLOOKUP($G25, Factor!$C$4:$N$36, 2, 0)*INDEX(Factor!$C$41:$N$87, _xlfn.XMATCH($C25, Factor!$C$41:$C$87, -1), 2)</f>
        <v>150</v>
      </c>
      <c r="T25" s="15" cm="1">
        <f t="array" ref="T25">I25*VLOOKUP($G25, Factor!$C$4:$N$36, 3, 0)*INDEX(Factor!$C$41:$N$87, _xlfn.XMATCH($C25, Factor!$C$41:$C$87, -1), 3)</f>
        <v>1200</v>
      </c>
      <c r="U25" s="15" cm="1">
        <f t="array" ref="U25">J25*VLOOKUP($G25, Factor!$C$4:$N$36, 4, 0)*INDEX(Factor!$C$41:$N$87, _xlfn.XMATCH($C25, Factor!$C$41:$C$87, -1), 4)</f>
        <v>2</v>
      </c>
      <c r="V25" s="15" cm="1">
        <f t="array" ref="V25">K25*VLOOKUP($G25, Factor!$C$4:$N$36, 5, 0)*INDEX(Factor!$C$41:$N$87, _xlfn.XMATCH($C25, Factor!$C$41:$C$87, -1), 5)</f>
        <v>8</v>
      </c>
      <c r="W25" s="15" cm="1">
        <f t="array" ref="W25">L25*VLOOKUP($G25, Factor!$C$4:$N$36, 6, 0)*INDEX(Factor!$C$41:$N$87, _xlfn.XMATCH($C25, Factor!$C$41:$C$87, -1), 6)</f>
        <v>10</v>
      </c>
      <c r="X25" s="15" cm="1">
        <f t="array" ref="X25">M25*VLOOKUP($G25, Factor!$C$4:$N$36, 7, 0)*INDEX(Factor!$C$41:$N$87, _xlfn.XMATCH($C25, Factor!$C$41:$C$87, -1), 7)</f>
        <v>15000</v>
      </c>
      <c r="Y25" s="15" cm="1">
        <f t="array" ref="Y25">N25*VLOOKUP($G25, Factor!$C$4:$N$36, 8, 0)*INDEX(Factor!$C$41:$N$87, _xlfn.XMATCH($C25, Factor!$C$41:$C$87, -1), 8)</f>
        <v>400</v>
      </c>
      <c r="Z25" s="15" cm="1">
        <f t="array" ref="Z25">O25*VLOOKUP($G25, Factor!$C$4:$N$36, 9, 0)*INDEX(Factor!$C$41:$N$87, _xlfn.XMATCH($C25, Factor!$C$41:$C$87, -1), 9)</f>
        <v>10</v>
      </c>
      <c r="AA25" s="15" cm="1">
        <f t="array" ref="AA25">P25*VLOOKUP($G25, Factor!$C$4:$N$36, 10, 0)*INDEX(Factor!$C$41:$N$87, _xlfn.XMATCH($C25, Factor!$C$41:$C$87, -1), 10)</f>
        <v>1500</v>
      </c>
      <c r="AB25" s="15" cm="1">
        <f t="array" ref="AB25">Q25*VLOOKUP($G25, Factor!$C$4:$N$36, 11, 0)*INDEX(Factor!$C$41:$N$87, _xlfn.XMATCH($C25, Factor!$C$41:$C$87, -1), 11)</f>
        <v>1</v>
      </c>
      <c r="AC25" s="15" cm="1">
        <f t="array" ref="AC25">R25*VLOOKUP($G25, Factor!$C$4:$N$36, 12, 0)*INDEX(Factor!$C$41:$N$87, _xlfn.XMATCH($C25, Factor!$C$41:$C$87, -1), 12)</f>
        <v>1</v>
      </c>
      <c r="AD25" s="16"/>
    </row>
    <row r="26" spans="1:30" ht="15.75" customHeight="1" x14ac:dyDescent="0.2">
      <c r="A26" s="17" t="str">
        <f>"locomotive_"&amp; VLOOKUP(F26, Factor!$BK$4:$BL$6, 2, 0) &amp;"_"&amp;Locomotive!D26&amp;"_"&amp;VLOOKUP(E26, Factor!$BM$4:$BN$36, 2, 0)</f>
        <v>locomotive_St_T1_008</v>
      </c>
      <c r="B26" s="18" t="str">
        <f t="shared" si="0"/>
        <v>T1 경량 증기기관차</v>
      </c>
      <c r="C26" s="18">
        <f>VLOOKUP(D26, Factor!$B$41:$C$50, 2, 0)</f>
        <v>10000</v>
      </c>
      <c r="D26" s="18" t="s">
        <v>297</v>
      </c>
      <c r="E26" s="18" t="s">
        <v>511</v>
      </c>
      <c r="F26" s="18" t="s">
        <v>505</v>
      </c>
      <c r="G26" s="18" t="str">
        <f t="shared" si="1"/>
        <v>경량 증기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 cm="1">
        <f t="array" ref="S26">H26*VLOOKUP($G26, Factor!$C$4:$N$36, 2, 0)*INDEX(Factor!$C$41:$N$87, _xlfn.XMATCH($C26, Factor!$C$41:$C$87, -1), 2)</f>
        <v>100</v>
      </c>
      <c r="T26" s="18" cm="1">
        <f t="array" ref="T26">I26*VLOOKUP($G26, Factor!$C$4:$N$36, 3, 0)*INDEX(Factor!$C$41:$N$87, _xlfn.XMATCH($C26, Factor!$C$41:$C$87, -1), 3)</f>
        <v>900</v>
      </c>
      <c r="U26" s="18" cm="1">
        <f t="array" ref="U26">J26*VLOOKUP($G26, Factor!$C$4:$N$36, 4, 0)*INDEX(Factor!$C$41:$N$87, _xlfn.XMATCH($C26, Factor!$C$41:$C$87, -1), 4)</f>
        <v>2</v>
      </c>
      <c r="V26" s="18" cm="1">
        <f t="array" ref="V26">K26*VLOOKUP($G26, Factor!$C$4:$N$36, 5, 0)*INDEX(Factor!$C$41:$N$87, _xlfn.XMATCH($C26, Factor!$C$41:$C$87, -1), 5)</f>
        <v>5</v>
      </c>
      <c r="W26" s="18" cm="1">
        <f t="array" ref="W26">L26*VLOOKUP($G26, Factor!$C$4:$N$36, 6, 0)*INDEX(Factor!$C$41:$N$87, _xlfn.XMATCH($C26, Factor!$C$41:$C$87, -1), 6)</f>
        <v>10</v>
      </c>
      <c r="X26" s="18" cm="1">
        <f t="array" ref="X26">M26*VLOOKUP($G26, Factor!$C$4:$N$36, 7, 0)*INDEX(Factor!$C$41:$N$87, _xlfn.XMATCH($C26, Factor!$C$41:$C$87, -1), 7)</f>
        <v>8000</v>
      </c>
      <c r="Y26" s="18" cm="1">
        <f t="array" ref="Y26">N26*VLOOKUP($G26, Factor!$C$4:$N$36, 8, 0)*INDEX(Factor!$C$41:$N$87, _xlfn.XMATCH($C26, Factor!$C$41:$C$87, -1), 8)</f>
        <v>1000</v>
      </c>
      <c r="Z26" s="18" cm="1">
        <f t="array" ref="Z26">O26*VLOOKUP($G26, Factor!$C$4:$N$36, 9, 0)*INDEX(Factor!$C$41:$N$87, _xlfn.XMATCH($C26, Factor!$C$41:$C$87, -1), 9)</f>
        <v>30</v>
      </c>
      <c r="AA26" s="18" cm="1">
        <f t="array" ref="AA26">P26*VLOOKUP($G26, Factor!$C$4:$N$36, 10, 0)*INDEX(Factor!$C$41:$N$87, _xlfn.XMATCH($C26, Factor!$C$41:$C$87, -1), 10)</f>
        <v>1000</v>
      </c>
      <c r="AB26" s="18" cm="1">
        <f t="array" ref="AB26">Q26*VLOOKUP($G26, Factor!$C$4:$N$36, 11, 0)*INDEX(Factor!$C$41:$N$87, _xlfn.XMATCH($C26, Factor!$C$41:$C$87, -1), 11)</f>
        <v>1</v>
      </c>
      <c r="AC26" s="18" cm="1">
        <f t="array" ref="AC26">R26*VLOOKUP($G26, Factor!$C$4:$N$36, 12, 0)*INDEX(Factor!$C$41:$N$87, _xlfn.XMATCH($C26, Factor!$C$41:$C$87, -1), 12)</f>
        <v>1</v>
      </c>
      <c r="AD26" s="19"/>
    </row>
    <row r="27" spans="1:30" ht="15.75" customHeight="1" x14ac:dyDescent="0.2">
      <c r="A27" s="14" t="str">
        <f>"locomotive_"&amp; VLOOKUP(F27, Factor!$BK$4:$BL$6, 2, 0) &amp;"_"&amp;Locomotive!D27&amp;"_"&amp;VLOOKUP(E27, Factor!$BM$4:$BN$36, 2, 0)</f>
        <v>locomotive_El_T1_008</v>
      </c>
      <c r="B27" s="15" t="str">
        <f t="shared" si="0"/>
        <v>T1 경량 전기기관차</v>
      </c>
      <c r="C27" s="15">
        <f>VLOOKUP(D27, Factor!$B$41:$C$50, 2, 0)</f>
        <v>10000</v>
      </c>
      <c r="D27" s="15" t="s">
        <v>297</v>
      </c>
      <c r="E27" s="15" t="s">
        <v>511</v>
      </c>
      <c r="F27" s="15" t="s">
        <v>502</v>
      </c>
      <c r="G27" s="15" t="str">
        <f t="shared" si="1"/>
        <v>경량 전기</v>
      </c>
      <c r="H27" s="41">
        <v>1</v>
      </c>
      <c r="I27" s="41">
        <v>1</v>
      </c>
      <c r="J27" s="41">
        <v>1</v>
      </c>
      <c r="K27" s="41">
        <v>1</v>
      </c>
      <c r="L27" s="41">
        <v>1</v>
      </c>
      <c r="M27" s="41">
        <v>1</v>
      </c>
      <c r="N27" s="41">
        <v>1</v>
      </c>
      <c r="O27" s="41">
        <v>1</v>
      </c>
      <c r="P27" s="41">
        <v>1</v>
      </c>
      <c r="Q27" s="41">
        <v>1</v>
      </c>
      <c r="R27" s="41">
        <v>1</v>
      </c>
      <c r="S27" s="15" cm="1">
        <f t="array" ref="S27">H27*VLOOKUP($G27, Factor!$C$4:$N$36, 2, 0)*INDEX(Factor!$C$41:$N$87, _xlfn.XMATCH($C27, Factor!$C$41:$C$87, -1), 2)</f>
        <v>200</v>
      </c>
      <c r="T27" s="15" cm="1">
        <f t="array" ref="T27">I27*VLOOKUP($G27, Factor!$C$4:$N$36, 3, 0)*INDEX(Factor!$C$41:$N$87, _xlfn.XMATCH($C27, Factor!$C$41:$C$87, -1), 3)</f>
        <v>700</v>
      </c>
      <c r="U27" s="15" cm="1">
        <f t="array" ref="U27">J27*VLOOKUP($G27, Factor!$C$4:$N$36, 4, 0)*INDEX(Factor!$C$41:$N$87, _xlfn.XMATCH($C27, Factor!$C$41:$C$87, -1), 4)</f>
        <v>2</v>
      </c>
      <c r="V27" s="15" cm="1">
        <f t="array" ref="V27">K27*VLOOKUP($G27, Factor!$C$4:$N$36, 5, 0)*INDEX(Factor!$C$41:$N$87, _xlfn.XMATCH($C27, Factor!$C$41:$C$87, -1), 5)</f>
        <v>9</v>
      </c>
      <c r="W27" s="15" cm="1">
        <f t="array" ref="W27">L27*VLOOKUP($G27, Factor!$C$4:$N$36, 6, 0)*INDEX(Factor!$C$41:$N$87, _xlfn.XMATCH($C27, Factor!$C$41:$C$87, -1), 6)</f>
        <v>10</v>
      </c>
      <c r="X27" s="15" cm="1">
        <f t="array" ref="X27">M27*VLOOKUP($G27, Factor!$C$4:$N$36, 7, 0)*INDEX(Factor!$C$41:$N$87, _xlfn.XMATCH($C27, Factor!$C$41:$C$87, -1), 7)</f>
        <v>5000</v>
      </c>
      <c r="Y27" s="15" cm="1">
        <f t="array" ref="Y27">N27*VLOOKUP($G27, Factor!$C$4:$N$36, 8, 0)*INDEX(Factor!$C$41:$N$87, _xlfn.XMATCH($C27, Factor!$C$41:$C$87, -1), 8)</f>
        <v>700</v>
      </c>
      <c r="Z27" s="15" cm="1">
        <f t="array" ref="Z27">O27*VLOOKUP($G27, Factor!$C$4:$N$36, 9, 0)*INDEX(Factor!$C$41:$N$87, _xlfn.XMATCH($C27, Factor!$C$41:$C$87, -1), 9)</f>
        <v>5</v>
      </c>
      <c r="AA27" s="15" cm="1">
        <f t="array" ref="AA27">P27*VLOOKUP($G27, Factor!$C$4:$N$36, 10, 0)*INDEX(Factor!$C$41:$N$87, _xlfn.XMATCH($C27, Factor!$C$41:$C$87, -1), 10)</f>
        <v>700</v>
      </c>
      <c r="AB27" s="15" cm="1">
        <f t="array" ref="AB27">Q27*VLOOKUP($G27, Factor!$C$4:$N$36, 11, 0)*INDEX(Factor!$C$41:$N$87, _xlfn.XMATCH($C27, Factor!$C$41:$C$87, -1), 11)</f>
        <v>1</v>
      </c>
      <c r="AC27" s="15" cm="1">
        <f t="array" ref="AC27">R27*VLOOKUP($G27, Factor!$C$4:$N$36, 12, 0)*INDEX(Factor!$C$41:$N$87, _xlfn.XMATCH($C27, Factor!$C$41:$C$87, -1), 12)</f>
        <v>1</v>
      </c>
      <c r="AD27" s="16"/>
    </row>
    <row r="28" spans="1:30" ht="15.75" customHeight="1" x14ac:dyDescent="0.2">
      <c r="A28" s="17" t="str">
        <f>"locomotive_"&amp; VLOOKUP(F28, Factor!$BK$4:$BL$6, 2, 0) &amp;"_"&amp;Locomotive!D28&amp;"_"&amp;VLOOKUP(E28, Factor!$BM$4:$BN$36, 2, 0)</f>
        <v>locomotive_Dz_T1_008</v>
      </c>
      <c r="B28" s="18" t="str">
        <f t="shared" si="0"/>
        <v>T1 경량 디젤기관차</v>
      </c>
      <c r="C28" s="18">
        <f>VLOOKUP(D28, Factor!$B$41:$C$50, 2, 0)</f>
        <v>10000</v>
      </c>
      <c r="D28" s="18" t="s">
        <v>297</v>
      </c>
      <c r="E28" s="18" t="s">
        <v>511</v>
      </c>
      <c r="F28" s="18" t="s">
        <v>503</v>
      </c>
      <c r="G28" s="18" t="str">
        <f t="shared" si="1"/>
        <v>경량 디젤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 cm="1">
        <f t="array" ref="S28">H28*VLOOKUP($G28, Factor!$C$4:$N$36, 2, 0)*INDEX(Factor!$C$41:$N$87, _xlfn.XMATCH($C28, Factor!$C$41:$C$87, -1), 2)</f>
        <v>150</v>
      </c>
      <c r="T28" s="18" cm="1">
        <f t="array" ref="T28">I28*VLOOKUP($G28, Factor!$C$4:$N$36, 3, 0)*INDEX(Factor!$C$41:$N$87, _xlfn.XMATCH($C28, Factor!$C$41:$C$87, -1), 3)</f>
        <v>1100</v>
      </c>
      <c r="U28" s="18" cm="1">
        <f t="array" ref="U28">J28*VLOOKUP($G28, Factor!$C$4:$N$36, 4, 0)*INDEX(Factor!$C$41:$N$87, _xlfn.XMATCH($C28, Factor!$C$41:$C$87, -1), 4)</f>
        <v>2</v>
      </c>
      <c r="V28" s="18" cm="1">
        <f t="array" ref="V28">K28*VLOOKUP($G28, Factor!$C$4:$N$36, 5, 0)*INDEX(Factor!$C$41:$N$87, _xlfn.XMATCH($C28, Factor!$C$41:$C$87, -1), 5)</f>
        <v>7</v>
      </c>
      <c r="W28" s="18" cm="1">
        <f t="array" ref="W28">L28*VLOOKUP($G28, Factor!$C$4:$N$36, 6, 0)*INDEX(Factor!$C$41:$N$87, _xlfn.XMATCH($C28, Factor!$C$41:$C$87, -1), 6)</f>
        <v>10</v>
      </c>
      <c r="X28" s="18" cm="1">
        <f t="array" ref="X28">M28*VLOOKUP($G28, Factor!$C$4:$N$36, 7, 0)*INDEX(Factor!$C$41:$N$87, _xlfn.XMATCH($C28, Factor!$C$41:$C$87, -1), 7)</f>
        <v>12000</v>
      </c>
      <c r="Y28" s="18" cm="1">
        <f t="array" ref="Y28">N28*VLOOKUP($G28, Factor!$C$4:$N$36, 8, 0)*INDEX(Factor!$C$41:$N$87, _xlfn.XMATCH($C28, Factor!$C$41:$C$87, -1), 8)</f>
        <v>800</v>
      </c>
      <c r="Z28" s="18" cm="1">
        <f t="array" ref="Z28">O28*VLOOKUP($G28, Factor!$C$4:$N$36, 9, 0)*INDEX(Factor!$C$41:$N$87, _xlfn.XMATCH($C28, Factor!$C$41:$C$87, -1), 9)</f>
        <v>10</v>
      </c>
      <c r="AA28" s="18" cm="1">
        <f t="array" ref="AA28">P28*VLOOKUP($G28, Factor!$C$4:$N$36, 10, 0)*INDEX(Factor!$C$41:$N$87, _xlfn.XMATCH($C28, Factor!$C$41:$C$87, -1), 10)</f>
        <v>800</v>
      </c>
      <c r="AB28" s="18" cm="1">
        <f t="array" ref="AB28">Q28*VLOOKUP($G28, Factor!$C$4:$N$36, 11, 0)*INDEX(Factor!$C$41:$N$87, _xlfn.XMATCH($C28, Factor!$C$41:$C$87, -1), 11)</f>
        <v>1</v>
      </c>
      <c r="AC28" s="18" cm="1">
        <f t="array" ref="AC28">R28*VLOOKUP($G28, Factor!$C$4:$N$36, 12, 0)*INDEX(Factor!$C$41:$N$87, _xlfn.XMATCH($C28, Factor!$C$41:$C$87, -1), 12)</f>
        <v>1</v>
      </c>
      <c r="AD28" s="19"/>
    </row>
    <row r="29" spans="1:30" ht="15.75" customHeight="1" x14ac:dyDescent="0.2">
      <c r="A29" s="48" t="str">
        <f>"locomotive_"&amp; VLOOKUP(F29, Factor!$BK$4:$BL$6, 2, 0) &amp;"_"&amp;Locomotive!D29&amp;"_"&amp;VLOOKUP(E29, Factor!$BM$4:$BN$36, 2, 0)</f>
        <v>locomotive_St_T1_009</v>
      </c>
      <c r="B29" s="15" t="str">
        <f t="shared" si="0"/>
        <v>T1 견인 증기기관차</v>
      </c>
      <c r="C29" s="15">
        <f>VLOOKUP(D29, Factor!$B$41:$C$50, 2, 0)</f>
        <v>10000</v>
      </c>
      <c r="D29" s="15" t="s">
        <v>297</v>
      </c>
      <c r="E29" s="41" t="s">
        <v>512</v>
      </c>
      <c r="F29" s="41" t="s">
        <v>505</v>
      </c>
      <c r="G29" s="41" t="str">
        <f t="shared" si="1"/>
        <v>견인 증기</v>
      </c>
      <c r="H29" s="41">
        <v>1</v>
      </c>
      <c r="I29" s="41">
        <v>1</v>
      </c>
      <c r="J29" s="41">
        <v>1</v>
      </c>
      <c r="K29" s="41">
        <v>1</v>
      </c>
      <c r="L29" s="41">
        <v>1</v>
      </c>
      <c r="M29" s="41">
        <v>1</v>
      </c>
      <c r="N29" s="41">
        <v>1</v>
      </c>
      <c r="O29" s="41">
        <v>1</v>
      </c>
      <c r="P29" s="41">
        <v>1</v>
      </c>
      <c r="Q29" s="41">
        <v>1</v>
      </c>
      <c r="R29" s="41">
        <v>1</v>
      </c>
      <c r="S29" s="15" cm="1">
        <f t="array" ref="S29">H29*VLOOKUP($G29, Factor!$C$4:$N$36, 2, 0)*INDEX(Factor!$C$41:$N$87, _xlfn.XMATCH($C29, Factor!$C$41:$C$87, -1), 2)</f>
        <v>90</v>
      </c>
      <c r="T29" s="15" cm="1">
        <f t="array" ref="T29">I29*VLOOKUP($G29, Factor!$C$4:$N$36, 3, 0)*INDEX(Factor!$C$41:$N$87, _xlfn.XMATCH($C29, Factor!$C$41:$C$87, -1), 3)</f>
        <v>1000</v>
      </c>
      <c r="U29" s="15" cm="1">
        <f t="array" ref="U29">J29*VLOOKUP($G29, Factor!$C$4:$N$36, 4, 0)*INDEX(Factor!$C$41:$N$87, _xlfn.XMATCH($C29, Factor!$C$41:$C$87, -1), 4)</f>
        <v>2</v>
      </c>
      <c r="V29" s="15" cm="1">
        <f t="array" ref="V29">K29*VLOOKUP($G29, Factor!$C$4:$N$36, 5, 0)*INDEX(Factor!$C$41:$N$87, _xlfn.XMATCH($C29, Factor!$C$41:$C$87, -1), 5)</f>
        <v>3</v>
      </c>
      <c r="W29" s="15" cm="1">
        <f t="array" ref="W29">L29*VLOOKUP($G29, Factor!$C$4:$N$36, 6, 0)*INDEX(Factor!$C$41:$N$87, _xlfn.XMATCH($C29, Factor!$C$41:$C$87, -1), 6)</f>
        <v>10</v>
      </c>
      <c r="X29" s="15" cm="1">
        <f t="array" ref="X29">M29*VLOOKUP($G29, Factor!$C$4:$N$36, 7, 0)*INDEX(Factor!$C$41:$N$87, _xlfn.XMATCH($C29, Factor!$C$41:$C$87, -1), 7)</f>
        <v>15000</v>
      </c>
      <c r="Y29" s="15" cm="1">
        <f t="array" ref="Y29">N29*VLOOKUP($G29, Factor!$C$4:$N$36, 8, 0)*INDEX(Factor!$C$41:$N$87, _xlfn.XMATCH($C29, Factor!$C$41:$C$87, -1), 8)</f>
        <v>1000</v>
      </c>
      <c r="Z29" s="15" cm="1">
        <f t="array" ref="Z29">O29*VLOOKUP($G29, Factor!$C$4:$N$36, 9, 0)*INDEX(Factor!$C$41:$N$87, _xlfn.XMATCH($C29, Factor!$C$41:$C$87, -1), 9)</f>
        <v>30</v>
      </c>
      <c r="AA29" s="15" cm="1">
        <f t="array" ref="AA29">P29*VLOOKUP($G29, Factor!$C$4:$N$36, 10, 0)*INDEX(Factor!$C$41:$N$87, _xlfn.XMATCH($C29, Factor!$C$41:$C$87, -1), 10)</f>
        <v>1000</v>
      </c>
      <c r="AB29" s="15" cm="1">
        <f t="array" ref="AB29">Q29*VLOOKUP($G29, Factor!$C$4:$N$36, 11, 0)*INDEX(Factor!$C$41:$N$87, _xlfn.XMATCH($C29, Factor!$C$41:$C$87, -1), 11)</f>
        <v>1</v>
      </c>
      <c r="AC29" s="15" cm="1">
        <f t="array" ref="AC29">R29*VLOOKUP($G29, Factor!$C$4:$N$36, 12, 0)*INDEX(Factor!$C$41:$N$87, _xlfn.XMATCH($C29, Factor!$C$41:$C$87, -1), 12)</f>
        <v>1</v>
      </c>
      <c r="AD29" s="16"/>
    </row>
    <row r="30" spans="1:30" ht="15.75" customHeight="1" x14ac:dyDescent="0.2">
      <c r="A30" s="17" t="str">
        <f>"locomotive_"&amp; VLOOKUP(F30, Factor!$BK$4:$BL$6, 2, 0) &amp;"_"&amp;Locomotive!D30&amp;"_"&amp;VLOOKUP(E30, Factor!$BM$4:$BN$36, 2, 0)</f>
        <v>locomotive_El_T1_009</v>
      </c>
      <c r="B30" s="18" t="str">
        <f t="shared" si="0"/>
        <v>T1 견인 전기기관차</v>
      </c>
      <c r="C30" s="18">
        <f>VLOOKUP(D30, Factor!$B$41:$C$50, 2, 0)</f>
        <v>10000</v>
      </c>
      <c r="D30" s="18" t="s">
        <v>297</v>
      </c>
      <c r="E30" s="18" t="s">
        <v>512</v>
      </c>
      <c r="F30" s="18" t="s">
        <v>502</v>
      </c>
      <c r="G30" s="18" t="str">
        <f t="shared" si="1"/>
        <v>견인 전기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 cm="1">
        <f t="array" ref="S30">H30*VLOOKUP($G30, Factor!$C$4:$N$36, 2, 0)*INDEX(Factor!$C$41:$N$87, _xlfn.XMATCH($C30, Factor!$C$41:$C$87, -1), 2)</f>
        <v>180</v>
      </c>
      <c r="T30" s="18" cm="1">
        <f t="array" ref="T30">I30*VLOOKUP($G30, Factor!$C$4:$N$36, 3, 0)*INDEX(Factor!$C$41:$N$87, _xlfn.XMATCH($C30, Factor!$C$41:$C$87, -1), 3)</f>
        <v>800</v>
      </c>
      <c r="U30" s="18" cm="1">
        <f t="array" ref="U30">J30*VLOOKUP($G30, Factor!$C$4:$N$36, 4, 0)*INDEX(Factor!$C$41:$N$87, _xlfn.XMATCH($C30, Factor!$C$41:$C$87, -1), 4)</f>
        <v>2</v>
      </c>
      <c r="V30" s="18" cm="1">
        <f t="array" ref="V30">K30*VLOOKUP($G30, Factor!$C$4:$N$36, 5, 0)*INDEX(Factor!$C$41:$N$87, _xlfn.XMATCH($C30, Factor!$C$41:$C$87, -1), 5)</f>
        <v>7</v>
      </c>
      <c r="W30" s="18" cm="1">
        <f t="array" ref="W30">L30*VLOOKUP($G30, Factor!$C$4:$N$36, 6, 0)*INDEX(Factor!$C$41:$N$87, _xlfn.XMATCH($C30, Factor!$C$41:$C$87, -1), 6)</f>
        <v>10</v>
      </c>
      <c r="X30" s="18" cm="1">
        <f t="array" ref="X30">M30*VLOOKUP($G30, Factor!$C$4:$N$36, 7, 0)*INDEX(Factor!$C$41:$N$87, _xlfn.XMATCH($C30, Factor!$C$41:$C$87, -1), 7)</f>
        <v>12000</v>
      </c>
      <c r="Y30" s="18" cm="1">
        <f t="array" ref="Y30">N30*VLOOKUP($G30, Factor!$C$4:$N$36, 8, 0)*INDEX(Factor!$C$41:$N$87, _xlfn.XMATCH($C30, Factor!$C$41:$C$87, -1), 8)</f>
        <v>700</v>
      </c>
      <c r="Z30" s="18" cm="1">
        <f t="array" ref="Z30">O30*VLOOKUP($G30, Factor!$C$4:$N$36, 9, 0)*INDEX(Factor!$C$41:$N$87, _xlfn.XMATCH($C30, Factor!$C$41:$C$87, -1), 9)</f>
        <v>5</v>
      </c>
      <c r="AA30" s="18" cm="1">
        <f t="array" ref="AA30">P30*VLOOKUP($G30, Factor!$C$4:$N$36, 10, 0)*INDEX(Factor!$C$41:$N$87, _xlfn.XMATCH($C30, Factor!$C$41:$C$87, -1), 10)</f>
        <v>700</v>
      </c>
      <c r="AB30" s="18" cm="1">
        <f t="array" ref="AB30">Q30*VLOOKUP($G30, Factor!$C$4:$N$36, 11, 0)*INDEX(Factor!$C$41:$N$87, _xlfn.XMATCH($C30, Factor!$C$41:$C$87, -1), 11)</f>
        <v>1</v>
      </c>
      <c r="AC30" s="18" cm="1">
        <f t="array" ref="AC30">R30*VLOOKUP($G30, Factor!$C$4:$N$36, 12, 0)*INDEX(Factor!$C$41:$N$87, _xlfn.XMATCH($C30, Factor!$C$41:$C$87, -1), 12)</f>
        <v>1</v>
      </c>
      <c r="AD30" s="19"/>
    </row>
    <row r="31" spans="1:30" ht="15.75" customHeight="1" x14ac:dyDescent="0.2">
      <c r="A31" s="14" t="str">
        <f>"locomotive_"&amp; VLOOKUP(F31, Factor!$BK$4:$BL$6, 2, 0) &amp;"_"&amp;Locomotive!D31&amp;"_"&amp;VLOOKUP(E31, Factor!$BM$4:$BN$36, 2, 0)</f>
        <v>locomotive_Dz_T1_009</v>
      </c>
      <c r="B31" s="15" t="str">
        <f t="shared" si="0"/>
        <v>T1 견인 디젤기관차</v>
      </c>
      <c r="C31" s="15">
        <f>VLOOKUP(D31, Factor!$B$41:$C$50, 2, 0)</f>
        <v>10000</v>
      </c>
      <c r="D31" s="15" t="s">
        <v>297</v>
      </c>
      <c r="E31" s="41" t="s">
        <v>512</v>
      </c>
      <c r="F31" s="15" t="s">
        <v>503</v>
      </c>
      <c r="G31" s="15" t="str">
        <f t="shared" si="1"/>
        <v>견인 디젤</v>
      </c>
      <c r="H31" s="41">
        <v>1</v>
      </c>
      <c r="I31" s="41">
        <v>1</v>
      </c>
      <c r="J31" s="41">
        <v>1</v>
      </c>
      <c r="K31" s="41">
        <v>1</v>
      </c>
      <c r="L31" s="41">
        <v>1</v>
      </c>
      <c r="M31" s="41">
        <v>1</v>
      </c>
      <c r="N31" s="41">
        <v>1</v>
      </c>
      <c r="O31" s="41">
        <v>1</v>
      </c>
      <c r="P31" s="41">
        <v>1</v>
      </c>
      <c r="Q31" s="41">
        <v>1</v>
      </c>
      <c r="R31" s="41">
        <v>1</v>
      </c>
      <c r="S31" s="15" cm="1">
        <f t="array" ref="S31">H31*VLOOKUP($G31, Factor!$C$4:$N$36, 2, 0)*INDEX(Factor!$C$41:$N$87, _xlfn.XMATCH($C31, Factor!$C$41:$C$87, -1), 2)</f>
        <v>120</v>
      </c>
      <c r="T31" s="15" cm="1">
        <f t="array" ref="T31">I31*VLOOKUP($G31, Factor!$C$4:$N$36, 3, 0)*INDEX(Factor!$C$41:$N$87, _xlfn.XMATCH($C31, Factor!$C$41:$C$87, -1), 3)</f>
        <v>1200</v>
      </c>
      <c r="U31" s="15" cm="1">
        <f t="array" ref="U31">J31*VLOOKUP($G31, Factor!$C$4:$N$36, 4, 0)*INDEX(Factor!$C$41:$N$87, _xlfn.XMATCH($C31, Factor!$C$41:$C$87, -1), 4)</f>
        <v>2</v>
      </c>
      <c r="V31" s="15" cm="1">
        <f t="array" ref="V31">K31*VLOOKUP($G31, Factor!$C$4:$N$36, 5, 0)*INDEX(Factor!$C$41:$N$87, _xlfn.XMATCH($C31, Factor!$C$41:$C$87, -1), 5)</f>
        <v>5</v>
      </c>
      <c r="W31" s="15" cm="1">
        <f t="array" ref="W31">L31*VLOOKUP($G31, Factor!$C$4:$N$36, 6, 0)*INDEX(Factor!$C$41:$N$87, _xlfn.XMATCH($C31, Factor!$C$41:$C$87, -1), 6)</f>
        <v>10</v>
      </c>
      <c r="X31" s="15" cm="1">
        <f t="array" ref="X31">M31*VLOOKUP($G31, Factor!$C$4:$N$36, 7, 0)*INDEX(Factor!$C$41:$N$87, _xlfn.XMATCH($C31, Factor!$C$41:$C$87, -1), 7)</f>
        <v>20000</v>
      </c>
      <c r="Y31" s="15" cm="1">
        <f t="array" ref="Y31">N31*VLOOKUP($G31, Factor!$C$4:$N$36, 8, 0)*INDEX(Factor!$C$41:$N$87, _xlfn.XMATCH($C31, Factor!$C$41:$C$87, -1), 8)</f>
        <v>800</v>
      </c>
      <c r="Z31" s="15" cm="1">
        <f t="array" ref="Z31">O31*VLOOKUP($G31, Factor!$C$4:$N$36, 9, 0)*INDEX(Factor!$C$41:$N$87, _xlfn.XMATCH($C31, Factor!$C$41:$C$87, -1), 9)</f>
        <v>10</v>
      </c>
      <c r="AA31" s="15" cm="1">
        <f t="array" ref="AA31">P31*VLOOKUP($G31, Factor!$C$4:$N$36, 10, 0)*INDEX(Factor!$C$41:$N$87, _xlfn.XMATCH($C31, Factor!$C$41:$C$87, -1), 10)</f>
        <v>800</v>
      </c>
      <c r="AB31" s="15" cm="1">
        <f t="array" ref="AB31">Q31*VLOOKUP($G31, Factor!$C$4:$N$36, 11, 0)*INDEX(Factor!$C$41:$N$87, _xlfn.XMATCH($C31, Factor!$C$41:$C$87, -1), 11)</f>
        <v>1</v>
      </c>
      <c r="AC31" s="15" cm="1">
        <f t="array" ref="AC31">R31*VLOOKUP($G31, Factor!$C$4:$N$36, 12, 0)*INDEX(Factor!$C$41:$N$87, _xlfn.XMATCH($C31, Factor!$C$41:$C$87, -1), 12)</f>
        <v>1</v>
      </c>
      <c r="AD31" s="16"/>
    </row>
    <row r="32" spans="1:30" ht="15.75" customHeight="1" x14ac:dyDescent="0.2">
      <c r="A32" s="17" t="str">
        <f>"locomotive_"&amp; VLOOKUP(F32, Factor!$BK$4:$BL$6, 2, 0) &amp;"_"&amp;Locomotive!D32&amp;"_"&amp;VLOOKUP(E32, Factor!$BM$4:$BN$36, 2, 0)</f>
        <v>locomotive_St_T2_001</v>
      </c>
      <c r="B32" s="18" t="str">
        <f t="shared" si="0"/>
        <v>T2 표준 증기기관차</v>
      </c>
      <c r="C32" s="18">
        <f>VLOOKUP(D32, Factor!$B$41:$C$50, 2, 0)</f>
        <v>20000</v>
      </c>
      <c r="D32" s="18" t="s">
        <v>320</v>
      </c>
      <c r="E32" s="18" t="s">
        <v>501</v>
      </c>
      <c r="F32" s="18" t="s">
        <v>505</v>
      </c>
      <c r="G32" s="18" t="str">
        <f t="shared" si="1"/>
        <v>표준 증기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 cm="1">
        <f t="array" ref="S32">H32*VLOOKUP($G32, Factor!$C$4:$N$36, 2, 0)*INDEX(Factor!$C$41:$N$87, _xlfn.XMATCH($C32, Factor!$C$41:$C$87, -1), 2)</f>
        <v>120</v>
      </c>
      <c r="T32" s="18" cm="1">
        <f t="array" ref="T32">I32*VLOOKUP($G32, Factor!$C$4:$N$36, 3, 0)*INDEX(Factor!$C$41:$N$87, _xlfn.XMATCH($C32, Factor!$C$41:$C$87, -1), 3)</f>
        <v>1200</v>
      </c>
      <c r="U32" s="18" cm="1">
        <f t="array" ref="U32">J32*VLOOKUP($G32, Factor!$C$4:$N$36, 4, 0)*INDEX(Factor!$C$41:$N$87, _xlfn.XMATCH($C32, Factor!$C$41:$C$87, -1), 4)</f>
        <v>3</v>
      </c>
      <c r="V32" s="18" cm="1">
        <f t="array" ref="V32">K32*VLOOKUP($G32, Factor!$C$4:$N$36, 5, 0)*INDEX(Factor!$C$41:$N$87, _xlfn.XMATCH($C32, Factor!$C$41:$C$87, -1), 5)</f>
        <v>4.8</v>
      </c>
      <c r="W32" s="18" cm="1">
        <f t="array" ref="W32">L32*VLOOKUP($G32, Factor!$C$4:$N$36, 6, 0)*INDEX(Factor!$C$41:$N$87, _xlfn.XMATCH($C32, Factor!$C$41:$C$87, -1), 6)</f>
        <v>12</v>
      </c>
      <c r="X32" s="18" cm="1">
        <f t="array" ref="X32">M32*VLOOKUP($G32, Factor!$C$4:$N$36, 7, 0)*INDEX(Factor!$C$41:$N$87, _xlfn.XMATCH($C32, Factor!$C$41:$C$87, -1), 7)</f>
        <v>12000</v>
      </c>
      <c r="Y32" s="18" cm="1">
        <f t="array" ref="Y32">N32*VLOOKUP($G32, Factor!$C$4:$N$36, 8, 0)*INDEX(Factor!$C$41:$N$87, _xlfn.XMATCH($C32, Factor!$C$41:$C$87, -1), 8)</f>
        <v>1200</v>
      </c>
      <c r="Z32" s="18" cm="1">
        <f t="array" ref="Z32">O32*VLOOKUP($G32, Factor!$C$4:$N$36, 9, 0)*INDEX(Factor!$C$41:$N$87, _xlfn.XMATCH($C32, Factor!$C$41:$C$87, -1), 9)</f>
        <v>36</v>
      </c>
      <c r="AA32" s="18" cm="1">
        <f t="array" ref="AA32">P32*VLOOKUP($G32, Factor!$C$4:$N$36, 10, 0)*INDEX(Factor!$C$41:$N$87, _xlfn.XMATCH($C32, Factor!$C$41:$C$87, -1), 10)</f>
        <v>1200</v>
      </c>
      <c r="AB32" s="18" cm="1">
        <f t="array" ref="AB32">Q32*VLOOKUP($G32, Factor!$C$4:$N$36, 11, 0)*INDEX(Factor!$C$41:$N$87, _xlfn.XMATCH($C32, Factor!$C$41:$C$87, -1), 11)</f>
        <v>2</v>
      </c>
      <c r="AC32" s="18" cm="1">
        <f t="array" ref="AC32">R32*VLOOKUP($G32, Factor!$C$4:$N$36, 12, 0)*INDEX(Factor!$C$41:$N$87, _xlfn.XMATCH($C32, Factor!$C$41:$C$87, -1), 12)</f>
        <v>2</v>
      </c>
      <c r="AD32" s="19"/>
    </row>
    <row r="33" spans="1:30" ht="15.75" customHeight="1" x14ac:dyDescent="0.2">
      <c r="A33" s="14" t="str">
        <f>"locomotive_"&amp; VLOOKUP(F33, Factor!$BK$4:$BL$6, 2, 0) &amp;"_"&amp;Locomotive!D33&amp;"_"&amp;VLOOKUP(E33, Factor!$BM$4:$BN$36, 2, 0)</f>
        <v>locomotive_El_T2_001</v>
      </c>
      <c r="B33" s="15" t="str">
        <f t="shared" si="0"/>
        <v>T2 표준 전기기관차</v>
      </c>
      <c r="C33" s="15">
        <f>VLOOKUP(D33, Factor!$B$41:$C$50, 2, 0)</f>
        <v>20000</v>
      </c>
      <c r="D33" s="15" t="s">
        <v>320</v>
      </c>
      <c r="E33" s="41" t="s">
        <v>501</v>
      </c>
      <c r="F33" s="15" t="s">
        <v>502</v>
      </c>
      <c r="G33" s="15" t="str">
        <f t="shared" si="1"/>
        <v>표준 전기</v>
      </c>
      <c r="H33" s="41">
        <v>1</v>
      </c>
      <c r="I33" s="41">
        <v>1</v>
      </c>
      <c r="J33" s="41">
        <v>1</v>
      </c>
      <c r="K33" s="41">
        <v>1</v>
      </c>
      <c r="L33" s="41">
        <v>1</v>
      </c>
      <c r="M33" s="41">
        <v>1</v>
      </c>
      <c r="N33" s="41">
        <v>1</v>
      </c>
      <c r="O33" s="41">
        <v>1</v>
      </c>
      <c r="P33" s="41">
        <v>1</v>
      </c>
      <c r="Q33" s="41">
        <v>1</v>
      </c>
      <c r="R33" s="41">
        <v>1</v>
      </c>
      <c r="S33" s="15" cm="1">
        <f t="array" ref="S33">H33*VLOOKUP($G33, Factor!$C$4:$N$36, 2, 0)*INDEX(Factor!$C$41:$N$87, _xlfn.XMATCH($C33, Factor!$C$41:$C$87, -1), 2)</f>
        <v>240</v>
      </c>
      <c r="T33" s="15" cm="1">
        <f t="array" ref="T33">I33*VLOOKUP($G33, Factor!$C$4:$N$36, 3, 0)*INDEX(Factor!$C$41:$N$87, _xlfn.XMATCH($C33, Factor!$C$41:$C$87, -1), 3)</f>
        <v>960</v>
      </c>
      <c r="U33" s="15" cm="1">
        <f t="array" ref="U33">J33*VLOOKUP($G33, Factor!$C$4:$N$36, 4, 0)*INDEX(Factor!$C$41:$N$87, _xlfn.XMATCH($C33, Factor!$C$41:$C$87, -1), 4)</f>
        <v>3</v>
      </c>
      <c r="V33" s="15" cm="1">
        <f t="array" ref="V33">K33*VLOOKUP($G33, Factor!$C$4:$N$36, 5, 0)*INDEX(Factor!$C$41:$N$87, _xlfn.XMATCH($C33, Factor!$C$41:$C$87, -1), 5)</f>
        <v>9.6</v>
      </c>
      <c r="W33" s="15" cm="1">
        <f t="array" ref="W33">L33*VLOOKUP($G33, Factor!$C$4:$N$36, 6, 0)*INDEX(Factor!$C$41:$N$87, _xlfn.XMATCH($C33, Factor!$C$41:$C$87, -1), 6)</f>
        <v>12</v>
      </c>
      <c r="X33" s="15" cm="1">
        <f t="array" ref="X33">M33*VLOOKUP($G33, Factor!$C$4:$N$36, 7, 0)*INDEX(Factor!$C$41:$N$87, _xlfn.XMATCH($C33, Factor!$C$41:$C$87, -1), 7)</f>
        <v>8400</v>
      </c>
      <c r="Y33" s="15" cm="1">
        <f t="array" ref="Y33">N33*VLOOKUP($G33, Factor!$C$4:$N$36, 8, 0)*INDEX(Factor!$C$41:$N$87, _xlfn.XMATCH($C33, Factor!$C$41:$C$87, -1), 8)</f>
        <v>840</v>
      </c>
      <c r="Z33" s="15" cm="1">
        <f t="array" ref="Z33">O33*VLOOKUP($G33, Factor!$C$4:$N$36, 9, 0)*INDEX(Factor!$C$41:$N$87, _xlfn.XMATCH($C33, Factor!$C$41:$C$87, -1), 9)</f>
        <v>6</v>
      </c>
      <c r="AA33" s="15" cm="1">
        <f t="array" ref="AA33">P33*VLOOKUP($G33, Factor!$C$4:$N$36, 10, 0)*INDEX(Factor!$C$41:$N$87, _xlfn.XMATCH($C33, Factor!$C$41:$C$87, -1), 10)</f>
        <v>840</v>
      </c>
      <c r="AB33" s="15" cm="1">
        <f t="array" ref="AB33">Q33*VLOOKUP($G33, Factor!$C$4:$N$36, 11, 0)*INDEX(Factor!$C$41:$N$87, _xlfn.XMATCH($C33, Factor!$C$41:$C$87, -1), 11)</f>
        <v>2</v>
      </c>
      <c r="AC33" s="15" cm="1">
        <f t="array" ref="AC33">R33*VLOOKUP($G33, Factor!$C$4:$N$36, 12, 0)*INDEX(Factor!$C$41:$N$87, _xlfn.XMATCH($C33, Factor!$C$41:$C$87, -1), 12)</f>
        <v>2</v>
      </c>
      <c r="AD33" s="16"/>
    </row>
    <row r="34" spans="1:30" ht="15.75" customHeight="1" x14ac:dyDescent="0.2">
      <c r="A34" s="17" t="str">
        <f>"locomotive_"&amp; VLOOKUP(F34, Factor!$BK$4:$BL$6, 2, 0) &amp;"_"&amp;Locomotive!D34&amp;"_"&amp;VLOOKUP(E34, Factor!$BM$4:$BN$36, 2, 0)</f>
        <v>locomotive_Dz_T2_001</v>
      </c>
      <c r="B34" s="18" t="str">
        <f t="shared" si="0"/>
        <v>T2 표준 디젤기관차</v>
      </c>
      <c r="C34" s="18">
        <f>VLOOKUP(D34, Factor!$B$41:$C$50, 2, 0)</f>
        <v>20000</v>
      </c>
      <c r="D34" s="18" t="s">
        <v>320</v>
      </c>
      <c r="E34" s="18" t="s">
        <v>501</v>
      </c>
      <c r="F34" s="18" t="s">
        <v>503</v>
      </c>
      <c r="G34" s="18" t="str">
        <f t="shared" si="1"/>
        <v>표준 디젤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 cm="1">
        <f t="array" ref="S34">H34*VLOOKUP($G34, Factor!$C$4:$N$36, 2, 0)*INDEX(Factor!$C$41:$N$87, _xlfn.XMATCH($C34, Factor!$C$41:$C$87, -1), 2)</f>
        <v>180</v>
      </c>
      <c r="T34" s="18" cm="1">
        <f t="array" ref="T34">I34*VLOOKUP($G34, Factor!$C$4:$N$36, 3, 0)*INDEX(Factor!$C$41:$N$87, _xlfn.XMATCH($C34, Factor!$C$41:$C$87, -1), 3)</f>
        <v>1440</v>
      </c>
      <c r="U34" s="18" cm="1">
        <f t="array" ref="U34">J34*VLOOKUP($G34, Factor!$C$4:$N$36, 4, 0)*INDEX(Factor!$C$41:$N$87, _xlfn.XMATCH($C34, Factor!$C$41:$C$87, -1), 4)</f>
        <v>3</v>
      </c>
      <c r="V34" s="18" cm="1">
        <f t="array" ref="V34">K34*VLOOKUP($G34, Factor!$C$4:$N$36, 5, 0)*INDEX(Factor!$C$41:$N$87, _xlfn.XMATCH($C34, Factor!$C$41:$C$87, -1), 5)</f>
        <v>7.1999999999999993</v>
      </c>
      <c r="W34" s="18" cm="1">
        <f t="array" ref="W34">L34*VLOOKUP($G34, Factor!$C$4:$N$36, 6, 0)*INDEX(Factor!$C$41:$N$87, _xlfn.XMATCH($C34, Factor!$C$41:$C$87, -1), 6)</f>
        <v>12</v>
      </c>
      <c r="X34" s="18" cm="1">
        <f t="array" ref="X34">M34*VLOOKUP($G34, Factor!$C$4:$N$36, 7, 0)*INDEX(Factor!$C$41:$N$87, _xlfn.XMATCH($C34, Factor!$C$41:$C$87, -1), 7)</f>
        <v>18000</v>
      </c>
      <c r="Y34" s="18" cm="1">
        <f t="array" ref="Y34">N34*VLOOKUP($G34, Factor!$C$4:$N$36, 8, 0)*INDEX(Factor!$C$41:$N$87, _xlfn.XMATCH($C34, Factor!$C$41:$C$87, -1), 8)</f>
        <v>960</v>
      </c>
      <c r="Z34" s="18" cm="1">
        <f t="array" ref="Z34">O34*VLOOKUP($G34, Factor!$C$4:$N$36, 9, 0)*INDEX(Factor!$C$41:$N$87, _xlfn.XMATCH($C34, Factor!$C$41:$C$87, -1), 9)</f>
        <v>12</v>
      </c>
      <c r="AA34" s="18" cm="1">
        <f t="array" ref="AA34">P34*VLOOKUP($G34, Factor!$C$4:$N$36, 10, 0)*INDEX(Factor!$C$41:$N$87, _xlfn.XMATCH($C34, Factor!$C$41:$C$87, -1), 10)</f>
        <v>960</v>
      </c>
      <c r="AB34" s="18" cm="1">
        <f t="array" ref="AB34">Q34*VLOOKUP($G34, Factor!$C$4:$N$36, 11, 0)*INDEX(Factor!$C$41:$N$87, _xlfn.XMATCH($C34, Factor!$C$41:$C$87, -1), 11)</f>
        <v>2</v>
      </c>
      <c r="AC34" s="18" cm="1">
        <f t="array" ref="AC34">R34*VLOOKUP($G34, Factor!$C$4:$N$36, 12, 0)*INDEX(Factor!$C$41:$N$87, _xlfn.XMATCH($C34, Factor!$C$41:$C$87, -1), 12)</f>
        <v>2</v>
      </c>
      <c r="AD34" s="19"/>
    </row>
    <row r="35" spans="1:30" ht="15.75" customHeight="1" x14ac:dyDescent="0.2">
      <c r="A35" s="48" t="str">
        <f>"locomotive_"&amp; VLOOKUP(F35, Factor!$BK$4:$BL$6, 2, 0) &amp;"_"&amp;Locomotive!D35&amp;"_"&amp;VLOOKUP(E35, Factor!$BM$4:$BN$36, 2, 0)</f>
        <v>locomotive_St_T2_002</v>
      </c>
      <c r="B35" s="15" t="str">
        <f t="shared" si="0"/>
        <v>T2 쾌속 증기기관차</v>
      </c>
      <c r="C35" s="15">
        <f>VLOOKUP(D35, Factor!$B$41:$C$50, 2, 0)</f>
        <v>20000</v>
      </c>
      <c r="D35" s="15" t="s">
        <v>320</v>
      </c>
      <c r="E35" s="41" t="s">
        <v>504</v>
      </c>
      <c r="F35" s="41" t="s">
        <v>505</v>
      </c>
      <c r="G35" s="41" t="str">
        <f t="shared" si="1"/>
        <v>쾌속 증기</v>
      </c>
      <c r="H35" s="41">
        <v>1</v>
      </c>
      <c r="I35" s="41">
        <v>1</v>
      </c>
      <c r="J35" s="41">
        <v>1</v>
      </c>
      <c r="K35" s="41">
        <v>1</v>
      </c>
      <c r="L35" s="41">
        <v>1</v>
      </c>
      <c r="M35" s="41">
        <v>1</v>
      </c>
      <c r="N35" s="41">
        <v>1</v>
      </c>
      <c r="O35" s="41">
        <v>1</v>
      </c>
      <c r="P35" s="41">
        <v>1</v>
      </c>
      <c r="Q35" s="41">
        <v>1</v>
      </c>
      <c r="R35" s="41">
        <v>1</v>
      </c>
      <c r="S35" s="15" cm="1">
        <f t="array" ref="S35">H35*VLOOKUP($G35, Factor!$C$4:$N$36, 2, 0)*INDEX(Factor!$C$41:$N$87, _xlfn.XMATCH($C35, Factor!$C$41:$C$87, -1), 2)</f>
        <v>132</v>
      </c>
      <c r="T35" s="15" cm="1">
        <f t="array" ref="T35">I35*VLOOKUP($G35, Factor!$C$4:$N$36, 3, 0)*INDEX(Factor!$C$41:$N$87, _xlfn.XMATCH($C35, Factor!$C$41:$C$87, -1), 3)</f>
        <v>1080</v>
      </c>
      <c r="U35" s="15" cm="1">
        <f t="array" ref="U35">J35*VLOOKUP($G35, Factor!$C$4:$N$36, 4, 0)*INDEX(Factor!$C$41:$N$87, _xlfn.XMATCH($C35, Factor!$C$41:$C$87, -1), 4)</f>
        <v>3</v>
      </c>
      <c r="V35" s="15" cm="1">
        <f t="array" ref="V35">K35*VLOOKUP($G35, Factor!$C$4:$N$36, 5, 0)*INDEX(Factor!$C$41:$N$87, _xlfn.XMATCH($C35, Factor!$C$41:$C$87, -1), 5)</f>
        <v>7.1999999999999993</v>
      </c>
      <c r="W35" s="15" cm="1">
        <f t="array" ref="W35">L35*VLOOKUP($G35, Factor!$C$4:$N$36, 6, 0)*INDEX(Factor!$C$41:$N$87, _xlfn.XMATCH($C35, Factor!$C$41:$C$87, -1), 6)</f>
        <v>12</v>
      </c>
      <c r="X35" s="15" cm="1">
        <f t="array" ref="X35">M35*VLOOKUP($G35, Factor!$C$4:$N$36, 7, 0)*INDEX(Factor!$C$41:$N$87, _xlfn.XMATCH($C35, Factor!$C$41:$C$87, -1), 7)</f>
        <v>12000</v>
      </c>
      <c r="Y35" s="15" cm="1">
        <f t="array" ref="Y35">N35*VLOOKUP($G35, Factor!$C$4:$N$36, 8, 0)*INDEX(Factor!$C$41:$N$87, _xlfn.XMATCH($C35, Factor!$C$41:$C$87, -1), 8)</f>
        <v>960</v>
      </c>
      <c r="Z35" s="15" cm="1">
        <f t="array" ref="Z35">O35*VLOOKUP($G35, Factor!$C$4:$N$36, 9, 0)*INDEX(Factor!$C$41:$N$87, _xlfn.XMATCH($C35, Factor!$C$41:$C$87, -1), 9)</f>
        <v>24</v>
      </c>
      <c r="AA35" s="15" cm="1">
        <f t="array" ref="AA35">P35*VLOOKUP($G35, Factor!$C$4:$N$36, 10, 0)*INDEX(Factor!$C$41:$N$87, _xlfn.XMATCH($C35, Factor!$C$41:$C$87, -1), 10)</f>
        <v>960</v>
      </c>
      <c r="AB35" s="15" cm="1">
        <f t="array" ref="AB35">Q35*VLOOKUP($G35, Factor!$C$4:$N$36, 11, 0)*INDEX(Factor!$C$41:$N$87, _xlfn.XMATCH($C35, Factor!$C$41:$C$87, -1), 11)</f>
        <v>2</v>
      </c>
      <c r="AC35" s="15" cm="1">
        <f t="array" ref="AC35">R35*VLOOKUP($G35, Factor!$C$4:$N$36, 12, 0)*INDEX(Factor!$C$41:$N$87, _xlfn.XMATCH($C35, Factor!$C$41:$C$87, -1), 12)</f>
        <v>2</v>
      </c>
      <c r="AD35" s="16"/>
    </row>
    <row r="36" spans="1:30" ht="15.75" customHeight="1" x14ac:dyDescent="0.2">
      <c r="A36" s="17" t="str">
        <f>"locomotive_"&amp; VLOOKUP(F36, Factor!$BK$4:$BL$6, 2, 0) &amp;"_"&amp;Locomotive!D36&amp;"_"&amp;VLOOKUP(E36, Factor!$BM$4:$BN$36, 2, 0)</f>
        <v>locomotive_El_T2_002</v>
      </c>
      <c r="B36" s="18" t="str">
        <f t="shared" si="0"/>
        <v>T2 쾌속 전기기관차</v>
      </c>
      <c r="C36" s="18">
        <f>VLOOKUP(D36, Factor!$B$41:$C$50, 2, 0)</f>
        <v>20000</v>
      </c>
      <c r="D36" s="18" t="s">
        <v>320</v>
      </c>
      <c r="E36" s="18" t="s">
        <v>504</v>
      </c>
      <c r="F36" s="18" t="s">
        <v>502</v>
      </c>
      <c r="G36" s="18" t="str">
        <f t="shared" si="1"/>
        <v>쾌속 전기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 cm="1">
        <f t="array" ref="S36">H36*VLOOKUP($G36, Factor!$C$4:$N$36, 2, 0)*INDEX(Factor!$C$41:$N$87, _xlfn.XMATCH($C36, Factor!$C$41:$C$87, -1), 2)</f>
        <v>264</v>
      </c>
      <c r="T36" s="18" cm="1">
        <f t="array" ref="T36">I36*VLOOKUP($G36, Factor!$C$4:$N$36, 3, 0)*INDEX(Factor!$C$41:$N$87, _xlfn.XMATCH($C36, Factor!$C$41:$C$87, -1), 3)</f>
        <v>840</v>
      </c>
      <c r="U36" s="18" cm="1">
        <f t="array" ref="U36">J36*VLOOKUP($G36, Factor!$C$4:$N$36, 4, 0)*INDEX(Factor!$C$41:$N$87, _xlfn.XMATCH($C36, Factor!$C$41:$C$87, -1), 4)</f>
        <v>3</v>
      </c>
      <c r="V36" s="18" cm="1">
        <f t="array" ref="V36">K36*VLOOKUP($G36, Factor!$C$4:$N$36, 5, 0)*INDEX(Factor!$C$41:$N$87, _xlfn.XMATCH($C36, Factor!$C$41:$C$87, -1), 5)</f>
        <v>12</v>
      </c>
      <c r="W36" s="18" cm="1">
        <f t="array" ref="W36">L36*VLOOKUP($G36, Factor!$C$4:$N$36, 6, 0)*INDEX(Factor!$C$41:$N$87, _xlfn.XMATCH($C36, Factor!$C$41:$C$87, -1), 6)</f>
        <v>12</v>
      </c>
      <c r="X36" s="18" cm="1">
        <f t="array" ref="X36">M36*VLOOKUP($G36, Factor!$C$4:$N$36, 7, 0)*INDEX(Factor!$C$41:$N$87, _xlfn.XMATCH($C36, Factor!$C$41:$C$87, -1), 7)</f>
        <v>8400</v>
      </c>
      <c r="Y36" s="18" cm="1">
        <f t="array" ref="Y36">N36*VLOOKUP($G36, Factor!$C$4:$N$36, 8, 0)*INDEX(Factor!$C$41:$N$87, _xlfn.XMATCH($C36, Factor!$C$41:$C$87, -1), 8)</f>
        <v>600</v>
      </c>
      <c r="Z36" s="18" cm="1">
        <f t="array" ref="Z36">O36*VLOOKUP($G36, Factor!$C$4:$N$36, 9, 0)*INDEX(Factor!$C$41:$N$87, _xlfn.XMATCH($C36, Factor!$C$41:$C$87, -1), 9)</f>
        <v>3.5999999999999996</v>
      </c>
      <c r="AA36" s="18" cm="1">
        <f t="array" ref="AA36">P36*VLOOKUP($G36, Factor!$C$4:$N$36, 10, 0)*INDEX(Factor!$C$41:$N$87, _xlfn.XMATCH($C36, Factor!$C$41:$C$87, -1), 10)</f>
        <v>600</v>
      </c>
      <c r="AB36" s="18" cm="1">
        <f t="array" ref="AB36">Q36*VLOOKUP($G36, Factor!$C$4:$N$36, 11, 0)*INDEX(Factor!$C$41:$N$87, _xlfn.XMATCH($C36, Factor!$C$41:$C$87, -1), 11)</f>
        <v>2</v>
      </c>
      <c r="AC36" s="18" cm="1">
        <f t="array" ref="AC36">R36*VLOOKUP($G36, Factor!$C$4:$N$36, 12, 0)*INDEX(Factor!$C$41:$N$87, _xlfn.XMATCH($C36, Factor!$C$41:$C$87, -1), 12)</f>
        <v>2</v>
      </c>
      <c r="AD36" s="19"/>
    </row>
    <row r="37" spans="1:30" ht="15.75" customHeight="1" x14ac:dyDescent="0.2">
      <c r="A37" s="14" t="str">
        <f>"locomotive_"&amp; VLOOKUP(F37, Factor!$BK$4:$BL$6, 2, 0) &amp;"_"&amp;Locomotive!D37&amp;"_"&amp;VLOOKUP(E37, Factor!$BM$4:$BN$36, 2, 0)</f>
        <v>locomotive_Dz_T2_002</v>
      </c>
      <c r="B37" s="15" t="str">
        <f t="shared" si="0"/>
        <v>T2 쾌속 디젤기관차</v>
      </c>
      <c r="C37" s="15">
        <f>VLOOKUP(D37, Factor!$B$41:$C$50, 2, 0)</f>
        <v>20000</v>
      </c>
      <c r="D37" s="15" t="s">
        <v>320</v>
      </c>
      <c r="E37" s="41" t="s">
        <v>504</v>
      </c>
      <c r="F37" s="15" t="s">
        <v>503</v>
      </c>
      <c r="G37" s="15" t="str">
        <f t="shared" si="1"/>
        <v>쾌속 디젤</v>
      </c>
      <c r="H37" s="41">
        <v>1</v>
      </c>
      <c r="I37" s="41">
        <v>1</v>
      </c>
      <c r="J37" s="41">
        <v>1</v>
      </c>
      <c r="K37" s="41">
        <v>1</v>
      </c>
      <c r="L37" s="41">
        <v>1</v>
      </c>
      <c r="M37" s="41">
        <v>1</v>
      </c>
      <c r="N37" s="41">
        <v>1</v>
      </c>
      <c r="O37" s="41">
        <v>1</v>
      </c>
      <c r="P37" s="41">
        <v>1</v>
      </c>
      <c r="Q37" s="41">
        <v>1</v>
      </c>
      <c r="R37" s="41">
        <v>1</v>
      </c>
      <c r="S37" s="15" cm="1">
        <f t="array" ref="S37">H37*VLOOKUP($G37, Factor!$C$4:$N$36, 2, 0)*INDEX(Factor!$C$41:$N$87, _xlfn.XMATCH($C37, Factor!$C$41:$C$87, -1), 2)</f>
        <v>198</v>
      </c>
      <c r="T37" s="15" cm="1">
        <f t="array" ref="T37">I37*VLOOKUP($G37, Factor!$C$4:$N$36, 3, 0)*INDEX(Factor!$C$41:$N$87, _xlfn.XMATCH($C37, Factor!$C$41:$C$87, -1), 3)</f>
        <v>1200</v>
      </c>
      <c r="U37" s="15" cm="1">
        <f t="array" ref="U37">J37*VLOOKUP($G37, Factor!$C$4:$N$36, 4, 0)*INDEX(Factor!$C$41:$N$87, _xlfn.XMATCH($C37, Factor!$C$41:$C$87, -1), 4)</f>
        <v>3</v>
      </c>
      <c r="V37" s="15" cm="1">
        <f t="array" ref="V37">K37*VLOOKUP($G37, Factor!$C$4:$N$36, 5, 0)*INDEX(Factor!$C$41:$N$87, _xlfn.XMATCH($C37, Factor!$C$41:$C$87, -1), 5)</f>
        <v>9.6</v>
      </c>
      <c r="W37" s="15" cm="1">
        <f t="array" ref="W37">L37*VLOOKUP($G37, Factor!$C$4:$N$36, 6, 0)*INDEX(Factor!$C$41:$N$87, _xlfn.XMATCH($C37, Factor!$C$41:$C$87, -1), 6)</f>
        <v>12</v>
      </c>
      <c r="X37" s="15" cm="1">
        <f t="array" ref="X37">M37*VLOOKUP($G37, Factor!$C$4:$N$36, 7, 0)*INDEX(Factor!$C$41:$N$87, _xlfn.XMATCH($C37, Factor!$C$41:$C$87, -1), 7)</f>
        <v>18000</v>
      </c>
      <c r="Y37" s="15" cm="1">
        <f t="array" ref="Y37">N37*VLOOKUP($G37, Factor!$C$4:$N$36, 8, 0)*INDEX(Factor!$C$41:$N$87, _xlfn.XMATCH($C37, Factor!$C$41:$C$87, -1), 8)</f>
        <v>780</v>
      </c>
      <c r="Z37" s="15" cm="1">
        <f t="array" ref="Z37">O37*VLOOKUP($G37, Factor!$C$4:$N$36, 9, 0)*INDEX(Factor!$C$41:$N$87, _xlfn.XMATCH($C37, Factor!$C$41:$C$87, -1), 9)</f>
        <v>6</v>
      </c>
      <c r="AA37" s="15" cm="1">
        <f t="array" ref="AA37">P37*VLOOKUP($G37, Factor!$C$4:$N$36, 10, 0)*INDEX(Factor!$C$41:$N$87, _xlfn.XMATCH($C37, Factor!$C$41:$C$87, -1), 10)</f>
        <v>780</v>
      </c>
      <c r="AB37" s="15" cm="1">
        <f t="array" ref="AB37">Q37*VLOOKUP($G37, Factor!$C$4:$N$36, 11, 0)*INDEX(Factor!$C$41:$N$87, _xlfn.XMATCH($C37, Factor!$C$41:$C$87, -1), 11)</f>
        <v>2</v>
      </c>
      <c r="AC37" s="15" cm="1">
        <f t="array" ref="AC37">R37*VLOOKUP($G37, Factor!$C$4:$N$36, 12, 0)*INDEX(Factor!$C$41:$N$87, _xlfn.XMATCH($C37, Factor!$C$41:$C$87, -1), 12)</f>
        <v>2</v>
      </c>
      <c r="AD37" s="16"/>
    </row>
    <row r="38" spans="1:30" ht="15.75" customHeight="1" x14ac:dyDescent="0.2">
      <c r="A38" s="17" t="str">
        <f>"locomotive_"&amp; VLOOKUP(F38, Factor!$BK$4:$BL$6, 2, 0) &amp;"_"&amp;Locomotive!D38&amp;"_"&amp;VLOOKUP(E38, Factor!$BM$4:$BN$36, 2, 0)</f>
        <v>locomotive_St_T2_003</v>
      </c>
      <c r="B38" s="18" t="str">
        <f t="shared" si="0"/>
        <v>T2 중갑 증기기관차</v>
      </c>
      <c r="C38" s="18">
        <f>VLOOKUP(D38, Factor!$B$41:$C$50, 2, 0)</f>
        <v>20000</v>
      </c>
      <c r="D38" s="18" t="s">
        <v>320</v>
      </c>
      <c r="E38" s="18" t="s">
        <v>506</v>
      </c>
      <c r="F38" s="18" t="s">
        <v>505</v>
      </c>
      <c r="G38" s="18" t="str">
        <f t="shared" si="1"/>
        <v>중갑 증기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 cm="1">
        <f t="array" ref="S38">H38*VLOOKUP($G38, Factor!$C$4:$N$36, 2, 0)*INDEX(Factor!$C$41:$N$87, _xlfn.XMATCH($C38, Factor!$C$41:$C$87, -1), 2)</f>
        <v>108</v>
      </c>
      <c r="T38" s="18" cm="1">
        <f t="array" ref="T38">I38*VLOOKUP($G38, Factor!$C$4:$N$36, 3, 0)*INDEX(Factor!$C$41:$N$87, _xlfn.XMATCH($C38, Factor!$C$41:$C$87, -1), 3)</f>
        <v>1440</v>
      </c>
      <c r="U38" s="18" cm="1">
        <f t="array" ref="U38">J38*VLOOKUP($G38, Factor!$C$4:$N$36, 4, 0)*INDEX(Factor!$C$41:$N$87, _xlfn.XMATCH($C38, Factor!$C$41:$C$87, -1), 4)</f>
        <v>3</v>
      </c>
      <c r="V38" s="18" cm="1">
        <f t="array" ref="V38">K38*VLOOKUP($G38, Factor!$C$4:$N$36, 5, 0)*INDEX(Factor!$C$41:$N$87, _xlfn.XMATCH($C38, Factor!$C$41:$C$87, -1), 5)</f>
        <v>4.8</v>
      </c>
      <c r="W38" s="18" cm="1">
        <f t="array" ref="W38">L38*VLOOKUP($G38, Factor!$C$4:$N$36, 6, 0)*INDEX(Factor!$C$41:$N$87, _xlfn.XMATCH($C38, Factor!$C$41:$C$87, -1), 6)</f>
        <v>12</v>
      </c>
      <c r="X38" s="18" cm="1">
        <f t="array" ref="X38">M38*VLOOKUP($G38, Factor!$C$4:$N$36, 7, 0)*INDEX(Factor!$C$41:$N$87, _xlfn.XMATCH($C38, Factor!$C$41:$C$87, -1), 7)</f>
        <v>9600</v>
      </c>
      <c r="Y38" s="18" cm="1">
        <f t="array" ref="Y38">N38*VLOOKUP($G38, Factor!$C$4:$N$36, 8, 0)*INDEX(Factor!$C$41:$N$87, _xlfn.XMATCH($C38, Factor!$C$41:$C$87, -1), 8)</f>
        <v>1800</v>
      </c>
      <c r="Z38" s="18" cm="1">
        <f t="array" ref="Z38">O38*VLOOKUP($G38, Factor!$C$4:$N$36, 9, 0)*INDEX(Factor!$C$41:$N$87, _xlfn.XMATCH($C38, Factor!$C$41:$C$87, -1), 9)</f>
        <v>60</v>
      </c>
      <c r="AA38" s="18" cm="1">
        <f t="array" ref="AA38">P38*VLOOKUP($G38, Factor!$C$4:$N$36, 10, 0)*INDEX(Factor!$C$41:$N$87, _xlfn.XMATCH($C38, Factor!$C$41:$C$87, -1), 10)</f>
        <v>1800</v>
      </c>
      <c r="AB38" s="18" cm="1">
        <f t="array" ref="AB38">Q38*VLOOKUP($G38, Factor!$C$4:$N$36, 11, 0)*INDEX(Factor!$C$41:$N$87, _xlfn.XMATCH($C38, Factor!$C$41:$C$87, -1), 11)</f>
        <v>2</v>
      </c>
      <c r="AC38" s="18" cm="1">
        <f t="array" ref="AC38">R38*VLOOKUP($G38, Factor!$C$4:$N$36, 12, 0)*INDEX(Factor!$C$41:$N$87, _xlfn.XMATCH($C38, Factor!$C$41:$C$87, -1), 12)</f>
        <v>2</v>
      </c>
      <c r="AD38" s="19"/>
    </row>
    <row r="39" spans="1:30" ht="15.75" customHeight="1" x14ac:dyDescent="0.2">
      <c r="A39" s="14" t="str">
        <f>"locomotive_"&amp; VLOOKUP(F39, Factor!$BK$4:$BL$6, 2, 0) &amp;"_"&amp;Locomotive!D39&amp;"_"&amp;VLOOKUP(E39, Factor!$BM$4:$BN$36, 2, 0)</f>
        <v>locomotive_El_T2_003</v>
      </c>
      <c r="B39" s="15" t="str">
        <f t="shared" si="0"/>
        <v>T2 중갑 전기기관차</v>
      </c>
      <c r="C39" s="15">
        <f>VLOOKUP(D39, Factor!$B$41:$C$50, 2, 0)</f>
        <v>20000</v>
      </c>
      <c r="D39" s="15" t="s">
        <v>320</v>
      </c>
      <c r="E39" s="41" t="s">
        <v>506</v>
      </c>
      <c r="F39" s="15" t="s">
        <v>502</v>
      </c>
      <c r="G39" s="15" t="str">
        <f t="shared" si="1"/>
        <v>중갑 전기</v>
      </c>
      <c r="H39" s="41">
        <v>1</v>
      </c>
      <c r="I39" s="41">
        <v>1</v>
      </c>
      <c r="J39" s="41">
        <v>1</v>
      </c>
      <c r="K39" s="41">
        <v>1</v>
      </c>
      <c r="L39" s="41">
        <v>1</v>
      </c>
      <c r="M39" s="41">
        <v>1</v>
      </c>
      <c r="N39" s="41">
        <v>1</v>
      </c>
      <c r="O39" s="41">
        <v>1</v>
      </c>
      <c r="P39" s="41">
        <v>1</v>
      </c>
      <c r="Q39" s="41">
        <v>1</v>
      </c>
      <c r="R39" s="41">
        <v>1</v>
      </c>
      <c r="S39" s="15" cm="1">
        <f t="array" ref="S39">H39*VLOOKUP($G39, Factor!$C$4:$N$36, 2, 0)*INDEX(Factor!$C$41:$N$87, _xlfn.XMATCH($C39, Factor!$C$41:$C$87, -1), 2)</f>
        <v>204</v>
      </c>
      <c r="T39" s="15" cm="1">
        <f t="array" ref="T39">I39*VLOOKUP($G39, Factor!$C$4:$N$36, 3, 0)*INDEX(Factor!$C$41:$N$87, _xlfn.XMATCH($C39, Factor!$C$41:$C$87, -1), 3)</f>
        <v>120</v>
      </c>
      <c r="U39" s="15" cm="1">
        <f t="array" ref="U39">J39*VLOOKUP($G39, Factor!$C$4:$N$36, 4, 0)*INDEX(Factor!$C$41:$N$87, _xlfn.XMATCH($C39, Factor!$C$41:$C$87, -1), 4)</f>
        <v>3</v>
      </c>
      <c r="V39" s="15" cm="1">
        <f t="array" ref="V39">K39*VLOOKUP($G39, Factor!$C$4:$N$36, 5, 0)*INDEX(Factor!$C$41:$N$87, _xlfn.XMATCH($C39, Factor!$C$41:$C$87, -1), 5)</f>
        <v>9.6</v>
      </c>
      <c r="W39" s="15" cm="1">
        <f t="array" ref="W39">L39*VLOOKUP($G39, Factor!$C$4:$N$36, 6, 0)*INDEX(Factor!$C$41:$N$87, _xlfn.XMATCH($C39, Factor!$C$41:$C$87, -1), 6)</f>
        <v>12</v>
      </c>
      <c r="X39" s="15" cm="1">
        <f t="array" ref="X39">M39*VLOOKUP($G39, Factor!$C$4:$N$36, 7, 0)*INDEX(Factor!$C$41:$N$87, _xlfn.XMATCH($C39, Factor!$C$41:$C$87, -1), 7)</f>
        <v>6000</v>
      </c>
      <c r="Y39" s="15" cm="1">
        <f t="array" ref="Y39">N39*VLOOKUP($G39, Factor!$C$4:$N$36, 8, 0)*INDEX(Factor!$C$41:$N$87, _xlfn.XMATCH($C39, Factor!$C$41:$C$87, -1), 8)</f>
        <v>1200</v>
      </c>
      <c r="Z39" s="15" cm="1">
        <f t="array" ref="Z39">O39*VLOOKUP($G39, Factor!$C$4:$N$36, 9, 0)*INDEX(Factor!$C$41:$N$87, _xlfn.XMATCH($C39, Factor!$C$41:$C$87, -1), 9)</f>
        <v>18</v>
      </c>
      <c r="AA39" s="15" cm="1">
        <f t="array" ref="AA39">P39*VLOOKUP($G39, Factor!$C$4:$N$36, 10, 0)*INDEX(Factor!$C$41:$N$87, _xlfn.XMATCH($C39, Factor!$C$41:$C$87, -1), 10)</f>
        <v>1200</v>
      </c>
      <c r="AB39" s="15" cm="1">
        <f t="array" ref="AB39">Q39*VLOOKUP($G39, Factor!$C$4:$N$36, 11, 0)*INDEX(Factor!$C$41:$N$87, _xlfn.XMATCH($C39, Factor!$C$41:$C$87, -1), 11)</f>
        <v>2</v>
      </c>
      <c r="AC39" s="15" cm="1">
        <f t="array" ref="AC39">R39*VLOOKUP($G39, Factor!$C$4:$N$36, 12, 0)*INDEX(Factor!$C$41:$N$87, _xlfn.XMATCH($C39, Factor!$C$41:$C$87, -1), 12)</f>
        <v>2</v>
      </c>
      <c r="AD39" s="16"/>
    </row>
    <row r="40" spans="1:30" ht="15.75" customHeight="1" x14ac:dyDescent="0.2">
      <c r="A40" s="17" t="str">
        <f>"locomotive_"&amp; VLOOKUP(F40, Factor!$BK$4:$BL$6, 2, 0) &amp;"_"&amp;Locomotive!D40&amp;"_"&amp;VLOOKUP(E40, Factor!$BM$4:$BN$36, 2, 0)</f>
        <v>locomotive_Dz_T2_003</v>
      </c>
      <c r="B40" s="18" t="str">
        <f t="shared" si="0"/>
        <v>T2 중갑 디젤기관차</v>
      </c>
      <c r="C40" s="18">
        <f>VLOOKUP(D40, Factor!$B$41:$C$50, 2, 0)</f>
        <v>20000</v>
      </c>
      <c r="D40" s="18" t="s">
        <v>320</v>
      </c>
      <c r="E40" s="18" t="s">
        <v>506</v>
      </c>
      <c r="F40" s="18" t="s">
        <v>503</v>
      </c>
      <c r="G40" s="18" t="str">
        <f t="shared" si="1"/>
        <v>중갑 디젤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 cm="1">
        <f t="array" ref="S40">H40*VLOOKUP($G40, Factor!$C$4:$N$36, 2, 0)*INDEX(Factor!$C$41:$N$87, _xlfn.XMATCH($C40, Factor!$C$41:$C$87, -1), 2)</f>
        <v>132</v>
      </c>
      <c r="T40" s="18" cm="1">
        <f t="array" ref="T40">I40*VLOOKUP($G40, Factor!$C$4:$N$36, 3, 0)*INDEX(Factor!$C$41:$N$87, _xlfn.XMATCH($C40, Factor!$C$41:$C$87, -1), 3)</f>
        <v>1800</v>
      </c>
      <c r="U40" s="18" cm="1">
        <f t="array" ref="U40">J40*VLOOKUP($G40, Factor!$C$4:$N$36, 4, 0)*INDEX(Factor!$C$41:$N$87, _xlfn.XMATCH($C40, Factor!$C$41:$C$87, -1), 4)</f>
        <v>3</v>
      </c>
      <c r="V40" s="18" cm="1">
        <f t="array" ref="V40">K40*VLOOKUP($G40, Factor!$C$4:$N$36, 5, 0)*INDEX(Factor!$C$41:$N$87, _xlfn.XMATCH($C40, Factor!$C$41:$C$87, -1), 5)</f>
        <v>7.1999999999999993</v>
      </c>
      <c r="W40" s="18" cm="1">
        <f t="array" ref="W40">L40*VLOOKUP($G40, Factor!$C$4:$N$36, 6, 0)*INDEX(Factor!$C$41:$N$87, _xlfn.XMATCH($C40, Factor!$C$41:$C$87, -1), 6)</f>
        <v>12</v>
      </c>
      <c r="X40" s="18" cm="1">
        <f t="array" ref="X40">M40*VLOOKUP($G40, Factor!$C$4:$N$36, 7, 0)*INDEX(Factor!$C$41:$N$87, _xlfn.XMATCH($C40, Factor!$C$41:$C$87, -1), 7)</f>
        <v>14400</v>
      </c>
      <c r="Y40" s="18" cm="1">
        <f t="array" ref="Y40">N40*VLOOKUP($G40, Factor!$C$4:$N$36, 8, 0)*INDEX(Factor!$C$41:$N$87, _xlfn.XMATCH($C40, Factor!$C$41:$C$87, -1), 8)</f>
        <v>1560</v>
      </c>
      <c r="Z40" s="18" cm="1">
        <f t="array" ref="Z40">O40*VLOOKUP($G40, Factor!$C$4:$N$36, 9, 0)*INDEX(Factor!$C$41:$N$87, _xlfn.XMATCH($C40, Factor!$C$41:$C$87, -1), 9)</f>
        <v>36</v>
      </c>
      <c r="AA40" s="18" cm="1">
        <f t="array" ref="AA40">P40*VLOOKUP($G40, Factor!$C$4:$N$36, 10, 0)*INDEX(Factor!$C$41:$N$87, _xlfn.XMATCH($C40, Factor!$C$41:$C$87, -1), 10)</f>
        <v>1560</v>
      </c>
      <c r="AB40" s="18" cm="1">
        <f t="array" ref="AB40">Q40*VLOOKUP($G40, Factor!$C$4:$N$36, 11, 0)*INDEX(Factor!$C$41:$N$87, _xlfn.XMATCH($C40, Factor!$C$41:$C$87, -1), 11)</f>
        <v>2</v>
      </c>
      <c r="AC40" s="18" cm="1">
        <f t="array" ref="AC40">R40*VLOOKUP($G40, Factor!$C$4:$N$36, 12, 0)*INDEX(Factor!$C$41:$N$87, _xlfn.XMATCH($C40, Factor!$C$41:$C$87, -1), 12)</f>
        <v>2</v>
      </c>
      <c r="AD40" s="19"/>
    </row>
    <row r="41" spans="1:30" ht="15.75" customHeight="1" x14ac:dyDescent="0.2">
      <c r="A41" s="48" t="str">
        <f>"locomotive_"&amp; VLOOKUP(F41, Factor!$BK$4:$BL$6, 2, 0) &amp;"_"&amp;Locomotive!D41&amp;"_"&amp;VLOOKUP(E41, Factor!$BM$4:$BN$36, 2, 0)</f>
        <v>locomotive_St_T2_004</v>
      </c>
      <c r="B41" s="15" t="str">
        <f t="shared" si="0"/>
        <v>T2 화물 증기기관차</v>
      </c>
      <c r="C41" s="15">
        <f>VLOOKUP(D41, Factor!$B$41:$C$50, 2, 0)</f>
        <v>20000</v>
      </c>
      <c r="D41" s="15" t="s">
        <v>320</v>
      </c>
      <c r="E41" s="41" t="s">
        <v>507</v>
      </c>
      <c r="F41" s="41" t="s">
        <v>505</v>
      </c>
      <c r="G41" s="41" t="str">
        <f t="shared" si="1"/>
        <v>화물 증기</v>
      </c>
      <c r="H41" s="41">
        <v>1</v>
      </c>
      <c r="I41" s="41">
        <v>1</v>
      </c>
      <c r="J41" s="41">
        <v>1</v>
      </c>
      <c r="K41" s="41">
        <v>1</v>
      </c>
      <c r="L41" s="41">
        <v>1</v>
      </c>
      <c r="M41" s="41">
        <v>1</v>
      </c>
      <c r="N41" s="41">
        <v>1</v>
      </c>
      <c r="O41" s="41">
        <v>1</v>
      </c>
      <c r="P41" s="41">
        <v>1</v>
      </c>
      <c r="Q41" s="41">
        <v>1</v>
      </c>
      <c r="R41" s="41">
        <v>1</v>
      </c>
      <c r="S41" s="15" cm="1">
        <f t="array" ref="S41">H41*VLOOKUP($G41, Factor!$C$4:$N$36, 2, 0)*INDEX(Factor!$C$41:$N$87, _xlfn.XMATCH($C41, Factor!$C$41:$C$87, -1), 2)</f>
        <v>108</v>
      </c>
      <c r="T41" s="15" cm="1">
        <f t="array" ref="T41">I41*VLOOKUP($G41, Factor!$C$4:$N$36, 3, 0)*INDEX(Factor!$C$41:$N$87, _xlfn.XMATCH($C41, Factor!$C$41:$C$87, -1), 3)</f>
        <v>1200</v>
      </c>
      <c r="U41" s="15" cm="1">
        <f t="array" ref="U41">J41*VLOOKUP($G41, Factor!$C$4:$N$36, 4, 0)*INDEX(Factor!$C$41:$N$87, _xlfn.XMATCH($C41, Factor!$C$41:$C$87, -1), 4)</f>
        <v>3</v>
      </c>
      <c r="V41" s="15" cm="1">
        <f t="array" ref="V41">K41*VLOOKUP($G41, Factor!$C$4:$N$36, 5, 0)*INDEX(Factor!$C$41:$N$87, _xlfn.XMATCH($C41, Factor!$C$41:$C$87, -1), 5)</f>
        <v>4.8</v>
      </c>
      <c r="W41" s="15" cm="1">
        <f t="array" ref="W41">L41*VLOOKUP($G41, Factor!$C$4:$N$36, 6, 0)*INDEX(Factor!$C$41:$N$87, _xlfn.XMATCH($C41, Factor!$C$41:$C$87, -1), 6)</f>
        <v>12</v>
      </c>
      <c r="X41" s="15" cm="1">
        <f t="array" ref="X41">M41*VLOOKUP($G41, Factor!$C$4:$N$36, 7, 0)*INDEX(Factor!$C$41:$N$87, _xlfn.XMATCH($C41, Factor!$C$41:$C$87, -1), 7)</f>
        <v>12000</v>
      </c>
      <c r="Y41" s="15" cm="1">
        <f t="array" ref="Y41">N41*VLOOKUP($G41, Factor!$C$4:$N$36, 8, 0)*INDEX(Factor!$C$41:$N$87, _xlfn.XMATCH($C41, Factor!$C$41:$C$87, -1), 8)</f>
        <v>1200</v>
      </c>
      <c r="Z41" s="15" cm="1">
        <f t="array" ref="Z41">O41*VLOOKUP($G41, Factor!$C$4:$N$36, 9, 0)*INDEX(Factor!$C$41:$N$87, _xlfn.XMATCH($C41, Factor!$C$41:$C$87, -1), 9)</f>
        <v>36</v>
      </c>
      <c r="AA41" s="15" cm="1">
        <f t="array" ref="AA41">P41*VLOOKUP($G41, Factor!$C$4:$N$36, 10, 0)*INDEX(Factor!$C$41:$N$87, _xlfn.XMATCH($C41, Factor!$C$41:$C$87, -1), 10)</f>
        <v>1200</v>
      </c>
      <c r="AB41" s="15" cm="1">
        <f t="array" ref="AB41">Q41*VLOOKUP($G41, Factor!$C$4:$N$36, 11, 0)*INDEX(Factor!$C$41:$N$87, _xlfn.XMATCH($C41, Factor!$C$41:$C$87, -1), 11)</f>
        <v>6</v>
      </c>
      <c r="AC41" s="15" cm="1">
        <f t="array" ref="AC41">R41*VLOOKUP($G41, Factor!$C$4:$N$36, 12, 0)*INDEX(Factor!$C$41:$N$87, _xlfn.XMATCH($C41, Factor!$C$41:$C$87, -1), 12)</f>
        <v>2</v>
      </c>
      <c r="AD41" s="16"/>
    </row>
    <row r="42" spans="1:30" ht="15.75" customHeight="1" x14ac:dyDescent="0.2">
      <c r="A42" s="17" t="str">
        <f>"locomotive_"&amp; VLOOKUP(F42, Factor!$BK$4:$BL$6, 2, 0) &amp;"_"&amp;Locomotive!D42&amp;"_"&amp;VLOOKUP(E42, Factor!$BM$4:$BN$36, 2, 0)</f>
        <v>locomotive_El_T2_004</v>
      </c>
      <c r="B42" s="18" t="str">
        <f t="shared" si="0"/>
        <v>T2 화물 전기기관차</v>
      </c>
      <c r="C42" s="18">
        <f>VLOOKUP(D42, Factor!$B$41:$C$50, 2, 0)</f>
        <v>20000</v>
      </c>
      <c r="D42" s="18" t="s">
        <v>320</v>
      </c>
      <c r="E42" s="18" t="s">
        <v>507</v>
      </c>
      <c r="F42" s="18" t="s">
        <v>502</v>
      </c>
      <c r="G42" s="18" t="str">
        <f t="shared" si="1"/>
        <v>화물 전기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 cm="1">
        <f t="array" ref="S42">H42*VLOOKUP($G42, Factor!$C$4:$N$36, 2, 0)*INDEX(Factor!$C$41:$N$87, _xlfn.XMATCH($C42, Factor!$C$41:$C$87, -1), 2)</f>
        <v>216</v>
      </c>
      <c r="T42" s="18" cm="1">
        <f t="array" ref="T42">I42*VLOOKUP($G42, Factor!$C$4:$N$36, 3, 0)*INDEX(Factor!$C$41:$N$87, _xlfn.XMATCH($C42, Factor!$C$41:$C$87, -1), 3)</f>
        <v>960</v>
      </c>
      <c r="U42" s="18" cm="1">
        <f t="array" ref="U42">J42*VLOOKUP($G42, Factor!$C$4:$N$36, 4, 0)*INDEX(Factor!$C$41:$N$87, _xlfn.XMATCH($C42, Factor!$C$41:$C$87, -1), 4)</f>
        <v>3</v>
      </c>
      <c r="V42" s="18" cm="1">
        <f t="array" ref="V42">K42*VLOOKUP($G42, Factor!$C$4:$N$36, 5, 0)*INDEX(Factor!$C$41:$N$87, _xlfn.XMATCH($C42, Factor!$C$41:$C$87, -1), 5)</f>
        <v>9.6</v>
      </c>
      <c r="W42" s="18" cm="1">
        <f t="array" ref="W42">L42*VLOOKUP($G42, Factor!$C$4:$N$36, 6, 0)*INDEX(Factor!$C$41:$N$87, _xlfn.XMATCH($C42, Factor!$C$41:$C$87, -1), 6)</f>
        <v>12</v>
      </c>
      <c r="X42" s="18" cm="1">
        <f t="array" ref="X42">M42*VLOOKUP($G42, Factor!$C$4:$N$36, 7, 0)*INDEX(Factor!$C$41:$N$87, _xlfn.XMATCH($C42, Factor!$C$41:$C$87, -1), 7)</f>
        <v>8400</v>
      </c>
      <c r="Y42" s="18" cm="1">
        <f t="array" ref="Y42">N42*VLOOKUP($G42, Factor!$C$4:$N$36, 8, 0)*INDEX(Factor!$C$41:$N$87, _xlfn.XMATCH($C42, Factor!$C$41:$C$87, -1), 8)</f>
        <v>840</v>
      </c>
      <c r="Z42" s="18" cm="1">
        <f t="array" ref="Z42">O42*VLOOKUP($G42, Factor!$C$4:$N$36, 9, 0)*INDEX(Factor!$C$41:$N$87, _xlfn.XMATCH($C42, Factor!$C$41:$C$87, -1), 9)</f>
        <v>6</v>
      </c>
      <c r="AA42" s="18" cm="1">
        <f t="array" ref="AA42">P42*VLOOKUP($G42, Factor!$C$4:$N$36, 10, 0)*INDEX(Factor!$C$41:$N$87, _xlfn.XMATCH($C42, Factor!$C$41:$C$87, -1), 10)</f>
        <v>840</v>
      </c>
      <c r="AB42" s="18" cm="1">
        <f t="array" ref="AB42">Q42*VLOOKUP($G42, Factor!$C$4:$N$36, 11, 0)*INDEX(Factor!$C$41:$N$87, _xlfn.XMATCH($C42, Factor!$C$41:$C$87, -1), 11)</f>
        <v>6</v>
      </c>
      <c r="AC42" s="18" cm="1">
        <f t="array" ref="AC42">R42*VLOOKUP($G42, Factor!$C$4:$N$36, 12, 0)*INDEX(Factor!$C$41:$N$87, _xlfn.XMATCH($C42, Factor!$C$41:$C$87, -1), 12)</f>
        <v>2</v>
      </c>
      <c r="AD42" s="19"/>
    </row>
    <row r="43" spans="1:30" ht="15.75" customHeight="1" x14ac:dyDescent="0.2">
      <c r="A43" s="14" t="str">
        <f>"locomotive_"&amp; VLOOKUP(F43, Factor!$BK$4:$BL$6, 2, 0) &amp;"_"&amp;Locomotive!D43&amp;"_"&amp;VLOOKUP(E43, Factor!$BM$4:$BN$36, 2, 0)</f>
        <v>locomotive_Dz_T2_004</v>
      </c>
      <c r="B43" s="15" t="str">
        <f t="shared" si="0"/>
        <v>T2 화물 디젤기관차</v>
      </c>
      <c r="C43" s="15">
        <f>VLOOKUP(D43, Factor!$B$41:$C$50, 2, 0)</f>
        <v>20000</v>
      </c>
      <c r="D43" s="15" t="s">
        <v>320</v>
      </c>
      <c r="E43" s="41" t="s">
        <v>507</v>
      </c>
      <c r="F43" s="15" t="s">
        <v>503</v>
      </c>
      <c r="G43" s="15" t="str">
        <f t="shared" si="1"/>
        <v>화물 디젤</v>
      </c>
      <c r="H43" s="41">
        <v>1</v>
      </c>
      <c r="I43" s="41">
        <v>1</v>
      </c>
      <c r="J43" s="41">
        <v>1</v>
      </c>
      <c r="K43" s="41">
        <v>1</v>
      </c>
      <c r="L43" s="41">
        <v>1</v>
      </c>
      <c r="M43" s="41">
        <v>1</v>
      </c>
      <c r="N43" s="41">
        <v>1</v>
      </c>
      <c r="O43" s="41">
        <v>1</v>
      </c>
      <c r="P43" s="41">
        <v>1</v>
      </c>
      <c r="Q43" s="41">
        <v>1</v>
      </c>
      <c r="R43" s="41">
        <v>1</v>
      </c>
      <c r="S43" s="15" cm="1">
        <f t="array" ref="S43">H43*VLOOKUP($G43, Factor!$C$4:$N$36, 2, 0)*INDEX(Factor!$C$41:$N$87, _xlfn.XMATCH($C43, Factor!$C$41:$C$87, -1), 2)</f>
        <v>144</v>
      </c>
      <c r="T43" s="15" cm="1">
        <f t="array" ref="T43">I43*VLOOKUP($G43, Factor!$C$4:$N$36, 3, 0)*INDEX(Factor!$C$41:$N$87, _xlfn.XMATCH($C43, Factor!$C$41:$C$87, -1), 3)</f>
        <v>1440</v>
      </c>
      <c r="U43" s="15" cm="1">
        <f t="array" ref="U43">J43*VLOOKUP($G43, Factor!$C$4:$N$36, 4, 0)*INDEX(Factor!$C$41:$N$87, _xlfn.XMATCH($C43, Factor!$C$41:$C$87, -1), 4)</f>
        <v>3</v>
      </c>
      <c r="V43" s="15" cm="1">
        <f t="array" ref="V43">K43*VLOOKUP($G43, Factor!$C$4:$N$36, 5, 0)*INDEX(Factor!$C$41:$N$87, _xlfn.XMATCH($C43, Factor!$C$41:$C$87, -1), 5)</f>
        <v>7.1999999999999993</v>
      </c>
      <c r="W43" s="15" cm="1">
        <f t="array" ref="W43">L43*VLOOKUP($G43, Factor!$C$4:$N$36, 6, 0)*INDEX(Factor!$C$41:$N$87, _xlfn.XMATCH($C43, Factor!$C$41:$C$87, -1), 6)</f>
        <v>12</v>
      </c>
      <c r="X43" s="15" cm="1">
        <f t="array" ref="X43">M43*VLOOKUP($G43, Factor!$C$4:$N$36, 7, 0)*INDEX(Factor!$C$41:$N$87, _xlfn.XMATCH($C43, Factor!$C$41:$C$87, -1), 7)</f>
        <v>18000</v>
      </c>
      <c r="Y43" s="15" cm="1">
        <f t="array" ref="Y43">N43*VLOOKUP($G43, Factor!$C$4:$N$36, 8, 0)*INDEX(Factor!$C$41:$N$87, _xlfn.XMATCH($C43, Factor!$C$41:$C$87, -1), 8)</f>
        <v>960</v>
      </c>
      <c r="Z43" s="15" cm="1">
        <f t="array" ref="Z43">O43*VLOOKUP($G43, Factor!$C$4:$N$36, 9, 0)*INDEX(Factor!$C$41:$N$87, _xlfn.XMATCH($C43, Factor!$C$41:$C$87, -1), 9)</f>
        <v>12</v>
      </c>
      <c r="AA43" s="15" cm="1">
        <f t="array" ref="AA43">P43*VLOOKUP($G43, Factor!$C$4:$N$36, 10, 0)*INDEX(Factor!$C$41:$N$87, _xlfn.XMATCH($C43, Factor!$C$41:$C$87, -1), 10)</f>
        <v>960</v>
      </c>
      <c r="AB43" s="15" cm="1">
        <f t="array" ref="AB43">Q43*VLOOKUP($G43, Factor!$C$4:$N$36, 11, 0)*INDEX(Factor!$C$41:$N$87, _xlfn.XMATCH($C43, Factor!$C$41:$C$87, -1), 11)</f>
        <v>6</v>
      </c>
      <c r="AC43" s="15" cm="1">
        <f t="array" ref="AC43">R43*VLOOKUP($G43, Factor!$C$4:$N$36, 12, 0)*INDEX(Factor!$C$41:$N$87, _xlfn.XMATCH($C43, Factor!$C$41:$C$87, -1), 12)</f>
        <v>2</v>
      </c>
      <c r="AD43" s="16"/>
    </row>
    <row r="44" spans="1:30" ht="15.75" customHeight="1" x14ac:dyDescent="0.2">
      <c r="A44" s="17" t="str">
        <f>"locomotive_"&amp; VLOOKUP(F44, Factor!$BK$4:$BL$6, 2, 0) &amp;"_"&amp;Locomotive!D44&amp;"_"&amp;VLOOKUP(E44, Factor!$BM$4:$BN$36, 2, 0)</f>
        <v>locomotive_St_T2_005</v>
      </c>
      <c r="B44" s="18" t="str">
        <f t="shared" si="0"/>
        <v>T2 군용 증기기관차</v>
      </c>
      <c r="C44" s="18">
        <f>VLOOKUP(D44, Factor!$B$41:$C$50, 2, 0)</f>
        <v>20000</v>
      </c>
      <c r="D44" s="18" t="s">
        <v>320</v>
      </c>
      <c r="E44" s="18" t="s">
        <v>508</v>
      </c>
      <c r="F44" s="18" t="s">
        <v>505</v>
      </c>
      <c r="G44" s="18" t="str">
        <f t="shared" si="1"/>
        <v>군용 증기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 cm="1">
        <f t="array" ref="S44">H44*VLOOKUP($G44, Factor!$C$4:$N$36, 2, 0)*INDEX(Factor!$C$41:$N$87, _xlfn.XMATCH($C44, Factor!$C$41:$C$87, -1), 2)</f>
        <v>108</v>
      </c>
      <c r="T44" s="18" cm="1">
        <f t="array" ref="T44">I44*VLOOKUP($G44, Factor!$C$4:$N$36, 3, 0)*INDEX(Factor!$C$41:$N$87, _xlfn.XMATCH($C44, Factor!$C$41:$C$87, -1), 3)</f>
        <v>1920</v>
      </c>
      <c r="U44" s="18" cm="1">
        <f t="array" ref="U44">J44*VLOOKUP($G44, Factor!$C$4:$N$36, 4, 0)*INDEX(Factor!$C$41:$N$87, _xlfn.XMATCH($C44, Factor!$C$41:$C$87, -1), 4)</f>
        <v>3</v>
      </c>
      <c r="V44" s="18" cm="1">
        <f t="array" ref="V44">K44*VLOOKUP($G44, Factor!$C$4:$N$36, 5, 0)*INDEX(Factor!$C$41:$N$87, _xlfn.XMATCH($C44, Factor!$C$41:$C$87, -1), 5)</f>
        <v>2.4</v>
      </c>
      <c r="W44" s="18" cm="1">
        <f t="array" ref="W44">L44*VLOOKUP($G44, Factor!$C$4:$N$36, 6, 0)*INDEX(Factor!$C$41:$N$87, _xlfn.XMATCH($C44, Factor!$C$41:$C$87, -1), 6)</f>
        <v>21.599999999999998</v>
      </c>
      <c r="X44" s="18" cm="1">
        <f t="array" ref="X44">M44*VLOOKUP($G44, Factor!$C$4:$N$36, 7, 0)*INDEX(Factor!$C$41:$N$87, _xlfn.XMATCH($C44, Factor!$C$41:$C$87, -1), 7)</f>
        <v>12000</v>
      </c>
      <c r="Y44" s="18" cm="1">
        <f t="array" ref="Y44">N44*VLOOKUP($G44, Factor!$C$4:$N$36, 8, 0)*INDEX(Factor!$C$41:$N$87, _xlfn.XMATCH($C44, Factor!$C$41:$C$87, -1), 8)</f>
        <v>1200</v>
      </c>
      <c r="Z44" s="18" cm="1">
        <f t="array" ref="Z44">O44*VLOOKUP($G44, Factor!$C$4:$N$36, 9, 0)*INDEX(Factor!$C$41:$N$87, _xlfn.XMATCH($C44, Factor!$C$41:$C$87, -1), 9)</f>
        <v>36</v>
      </c>
      <c r="AA44" s="18" cm="1">
        <f t="array" ref="AA44">P44*VLOOKUP($G44, Factor!$C$4:$N$36, 10, 0)*INDEX(Factor!$C$41:$N$87, _xlfn.XMATCH($C44, Factor!$C$41:$C$87, -1), 10)</f>
        <v>1200</v>
      </c>
      <c r="AB44" s="18" cm="1">
        <f t="array" ref="AB44">Q44*VLOOKUP($G44, Factor!$C$4:$N$36, 11, 0)*INDEX(Factor!$C$41:$N$87, _xlfn.XMATCH($C44, Factor!$C$41:$C$87, -1), 11)</f>
        <v>2</v>
      </c>
      <c r="AC44" s="18" cm="1">
        <f t="array" ref="AC44">R44*VLOOKUP($G44, Factor!$C$4:$N$36, 12, 0)*INDEX(Factor!$C$41:$N$87, _xlfn.XMATCH($C44, Factor!$C$41:$C$87, -1), 12)</f>
        <v>2</v>
      </c>
      <c r="AD44" s="19"/>
    </row>
    <row r="45" spans="1:30" ht="15.75" customHeight="1" x14ac:dyDescent="0.2">
      <c r="A45" s="14" t="str">
        <f>"locomotive_"&amp; VLOOKUP(F45, Factor!$BK$4:$BL$6, 2, 0) &amp;"_"&amp;Locomotive!D45&amp;"_"&amp;VLOOKUP(E45, Factor!$BM$4:$BN$36, 2, 0)</f>
        <v>locomotive_El_T2_005</v>
      </c>
      <c r="B45" s="15" t="str">
        <f t="shared" si="0"/>
        <v>T2 군용 전기기관차</v>
      </c>
      <c r="C45" s="15">
        <f>VLOOKUP(D45, Factor!$B$41:$C$50, 2, 0)</f>
        <v>20000</v>
      </c>
      <c r="D45" s="15" t="s">
        <v>320</v>
      </c>
      <c r="E45" s="41" t="s">
        <v>508</v>
      </c>
      <c r="F45" s="15" t="s">
        <v>502</v>
      </c>
      <c r="G45" s="15" t="str">
        <f t="shared" si="1"/>
        <v>군용 전기</v>
      </c>
      <c r="H45" s="41">
        <v>1</v>
      </c>
      <c r="I45" s="41">
        <v>1</v>
      </c>
      <c r="J45" s="41">
        <v>1</v>
      </c>
      <c r="K45" s="41">
        <v>1</v>
      </c>
      <c r="L45" s="41">
        <v>1</v>
      </c>
      <c r="M45" s="41">
        <v>1</v>
      </c>
      <c r="N45" s="41">
        <v>1</v>
      </c>
      <c r="O45" s="41">
        <v>1</v>
      </c>
      <c r="P45" s="41">
        <v>1</v>
      </c>
      <c r="Q45" s="41">
        <v>1</v>
      </c>
      <c r="R45" s="41">
        <v>1</v>
      </c>
      <c r="S45" s="15" cm="1">
        <f t="array" ref="S45">H45*VLOOKUP($G45, Factor!$C$4:$N$36, 2, 0)*INDEX(Factor!$C$41:$N$87, _xlfn.XMATCH($C45, Factor!$C$41:$C$87, -1), 2)</f>
        <v>204</v>
      </c>
      <c r="T45" s="15" cm="1">
        <f t="array" ref="T45">I45*VLOOKUP($G45, Factor!$C$4:$N$36, 3, 0)*INDEX(Factor!$C$41:$N$87, _xlfn.XMATCH($C45, Factor!$C$41:$C$87, -1), 3)</f>
        <v>1200</v>
      </c>
      <c r="U45" s="15" cm="1">
        <f t="array" ref="U45">J45*VLOOKUP($G45, Factor!$C$4:$N$36, 4, 0)*INDEX(Factor!$C$41:$N$87, _xlfn.XMATCH($C45, Factor!$C$41:$C$87, -1), 4)</f>
        <v>3</v>
      </c>
      <c r="V45" s="15" cm="1">
        <f t="array" ref="V45">K45*VLOOKUP($G45, Factor!$C$4:$N$36, 5, 0)*INDEX(Factor!$C$41:$N$87, _xlfn.XMATCH($C45, Factor!$C$41:$C$87, -1), 5)</f>
        <v>6</v>
      </c>
      <c r="W45" s="15" cm="1">
        <f t="array" ref="W45">L45*VLOOKUP($G45, Factor!$C$4:$N$36, 6, 0)*INDEX(Factor!$C$41:$N$87, _xlfn.XMATCH($C45, Factor!$C$41:$C$87, -1), 6)</f>
        <v>21.599999999999998</v>
      </c>
      <c r="X45" s="15" cm="1">
        <f t="array" ref="X45">M45*VLOOKUP($G45, Factor!$C$4:$N$36, 7, 0)*INDEX(Factor!$C$41:$N$87, _xlfn.XMATCH($C45, Factor!$C$41:$C$87, -1), 7)</f>
        <v>8400</v>
      </c>
      <c r="Y45" s="15" cm="1">
        <f t="array" ref="Y45">N45*VLOOKUP($G45, Factor!$C$4:$N$36, 8, 0)*INDEX(Factor!$C$41:$N$87, _xlfn.XMATCH($C45, Factor!$C$41:$C$87, -1), 8)</f>
        <v>840</v>
      </c>
      <c r="Z45" s="15" cm="1">
        <f t="array" ref="Z45">O45*VLOOKUP($G45, Factor!$C$4:$N$36, 9, 0)*INDEX(Factor!$C$41:$N$87, _xlfn.XMATCH($C45, Factor!$C$41:$C$87, -1), 9)</f>
        <v>6</v>
      </c>
      <c r="AA45" s="15" cm="1">
        <f t="array" ref="AA45">P45*VLOOKUP($G45, Factor!$C$4:$N$36, 10, 0)*INDEX(Factor!$C$41:$N$87, _xlfn.XMATCH($C45, Factor!$C$41:$C$87, -1), 10)</f>
        <v>840</v>
      </c>
      <c r="AB45" s="15" cm="1">
        <f t="array" ref="AB45">Q45*VLOOKUP($G45, Factor!$C$4:$N$36, 11, 0)*INDEX(Factor!$C$41:$N$87, _xlfn.XMATCH($C45, Factor!$C$41:$C$87, -1), 11)</f>
        <v>2</v>
      </c>
      <c r="AC45" s="15" cm="1">
        <f t="array" ref="AC45">R45*VLOOKUP($G45, Factor!$C$4:$N$36, 12, 0)*INDEX(Factor!$C$41:$N$87, _xlfn.XMATCH($C45, Factor!$C$41:$C$87, -1), 12)</f>
        <v>2</v>
      </c>
      <c r="AD45" s="16"/>
    </row>
    <row r="46" spans="1:30" ht="15.75" customHeight="1" x14ac:dyDescent="0.2">
      <c r="A46" s="17" t="str">
        <f>"locomotive_"&amp; VLOOKUP(F46, Factor!$BK$4:$BL$6, 2, 0) &amp;"_"&amp;Locomotive!D46&amp;"_"&amp;VLOOKUP(E46, Factor!$BM$4:$BN$36, 2, 0)</f>
        <v>locomotive_Dz_T2_005</v>
      </c>
      <c r="B46" s="18" t="str">
        <f t="shared" si="0"/>
        <v>T2 군용 디젤기관차</v>
      </c>
      <c r="C46" s="18">
        <f>VLOOKUP(D46, Factor!$B$41:$C$50, 2, 0)</f>
        <v>20000</v>
      </c>
      <c r="D46" s="18" t="s">
        <v>320</v>
      </c>
      <c r="E46" s="18" t="s">
        <v>508</v>
      </c>
      <c r="F46" s="18" t="s">
        <v>503</v>
      </c>
      <c r="G46" s="18" t="str">
        <f t="shared" si="1"/>
        <v>군용 디젤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 cm="1">
        <f t="array" ref="S46">H46*VLOOKUP($G46, Factor!$C$4:$N$36, 2, 0)*INDEX(Factor!$C$41:$N$87, _xlfn.XMATCH($C46, Factor!$C$41:$C$87, -1), 2)</f>
        <v>132</v>
      </c>
      <c r="T46" s="18" cm="1">
        <f t="array" ref="T46">I46*VLOOKUP($G46, Factor!$C$4:$N$36, 3, 0)*INDEX(Factor!$C$41:$N$87, _xlfn.XMATCH($C46, Factor!$C$41:$C$87, -1), 3)</f>
        <v>1920</v>
      </c>
      <c r="U46" s="18" cm="1">
        <f t="array" ref="U46">J46*VLOOKUP($G46, Factor!$C$4:$N$36, 4, 0)*INDEX(Factor!$C$41:$N$87, _xlfn.XMATCH($C46, Factor!$C$41:$C$87, -1), 4)</f>
        <v>3</v>
      </c>
      <c r="V46" s="18" cm="1">
        <f t="array" ref="V46">K46*VLOOKUP($G46, Factor!$C$4:$N$36, 5, 0)*INDEX(Factor!$C$41:$N$87, _xlfn.XMATCH($C46, Factor!$C$41:$C$87, -1), 5)</f>
        <v>3.5999999999999996</v>
      </c>
      <c r="W46" s="18" cm="1">
        <f t="array" ref="W46">L46*VLOOKUP($G46, Factor!$C$4:$N$36, 6, 0)*INDEX(Factor!$C$41:$N$87, _xlfn.XMATCH($C46, Factor!$C$41:$C$87, -1), 6)</f>
        <v>21.599999999999998</v>
      </c>
      <c r="X46" s="18" cm="1">
        <f t="array" ref="X46">M46*VLOOKUP($G46, Factor!$C$4:$N$36, 7, 0)*INDEX(Factor!$C$41:$N$87, _xlfn.XMATCH($C46, Factor!$C$41:$C$87, -1), 7)</f>
        <v>18000</v>
      </c>
      <c r="Y46" s="18" cm="1">
        <f t="array" ref="Y46">N46*VLOOKUP($G46, Factor!$C$4:$N$36, 8, 0)*INDEX(Factor!$C$41:$N$87, _xlfn.XMATCH($C46, Factor!$C$41:$C$87, -1), 8)</f>
        <v>960</v>
      </c>
      <c r="Z46" s="18" cm="1">
        <f t="array" ref="Z46">O46*VLOOKUP($G46, Factor!$C$4:$N$36, 9, 0)*INDEX(Factor!$C$41:$N$87, _xlfn.XMATCH($C46, Factor!$C$41:$C$87, -1), 9)</f>
        <v>12</v>
      </c>
      <c r="AA46" s="18" cm="1">
        <f t="array" ref="AA46">P46*VLOOKUP($G46, Factor!$C$4:$N$36, 10, 0)*INDEX(Factor!$C$41:$N$87, _xlfn.XMATCH($C46, Factor!$C$41:$C$87, -1), 10)</f>
        <v>960</v>
      </c>
      <c r="AB46" s="18" cm="1">
        <f t="array" ref="AB46">Q46*VLOOKUP($G46, Factor!$C$4:$N$36, 11, 0)*INDEX(Factor!$C$41:$N$87, _xlfn.XMATCH($C46, Factor!$C$41:$C$87, -1), 11)</f>
        <v>2</v>
      </c>
      <c r="AC46" s="18" cm="1">
        <f t="array" ref="AC46">R46*VLOOKUP($G46, Factor!$C$4:$N$36, 12, 0)*INDEX(Factor!$C$41:$N$87, _xlfn.XMATCH($C46, Factor!$C$41:$C$87, -1), 12)</f>
        <v>2</v>
      </c>
      <c r="AD46" s="19"/>
    </row>
    <row r="47" spans="1:30" ht="15.75" customHeight="1" x14ac:dyDescent="0.2">
      <c r="A47" s="48" t="str">
        <f>"locomotive_"&amp; VLOOKUP(F47, Factor!$BK$4:$BL$6, 2, 0) &amp;"_"&amp;Locomotive!D47&amp;"_"&amp;VLOOKUP(E47, Factor!$BM$4:$BN$36, 2, 0)</f>
        <v>locomotive_St_T2_006</v>
      </c>
      <c r="B47" s="15" t="str">
        <f t="shared" si="0"/>
        <v>T2 여객 증기기관차</v>
      </c>
      <c r="C47" s="15">
        <f>VLOOKUP(D47, Factor!$B$41:$C$50, 2, 0)</f>
        <v>20000</v>
      </c>
      <c r="D47" s="15" t="s">
        <v>320</v>
      </c>
      <c r="E47" s="41" t="s">
        <v>509</v>
      </c>
      <c r="F47" s="41" t="s">
        <v>505</v>
      </c>
      <c r="G47" s="41" t="str">
        <f t="shared" si="1"/>
        <v>여객 증기</v>
      </c>
      <c r="H47" s="41">
        <v>1</v>
      </c>
      <c r="I47" s="41">
        <v>1</v>
      </c>
      <c r="J47" s="41">
        <v>1</v>
      </c>
      <c r="K47" s="41">
        <v>1</v>
      </c>
      <c r="L47" s="41">
        <v>1</v>
      </c>
      <c r="M47" s="41">
        <v>1</v>
      </c>
      <c r="N47" s="41">
        <v>1</v>
      </c>
      <c r="O47" s="41">
        <v>1</v>
      </c>
      <c r="P47" s="41">
        <v>1</v>
      </c>
      <c r="Q47" s="41">
        <v>1</v>
      </c>
      <c r="R47" s="41">
        <v>1</v>
      </c>
      <c r="S47" s="15" cm="1">
        <f t="array" ref="S47">H47*VLOOKUP($G47, Factor!$C$4:$N$36, 2, 0)*INDEX(Factor!$C$41:$N$87, _xlfn.XMATCH($C47, Factor!$C$41:$C$87, -1), 2)</f>
        <v>120</v>
      </c>
      <c r="T47" s="15" cm="1">
        <f t="array" ref="T47">I47*VLOOKUP($G47, Factor!$C$4:$N$36, 3, 0)*INDEX(Factor!$C$41:$N$87, _xlfn.XMATCH($C47, Factor!$C$41:$C$87, -1), 3)</f>
        <v>1200</v>
      </c>
      <c r="U47" s="15" cm="1">
        <f t="array" ref="U47">J47*VLOOKUP($G47, Factor!$C$4:$N$36, 4, 0)*INDEX(Factor!$C$41:$N$87, _xlfn.XMATCH($C47, Factor!$C$41:$C$87, -1), 4)</f>
        <v>3</v>
      </c>
      <c r="V47" s="15" cm="1">
        <f t="array" ref="V47">K47*VLOOKUP($G47, Factor!$C$4:$N$36, 5, 0)*INDEX(Factor!$C$41:$N$87, _xlfn.XMATCH($C47, Factor!$C$41:$C$87, -1), 5)</f>
        <v>4.8</v>
      </c>
      <c r="W47" s="15" cm="1">
        <f t="array" ref="W47">L47*VLOOKUP($G47, Factor!$C$4:$N$36, 6, 0)*INDEX(Factor!$C$41:$N$87, _xlfn.XMATCH($C47, Factor!$C$41:$C$87, -1), 6)</f>
        <v>12</v>
      </c>
      <c r="X47" s="15" cm="1">
        <f t="array" ref="X47">M47*VLOOKUP($G47, Factor!$C$4:$N$36, 7, 0)*INDEX(Factor!$C$41:$N$87, _xlfn.XMATCH($C47, Factor!$C$41:$C$87, -1), 7)</f>
        <v>12000</v>
      </c>
      <c r="Y47" s="15" cm="1">
        <f t="array" ref="Y47">N47*VLOOKUP($G47, Factor!$C$4:$N$36, 8, 0)*INDEX(Factor!$C$41:$N$87, _xlfn.XMATCH($C47, Factor!$C$41:$C$87, -1), 8)</f>
        <v>1080</v>
      </c>
      <c r="Z47" s="15" cm="1">
        <f t="array" ref="Z47">O47*VLOOKUP($G47, Factor!$C$4:$N$36, 9, 0)*INDEX(Factor!$C$41:$N$87, _xlfn.XMATCH($C47, Factor!$C$41:$C$87, -1), 9)</f>
        <v>30</v>
      </c>
      <c r="AA47" s="15" cm="1">
        <f t="array" ref="AA47">P47*VLOOKUP($G47, Factor!$C$4:$N$36, 10, 0)*INDEX(Factor!$C$41:$N$87, _xlfn.XMATCH($C47, Factor!$C$41:$C$87, -1), 10)</f>
        <v>1080</v>
      </c>
      <c r="AB47" s="15" cm="1">
        <f t="array" ref="AB47">Q47*VLOOKUP($G47, Factor!$C$4:$N$36, 11, 0)*INDEX(Factor!$C$41:$N$87, _xlfn.XMATCH($C47, Factor!$C$41:$C$87, -1), 11)</f>
        <v>2</v>
      </c>
      <c r="AC47" s="15" cm="1">
        <f t="array" ref="AC47">R47*VLOOKUP($G47, Factor!$C$4:$N$36, 12, 0)*INDEX(Factor!$C$41:$N$87, _xlfn.XMATCH($C47, Factor!$C$41:$C$87, -1), 12)</f>
        <v>6</v>
      </c>
      <c r="AD47" s="16"/>
    </row>
    <row r="48" spans="1:30" ht="15.75" customHeight="1" x14ac:dyDescent="0.2">
      <c r="A48" s="17" t="str">
        <f>"locomotive_"&amp; VLOOKUP(F48, Factor!$BK$4:$BL$6, 2, 0) &amp;"_"&amp;Locomotive!D48&amp;"_"&amp;VLOOKUP(E48, Factor!$BM$4:$BN$36, 2, 0)</f>
        <v>locomotive_El_T2_006</v>
      </c>
      <c r="B48" s="18" t="str">
        <f t="shared" si="0"/>
        <v>T2 여객 전기기관차</v>
      </c>
      <c r="C48" s="18">
        <f>VLOOKUP(D48, Factor!$B$41:$C$50, 2, 0)</f>
        <v>20000</v>
      </c>
      <c r="D48" s="18" t="s">
        <v>320</v>
      </c>
      <c r="E48" s="18" t="s">
        <v>509</v>
      </c>
      <c r="F48" s="18" t="s">
        <v>502</v>
      </c>
      <c r="G48" s="18" t="str">
        <f t="shared" si="1"/>
        <v>여객 전기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 cm="1">
        <f t="array" ref="S48">H48*VLOOKUP($G48, Factor!$C$4:$N$36, 2, 0)*INDEX(Factor!$C$41:$N$87, _xlfn.XMATCH($C48, Factor!$C$41:$C$87, -1), 2)</f>
        <v>240</v>
      </c>
      <c r="T48" s="18" cm="1">
        <f t="array" ref="T48">I48*VLOOKUP($G48, Factor!$C$4:$N$36, 3, 0)*INDEX(Factor!$C$41:$N$87, _xlfn.XMATCH($C48, Factor!$C$41:$C$87, -1), 3)</f>
        <v>960</v>
      </c>
      <c r="U48" s="18" cm="1">
        <f t="array" ref="U48">J48*VLOOKUP($G48, Factor!$C$4:$N$36, 4, 0)*INDEX(Factor!$C$41:$N$87, _xlfn.XMATCH($C48, Factor!$C$41:$C$87, -1), 4)</f>
        <v>3</v>
      </c>
      <c r="V48" s="18" cm="1">
        <f t="array" ref="V48">K48*VLOOKUP($G48, Factor!$C$4:$N$36, 5, 0)*INDEX(Factor!$C$41:$N$87, _xlfn.XMATCH($C48, Factor!$C$41:$C$87, -1), 5)</f>
        <v>9.6</v>
      </c>
      <c r="W48" s="18" cm="1">
        <f t="array" ref="W48">L48*VLOOKUP($G48, Factor!$C$4:$N$36, 6, 0)*INDEX(Factor!$C$41:$N$87, _xlfn.XMATCH($C48, Factor!$C$41:$C$87, -1), 6)</f>
        <v>12</v>
      </c>
      <c r="X48" s="18" cm="1">
        <f t="array" ref="X48">M48*VLOOKUP($G48, Factor!$C$4:$N$36, 7, 0)*INDEX(Factor!$C$41:$N$87, _xlfn.XMATCH($C48, Factor!$C$41:$C$87, -1), 7)</f>
        <v>8400</v>
      </c>
      <c r="Y48" s="18" cm="1">
        <f t="array" ref="Y48">N48*VLOOKUP($G48, Factor!$C$4:$N$36, 8, 0)*INDEX(Factor!$C$41:$N$87, _xlfn.XMATCH($C48, Factor!$C$41:$C$87, -1), 8)</f>
        <v>720</v>
      </c>
      <c r="Z48" s="18" cm="1">
        <f t="array" ref="Z48">O48*VLOOKUP($G48, Factor!$C$4:$N$36, 9, 0)*INDEX(Factor!$C$41:$N$87, _xlfn.XMATCH($C48, Factor!$C$41:$C$87, -1), 9)</f>
        <v>4.8</v>
      </c>
      <c r="AA48" s="18" cm="1">
        <f t="array" ref="AA48">P48*VLOOKUP($G48, Factor!$C$4:$N$36, 10, 0)*INDEX(Factor!$C$41:$N$87, _xlfn.XMATCH($C48, Factor!$C$41:$C$87, -1), 10)</f>
        <v>720</v>
      </c>
      <c r="AB48" s="18" cm="1">
        <f t="array" ref="AB48">Q48*VLOOKUP($G48, Factor!$C$4:$N$36, 11, 0)*INDEX(Factor!$C$41:$N$87, _xlfn.XMATCH($C48, Factor!$C$41:$C$87, -1), 11)</f>
        <v>2</v>
      </c>
      <c r="AC48" s="18" cm="1">
        <f t="array" ref="AC48">R48*VLOOKUP($G48, Factor!$C$4:$N$36, 12, 0)*INDEX(Factor!$C$41:$N$87, _xlfn.XMATCH($C48, Factor!$C$41:$C$87, -1), 12)</f>
        <v>6</v>
      </c>
      <c r="AD48" s="19"/>
    </row>
    <row r="49" spans="1:30" ht="15.75" customHeight="1" x14ac:dyDescent="0.2">
      <c r="A49" s="14" t="str">
        <f>"locomotive_"&amp; VLOOKUP(F49, Factor!$BK$4:$BL$6, 2, 0) &amp;"_"&amp;Locomotive!D49&amp;"_"&amp;VLOOKUP(E49, Factor!$BM$4:$BN$36, 2, 0)</f>
        <v>locomotive_Dz_T2_006</v>
      </c>
      <c r="B49" s="15" t="str">
        <f t="shared" si="0"/>
        <v>T2 여객 디젤기관차</v>
      </c>
      <c r="C49" s="15">
        <f>VLOOKUP(D49, Factor!$B$41:$C$50, 2, 0)</f>
        <v>20000</v>
      </c>
      <c r="D49" s="15" t="s">
        <v>320</v>
      </c>
      <c r="E49" s="41" t="s">
        <v>509</v>
      </c>
      <c r="F49" s="15" t="s">
        <v>503</v>
      </c>
      <c r="G49" s="15" t="str">
        <f t="shared" si="1"/>
        <v>여객 디젤</v>
      </c>
      <c r="H49" s="41">
        <v>1</v>
      </c>
      <c r="I49" s="41">
        <v>1</v>
      </c>
      <c r="J49" s="41">
        <v>1</v>
      </c>
      <c r="K49" s="41">
        <v>1</v>
      </c>
      <c r="L49" s="41">
        <v>1</v>
      </c>
      <c r="M49" s="41">
        <v>1</v>
      </c>
      <c r="N49" s="41">
        <v>1</v>
      </c>
      <c r="O49" s="41">
        <v>1</v>
      </c>
      <c r="P49" s="41">
        <v>1</v>
      </c>
      <c r="Q49" s="41">
        <v>1</v>
      </c>
      <c r="R49" s="41">
        <v>1</v>
      </c>
      <c r="S49" s="15" cm="1">
        <f t="array" ref="S49">H49*VLOOKUP($G49, Factor!$C$4:$N$36, 2, 0)*INDEX(Factor!$C$41:$N$87, _xlfn.XMATCH($C49, Factor!$C$41:$C$87, -1), 2)</f>
        <v>180</v>
      </c>
      <c r="T49" s="15" cm="1">
        <f t="array" ref="T49">I49*VLOOKUP($G49, Factor!$C$4:$N$36, 3, 0)*INDEX(Factor!$C$41:$N$87, _xlfn.XMATCH($C49, Factor!$C$41:$C$87, -1), 3)</f>
        <v>1440</v>
      </c>
      <c r="U49" s="15" cm="1">
        <f t="array" ref="U49">J49*VLOOKUP($G49, Factor!$C$4:$N$36, 4, 0)*INDEX(Factor!$C$41:$N$87, _xlfn.XMATCH($C49, Factor!$C$41:$C$87, -1), 4)</f>
        <v>3</v>
      </c>
      <c r="V49" s="15" cm="1">
        <f t="array" ref="V49">K49*VLOOKUP($G49, Factor!$C$4:$N$36, 5, 0)*INDEX(Factor!$C$41:$N$87, _xlfn.XMATCH($C49, Factor!$C$41:$C$87, -1), 5)</f>
        <v>7.1999999999999993</v>
      </c>
      <c r="W49" s="15" cm="1">
        <f t="array" ref="W49">L49*VLOOKUP($G49, Factor!$C$4:$N$36, 6, 0)*INDEX(Factor!$C$41:$N$87, _xlfn.XMATCH($C49, Factor!$C$41:$C$87, -1), 6)</f>
        <v>12</v>
      </c>
      <c r="X49" s="15" cm="1">
        <f t="array" ref="X49">M49*VLOOKUP($G49, Factor!$C$4:$N$36, 7, 0)*INDEX(Factor!$C$41:$N$87, _xlfn.XMATCH($C49, Factor!$C$41:$C$87, -1), 7)</f>
        <v>18000</v>
      </c>
      <c r="Y49" s="15" cm="1">
        <f t="array" ref="Y49">N49*VLOOKUP($G49, Factor!$C$4:$N$36, 8, 0)*INDEX(Factor!$C$41:$N$87, _xlfn.XMATCH($C49, Factor!$C$41:$C$87, -1), 8)</f>
        <v>840</v>
      </c>
      <c r="Z49" s="15" cm="1">
        <f t="array" ref="Z49">O49*VLOOKUP($G49, Factor!$C$4:$N$36, 9, 0)*INDEX(Factor!$C$41:$N$87, _xlfn.XMATCH($C49, Factor!$C$41:$C$87, -1), 9)</f>
        <v>8.4</v>
      </c>
      <c r="AA49" s="15" cm="1">
        <f t="array" ref="AA49">P49*VLOOKUP($G49, Factor!$C$4:$N$36, 10, 0)*INDEX(Factor!$C$41:$N$87, _xlfn.XMATCH($C49, Factor!$C$41:$C$87, -1), 10)</f>
        <v>840</v>
      </c>
      <c r="AB49" s="15" cm="1">
        <f t="array" ref="AB49">Q49*VLOOKUP($G49, Factor!$C$4:$N$36, 11, 0)*INDEX(Factor!$C$41:$N$87, _xlfn.XMATCH($C49, Factor!$C$41:$C$87, -1), 11)</f>
        <v>2</v>
      </c>
      <c r="AC49" s="15" cm="1">
        <f t="array" ref="AC49">R49*VLOOKUP($G49, Factor!$C$4:$N$36, 12, 0)*INDEX(Factor!$C$41:$N$87, _xlfn.XMATCH($C49, Factor!$C$41:$C$87, -1), 12)</f>
        <v>6</v>
      </c>
      <c r="AD49" s="16"/>
    </row>
    <row r="50" spans="1:30" ht="15.75" customHeight="1" x14ac:dyDescent="0.2">
      <c r="A50" s="17" t="str">
        <f>"locomotive_"&amp; VLOOKUP(F50, Factor!$BK$4:$BL$6, 2, 0) &amp;"_"&amp;Locomotive!D50&amp;"_"&amp;VLOOKUP(E50, Factor!$BM$4:$BN$36, 2, 0)</f>
        <v>locomotive_St_T2_007</v>
      </c>
      <c r="B50" s="18" t="str">
        <f t="shared" si="0"/>
        <v>T2 시운 증기기관차</v>
      </c>
      <c r="C50" s="18">
        <f>VLOOKUP(D50, Factor!$B$41:$C$50, 2, 0)</f>
        <v>20000</v>
      </c>
      <c r="D50" s="18" t="s">
        <v>320</v>
      </c>
      <c r="E50" s="18" t="s">
        <v>510</v>
      </c>
      <c r="F50" s="18" t="s">
        <v>505</v>
      </c>
      <c r="G50" s="18" t="str">
        <f t="shared" si="1"/>
        <v>시운 증기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 cm="1">
        <f t="array" ref="S50">H50*VLOOKUP($G50, Factor!$C$4:$N$36, 2, 0)*INDEX(Factor!$C$41:$N$87, _xlfn.XMATCH($C50, Factor!$C$41:$C$87, -1), 2)</f>
        <v>120</v>
      </c>
      <c r="T50" s="18" cm="1">
        <f t="array" ref="T50">I50*VLOOKUP($G50, Factor!$C$4:$N$36, 3, 0)*INDEX(Factor!$C$41:$N$87, _xlfn.XMATCH($C50, Factor!$C$41:$C$87, -1), 3)</f>
        <v>1200</v>
      </c>
      <c r="U50" s="18" cm="1">
        <f t="array" ref="U50">J50*VLOOKUP($G50, Factor!$C$4:$N$36, 4, 0)*INDEX(Factor!$C$41:$N$87, _xlfn.XMATCH($C50, Factor!$C$41:$C$87, -1), 4)</f>
        <v>3</v>
      </c>
      <c r="V50" s="18" cm="1">
        <f t="array" ref="V50">K50*VLOOKUP($G50, Factor!$C$4:$N$36, 5, 0)*INDEX(Factor!$C$41:$N$87, _xlfn.XMATCH($C50, Factor!$C$41:$C$87, -1), 5)</f>
        <v>7.1999999999999993</v>
      </c>
      <c r="W50" s="18" cm="1">
        <f t="array" ref="W50">L50*VLOOKUP($G50, Factor!$C$4:$N$36, 6, 0)*INDEX(Factor!$C$41:$N$87, _xlfn.XMATCH($C50, Factor!$C$41:$C$87, -1), 6)</f>
        <v>12</v>
      </c>
      <c r="X50" s="18" cm="1">
        <f t="array" ref="X50">M50*VLOOKUP($G50, Factor!$C$4:$N$36, 7, 0)*INDEX(Factor!$C$41:$N$87, _xlfn.XMATCH($C50, Factor!$C$41:$C$87, -1), 7)</f>
        <v>12000</v>
      </c>
      <c r="Y50" s="18" cm="1">
        <f t="array" ref="Y50">N50*VLOOKUP($G50, Factor!$C$4:$N$36, 8, 0)*INDEX(Factor!$C$41:$N$87, _xlfn.XMATCH($C50, Factor!$C$41:$C$87, -1), 8)</f>
        <v>600</v>
      </c>
      <c r="Z50" s="18" cm="1">
        <f t="array" ref="Z50">O50*VLOOKUP($G50, Factor!$C$4:$N$36, 9, 0)*INDEX(Factor!$C$41:$N$87, _xlfn.XMATCH($C50, Factor!$C$41:$C$87, -1), 9)</f>
        <v>36</v>
      </c>
      <c r="AA50" s="18" cm="1">
        <f t="array" ref="AA50">P50*VLOOKUP($G50, Factor!$C$4:$N$36, 10, 0)*INDEX(Factor!$C$41:$N$87, _xlfn.XMATCH($C50, Factor!$C$41:$C$87, -1), 10)</f>
        <v>2400</v>
      </c>
      <c r="AB50" s="18" cm="1">
        <f t="array" ref="AB50">Q50*VLOOKUP($G50, Factor!$C$4:$N$36, 11, 0)*INDEX(Factor!$C$41:$N$87, _xlfn.XMATCH($C50, Factor!$C$41:$C$87, -1), 11)</f>
        <v>2</v>
      </c>
      <c r="AC50" s="18" cm="1">
        <f t="array" ref="AC50">R50*VLOOKUP($G50, Factor!$C$4:$N$36, 12, 0)*INDEX(Factor!$C$41:$N$87, _xlfn.XMATCH($C50, Factor!$C$41:$C$87, -1), 12)</f>
        <v>2</v>
      </c>
      <c r="AD50" s="19"/>
    </row>
    <row r="51" spans="1:30" ht="15.75" customHeight="1" x14ac:dyDescent="0.2">
      <c r="A51" s="14" t="str">
        <f>"locomotive_"&amp; VLOOKUP(F51, Factor!$BK$4:$BL$6, 2, 0) &amp;"_"&amp;Locomotive!D51&amp;"_"&amp;VLOOKUP(E51, Factor!$BM$4:$BN$36, 2, 0)</f>
        <v>locomotive_El_T2_007</v>
      </c>
      <c r="B51" s="15" t="str">
        <f t="shared" si="0"/>
        <v>T2 시운 전기기관차</v>
      </c>
      <c r="C51" s="15">
        <f>VLOOKUP(D51, Factor!$B$41:$C$50, 2, 0)</f>
        <v>20000</v>
      </c>
      <c r="D51" s="15" t="s">
        <v>320</v>
      </c>
      <c r="E51" s="41" t="s">
        <v>510</v>
      </c>
      <c r="F51" s="15" t="s">
        <v>502</v>
      </c>
      <c r="G51" s="15" t="str">
        <f t="shared" si="1"/>
        <v>시운 전기</v>
      </c>
      <c r="H51" s="41">
        <v>1</v>
      </c>
      <c r="I51" s="41">
        <v>1</v>
      </c>
      <c r="J51" s="41">
        <v>1</v>
      </c>
      <c r="K51" s="41">
        <v>1</v>
      </c>
      <c r="L51" s="41">
        <v>1</v>
      </c>
      <c r="M51" s="41">
        <v>1</v>
      </c>
      <c r="N51" s="41">
        <v>1</v>
      </c>
      <c r="O51" s="41">
        <v>1</v>
      </c>
      <c r="P51" s="41">
        <v>1</v>
      </c>
      <c r="Q51" s="41">
        <v>1</v>
      </c>
      <c r="R51" s="41">
        <v>1</v>
      </c>
      <c r="S51" s="15" cm="1">
        <f t="array" ref="S51">H51*VLOOKUP($G51, Factor!$C$4:$N$36, 2, 0)*INDEX(Factor!$C$41:$N$87, _xlfn.XMATCH($C51, Factor!$C$41:$C$87, -1), 2)</f>
        <v>240</v>
      </c>
      <c r="T51" s="15" cm="1">
        <f t="array" ref="T51">I51*VLOOKUP($G51, Factor!$C$4:$N$36, 3, 0)*INDEX(Factor!$C$41:$N$87, _xlfn.XMATCH($C51, Factor!$C$41:$C$87, -1), 3)</f>
        <v>960</v>
      </c>
      <c r="U51" s="15" cm="1">
        <f t="array" ref="U51">J51*VLOOKUP($G51, Factor!$C$4:$N$36, 4, 0)*INDEX(Factor!$C$41:$N$87, _xlfn.XMATCH($C51, Factor!$C$41:$C$87, -1), 4)</f>
        <v>3</v>
      </c>
      <c r="V51" s="15" cm="1">
        <f t="array" ref="V51">K51*VLOOKUP($G51, Factor!$C$4:$N$36, 5, 0)*INDEX(Factor!$C$41:$N$87, _xlfn.XMATCH($C51, Factor!$C$41:$C$87, -1), 5)</f>
        <v>12</v>
      </c>
      <c r="W51" s="15" cm="1">
        <f t="array" ref="W51">L51*VLOOKUP($G51, Factor!$C$4:$N$36, 6, 0)*INDEX(Factor!$C$41:$N$87, _xlfn.XMATCH($C51, Factor!$C$41:$C$87, -1), 6)</f>
        <v>12</v>
      </c>
      <c r="X51" s="15" cm="1">
        <f t="array" ref="X51">M51*VLOOKUP($G51, Factor!$C$4:$N$36, 7, 0)*INDEX(Factor!$C$41:$N$87, _xlfn.XMATCH($C51, Factor!$C$41:$C$87, -1), 7)</f>
        <v>8400</v>
      </c>
      <c r="Y51" s="15" cm="1">
        <f t="array" ref="Y51">N51*VLOOKUP($G51, Factor!$C$4:$N$36, 8, 0)*INDEX(Factor!$C$41:$N$87, _xlfn.XMATCH($C51, Factor!$C$41:$C$87, -1), 8)</f>
        <v>360</v>
      </c>
      <c r="Z51" s="15" cm="1">
        <f t="array" ref="Z51">O51*VLOOKUP($G51, Factor!$C$4:$N$36, 9, 0)*INDEX(Factor!$C$41:$N$87, _xlfn.XMATCH($C51, Factor!$C$41:$C$87, -1), 9)</f>
        <v>6</v>
      </c>
      <c r="AA51" s="15" cm="1">
        <f t="array" ref="AA51">P51*VLOOKUP($G51, Factor!$C$4:$N$36, 10, 0)*INDEX(Factor!$C$41:$N$87, _xlfn.XMATCH($C51, Factor!$C$41:$C$87, -1), 10)</f>
        <v>1200</v>
      </c>
      <c r="AB51" s="15" cm="1">
        <f t="array" ref="AB51">Q51*VLOOKUP($G51, Factor!$C$4:$N$36, 11, 0)*INDEX(Factor!$C$41:$N$87, _xlfn.XMATCH($C51, Factor!$C$41:$C$87, -1), 11)</f>
        <v>2</v>
      </c>
      <c r="AC51" s="15" cm="1">
        <f t="array" ref="AC51">R51*VLOOKUP($G51, Factor!$C$4:$N$36, 12, 0)*INDEX(Factor!$C$41:$N$87, _xlfn.XMATCH($C51, Factor!$C$41:$C$87, -1), 12)</f>
        <v>2</v>
      </c>
      <c r="AD51" s="16"/>
    </row>
    <row r="52" spans="1:30" ht="15.75" customHeight="1" x14ac:dyDescent="0.2">
      <c r="A52" s="17" t="str">
        <f>"locomotive_"&amp; VLOOKUP(F52, Factor!$BK$4:$BL$6, 2, 0) &amp;"_"&amp;Locomotive!D52&amp;"_"&amp;VLOOKUP(E52, Factor!$BM$4:$BN$36, 2, 0)</f>
        <v>locomotive_Dz_T2_007</v>
      </c>
      <c r="B52" s="18" t="str">
        <f t="shared" si="0"/>
        <v>T2 시운 디젤기관차</v>
      </c>
      <c r="C52" s="18">
        <f>VLOOKUP(D52, Factor!$B$41:$C$50, 2, 0)</f>
        <v>20000</v>
      </c>
      <c r="D52" s="18" t="s">
        <v>320</v>
      </c>
      <c r="E52" s="18" t="s">
        <v>510</v>
      </c>
      <c r="F52" s="18" t="s">
        <v>503</v>
      </c>
      <c r="G52" s="18" t="str">
        <f t="shared" si="1"/>
        <v>시운 디젤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18" cm="1">
        <f t="array" ref="S52">H52*VLOOKUP($G52, Factor!$C$4:$N$36, 2, 0)*INDEX(Factor!$C$41:$N$87, _xlfn.XMATCH($C52, Factor!$C$41:$C$87, -1), 2)</f>
        <v>180</v>
      </c>
      <c r="T52" s="18" cm="1">
        <f t="array" ref="T52">I52*VLOOKUP($G52, Factor!$C$4:$N$36, 3, 0)*INDEX(Factor!$C$41:$N$87, _xlfn.XMATCH($C52, Factor!$C$41:$C$87, -1), 3)</f>
        <v>1440</v>
      </c>
      <c r="U52" s="18" cm="1">
        <f t="array" ref="U52">J52*VLOOKUP($G52, Factor!$C$4:$N$36, 4, 0)*INDEX(Factor!$C$41:$N$87, _xlfn.XMATCH($C52, Factor!$C$41:$C$87, -1), 4)</f>
        <v>3</v>
      </c>
      <c r="V52" s="18" cm="1">
        <f t="array" ref="V52">K52*VLOOKUP($G52, Factor!$C$4:$N$36, 5, 0)*INDEX(Factor!$C$41:$N$87, _xlfn.XMATCH($C52, Factor!$C$41:$C$87, -1), 5)</f>
        <v>9.6</v>
      </c>
      <c r="W52" s="18" cm="1">
        <f t="array" ref="W52">L52*VLOOKUP($G52, Factor!$C$4:$N$36, 6, 0)*INDEX(Factor!$C$41:$N$87, _xlfn.XMATCH($C52, Factor!$C$41:$C$87, -1), 6)</f>
        <v>12</v>
      </c>
      <c r="X52" s="18" cm="1">
        <f t="array" ref="X52">M52*VLOOKUP($G52, Factor!$C$4:$N$36, 7, 0)*INDEX(Factor!$C$41:$N$87, _xlfn.XMATCH($C52, Factor!$C$41:$C$87, -1), 7)</f>
        <v>18000</v>
      </c>
      <c r="Y52" s="18" cm="1">
        <f t="array" ref="Y52">N52*VLOOKUP($G52, Factor!$C$4:$N$36, 8, 0)*INDEX(Factor!$C$41:$N$87, _xlfn.XMATCH($C52, Factor!$C$41:$C$87, -1), 8)</f>
        <v>480</v>
      </c>
      <c r="Z52" s="18" cm="1">
        <f t="array" ref="Z52">O52*VLOOKUP($G52, Factor!$C$4:$N$36, 9, 0)*INDEX(Factor!$C$41:$N$87, _xlfn.XMATCH($C52, Factor!$C$41:$C$87, -1), 9)</f>
        <v>12</v>
      </c>
      <c r="AA52" s="18" cm="1">
        <f t="array" ref="AA52">P52*VLOOKUP($G52, Factor!$C$4:$N$36, 10, 0)*INDEX(Factor!$C$41:$N$87, _xlfn.XMATCH($C52, Factor!$C$41:$C$87, -1), 10)</f>
        <v>1800</v>
      </c>
      <c r="AB52" s="18" cm="1">
        <f t="array" ref="AB52">Q52*VLOOKUP($G52, Factor!$C$4:$N$36, 11, 0)*INDEX(Factor!$C$41:$N$87, _xlfn.XMATCH($C52, Factor!$C$41:$C$87, -1), 11)</f>
        <v>2</v>
      </c>
      <c r="AC52" s="18" cm="1">
        <f t="array" ref="AC52">R52*VLOOKUP($G52, Factor!$C$4:$N$36, 12, 0)*INDEX(Factor!$C$41:$N$87, _xlfn.XMATCH($C52, Factor!$C$41:$C$87, -1), 12)</f>
        <v>2</v>
      </c>
      <c r="AD52" s="19"/>
    </row>
    <row r="53" spans="1:30" ht="15.75" customHeight="1" x14ac:dyDescent="0.2">
      <c r="A53" s="48" t="str">
        <f>"locomotive_"&amp; VLOOKUP(F53, Factor!$BK$4:$BL$6, 2, 0) &amp;"_"&amp;Locomotive!D53&amp;"_"&amp;VLOOKUP(E53, Factor!$BM$4:$BN$36, 2, 0)</f>
        <v>locomotive_St_T2_008</v>
      </c>
      <c r="B53" s="15" t="str">
        <f t="shared" si="0"/>
        <v>T2 경량 증기기관차</v>
      </c>
      <c r="C53" s="15">
        <f>VLOOKUP(D53, Factor!$B$41:$C$50, 2, 0)</f>
        <v>20000</v>
      </c>
      <c r="D53" s="15" t="s">
        <v>320</v>
      </c>
      <c r="E53" s="41" t="s">
        <v>511</v>
      </c>
      <c r="F53" s="41" t="s">
        <v>505</v>
      </c>
      <c r="G53" s="41" t="str">
        <f t="shared" si="1"/>
        <v>경량 증기</v>
      </c>
      <c r="H53" s="41">
        <v>1</v>
      </c>
      <c r="I53" s="41">
        <v>1</v>
      </c>
      <c r="J53" s="41">
        <v>1</v>
      </c>
      <c r="K53" s="41">
        <v>1</v>
      </c>
      <c r="L53" s="41">
        <v>1</v>
      </c>
      <c r="M53" s="41">
        <v>1</v>
      </c>
      <c r="N53" s="41">
        <v>1</v>
      </c>
      <c r="O53" s="41">
        <v>1</v>
      </c>
      <c r="P53" s="41">
        <v>1</v>
      </c>
      <c r="Q53" s="41">
        <v>1</v>
      </c>
      <c r="R53" s="41">
        <v>1</v>
      </c>
      <c r="S53" s="15" cm="1">
        <f t="array" ref="S53">H53*VLOOKUP($G53, Factor!$C$4:$N$36, 2, 0)*INDEX(Factor!$C$41:$N$87, _xlfn.XMATCH($C53, Factor!$C$41:$C$87, -1), 2)</f>
        <v>120</v>
      </c>
      <c r="T53" s="15" cm="1">
        <f t="array" ref="T53">I53*VLOOKUP($G53, Factor!$C$4:$N$36, 3, 0)*INDEX(Factor!$C$41:$N$87, _xlfn.XMATCH($C53, Factor!$C$41:$C$87, -1), 3)</f>
        <v>1080</v>
      </c>
      <c r="U53" s="15" cm="1">
        <f t="array" ref="U53">J53*VLOOKUP($G53, Factor!$C$4:$N$36, 4, 0)*INDEX(Factor!$C$41:$N$87, _xlfn.XMATCH($C53, Factor!$C$41:$C$87, -1), 4)</f>
        <v>3</v>
      </c>
      <c r="V53" s="15" cm="1">
        <f t="array" ref="V53">K53*VLOOKUP($G53, Factor!$C$4:$N$36, 5, 0)*INDEX(Factor!$C$41:$N$87, _xlfn.XMATCH($C53, Factor!$C$41:$C$87, -1), 5)</f>
        <v>6</v>
      </c>
      <c r="W53" s="15" cm="1">
        <f t="array" ref="W53">L53*VLOOKUP($G53, Factor!$C$4:$N$36, 6, 0)*INDEX(Factor!$C$41:$N$87, _xlfn.XMATCH($C53, Factor!$C$41:$C$87, -1), 6)</f>
        <v>12</v>
      </c>
      <c r="X53" s="15" cm="1">
        <f t="array" ref="X53">M53*VLOOKUP($G53, Factor!$C$4:$N$36, 7, 0)*INDEX(Factor!$C$41:$N$87, _xlfn.XMATCH($C53, Factor!$C$41:$C$87, -1), 7)</f>
        <v>9600</v>
      </c>
      <c r="Y53" s="15" cm="1">
        <f t="array" ref="Y53">N53*VLOOKUP($G53, Factor!$C$4:$N$36, 8, 0)*INDEX(Factor!$C$41:$N$87, _xlfn.XMATCH($C53, Factor!$C$41:$C$87, -1), 8)</f>
        <v>1200</v>
      </c>
      <c r="Z53" s="15" cm="1">
        <f t="array" ref="Z53">O53*VLOOKUP($G53, Factor!$C$4:$N$36, 9, 0)*INDEX(Factor!$C$41:$N$87, _xlfn.XMATCH($C53, Factor!$C$41:$C$87, -1), 9)</f>
        <v>36</v>
      </c>
      <c r="AA53" s="15" cm="1">
        <f t="array" ref="AA53">P53*VLOOKUP($G53, Factor!$C$4:$N$36, 10, 0)*INDEX(Factor!$C$41:$N$87, _xlfn.XMATCH($C53, Factor!$C$41:$C$87, -1), 10)</f>
        <v>1200</v>
      </c>
      <c r="AB53" s="15" cm="1">
        <f t="array" ref="AB53">Q53*VLOOKUP($G53, Factor!$C$4:$N$36, 11, 0)*INDEX(Factor!$C$41:$N$87, _xlfn.XMATCH($C53, Factor!$C$41:$C$87, -1), 11)</f>
        <v>2</v>
      </c>
      <c r="AC53" s="15" cm="1">
        <f t="array" ref="AC53">R53*VLOOKUP($G53, Factor!$C$4:$N$36, 12, 0)*INDEX(Factor!$C$41:$N$87, _xlfn.XMATCH($C53, Factor!$C$41:$C$87, -1), 12)</f>
        <v>2</v>
      </c>
      <c r="AD53" s="16"/>
    </row>
    <row r="54" spans="1:30" ht="15.75" customHeight="1" x14ac:dyDescent="0.2">
      <c r="A54" s="17" t="str">
        <f>"locomotive_"&amp; VLOOKUP(F54, Factor!$BK$4:$BL$6, 2, 0) &amp;"_"&amp;Locomotive!D54&amp;"_"&amp;VLOOKUP(E54, Factor!$BM$4:$BN$36, 2, 0)</f>
        <v>locomotive_El_T2_008</v>
      </c>
      <c r="B54" s="18" t="str">
        <f t="shared" si="0"/>
        <v>T2 경량 전기기관차</v>
      </c>
      <c r="C54" s="18">
        <f>VLOOKUP(D54, Factor!$B$41:$C$50, 2, 0)</f>
        <v>20000</v>
      </c>
      <c r="D54" s="18" t="s">
        <v>320</v>
      </c>
      <c r="E54" s="18" t="s">
        <v>511</v>
      </c>
      <c r="F54" s="18" t="s">
        <v>502</v>
      </c>
      <c r="G54" s="18" t="str">
        <f t="shared" si="1"/>
        <v>경량 전기</v>
      </c>
      <c r="H54" s="18">
        <v>1</v>
      </c>
      <c r="I54" s="18">
        <v>1</v>
      </c>
      <c r="J54" s="18">
        <v>1</v>
      </c>
      <c r="K54" s="18">
        <v>1</v>
      </c>
      <c r="L54" s="18">
        <v>1</v>
      </c>
      <c r="M54" s="18">
        <v>1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18" cm="1">
        <f t="array" ref="S54">H54*VLOOKUP($G54, Factor!$C$4:$N$36, 2, 0)*INDEX(Factor!$C$41:$N$87, _xlfn.XMATCH($C54, Factor!$C$41:$C$87, -1), 2)</f>
        <v>240</v>
      </c>
      <c r="T54" s="18" cm="1">
        <f t="array" ref="T54">I54*VLOOKUP($G54, Factor!$C$4:$N$36, 3, 0)*INDEX(Factor!$C$41:$N$87, _xlfn.XMATCH($C54, Factor!$C$41:$C$87, -1), 3)</f>
        <v>840</v>
      </c>
      <c r="U54" s="18" cm="1">
        <f t="array" ref="U54">J54*VLOOKUP($G54, Factor!$C$4:$N$36, 4, 0)*INDEX(Factor!$C$41:$N$87, _xlfn.XMATCH($C54, Factor!$C$41:$C$87, -1), 4)</f>
        <v>3</v>
      </c>
      <c r="V54" s="18" cm="1">
        <f t="array" ref="V54">K54*VLOOKUP($G54, Factor!$C$4:$N$36, 5, 0)*INDEX(Factor!$C$41:$N$87, _xlfn.XMATCH($C54, Factor!$C$41:$C$87, -1), 5)</f>
        <v>10.799999999999999</v>
      </c>
      <c r="W54" s="18" cm="1">
        <f t="array" ref="W54">L54*VLOOKUP($G54, Factor!$C$4:$N$36, 6, 0)*INDEX(Factor!$C$41:$N$87, _xlfn.XMATCH($C54, Factor!$C$41:$C$87, -1), 6)</f>
        <v>12</v>
      </c>
      <c r="X54" s="18" cm="1">
        <f t="array" ref="X54">M54*VLOOKUP($G54, Factor!$C$4:$N$36, 7, 0)*INDEX(Factor!$C$41:$N$87, _xlfn.XMATCH($C54, Factor!$C$41:$C$87, -1), 7)</f>
        <v>6000</v>
      </c>
      <c r="Y54" s="18" cm="1">
        <f t="array" ref="Y54">N54*VLOOKUP($G54, Factor!$C$4:$N$36, 8, 0)*INDEX(Factor!$C$41:$N$87, _xlfn.XMATCH($C54, Factor!$C$41:$C$87, -1), 8)</f>
        <v>840</v>
      </c>
      <c r="Z54" s="18" cm="1">
        <f t="array" ref="Z54">O54*VLOOKUP($G54, Factor!$C$4:$N$36, 9, 0)*INDEX(Factor!$C$41:$N$87, _xlfn.XMATCH($C54, Factor!$C$41:$C$87, -1), 9)</f>
        <v>6</v>
      </c>
      <c r="AA54" s="18" cm="1">
        <f t="array" ref="AA54">P54*VLOOKUP($G54, Factor!$C$4:$N$36, 10, 0)*INDEX(Factor!$C$41:$N$87, _xlfn.XMATCH($C54, Factor!$C$41:$C$87, -1), 10)</f>
        <v>840</v>
      </c>
      <c r="AB54" s="18" cm="1">
        <f t="array" ref="AB54">Q54*VLOOKUP($G54, Factor!$C$4:$N$36, 11, 0)*INDEX(Factor!$C$41:$N$87, _xlfn.XMATCH($C54, Factor!$C$41:$C$87, -1), 11)</f>
        <v>2</v>
      </c>
      <c r="AC54" s="18" cm="1">
        <f t="array" ref="AC54">R54*VLOOKUP($G54, Factor!$C$4:$N$36, 12, 0)*INDEX(Factor!$C$41:$N$87, _xlfn.XMATCH($C54, Factor!$C$41:$C$87, -1), 12)</f>
        <v>2</v>
      </c>
      <c r="AD54" s="19"/>
    </row>
    <row r="55" spans="1:30" ht="15.75" customHeight="1" x14ac:dyDescent="0.2">
      <c r="A55" s="14" t="str">
        <f>"locomotive_"&amp; VLOOKUP(F55, Factor!$BK$4:$BL$6, 2, 0) &amp;"_"&amp;Locomotive!D55&amp;"_"&amp;VLOOKUP(E55, Factor!$BM$4:$BN$36, 2, 0)</f>
        <v>locomotive_Dz_T2_008</v>
      </c>
      <c r="B55" s="15" t="str">
        <f t="shared" si="0"/>
        <v>T2 경량 디젤기관차</v>
      </c>
      <c r="C55" s="15">
        <f>VLOOKUP(D55, Factor!$B$41:$C$50, 2, 0)</f>
        <v>20000</v>
      </c>
      <c r="D55" s="15" t="s">
        <v>320</v>
      </c>
      <c r="E55" s="41" t="s">
        <v>511</v>
      </c>
      <c r="F55" s="15" t="s">
        <v>503</v>
      </c>
      <c r="G55" s="15" t="str">
        <f t="shared" si="1"/>
        <v>경량 디젤</v>
      </c>
      <c r="H55" s="41">
        <v>1</v>
      </c>
      <c r="I55" s="41">
        <v>1</v>
      </c>
      <c r="J55" s="41">
        <v>1</v>
      </c>
      <c r="K55" s="41">
        <v>1</v>
      </c>
      <c r="L55" s="41">
        <v>1</v>
      </c>
      <c r="M55" s="41">
        <v>1</v>
      </c>
      <c r="N55" s="41">
        <v>1</v>
      </c>
      <c r="O55" s="41">
        <v>1</v>
      </c>
      <c r="P55" s="41">
        <v>1</v>
      </c>
      <c r="Q55" s="41">
        <v>1</v>
      </c>
      <c r="R55" s="41">
        <v>1</v>
      </c>
      <c r="S55" s="15" cm="1">
        <f t="array" ref="S55">H55*VLOOKUP($G55, Factor!$C$4:$N$36, 2, 0)*INDEX(Factor!$C$41:$N$87, _xlfn.XMATCH($C55, Factor!$C$41:$C$87, -1), 2)</f>
        <v>180</v>
      </c>
      <c r="T55" s="15" cm="1">
        <f t="array" ref="T55">I55*VLOOKUP($G55, Factor!$C$4:$N$36, 3, 0)*INDEX(Factor!$C$41:$N$87, _xlfn.XMATCH($C55, Factor!$C$41:$C$87, -1), 3)</f>
        <v>1320</v>
      </c>
      <c r="U55" s="15" cm="1">
        <f t="array" ref="U55">J55*VLOOKUP($G55, Factor!$C$4:$N$36, 4, 0)*INDEX(Factor!$C$41:$N$87, _xlfn.XMATCH($C55, Factor!$C$41:$C$87, -1), 4)</f>
        <v>3</v>
      </c>
      <c r="V55" s="15" cm="1">
        <f t="array" ref="V55">K55*VLOOKUP($G55, Factor!$C$4:$N$36, 5, 0)*INDEX(Factor!$C$41:$N$87, _xlfn.XMATCH($C55, Factor!$C$41:$C$87, -1), 5)</f>
        <v>8.4</v>
      </c>
      <c r="W55" s="15" cm="1">
        <f t="array" ref="W55">L55*VLOOKUP($G55, Factor!$C$4:$N$36, 6, 0)*INDEX(Factor!$C$41:$N$87, _xlfn.XMATCH($C55, Factor!$C$41:$C$87, -1), 6)</f>
        <v>12</v>
      </c>
      <c r="X55" s="15" cm="1">
        <f t="array" ref="X55">M55*VLOOKUP($G55, Factor!$C$4:$N$36, 7, 0)*INDEX(Factor!$C$41:$N$87, _xlfn.XMATCH($C55, Factor!$C$41:$C$87, -1), 7)</f>
        <v>14400</v>
      </c>
      <c r="Y55" s="15" cm="1">
        <f t="array" ref="Y55">N55*VLOOKUP($G55, Factor!$C$4:$N$36, 8, 0)*INDEX(Factor!$C$41:$N$87, _xlfn.XMATCH($C55, Factor!$C$41:$C$87, -1), 8)</f>
        <v>960</v>
      </c>
      <c r="Z55" s="15" cm="1">
        <f t="array" ref="Z55">O55*VLOOKUP($G55, Factor!$C$4:$N$36, 9, 0)*INDEX(Factor!$C$41:$N$87, _xlfn.XMATCH($C55, Factor!$C$41:$C$87, -1), 9)</f>
        <v>12</v>
      </c>
      <c r="AA55" s="15" cm="1">
        <f t="array" ref="AA55">P55*VLOOKUP($G55, Factor!$C$4:$N$36, 10, 0)*INDEX(Factor!$C$41:$N$87, _xlfn.XMATCH($C55, Factor!$C$41:$C$87, -1), 10)</f>
        <v>960</v>
      </c>
      <c r="AB55" s="15" cm="1">
        <f t="array" ref="AB55">Q55*VLOOKUP($G55, Factor!$C$4:$N$36, 11, 0)*INDEX(Factor!$C$41:$N$87, _xlfn.XMATCH($C55, Factor!$C$41:$C$87, -1), 11)</f>
        <v>2</v>
      </c>
      <c r="AC55" s="15" cm="1">
        <f t="array" ref="AC55">R55*VLOOKUP($G55, Factor!$C$4:$N$36, 12, 0)*INDEX(Factor!$C$41:$N$87, _xlfn.XMATCH($C55, Factor!$C$41:$C$87, -1), 12)</f>
        <v>2</v>
      </c>
      <c r="AD55" s="16"/>
    </row>
    <row r="56" spans="1:30" ht="15.75" customHeight="1" x14ac:dyDescent="0.2">
      <c r="A56" s="17" t="str">
        <f>"locomotive_"&amp; VLOOKUP(F56, Factor!$BK$4:$BL$6, 2, 0) &amp;"_"&amp;Locomotive!D56&amp;"_"&amp;VLOOKUP(E56, Factor!$BM$4:$BN$36, 2, 0)</f>
        <v>locomotive_St_T2_009</v>
      </c>
      <c r="B56" s="18" t="str">
        <f t="shared" si="0"/>
        <v>T2 견인 증기기관차</v>
      </c>
      <c r="C56" s="18">
        <f>VLOOKUP(D56, Factor!$B$41:$C$50, 2, 0)</f>
        <v>20000</v>
      </c>
      <c r="D56" s="18" t="s">
        <v>320</v>
      </c>
      <c r="E56" s="18" t="s">
        <v>512</v>
      </c>
      <c r="F56" s="18" t="s">
        <v>505</v>
      </c>
      <c r="G56" s="18" t="str">
        <f t="shared" si="1"/>
        <v>견인 증기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18" cm="1">
        <f t="array" ref="S56">H56*VLOOKUP($G56, Factor!$C$4:$N$36, 2, 0)*INDEX(Factor!$C$41:$N$87, _xlfn.XMATCH($C56, Factor!$C$41:$C$87, -1), 2)</f>
        <v>108</v>
      </c>
      <c r="T56" s="18" cm="1">
        <f t="array" ref="T56">I56*VLOOKUP($G56, Factor!$C$4:$N$36, 3, 0)*INDEX(Factor!$C$41:$N$87, _xlfn.XMATCH($C56, Factor!$C$41:$C$87, -1), 3)</f>
        <v>1200</v>
      </c>
      <c r="U56" s="18" cm="1">
        <f t="array" ref="U56">J56*VLOOKUP($G56, Factor!$C$4:$N$36, 4, 0)*INDEX(Factor!$C$41:$N$87, _xlfn.XMATCH($C56, Factor!$C$41:$C$87, -1), 4)</f>
        <v>3</v>
      </c>
      <c r="V56" s="18" cm="1">
        <f t="array" ref="V56">K56*VLOOKUP($G56, Factor!$C$4:$N$36, 5, 0)*INDEX(Factor!$C$41:$N$87, _xlfn.XMATCH($C56, Factor!$C$41:$C$87, -1), 5)</f>
        <v>3.5999999999999996</v>
      </c>
      <c r="W56" s="18" cm="1">
        <f t="array" ref="W56">L56*VLOOKUP($G56, Factor!$C$4:$N$36, 6, 0)*INDEX(Factor!$C$41:$N$87, _xlfn.XMATCH($C56, Factor!$C$41:$C$87, -1), 6)</f>
        <v>12</v>
      </c>
      <c r="X56" s="18" cm="1">
        <f t="array" ref="X56">M56*VLOOKUP($G56, Factor!$C$4:$N$36, 7, 0)*INDEX(Factor!$C$41:$N$87, _xlfn.XMATCH($C56, Factor!$C$41:$C$87, -1), 7)</f>
        <v>18000</v>
      </c>
      <c r="Y56" s="18" cm="1">
        <f t="array" ref="Y56">N56*VLOOKUP($G56, Factor!$C$4:$N$36, 8, 0)*INDEX(Factor!$C$41:$N$87, _xlfn.XMATCH($C56, Factor!$C$41:$C$87, -1), 8)</f>
        <v>1200</v>
      </c>
      <c r="Z56" s="18" cm="1">
        <f t="array" ref="Z56">O56*VLOOKUP($G56, Factor!$C$4:$N$36, 9, 0)*INDEX(Factor!$C$41:$N$87, _xlfn.XMATCH($C56, Factor!$C$41:$C$87, -1), 9)</f>
        <v>36</v>
      </c>
      <c r="AA56" s="18" cm="1">
        <f t="array" ref="AA56">P56*VLOOKUP($G56, Factor!$C$4:$N$36, 10, 0)*INDEX(Factor!$C$41:$N$87, _xlfn.XMATCH($C56, Factor!$C$41:$C$87, -1), 10)</f>
        <v>1200</v>
      </c>
      <c r="AB56" s="18" cm="1">
        <f t="array" ref="AB56">Q56*VLOOKUP($G56, Factor!$C$4:$N$36, 11, 0)*INDEX(Factor!$C$41:$N$87, _xlfn.XMATCH($C56, Factor!$C$41:$C$87, -1), 11)</f>
        <v>2</v>
      </c>
      <c r="AC56" s="18" cm="1">
        <f t="array" ref="AC56">R56*VLOOKUP($G56, Factor!$C$4:$N$36, 12, 0)*INDEX(Factor!$C$41:$N$87, _xlfn.XMATCH($C56, Factor!$C$41:$C$87, -1), 12)</f>
        <v>2</v>
      </c>
      <c r="AD56" s="19"/>
    </row>
    <row r="57" spans="1:30" ht="15.75" customHeight="1" x14ac:dyDescent="0.2">
      <c r="A57" s="14" t="str">
        <f>"locomotive_"&amp; VLOOKUP(F57, Factor!$BK$4:$BL$6, 2, 0) &amp;"_"&amp;Locomotive!D57&amp;"_"&amp;VLOOKUP(E57, Factor!$BM$4:$BN$36, 2, 0)</f>
        <v>locomotive_El_T2_009</v>
      </c>
      <c r="B57" s="15" t="str">
        <f t="shared" si="0"/>
        <v>T2 견인 전기기관차</v>
      </c>
      <c r="C57" s="15">
        <f>VLOOKUP(D57, Factor!$B$41:$C$50, 2, 0)</f>
        <v>20000</v>
      </c>
      <c r="D57" s="15" t="s">
        <v>320</v>
      </c>
      <c r="E57" s="41" t="s">
        <v>512</v>
      </c>
      <c r="F57" s="15" t="s">
        <v>502</v>
      </c>
      <c r="G57" s="15" t="str">
        <f t="shared" si="1"/>
        <v>견인 전기</v>
      </c>
      <c r="H57" s="41">
        <v>1</v>
      </c>
      <c r="I57" s="41">
        <v>1</v>
      </c>
      <c r="J57" s="41">
        <v>1</v>
      </c>
      <c r="K57" s="41">
        <v>1</v>
      </c>
      <c r="L57" s="41">
        <v>1</v>
      </c>
      <c r="M57" s="41">
        <v>1</v>
      </c>
      <c r="N57" s="41">
        <v>1</v>
      </c>
      <c r="O57" s="41">
        <v>1</v>
      </c>
      <c r="P57" s="41">
        <v>1</v>
      </c>
      <c r="Q57" s="41">
        <v>1</v>
      </c>
      <c r="R57" s="41">
        <v>1</v>
      </c>
      <c r="S57" s="15" cm="1">
        <f t="array" ref="S57">H57*VLOOKUP($G57, Factor!$C$4:$N$36, 2, 0)*INDEX(Factor!$C$41:$N$87, _xlfn.XMATCH($C57, Factor!$C$41:$C$87, -1), 2)</f>
        <v>216</v>
      </c>
      <c r="T57" s="15" cm="1">
        <f t="array" ref="T57">I57*VLOOKUP($G57, Factor!$C$4:$N$36, 3, 0)*INDEX(Factor!$C$41:$N$87, _xlfn.XMATCH($C57, Factor!$C$41:$C$87, -1), 3)</f>
        <v>960</v>
      </c>
      <c r="U57" s="15" cm="1">
        <f t="array" ref="U57">J57*VLOOKUP($G57, Factor!$C$4:$N$36, 4, 0)*INDEX(Factor!$C$41:$N$87, _xlfn.XMATCH($C57, Factor!$C$41:$C$87, -1), 4)</f>
        <v>3</v>
      </c>
      <c r="V57" s="15" cm="1">
        <f t="array" ref="V57">K57*VLOOKUP($G57, Factor!$C$4:$N$36, 5, 0)*INDEX(Factor!$C$41:$N$87, _xlfn.XMATCH($C57, Factor!$C$41:$C$87, -1), 5)</f>
        <v>8.4</v>
      </c>
      <c r="W57" s="15" cm="1">
        <f t="array" ref="W57">L57*VLOOKUP($G57, Factor!$C$4:$N$36, 6, 0)*INDEX(Factor!$C$41:$N$87, _xlfn.XMATCH($C57, Factor!$C$41:$C$87, -1), 6)</f>
        <v>12</v>
      </c>
      <c r="X57" s="15" cm="1">
        <f t="array" ref="X57">M57*VLOOKUP($G57, Factor!$C$4:$N$36, 7, 0)*INDEX(Factor!$C$41:$N$87, _xlfn.XMATCH($C57, Factor!$C$41:$C$87, -1), 7)</f>
        <v>14400</v>
      </c>
      <c r="Y57" s="15" cm="1">
        <f t="array" ref="Y57">N57*VLOOKUP($G57, Factor!$C$4:$N$36, 8, 0)*INDEX(Factor!$C$41:$N$87, _xlfn.XMATCH($C57, Factor!$C$41:$C$87, -1), 8)</f>
        <v>840</v>
      </c>
      <c r="Z57" s="15" cm="1">
        <f t="array" ref="Z57">O57*VLOOKUP($G57, Factor!$C$4:$N$36, 9, 0)*INDEX(Factor!$C$41:$N$87, _xlfn.XMATCH($C57, Factor!$C$41:$C$87, -1), 9)</f>
        <v>6</v>
      </c>
      <c r="AA57" s="15" cm="1">
        <f t="array" ref="AA57">P57*VLOOKUP($G57, Factor!$C$4:$N$36, 10, 0)*INDEX(Factor!$C$41:$N$87, _xlfn.XMATCH($C57, Factor!$C$41:$C$87, -1), 10)</f>
        <v>840</v>
      </c>
      <c r="AB57" s="15" cm="1">
        <f t="array" ref="AB57">Q57*VLOOKUP($G57, Factor!$C$4:$N$36, 11, 0)*INDEX(Factor!$C$41:$N$87, _xlfn.XMATCH($C57, Factor!$C$41:$C$87, -1), 11)</f>
        <v>2</v>
      </c>
      <c r="AC57" s="15" cm="1">
        <f t="array" ref="AC57">R57*VLOOKUP($G57, Factor!$C$4:$N$36, 12, 0)*INDEX(Factor!$C$41:$N$87, _xlfn.XMATCH($C57, Factor!$C$41:$C$87, -1), 12)</f>
        <v>2</v>
      </c>
      <c r="AD57" s="16"/>
    </row>
    <row r="58" spans="1:30" ht="15.75" customHeight="1" x14ac:dyDescent="0.2">
      <c r="A58" s="17" t="str">
        <f>"locomotive_"&amp; VLOOKUP(F58, Factor!$BK$4:$BL$6, 2, 0) &amp;"_"&amp;Locomotive!D58&amp;"_"&amp;VLOOKUP(E58, Factor!$BM$4:$BN$36, 2, 0)</f>
        <v>locomotive_Dz_T2_009</v>
      </c>
      <c r="B58" s="18" t="str">
        <f t="shared" si="0"/>
        <v>T2 견인 디젤기관차</v>
      </c>
      <c r="C58" s="18">
        <f>VLOOKUP(D58, Factor!$B$41:$C$50, 2, 0)</f>
        <v>20000</v>
      </c>
      <c r="D58" s="18" t="s">
        <v>320</v>
      </c>
      <c r="E58" s="18" t="s">
        <v>512</v>
      </c>
      <c r="F58" s="18" t="s">
        <v>503</v>
      </c>
      <c r="G58" s="18" t="str">
        <f t="shared" si="1"/>
        <v>견인 디젤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 cm="1">
        <f t="array" ref="S58">H58*VLOOKUP($G58, Factor!$C$4:$N$36, 2, 0)*INDEX(Factor!$C$41:$N$87, _xlfn.XMATCH($C58, Factor!$C$41:$C$87, -1), 2)</f>
        <v>144</v>
      </c>
      <c r="T58" s="18" cm="1">
        <f t="array" ref="T58">I58*VLOOKUP($G58, Factor!$C$4:$N$36, 3, 0)*INDEX(Factor!$C$41:$N$87, _xlfn.XMATCH($C58, Factor!$C$41:$C$87, -1), 3)</f>
        <v>1440</v>
      </c>
      <c r="U58" s="18" cm="1">
        <f t="array" ref="U58">J58*VLOOKUP($G58, Factor!$C$4:$N$36, 4, 0)*INDEX(Factor!$C$41:$N$87, _xlfn.XMATCH($C58, Factor!$C$41:$C$87, -1), 4)</f>
        <v>3</v>
      </c>
      <c r="V58" s="18" cm="1">
        <f t="array" ref="V58">K58*VLOOKUP($G58, Factor!$C$4:$N$36, 5, 0)*INDEX(Factor!$C$41:$N$87, _xlfn.XMATCH($C58, Factor!$C$41:$C$87, -1), 5)</f>
        <v>6</v>
      </c>
      <c r="W58" s="18" cm="1">
        <f t="array" ref="W58">L58*VLOOKUP($G58, Factor!$C$4:$N$36, 6, 0)*INDEX(Factor!$C$41:$N$87, _xlfn.XMATCH($C58, Factor!$C$41:$C$87, -1), 6)</f>
        <v>12</v>
      </c>
      <c r="X58" s="18" cm="1">
        <f t="array" ref="X58">M58*VLOOKUP($G58, Factor!$C$4:$N$36, 7, 0)*INDEX(Factor!$C$41:$N$87, _xlfn.XMATCH($C58, Factor!$C$41:$C$87, -1), 7)</f>
        <v>24000</v>
      </c>
      <c r="Y58" s="18" cm="1">
        <f t="array" ref="Y58">N58*VLOOKUP($G58, Factor!$C$4:$N$36, 8, 0)*INDEX(Factor!$C$41:$N$87, _xlfn.XMATCH($C58, Factor!$C$41:$C$87, -1), 8)</f>
        <v>960</v>
      </c>
      <c r="Z58" s="18" cm="1">
        <f t="array" ref="Z58">O58*VLOOKUP($G58, Factor!$C$4:$N$36, 9, 0)*INDEX(Factor!$C$41:$N$87, _xlfn.XMATCH($C58, Factor!$C$41:$C$87, -1), 9)</f>
        <v>12</v>
      </c>
      <c r="AA58" s="18" cm="1">
        <f t="array" ref="AA58">P58*VLOOKUP($G58, Factor!$C$4:$N$36, 10, 0)*INDEX(Factor!$C$41:$N$87, _xlfn.XMATCH($C58, Factor!$C$41:$C$87, -1), 10)</f>
        <v>960</v>
      </c>
      <c r="AB58" s="18" cm="1">
        <f t="array" ref="AB58">Q58*VLOOKUP($G58, Factor!$C$4:$N$36, 11, 0)*INDEX(Factor!$C$41:$N$87, _xlfn.XMATCH($C58, Factor!$C$41:$C$87, -1), 11)</f>
        <v>2</v>
      </c>
      <c r="AC58" s="18" cm="1">
        <f t="array" ref="AC58">R58*VLOOKUP($G58, Factor!$C$4:$N$36, 12, 0)*INDEX(Factor!$C$41:$N$87, _xlfn.XMATCH($C58, Factor!$C$41:$C$87, -1), 12)</f>
        <v>2</v>
      </c>
      <c r="AD58" s="19"/>
    </row>
    <row r="59" spans="1:30" ht="15.75" customHeight="1" x14ac:dyDescent="0.2">
      <c r="A59" s="48" t="str">
        <f>"locomotive_"&amp; VLOOKUP(F59, Factor!$BK$4:$BL$6, 2, 0) &amp;"_"&amp;Locomotive!D59&amp;"_"&amp;VLOOKUP(E59, Factor!$BM$4:$BN$36, 2, 0)</f>
        <v>locomotive_St_T3_001</v>
      </c>
      <c r="B59" s="15" t="str">
        <f t="shared" si="0"/>
        <v>T3 표준 증기기관차</v>
      </c>
      <c r="C59" s="15">
        <f>VLOOKUP(D59, Factor!$B$41:$C$50, 2, 0)</f>
        <v>30000</v>
      </c>
      <c r="D59" s="15" t="s">
        <v>321</v>
      </c>
      <c r="E59" s="41" t="s">
        <v>501</v>
      </c>
      <c r="F59" s="41" t="s">
        <v>505</v>
      </c>
      <c r="G59" s="41" t="str">
        <f t="shared" si="1"/>
        <v>표준 증기</v>
      </c>
      <c r="H59" s="41">
        <v>1</v>
      </c>
      <c r="I59" s="41">
        <v>1</v>
      </c>
      <c r="J59" s="41">
        <v>1</v>
      </c>
      <c r="K59" s="41">
        <v>1</v>
      </c>
      <c r="L59" s="41">
        <v>1</v>
      </c>
      <c r="M59" s="41">
        <v>1</v>
      </c>
      <c r="N59" s="41">
        <v>1</v>
      </c>
      <c r="O59" s="41">
        <v>1</v>
      </c>
      <c r="P59" s="41">
        <v>1</v>
      </c>
      <c r="Q59" s="41">
        <v>1</v>
      </c>
      <c r="R59" s="41">
        <v>1</v>
      </c>
      <c r="S59" s="15" cm="1">
        <f t="array" ref="S59">H59*VLOOKUP($G59, Factor!$C$4:$N$36, 2, 0)*INDEX(Factor!$C$41:$N$87, _xlfn.XMATCH($C59, Factor!$C$41:$C$87, -1), 2)</f>
        <v>140</v>
      </c>
      <c r="T59" s="15" cm="1">
        <f t="array" ref="T59">I59*VLOOKUP($G59, Factor!$C$4:$N$36, 3, 0)*INDEX(Factor!$C$41:$N$87, _xlfn.XMATCH($C59, Factor!$C$41:$C$87, -1), 3)</f>
        <v>1400</v>
      </c>
      <c r="U59" s="15" cm="1">
        <f t="array" ref="U59">J59*VLOOKUP($G59, Factor!$C$4:$N$36, 4, 0)*INDEX(Factor!$C$41:$N$87, _xlfn.XMATCH($C59, Factor!$C$41:$C$87, -1), 4)</f>
        <v>4</v>
      </c>
      <c r="V59" s="15" cm="1">
        <f t="array" ref="V59">K59*VLOOKUP($G59, Factor!$C$4:$N$36, 5, 0)*INDEX(Factor!$C$41:$N$87, _xlfn.XMATCH($C59, Factor!$C$41:$C$87, -1), 5)</f>
        <v>5.6</v>
      </c>
      <c r="W59" s="15" cm="1">
        <f t="array" ref="W59">L59*VLOOKUP($G59, Factor!$C$4:$N$36, 6, 0)*INDEX(Factor!$C$41:$N$87, _xlfn.XMATCH($C59, Factor!$C$41:$C$87, -1), 6)</f>
        <v>14</v>
      </c>
      <c r="X59" s="15" cm="1">
        <f t="array" ref="X59">M59*VLOOKUP($G59, Factor!$C$4:$N$36, 7, 0)*INDEX(Factor!$C$41:$N$87, _xlfn.XMATCH($C59, Factor!$C$41:$C$87, -1), 7)</f>
        <v>14000</v>
      </c>
      <c r="Y59" s="15" cm="1">
        <f t="array" ref="Y59">N59*VLOOKUP($G59, Factor!$C$4:$N$36, 8, 0)*INDEX(Factor!$C$41:$N$87, _xlfn.XMATCH($C59, Factor!$C$41:$C$87, -1), 8)</f>
        <v>1400</v>
      </c>
      <c r="Z59" s="15" cm="1">
        <f t="array" ref="Z59">O59*VLOOKUP($G59, Factor!$C$4:$N$36, 9, 0)*INDEX(Factor!$C$41:$N$87, _xlfn.XMATCH($C59, Factor!$C$41:$C$87, -1), 9)</f>
        <v>42</v>
      </c>
      <c r="AA59" s="15" cm="1">
        <f t="array" ref="AA59">P59*VLOOKUP($G59, Factor!$C$4:$N$36, 10, 0)*INDEX(Factor!$C$41:$N$87, _xlfn.XMATCH($C59, Factor!$C$41:$C$87, -1), 10)</f>
        <v>1400</v>
      </c>
      <c r="AB59" s="15" cm="1">
        <f t="array" ref="AB59">Q59*VLOOKUP($G59, Factor!$C$4:$N$36, 11, 0)*INDEX(Factor!$C$41:$N$87, _xlfn.XMATCH($C59, Factor!$C$41:$C$87, -1), 11)</f>
        <v>3</v>
      </c>
      <c r="AC59" s="15" cm="1">
        <f t="array" ref="AC59">R59*VLOOKUP($G59, Factor!$C$4:$N$36, 12, 0)*INDEX(Factor!$C$41:$N$87, _xlfn.XMATCH($C59, Factor!$C$41:$C$87, -1), 12)</f>
        <v>3</v>
      </c>
      <c r="AD59" s="16"/>
    </row>
    <row r="60" spans="1:30" ht="15.75" customHeight="1" x14ac:dyDescent="0.2">
      <c r="A60" s="17" t="str">
        <f>"locomotive_"&amp; VLOOKUP(F60, Factor!$BK$4:$BL$6, 2, 0) &amp;"_"&amp;Locomotive!D60&amp;"_"&amp;VLOOKUP(E60, Factor!$BM$4:$BN$36, 2, 0)</f>
        <v>locomotive_El_T3_001</v>
      </c>
      <c r="B60" s="18" t="str">
        <f t="shared" si="0"/>
        <v>T3 표준 전기기관차</v>
      </c>
      <c r="C60" s="18">
        <f>VLOOKUP(D60, Factor!$B$41:$C$50, 2, 0)</f>
        <v>30000</v>
      </c>
      <c r="D60" s="18" t="s">
        <v>321</v>
      </c>
      <c r="E60" s="18" t="s">
        <v>501</v>
      </c>
      <c r="F60" s="18" t="s">
        <v>502</v>
      </c>
      <c r="G60" s="18" t="str">
        <f t="shared" si="1"/>
        <v>표준 전기</v>
      </c>
      <c r="H60" s="18">
        <v>1</v>
      </c>
      <c r="I60" s="18">
        <v>1</v>
      </c>
      <c r="J60" s="18">
        <v>1</v>
      </c>
      <c r="K60" s="18">
        <v>1</v>
      </c>
      <c r="L60" s="18">
        <v>1</v>
      </c>
      <c r="M60" s="18">
        <v>1</v>
      </c>
      <c r="N60" s="18">
        <v>1</v>
      </c>
      <c r="O60" s="18">
        <v>1</v>
      </c>
      <c r="P60" s="18">
        <v>1</v>
      </c>
      <c r="Q60" s="18">
        <v>1</v>
      </c>
      <c r="R60" s="18">
        <v>1</v>
      </c>
      <c r="S60" s="18" cm="1">
        <f t="array" ref="S60">H60*VLOOKUP($G60, Factor!$C$4:$N$36, 2, 0)*INDEX(Factor!$C$41:$N$87, _xlfn.XMATCH($C60, Factor!$C$41:$C$87, -1), 2)</f>
        <v>280</v>
      </c>
      <c r="T60" s="18" cm="1">
        <f t="array" ref="T60">I60*VLOOKUP($G60, Factor!$C$4:$N$36, 3, 0)*INDEX(Factor!$C$41:$N$87, _xlfn.XMATCH($C60, Factor!$C$41:$C$87, -1), 3)</f>
        <v>1120</v>
      </c>
      <c r="U60" s="18" cm="1">
        <f t="array" ref="U60">J60*VLOOKUP($G60, Factor!$C$4:$N$36, 4, 0)*INDEX(Factor!$C$41:$N$87, _xlfn.XMATCH($C60, Factor!$C$41:$C$87, -1), 4)</f>
        <v>4</v>
      </c>
      <c r="V60" s="18" cm="1">
        <f t="array" ref="V60">K60*VLOOKUP($G60, Factor!$C$4:$N$36, 5, 0)*INDEX(Factor!$C$41:$N$87, _xlfn.XMATCH($C60, Factor!$C$41:$C$87, -1), 5)</f>
        <v>11.2</v>
      </c>
      <c r="W60" s="18" cm="1">
        <f t="array" ref="W60">L60*VLOOKUP($G60, Factor!$C$4:$N$36, 6, 0)*INDEX(Factor!$C$41:$N$87, _xlfn.XMATCH($C60, Factor!$C$41:$C$87, -1), 6)</f>
        <v>14</v>
      </c>
      <c r="X60" s="18" cm="1">
        <f t="array" ref="X60">M60*VLOOKUP($G60, Factor!$C$4:$N$36, 7, 0)*INDEX(Factor!$C$41:$N$87, _xlfn.XMATCH($C60, Factor!$C$41:$C$87, -1), 7)</f>
        <v>9800</v>
      </c>
      <c r="Y60" s="18" cm="1">
        <f t="array" ref="Y60">N60*VLOOKUP($G60, Factor!$C$4:$N$36, 8, 0)*INDEX(Factor!$C$41:$N$87, _xlfn.XMATCH($C60, Factor!$C$41:$C$87, -1), 8)</f>
        <v>979.99999999999989</v>
      </c>
      <c r="Z60" s="18" cm="1">
        <f t="array" ref="Z60">O60*VLOOKUP($G60, Factor!$C$4:$N$36, 9, 0)*INDEX(Factor!$C$41:$N$87, _xlfn.XMATCH($C60, Factor!$C$41:$C$87, -1), 9)</f>
        <v>7</v>
      </c>
      <c r="AA60" s="18" cm="1">
        <f t="array" ref="AA60">P60*VLOOKUP($G60, Factor!$C$4:$N$36, 10, 0)*INDEX(Factor!$C$41:$N$87, _xlfn.XMATCH($C60, Factor!$C$41:$C$87, -1), 10)</f>
        <v>979.99999999999989</v>
      </c>
      <c r="AB60" s="18" cm="1">
        <f t="array" ref="AB60">Q60*VLOOKUP($G60, Factor!$C$4:$N$36, 11, 0)*INDEX(Factor!$C$41:$N$87, _xlfn.XMATCH($C60, Factor!$C$41:$C$87, -1), 11)</f>
        <v>3</v>
      </c>
      <c r="AC60" s="18" cm="1">
        <f t="array" ref="AC60">R60*VLOOKUP($G60, Factor!$C$4:$N$36, 12, 0)*INDEX(Factor!$C$41:$N$87, _xlfn.XMATCH($C60, Factor!$C$41:$C$87, -1), 12)</f>
        <v>3</v>
      </c>
      <c r="AD60" s="19"/>
    </row>
    <row r="61" spans="1:30" ht="15.75" customHeight="1" x14ac:dyDescent="0.2">
      <c r="A61" s="14" t="str">
        <f>"locomotive_"&amp; VLOOKUP(F61, Factor!$BK$4:$BL$6, 2, 0) &amp;"_"&amp;Locomotive!D61&amp;"_"&amp;VLOOKUP(E61, Factor!$BM$4:$BN$36, 2, 0)</f>
        <v>locomotive_Dz_T3_001</v>
      </c>
      <c r="B61" s="15" t="str">
        <f t="shared" si="0"/>
        <v>T3 표준 디젤기관차</v>
      </c>
      <c r="C61" s="15">
        <f>VLOOKUP(D61, Factor!$B$41:$C$50, 2, 0)</f>
        <v>30000</v>
      </c>
      <c r="D61" s="15" t="s">
        <v>321</v>
      </c>
      <c r="E61" s="41" t="s">
        <v>501</v>
      </c>
      <c r="F61" s="15" t="s">
        <v>503</v>
      </c>
      <c r="G61" s="15" t="str">
        <f t="shared" si="1"/>
        <v>표준 디젤</v>
      </c>
      <c r="H61" s="41">
        <v>1</v>
      </c>
      <c r="I61" s="41">
        <v>1</v>
      </c>
      <c r="J61" s="41">
        <v>1</v>
      </c>
      <c r="K61" s="41">
        <v>1</v>
      </c>
      <c r="L61" s="41">
        <v>1</v>
      </c>
      <c r="M61" s="41">
        <v>1</v>
      </c>
      <c r="N61" s="41">
        <v>1</v>
      </c>
      <c r="O61" s="41">
        <v>1</v>
      </c>
      <c r="P61" s="41">
        <v>1</v>
      </c>
      <c r="Q61" s="41">
        <v>1</v>
      </c>
      <c r="R61" s="41">
        <v>1</v>
      </c>
      <c r="S61" s="15" cm="1">
        <f t="array" ref="S61">H61*VLOOKUP($G61, Factor!$C$4:$N$36, 2, 0)*INDEX(Factor!$C$41:$N$87, _xlfn.XMATCH($C61, Factor!$C$41:$C$87, -1), 2)</f>
        <v>210</v>
      </c>
      <c r="T61" s="15" cm="1">
        <f t="array" ref="T61">I61*VLOOKUP($G61, Factor!$C$4:$N$36, 3, 0)*INDEX(Factor!$C$41:$N$87, _xlfn.XMATCH($C61, Factor!$C$41:$C$87, -1), 3)</f>
        <v>1680</v>
      </c>
      <c r="U61" s="15" cm="1">
        <f t="array" ref="U61">J61*VLOOKUP($G61, Factor!$C$4:$N$36, 4, 0)*INDEX(Factor!$C$41:$N$87, _xlfn.XMATCH($C61, Factor!$C$41:$C$87, -1), 4)</f>
        <v>4</v>
      </c>
      <c r="V61" s="15" cm="1">
        <f t="array" ref="V61">K61*VLOOKUP($G61, Factor!$C$4:$N$36, 5, 0)*INDEX(Factor!$C$41:$N$87, _xlfn.XMATCH($C61, Factor!$C$41:$C$87, -1), 5)</f>
        <v>8.3999999999999986</v>
      </c>
      <c r="W61" s="15" cm="1">
        <f t="array" ref="W61">L61*VLOOKUP($G61, Factor!$C$4:$N$36, 6, 0)*INDEX(Factor!$C$41:$N$87, _xlfn.XMATCH($C61, Factor!$C$41:$C$87, -1), 6)</f>
        <v>14</v>
      </c>
      <c r="X61" s="15" cm="1">
        <f t="array" ref="X61">M61*VLOOKUP($G61, Factor!$C$4:$N$36, 7, 0)*INDEX(Factor!$C$41:$N$87, _xlfn.XMATCH($C61, Factor!$C$41:$C$87, -1), 7)</f>
        <v>21000</v>
      </c>
      <c r="Y61" s="15" cm="1">
        <f t="array" ref="Y61">N61*VLOOKUP($G61, Factor!$C$4:$N$36, 8, 0)*INDEX(Factor!$C$41:$N$87, _xlfn.XMATCH($C61, Factor!$C$41:$C$87, -1), 8)</f>
        <v>1120</v>
      </c>
      <c r="Z61" s="15" cm="1">
        <f t="array" ref="Z61">O61*VLOOKUP($G61, Factor!$C$4:$N$36, 9, 0)*INDEX(Factor!$C$41:$N$87, _xlfn.XMATCH($C61, Factor!$C$41:$C$87, -1), 9)</f>
        <v>14</v>
      </c>
      <c r="AA61" s="15" cm="1">
        <f t="array" ref="AA61">P61*VLOOKUP($G61, Factor!$C$4:$N$36, 10, 0)*INDEX(Factor!$C$41:$N$87, _xlfn.XMATCH($C61, Factor!$C$41:$C$87, -1), 10)</f>
        <v>1120</v>
      </c>
      <c r="AB61" s="15" cm="1">
        <f t="array" ref="AB61">Q61*VLOOKUP($G61, Factor!$C$4:$N$36, 11, 0)*INDEX(Factor!$C$41:$N$87, _xlfn.XMATCH($C61, Factor!$C$41:$C$87, -1), 11)</f>
        <v>3</v>
      </c>
      <c r="AC61" s="15" cm="1">
        <f t="array" ref="AC61">R61*VLOOKUP($G61, Factor!$C$4:$N$36, 12, 0)*INDEX(Factor!$C$41:$N$87, _xlfn.XMATCH($C61, Factor!$C$41:$C$87, -1), 12)</f>
        <v>3</v>
      </c>
      <c r="AD61" s="16"/>
    </row>
    <row r="62" spans="1:30" ht="15.75" customHeight="1" x14ac:dyDescent="0.2">
      <c r="A62" s="17" t="str">
        <f>"locomotive_"&amp; VLOOKUP(F62, Factor!$BK$4:$BL$6, 2, 0) &amp;"_"&amp;Locomotive!D62&amp;"_"&amp;VLOOKUP(E62, Factor!$BM$4:$BN$36, 2, 0)</f>
        <v>locomotive_St_T3_002</v>
      </c>
      <c r="B62" s="18" t="str">
        <f t="shared" si="0"/>
        <v>T3 쾌속 증기기관차</v>
      </c>
      <c r="C62" s="18">
        <f>VLOOKUP(D62, Factor!$B$41:$C$50, 2, 0)</f>
        <v>30000</v>
      </c>
      <c r="D62" s="18" t="s">
        <v>321</v>
      </c>
      <c r="E62" s="18" t="s">
        <v>504</v>
      </c>
      <c r="F62" s="18" t="s">
        <v>505</v>
      </c>
      <c r="G62" s="18" t="str">
        <f t="shared" si="1"/>
        <v>쾌속 증기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18" cm="1">
        <f t="array" ref="S62">H62*VLOOKUP($G62, Factor!$C$4:$N$36, 2, 0)*INDEX(Factor!$C$41:$N$87, _xlfn.XMATCH($C62, Factor!$C$41:$C$87, -1), 2)</f>
        <v>154</v>
      </c>
      <c r="T62" s="18" cm="1">
        <f t="array" ref="T62">I62*VLOOKUP($G62, Factor!$C$4:$N$36, 3, 0)*INDEX(Factor!$C$41:$N$87, _xlfn.XMATCH($C62, Factor!$C$41:$C$87, -1), 3)</f>
        <v>1260</v>
      </c>
      <c r="U62" s="18" cm="1">
        <f t="array" ref="U62">J62*VLOOKUP($G62, Factor!$C$4:$N$36, 4, 0)*INDEX(Factor!$C$41:$N$87, _xlfn.XMATCH($C62, Factor!$C$41:$C$87, -1), 4)</f>
        <v>4</v>
      </c>
      <c r="V62" s="18" cm="1">
        <f t="array" ref="V62">K62*VLOOKUP($G62, Factor!$C$4:$N$36, 5, 0)*INDEX(Factor!$C$41:$N$87, _xlfn.XMATCH($C62, Factor!$C$41:$C$87, -1), 5)</f>
        <v>8.3999999999999986</v>
      </c>
      <c r="W62" s="18" cm="1">
        <f t="array" ref="W62">L62*VLOOKUP($G62, Factor!$C$4:$N$36, 6, 0)*INDEX(Factor!$C$41:$N$87, _xlfn.XMATCH($C62, Factor!$C$41:$C$87, -1), 6)</f>
        <v>14</v>
      </c>
      <c r="X62" s="18" cm="1">
        <f t="array" ref="X62">M62*VLOOKUP($G62, Factor!$C$4:$N$36, 7, 0)*INDEX(Factor!$C$41:$N$87, _xlfn.XMATCH($C62, Factor!$C$41:$C$87, -1), 7)</f>
        <v>14000</v>
      </c>
      <c r="Y62" s="18" cm="1">
        <f t="array" ref="Y62">N62*VLOOKUP($G62, Factor!$C$4:$N$36, 8, 0)*INDEX(Factor!$C$41:$N$87, _xlfn.XMATCH($C62, Factor!$C$41:$C$87, -1), 8)</f>
        <v>1120</v>
      </c>
      <c r="Z62" s="18" cm="1">
        <f t="array" ref="Z62">O62*VLOOKUP($G62, Factor!$C$4:$N$36, 9, 0)*INDEX(Factor!$C$41:$N$87, _xlfn.XMATCH($C62, Factor!$C$41:$C$87, -1), 9)</f>
        <v>28</v>
      </c>
      <c r="AA62" s="18" cm="1">
        <f t="array" ref="AA62">P62*VLOOKUP($G62, Factor!$C$4:$N$36, 10, 0)*INDEX(Factor!$C$41:$N$87, _xlfn.XMATCH($C62, Factor!$C$41:$C$87, -1), 10)</f>
        <v>1120</v>
      </c>
      <c r="AB62" s="18" cm="1">
        <f t="array" ref="AB62">Q62*VLOOKUP($G62, Factor!$C$4:$N$36, 11, 0)*INDEX(Factor!$C$41:$N$87, _xlfn.XMATCH($C62, Factor!$C$41:$C$87, -1), 11)</f>
        <v>3</v>
      </c>
      <c r="AC62" s="18" cm="1">
        <f t="array" ref="AC62">R62*VLOOKUP($G62, Factor!$C$4:$N$36, 12, 0)*INDEX(Factor!$C$41:$N$87, _xlfn.XMATCH($C62, Factor!$C$41:$C$87, -1), 12)</f>
        <v>3</v>
      </c>
      <c r="AD62" s="19"/>
    </row>
    <row r="63" spans="1:30" ht="15.75" customHeight="1" x14ac:dyDescent="0.2">
      <c r="A63" s="14" t="str">
        <f>"locomotive_"&amp; VLOOKUP(F63, Factor!$BK$4:$BL$6, 2, 0) &amp;"_"&amp;Locomotive!D63&amp;"_"&amp;VLOOKUP(E63, Factor!$BM$4:$BN$36, 2, 0)</f>
        <v>locomotive_El_T3_002</v>
      </c>
      <c r="B63" s="15" t="str">
        <f t="shared" si="0"/>
        <v>T3 쾌속 전기기관차</v>
      </c>
      <c r="C63" s="15">
        <f>VLOOKUP(D63, Factor!$B$41:$C$50, 2, 0)</f>
        <v>30000</v>
      </c>
      <c r="D63" s="15" t="s">
        <v>321</v>
      </c>
      <c r="E63" s="41" t="s">
        <v>504</v>
      </c>
      <c r="F63" s="15" t="s">
        <v>502</v>
      </c>
      <c r="G63" s="15" t="str">
        <f t="shared" si="1"/>
        <v>쾌속 전기</v>
      </c>
      <c r="H63" s="41">
        <v>1</v>
      </c>
      <c r="I63" s="41">
        <v>1</v>
      </c>
      <c r="J63" s="41">
        <v>1</v>
      </c>
      <c r="K63" s="41">
        <v>1</v>
      </c>
      <c r="L63" s="41">
        <v>1</v>
      </c>
      <c r="M63" s="41">
        <v>1</v>
      </c>
      <c r="N63" s="41">
        <v>1</v>
      </c>
      <c r="O63" s="41">
        <v>1</v>
      </c>
      <c r="P63" s="41">
        <v>1</v>
      </c>
      <c r="Q63" s="41">
        <v>1</v>
      </c>
      <c r="R63" s="41">
        <v>1</v>
      </c>
      <c r="S63" s="15" cm="1">
        <f t="array" ref="S63">H63*VLOOKUP($G63, Factor!$C$4:$N$36, 2, 0)*INDEX(Factor!$C$41:$N$87, _xlfn.XMATCH($C63, Factor!$C$41:$C$87, -1), 2)</f>
        <v>308</v>
      </c>
      <c r="T63" s="15" cm="1">
        <f t="array" ref="T63">I63*VLOOKUP($G63, Factor!$C$4:$N$36, 3, 0)*INDEX(Factor!$C$41:$N$87, _xlfn.XMATCH($C63, Factor!$C$41:$C$87, -1), 3)</f>
        <v>979.99999999999989</v>
      </c>
      <c r="U63" s="15" cm="1">
        <f t="array" ref="U63">J63*VLOOKUP($G63, Factor!$C$4:$N$36, 4, 0)*INDEX(Factor!$C$41:$N$87, _xlfn.XMATCH($C63, Factor!$C$41:$C$87, -1), 4)</f>
        <v>4</v>
      </c>
      <c r="V63" s="15" cm="1">
        <f t="array" ref="V63">K63*VLOOKUP($G63, Factor!$C$4:$N$36, 5, 0)*INDEX(Factor!$C$41:$N$87, _xlfn.XMATCH($C63, Factor!$C$41:$C$87, -1), 5)</f>
        <v>14</v>
      </c>
      <c r="W63" s="15" cm="1">
        <f t="array" ref="W63">L63*VLOOKUP($G63, Factor!$C$4:$N$36, 6, 0)*INDEX(Factor!$C$41:$N$87, _xlfn.XMATCH($C63, Factor!$C$41:$C$87, -1), 6)</f>
        <v>14</v>
      </c>
      <c r="X63" s="15" cm="1">
        <f t="array" ref="X63">M63*VLOOKUP($G63, Factor!$C$4:$N$36, 7, 0)*INDEX(Factor!$C$41:$N$87, _xlfn.XMATCH($C63, Factor!$C$41:$C$87, -1), 7)</f>
        <v>9800</v>
      </c>
      <c r="Y63" s="15" cm="1">
        <f t="array" ref="Y63">N63*VLOOKUP($G63, Factor!$C$4:$N$36, 8, 0)*INDEX(Factor!$C$41:$N$87, _xlfn.XMATCH($C63, Factor!$C$41:$C$87, -1), 8)</f>
        <v>700</v>
      </c>
      <c r="Z63" s="15" cm="1">
        <f t="array" ref="Z63">O63*VLOOKUP($G63, Factor!$C$4:$N$36, 9, 0)*INDEX(Factor!$C$41:$N$87, _xlfn.XMATCH($C63, Factor!$C$41:$C$87, -1), 9)</f>
        <v>4.1999999999999993</v>
      </c>
      <c r="AA63" s="15" cm="1">
        <f t="array" ref="AA63">P63*VLOOKUP($G63, Factor!$C$4:$N$36, 10, 0)*INDEX(Factor!$C$41:$N$87, _xlfn.XMATCH($C63, Factor!$C$41:$C$87, -1), 10)</f>
        <v>700</v>
      </c>
      <c r="AB63" s="15" cm="1">
        <f t="array" ref="AB63">Q63*VLOOKUP($G63, Factor!$C$4:$N$36, 11, 0)*INDEX(Factor!$C$41:$N$87, _xlfn.XMATCH($C63, Factor!$C$41:$C$87, -1), 11)</f>
        <v>3</v>
      </c>
      <c r="AC63" s="15" cm="1">
        <f t="array" ref="AC63">R63*VLOOKUP($G63, Factor!$C$4:$N$36, 12, 0)*INDEX(Factor!$C$41:$N$87, _xlfn.XMATCH($C63, Factor!$C$41:$C$87, -1), 12)</f>
        <v>3</v>
      </c>
      <c r="AD63" s="16"/>
    </row>
    <row r="64" spans="1:30" ht="15.75" customHeight="1" x14ac:dyDescent="0.2">
      <c r="A64" s="18" t="str">
        <f>"locomotive_"&amp; VLOOKUP(F64, Factor!$BK$4:$BL$6, 2, 0) &amp;"_"&amp;Locomotive!D64&amp;"_"&amp;VLOOKUP(E64, Factor!$BM$4:$BN$36, 2, 0)</f>
        <v>locomotive_Dz_T3_002</v>
      </c>
      <c r="B64" s="18" t="str">
        <f t="shared" si="0"/>
        <v>T3 쾌속 디젤기관차</v>
      </c>
      <c r="C64" s="18">
        <f>VLOOKUP(D64, Factor!$B$41:$C$50, 2, 0)</f>
        <v>30000</v>
      </c>
      <c r="D64" s="18" t="s">
        <v>321</v>
      </c>
      <c r="E64" s="18" t="s">
        <v>504</v>
      </c>
      <c r="F64" s="18" t="s">
        <v>503</v>
      </c>
      <c r="G64" s="18" t="str">
        <f t="shared" si="1"/>
        <v>쾌속 디젤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 cm="1">
        <f t="array" ref="S64">H64*VLOOKUP($G64, Factor!$C$4:$N$36, 2, 0)*INDEX(Factor!$C$41:$N$87, _xlfn.XMATCH($C64, Factor!$C$41:$C$87, -1), 2)</f>
        <v>230.99999999999997</v>
      </c>
      <c r="T64" s="18" cm="1">
        <f t="array" ref="T64">I64*VLOOKUP($G64, Factor!$C$4:$N$36, 3, 0)*INDEX(Factor!$C$41:$N$87, _xlfn.XMATCH($C64, Factor!$C$41:$C$87, -1), 3)</f>
        <v>1400</v>
      </c>
      <c r="U64" s="18" cm="1">
        <f t="array" ref="U64">J64*VLOOKUP($G64, Factor!$C$4:$N$36, 4, 0)*INDEX(Factor!$C$41:$N$87, _xlfn.XMATCH($C64, Factor!$C$41:$C$87, -1), 4)</f>
        <v>4</v>
      </c>
      <c r="V64" s="18" cm="1">
        <f t="array" ref="V64">K64*VLOOKUP($G64, Factor!$C$4:$N$36, 5, 0)*INDEX(Factor!$C$41:$N$87, _xlfn.XMATCH($C64, Factor!$C$41:$C$87, -1), 5)</f>
        <v>11.2</v>
      </c>
      <c r="W64" s="18" cm="1">
        <f t="array" ref="W64">L64*VLOOKUP($G64, Factor!$C$4:$N$36, 6, 0)*INDEX(Factor!$C$41:$N$87, _xlfn.XMATCH($C64, Factor!$C$41:$C$87, -1), 6)</f>
        <v>14</v>
      </c>
      <c r="X64" s="18" cm="1">
        <f t="array" ref="X64">M64*VLOOKUP($G64, Factor!$C$4:$N$36, 7, 0)*INDEX(Factor!$C$41:$N$87, _xlfn.XMATCH($C64, Factor!$C$41:$C$87, -1), 7)</f>
        <v>21000</v>
      </c>
      <c r="Y64" s="18" cm="1">
        <f t="array" ref="Y64">N64*VLOOKUP($G64, Factor!$C$4:$N$36, 8, 0)*INDEX(Factor!$C$41:$N$87, _xlfn.XMATCH($C64, Factor!$C$41:$C$87, -1), 8)</f>
        <v>909.99999999999989</v>
      </c>
      <c r="Z64" s="18" cm="1">
        <f t="array" ref="Z64">O64*VLOOKUP($G64, Factor!$C$4:$N$36, 9, 0)*INDEX(Factor!$C$41:$N$87, _xlfn.XMATCH($C64, Factor!$C$41:$C$87, -1), 9)</f>
        <v>7</v>
      </c>
      <c r="AA64" s="18" cm="1">
        <f t="array" ref="AA64">P64*VLOOKUP($G64, Factor!$C$4:$N$36, 10, 0)*INDEX(Factor!$C$41:$N$87, _xlfn.XMATCH($C64, Factor!$C$41:$C$87, -1), 10)</f>
        <v>909.99999999999989</v>
      </c>
      <c r="AB64" s="18" cm="1">
        <f t="array" ref="AB64">Q64*VLOOKUP($G64, Factor!$C$4:$N$36, 11, 0)*INDEX(Factor!$C$41:$N$87, _xlfn.XMATCH($C64, Factor!$C$41:$C$87, -1), 11)</f>
        <v>3</v>
      </c>
      <c r="AC64" s="18" cm="1">
        <f t="array" ref="AC64">R64*VLOOKUP($G64, Factor!$C$4:$N$36, 12, 0)*INDEX(Factor!$C$41:$N$87, _xlfn.XMATCH($C64, Factor!$C$41:$C$87, -1), 12)</f>
        <v>3</v>
      </c>
      <c r="AD64" s="19"/>
    </row>
    <row r="65" spans="1:30" ht="15.75" customHeight="1" x14ac:dyDescent="0.2">
      <c r="A65" s="15" t="str">
        <f>"locomotive_"&amp; VLOOKUP(F65, Factor!$BK$4:$BL$6, 2, 0) &amp;"_"&amp;Locomotive!D65&amp;"_"&amp;VLOOKUP(E65, Factor!$BM$4:$BN$36, 2, 0)</f>
        <v>locomotive_St_T3_003</v>
      </c>
      <c r="B65" s="15" t="str">
        <f t="shared" ref="B65:B128" si="2">D65&amp;" "&amp;G65&amp;"기관차"</f>
        <v>T3 중갑 증기기관차</v>
      </c>
      <c r="C65" s="15">
        <f>VLOOKUP(D65, Factor!$B$41:$C$50, 2, 0)</f>
        <v>30000</v>
      </c>
      <c r="D65" s="15" t="s">
        <v>321</v>
      </c>
      <c r="E65" s="41" t="s">
        <v>506</v>
      </c>
      <c r="F65" s="41" t="s">
        <v>505</v>
      </c>
      <c r="G65" s="41" t="str">
        <f t="shared" ref="G65:G128" si="3">E65&amp;" "&amp;F65</f>
        <v>중갑 증기</v>
      </c>
      <c r="H65" s="41">
        <v>1</v>
      </c>
      <c r="I65" s="41">
        <v>1</v>
      </c>
      <c r="J65" s="41">
        <v>1</v>
      </c>
      <c r="K65" s="41">
        <v>1</v>
      </c>
      <c r="L65" s="41">
        <v>1</v>
      </c>
      <c r="M65" s="41">
        <v>1</v>
      </c>
      <c r="N65" s="41">
        <v>1</v>
      </c>
      <c r="O65" s="41">
        <v>1</v>
      </c>
      <c r="P65" s="41">
        <v>1</v>
      </c>
      <c r="Q65" s="41">
        <v>1</v>
      </c>
      <c r="R65" s="41">
        <v>1</v>
      </c>
      <c r="S65" s="41" cm="1">
        <f t="array" ref="S65">H65*VLOOKUP($G65, Factor!$C$4:$N$36, 2, 0)*INDEX(Factor!$C$41:$N$87, _xlfn.XMATCH($C65, Factor!$C$41:$C$87, -1), 2)</f>
        <v>125.99999999999999</v>
      </c>
      <c r="T65" s="41" cm="1">
        <f t="array" ref="T65">I65*VLOOKUP($G65, Factor!$C$4:$N$36, 3, 0)*INDEX(Factor!$C$41:$N$87, _xlfn.XMATCH($C65, Factor!$C$41:$C$87, -1), 3)</f>
        <v>1680</v>
      </c>
      <c r="U65" s="41" cm="1">
        <f t="array" ref="U65">J65*VLOOKUP($G65, Factor!$C$4:$N$36, 4, 0)*INDEX(Factor!$C$41:$N$87, _xlfn.XMATCH($C65, Factor!$C$41:$C$87, -1), 4)</f>
        <v>4</v>
      </c>
      <c r="V65" s="41" cm="1">
        <f t="array" ref="V65">K65*VLOOKUP($G65, Factor!$C$4:$N$36, 5, 0)*INDEX(Factor!$C$41:$N$87, _xlfn.XMATCH($C65, Factor!$C$41:$C$87, -1), 5)</f>
        <v>5.6</v>
      </c>
      <c r="W65" s="41" cm="1">
        <f t="array" ref="W65">L65*VLOOKUP($G65, Factor!$C$4:$N$36, 6, 0)*INDEX(Factor!$C$41:$N$87, _xlfn.XMATCH($C65, Factor!$C$41:$C$87, -1), 6)</f>
        <v>14</v>
      </c>
      <c r="X65" s="41" cm="1">
        <f t="array" ref="X65">M65*VLOOKUP($G65, Factor!$C$4:$N$36, 7, 0)*INDEX(Factor!$C$41:$N$87, _xlfn.XMATCH($C65, Factor!$C$41:$C$87, -1), 7)</f>
        <v>11200</v>
      </c>
      <c r="Y65" s="41" cm="1">
        <f t="array" ref="Y65">N65*VLOOKUP($G65, Factor!$C$4:$N$36, 8, 0)*INDEX(Factor!$C$41:$N$87, _xlfn.XMATCH($C65, Factor!$C$41:$C$87, -1), 8)</f>
        <v>2100</v>
      </c>
      <c r="Z65" s="41" cm="1">
        <f t="array" ref="Z65">O65*VLOOKUP($G65, Factor!$C$4:$N$36, 9, 0)*INDEX(Factor!$C$41:$N$87, _xlfn.XMATCH($C65, Factor!$C$41:$C$87, -1), 9)</f>
        <v>70</v>
      </c>
      <c r="AA65" s="41" cm="1">
        <f t="array" ref="AA65">P65*VLOOKUP($G65, Factor!$C$4:$N$36, 10, 0)*INDEX(Factor!$C$41:$N$87, _xlfn.XMATCH($C65, Factor!$C$41:$C$87, -1), 10)</f>
        <v>2100</v>
      </c>
      <c r="AB65" s="41" cm="1">
        <f t="array" ref="AB65">Q65*VLOOKUP($G65, Factor!$C$4:$N$36, 11, 0)*INDEX(Factor!$C$41:$N$87, _xlfn.XMATCH($C65, Factor!$C$41:$C$87, -1), 11)</f>
        <v>3</v>
      </c>
      <c r="AC65" s="41" cm="1">
        <f t="array" ref="AC65">R65*VLOOKUP($G65, Factor!$C$4:$N$36, 12, 0)*INDEX(Factor!$C$41:$N$87, _xlfn.XMATCH($C65, Factor!$C$41:$C$87, -1), 12)</f>
        <v>3</v>
      </c>
      <c r="AD65" s="41"/>
    </row>
    <row r="66" spans="1:30" ht="15.75" customHeight="1" x14ac:dyDescent="0.2">
      <c r="A66" s="18" t="str">
        <f>"locomotive_"&amp; VLOOKUP(F66, Factor!$BK$4:$BL$6, 2, 0) &amp;"_"&amp;Locomotive!D66&amp;"_"&amp;VLOOKUP(E66, Factor!$BM$4:$BN$36, 2, 0)</f>
        <v>locomotive_El_T3_003</v>
      </c>
      <c r="B66" s="18" t="str">
        <f t="shared" si="2"/>
        <v>T3 중갑 전기기관차</v>
      </c>
      <c r="C66" s="18">
        <f>VLOOKUP(D66, Factor!$B$41:$C$50, 2, 0)</f>
        <v>30000</v>
      </c>
      <c r="D66" s="18" t="s">
        <v>321</v>
      </c>
      <c r="E66" s="18" t="s">
        <v>506</v>
      </c>
      <c r="F66" s="18" t="s">
        <v>502</v>
      </c>
      <c r="G66" s="18" t="str">
        <f t="shared" si="3"/>
        <v>중갑 전기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18" cm="1">
        <f t="array" ref="S66">H66*VLOOKUP($G66, Factor!$C$4:$N$36, 2, 0)*INDEX(Factor!$C$41:$N$87, _xlfn.XMATCH($C66, Factor!$C$41:$C$87, -1), 2)</f>
        <v>237.99999999999997</v>
      </c>
      <c r="T66" s="18" cm="1">
        <f t="array" ref="T66">I66*VLOOKUP($G66, Factor!$C$4:$N$36, 3, 0)*INDEX(Factor!$C$41:$N$87, _xlfn.XMATCH($C66, Factor!$C$41:$C$87, -1), 3)</f>
        <v>140</v>
      </c>
      <c r="U66" s="18" cm="1">
        <f t="array" ref="U66">J66*VLOOKUP($G66, Factor!$C$4:$N$36, 4, 0)*INDEX(Factor!$C$41:$N$87, _xlfn.XMATCH($C66, Factor!$C$41:$C$87, -1), 4)</f>
        <v>4</v>
      </c>
      <c r="V66" s="18" cm="1">
        <f t="array" ref="V66">K66*VLOOKUP($G66, Factor!$C$4:$N$36, 5, 0)*INDEX(Factor!$C$41:$N$87, _xlfn.XMATCH($C66, Factor!$C$41:$C$87, -1), 5)</f>
        <v>11.2</v>
      </c>
      <c r="W66" s="18" cm="1">
        <f t="array" ref="W66">L66*VLOOKUP($G66, Factor!$C$4:$N$36, 6, 0)*INDEX(Factor!$C$41:$N$87, _xlfn.XMATCH($C66, Factor!$C$41:$C$87, -1), 6)</f>
        <v>14</v>
      </c>
      <c r="X66" s="18" cm="1">
        <f t="array" ref="X66">M66*VLOOKUP($G66, Factor!$C$4:$N$36, 7, 0)*INDEX(Factor!$C$41:$N$87, _xlfn.XMATCH($C66, Factor!$C$41:$C$87, -1), 7)</f>
        <v>7000</v>
      </c>
      <c r="Y66" s="18" cm="1">
        <f t="array" ref="Y66">N66*VLOOKUP($G66, Factor!$C$4:$N$36, 8, 0)*INDEX(Factor!$C$41:$N$87, _xlfn.XMATCH($C66, Factor!$C$41:$C$87, -1), 8)</f>
        <v>1400</v>
      </c>
      <c r="Z66" s="18" cm="1">
        <f t="array" ref="Z66">O66*VLOOKUP($G66, Factor!$C$4:$N$36, 9, 0)*INDEX(Factor!$C$41:$N$87, _xlfn.XMATCH($C66, Factor!$C$41:$C$87, -1), 9)</f>
        <v>21</v>
      </c>
      <c r="AA66" s="18" cm="1">
        <f t="array" ref="AA66">P66*VLOOKUP($G66, Factor!$C$4:$N$36, 10, 0)*INDEX(Factor!$C$41:$N$87, _xlfn.XMATCH($C66, Factor!$C$41:$C$87, -1), 10)</f>
        <v>1400</v>
      </c>
      <c r="AB66" s="18" cm="1">
        <f t="array" ref="AB66">Q66*VLOOKUP($G66, Factor!$C$4:$N$36, 11, 0)*INDEX(Factor!$C$41:$N$87, _xlfn.XMATCH($C66, Factor!$C$41:$C$87, -1), 11)</f>
        <v>3</v>
      </c>
      <c r="AC66" s="18" cm="1">
        <f t="array" ref="AC66">R66*VLOOKUP($G66, Factor!$C$4:$N$36, 12, 0)*INDEX(Factor!$C$41:$N$87, _xlfn.XMATCH($C66, Factor!$C$41:$C$87, -1), 12)</f>
        <v>3</v>
      </c>
      <c r="AD66" s="18"/>
    </row>
    <row r="67" spans="1:30" ht="15.75" customHeight="1" x14ac:dyDescent="0.2">
      <c r="A67" s="15" t="str">
        <f>"locomotive_"&amp; VLOOKUP(F67, Factor!$BK$4:$BL$6, 2, 0) &amp;"_"&amp;Locomotive!D67&amp;"_"&amp;VLOOKUP(E67, Factor!$BM$4:$BN$36, 2, 0)</f>
        <v>locomotive_Dz_T3_003</v>
      </c>
      <c r="B67" s="15" t="str">
        <f t="shared" si="2"/>
        <v>T3 중갑 디젤기관차</v>
      </c>
      <c r="C67" s="15">
        <f>VLOOKUP(D67, Factor!$B$41:$C$50, 2, 0)</f>
        <v>30000</v>
      </c>
      <c r="D67" s="15" t="s">
        <v>321</v>
      </c>
      <c r="E67" s="41" t="s">
        <v>506</v>
      </c>
      <c r="F67" s="41" t="s">
        <v>503</v>
      </c>
      <c r="G67" s="41" t="str">
        <f t="shared" si="3"/>
        <v>중갑 디젤</v>
      </c>
      <c r="H67" s="41">
        <v>1</v>
      </c>
      <c r="I67" s="41">
        <v>1</v>
      </c>
      <c r="J67" s="41">
        <v>1</v>
      </c>
      <c r="K67" s="41">
        <v>1</v>
      </c>
      <c r="L67" s="41">
        <v>1</v>
      </c>
      <c r="M67" s="41">
        <v>1</v>
      </c>
      <c r="N67" s="41">
        <v>1</v>
      </c>
      <c r="O67" s="41">
        <v>1</v>
      </c>
      <c r="P67" s="41">
        <v>1</v>
      </c>
      <c r="Q67" s="41">
        <v>1</v>
      </c>
      <c r="R67" s="41">
        <v>1</v>
      </c>
      <c r="S67" s="41" cm="1">
        <f t="array" ref="S67">H67*VLOOKUP($G67, Factor!$C$4:$N$36, 2, 0)*INDEX(Factor!$C$41:$N$87, _xlfn.XMATCH($C67, Factor!$C$41:$C$87, -1), 2)</f>
        <v>154</v>
      </c>
      <c r="T67" s="41" cm="1">
        <f t="array" ref="T67">I67*VLOOKUP($G67, Factor!$C$4:$N$36, 3, 0)*INDEX(Factor!$C$41:$N$87, _xlfn.XMATCH($C67, Factor!$C$41:$C$87, -1), 3)</f>
        <v>2100</v>
      </c>
      <c r="U67" s="41" cm="1">
        <f t="array" ref="U67">J67*VLOOKUP($G67, Factor!$C$4:$N$36, 4, 0)*INDEX(Factor!$C$41:$N$87, _xlfn.XMATCH($C67, Factor!$C$41:$C$87, -1), 4)</f>
        <v>4</v>
      </c>
      <c r="V67" s="41" cm="1">
        <f t="array" ref="V67">K67*VLOOKUP($G67, Factor!$C$4:$N$36, 5, 0)*INDEX(Factor!$C$41:$N$87, _xlfn.XMATCH($C67, Factor!$C$41:$C$87, -1), 5)</f>
        <v>8.3999999999999986</v>
      </c>
      <c r="W67" s="41" cm="1">
        <f t="array" ref="W67">L67*VLOOKUP($G67, Factor!$C$4:$N$36, 6, 0)*INDEX(Factor!$C$41:$N$87, _xlfn.XMATCH($C67, Factor!$C$41:$C$87, -1), 6)</f>
        <v>14</v>
      </c>
      <c r="X67" s="41" cm="1">
        <f t="array" ref="X67">M67*VLOOKUP($G67, Factor!$C$4:$N$36, 7, 0)*INDEX(Factor!$C$41:$N$87, _xlfn.XMATCH($C67, Factor!$C$41:$C$87, -1), 7)</f>
        <v>16800</v>
      </c>
      <c r="Y67" s="41" cm="1">
        <f t="array" ref="Y67">N67*VLOOKUP($G67, Factor!$C$4:$N$36, 8, 0)*INDEX(Factor!$C$41:$N$87, _xlfn.XMATCH($C67, Factor!$C$41:$C$87, -1), 8)</f>
        <v>1819.9999999999998</v>
      </c>
      <c r="Z67" s="41" cm="1">
        <f t="array" ref="Z67">O67*VLOOKUP($G67, Factor!$C$4:$N$36, 9, 0)*INDEX(Factor!$C$41:$N$87, _xlfn.XMATCH($C67, Factor!$C$41:$C$87, -1), 9)</f>
        <v>42</v>
      </c>
      <c r="AA67" s="41" cm="1">
        <f t="array" ref="AA67">P67*VLOOKUP($G67, Factor!$C$4:$N$36, 10, 0)*INDEX(Factor!$C$41:$N$87, _xlfn.XMATCH($C67, Factor!$C$41:$C$87, -1), 10)</f>
        <v>1819.9999999999998</v>
      </c>
      <c r="AB67" s="41" cm="1">
        <f t="array" ref="AB67">Q67*VLOOKUP($G67, Factor!$C$4:$N$36, 11, 0)*INDEX(Factor!$C$41:$N$87, _xlfn.XMATCH($C67, Factor!$C$41:$C$87, -1), 11)</f>
        <v>3</v>
      </c>
      <c r="AC67" s="41" cm="1">
        <f t="array" ref="AC67">R67*VLOOKUP($G67, Factor!$C$4:$N$36, 12, 0)*INDEX(Factor!$C$41:$N$87, _xlfn.XMATCH($C67, Factor!$C$41:$C$87, -1), 12)</f>
        <v>3</v>
      </c>
      <c r="AD67" s="41"/>
    </row>
    <row r="68" spans="1:30" ht="15.75" customHeight="1" x14ac:dyDescent="0.2">
      <c r="A68" s="18" t="str">
        <f>"locomotive_"&amp; VLOOKUP(F68, Factor!$BK$4:$BL$6, 2, 0) &amp;"_"&amp;Locomotive!D68&amp;"_"&amp;VLOOKUP(E68, Factor!$BM$4:$BN$36, 2, 0)</f>
        <v>locomotive_St_T3_004</v>
      </c>
      <c r="B68" s="18" t="str">
        <f t="shared" si="2"/>
        <v>T3 화물 증기기관차</v>
      </c>
      <c r="C68" s="18">
        <f>VLOOKUP(D68, Factor!$B$41:$C$50, 2, 0)</f>
        <v>30000</v>
      </c>
      <c r="D68" s="18" t="s">
        <v>321</v>
      </c>
      <c r="E68" s="18" t="s">
        <v>507</v>
      </c>
      <c r="F68" s="18" t="s">
        <v>505</v>
      </c>
      <c r="G68" s="18" t="str">
        <f t="shared" si="3"/>
        <v>화물 증기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>
        <v>1</v>
      </c>
      <c r="P68" s="18">
        <v>1</v>
      </c>
      <c r="Q68" s="18">
        <v>1</v>
      </c>
      <c r="R68" s="18">
        <v>1</v>
      </c>
      <c r="S68" s="18" cm="1">
        <f t="array" ref="S68">H68*VLOOKUP($G68, Factor!$C$4:$N$36, 2, 0)*INDEX(Factor!$C$41:$N$87, _xlfn.XMATCH($C68, Factor!$C$41:$C$87, -1), 2)</f>
        <v>125.99999999999999</v>
      </c>
      <c r="T68" s="18" cm="1">
        <f t="array" ref="T68">I68*VLOOKUP($G68, Factor!$C$4:$N$36, 3, 0)*INDEX(Factor!$C$41:$N$87, _xlfn.XMATCH($C68, Factor!$C$41:$C$87, -1), 3)</f>
        <v>1400</v>
      </c>
      <c r="U68" s="18" cm="1">
        <f t="array" ref="U68">J68*VLOOKUP($G68, Factor!$C$4:$N$36, 4, 0)*INDEX(Factor!$C$41:$N$87, _xlfn.XMATCH($C68, Factor!$C$41:$C$87, -1), 4)</f>
        <v>4</v>
      </c>
      <c r="V68" s="18" cm="1">
        <f t="array" ref="V68">K68*VLOOKUP($G68, Factor!$C$4:$N$36, 5, 0)*INDEX(Factor!$C$41:$N$87, _xlfn.XMATCH($C68, Factor!$C$41:$C$87, -1), 5)</f>
        <v>5.6</v>
      </c>
      <c r="W68" s="18" cm="1">
        <f t="array" ref="W68">L68*VLOOKUP($G68, Factor!$C$4:$N$36, 6, 0)*INDEX(Factor!$C$41:$N$87, _xlfn.XMATCH($C68, Factor!$C$41:$C$87, -1), 6)</f>
        <v>14</v>
      </c>
      <c r="X68" s="18" cm="1">
        <f t="array" ref="X68">M68*VLOOKUP($G68, Factor!$C$4:$N$36, 7, 0)*INDEX(Factor!$C$41:$N$87, _xlfn.XMATCH($C68, Factor!$C$41:$C$87, -1), 7)</f>
        <v>14000</v>
      </c>
      <c r="Y68" s="18" cm="1">
        <f t="array" ref="Y68">N68*VLOOKUP($G68, Factor!$C$4:$N$36, 8, 0)*INDEX(Factor!$C$41:$N$87, _xlfn.XMATCH($C68, Factor!$C$41:$C$87, -1), 8)</f>
        <v>1400</v>
      </c>
      <c r="Z68" s="18" cm="1">
        <f t="array" ref="Z68">O68*VLOOKUP($G68, Factor!$C$4:$N$36, 9, 0)*INDEX(Factor!$C$41:$N$87, _xlfn.XMATCH($C68, Factor!$C$41:$C$87, -1), 9)</f>
        <v>42</v>
      </c>
      <c r="AA68" s="18" cm="1">
        <f t="array" ref="AA68">P68*VLOOKUP($G68, Factor!$C$4:$N$36, 10, 0)*INDEX(Factor!$C$41:$N$87, _xlfn.XMATCH($C68, Factor!$C$41:$C$87, -1), 10)</f>
        <v>1400</v>
      </c>
      <c r="AB68" s="18" cm="1">
        <f t="array" ref="AB68">Q68*VLOOKUP($G68, Factor!$C$4:$N$36, 11, 0)*INDEX(Factor!$C$41:$N$87, _xlfn.XMATCH($C68, Factor!$C$41:$C$87, -1), 11)</f>
        <v>9</v>
      </c>
      <c r="AC68" s="18" cm="1">
        <f t="array" ref="AC68">R68*VLOOKUP($G68, Factor!$C$4:$N$36, 12, 0)*INDEX(Factor!$C$41:$N$87, _xlfn.XMATCH($C68, Factor!$C$41:$C$87, -1), 12)</f>
        <v>3</v>
      </c>
      <c r="AD68" s="18"/>
    </row>
    <row r="69" spans="1:30" ht="15.75" customHeight="1" x14ac:dyDescent="0.2">
      <c r="A69" s="15" t="str">
        <f>"locomotive_"&amp; VLOOKUP(F69, Factor!$BK$4:$BL$6, 2, 0) &amp;"_"&amp;Locomotive!D69&amp;"_"&amp;VLOOKUP(E69, Factor!$BM$4:$BN$36, 2, 0)</f>
        <v>locomotive_El_T3_004</v>
      </c>
      <c r="B69" s="15" t="str">
        <f t="shared" si="2"/>
        <v>T3 화물 전기기관차</v>
      </c>
      <c r="C69" s="15">
        <f>VLOOKUP(D69, Factor!$B$41:$C$50, 2, 0)</f>
        <v>30000</v>
      </c>
      <c r="D69" s="15" t="s">
        <v>321</v>
      </c>
      <c r="E69" s="41" t="s">
        <v>507</v>
      </c>
      <c r="F69" s="41" t="s">
        <v>502</v>
      </c>
      <c r="G69" s="41" t="str">
        <f t="shared" si="3"/>
        <v>화물 전기</v>
      </c>
      <c r="H69" s="41">
        <v>1</v>
      </c>
      <c r="I69" s="41">
        <v>1</v>
      </c>
      <c r="J69" s="41">
        <v>1</v>
      </c>
      <c r="K69" s="41">
        <v>1</v>
      </c>
      <c r="L69" s="41">
        <v>1</v>
      </c>
      <c r="M69" s="41">
        <v>1</v>
      </c>
      <c r="N69" s="41">
        <v>1</v>
      </c>
      <c r="O69" s="41">
        <v>1</v>
      </c>
      <c r="P69" s="41">
        <v>1</v>
      </c>
      <c r="Q69" s="41">
        <v>1</v>
      </c>
      <c r="R69" s="41">
        <v>1</v>
      </c>
      <c r="S69" s="41" cm="1">
        <f t="array" ref="S69">H69*VLOOKUP($G69, Factor!$C$4:$N$36, 2, 0)*INDEX(Factor!$C$41:$N$87, _xlfn.XMATCH($C69, Factor!$C$41:$C$87, -1), 2)</f>
        <v>251.99999999999997</v>
      </c>
      <c r="T69" s="41" cm="1">
        <f t="array" ref="T69">I69*VLOOKUP($G69, Factor!$C$4:$N$36, 3, 0)*INDEX(Factor!$C$41:$N$87, _xlfn.XMATCH($C69, Factor!$C$41:$C$87, -1), 3)</f>
        <v>1120</v>
      </c>
      <c r="U69" s="41" cm="1">
        <f t="array" ref="U69">J69*VLOOKUP($G69, Factor!$C$4:$N$36, 4, 0)*INDEX(Factor!$C$41:$N$87, _xlfn.XMATCH($C69, Factor!$C$41:$C$87, -1), 4)</f>
        <v>4</v>
      </c>
      <c r="V69" s="41" cm="1">
        <f t="array" ref="V69">K69*VLOOKUP($G69, Factor!$C$4:$N$36, 5, 0)*INDEX(Factor!$C$41:$N$87, _xlfn.XMATCH($C69, Factor!$C$41:$C$87, -1), 5)</f>
        <v>11.2</v>
      </c>
      <c r="W69" s="41" cm="1">
        <f t="array" ref="W69">L69*VLOOKUP($G69, Factor!$C$4:$N$36, 6, 0)*INDEX(Factor!$C$41:$N$87, _xlfn.XMATCH($C69, Factor!$C$41:$C$87, -1), 6)</f>
        <v>14</v>
      </c>
      <c r="X69" s="41" cm="1">
        <f t="array" ref="X69">M69*VLOOKUP($G69, Factor!$C$4:$N$36, 7, 0)*INDEX(Factor!$C$41:$N$87, _xlfn.XMATCH($C69, Factor!$C$41:$C$87, -1), 7)</f>
        <v>9800</v>
      </c>
      <c r="Y69" s="41" cm="1">
        <f t="array" ref="Y69">N69*VLOOKUP($G69, Factor!$C$4:$N$36, 8, 0)*INDEX(Factor!$C$41:$N$87, _xlfn.XMATCH($C69, Factor!$C$41:$C$87, -1), 8)</f>
        <v>979.99999999999989</v>
      </c>
      <c r="Z69" s="41" cm="1">
        <f t="array" ref="Z69">O69*VLOOKUP($G69, Factor!$C$4:$N$36, 9, 0)*INDEX(Factor!$C$41:$N$87, _xlfn.XMATCH($C69, Factor!$C$41:$C$87, -1), 9)</f>
        <v>7</v>
      </c>
      <c r="AA69" s="41" cm="1">
        <f t="array" ref="AA69">P69*VLOOKUP($G69, Factor!$C$4:$N$36, 10, 0)*INDEX(Factor!$C$41:$N$87, _xlfn.XMATCH($C69, Factor!$C$41:$C$87, -1), 10)</f>
        <v>979.99999999999989</v>
      </c>
      <c r="AB69" s="41" cm="1">
        <f t="array" ref="AB69">Q69*VLOOKUP($G69, Factor!$C$4:$N$36, 11, 0)*INDEX(Factor!$C$41:$N$87, _xlfn.XMATCH($C69, Factor!$C$41:$C$87, -1), 11)</f>
        <v>9</v>
      </c>
      <c r="AC69" s="41" cm="1">
        <f t="array" ref="AC69">R69*VLOOKUP($G69, Factor!$C$4:$N$36, 12, 0)*INDEX(Factor!$C$41:$N$87, _xlfn.XMATCH($C69, Factor!$C$41:$C$87, -1), 12)</f>
        <v>3</v>
      </c>
      <c r="AD69" s="41"/>
    </row>
    <row r="70" spans="1:30" ht="15.75" customHeight="1" x14ac:dyDescent="0.2">
      <c r="A70" s="18" t="str">
        <f>"locomotive_"&amp; VLOOKUP(F70, Factor!$BK$4:$BL$6, 2, 0) &amp;"_"&amp;Locomotive!D70&amp;"_"&amp;VLOOKUP(E70, Factor!$BM$4:$BN$36, 2, 0)</f>
        <v>locomotive_Dz_T3_004</v>
      </c>
      <c r="B70" s="18" t="str">
        <f t="shared" si="2"/>
        <v>T3 화물 디젤기관차</v>
      </c>
      <c r="C70" s="18">
        <f>VLOOKUP(D70, Factor!$B$41:$C$50, 2, 0)</f>
        <v>30000</v>
      </c>
      <c r="D70" s="18" t="s">
        <v>321</v>
      </c>
      <c r="E70" s="18" t="s">
        <v>507</v>
      </c>
      <c r="F70" s="18" t="s">
        <v>503</v>
      </c>
      <c r="G70" s="18" t="str">
        <f t="shared" si="3"/>
        <v>화물 디젤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>
        <v>1</v>
      </c>
      <c r="P70" s="18">
        <v>1</v>
      </c>
      <c r="Q70" s="18">
        <v>1</v>
      </c>
      <c r="R70" s="18">
        <v>1</v>
      </c>
      <c r="S70" s="18" cm="1">
        <f t="array" ref="S70">H70*VLOOKUP($G70, Factor!$C$4:$N$36, 2, 0)*INDEX(Factor!$C$41:$N$87, _xlfn.XMATCH($C70, Factor!$C$41:$C$87, -1), 2)</f>
        <v>168</v>
      </c>
      <c r="T70" s="18" cm="1">
        <f t="array" ref="T70">I70*VLOOKUP($G70, Factor!$C$4:$N$36, 3, 0)*INDEX(Factor!$C$41:$N$87, _xlfn.XMATCH($C70, Factor!$C$41:$C$87, -1), 3)</f>
        <v>1680</v>
      </c>
      <c r="U70" s="18" cm="1">
        <f t="array" ref="U70">J70*VLOOKUP($G70, Factor!$C$4:$N$36, 4, 0)*INDEX(Factor!$C$41:$N$87, _xlfn.XMATCH($C70, Factor!$C$41:$C$87, -1), 4)</f>
        <v>4</v>
      </c>
      <c r="V70" s="18" cm="1">
        <f t="array" ref="V70">K70*VLOOKUP($G70, Factor!$C$4:$N$36, 5, 0)*INDEX(Factor!$C$41:$N$87, _xlfn.XMATCH($C70, Factor!$C$41:$C$87, -1), 5)</f>
        <v>8.3999999999999986</v>
      </c>
      <c r="W70" s="18" cm="1">
        <f t="array" ref="W70">L70*VLOOKUP($G70, Factor!$C$4:$N$36, 6, 0)*INDEX(Factor!$C$41:$N$87, _xlfn.XMATCH($C70, Factor!$C$41:$C$87, -1), 6)</f>
        <v>14</v>
      </c>
      <c r="X70" s="18" cm="1">
        <f t="array" ref="X70">M70*VLOOKUP($G70, Factor!$C$4:$N$36, 7, 0)*INDEX(Factor!$C$41:$N$87, _xlfn.XMATCH($C70, Factor!$C$41:$C$87, -1), 7)</f>
        <v>21000</v>
      </c>
      <c r="Y70" s="18" cm="1">
        <f t="array" ref="Y70">N70*VLOOKUP($G70, Factor!$C$4:$N$36, 8, 0)*INDEX(Factor!$C$41:$N$87, _xlfn.XMATCH($C70, Factor!$C$41:$C$87, -1), 8)</f>
        <v>1120</v>
      </c>
      <c r="Z70" s="18" cm="1">
        <f t="array" ref="Z70">O70*VLOOKUP($G70, Factor!$C$4:$N$36, 9, 0)*INDEX(Factor!$C$41:$N$87, _xlfn.XMATCH($C70, Factor!$C$41:$C$87, -1), 9)</f>
        <v>14</v>
      </c>
      <c r="AA70" s="18" cm="1">
        <f t="array" ref="AA70">P70*VLOOKUP($G70, Factor!$C$4:$N$36, 10, 0)*INDEX(Factor!$C$41:$N$87, _xlfn.XMATCH($C70, Factor!$C$41:$C$87, -1), 10)</f>
        <v>1120</v>
      </c>
      <c r="AB70" s="18" cm="1">
        <f t="array" ref="AB70">Q70*VLOOKUP($G70, Factor!$C$4:$N$36, 11, 0)*INDEX(Factor!$C$41:$N$87, _xlfn.XMATCH($C70, Factor!$C$41:$C$87, -1), 11)</f>
        <v>9</v>
      </c>
      <c r="AC70" s="18" cm="1">
        <f t="array" ref="AC70">R70*VLOOKUP($G70, Factor!$C$4:$N$36, 12, 0)*INDEX(Factor!$C$41:$N$87, _xlfn.XMATCH($C70, Factor!$C$41:$C$87, -1), 12)</f>
        <v>3</v>
      </c>
      <c r="AD70" s="18"/>
    </row>
    <row r="71" spans="1:30" ht="15.75" customHeight="1" x14ac:dyDescent="0.2">
      <c r="A71" s="15" t="str">
        <f>"locomotive_"&amp; VLOOKUP(F71, Factor!$BK$4:$BL$6, 2, 0) &amp;"_"&amp;Locomotive!D71&amp;"_"&amp;VLOOKUP(E71, Factor!$BM$4:$BN$36, 2, 0)</f>
        <v>locomotive_St_T3_005</v>
      </c>
      <c r="B71" s="15" t="str">
        <f t="shared" si="2"/>
        <v>T3 군용 증기기관차</v>
      </c>
      <c r="C71" s="15">
        <f>VLOOKUP(D71, Factor!$B$41:$C$50, 2, 0)</f>
        <v>30000</v>
      </c>
      <c r="D71" s="15" t="s">
        <v>321</v>
      </c>
      <c r="E71" s="41" t="s">
        <v>508</v>
      </c>
      <c r="F71" s="41" t="s">
        <v>505</v>
      </c>
      <c r="G71" s="41" t="str">
        <f t="shared" si="3"/>
        <v>군용 증기</v>
      </c>
      <c r="H71" s="41">
        <v>1</v>
      </c>
      <c r="I71" s="41">
        <v>1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  <c r="R71" s="41">
        <v>1</v>
      </c>
      <c r="S71" s="41" cm="1">
        <f t="array" ref="S71">H71*VLOOKUP($G71, Factor!$C$4:$N$36, 2, 0)*INDEX(Factor!$C$41:$N$87, _xlfn.XMATCH($C71, Factor!$C$41:$C$87, -1), 2)</f>
        <v>125.99999999999999</v>
      </c>
      <c r="T71" s="41" cm="1">
        <f t="array" ref="T71">I71*VLOOKUP($G71, Factor!$C$4:$N$36, 3, 0)*INDEX(Factor!$C$41:$N$87, _xlfn.XMATCH($C71, Factor!$C$41:$C$87, -1), 3)</f>
        <v>2240</v>
      </c>
      <c r="U71" s="41" cm="1">
        <f t="array" ref="U71">J71*VLOOKUP($G71, Factor!$C$4:$N$36, 4, 0)*INDEX(Factor!$C$41:$N$87, _xlfn.XMATCH($C71, Factor!$C$41:$C$87, -1), 4)</f>
        <v>4</v>
      </c>
      <c r="V71" s="41" cm="1">
        <f t="array" ref="V71">K71*VLOOKUP($G71, Factor!$C$4:$N$36, 5, 0)*INDEX(Factor!$C$41:$N$87, _xlfn.XMATCH($C71, Factor!$C$41:$C$87, -1), 5)</f>
        <v>2.8</v>
      </c>
      <c r="W71" s="41" cm="1">
        <f t="array" ref="W71">L71*VLOOKUP($G71, Factor!$C$4:$N$36, 6, 0)*INDEX(Factor!$C$41:$N$87, _xlfn.XMATCH($C71, Factor!$C$41:$C$87, -1), 6)</f>
        <v>25.2</v>
      </c>
      <c r="X71" s="41" cm="1">
        <f t="array" ref="X71">M71*VLOOKUP($G71, Factor!$C$4:$N$36, 7, 0)*INDEX(Factor!$C$41:$N$87, _xlfn.XMATCH($C71, Factor!$C$41:$C$87, -1), 7)</f>
        <v>14000</v>
      </c>
      <c r="Y71" s="41" cm="1">
        <f t="array" ref="Y71">N71*VLOOKUP($G71, Factor!$C$4:$N$36, 8, 0)*INDEX(Factor!$C$41:$N$87, _xlfn.XMATCH($C71, Factor!$C$41:$C$87, -1), 8)</f>
        <v>1400</v>
      </c>
      <c r="Z71" s="41" cm="1">
        <f t="array" ref="Z71">O71*VLOOKUP($G71, Factor!$C$4:$N$36, 9, 0)*INDEX(Factor!$C$41:$N$87, _xlfn.XMATCH($C71, Factor!$C$41:$C$87, -1), 9)</f>
        <v>42</v>
      </c>
      <c r="AA71" s="41" cm="1">
        <f t="array" ref="AA71">P71*VLOOKUP($G71, Factor!$C$4:$N$36, 10, 0)*INDEX(Factor!$C$41:$N$87, _xlfn.XMATCH($C71, Factor!$C$41:$C$87, -1), 10)</f>
        <v>1400</v>
      </c>
      <c r="AB71" s="41" cm="1">
        <f t="array" ref="AB71">Q71*VLOOKUP($G71, Factor!$C$4:$N$36, 11, 0)*INDEX(Factor!$C$41:$N$87, _xlfn.XMATCH($C71, Factor!$C$41:$C$87, -1), 11)</f>
        <v>3</v>
      </c>
      <c r="AC71" s="41" cm="1">
        <f t="array" ref="AC71">R71*VLOOKUP($G71, Factor!$C$4:$N$36, 12, 0)*INDEX(Factor!$C$41:$N$87, _xlfn.XMATCH($C71, Factor!$C$41:$C$87, -1), 12)</f>
        <v>3</v>
      </c>
      <c r="AD71" s="41"/>
    </row>
    <row r="72" spans="1:30" ht="15.75" customHeight="1" x14ac:dyDescent="0.2">
      <c r="A72" s="18" t="str">
        <f>"locomotive_"&amp; VLOOKUP(F72, Factor!$BK$4:$BL$6, 2, 0) &amp;"_"&amp;Locomotive!D72&amp;"_"&amp;VLOOKUP(E72, Factor!$BM$4:$BN$36, 2, 0)</f>
        <v>locomotive_El_T3_005</v>
      </c>
      <c r="B72" s="18" t="str">
        <f t="shared" si="2"/>
        <v>T3 군용 전기기관차</v>
      </c>
      <c r="C72" s="18">
        <f>VLOOKUP(D72, Factor!$B$41:$C$50, 2, 0)</f>
        <v>30000</v>
      </c>
      <c r="D72" s="18" t="s">
        <v>321</v>
      </c>
      <c r="E72" s="18" t="s">
        <v>508</v>
      </c>
      <c r="F72" s="18" t="s">
        <v>502</v>
      </c>
      <c r="G72" s="18" t="str">
        <f t="shared" si="3"/>
        <v>군용 전기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 cm="1">
        <f t="array" ref="S72">H72*VLOOKUP($G72, Factor!$C$4:$N$36, 2, 0)*INDEX(Factor!$C$41:$N$87, _xlfn.XMATCH($C72, Factor!$C$41:$C$87, -1), 2)</f>
        <v>237.99999999999997</v>
      </c>
      <c r="T72" s="18" cm="1">
        <f t="array" ref="T72">I72*VLOOKUP($G72, Factor!$C$4:$N$36, 3, 0)*INDEX(Factor!$C$41:$N$87, _xlfn.XMATCH($C72, Factor!$C$41:$C$87, -1), 3)</f>
        <v>1400</v>
      </c>
      <c r="U72" s="18" cm="1">
        <f t="array" ref="U72">J72*VLOOKUP($G72, Factor!$C$4:$N$36, 4, 0)*INDEX(Factor!$C$41:$N$87, _xlfn.XMATCH($C72, Factor!$C$41:$C$87, -1), 4)</f>
        <v>4</v>
      </c>
      <c r="V72" s="18" cm="1">
        <f t="array" ref="V72">K72*VLOOKUP($G72, Factor!$C$4:$N$36, 5, 0)*INDEX(Factor!$C$41:$N$87, _xlfn.XMATCH($C72, Factor!$C$41:$C$87, -1), 5)</f>
        <v>7</v>
      </c>
      <c r="W72" s="18" cm="1">
        <f t="array" ref="W72">L72*VLOOKUP($G72, Factor!$C$4:$N$36, 6, 0)*INDEX(Factor!$C$41:$N$87, _xlfn.XMATCH($C72, Factor!$C$41:$C$87, -1), 6)</f>
        <v>25.2</v>
      </c>
      <c r="X72" s="18" cm="1">
        <f t="array" ref="X72">M72*VLOOKUP($G72, Factor!$C$4:$N$36, 7, 0)*INDEX(Factor!$C$41:$N$87, _xlfn.XMATCH($C72, Factor!$C$41:$C$87, -1), 7)</f>
        <v>9800</v>
      </c>
      <c r="Y72" s="18" cm="1">
        <f t="array" ref="Y72">N72*VLOOKUP($G72, Factor!$C$4:$N$36, 8, 0)*INDEX(Factor!$C$41:$N$87, _xlfn.XMATCH($C72, Factor!$C$41:$C$87, -1), 8)</f>
        <v>979.99999999999989</v>
      </c>
      <c r="Z72" s="18" cm="1">
        <f t="array" ref="Z72">O72*VLOOKUP($G72, Factor!$C$4:$N$36, 9, 0)*INDEX(Factor!$C$41:$N$87, _xlfn.XMATCH($C72, Factor!$C$41:$C$87, -1), 9)</f>
        <v>7</v>
      </c>
      <c r="AA72" s="18" cm="1">
        <f t="array" ref="AA72">P72*VLOOKUP($G72, Factor!$C$4:$N$36, 10, 0)*INDEX(Factor!$C$41:$N$87, _xlfn.XMATCH($C72, Factor!$C$41:$C$87, -1), 10)</f>
        <v>979.99999999999989</v>
      </c>
      <c r="AB72" s="18" cm="1">
        <f t="array" ref="AB72">Q72*VLOOKUP($G72, Factor!$C$4:$N$36, 11, 0)*INDEX(Factor!$C$41:$N$87, _xlfn.XMATCH($C72, Factor!$C$41:$C$87, -1), 11)</f>
        <v>3</v>
      </c>
      <c r="AC72" s="18" cm="1">
        <f t="array" ref="AC72">R72*VLOOKUP($G72, Factor!$C$4:$N$36, 12, 0)*INDEX(Factor!$C$41:$N$87, _xlfn.XMATCH($C72, Factor!$C$41:$C$87, -1), 12)</f>
        <v>3</v>
      </c>
      <c r="AD72" s="18"/>
    </row>
    <row r="73" spans="1:30" ht="15.75" customHeight="1" x14ac:dyDescent="0.2">
      <c r="A73" s="15" t="str">
        <f>"locomotive_"&amp; VLOOKUP(F73, Factor!$BK$4:$BL$6, 2, 0) &amp;"_"&amp;Locomotive!D73&amp;"_"&amp;VLOOKUP(E73, Factor!$BM$4:$BN$36, 2, 0)</f>
        <v>locomotive_Dz_T3_005</v>
      </c>
      <c r="B73" s="15" t="str">
        <f t="shared" si="2"/>
        <v>T3 군용 디젤기관차</v>
      </c>
      <c r="C73" s="15">
        <f>VLOOKUP(D73, Factor!$B$41:$C$50, 2, 0)</f>
        <v>30000</v>
      </c>
      <c r="D73" s="15" t="s">
        <v>321</v>
      </c>
      <c r="E73" s="41" t="s">
        <v>508</v>
      </c>
      <c r="F73" s="41" t="s">
        <v>503</v>
      </c>
      <c r="G73" s="41" t="str">
        <f t="shared" si="3"/>
        <v>군용 디젤</v>
      </c>
      <c r="H73" s="41">
        <v>1</v>
      </c>
      <c r="I73" s="41">
        <v>1</v>
      </c>
      <c r="J73" s="41">
        <v>1</v>
      </c>
      <c r="K73" s="41">
        <v>1</v>
      </c>
      <c r="L73" s="41">
        <v>1</v>
      </c>
      <c r="M73" s="41">
        <v>1</v>
      </c>
      <c r="N73" s="41">
        <v>1</v>
      </c>
      <c r="O73" s="41">
        <v>1</v>
      </c>
      <c r="P73" s="41">
        <v>1</v>
      </c>
      <c r="Q73" s="41">
        <v>1</v>
      </c>
      <c r="R73" s="41">
        <v>1</v>
      </c>
      <c r="S73" s="41" cm="1">
        <f t="array" ref="S73">H73*VLOOKUP($G73, Factor!$C$4:$N$36, 2, 0)*INDEX(Factor!$C$41:$N$87, _xlfn.XMATCH($C73, Factor!$C$41:$C$87, -1), 2)</f>
        <v>154</v>
      </c>
      <c r="T73" s="41" cm="1">
        <f t="array" ref="T73">I73*VLOOKUP($G73, Factor!$C$4:$N$36, 3, 0)*INDEX(Factor!$C$41:$N$87, _xlfn.XMATCH($C73, Factor!$C$41:$C$87, -1), 3)</f>
        <v>2240</v>
      </c>
      <c r="U73" s="41" cm="1">
        <f t="array" ref="U73">J73*VLOOKUP($G73, Factor!$C$4:$N$36, 4, 0)*INDEX(Factor!$C$41:$N$87, _xlfn.XMATCH($C73, Factor!$C$41:$C$87, -1), 4)</f>
        <v>4</v>
      </c>
      <c r="V73" s="41" cm="1">
        <f t="array" ref="V73">K73*VLOOKUP($G73, Factor!$C$4:$N$36, 5, 0)*INDEX(Factor!$C$41:$N$87, _xlfn.XMATCH($C73, Factor!$C$41:$C$87, -1), 5)</f>
        <v>4.1999999999999993</v>
      </c>
      <c r="W73" s="41" cm="1">
        <f t="array" ref="W73">L73*VLOOKUP($G73, Factor!$C$4:$N$36, 6, 0)*INDEX(Factor!$C$41:$N$87, _xlfn.XMATCH($C73, Factor!$C$41:$C$87, -1), 6)</f>
        <v>25.2</v>
      </c>
      <c r="X73" s="41" cm="1">
        <f t="array" ref="X73">M73*VLOOKUP($G73, Factor!$C$4:$N$36, 7, 0)*INDEX(Factor!$C$41:$N$87, _xlfn.XMATCH($C73, Factor!$C$41:$C$87, -1), 7)</f>
        <v>21000</v>
      </c>
      <c r="Y73" s="41" cm="1">
        <f t="array" ref="Y73">N73*VLOOKUP($G73, Factor!$C$4:$N$36, 8, 0)*INDEX(Factor!$C$41:$N$87, _xlfn.XMATCH($C73, Factor!$C$41:$C$87, -1), 8)</f>
        <v>1120</v>
      </c>
      <c r="Z73" s="41" cm="1">
        <f t="array" ref="Z73">O73*VLOOKUP($G73, Factor!$C$4:$N$36, 9, 0)*INDEX(Factor!$C$41:$N$87, _xlfn.XMATCH($C73, Factor!$C$41:$C$87, -1), 9)</f>
        <v>14</v>
      </c>
      <c r="AA73" s="41" cm="1">
        <f t="array" ref="AA73">P73*VLOOKUP($G73, Factor!$C$4:$N$36, 10, 0)*INDEX(Factor!$C$41:$N$87, _xlfn.XMATCH($C73, Factor!$C$41:$C$87, -1), 10)</f>
        <v>1120</v>
      </c>
      <c r="AB73" s="41" cm="1">
        <f t="array" ref="AB73">Q73*VLOOKUP($G73, Factor!$C$4:$N$36, 11, 0)*INDEX(Factor!$C$41:$N$87, _xlfn.XMATCH($C73, Factor!$C$41:$C$87, -1), 11)</f>
        <v>3</v>
      </c>
      <c r="AC73" s="41" cm="1">
        <f t="array" ref="AC73">R73*VLOOKUP($G73, Factor!$C$4:$N$36, 12, 0)*INDEX(Factor!$C$41:$N$87, _xlfn.XMATCH($C73, Factor!$C$41:$C$87, -1), 12)</f>
        <v>3</v>
      </c>
      <c r="AD73" s="41"/>
    </row>
    <row r="74" spans="1:30" ht="15.75" customHeight="1" x14ac:dyDescent="0.2">
      <c r="A74" s="18" t="str">
        <f>"locomotive_"&amp; VLOOKUP(F74, Factor!$BK$4:$BL$6, 2, 0) &amp;"_"&amp;Locomotive!D74&amp;"_"&amp;VLOOKUP(E74, Factor!$BM$4:$BN$36, 2, 0)</f>
        <v>locomotive_St_T3_006</v>
      </c>
      <c r="B74" s="18" t="str">
        <f t="shared" si="2"/>
        <v>T3 여객 증기기관차</v>
      </c>
      <c r="C74" s="18">
        <f>VLOOKUP(D74, Factor!$B$41:$C$50, 2, 0)</f>
        <v>30000</v>
      </c>
      <c r="D74" s="18" t="s">
        <v>321</v>
      </c>
      <c r="E74" s="18" t="s">
        <v>509</v>
      </c>
      <c r="F74" s="18" t="s">
        <v>505</v>
      </c>
      <c r="G74" s="18" t="str">
        <f t="shared" si="3"/>
        <v>여객 증기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 cm="1">
        <f t="array" ref="S74">H74*VLOOKUP($G74, Factor!$C$4:$N$36, 2, 0)*INDEX(Factor!$C$41:$N$87, _xlfn.XMATCH($C74, Factor!$C$41:$C$87, -1), 2)</f>
        <v>140</v>
      </c>
      <c r="T74" s="18" cm="1">
        <f t="array" ref="T74">I74*VLOOKUP($G74, Factor!$C$4:$N$36, 3, 0)*INDEX(Factor!$C$41:$N$87, _xlfn.XMATCH($C74, Factor!$C$41:$C$87, -1), 3)</f>
        <v>1400</v>
      </c>
      <c r="U74" s="18" cm="1">
        <f t="array" ref="U74">J74*VLOOKUP($G74, Factor!$C$4:$N$36, 4, 0)*INDEX(Factor!$C$41:$N$87, _xlfn.XMATCH($C74, Factor!$C$41:$C$87, -1), 4)</f>
        <v>4</v>
      </c>
      <c r="V74" s="18" cm="1">
        <f t="array" ref="V74">K74*VLOOKUP($G74, Factor!$C$4:$N$36, 5, 0)*INDEX(Factor!$C$41:$N$87, _xlfn.XMATCH($C74, Factor!$C$41:$C$87, -1), 5)</f>
        <v>5.6</v>
      </c>
      <c r="W74" s="18" cm="1">
        <f t="array" ref="W74">L74*VLOOKUP($G74, Factor!$C$4:$N$36, 6, 0)*INDEX(Factor!$C$41:$N$87, _xlfn.XMATCH($C74, Factor!$C$41:$C$87, -1), 6)</f>
        <v>14</v>
      </c>
      <c r="X74" s="18" cm="1">
        <f t="array" ref="X74">M74*VLOOKUP($G74, Factor!$C$4:$N$36, 7, 0)*INDEX(Factor!$C$41:$N$87, _xlfn.XMATCH($C74, Factor!$C$41:$C$87, -1), 7)</f>
        <v>14000</v>
      </c>
      <c r="Y74" s="18" cm="1">
        <f t="array" ref="Y74">N74*VLOOKUP($G74, Factor!$C$4:$N$36, 8, 0)*INDEX(Factor!$C$41:$N$87, _xlfn.XMATCH($C74, Factor!$C$41:$C$87, -1), 8)</f>
        <v>1260</v>
      </c>
      <c r="Z74" s="18" cm="1">
        <f t="array" ref="Z74">O74*VLOOKUP($G74, Factor!$C$4:$N$36, 9, 0)*INDEX(Factor!$C$41:$N$87, _xlfn.XMATCH($C74, Factor!$C$41:$C$87, -1), 9)</f>
        <v>35</v>
      </c>
      <c r="AA74" s="18" cm="1">
        <f t="array" ref="AA74">P74*VLOOKUP($G74, Factor!$C$4:$N$36, 10, 0)*INDEX(Factor!$C$41:$N$87, _xlfn.XMATCH($C74, Factor!$C$41:$C$87, -1), 10)</f>
        <v>1260</v>
      </c>
      <c r="AB74" s="18" cm="1">
        <f t="array" ref="AB74">Q74*VLOOKUP($G74, Factor!$C$4:$N$36, 11, 0)*INDEX(Factor!$C$41:$N$87, _xlfn.XMATCH($C74, Factor!$C$41:$C$87, -1), 11)</f>
        <v>3</v>
      </c>
      <c r="AC74" s="18" cm="1">
        <f t="array" ref="AC74">R74*VLOOKUP($G74, Factor!$C$4:$N$36, 12, 0)*INDEX(Factor!$C$41:$N$87, _xlfn.XMATCH($C74, Factor!$C$41:$C$87, -1), 12)</f>
        <v>9</v>
      </c>
      <c r="AD74" s="18"/>
    </row>
    <row r="75" spans="1:30" ht="15.75" customHeight="1" x14ac:dyDescent="0.2">
      <c r="A75" s="15" t="str">
        <f>"locomotive_"&amp; VLOOKUP(F75, Factor!$BK$4:$BL$6, 2, 0) &amp;"_"&amp;Locomotive!D75&amp;"_"&amp;VLOOKUP(E75, Factor!$BM$4:$BN$36, 2, 0)</f>
        <v>locomotive_El_T3_006</v>
      </c>
      <c r="B75" s="15" t="str">
        <f t="shared" si="2"/>
        <v>T3 여객 전기기관차</v>
      </c>
      <c r="C75" s="15">
        <f>VLOOKUP(D75, Factor!$B$41:$C$50, 2, 0)</f>
        <v>30000</v>
      </c>
      <c r="D75" s="15" t="s">
        <v>321</v>
      </c>
      <c r="E75" s="41" t="s">
        <v>509</v>
      </c>
      <c r="F75" s="41" t="s">
        <v>502</v>
      </c>
      <c r="G75" s="41" t="str">
        <f t="shared" si="3"/>
        <v>여객 전기</v>
      </c>
      <c r="H75" s="41">
        <v>1</v>
      </c>
      <c r="I75" s="41">
        <v>1</v>
      </c>
      <c r="J75" s="41">
        <v>1</v>
      </c>
      <c r="K75" s="41">
        <v>1</v>
      </c>
      <c r="L75" s="41">
        <v>1</v>
      </c>
      <c r="M75" s="41">
        <v>1</v>
      </c>
      <c r="N75" s="41">
        <v>1</v>
      </c>
      <c r="O75" s="41">
        <v>1</v>
      </c>
      <c r="P75" s="41">
        <v>1</v>
      </c>
      <c r="Q75" s="41">
        <v>1</v>
      </c>
      <c r="R75" s="41">
        <v>1</v>
      </c>
      <c r="S75" s="41" cm="1">
        <f t="array" ref="S75">H75*VLOOKUP($G75, Factor!$C$4:$N$36, 2, 0)*INDEX(Factor!$C$41:$N$87, _xlfn.XMATCH($C75, Factor!$C$41:$C$87, -1), 2)</f>
        <v>280</v>
      </c>
      <c r="T75" s="41" cm="1">
        <f t="array" ref="T75">I75*VLOOKUP($G75, Factor!$C$4:$N$36, 3, 0)*INDEX(Factor!$C$41:$N$87, _xlfn.XMATCH($C75, Factor!$C$41:$C$87, -1), 3)</f>
        <v>1120</v>
      </c>
      <c r="U75" s="41" cm="1">
        <f t="array" ref="U75">J75*VLOOKUP($G75, Factor!$C$4:$N$36, 4, 0)*INDEX(Factor!$C$41:$N$87, _xlfn.XMATCH($C75, Factor!$C$41:$C$87, -1), 4)</f>
        <v>4</v>
      </c>
      <c r="V75" s="41" cm="1">
        <f t="array" ref="V75">K75*VLOOKUP($G75, Factor!$C$4:$N$36, 5, 0)*INDEX(Factor!$C$41:$N$87, _xlfn.XMATCH($C75, Factor!$C$41:$C$87, -1), 5)</f>
        <v>11.2</v>
      </c>
      <c r="W75" s="41" cm="1">
        <f t="array" ref="W75">L75*VLOOKUP($G75, Factor!$C$4:$N$36, 6, 0)*INDEX(Factor!$C$41:$N$87, _xlfn.XMATCH($C75, Factor!$C$41:$C$87, -1), 6)</f>
        <v>14</v>
      </c>
      <c r="X75" s="41" cm="1">
        <f t="array" ref="X75">M75*VLOOKUP($G75, Factor!$C$4:$N$36, 7, 0)*INDEX(Factor!$C$41:$N$87, _xlfn.XMATCH($C75, Factor!$C$41:$C$87, -1), 7)</f>
        <v>9800</v>
      </c>
      <c r="Y75" s="41" cm="1">
        <f t="array" ref="Y75">N75*VLOOKUP($G75, Factor!$C$4:$N$36, 8, 0)*INDEX(Factor!$C$41:$N$87, _xlfn.XMATCH($C75, Factor!$C$41:$C$87, -1), 8)</f>
        <v>840</v>
      </c>
      <c r="Z75" s="41" cm="1">
        <f t="array" ref="Z75">O75*VLOOKUP($G75, Factor!$C$4:$N$36, 9, 0)*INDEX(Factor!$C$41:$N$87, _xlfn.XMATCH($C75, Factor!$C$41:$C$87, -1), 9)</f>
        <v>5.6</v>
      </c>
      <c r="AA75" s="41" cm="1">
        <f t="array" ref="AA75">P75*VLOOKUP($G75, Factor!$C$4:$N$36, 10, 0)*INDEX(Factor!$C$41:$N$87, _xlfn.XMATCH($C75, Factor!$C$41:$C$87, -1), 10)</f>
        <v>840</v>
      </c>
      <c r="AB75" s="41" cm="1">
        <f t="array" ref="AB75">Q75*VLOOKUP($G75, Factor!$C$4:$N$36, 11, 0)*INDEX(Factor!$C$41:$N$87, _xlfn.XMATCH($C75, Factor!$C$41:$C$87, -1), 11)</f>
        <v>3</v>
      </c>
      <c r="AC75" s="41" cm="1">
        <f t="array" ref="AC75">R75*VLOOKUP($G75, Factor!$C$4:$N$36, 12, 0)*INDEX(Factor!$C$41:$N$87, _xlfn.XMATCH($C75, Factor!$C$41:$C$87, -1), 12)</f>
        <v>9</v>
      </c>
      <c r="AD75" s="41"/>
    </row>
    <row r="76" spans="1:30" ht="15.75" customHeight="1" x14ac:dyDescent="0.2">
      <c r="A76" s="18" t="str">
        <f>"locomotive_"&amp; VLOOKUP(F76, Factor!$BK$4:$BL$6, 2, 0) &amp;"_"&amp;Locomotive!D76&amp;"_"&amp;VLOOKUP(E76, Factor!$BM$4:$BN$36, 2, 0)</f>
        <v>locomotive_Dz_T3_006</v>
      </c>
      <c r="B76" s="18" t="str">
        <f t="shared" si="2"/>
        <v>T3 여객 디젤기관차</v>
      </c>
      <c r="C76" s="18">
        <f>VLOOKUP(D76, Factor!$B$41:$C$50, 2, 0)</f>
        <v>30000</v>
      </c>
      <c r="D76" s="18" t="s">
        <v>321</v>
      </c>
      <c r="E76" s="18" t="s">
        <v>509</v>
      </c>
      <c r="F76" s="18" t="s">
        <v>503</v>
      </c>
      <c r="G76" s="18" t="str">
        <f t="shared" si="3"/>
        <v>여객 디젤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 cm="1">
        <f t="array" ref="S76">H76*VLOOKUP($G76, Factor!$C$4:$N$36, 2, 0)*INDEX(Factor!$C$41:$N$87, _xlfn.XMATCH($C76, Factor!$C$41:$C$87, -1), 2)</f>
        <v>210</v>
      </c>
      <c r="T76" s="18" cm="1">
        <f t="array" ref="T76">I76*VLOOKUP($G76, Factor!$C$4:$N$36, 3, 0)*INDEX(Factor!$C$41:$N$87, _xlfn.XMATCH($C76, Factor!$C$41:$C$87, -1), 3)</f>
        <v>1680</v>
      </c>
      <c r="U76" s="18" cm="1">
        <f t="array" ref="U76">J76*VLOOKUP($G76, Factor!$C$4:$N$36, 4, 0)*INDEX(Factor!$C$41:$N$87, _xlfn.XMATCH($C76, Factor!$C$41:$C$87, -1), 4)</f>
        <v>4</v>
      </c>
      <c r="V76" s="18" cm="1">
        <f t="array" ref="V76">K76*VLOOKUP($G76, Factor!$C$4:$N$36, 5, 0)*INDEX(Factor!$C$41:$N$87, _xlfn.XMATCH($C76, Factor!$C$41:$C$87, -1), 5)</f>
        <v>8.3999999999999986</v>
      </c>
      <c r="W76" s="18" cm="1">
        <f t="array" ref="W76">L76*VLOOKUP($G76, Factor!$C$4:$N$36, 6, 0)*INDEX(Factor!$C$41:$N$87, _xlfn.XMATCH($C76, Factor!$C$41:$C$87, -1), 6)</f>
        <v>14</v>
      </c>
      <c r="X76" s="18" cm="1">
        <f t="array" ref="X76">M76*VLOOKUP($G76, Factor!$C$4:$N$36, 7, 0)*INDEX(Factor!$C$41:$N$87, _xlfn.XMATCH($C76, Factor!$C$41:$C$87, -1), 7)</f>
        <v>21000</v>
      </c>
      <c r="Y76" s="18" cm="1">
        <f t="array" ref="Y76">N76*VLOOKUP($G76, Factor!$C$4:$N$36, 8, 0)*INDEX(Factor!$C$41:$N$87, _xlfn.XMATCH($C76, Factor!$C$41:$C$87, -1), 8)</f>
        <v>979.99999999999989</v>
      </c>
      <c r="Z76" s="18" cm="1">
        <f t="array" ref="Z76">O76*VLOOKUP($G76, Factor!$C$4:$N$36, 9, 0)*INDEX(Factor!$C$41:$N$87, _xlfn.XMATCH($C76, Factor!$C$41:$C$87, -1), 9)</f>
        <v>9.7999999999999989</v>
      </c>
      <c r="AA76" s="18" cm="1">
        <f t="array" ref="AA76">P76*VLOOKUP($G76, Factor!$C$4:$N$36, 10, 0)*INDEX(Factor!$C$41:$N$87, _xlfn.XMATCH($C76, Factor!$C$41:$C$87, -1), 10)</f>
        <v>979.99999999999989</v>
      </c>
      <c r="AB76" s="18" cm="1">
        <f t="array" ref="AB76">Q76*VLOOKUP($G76, Factor!$C$4:$N$36, 11, 0)*INDEX(Factor!$C$41:$N$87, _xlfn.XMATCH($C76, Factor!$C$41:$C$87, -1), 11)</f>
        <v>3</v>
      </c>
      <c r="AC76" s="18" cm="1">
        <f t="array" ref="AC76">R76*VLOOKUP($G76, Factor!$C$4:$N$36, 12, 0)*INDEX(Factor!$C$41:$N$87, _xlfn.XMATCH($C76, Factor!$C$41:$C$87, -1), 12)</f>
        <v>9</v>
      </c>
      <c r="AD76" s="18"/>
    </row>
    <row r="77" spans="1:30" ht="15.75" customHeight="1" x14ac:dyDescent="0.2">
      <c r="A77" s="15" t="str">
        <f>"locomotive_"&amp; VLOOKUP(F77, Factor!$BK$4:$BL$6, 2, 0) &amp;"_"&amp;Locomotive!D77&amp;"_"&amp;VLOOKUP(E77, Factor!$BM$4:$BN$36, 2, 0)</f>
        <v>locomotive_St_T3_007</v>
      </c>
      <c r="B77" s="15" t="str">
        <f t="shared" si="2"/>
        <v>T3 시운 증기기관차</v>
      </c>
      <c r="C77" s="15">
        <f>VLOOKUP(D77, Factor!$B$41:$C$50, 2, 0)</f>
        <v>30000</v>
      </c>
      <c r="D77" s="15" t="s">
        <v>321</v>
      </c>
      <c r="E77" s="41" t="s">
        <v>510</v>
      </c>
      <c r="F77" s="41" t="s">
        <v>505</v>
      </c>
      <c r="G77" s="41" t="str">
        <f t="shared" si="3"/>
        <v>시운 증기</v>
      </c>
      <c r="H77" s="41">
        <v>1</v>
      </c>
      <c r="I77" s="41">
        <v>1</v>
      </c>
      <c r="J77" s="41">
        <v>1</v>
      </c>
      <c r="K77" s="41">
        <v>1</v>
      </c>
      <c r="L77" s="41">
        <v>1</v>
      </c>
      <c r="M77" s="41">
        <v>1</v>
      </c>
      <c r="N77" s="41">
        <v>1</v>
      </c>
      <c r="O77" s="41">
        <v>1</v>
      </c>
      <c r="P77" s="41">
        <v>1</v>
      </c>
      <c r="Q77" s="41">
        <v>1</v>
      </c>
      <c r="R77" s="41">
        <v>1</v>
      </c>
      <c r="S77" s="41" cm="1">
        <f t="array" ref="S77">H77*VLOOKUP($G77, Factor!$C$4:$N$36, 2, 0)*INDEX(Factor!$C$41:$N$87, _xlfn.XMATCH($C77, Factor!$C$41:$C$87, -1), 2)</f>
        <v>140</v>
      </c>
      <c r="T77" s="41" cm="1">
        <f t="array" ref="T77">I77*VLOOKUP($G77, Factor!$C$4:$N$36, 3, 0)*INDEX(Factor!$C$41:$N$87, _xlfn.XMATCH($C77, Factor!$C$41:$C$87, -1), 3)</f>
        <v>1400</v>
      </c>
      <c r="U77" s="41" cm="1">
        <f t="array" ref="U77">J77*VLOOKUP($G77, Factor!$C$4:$N$36, 4, 0)*INDEX(Factor!$C$41:$N$87, _xlfn.XMATCH($C77, Factor!$C$41:$C$87, -1), 4)</f>
        <v>4</v>
      </c>
      <c r="V77" s="41" cm="1">
        <f t="array" ref="V77">K77*VLOOKUP($G77, Factor!$C$4:$N$36, 5, 0)*INDEX(Factor!$C$41:$N$87, _xlfn.XMATCH($C77, Factor!$C$41:$C$87, -1), 5)</f>
        <v>8.3999999999999986</v>
      </c>
      <c r="W77" s="41" cm="1">
        <f t="array" ref="W77">L77*VLOOKUP($G77, Factor!$C$4:$N$36, 6, 0)*INDEX(Factor!$C$41:$N$87, _xlfn.XMATCH($C77, Factor!$C$41:$C$87, -1), 6)</f>
        <v>14</v>
      </c>
      <c r="X77" s="41" cm="1">
        <f t="array" ref="X77">M77*VLOOKUP($G77, Factor!$C$4:$N$36, 7, 0)*INDEX(Factor!$C$41:$N$87, _xlfn.XMATCH($C77, Factor!$C$41:$C$87, -1), 7)</f>
        <v>14000</v>
      </c>
      <c r="Y77" s="41" cm="1">
        <f t="array" ref="Y77">N77*VLOOKUP($G77, Factor!$C$4:$N$36, 8, 0)*INDEX(Factor!$C$41:$N$87, _xlfn.XMATCH($C77, Factor!$C$41:$C$87, -1), 8)</f>
        <v>700</v>
      </c>
      <c r="Z77" s="41" cm="1">
        <f t="array" ref="Z77">O77*VLOOKUP($G77, Factor!$C$4:$N$36, 9, 0)*INDEX(Factor!$C$41:$N$87, _xlfn.XMATCH($C77, Factor!$C$41:$C$87, -1), 9)</f>
        <v>42</v>
      </c>
      <c r="AA77" s="41" cm="1">
        <f t="array" ref="AA77">P77*VLOOKUP($G77, Factor!$C$4:$N$36, 10, 0)*INDEX(Factor!$C$41:$N$87, _xlfn.XMATCH($C77, Factor!$C$41:$C$87, -1), 10)</f>
        <v>2800</v>
      </c>
      <c r="AB77" s="41" cm="1">
        <f t="array" ref="AB77">Q77*VLOOKUP($G77, Factor!$C$4:$N$36, 11, 0)*INDEX(Factor!$C$41:$N$87, _xlfn.XMATCH($C77, Factor!$C$41:$C$87, -1), 11)</f>
        <v>3</v>
      </c>
      <c r="AC77" s="41" cm="1">
        <f t="array" ref="AC77">R77*VLOOKUP($G77, Factor!$C$4:$N$36, 12, 0)*INDEX(Factor!$C$41:$N$87, _xlfn.XMATCH($C77, Factor!$C$41:$C$87, -1), 12)</f>
        <v>3</v>
      </c>
      <c r="AD77" s="41"/>
    </row>
    <row r="78" spans="1:30" ht="15.75" customHeight="1" x14ac:dyDescent="0.2">
      <c r="A78" s="18" t="str">
        <f>"locomotive_"&amp; VLOOKUP(F78, Factor!$BK$4:$BL$6, 2, 0) &amp;"_"&amp;Locomotive!D78&amp;"_"&amp;VLOOKUP(E78, Factor!$BM$4:$BN$36, 2, 0)</f>
        <v>locomotive_El_T3_007</v>
      </c>
      <c r="B78" s="18" t="str">
        <f t="shared" si="2"/>
        <v>T3 시운 전기기관차</v>
      </c>
      <c r="C78" s="18">
        <f>VLOOKUP(D78, Factor!$B$41:$C$50, 2, 0)</f>
        <v>30000</v>
      </c>
      <c r="D78" s="18" t="s">
        <v>321</v>
      </c>
      <c r="E78" s="18" t="s">
        <v>510</v>
      </c>
      <c r="F78" s="18" t="s">
        <v>502</v>
      </c>
      <c r="G78" s="18" t="str">
        <f t="shared" si="3"/>
        <v>시운 전기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 cm="1">
        <f t="array" ref="S78">H78*VLOOKUP($G78, Factor!$C$4:$N$36, 2, 0)*INDEX(Factor!$C$41:$N$87, _xlfn.XMATCH($C78, Factor!$C$41:$C$87, -1), 2)</f>
        <v>280</v>
      </c>
      <c r="T78" s="18" cm="1">
        <f t="array" ref="T78">I78*VLOOKUP($G78, Factor!$C$4:$N$36, 3, 0)*INDEX(Factor!$C$41:$N$87, _xlfn.XMATCH($C78, Factor!$C$41:$C$87, -1), 3)</f>
        <v>1120</v>
      </c>
      <c r="U78" s="18" cm="1">
        <f t="array" ref="U78">J78*VLOOKUP($G78, Factor!$C$4:$N$36, 4, 0)*INDEX(Factor!$C$41:$N$87, _xlfn.XMATCH($C78, Factor!$C$41:$C$87, -1), 4)</f>
        <v>4</v>
      </c>
      <c r="V78" s="18" cm="1">
        <f t="array" ref="V78">K78*VLOOKUP($G78, Factor!$C$4:$N$36, 5, 0)*INDEX(Factor!$C$41:$N$87, _xlfn.XMATCH($C78, Factor!$C$41:$C$87, -1), 5)</f>
        <v>14</v>
      </c>
      <c r="W78" s="18" cm="1">
        <f t="array" ref="W78">L78*VLOOKUP($G78, Factor!$C$4:$N$36, 6, 0)*INDEX(Factor!$C$41:$N$87, _xlfn.XMATCH($C78, Factor!$C$41:$C$87, -1), 6)</f>
        <v>14</v>
      </c>
      <c r="X78" s="18" cm="1">
        <f t="array" ref="X78">M78*VLOOKUP($G78, Factor!$C$4:$N$36, 7, 0)*INDEX(Factor!$C$41:$N$87, _xlfn.XMATCH($C78, Factor!$C$41:$C$87, -1), 7)</f>
        <v>9800</v>
      </c>
      <c r="Y78" s="18" cm="1">
        <f t="array" ref="Y78">N78*VLOOKUP($G78, Factor!$C$4:$N$36, 8, 0)*INDEX(Factor!$C$41:$N$87, _xlfn.XMATCH($C78, Factor!$C$41:$C$87, -1), 8)</f>
        <v>420</v>
      </c>
      <c r="Z78" s="18" cm="1">
        <f t="array" ref="Z78">O78*VLOOKUP($G78, Factor!$C$4:$N$36, 9, 0)*INDEX(Factor!$C$41:$N$87, _xlfn.XMATCH($C78, Factor!$C$41:$C$87, -1), 9)</f>
        <v>7</v>
      </c>
      <c r="AA78" s="18" cm="1">
        <f t="array" ref="AA78">P78*VLOOKUP($G78, Factor!$C$4:$N$36, 10, 0)*INDEX(Factor!$C$41:$N$87, _xlfn.XMATCH($C78, Factor!$C$41:$C$87, -1), 10)</f>
        <v>1400</v>
      </c>
      <c r="AB78" s="18" cm="1">
        <f t="array" ref="AB78">Q78*VLOOKUP($G78, Factor!$C$4:$N$36, 11, 0)*INDEX(Factor!$C$41:$N$87, _xlfn.XMATCH($C78, Factor!$C$41:$C$87, -1), 11)</f>
        <v>3</v>
      </c>
      <c r="AC78" s="18" cm="1">
        <f t="array" ref="AC78">R78*VLOOKUP($G78, Factor!$C$4:$N$36, 12, 0)*INDEX(Factor!$C$41:$N$87, _xlfn.XMATCH($C78, Factor!$C$41:$C$87, -1), 12)</f>
        <v>3</v>
      </c>
      <c r="AD78" s="18"/>
    </row>
    <row r="79" spans="1:30" ht="15.75" customHeight="1" x14ac:dyDescent="0.2">
      <c r="A79" s="15" t="str">
        <f>"locomotive_"&amp; VLOOKUP(F79, Factor!$BK$4:$BL$6, 2, 0) &amp;"_"&amp;Locomotive!D79&amp;"_"&amp;VLOOKUP(E79, Factor!$BM$4:$BN$36, 2, 0)</f>
        <v>locomotive_Dz_T3_007</v>
      </c>
      <c r="B79" s="15" t="str">
        <f t="shared" si="2"/>
        <v>T3 시운 디젤기관차</v>
      </c>
      <c r="C79" s="15">
        <f>VLOOKUP(D79, Factor!$B$41:$C$50, 2, 0)</f>
        <v>30000</v>
      </c>
      <c r="D79" s="15" t="s">
        <v>321</v>
      </c>
      <c r="E79" s="41" t="s">
        <v>510</v>
      </c>
      <c r="F79" s="41" t="s">
        <v>503</v>
      </c>
      <c r="G79" s="41" t="str">
        <f t="shared" si="3"/>
        <v>시운 디젤</v>
      </c>
      <c r="H79" s="41">
        <v>1</v>
      </c>
      <c r="I79" s="41">
        <v>1</v>
      </c>
      <c r="J79" s="41">
        <v>1</v>
      </c>
      <c r="K79" s="41">
        <v>1</v>
      </c>
      <c r="L79" s="41">
        <v>1</v>
      </c>
      <c r="M79" s="41">
        <v>1</v>
      </c>
      <c r="N79" s="41">
        <v>1</v>
      </c>
      <c r="O79" s="41">
        <v>1</v>
      </c>
      <c r="P79" s="41">
        <v>1</v>
      </c>
      <c r="Q79" s="41">
        <v>1</v>
      </c>
      <c r="R79" s="41">
        <v>1</v>
      </c>
      <c r="S79" s="41" cm="1">
        <f t="array" ref="S79">H79*VLOOKUP($G79, Factor!$C$4:$N$36, 2, 0)*INDEX(Factor!$C$41:$N$87, _xlfn.XMATCH($C79, Factor!$C$41:$C$87, -1), 2)</f>
        <v>210</v>
      </c>
      <c r="T79" s="41" cm="1">
        <f t="array" ref="T79">I79*VLOOKUP($G79, Factor!$C$4:$N$36, 3, 0)*INDEX(Factor!$C$41:$N$87, _xlfn.XMATCH($C79, Factor!$C$41:$C$87, -1), 3)</f>
        <v>1680</v>
      </c>
      <c r="U79" s="41" cm="1">
        <f t="array" ref="U79">J79*VLOOKUP($G79, Factor!$C$4:$N$36, 4, 0)*INDEX(Factor!$C$41:$N$87, _xlfn.XMATCH($C79, Factor!$C$41:$C$87, -1), 4)</f>
        <v>4</v>
      </c>
      <c r="V79" s="41" cm="1">
        <f t="array" ref="V79">K79*VLOOKUP($G79, Factor!$C$4:$N$36, 5, 0)*INDEX(Factor!$C$41:$N$87, _xlfn.XMATCH($C79, Factor!$C$41:$C$87, -1), 5)</f>
        <v>11.2</v>
      </c>
      <c r="W79" s="41" cm="1">
        <f t="array" ref="W79">L79*VLOOKUP($G79, Factor!$C$4:$N$36, 6, 0)*INDEX(Factor!$C$41:$N$87, _xlfn.XMATCH($C79, Factor!$C$41:$C$87, -1), 6)</f>
        <v>14</v>
      </c>
      <c r="X79" s="41" cm="1">
        <f t="array" ref="X79">M79*VLOOKUP($G79, Factor!$C$4:$N$36, 7, 0)*INDEX(Factor!$C$41:$N$87, _xlfn.XMATCH($C79, Factor!$C$41:$C$87, -1), 7)</f>
        <v>21000</v>
      </c>
      <c r="Y79" s="41" cm="1">
        <f t="array" ref="Y79">N79*VLOOKUP($G79, Factor!$C$4:$N$36, 8, 0)*INDEX(Factor!$C$41:$N$87, _xlfn.XMATCH($C79, Factor!$C$41:$C$87, -1), 8)</f>
        <v>560</v>
      </c>
      <c r="Z79" s="41" cm="1">
        <f t="array" ref="Z79">O79*VLOOKUP($G79, Factor!$C$4:$N$36, 9, 0)*INDEX(Factor!$C$41:$N$87, _xlfn.XMATCH($C79, Factor!$C$41:$C$87, -1), 9)</f>
        <v>14</v>
      </c>
      <c r="AA79" s="41" cm="1">
        <f t="array" ref="AA79">P79*VLOOKUP($G79, Factor!$C$4:$N$36, 10, 0)*INDEX(Factor!$C$41:$N$87, _xlfn.XMATCH($C79, Factor!$C$41:$C$87, -1), 10)</f>
        <v>2100</v>
      </c>
      <c r="AB79" s="41" cm="1">
        <f t="array" ref="AB79">Q79*VLOOKUP($G79, Factor!$C$4:$N$36, 11, 0)*INDEX(Factor!$C$41:$N$87, _xlfn.XMATCH($C79, Factor!$C$41:$C$87, -1), 11)</f>
        <v>3</v>
      </c>
      <c r="AC79" s="41" cm="1">
        <f t="array" ref="AC79">R79*VLOOKUP($G79, Factor!$C$4:$N$36, 12, 0)*INDEX(Factor!$C$41:$N$87, _xlfn.XMATCH($C79, Factor!$C$41:$C$87, -1), 12)</f>
        <v>3</v>
      </c>
      <c r="AD79" s="41"/>
    </row>
    <row r="80" spans="1:30" ht="15.75" customHeight="1" x14ac:dyDescent="0.2">
      <c r="A80" s="18" t="str">
        <f>"locomotive_"&amp; VLOOKUP(F80, Factor!$BK$4:$BL$6, 2, 0) &amp;"_"&amp;Locomotive!D80&amp;"_"&amp;VLOOKUP(E80, Factor!$BM$4:$BN$36, 2, 0)</f>
        <v>locomotive_St_T3_008</v>
      </c>
      <c r="B80" s="18" t="str">
        <f t="shared" si="2"/>
        <v>T3 경량 증기기관차</v>
      </c>
      <c r="C80" s="18">
        <f>VLOOKUP(D80, Factor!$B$41:$C$50, 2, 0)</f>
        <v>30000</v>
      </c>
      <c r="D80" s="18" t="s">
        <v>321</v>
      </c>
      <c r="E80" s="18" t="s">
        <v>511</v>
      </c>
      <c r="F80" s="18" t="s">
        <v>505</v>
      </c>
      <c r="G80" s="18" t="str">
        <f t="shared" si="3"/>
        <v>경량 증기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 cm="1">
        <f t="array" ref="S80">H80*VLOOKUP($G80, Factor!$C$4:$N$36, 2, 0)*INDEX(Factor!$C$41:$N$87, _xlfn.XMATCH($C80, Factor!$C$41:$C$87, -1), 2)</f>
        <v>140</v>
      </c>
      <c r="T80" s="18" cm="1">
        <f t="array" ref="T80">I80*VLOOKUP($G80, Factor!$C$4:$N$36, 3, 0)*INDEX(Factor!$C$41:$N$87, _xlfn.XMATCH($C80, Factor!$C$41:$C$87, -1), 3)</f>
        <v>1260</v>
      </c>
      <c r="U80" s="18" cm="1">
        <f t="array" ref="U80">J80*VLOOKUP($G80, Factor!$C$4:$N$36, 4, 0)*INDEX(Factor!$C$41:$N$87, _xlfn.XMATCH($C80, Factor!$C$41:$C$87, -1), 4)</f>
        <v>4</v>
      </c>
      <c r="V80" s="18" cm="1">
        <f t="array" ref="V80">K80*VLOOKUP($G80, Factor!$C$4:$N$36, 5, 0)*INDEX(Factor!$C$41:$N$87, _xlfn.XMATCH($C80, Factor!$C$41:$C$87, -1), 5)</f>
        <v>7</v>
      </c>
      <c r="W80" s="18" cm="1">
        <f t="array" ref="W80">L80*VLOOKUP($G80, Factor!$C$4:$N$36, 6, 0)*INDEX(Factor!$C$41:$N$87, _xlfn.XMATCH($C80, Factor!$C$41:$C$87, -1), 6)</f>
        <v>14</v>
      </c>
      <c r="X80" s="18" cm="1">
        <f t="array" ref="X80">M80*VLOOKUP($G80, Factor!$C$4:$N$36, 7, 0)*INDEX(Factor!$C$41:$N$87, _xlfn.XMATCH($C80, Factor!$C$41:$C$87, -1), 7)</f>
        <v>11200</v>
      </c>
      <c r="Y80" s="18" cm="1">
        <f t="array" ref="Y80">N80*VLOOKUP($G80, Factor!$C$4:$N$36, 8, 0)*INDEX(Factor!$C$41:$N$87, _xlfn.XMATCH($C80, Factor!$C$41:$C$87, -1), 8)</f>
        <v>1400</v>
      </c>
      <c r="Z80" s="18" cm="1">
        <f t="array" ref="Z80">O80*VLOOKUP($G80, Factor!$C$4:$N$36, 9, 0)*INDEX(Factor!$C$41:$N$87, _xlfn.XMATCH($C80, Factor!$C$41:$C$87, -1), 9)</f>
        <v>42</v>
      </c>
      <c r="AA80" s="18" cm="1">
        <f t="array" ref="AA80">P80*VLOOKUP($G80, Factor!$C$4:$N$36, 10, 0)*INDEX(Factor!$C$41:$N$87, _xlfn.XMATCH($C80, Factor!$C$41:$C$87, -1), 10)</f>
        <v>1400</v>
      </c>
      <c r="AB80" s="18" cm="1">
        <f t="array" ref="AB80">Q80*VLOOKUP($G80, Factor!$C$4:$N$36, 11, 0)*INDEX(Factor!$C$41:$N$87, _xlfn.XMATCH($C80, Factor!$C$41:$C$87, -1), 11)</f>
        <v>3</v>
      </c>
      <c r="AC80" s="18" cm="1">
        <f t="array" ref="AC80">R80*VLOOKUP($G80, Factor!$C$4:$N$36, 12, 0)*INDEX(Factor!$C$41:$N$87, _xlfn.XMATCH($C80, Factor!$C$41:$C$87, -1), 12)</f>
        <v>3</v>
      </c>
      <c r="AD80" s="18"/>
    </row>
    <row r="81" spans="1:30" ht="15.75" customHeight="1" x14ac:dyDescent="0.2">
      <c r="A81" s="15" t="str">
        <f>"locomotive_"&amp; VLOOKUP(F81, Factor!$BK$4:$BL$6, 2, 0) &amp;"_"&amp;Locomotive!D81&amp;"_"&amp;VLOOKUP(E81, Factor!$BM$4:$BN$36, 2, 0)</f>
        <v>locomotive_El_T3_008</v>
      </c>
      <c r="B81" s="15" t="str">
        <f t="shared" si="2"/>
        <v>T3 경량 전기기관차</v>
      </c>
      <c r="C81" s="15">
        <f>VLOOKUP(D81, Factor!$B$41:$C$50, 2, 0)</f>
        <v>30000</v>
      </c>
      <c r="D81" s="15" t="s">
        <v>321</v>
      </c>
      <c r="E81" s="41" t="s">
        <v>511</v>
      </c>
      <c r="F81" s="41" t="s">
        <v>502</v>
      </c>
      <c r="G81" s="41" t="str">
        <f t="shared" si="3"/>
        <v>경량 전기</v>
      </c>
      <c r="H81" s="41">
        <v>1</v>
      </c>
      <c r="I81" s="41">
        <v>1</v>
      </c>
      <c r="J81" s="41">
        <v>1</v>
      </c>
      <c r="K81" s="41">
        <v>1</v>
      </c>
      <c r="L81" s="41">
        <v>1</v>
      </c>
      <c r="M81" s="41">
        <v>1</v>
      </c>
      <c r="N81" s="41">
        <v>1</v>
      </c>
      <c r="O81" s="41">
        <v>1</v>
      </c>
      <c r="P81" s="41">
        <v>1</v>
      </c>
      <c r="Q81" s="41">
        <v>1</v>
      </c>
      <c r="R81" s="41">
        <v>1</v>
      </c>
      <c r="S81" s="41" cm="1">
        <f t="array" ref="S81">H81*VLOOKUP($G81, Factor!$C$4:$N$36, 2, 0)*INDEX(Factor!$C$41:$N$87, _xlfn.XMATCH($C81, Factor!$C$41:$C$87, -1), 2)</f>
        <v>280</v>
      </c>
      <c r="T81" s="41" cm="1">
        <f t="array" ref="T81">I81*VLOOKUP($G81, Factor!$C$4:$N$36, 3, 0)*INDEX(Factor!$C$41:$N$87, _xlfn.XMATCH($C81, Factor!$C$41:$C$87, -1), 3)</f>
        <v>979.99999999999989</v>
      </c>
      <c r="U81" s="41" cm="1">
        <f t="array" ref="U81">J81*VLOOKUP($G81, Factor!$C$4:$N$36, 4, 0)*INDEX(Factor!$C$41:$N$87, _xlfn.XMATCH($C81, Factor!$C$41:$C$87, -1), 4)</f>
        <v>4</v>
      </c>
      <c r="V81" s="41" cm="1">
        <f t="array" ref="V81">K81*VLOOKUP($G81, Factor!$C$4:$N$36, 5, 0)*INDEX(Factor!$C$41:$N$87, _xlfn.XMATCH($C81, Factor!$C$41:$C$87, -1), 5)</f>
        <v>12.6</v>
      </c>
      <c r="W81" s="41" cm="1">
        <f t="array" ref="W81">L81*VLOOKUP($G81, Factor!$C$4:$N$36, 6, 0)*INDEX(Factor!$C$41:$N$87, _xlfn.XMATCH($C81, Factor!$C$41:$C$87, -1), 6)</f>
        <v>14</v>
      </c>
      <c r="X81" s="41" cm="1">
        <f t="array" ref="X81">M81*VLOOKUP($G81, Factor!$C$4:$N$36, 7, 0)*INDEX(Factor!$C$41:$N$87, _xlfn.XMATCH($C81, Factor!$C$41:$C$87, -1), 7)</f>
        <v>7000</v>
      </c>
      <c r="Y81" s="41" cm="1">
        <f t="array" ref="Y81">N81*VLOOKUP($G81, Factor!$C$4:$N$36, 8, 0)*INDEX(Factor!$C$41:$N$87, _xlfn.XMATCH($C81, Factor!$C$41:$C$87, -1), 8)</f>
        <v>979.99999999999989</v>
      </c>
      <c r="Z81" s="41" cm="1">
        <f t="array" ref="Z81">O81*VLOOKUP($G81, Factor!$C$4:$N$36, 9, 0)*INDEX(Factor!$C$41:$N$87, _xlfn.XMATCH($C81, Factor!$C$41:$C$87, -1), 9)</f>
        <v>7</v>
      </c>
      <c r="AA81" s="41" cm="1">
        <f t="array" ref="AA81">P81*VLOOKUP($G81, Factor!$C$4:$N$36, 10, 0)*INDEX(Factor!$C$41:$N$87, _xlfn.XMATCH($C81, Factor!$C$41:$C$87, -1), 10)</f>
        <v>979.99999999999989</v>
      </c>
      <c r="AB81" s="41" cm="1">
        <f t="array" ref="AB81">Q81*VLOOKUP($G81, Factor!$C$4:$N$36, 11, 0)*INDEX(Factor!$C$41:$N$87, _xlfn.XMATCH($C81, Factor!$C$41:$C$87, -1), 11)</f>
        <v>3</v>
      </c>
      <c r="AC81" s="41" cm="1">
        <f t="array" ref="AC81">R81*VLOOKUP($G81, Factor!$C$4:$N$36, 12, 0)*INDEX(Factor!$C$41:$N$87, _xlfn.XMATCH($C81, Factor!$C$41:$C$87, -1), 12)</f>
        <v>3</v>
      </c>
      <c r="AD81" s="41"/>
    </row>
    <row r="82" spans="1:30" ht="15.75" customHeight="1" x14ac:dyDescent="0.2">
      <c r="A82" s="18" t="str">
        <f>"locomotive_"&amp; VLOOKUP(F82, Factor!$BK$4:$BL$6, 2, 0) &amp;"_"&amp;Locomotive!D82&amp;"_"&amp;VLOOKUP(E82, Factor!$BM$4:$BN$36, 2, 0)</f>
        <v>locomotive_Dz_T3_008</v>
      </c>
      <c r="B82" s="18" t="str">
        <f t="shared" si="2"/>
        <v>T3 경량 디젤기관차</v>
      </c>
      <c r="C82" s="18">
        <f>VLOOKUP(D82, Factor!$B$41:$C$50, 2, 0)</f>
        <v>30000</v>
      </c>
      <c r="D82" s="18" t="s">
        <v>321</v>
      </c>
      <c r="E82" s="18" t="s">
        <v>511</v>
      </c>
      <c r="F82" s="18" t="s">
        <v>503</v>
      </c>
      <c r="G82" s="18" t="str">
        <f t="shared" si="3"/>
        <v>경량 디젤</v>
      </c>
      <c r="H82" s="18">
        <v>1</v>
      </c>
      <c r="I82" s="18">
        <v>1</v>
      </c>
      <c r="J82" s="18">
        <v>1</v>
      </c>
      <c r="K82" s="18">
        <v>1</v>
      </c>
      <c r="L82" s="18">
        <v>1</v>
      </c>
      <c r="M82" s="18">
        <v>1</v>
      </c>
      <c r="N82" s="18">
        <v>1</v>
      </c>
      <c r="O82" s="18">
        <v>1</v>
      </c>
      <c r="P82" s="18">
        <v>1</v>
      </c>
      <c r="Q82" s="18">
        <v>1</v>
      </c>
      <c r="R82" s="18">
        <v>1</v>
      </c>
      <c r="S82" s="18" cm="1">
        <f t="array" ref="S82">H82*VLOOKUP($G82, Factor!$C$4:$N$36, 2, 0)*INDEX(Factor!$C$41:$N$87, _xlfn.XMATCH($C82, Factor!$C$41:$C$87, -1), 2)</f>
        <v>210</v>
      </c>
      <c r="T82" s="18" cm="1">
        <f t="array" ref="T82">I82*VLOOKUP($G82, Factor!$C$4:$N$36, 3, 0)*INDEX(Factor!$C$41:$N$87, _xlfn.XMATCH($C82, Factor!$C$41:$C$87, -1), 3)</f>
        <v>1540</v>
      </c>
      <c r="U82" s="18" cm="1">
        <f t="array" ref="U82">J82*VLOOKUP($G82, Factor!$C$4:$N$36, 4, 0)*INDEX(Factor!$C$41:$N$87, _xlfn.XMATCH($C82, Factor!$C$41:$C$87, -1), 4)</f>
        <v>4</v>
      </c>
      <c r="V82" s="18" cm="1">
        <f t="array" ref="V82">K82*VLOOKUP($G82, Factor!$C$4:$N$36, 5, 0)*INDEX(Factor!$C$41:$N$87, _xlfn.XMATCH($C82, Factor!$C$41:$C$87, -1), 5)</f>
        <v>9.7999999999999989</v>
      </c>
      <c r="W82" s="18" cm="1">
        <f t="array" ref="W82">L82*VLOOKUP($G82, Factor!$C$4:$N$36, 6, 0)*INDEX(Factor!$C$41:$N$87, _xlfn.XMATCH($C82, Factor!$C$41:$C$87, -1), 6)</f>
        <v>14</v>
      </c>
      <c r="X82" s="18" cm="1">
        <f t="array" ref="X82">M82*VLOOKUP($G82, Factor!$C$4:$N$36, 7, 0)*INDEX(Factor!$C$41:$N$87, _xlfn.XMATCH($C82, Factor!$C$41:$C$87, -1), 7)</f>
        <v>16800</v>
      </c>
      <c r="Y82" s="18" cm="1">
        <f t="array" ref="Y82">N82*VLOOKUP($G82, Factor!$C$4:$N$36, 8, 0)*INDEX(Factor!$C$41:$N$87, _xlfn.XMATCH($C82, Factor!$C$41:$C$87, -1), 8)</f>
        <v>1120</v>
      </c>
      <c r="Z82" s="18" cm="1">
        <f t="array" ref="Z82">O82*VLOOKUP($G82, Factor!$C$4:$N$36, 9, 0)*INDEX(Factor!$C$41:$N$87, _xlfn.XMATCH($C82, Factor!$C$41:$C$87, -1), 9)</f>
        <v>14</v>
      </c>
      <c r="AA82" s="18" cm="1">
        <f t="array" ref="AA82">P82*VLOOKUP($G82, Factor!$C$4:$N$36, 10, 0)*INDEX(Factor!$C$41:$N$87, _xlfn.XMATCH($C82, Factor!$C$41:$C$87, -1), 10)</f>
        <v>1120</v>
      </c>
      <c r="AB82" s="18" cm="1">
        <f t="array" ref="AB82">Q82*VLOOKUP($G82, Factor!$C$4:$N$36, 11, 0)*INDEX(Factor!$C$41:$N$87, _xlfn.XMATCH($C82, Factor!$C$41:$C$87, -1), 11)</f>
        <v>3</v>
      </c>
      <c r="AC82" s="18" cm="1">
        <f t="array" ref="AC82">R82*VLOOKUP($G82, Factor!$C$4:$N$36, 12, 0)*INDEX(Factor!$C$41:$N$87, _xlfn.XMATCH($C82, Factor!$C$41:$C$87, -1), 12)</f>
        <v>3</v>
      </c>
      <c r="AD82" s="18"/>
    </row>
    <row r="83" spans="1:30" ht="15.75" customHeight="1" x14ac:dyDescent="0.2">
      <c r="A83" s="15" t="str">
        <f>"locomotive_"&amp; VLOOKUP(F83, Factor!$BK$4:$BL$6, 2, 0) &amp;"_"&amp;Locomotive!D83&amp;"_"&amp;VLOOKUP(E83, Factor!$BM$4:$BN$36, 2, 0)</f>
        <v>locomotive_St_T3_009</v>
      </c>
      <c r="B83" s="15" t="str">
        <f t="shared" si="2"/>
        <v>T3 견인 증기기관차</v>
      </c>
      <c r="C83" s="15">
        <f>VLOOKUP(D83, Factor!$B$41:$C$50, 2, 0)</f>
        <v>30000</v>
      </c>
      <c r="D83" s="15" t="s">
        <v>321</v>
      </c>
      <c r="E83" s="41" t="s">
        <v>512</v>
      </c>
      <c r="F83" s="41" t="s">
        <v>505</v>
      </c>
      <c r="G83" s="41" t="str">
        <f t="shared" si="3"/>
        <v>견인 증기</v>
      </c>
      <c r="H83" s="41">
        <v>1</v>
      </c>
      <c r="I83" s="41">
        <v>1</v>
      </c>
      <c r="J83" s="41">
        <v>1</v>
      </c>
      <c r="K83" s="41">
        <v>1</v>
      </c>
      <c r="L83" s="41">
        <v>1</v>
      </c>
      <c r="M83" s="41">
        <v>1</v>
      </c>
      <c r="N83" s="41">
        <v>1</v>
      </c>
      <c r="O83" s="41">
        <v>1</v>
      </c>
      <c r="P83" s="41">
        <v>1</v>
      </c>
      <c r="Q83" s="41">
        <v>1</v>
      </c>
      <c r="R83" s="41">
        <v>1</v>
      </c>
      <c r="S83" s="41" cm="1">
        <f t="array" ref="S83">H83*VLOOKUP($G83, Factor!$C$4:$N$36, 2, 0)*INDEX(Factor!$C$41:$N$87, _xlfn.XMATCH($C83, Factor!$C$41:$C$87, -1), 2)</f>
        <v>125.99999999999999</v>
      </c>
      <c r="T83" s="41" cm="1">
        <f t="array" ref="T83">I83*VLOOKUP($G83, Factor!$C$4:$N$36, 3, 0)*INDEX(Factor!$C$41:$N$87, _xlfn.XMATCH($C83, Factor!$C$41:$C$87, -1), 3)</f>
        <v>1400</v>
      </c>
      <c r="U83" s="41" cm="1">
        <f t="array" ref="U83">J83*VLOOKUP($G83, Factor!$C$4:$N$36, 4, 0)*INDEX(Factor!$C$41:$N$87, _xlfn.XMATCH($C83, Factor!$C$41:$C$87, -1), 4)</f>
        <v>4</v>
      </c>
      <c r="V83" s="41" cm="1">
        <f t="array" ref="V83">K83*VLOOKUP($G83, Factor!$C$4:$N$36, 5, 0)*INDEX(Factor!$C$41:$N$87, _xlfn.XMATCH($C83, Factor!$C$41:$C$87, -1), 5)</f>
        <v>4.1999999999999993</v>
      </c>
      <c r="W83" s="41" cm="1">
        <f t="array" ref="W83">L83*VLOOKUP($G83, Factor!$C$4:$N$36, 6, 0)*INDEX(Factor!$C$41:$N$87, _xlfn.XMATCH($C83, Factor!$C$41:$C$87, -1), 6)</f>
        <v>14</v>
      </c>
      <c r="X83" s="41" cm="1">
        <f t="array" ref="X83">M83*VLOOKUP($G83, Factor!$C$4:$N$36, 7, 0)*INDEX(Factor!$C$41:$N$87, _xlfn.XMATCH($C83, Factor!$C$41:$C$87, -1), 7)</f>
        <v>21000</v>
      </c>
      <c r="Y83" s="41" cm="1">
        <f t="array" ref="Y83">N83*VLOOKUP($G83, Factor!$C$4:$N$36, 8, 0)*INDEX(Factor!$C$41:$N$87, _xlfn.XMATCH($C83, Factor!$C$41:$C$87, -1), 8)</f>
        <v>1400</v>
      </c>
      <c r="Z83" s="41" cm="1">
        <f t="array" ref="Z83">O83*VLOOKUP($G83, Factor!$C$4:$N$36, 9, 0)*INDEX(Factor!$C$41:$N$87, _xlfn.XMATCH($C83, Factor!$C$41:$C$87, -1), 9)</f>
        <v>42</v>
      </c>
      <c r="AA83" s="41" cm="1">
        <f t="array" ref="AA83">P83*VLOOKUP($G83, Factor!$C$4:$N$36, 10, 0)*INDEX(Factor!$C$41:$N$87, _xlfn.XMATCH($C83, Factor!$C$41:$C$87, -1), 10)</f>
        <v>1400</v>
      </c>
      <c r="AB83" s="41" cm="1">
        <f t="array" ref="AB83">Q83*VLOOKUP($G83, Factor!$C$4:$N$36, 11, 0)*INDEX(Factor!$C$41:$N$87, _xlfn.XMATCH($C83, Factor!$C$41:$C$87, -1), 11)</f>
        <v>3</v>
      </c>
      <c r="AC83" s="41" cm="1">
        <f t="array" ref="AC83">R83*VLOOKUP($G83, Factor!$C$4:$N$36, 12, 0)*INDEX(Factor!$C$41:$N$87, _xlfn.XMATCH($C83, Factor!$C$41:$C$87, -1), 12)</f>
        <v>3</v>
      </c>
      <c r="AD83" s="41"/>
    </row>
    <row r="84" spans="1:30" ht="15.75" customHeight="1" x14ac:dyDescent="0.2">
      <c r="A84" s="18" t="str">
        <f>"locomotive_"&amp; VLOOKUP(F84, Factor!$BK$4:$BL$6, 2, 0) &amp;"_"&amp;Locomotive!D84&amp;"_"&amp;VLOOKUP(E84, Factor!$BM$4:$BN$36, 2, 0)</f>
        <v>locomotive_El_T3_009</v>
      </c>
      <c r="B84" s="18" t="str">
        <f t="shared" si="2"/>
        <v>T3 견인 전기기관차</v>
      </c>
      <c r="C84" s="18">
        <f>VLOOKUP(D84, Factor!$B$41:$C$50, 2, 0)</f>
        <v>30000</v>
      </c>
      <c r="D84" s="18" t="s">
        <v>321</v>
      </c>
      <c r="E84" s="18" t="s">
        <v>512</v>
      </c>
      <c r="F84" s="18" t="s">
        <v>502</v>
      </c>
      <c r="G84" s="18" t="str">
        <f t="shared" si="3"/>
        <v>견인 전기</v>
      </c>
      <c r="H84" s="18">
        <v>1</v>
      </c>
      <c r="I84" s="18">
        <v>1</v>
      </c>
      <c r="J84" s="18">
        <v>1</v>
      </c>
      <c r="K84" s="18">
        <v>1</v>
      </c>
      <c r="L84" s="18">
        <v>1</v>
      </c>
      <c r="M84" s="18">
        <v>1</v>
      </c>
      <c r="N84" s="18">
        <v>1</v>
      </c>
      <c r="O84" s="18">
        <v>1</v>
      </c>
      <c r="P84" s="18">
        <v>1</v>
      </c>
      <c r="Q84" s="18">
        <v>1</v>
      </c>
      <c r="R84" s="18">
        <v>1</v>
      </c>
      <c r="S84" s="18" cm="1">
        <f t="array" ref="S84">H84*VLOOKUP($G84, Factor!$C$4:$N$36, 2, 0)*INDEX(Factor!$C$41:$N$87, _xlfn.XMATCH($C84, Factor!$C$41:$C$87, -1), 2)</f>
        <v>251.99999999999997</v>
      </c>
      <c r="T84" s="18" cm="1">
        <f t="array" ref="T84">I84*VLOOKUP($G84, Factor!$C$4:$N$36, 3, 0)*INDEX(Factor!$C$41:$N$87, _xlfn.XMATCH($C84, Factor!$C$41:$C$87, -1), 3)</f>
        <v>1120</v>
      </c>
      <c r="U84" s="18" cm="1">
        <f t="array" ref="U84">J84*VLOOKUP($G84, Factor!$C$4:$N$36, 4, 0)*INDEX(Factor!$C$41:$N$87, _xlfn.XMATCH($C84, Factor!$C$41:$C$87, -1), 4)</f>
        <v>4</v>
      </c>
      <c r="V84" s="18" cm="1">
        <f t="array" ref="V84">K84*VLOOKUP($G84, Factor!$C$4:$N$36, 5, 0)*INDEX(Factor!$C$41:$N$87, _xlfn.XMATCH($C84, Factor!$C$41:$C$87, -1), 5)</f>
        <v>9.7999999999999989</v>
      </c>
      <c r="W84" s="18" cm="1">
        <f t="array" ref="W84">L84*VLOOKUP($G84, Factor!$C$4:$N$36, 6, 0)*INDEX(Factor!$C$41:$N$87, _xlfn.XMATCH($C84, Factor!$C$41:$C$87, -1), 6)</f>
        <v>14</v>
      </c>
      <c r="X84" s="18" cm="1">
        <f t="array" ref="X84">M84*VLOOKUP($G84, Factor!$C$4:$N$36, 7, 0)*INDEX(Factor!$C$41:$N$87, _xlfn.XMATCH($C84, Factor!$C$41:$C$87, -1), 7)</f>
        <v>16800</v>
      </c>
      <c r="Y84" s="18" cm="1">
        <f t="array" ref="Y84">N84*VLOOKUP($G84, Factor!$C$4:$N$36, 8, 0)*INDEX(Factor!$C$41:$N$87, _xlfn.XMATCH($C84, Factor!$C$41:$C$87, -1), 8)</f>
        <v>979.99999999999989</v>
      </c>
      <c r="Z84" s="18" cm="1">
        <f t="array" ref="Z84">O84*VLOOKUP($G84, Factor!$C$4:$N$36, 9, 0)*INDEX(Factor!$C$41:$N$87, _xlfn.XMATCH($C84, Factor!$C$41:$C$87, -1), 9)</f>
        <v>7</v>
      </c>
      <c r="AA84" s="18" cm="1">
        <f t="array" ref="AA84">P84*VLOOKUP($G84, Factor!$C$4:$N$36, 10, 0)*INDEX(Factor!$C$41:$N$87, _xlfn.XMATCH($C84, Factor!$C$41:$C$87, -1), 10)</f>
        <v>979.99999999999989</v>
      </c>
      <c r="AB84" s="18" cm="1">
        <f t="array" ref="AB84">Q84*VLOOKUP($G84, Factor!$C$4:$N$36, 11, 0)*INDEX(Factor!$C$41:$N$87, _xlfn.XMATCH($C84, Factor!$C$41:$C$87, -1), 11)</f>
        <v>3</v>
      </c>
      <c r="AC84" s="18" cm="1">
        <f t="array" ref="AC84">R84*VLOOKUP($G84, Factor!$C$4:$N$36, 12, 0)*INDEX(Factor!$C$41:$N$87, _xlfn.XMATCH($C84, Factor!$C$41:$C$87, -1), 12)</f>
        <v>3</v>
      </c>
      <c r="AD84" s="18"/>
    </row>
    <row r="85" spans="1:30" ht="15.75" customHeight="1" x14ac:dyDescent="0.2">
      <c r="A85" s="15" t="str">
        <f>"locomotive_"&amp; VLOOKUP(F85, Factor!$BK$4:$BL$6, 2, 0) &amp;"_"&amp;Locomotive!D85&amp;"_"&amp;VLOOKUP(E85, Factor!$BM$4:$BN$36, 2, 0)</f>
        <v>locomotive_Dz_T3_009</v>
      </c>
      <c r="B85" s="15" t="str">
        <f t="shared" si="2"/>
        <v>T3 견인 디젤기관차</v>
      </c>
      <c r="C85" s="15">
        <f>VLOOKUP(D85, Factor!$B$41:$C$50, 2, 0)</f>
        <v>30000</v>
      </c>
      <c r="D85" s="15" t="s">
        <v>321</v>
      </c>
      <c r="E85" s="41" t="s">
        <v>512</v>
      </c>
      <c r="F85" s="41" t="s">
        <v>503</v>
      </c>
      <c r="G85" s="41" t="str">
        <f t="shared" si="3"/>
        <v>견인 디젤</v>
      </c>
      <c r="H85" s="41">
        <v>1</v>
      </c>
      <c r="I85" s="41">
        <v>1</v>
      </c>
      <c r="J85" s="41">
        <v>1</v>
      </c>
      <c r="K85" s="41">
        <v>1</v>
      </c>
      <c r="L85" s="41">
        <v>1</v>
      </c>
      <c r="M85" s="41">
        <v>1</v>
      </c>
      <c r="N85" s="41">
        <v>1</v>
      </c>
      <c r="O85" s="41">
        <v>1</v>
      </c>
      <c r="P85" s="41">
        <v>1</v>
      </c>
      <c r="Q85" s="41">
        <v>1</v>
      </c>
      <c r="R85" s="41">
        <v>1</v>
      </c>
      <c r="S85" s="41" cm="1">
        <f t="array" ref="S85">H85*VLOOKUP($G85, Factor!$C$4:$N$36, 2, 0)*INDEX(Factor!$C$41:$N$87, _xlfn.XMATCH($C85, Factor!$C$41:$C$87, -1), 2)</f>
        <v>168</v>
      </c>
      <c r="T85" s="41" cm="1">
        <f t="array" ref="T85">I85*VLOOKUP($G85, Factor!$C$4:$N$36, 3, 0)*INDEX(Factor!$C$41:$N$87, _xlfn.XMATCH($C85, Factor!$C$41:$C$87, -1), 3)</f>
        <v>1680</v>
      </c>
      <c r="U85" s="41" cm="1">
        <f t="array" ref="U85">J85*VLOOKUP($G85, Factor!$C$4:$N$36, 4, 0)*INDEX(Factor!$C$41:$N$87, _xlfn.XMATCH($C85, Factor!$C$41:$C$87, -1), 4)</f>
        <v>4</v>
      </c>
      <c r="V85" s="41" cm="1">
        <f t="array" ref="V85">K85*VLOOKUP($G85, Factor!$C$4:$N$36, 5, 0)*INDEX(Factor!$C$41:$N$87, _xlfn.XMATCH($C85, Factor!$C$41:$C$87, -1), 5)</f>
        <v>7</v>
      </c>
      <c r="W85" s="41" cm="1">
        <f t="array" ref="W85">L85*VLOOKUP($G85, Factor!$C$4:$N$36, 6, 0)*INDEX(Factor!$C$41:$N$87, _xlfn.XMATCH($C85, Factor!$C$41:$C$87, -1), 6)</f>
        <v>14</v>
      </c>
      <c r="X85" s="41" cm="1">
        <f t="array" ref="X85">M85*VLOOKUP($G85, Factor!$C$4:$N$36, 7, 0)*INDEX(Factor!$C$41:$N$87, _xlfn.XMATCH($C85, Factor!$C$41:$C$87, -1), 7)</f>
        <v>28000</v>
      </c>
      <c r="Y85" s="41" cm="1">
        <f t="array" ref="Y85">N85*VLOOKUP($G85, Factor!$C$4:$N$36, 8, 0)*INDEX(Factor!$C$41:$N$87, _xlfn.XMATCH($C85, Factor!$C$41:$C$87, -1), 8)</f>
        <v>1120</v>
      </c>
      <c r="Z85" s="41" cm="1">
        <f t="array" ref="Z85">O85*VLOOKUP($G85, Factor!$C$4:$N$36, 9, 0)*INDEX(Factor!$C$41:$N$87, _xlfn.XMATCH($C85, Factor!$C$41:$C$87, -1), 9)</f>
        <v>14</v>
      </c>
      <c r="AA85" s="41" cm="1">
        <f t="array" ref="AA85">P85*VLOOKUP($G85, Factor!$C$4:$N$36, 10, 0)*INDEX(Factor!$C$41:$N$87, _xlfn.XMATCH($C85, Factor!$C$41:$C$87, -1), 10)</f>
        <v>1120</v>
      </c>
      <c r="AB85" s="41" cm="1">
        <f t="array" ref="AB85">Q85*VLOOKUP($G85, Factor!$C$4:$N$36, 11, 0)*INDEX(Factor!$C$41:$N$87, _xlfn.XMATCH($C85, Factor!$C$41:$C$87, -1), 11)</f>
        <v>3</v>
      </c>
      <c r="AC85" s="41" cm="1">
        <f t="array" ref="AC85">R85*VLOOKUP($G85, Factor!$C$4:$N$36, 12, 0)*INDEX(Factor!$C$41:$N$87, _xlfn.XMATCH($C85, Factor!$C$41:$C$87, -1), 12)</f>
        <v>3</v>
      </c>
      <c r="AD85" s="41"/>
    </row>
    <row r="86" spans="1:30" ht="15.75" customHeight="1" x14ac:dyDescent="0.2">
      <c r="A86" s="18" t="str">
        <f>"locomotive_"&amp; VLOOKUP(F86, Factor!$BK$4:$BL$6, 2, 0) &amp;"_"&amp;Locomotive!D86&amp;"_"&amp;VLOOKUP(E86, Factor!$BM$4:$BN$36, 2, 0)</f>
        <v>locomotive_St_T4_001</v>
      </c>
      <c r="B86" s="18" t="str">
        <f t="shared" si="2"/>
        <v>T4 표준 증기기관차</v>
      </c>
      <c r="C86" s="18">
        <f>VLOOKUP(D86, Factor!$B$41:$C$50, 2, 0)</f>
        <v>40000</v>
      </c>
      <c r="D86" s="18" t="s">
        <v>323</v>
      </c>
      <c r="E86" s="18" t="s">
        <v>501</v>
      </c>
      <c r="F86" s="18" t="s">
        <v>505</v>
      </c>
      <c r="G86" s="18" t="str">
        <f t="shared" si="3"/>
        <v>표준 증기</v>
      </c>
      <c r="H86" s="18">
        <v>1</v>
      </c>
      <c r="I86" s="18">
        <v>1</v>
      </c>
      <c r="J86" s="18">
        <v>1</v>
      </c>
      <c r="K86" s="18">
        <v>1</v>
      </c>
      <c r="L86" s="18">
        <v>1</v>
      </c>
      <c r="M86" s="18">
        <v>1</v>
      </c>
      <c r="N86" s="18">
        <v>1</v>
      </c>
      <c r="O86" s="18">
        <v>1</v>
      </c>
      <c r="P86" s="18">
        <v>1</v>
      </c>
      <c r="Q86" s="18">
        <v>1</v>
      </c>
      <c r="R86" s="18">
        <v>1</v>
      </c>
      <c r="S86" s="18" cm="1">
        <f t="array" ref="S86">H86*VLOOKUP($G86, Factor!$C$4:$N$36, 2, 0)*INDEX(Factor!$C$41:$N$87, _xlfn.XMATCH($C86, Factor!$C$41:$C$87, -1), 2)</f>
        <v>160</v>
      </c>
      <c r="T86" s="18" cm="1">
        <f t="array" ref="T86">I86*VLOOKUP($G86, Factor!$C$4:$N$36, 3, 0)*INDEX(Factor!$C$41:$N$87, _xlfn.XMATCH($C86, Factor!$C$41:$C$87, -1), 3)</f>
        <v>1600</v>
      </c>
      <c r="U86" s="18" cm="1">
        <f t="array" ref="U86">J86*VLOOKUP($G86, Factor!$C$4:$N$36, 4, 0)*INDEX(Factor!$C$41:$N$87, _xlfn.XMATCH($C86, Factor!$C$41:$C$87, -1), 4)</f>
        <v>5</v>
      </c>
      <c r="V86" s="18" cm="1">
        <f t="array" ref="V86">K86*VLOOKUP($G86, Factor!$C$4:$N$36, 5, 0)*INDEX(Factor!$C$41:$N$87, _xlfn.XMATCH($C86, Factor!$C$41:$C$87, -1), 5)</f>
        <v>6.4</v>
      </c>
      <c r="W86" s="18" cm="1">
        <f t="array" ref="W86">L86*VLOOKUP($G86, Factor!$C$4:$N$36, 6, 0)*INDEX(Factor!$C$41:$N$87, _xlfn.XMATCH($C86, Factor!$C$41:$C$87, -1), 6)</f>
        <v>16</v>
      </c>
      <c r="X86" s="18" cm="1">
        <f t="array" ref="X86">M86*VLOOKUP($G86, Factor!$C$4:$N$36, 7, 0)*INDEX(Factor!$C$41:$N$87, _xlfn.XMATCH($C86, Factor!$C$41:$C$87, -1), 7)</f>
        <v>16000</v>
      </c>
      <c r="Y86" s="18" cm="1">
        <f t="array" ref="Y86">N86*VLOOKUP($G86, Factor!$C$4:$N$36, 8, 0)*INDEX(Factor!$C$41:$N$87, _xlfn.XMATCH($C86, Factor!$C$41:$C$87, -1), 8)</f>
        <v>1600</v>
      </c>
      <c r="Z86" s="18" cm="1">
        <f t="array" ref="Z86">O86*VLOOKUP($G86, Factor!$C$4:$N$36, 9, 0)*INDEX(Factor!$C$41:$N$87, _xlfn.XMATCH($C86, Factor!$C$41:$C$87, -1), 9)</f>
        <v>48</v>
      </c>
      <c r="AA86" s="18" cm="1">
        <f t="array" ref="AA86">P86*VLOOKUP($G86, Factor!$C$4:$N$36, 10, 0)*INDEX(Factor!$C$41:$N$87, _xlfn.XMATCH($C86, Factor!$C$41:$C$87, -1), 10)</f>
        <v>1600</v>
      </c>
      <c r="AB86" s="18" cm="1">
        <f t="array" ref="AB86">Q86*VLOOKUP($G86, Factor!$C$4:$N$36, 11, 0)*INDEX(Factor!$C$41:$N$87, _xlfn.XMATCH($C86, Factor!$C$41:$C$87, -1), 11)</f>
        <v>4</v>
      </c>
      <c r="AC86" s="18" cm="1">
        <f t="array" ref="AC86">R86*VLOOKUP($G86, Factor!$C$4:$N$36, 12, 0)*INDEX(Factor!$C$41:$N$87, _xlfn.XMATCH($C86, Factor!$C$41:$C$87, -1), 12)</f>
        <v>4</v>
      </c>
      <c r="AD86" s="18"/>
    </row>
    <row r="87" spans="1:30" ht="15.75" customHeight="1" x14ac:dyDescent="0.2">
      <c r="A87" s="15" t="str">
        <f>"locomotive_"&amp; VLOOKUP(F87, Factor!$BK$4:$BL$6, 2, 0) &amp;"_"&amp;Locomotive!D87&amp;"_"&amp;VLOOKUP(E87, Factor!$BM$4:$BN$36, 2, 0)</f>
        <v>locomotive_El_T4_001</v>
      </c>
      <c r="B87" s="15" t="str">
        <f t="shared" si="2"/>
        <v>T4 표준 전기기관차</v>
      </c>
      <c r="C87" s="15">
        <f>VLOOKUP(D87, Factor!$B$41:$C$50, 2, 0)</f>
        <v>40000</v>
      </c>
      <c r="D87" s="15" t="s">
        <v>323</v>
      </c>
      <c r="E87" s="41" t="s">
        <v>501</v>
      </c>
      <c r="F87" s="41" t="s">
        <v>502</v>
      </c>
      <c r="G87" s="41" t="str">
        <f t="shared" si="3"/>
        <v>표준 전기</v>
      </c>
      <c r="H87" s="41">
        <v>1</v>
      </c>
      <c r="I87" s="41">
        <v>1</v>
      </c>
      <c r="J87" s="41">
        <v>1</v>
      </c>
      <c r="K87" s="41">
        <v>1</v>
      </c>
      <c r="L87" s="41">
        <v>1</v>
      </c>
      <c r="M87" s="41">
        <v>1</v>
      </c>
      <c r="N87" s="41">
        <v>1</v>
      </c>
      <c r="O87" s="41">
        <v>1</v>
      </c>
      <c r="P87" s="41">
        <v>1</v>
      </c>
      <c r="Q87" s="41">
        <v>1</v>
      </c>
      <c r="R87" s="41">
        <v>1</v>
      </c>
      <c r="S87" s="41" cm="1">
        <f t="array" ref="S87">H87*VLOOKUP($G87, Factor!$C$4:$N$36, 2, 0)*INDEX(Factor!$C$41:$N$87, _xlfn.XMATCH($C87, Factor!$C$41:$C$87, -1), 2)</f>
        <v>320</v>
      </c>
      <c r="T87" s="41" cm="1">
        <f t="array" ref="T87">I87*VLOOKUP($G87, Factor!$C$4:$N$36, 3, 0)*INDEX(Factor!$C$41:$N$87, _xlfn.XMATCH($C87, Factor!$C$41:$C$87, -1), 3)</f>
        <v>1280</v>
      </c>
      <c r="U87" s="41" cm="1">
        <f t="array" ref="U87">J87*VLOOKUP($G87, Factor!$C$4:$N$36, 4, 0)*INDEX(Factor!$C$41:$N$87, _xlfn.XMATCH($C87, Factor!$C$41:$C$87, -1), 4)</f>
        <v>5</v>
      </c>
      <c r="V87" s="41" cm="1">
        <f t="array" ref="V87">K87*VLOOKUP($G87, Factor!$C$4:$N$36, 5, 0)*INDEX(Factor!$C$41:$N$87, _xlfn.XMATCH($C87, Factor!$C$41:$C$87, -1), 5)</f>
        <v>12.8</v>
      </c>
      <c r="W87" s="41" cm="1">
        <f t="array" ref="W87">L87*VLOOKUP($G87, Factor!$C$4:$N$36, 6, 0)*INDEX(Factor!$C$41:$N$87, _xlfn.XMATCH($C87, Factor!$C$41:$C$87, -1), 6)</f>
        <v>16</v>
      </c>
      <c r="X87" s="41" cm="1">
        <f t="array" ref="X87">M87*VLOOKUP($G87, Factor!$C$4:$N$36, 7, 0)*INDEX(Factor!$C$41:$N$87, _xlfn.XMATCH($C87, Factor!$C$41:$C$87, -1), 7)</f>
        <v>11200</v>
      </c>
      <c r="Y87" s="41" cm="1">
        <f t="array" ref="Y87">N87*VLOOKUP($G87, Factor!$C$4:$N$36, 8, 0)*INDEX(Factor!$C$41:$N$87, _xlfn.XMATCH($C87, Factor!$C$41:$C$87, -1), 8)</f>
        <v>1120</v>
      </c>
      <c r="Z87" s="41" cm="1">
        <f t="array" ref="Z87">O87*VLOOKUP($G87, Factor!$C$4:$N$36, 9, 0)*INDEX(Factor!$C$41:$N$87, _xlfn.XMATCH($C87, Factor!$C$41:$C$87, -1), 9)</f>
        <v>8</v>
      </c>
      <c r="AA87" s="41" cm="1">
        <f t="array" ref="AA87">P87*VLOOKUP($G87, Factor!$C$4:$N$36, 10, 0)*INDEX(Factor!$C$41:$N$87, _xlfn.XMATCH($C87, Factor!$C$41:$C$87, -1), 10)</f>
        <v>1120</v>
      </c>
      <c r="AB87" s="41" cm="1">
        <f t="array" ref="AB87">Q87*VLOOKUP($G87, Factor!$C$4:$N$36, 11, 0)*INDEX(Factor!$C$41:$N$87, _xlfn.XMATCH($C87, Factor!$C$41:$C$87, -1), 11)</f>
        <v>4</v>
      </c>
      <c r="AC87" s="41" cm="1">
        <f t="array" ref="AC87">R87*VLOOKUP($G87, Factor!$C$4:$N$36, 12, 0)*INDEX(Factor!$C$41:$N$87, _xlfn.XMATCH($C87, Factor!$C$41:$C$87, -1), 12)</f>
        <v>4</v>
      </c>
      <c r="AD87" s="41"/>
    </row>
    <row r="88" spans="1:30" ht="15.75" customHeight="1" x14ac:dyDescent="0.2">
      <c r="A88" s="18" t="str">
        <f>"locomotive_"&amp; VLOOKUP(F88, Factor!$BK$4:$BL$6, 2, 0) &amp;"_"&amp;Locomotive!D88&amp;"_"&amp;VLOOKUP(E88, Factor!$BM$4:$BN$36, 2, 0)</f>
        <v>locomotive_Dz_T4_001</v>
      </c>
      <c r="B88" s="18" t="str">
        <f t="shared" si="2"/>
        <v>T4 표준 디젤기관차</v>
      </c>
      <c r="C88" s="18">
        <f>VLOOKUP(D88, Factor!$B$41:$C$50, 2, 0)</f>
        <v>40000</v>
      </c>
      <c r="D88" s="18" t="s">
        <v>323</v>
      </c>
      <c r="E88" s="18" t="s">
        <v>501</v>
      </c>
      <c r="F88" s="18" t="s">
        <v>503</v>
      </c>
      <c r="G88" s="18" t="str">
        <f t="shared" si="3"/>
        <v>표준 디젤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>
        <v>1</v>
      </c>
      <c r="P88" s="18">
        <v>1</v>
      </c>
      <c r="Q88" s="18">
        <v>1</v>
      </c>
      <c r="R88" s="18">
        <v>1</v>
      </c>
      <c r="S88" s="18" cm="1">
        <f t="array" ref="S88">H88*VLOOKUP($G88, Factor!$C$4:$N$36, 2, 0)*INDEX(Factor!$C$41:$N$87, _xlfn.XMATCH($C88, Factor!$C$41:$C$87, -1), 2)</f>
        <v>240</v>
      </c>
      <c r="T88" s="18" cm="1">
        <f t="array" ref="T88">I88*VLOOKUP($G88, Factor!$C$4:$N$36, 3, 0)*INDEX(Factor!$C$41:$N$87, _xlfn.XMATCH($C88, Factor!$C$41:$C$87, -1), 3)</f>
        <v>1920</v>
      </c>
      <c r="U88" s="18" cm="1">
        <f t="array" ref="U88">J88*VLOOKUP($G88, Factor!$C$4:$N$36, 4, 0)*INDEX(Factor!$C$41:$N$87, _xlfn.XMATCH($C88, Factor!$C$41:$C$87, -1), 4)</f>
        <v>5</v>
      </c>
      <c r="V88" s="18" cm="1">
        <f t="array" ref="V88">K88*VLOOKUP($G88, Factor!$C$4:$N$36, 5, 0)*INDEX(Factor!$C$41:$N$87, _xlfn.XMATCH($C88, Factor!$C$41:$C$87, -1), 5)</f>
        <v>9.6000000000000014</v>
      </c>
      <c r="W88" s="18" cm="1">
        <f t="array" ref="W88">L88*VLOOKUP($G88, Factor!$C$4:$N$36, 6, 0)*INDEX(Factor!$C$41:$N$87, _xlfn.XMATCH($C88, Factor!$C$41:$C$87, -1), 6)</f>
        <v>16</v>
      </c>
      <c r="X88" s="18" cm="1">
        <f t="array" ref="X88">M88*VLOOKUP($G88, Factor!$C$4:$N$36, 7, 0)*INDEX(Factor!$C$41:$N$87, _xlfn.XMATCH($C88, Factor!$C$41:$C$87, -1), 7)</f>
        <v>24000</v>
      </c>
      <c r="Y88" s="18" cm="1">
        <f t="array" ref="Y88">N88*VLOOKUP($G88, Factor!$C$4:$N$36, 8, 0)*INDEX(Factor!$C$41:$N$87, _xlfn.XMATCH($C88, Factor!$C$41:$C$87, -1), 8)</f>
        <v>1280</v>
      </c>
      <c r="Z88" s="18" cm="1">
        <f t="array" ref="Z88">O88*VLOOKUP($G88, Factor!$C$4:$N$36, 9, 0)*INDEX(Factor!$C$41:$N$87, _xlfn.XMATCH($C88, Factor!$C$41:$C$87, -1), 9)</f>
        <v>16</v>
      </c>
      <c r="AA88" s="18" cm="1">
        <f t="array" ref="AA88">P88*VLOOKUP($G88, Factor!$C$4:$N$36, 10, 0)*INDEX(Factor!$C$41:$N$87, _xlfn.XMATCH($C88, Factor!$C$41:$C$87, -1), 10)</f>
        <v>1280</v>
      </c>
      <c r="AB88" s="18" cm="1">
        <f t="array" ref="AB88">Q88*VLOOKUP($G88, Factor!$C$4:$N$36, 11, 0)*INDEX(Factor!$C$41:$N$87, _xlfn.XMATCH($C88, Factor!$C$41:$C$87, -1), 11)</f>
        <v>4</v>
      </c>
      <c r="AC88" s="18" cm="1">
        <f t="array" ref="AC88">R88*VLOOKUP($G88, Factor!$C$4:$N$36, 12, 0)*INDEX(Factor!$C$41:$N$87, _xlfn.XMATCH($C88, Factor!$C$41:$C$87, -1), 12)</f>
        <v>4</v>
      </c>
      <c r="AD88" s="18"/>
    </row>
    <row r="89" spans="1:30" ht="15.75" customHeight="1" x14ac:dyDescent="0.2">
      <c r="A89" s="15" t="str">
        <f>"locomotive_"&amp; VLOOKUP(F89, Factor!$BK$4:$BL$6, 2, 0) &amp;"_"&amp;Locomotive!D89&amp;"_"&amp;VLOOKUP(E89, Factor!$BM$4:$BN$36, 2, 0)</f>
        <v>locomotive_St_T4_002</v>
      </c>
      <c r="B89" s="15" t="str">
        <f t="shared" si="2"/>
        <v>T4 쾌속 증기기관차</v>
      </c>
      <c r="C89" s="15">
        <f>VLOOKUP(D89, Factor!$B$41:$C$50, 2, 0)</f>
        <v>40000</v>
      </c>
      <c r="D89" s="15" t="s">
        <v>323</v>
      </c>
      <c r="E89" s="41" t="s">
        <v>504</v>
      </c>
      <c r="F89" s="41" t="s">
        <v>505</v>
      </c>
      <c r="G89" s="41" t="str">
        <f t="shared" si="3"/>
        <v>쾌속 증기</v>
      </c>
      <c r="H89" s="41">
        <v>1</v>
      </c>
      <c r="I89" s="41">
        <v>1</v>
      </c>
      <c r="J89" s="41">
        <v>1</v>
      </c>
      <c r="K89" s="41">
        <v>1</v>
      </c>
      <c r="L89" s="41">
        <v>1</v>
      </c>
      <c r="M89" s="41">
        <v>1</v>
      </c>
      <c r="N89" s="41">
        <v>1</v>
      </c>
      <c r="O89" s="41">
        <v>1</v>
      </c>
      <c r="P89" s="41">
        <v>1</v>
      </c>
      <c r="Q89" s="41">
        <v>1</v>
      </c>
      <c r="R89" s="41">
        <v>1</v>
      </c>
      <c r="S89" s="41" cm="1">
        <f t="array" ref="S89">H89*VLOOKUP($G89, Factor!$C$4:$N$36, 2, 0)*INDEX(Factor!$C$41:$N$87, _xlfn.XMATCH($C89, Factor!$C$41:$C$87, -1), 2)</f>
        <v>176</v>
      </c>
      <c r="T89" s="41" cm="1">
        <f t="array" ref="T89">I89*VLOOKUP($G89, Factor!$C$4:$N$36, 3, 0)*INDEX(Factor!$C$41:$N$87, _xlfn.XMATCH($C89, Factor!$C$41:$C$87, -1), 3)</f>
        <v>1440</v>
      </c>
      <c r="U89" s="41" cm="1">
        <f t="array" ref="U89">J89*VLOOKUP($G89, Factor!$C$4:$N$36, 4, 0)*INDEX(Factor!$C$41:$N$87, _xlfn.XMATCH($C89, Factor!$C$41:$C$87, -1), 4)</f>
        <v>5</v>
      </c>
      <c r="V89" s="41" cm="1">
        <f t="array" ref="V89">K89*VLOOKUP($G89, Factor!$C$4:$N$36, 5, 0)*INDEX(Factor!$C$41:$N$87, _xlfn.XMATCH($C89, Factor!$C$41:$C$87, -1), 5)</f>
        <v>9.6000000000000014</v>
      </c>
      <c r="W89" s="41" cm="1">
        <f t="array" ref="W89">L89*VLOOKUP($G89, Factor!$C$4:$N$36, 6, 0)*INDEX(Factor!$C$41:$N$87, _xlfn.XMATCH($C89, Factor!$C$41:$C$87, -1), 6)</f>
        <v>16</v>
      </c>
      <c r="X89" s="41" cm="1">
        <f t="array" ref="X89">M89*VLOOKUP($G89, Factor!$C$4:$N$36, 7, 0)*INDEX(Factor!$C$41:$N$87, _xlfn.XMATCH($C89, Factor!$C$41:$C$87, -1), 7)</f>
        <v>16000</v>
      </c>
      <c r="Y89" s="41" cm="1">
        <f t="array" ref="Y89">N89*VLOOKUP($G89, Factor!$C$4:$N$36, 8, 0)*INDEX(Factor!$C$41:$N$87, _xlfn.XMATCH($C89, Factor!$C$41:$C$87, -1), 8)</f>
        <v>1280</v>
      </c>
      <c r="Z89" s="41" cm="1">
        <f t="array" ref="Z89">O89*VLOOKUP($G89, Factor!$C$4:$N$36, 9, 0)*INDEX(Factor!$C$41:$N$87, _xlfn.XMATCH($C89, Factor!$C$41:$C$87, -1), 9)</f>
        <v>32</v>
      </c>
      <c r="AA89" s="41" cm="1">
        <f t="array" ref="AA89">P89*VLOOKUP($G89, Factor!$C$4:$N$36, 10, 0)*INDEX(Factor!$C$41:$N$87, _xlfn.XMATCH($C89, Factor!$C$41:$C$87, -1), 10)</f>
        <v>1280</v>
      </c>
      <c r="AB89" s="41" cm="1">
        <f t="array" ref="AB89">Q89*VLOOKUP($G89, Factor!$C$4:$N$36, 11, 0)*INDEX(Factor!$C$41:$N$87, _xlfn.XMATCH($C89, Factor!$C$41:$C$87, -1), 11)</f>
        <v>4</v>
      </c>
      <c r="AC89" s="41" cm="1">
        <f t="array" ref="AC89">R89*VLOOKUP($G89, Factor!$C$4:$N$36, 12, 0)*INDEX(Factor!$C$41:$N$87, _xlfn.XMATCH($C89, Factor!$C$41:$C$87, -1), 12)</f>
        <v>4</v>
      </c>
      <c r="AD89" s="41"/>
    </row>
    <row r="90" spans="1:30" ht="15.75" customHeight="1" x14ac:dyDescent="0.2">
      <c r="A90" s="18" t="str">
        <f>"locomotive_"&amp; VLOOKUP(F90, Factor!$BK$4:$BL$6, 2, 0) &amp;"_"&amp;Locomotive!D90&amp;"_"&amp;VLOOKUP(E90, Factor!$BM$4:$BN$36, 2, 0)</f>
        <v>locomotive_El_T4_002</v>
      </c>
      <c r="B90" s="18" t="str">
        <f t="shared" si="2"/>
        <v>T4 쾌속 전기기관차</v>
      </c>
      <c r="C90" s="18">
        <f>VLOOKUP(D90, Factor!$B$41:$C$50, 2, 0)</f>
        <v>40000</v>
      </c>
      <c r="D90" s="18" t="s">
        <v>323</v>
      </c>
      <c r="E90" s="18" t="s">
        <v>504</v>
      </c>
      <c r="F90" s="18" t="s">
        <v>502</v>
      </c>
      <c r="G90" s="18" t="str">
        <f t="shared" si="3"/>
        <v>쾌속 전기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 cm="1">
        <f t="array" ref="S90">H90*VLOOKUP($G90, Factor!$C$4:$N$36, 2, 0)*INDEX(Factor!$C$41:$N$87, _xlfn.XMATCH($C90, Factor!$C$41:$C$87, -1), 2)</f>
        <v>352</v>
      </c>
      <c r="T90" s="18" cm="1">
        <f t="array" ref="T90">I90*VLOOKUP($G90, Factor!$C$4:$N$36, 3, 0)*INDEX(Factor!$C$41:$N$87, _xlfn.XMATCH($C90, Factor!$C$41:$C$87, -1), 3)</f>
        <v>1120</v>
      </c>
      <c r="U90" s="18" cm="1">
        <f t="array" ref="U90">J90*VLOOKUP($G90, Factor!$C$4:$N$36, 4, 0)*INDEX(Factor!$C$41:$N$87, _xlfn.XMATCH($C90, Factor!$C$41:$C$87, -1), 4)</f>
        <v>5</v>
      </c>
      <c r="V90" s="18" cm="1">
        <f t="array" ref="V90">K90*VLOOKUP($G90, Factor!$C$4:$N$36, 5, 0)*INDEX(Factor!$C$41:$N$87, _xlfn.XMATCH($C90, Factor!$C$41:$C$87, -1), 5)</f>
        <v>16</v>
      </c>
      <c r="W90" s="18" cm="1">
        <f t="array" ref="W90">L90*VLOOKUP($G90, Factor!$C$4:$N$36, 6, 0)*INDEX(Factor!$C$41:$N$87, _xlfn.XMATCH($C90, Factor!$C$41:$C$87, -1), 6)</f>
        <v>16</v>
      </c>
      <c r="X90" s="18" cm="1">
        <f t="array" ref="X90">M90*VLOOKUP($G90, Factor!$C$4:$N$36, 7, 0)*INDEX(Factor!$C$41:$N$87, _xlfn.XMATCH($C90, Factor!$C$41:$C$87, -1), 7)</f>
        <v>11200</v>
      </c>
      <c r="Y90" s="18" cm="1">
        <f t="array" ref="Y90">N90*VLOOKUP($G90, Factor!$C$4:$N$36, 8, 0)*INDEX(Factor!$C$41:$N$87, _xlfn.XMATCH($C90, Factor!$C$41:$C$87, -1), 8)</f>
        <v>800</v>
      </c>
      <c r="Z90" s="18" cm="1">
        <f t="array" ref="Z90">O90*VLOOKUP($G90, Factor!$C$4:$N$36, 9, 0)*INDEX(Factor!$C$41:$N$87, _xlfn.XMATCH($C90, Factor!$C$41:$C$87, -1), 9)</f>
        <v>4.8000000000000007</v>
      </c>
      <c r="AA90" s="18" cm="1">
        <f t="array" ref="AA90">P90*VLOOKUP($G90, Factor!$C$4:$N$36, 10, 0)*INDEX(Factor!$C$41:$N$87, _xlfn.XMATCH($C90, Factor!$C$41:$C$87, -1), 10)</f>
        <v>800</v>
      </c>
      <c r="AB90" s="18" cm="1">
        <f t="array" ref="AB90">Q90*VLOOKUP($G90, Factor!$C$4:$N$36, 11, 0)*INDEX(Factor!$C$41:$N$87, _xlfn.XMATCH($C90, Factor!$C$41:$C$87, -1), 11)</f>
        <v>4</v>
      </c>
      <c r="AC90" s="18" cm="1">
        <f t="array" ref="AC90">R90*VLOOKUP($G90, Factor!$C$4:$N$36, 12, 0)*INDEX(Factor!$C$41:$N$87, _xlfn.XMATCH($C90, Factor!$C$41:$C$87, -1), 12)</f>
        <v>4</v>
      </c>
      <c r="AD90" s="18"/>
    </row>
    <row r="91" spans="1:30" ht="15.75" customHeight="1" x14ac:dyDescent="0.2">
      <c r="A91" s="15" t="str">
        <f>"locomotive_"&amp; VLOOKUP(F91, Factor!$BK$4:$BL$6, 2, 0) &amp;"_"&amp;Locomotive!D91&amp;"_"&amp;VLOOKUP(E91, Factor!$BM$4:$BN$36, 2, 0)</f>
        <v>locomotive_Dz_T4_002</v>
      </c>
      <c r="B91" s="15" t="str">
        <f t="shared" si="2"/>
        <v>T4 쾌속 디젤기관차</v>
      </c>
      <c r="C91" s="15">
        <f>VLOOKUP(D91, Factor!$B$41:$C$50, 2, 0)</f>
        <v>40000</v>
      </c>
      <c r="D91" s="15" t="s">
        <v>323</v>
      </c>
      <c r="E91" s="41" t="s">
        <v>504</v>
      </c>
      <c r="F91" s="41" t="s">
        <v>503</v>
      </c>
      <c r="G91" s="41" t="str">
        <f t="shared" si="3"/>
        <v>쾌속 디젤</v>
      </c>
      <c r="H91" s="41">
        <v>1</v>
      </c>
      <c r="I91" s="41">
        <v>1</v>
      </c>
      <c r="J91" s="41">
        <v>1</v>
      </c>
      <c r="K91" s="41">
        <v>1</v>
      </c>
      <c r="L91" s="41">
        <v>1</v>
      </c>
      <c r="M91" s="41">
        <v>1</v>
      </c>
      <c r="N91" s="41">
        <v>1</v>
      </c>
      <c r="O91" s="41">
        <v>1</v>
      </c>
      <c r="P91" s="41">
        <v>1</v>
      </c>
      <c r="Q91" s="41">
        <v>1</v>
      </c>
      <c r="R91" s="41">
        <v>1</v>
      </c>
      <c r="S91" s="41" cm="1">
        <f t="array" ref="S91">H91*VLOOKUP($G91, Factor!$C$4:$N$36, 2, 0)*INDEX(Factor!$C$41:$N$87, _xlfn.XMATCH($C91, Factor!$C$41:$C$87, -1), 2)</f>
        <v>264</v>
      </c>
      <c r="T91" s="41" cm="1">
        <f t="array" ref="T91">I91*VLOOKUP($G91, Factor!$C$4:$N$36, 3, 0)*INDEX(Factor!$C$41:$N$87, _xlfn.XMATCH($C91, Factor!$C$41:$C$87, -1), 3)</f>
        <v>1600</v>
      </c>
      <c r="U91" s="41" cm="1">
        <f t="array" ref="U91">J91*VLOOKUP($G91, Factor!$C$4:$N$36, 4, 0)*INDEX(Factor!$C$41:$N$87, _xlfn.XMATCH($C91, Factor!$C$41:$C$87, -1), 4)</f>
        <v>5</v>
      </c>
      <c r="V91" s="41" cm="1">
        <f t="array" ref="V91">K91*VLOOKUP($G91, Factor!$C$4:$N$36, 5, 0)*INDEX(Factor!$C$41:$N$87, _xlfn.XMATCH($C91, Factor!$C$41:$C$87, -1), 5)</f>
        <v>12.8</v>
      </c>
      <c r="W91" s="41" cm="1">
        <f t="array" ref="W91">L91*VLOOKUP($G91, Factor!$C$4:$N$36, 6, 0)*INDEX(Factor!$C$41:$N$87, _xlfn.XMATCH($C91, Factor!$C$41:$C$87, -1), 6)</f>
        <v>16</v>
      </c>
      <c r="X91" s="41" cm="1">
        <f t="array" ref="X91">M91*VLOOKUP($G91, Factor!$C$4:$N$36, 7, 0)*INDEX(Factor!$C$41:$N$87, _xlfn.XMATCH($C91, Factor!$C$41:$C$87, -1), 7)</f>
        <v>24000</v>
      </c>
      <c r="Y91" s="41" cm="1">
        <f t="array" ref="Y91">N91*VLOOKUP($G91, Factor!$C$4:$N$36, 8, 0)*INDEX(Factor!$C$41:$N$87, _xlfn.XMATCH($C91, Factor!$C$41:$C$87, -1), 8)</f>
        <v>1040</v>
      </c>
      <c r="Z91" s="41" cm="1">
        <f t="array" ref="Z91">O91*VLOOKUP($G91, Factor!$C$4:$N$36, 9, 0)*INDEX(Factor!$C$41:$N$87, _xlfn.XMATCH($C91, Factor!$C$41:$C$87, -1), 9)</f>
        <v>8</v>
      </c>
      <c r="AA91" s="41" cm="1">
        <f t="array" ref="AA91">P91*VLOOKUP($G91, Factor!$C$4:$N$36, 10, 0)*INDEX(Factor!$C$41:$N$87, _xlfn.XMATCH($C91, Factor!$C$41:$C$87, -1), 10)</f>
        <v>1040</v>
      </c>
      <c r="AB91" s="41" cm="1">
        <f t="array" ref="AB91">Q91*VLOOKUP($G91, Factor!$C$4:$N$36, 11, 0)*INDEX(Factor!$C$41:$N$87, _xlfn.XMATCH($C91, Factor!$C$41:$C$87, -1), 11)</f>
        <v>4</v>
      </c>
      <c r="AC91" s="41" cm="1">
        <f t="array" ref="AC91">R91*VLOOKUP($G91, Factor!$C$4:$N$36, 12, 0)*INDEX(Factor!$C$41:$N$87, _xlfn.XMATCH($C91, Factor!$C$41:$C$87, -1), 12)</f>
        <v>4</v>
      </c>
      <c r="AD91" s="41"/>
    </row>
    <row r="92" spans="1:30" ht="15.75" customHeight="1" x14ac:dyDescent="0.2">
      <c r="A92" s="18" t="str">
        <f>"locomotive_"&amp; VLOOKUP(F92, Factor!$BK$4:$BL$6, 2, 0) &amp;"_"&amp;Locomotive!D92&amp;"_"&amp;VLOOKUP(E92, Factor!$BM$4:$BN$36, 2, 0)</f>
        <v>locomotive_St_T4_003</v>
      </c>
      <c r="B92" s="18" t="str">
        <f t="shared" si="2"/>
        <v>T4 중갑 증기기관차</v>
      </c>
      <c r="C92" s="18">
        <f>VLOOKUP(D92, Factor!$B$41:$C$50, 2, 0)</f>
        <v>40000</v>
      </c>
      <c r="D92" s="18" t="s">
        <v>323</v>
      </c>
      <c r="E92" s="18" t="s">
        <v>506</v>
      </c>
      <c r="F92" s="18" t="s">
        <v>505</v>
      </c>
      <c r="G92" s="18" t="str">
        <f t="shared" si="3"/>
        <v>중갑 증기</v>
      </c>
      <c r="H92" s="18">
        <v>1</v>
      </c>
      <c r="I92" s="18">
        <v>1</v>
      </c>
      <c r="J92" s="18">
        <v>1</v>
      </c>
      <c r="K92" s="18">
        <v>1</v>
      </c>
      <c r="L92" s="18">
        <v>1</v>
      </c>
      <c r="M92" s="18">
        <v>1</v>
      </c>
      <c r="N92" s="18">
        <v>1</v>
      </c>
      <c r="O92" s="18">
        <v>1</v>
      </c>
      <c r="P92" s="18">
        <v>1</v>
      </c>
      <c r="Q92" s="18">
        <v>1</v>
      </c>
      <c r="R92" s="18">
        <v>1</v>
      </c>
      <c r="S92" s="18" cm="1">
        <f t="array" ref="S92">H92*VLOOKUP($G92, Factor!$C$4:$N$36, 2, 0)*INDEX(Factor!$C$41:$N$87, _xlfn.XMATCH($C92, Factor!$C$41:$C$87, -1), 2)</f>
        <v>144</v>
      </c>
      <c r="T92" s="18" cm="1">
        <f t="array" ref="T92">I92*VLOOKUP($G92, Factor!$C$4:$N$36, 3, 0)*INDEX(Factor!$C$41:$N$87, _xlfn.XMATCH($C92, Factor!$C$41:$C$87, -1), 3)</f>
        <v>1920</v>
      </c>
      <c r="U92" s="18" cm="1">
        <f t="array" ref="U92">J92*VLOOKUP($G92, Factor!$C$4:$N$36, 4, 0)*INDEX(Factor!$C$41:$N$87, _xlfn.XMATCH($C92, Factor!$C$41:$C$87, -1), 4)</f>
        <v>5</v>
      </c>
      <c r="V92" s="18" cm="1">
        <f t="array" ref="V92">K92*VLOOKUP($G92, Factor!$C$4:$N$36, 5, 0)*INDEX(Factor!$C$41:$N$87, _xlfn.XMATCH($C92, Factor!$C$41:$C$87, -1), 5)</f>
        <v>6.4</v>
      </c>
      <c r="W92" s="18" cm="1">
        <f t="array" ref="W92">L92*VLOOKUP($G92, Factor!$C$4:$N$36, 6, 0)*INDEX(Factor!$C$41:$N$87, _xlfn.XMATCH($C92, Factor!$C$41:$C$87, -1), 6)</f>
        <v>16</v>
      </c>
      <c r="X92" s="18" cm="1">
        <f t="array" ref="X92">M92*VLOOKUP($G92, Factor!$C$4:$N$36, 7, 0)*INDEX(Factor!$C$41:$N$87, _xlfn.XMATCH($C92, Factor!$C$41:$C$87, -1), 7)</f>
        <v>12800</v>
      </c>
      <c r="Y92" s="18" cm="1">
        <f t="array" ref="Y92">N92*VLOOKUP($G92, Factor!$C$4:$N$36, 8, 0)*INDEX(Factor!$C$41:$N$87, _xlfn.XMATCH($C92, Factor!$C$41:$C$87, -1), 8)</f>
        <v>2400</v>
      </c>
      <c r="Z92" s="18" cm="1">
        <f t="array" ref="Z92">O92*VLOOKUP($G92, Factor!$C$4:$N$36, 9, 0)*INDEX(Factor!$C$41:$N$87, _xlfn.XMATCH($C92, Factor!$C$41:$C$87, -1), 9)</f>
        <v>80</v>
      </c>
      <c r="AA92" s="18" cm="1">
        <f t="array" ref="AA92">P92*VLOOKUP($G92, Factor!$C$4:$N$36, 10, 0)*INDEX(Factor!$C$41:$N$87, _xlfn.XMATCH($C92, Factor!$C$41:$C$87, -1), 10)</f>
        <v>2400</v>
      </c>
      <c r="AB92" s="18" cm="1">
        <f t="array" ref="AB92">Q92*VLOOKUP($G92, Factor!$C$4:$N$36, 11, 0)*INDEX(Factor!$C$41:$N$87, _xlfn.XMATCH($C92, Factor!$C$41:$C$87, -1), 11)</f>
        <v>4</v>
      </c>
      <c r="AC92" s="18" cm="1">
        <f t="array" ref="AC92">R92*VLOOKUP($G92, Factor!$C$4:$N$36, 12, 0)*INDEX(Factor!$C$41:$N$87, _xlfn.XMATCH($C92, Factor!$C$41:$C$87, -1), 12)</f>
        <v>4</v>
      </c>
      <c r="AD92" s="18"/>
    </row>
    <row r="93" spans="1:30" ht="15.75" customHeight="1" x14ac:dyDescent="0.2">
      <c r="A93" s="15" t="str">
        <f>"locomotive_"&amp; VLOOKUP(F93, Factor!$BK$4:$BL$6, 2, 0) &amp;"_"&amp;Locomotive!D93&amp;"_"&amp;VLOOKUP(E93, Factor!$BM$4:$BN$36, 2, 0)</f>
        <v>locomotive_El_T4_003</v>
      </c>
      <c r="B93" s="15" t="str">
        <f t="shared" si="2"/>
        <v>T4 중갑 전기기관차</v>
      </c>
      <c r="C93" s="15">
        <f>VLOOKUP(D93, Factor!$B$41:$C$50, 2, 0)</f>
        <v>40000</v>
      </c>
      <c r="D93" s="15" t="s">
        <v>323</v>
      </c>
      <c r="E93" s="41" t="s">
        <v>506</v>
      </c>
      <c r="F93" s="41" t="s">
        <v>502</v>
      </c>
      <c r="G93" s="41" t="str">
        <f t="shared" si="3"/>
        <v>중갑 전기</v>
      </c>
      <c r="H93" s="41">
        <v>1</v>
      </c>
      <c r="I93" s="41">
        <v>1</v>
      </c>
      <c r="J93" s="41">
        <v>1</v>
      </c>
      <c r="K93" s="41">
        <v>1</v>
      </c>
      <c r="L93" s="41">
        <v>1</v>
      </c>
      <c r="M93" s="41">
        <v>1</v>
      </c>
      <c r="N93" s="41">
        <v>1</v>
      </c>
      <c r="O93" s="41">
        <v>1</v>
      </c>
      <c r="P93" s="41">
        <v>1</v>
      </c>
      <c r="Q93" s="41">
        <v>1</v>
      </c>
      <c r="R93" s="41">
        <v>1</v>
      </c>
      <c r="S93" s="41" cm="1">
        <f t="array" ref="S93">H93*VLOOKUP($G93, Factor!$C$4:$N$36, 2, 0)*INDEX(Factor!$C$41:$N$87, _xlfn.XMATCH($C93, Factor!$C$41:$C$87, -1), 2)</f>
        <v>272</v>
      </c>
      <c r="T93" s="41" cm="1">
        <f t="array" ref="T93">I93*VLOOKUP($G93, Factor!$C$4:$N$36, 3, 0)*INDEX(Factor!$C$41:$N$87, _xlfn.XMATCH($C93, Factor!$C$41:$C$87, -1), 3)</f>
        <v>160</v>
      </c>
      <c r="U93" s="41" cm="1">
        <f t="array" ref="U93">J93*VLOOKUP($G93, Factor!$C$4:$N$36, 4, 0)*INDEX(Factor!$C$41:$N$87, _xlfn.XMATCH($C93, Factor!$C$41:$C$87, -1), 4)</f>
        <v>5</v>
      </c>
      <c r="V93" s="41" cm="1">
        <f t="array" ref="V93">K93*VLOOKUP($G93, Factor!$C$4:$N$36, 5, 0)*INDEX(Factor!$C$41:$N$87, _xlfn.XMATCH($C93, Factor!$C$41:$C$87, -1), 5)</f>
        <v>12.8</v>
      </c>
      <c r="W93" s="41" cm="1">
        <f t="array" ref="W93">L93*VLOOKUP($G93, Factor!$C$4:$N$36, 6, 0)*INDEX(Factor!$C$41:$N$87, _xlfn.XMATCH($C93, Factor!$C$41:$C$87, -1), 6)</f>
        <v>16</v>
      </c>
      <c r="X93" s="41" cm="1">
        <f t="array" ref="X93">M93*VLOOKUP($G93, Factor!$C$4:$N$36, 7, 0)*INDEX(Factor!$C$41:$N$87, _xlfn.XMATCH($C93, Factor!$C$41:$C$87, -1), 7)</f>
        <v>8000</v>
      </c>
      <c r="Y93" s="41" cm="1">
        <f t="array" ref="Y93">N93*VLOOKUP($G93, Factor!$C$4:$N$36, 8, 0)*INDEX(Factor!$C$41:$N$87, _xlfn.XMATCH($C93, Factor!$C$41:$C$87, -1), 8)</f>
        <v>1600</v>
      </c>
      <c r="Z93" s="41" cm="1">
        <f t="array" ref="Z93">O93*VLOOKUP($G93, Factor!$C$4:$N$36, 9, 0)*INDEX(Factor!$C$41:$N$87, _xlfn.XMATCH($C93, Factor!$C$41:$C$87, -1), 9)</f>
        <v>24</v>
      </c>
      <c r="AA93" s="41" cm="1">
        <f t="array" ref="AA93">P93*VLOOKUP($G93, Factor!$C$4:$N$36, 10, 0)*INDEX(Factor!$C$41:$N$87, _xlfn.XMATCH($C93, Factor!$C$41:$C$87, -1), 10)</f>
        <v>1600</v>
      </c>
      <c r="AB93" s="41" cm="1">
        <f t="array" ref="AB93">Q93*VLOOKUP($G93, Factor!$C$4:$N$36, 11, 0)*INDEX(Factor!$C$41:$N$87, _xlfn.XMATCH($C93, Factor!$C$41:$C$87, -1), 11)</f>
        <v>4</v>
      </c>
      <c r="AC93" s="41" cm="1">
        <f t="array" ref="AC93">R93*VLOOKUP($G93, Factor!$C$4:$N$36, 12, 0)*INDEX(Factor!$C$41:$N$87, _xlfn.XMATCH($C93, Factor!$C$41:$C$87, -1), 12)</f>
        <v>4</v>
      </c>
      <c r="AD93" s="41"/>
    </row>
    <row r="94" spans="1:30" ht="15.75" customHeight="1" x14ac:dyDescent="0.2">
      <c r="A94" s="18" t="str">
        <f>"locomotive_"&amp; VLOOKUP(F94, Factor!$BK$4:$BL$6, 2, 0) &amp;"_"&amp;Locomotive!D94&amp;"_"&amp;VLOOKUP(E94, Factor!$BM$4:$BN$36, 2, 0)</f>
        <v>locomotive_Dz_T4_003</v>
      </c>
      <c r="B94" s="18" t="str">
        <f t="shared" si="2"/>
        <v>T4 중갑 디젤기관차</v>
      </c>
      <c r="C94" s="18">
        <f>VLOOKUP(D94, Factor!$B$41:$C$50, 2, 0)</f>
        <v>40000</v>
      </c>
      <c r="D94" s="18" t="s">
        <v>323</v>
      </c>
      <c r="E94" s="18" t="s">
        <v>506</v>
      </c>
      <c r="F94" s="18" t="s">
        <v>503</v>
      </c>
      <c r="G94" s="18" t="str">
        <f t="shared" si="3"/>
        <v>중갑 디젤</v>
      </c>
      <c r="H94" s="18">
        <v>1</v>
      </c>
      <c r="I94" s="18">
        <v>1</v>
      </c>
      <c r="J94" s="18">
        <v>1</v>
      </c>
      <c r="K94" s="18">
        <v>1</v>
      </c>
      <c r="L94" s="18">
        <v>1</v>
      </c>
      <c r="M94" s="18">
        <v>1</v>
      </c>
      <c r="N94" s="18">
        <v>1</v>
      </c>
      <c r="O94" s="18">
        <v>1</v>
      </c>
      <c r="P94" s="18">
        <v>1</v>
      </c>
      <c r="Q94" s="18">
        <v>1</v>
      </c>
      <c r="R94" s="18">
        <v>1</v>
      </c>
      <c r="S94" s="18" cm="1">
        <f t="array" ref="S94">H94*VLOOKUP($G94, Factor!$C$4:$N$36, 2, 0)*INDEX(Factor!$C$41:$N$87, _xlfn.XMATCH($C94, Factor!$C$41:$C$87, -1), 2)</f>
        <v>176</v>
      </c>
      <c r="T94" s="18" cm="1">
        <f t="array" ref="T94">I94*VLOOKUP($G94, Factor!$C$4:$N$36, 3, 0)*INDEX(Factor!$C$41:$N$87, _xlfn.XMATCH($C94, Factor!$C$41:$C$87, -1), 3)</f>
        <v>2400</v>
      </c>
      <c r="U94" s="18" cm="1">
        <f t="array" ref="U94">J94*VLOOKUP($G94, Factor!$C$4:$N$36, 4, 0)*INDEX(Factor!$C$41:$N$87, _xlfn.XMATCH($C94, Factor!$C$41:$C$87, -1), 4)</f>
        <v>5</v>
      </c>
      <c r="V94" s="18" cm="1">
        <f t="array" ref="V94">K94*VLOOKUP($G94, Factor!$C$4:$N$36, 5, 0)*INDEX(Factor!$C$41:$N$87, _xlfn.XMATCH($C94, Factor!$C$41:$C$87, -1), 5)</f>
        <v>9.6000000000000014</v>
      </c>
      <c r="W94" s="18" cm="1">
        <f t="array" ref="W94">L94*VLOOKUP($G94, Factor!$C$4:$N$36, 6, 0)*INDEX(Factor!$C$41:$N$87, _xlfn.XMATCH($C94, Factor!$C$41:$C$87, -1), 6)</f>
        <v>16</v>
      </c>
      <c r="X94" s="18" cm="1">
        <f t="array" ref="X94">M94*VLOOKUP($G94, Factor!$C$4:$N$36, 7, 0)*INDEX(Factor!$C$41:$N$87, _xlfn.XMATCH($C94, Factor!$C$41:$C$87, -1), 7)</f>
        <v>19200</v>
      </c>
      <c r="Y94" s="18" cm="1">
        <f t="array" ref="Y94">N94*VLOOKUP($G94, Factor!$C$4:$N$36, 8, 0)*INDEX(Factor!$C$41:$N$87, _xlfn.XMATCH($C94, Factor!$C$41:$C$87, -1), 8)</f>
        <v>2080</v>
      </c>
      <c r="Z94" s="18" cm="1">
        <f t="array" ref="Z94">O94*VLOOKUP($G94, Factor!$C$4:$N$36, 9, 0)*INDEX(Factor!$C$41:$N$87, _xlfn.XMATCH($C94, Factor!$C$41:$C$87, -1), 9)</f>
        <v>48</v>
      </c>
      <c r="AA94" s="18" cm="1">
        <f t="array" ref="AA94">P94*VLOOKUP($G94, Factor!$C$4:$N$36, 10, 0)*INDEX(Factor!$C$41:$N$87, _xlfn.XMATCH($C94, Factor!$C$41:$C$87, -1), 10)</f>
        <v>2080</v>
      </c>
      <c r="AB94" s="18" cm="1">
        <f t="array" ref="AB94">Q94*VLOOKUP($G94, Factor!$C$4:$N$36, 11, 0)*INDEX(Factor!$C$41:$N$87, _xlfn.XMATCH($C94, Factor!$C$41:$C$87, -1), 11)</f>
        <v>4</v>
      </c>
      <c r="AC94" s="18" cm="1">
        <f t="array" ref="AC94">R94*VLOOKUP($G94, Factor!$C$4:$N$36, 12, 0)*INDEX(Factor!$C$41:$N$87, _xlfn.XMATCH($C94, Factor!$C$41:$C$87, -1), 12)</f>
        <v>4</v>
      </c>
      <c r="AD94" s="18"/>
    </row>
    <row r="95" spans="1:30" ht="15.75" customHeight="1" x14ac:dyDescent="0.2">
      <c r="A95" s="15" t="str">
        <f>"locomotive_"&amp; VLOOKUP(F95, Factor!$BK$4:$BL$6, 2, 0) &amp;"_"&amp;Locomotive!D95&amp;"_"&amp;VLOOKUP(E95, Factor!$BM$4:$BN$36, 2, 0)</f>
        <v>locomotive_St_T4_004</v>
      </c>
      <c r="B95" s="15" t="str">
        <f t="shared" si="2"/>
        <v>T4 화물 증기기관차</v>
      </c>
      <c r="C95" s="15">
        <f>VLOOKUP(D95, Factor!$B$41:$C$50, 2, 0)</f>
        <v>40000</v>
      </c>
      <c r="D95" s="15" t="s">
        <v>323</v>
      </c>
      <c r="E95" s="41" t="s">
        <v>507</v>
      </c>
      <c r="F95" s="41" t="s">
        <v>505</v>
      </c>
      <c r="G95" s="41" t="str">
        <f t="shared" si="3"/>
        <v>화물 증기</v>
      </c>
      <c r="H95" s="41">
        <v>1</v>
      </c>
      <c r="I95" s="41">
        <v>1</v>
      </c>
      <c r="J95" s="41">
        <v>1</v>
      </c>
      <c r="K95" s="41">
        <v>1</v>
      </c>
      <c r="L95" s="41">
        <v>1</v>
      </c>
      <c r="M95" s="41">
        <v>1</v>
      </c>
      <c r="N95" s="41">
        <v>1</v>
      </c>
      <c r="O95" s="41">
        <v>1</v>
      </c>
      <c r="P95" s="41">
        <v>1</v>
      </c>
      <c r="Q95" s="41">
        <v>1</v>
      </c>
      <c r="R95" s="41">
        <v>1</v>
      </c>
      <c r="S95" s="41" cm="1">
        <f t="array" ref="S95">H95*VLOOKUP($G95, Factor!$C$4:$N$36, 2, 0)*INDEX(Factor!$C$41:$N$87, _xlfn.XMATCH($C95, Factor!$C$41:$C$87, -1), 2)</f>
        <v>144</v>
      </c>
      <c r="T95" s="41" cm="1">
        <f t="array" ref="T95">I95*VLOOKUP($G95, Factor!$C$4:$N$36, 3, 0)*INDEX(Factor!$C$41:$N$87, _xlfn.XMATCH($C95, Factor!$C$41:$C$87, -1), 3)</f>
        <v>1600</v>
      </c>
      <c r="U95" s="41" cm="1">
        <f t="array" ref="U95">J95*VLOOKUP($G95, Factor!$C$4:$N$36, 4, 0)*INDEX(Factor!$C$41:$N$87, _xlfn.XMATCH($C95, Factor!$C$41:$C$87, -1), 4)</f>
        <v>5</v>
      </c>
      <c r="V95" s="41" cm="1">
        <f t="array" ref="V95">K95*VLOOKUP($G95, Factor!$C$4:$N$36, 5, 0)*INDEX(Factor!$C$41:$N$87, _xlfn.XMATCH($C95, Factor!$C$41:$C$87, -1), 5)</f>
        <v>6.4</v>
      </c>
      <c r="W95" s="41" cm="1">
        <f t="array" ref="W95">L95*VLOOKUP($G95, Factor!$C$4:$N$36, 6, 0)*INDEX(Factor!$C$41:$N$87, _xlfn.XMATCH($C95, Factor!$C$41:$C$87, -1), 6)</f>
        <v>16</v>
      </c>
      <c r="X95" s="41" cm="1">
        <f t="array" ref="X95">M95*VLOOKUP($G95, Factor!$C$4:$N$36, 7, 0)*INDEX(Factor!$C$41:$N$87, _xlfn.XMATCH($C95, Factor!$C$41:$C$87, -1), 7)</f>
        <v>16000</v>
      </c>
      <c r="Y95" s="41" cm="1">
        <f t="array" ref="Y95">N95*VLOOKUP($G95, Factor!$C$4:$N$36, 8, 0)*INDEX(Factor!$C$41:$N$87, _xlfn.XMATCH($C95, Factor!$C$41:$C$87, -1), 8)</f>
        <v>1600</v>
      </c>
      <c r="Z95" s="41" cm="1">
        <f t="array" ref="Z95">O95*VLOOKUP($G95, Factor!$C$4:$N$36, 9, 0)*INDEX(Factor!$C$41:$N$87, _xlfn.XMATCH($C95, Factor!$C$41:$C$87, -1), 9)</f>
        <v>48</v>
      </c>
      <c r="AA95" s="41" cm="1">
        <f t="array" ref="AA95">P95*VLOOKUP($G95, Factor!$C$4:$N$36, 10, 0)*INDEX(Factor!$C$41:$N$87, _xlfn.XMATCH($C95, Factor!$C$41:$C$87, -1), 10)</f>
        <v>1600</v>
      </c>
      <c r="AB95" s="41" cm="1">
        <f t="array" ref="AB95">Q95*VLOOKUP($G95, Factor!$C$4:$N$36, 11, 0)*INDEX(Factor!$C$41:$N$87, _xlfn.XMATCH($C95, Factor!$C$41:$C$87, -1), 11)</f>
        <v>12</v>
      </c>
      <c r="AC95" s="41" cm="1">
        <f t="array" ref="AC95">R95*VLOOKUP($G95, Factor!$C$4:$N$36, 12, 0)*INDEX(Factor!$C$41:$N$87, _xlfn.XMATCH($C95, Factor!$C$41:$C$87, -1), 12)</f>
        <v>4</v>
      </c>
      <c r="AD95" s="41"/>
    </row>
    <row r="96" spans="1:30" ht="15.75" customHeight="1" x14ac:dyDescent="0.2">
      <c r="A96" s="18" t="str">
        <f>"locomotive_"&amp; VLOOKUP(F96, Factor!$BK$4:$BL$6, 2, 0) &amp;"_"&amp;Locomotive!D96&amp;"_"&amp;VLOOKUP(E96, Factor!$BM$4:$BN$36, 2, 0)</f>
        <v>locomotive_El_T4_004</v>
      </c>
      <c r="B96" s="18" t="str">
        <f t="shared" si="2"/>
        <v>T4 화물 전기기관차</v>
      </c>
      <c r="C96" s="18">
        <f>VLOOKUP(D96, Factor!$B$41:$C$50, 2, 0)</f>
        <v>40000</v>
      </c>
      <c r="D96" s="18" t="s">
        <v>323</v>
      </c>
      <c r="E96" s="18" t="s">
        <v>507</v>
      </c>
      <c r="F96" s="18" t="s">
        <v>502</v>
      </c>
      <c r="G96" s="18" t="str">
        <f t="shared" si="3"/>
        <v>화물 전기</v>
      </c>
      <c r="H96" s="18">
        <v>1</v>
      </c>
      <c r="I96" s="18">
        <v>1</v>
      </c>
      <c r="J96" s="18">
        <v>1</v>
      </c>
      <c r="K96" s="18">
        <v>1</v>
      </c>
      <c r="L96" s="18">
        <v>1</v>
      </c>
      <c r="M96" s="18">
        <v>1</v>
      </c>
      <c r="N96" s="18">
        <v>1</v>
      </c>
      <c r="O96" s="18">
        <v>1</v>
      </c>
      <c r="P96" s="18">
        <v>1</v>
      </c>
      <c r="Q96" s="18">
        <v>1</v>
      </c>
      <c r="R96" s="18">
        <v>1</v>
      </c>
      <c r="S96" s="18" cm="1">
        <f t="array" ref="S96">H96*VLOOKUP($G96, Factor!$C$4:$N$36, 2, 0)*INDEX(Factor!$C$41:$N$87, _xlfn.XMATCH($C96, Factor!$C$41:$C$87, -1), 2)</f>
        <v>288</v>
      </c>
      <c r="T96" s="18" cm="1">
        <f t="array" ref="T96">I96*VLOOKUP($G96, Factor!$C$4:$N$36, 3, 0)*INDEX(Factor!$C$41:$N$87, _xlfn.XMATCH($C96, Factor!$C$41:$C$87, -1), 3)</f>
        <v>1280</v>
      </c>
      <c r="U96" s="18" cm="1">
        <f t="array" ref="U96">J96*VLOOKUP($G96, Factor!$C$4:$N$36, 4, 0)*INDEX(Factor!$C$41:$N$87, _xlfn.XMATCH($C96, Factor!$C$41:$C$87, -1), 4)</f>
        <v>5</v>
      </c>
      <c r="V96" s="18" cm="1">
        <f t="array" ref="V96">K96*VLOOKUP($G96, Factor!$C$4:$N$36, 5, 0)*INDEX(Factor!$C$41:$N$87, _xlfn.XMATCH($C96, Factor!$C$41:$C$87, -1), 5)</f>
        <v>12.8</v>
      </c>
      <c r="W96" s="18" cm="1">
        <f t="array" ref="W96">L96*VLOOKUP($G96, Factor!$C$4:$N$36, 6, 0)*INDEX(Factor!$C$41:$N$87, _xlfn.XMATCH($C96, Factor!$C$41:$C$87, -1), 6)</f>
        <v>16</v>
      </c>
      <c r="X96" s="18" cm="1">
        <f t="array" ref="X96">M96*VLOOKUP($G96, Factor!$C$4:$N$36, 7, 0)*INDEX(Factor!$C$41:$N$87, _xlfn.XMATCH($C96, Factor!$C$41:$C$87, -1), 7)</f>
        <v>11200</v>
      </c>
      <c r="Y96" s="18" cm="1">
        <f t="array" ref="Y96">N96*VLOOKUP($G96, Factor!$C$4:$N$36, 8, 0)*INDEX(Factor!$C$41:$N$87, _xlfn.XMATCH($C96, Factor!$C$41:$C$87, -1), 8)</f>
        <v>1120</v>
      </c>
      <c r="Z96" s="18" cm="1">
        <f t="array" ref="Z96">O96*VLOOKUP($G96, Factor!$C$4:$N$36, 9, 0)*INDEX(Factor!$C$41:$N$87, _xlfn.XMATCH($C96, Factor!$C$41:$C$87, -1), 9)</f>
        <v>8</v>
      </c>
      <c r="AA96" s="18" cm="1">
        <f t="array" ref="AA96">P96*VLOOKUP($G96, Factor!$C$4:$N$36, 10, 0)*INDEX(Factor!$C$41:$N$87, _xlfn.XMATCH($C96, Factor!$C$41:$C$87, -1), 10)</f>
        <v>1120</v>
      </c>
      <c r="AB96" s="18" cm="1">
        <f t="array" ref="AB96">Q96*VLOOKUP($G96, Factor!$C$4:$N$36, 11, 0)*INDEX(Factor!$C$41:$N$87, _xlfn.XMATCH($C96, Factor!$C$41:$C$87, -1), 11)</f>
        <v>12</v>
      </c>
      <c r="AC96" s="18" cm="1">
        <f t="array" ref="AC96">R96*VLOOKUP($G96, Factor!$C$4:$N$36, 12, 0)*INDEX(Factor!$C$41:$N$87, _xlfn.XMATCH($C96, Factor!$C$41:$C$87, -1), 12)</f>
        <v>4</v>
      </c>
      <c r="AD96" s="18"/>
    </row>
    <row r="97" spans="1:30" ht="15.75" customHeight="1" x14ac:dyDescent="0.2">
      <c r="A97" s="15" t="str">
        <f>"locomotive_"&amp; VLOOKUP(F97, Factor!$BK$4:$BL$6, 2, 0) &amp;"_"&amp;Locomotive!D97&amp;"_"&amp;VLOOKUP(E97, Factor!$BM$4:$BN$36, 2, 0)</f>
        <v>locomotive_Dz_T4_004</v>
      </c>
      <c r="B97" s="15" t="str">
        <f t="shared" si="2"/>
        <v>T4 화물 디젤기관차</v>
      </c>
      <c r="C97" s="15">
        <f>VLOOKUP(D97, Factor!$B$41:$C$50, 2, 0)</f>
        <v>40000</v>
      </c>
      <c r="D97" s="15" t="s">
        <v>323</v>
      </c>
      <c r="E97" s="41" t="s">
        <v>507</v>
      </c>
      <c r="F97" s="41" t="s">
        <v>503</v>
      </c>
      <c r="G97" s="41" t="str">
        <f t="shared" si="3"/>
        <v>화물 디젤</v>
      </c>
      <c r="H97" s="41">
        <v>1</v>
      </c>
      <c r="I97" s="41">
        <v>1</v>
      </c>
      <c r="J97" s="41">
        <v>1</v>
      </c>
      <c r="K97" s="41">
        <v>1</v>
      </c>
      <c r="L97" s="41">
        <v>1</v>
      </c>
      <c r="M97" s="41">
        <v>1</v>
      </c>
      <c r="N97" s="41">
        <v>1</v>
      </c>
      <c r="O97" s="41">
        <v>1</v>
      </c>
      <c r="P97" s="41">
        <v>1</v>
      </c>
      <c r="Q97" s="41">
        <v>1</v>
      </c>
      <c r="R97" s="41">
        <v>1</v>
      </c>
      <c r="S97" s="41" cm="1">
        <f t="array" ref="S97">H97*VLOOKUP($G97, Factor!$C$4:$N$36, 2, 0)*INDEX(Factor!$C$41:$N$87, _xlfn.XMATCH($C97, Factor!$C$41:$C$87, -1), 2)</f>
        <v>192</v>
      </c>
      <c r="T97" s="41" cm="1">
        <f t="array" ref="T97">I97*VLOOKUP($G97, Factor!$C$4:$N$36, 3, 0)*INDEX(Factor!$C$41:$N$87, _xlfn.XMATCH($C97, Factor!$C$41:$C$87, -1), 3)</f>
        <v>1920</v>
      </c>
      <c r="U97" s="41" cm="1">
        <f t="array" ref="U97">J97*VLOOKUP($G97, Factor!$C$4:$N$36, 4, 0)*INDEX(Factor!$C$41:$N$87, _xlfn.XMATCH($C97, Factor!$C$41:$C$87, -1), 4)</f>
        <v>5</v>
      </c>
      <c r="V97" s="41" cm="1">
        <f t="array" ref="V97">K97*VLOOKUP($G97, Factor!$C$4:$N$36, 5, 0)*INDEX(Factor!$C$41:$N$87, _xlfn.XMATCH($C97, Factor!$C$41:$C$87, -1), 5)</f>
        <v>9.6000000000000014</v>
      </c>
      <c r="W97" s="41" cm="1">
        <f t="array" ref="W97">L97*VLOOKUP($G97, Factor!$C$4:$N$36, 6, 0)*INDEX(Factor!$C$41:$N$87, _xlfn.XMATCH($C97, Factor!$C$41:$C$87, -1), 6)</f>
        <v>16</v>
      </c>
      <c r="X97" s="41" cm="1">
        <f t="array" ref="X97">M97*VLOOKUP($G97, Factor!$C$4:$N$36, 7, 0)*INDEX(Factor!$C$41:$N$87, _xlfn.XMATCH($C97, Factor!$C$41:$C$87, -1), 7)</f>
        <v>24000</v>
      </c>
      <c r="Y97" s="41" cm="1">
        <f t="array" ref="Y97">N97*VLOOKUP($G97, Factor!$C$4:$N$36, 8, 0)*INDEX(Factor!$C$41:$N$87, _xlfn.XMATCH($C97, Factor!$C$41:$C$87, -1), 8)</f>
        <v>1280</v>
      </c>
      <c r="Z97" s="41" cm="1">
        <f t="array" ref="Z97">O97*VLOOKUP($G97, Factor!$C$4:$N$36, 9, 0)*INDEX(Factor!$C$41:$N$87, _xlfn.XMATCH($C97, Factor!$C$41:$C$87, -1), 9)</f>
        <v>16</v>
      </c>
      <c r="AA97" s="41" cm="1">
        <f t="array" ref="AA97">P97*VLOOKUP($G97, Factor!$C$4:$N$36, 10, 0)*INDEX(Factor!$C$41:$N$87, _xlfn.XMATCH($C97, Factor!$C$41:$C$87, -1), 10)</f>
        <v>1280</v>
      </c>
      <c r="AB97" s="41" cm="1">
        <f t="array" ref="AB97">Q97*VLOOKUP($G97, Factor!$C$4:$N$36, 11, 0)*INDEX(Factor!$C$41:$N$87, _xlfn.XMATCH($C97, Factor!$C$41:$C$87, -1), 11)</f>
        <v>12</v>
      </c>
      <c r="AC97" s="41" cm="1">
        <f t="array" ref="AC97">R97*VLOOKUP($G97, Factor!$C$4:$N$36, 12, 0)*INDEX(Factor!$C$41:$N$87, _xlfn.XMATCH($C97, Factor!$C$41:$C$87, -1), 12)</f>
        <v>4</v>
      </c>
      <c r="AD97" s="41"/>
    </row>
    <row r="98" spans="1:30" ht="15.75" customHeight="1" x14ac:dyDescent="0.2">
      <c r="A98" s="18" t="str">
        <f>"locomotive_"&amp; VLOOKUP(F98, Factor!$BK$4:$BL$6, 2, 0) &amp;"_"&amp;Locomotive!D98&amp;"_"&amp;VLOOKUP(E98, Factor!$BM$4:$BN$36, 2, 0)</f>
        <v>locomotive_St_T4_005</v>
      </c>
      <c r="B98" s="18" t="str">
        <f t="shared" si="2"/>
        <v>T4 군용 증기기관차</v>
      </c>
      <c r="C98" s="18">
        <f>VLOOKUP(D98, Factor!$B$41:$C$50, 2, 0)</f>
        <v>40000</v>
      </c>
      <c r="D98" s="18" t="s">
        <v>323</v>
      </c>
      <c r="E98" s="18" t="s">
        <v>508</v>
      </c>
      <c r="F98" s="18" t="s">
        <v>505</v>
      </c>
      <c r="G98" s="18" t="str">
        <f t="shared" si="3"/>
        <v>군용 증기</v>
      </c>
      <c r="H98" s="18">
        <v>1</v>
      </c>
      <c r="I98" s="18">
        <v>1</v>
      </c>
      <c r="J98" s="18">
        <v>1</v>
      </c>
      <c r="K98" s="18">
        <v>1</v>
      </c>
      <c r="L98" s="18">
        <v>1</v>
      </c>
      <c r="M98" s="18">
        <v>1</v>
      </c>
      <c r="N98" s="18">
        <v>1</v>
      </c>
      <c r="O98" s="18">
        <v>1</v>
      </c>
      <c r="P98" s="18">
        <v>1</v>
      </c>
      <c r="Q98" s="18">
        <v>1</v>
      </c>
      <c r="R98" s="18">
        <v>1</v>
      </c>
      <c r="S98" s="18" cm="1">
        <f t="array" ref="S98">H98*VLOOKUP($G98, Factor!$C$4:$N$36, 2, 0)*INDEX(Factor!$C$41:$N$87, _xlfn.XMATCH($C98, Factor!$C$41:$C$87, -1), 2)</f>
        <v>144</v>
      </c>
      <c r="T98" s="18" cm="1">
        <f t="array" ref="T98">I98*VLOOKUP($G98, Factor!$C$4:$N$36, 3, 0)*INDEX(Factor!$C$41:$N$87, _xlfn.XMATCH($C98, Factor!$C$41:$C$87, -1), 3)</f>
        <v>2560</v>
      </c>
      <c r="U98" s="18" cm="1">
        <f t="array" ref="U98">J98*VLOOKUP($G98, Factor!$C$4:$N$36, 4, 0)*INDEX(Factor!$C$41:$N$87, _xlfn.XMATCH($C98, Factor!$C$41:$C$87, -1), 4)</f>
        <v>5</v>
      </c>
      <c r="V98" s="18" cm="1">
        <f t="array" ref="V98">K98*VLOOKUP($G98, Factor!$C$4:$N$36, 5, 0)*INDEX(Factor!$C$41:$N$87, _xlfn.XMATCH($C98, Factor!$C$41:$C$87, -1), 5)</f>
        <v>3.2</v>
      </c>
      <c r="W98" s="18" cm="1">
        <f t="array" ref="W98">L98*VLOOKUP($G98, Factor!$C$4:$N$36, 6, 0)*INDEX(Factor!$C$41:$N$87, _xlfn.XMATCH($C98, Factor!$C$41:$C$87, -1), 6)</f>
        <v>28.8</v>
      </c>
      <c r="X98" s="18" cm="1">
        <f t="array" ref="X98">M98*VLOOKUP($G98, Factor!$C$4:$N$36, 7, 0)*INDEX(Factor!$C$41:$N$87, _xlfn.XMATCH($C98, Factor!$C$41:$C$87, -1), 7)</f>
        <v>16000</v>
      </c>
      <c r="Y98" s="18" cm="1">
        <f t="array" ref="Y98">N98*VLOOKUP($G98, Factor!$C$4:$N$36, 8, 0)*INDEX(Factor!$C$41:$N$87, _xlfn.XMATCH($C98, Factor!$C$41:$C$87, -1), 8)</f>
        <v>1600</v>
      </c>
      <c r="Z98" s="18" cm="1">
        <f t="array" ref="Z98">O98*VLOOKUP($G98, Factor!$C$4:$N$36, 9, 0)*INDEX(Factor!$C$41:$N$87, _xlfn.XMATCH($C98, Factor!$C$41:$C$87, -1), 9)</f>
        <v>48</v>
      </c>
      <c r="AA98" s="18" cm="1">
        <f t="array" ref="AA98">P98*VLOOKUP($G98, Factor!$C$4:$N$36, 10, 0)*INDEX(Factor!$C$41:$N$87, _xlfn.XMATCH($C98, Factor!$C$41:$C$87, -1), 10)</f>
        <v>1600</v>
      </c>
      <c r="AB98" s="18" cm="1">
        <f t="array" ref="AB98">Q98*VLOOKUP($G98, Factor!$C$4:$N$36, 11, 0)*INDEX(Factor!$C$41:$N$87, _xlfn.XMATCH($C98, Factor!$C$41:$C$87, -1), 11)</f>
        <v>4</v>
      </c>
      <c r="AC98" s="18" cm="1">
        <f t="array" ref="AC98">R98*VLOOKUP($G98, Factor!$C$4:$N$36, 12, 0)*INDEX(Factor!$C$41:$N$87, _xlfn.XMATCH($C98, Factor!$C$41:$C$87, -1), 12)</f>
        <v>4</v>
      </c>
      <c r="AD98" s="18"/>
    </row>
    <row r="99" spans="1:30" ht="15.75" customHeight="1" x14ac:dyDescent="0.2">
      <c r="A99" s="15" t="str">
        <f>"locomotive_"&amp; VLOOKUP(F99, Factor!$BK$4:$BL$6, 2, 0) &amp;"_"&amp;Locomotive!D99&amp;"_"&amp;VLOOKUP(E99, Factor!$BM$4:$BN$36, 2, 0)</f>
        <v>locomotive_El_T4_005</v>
      </c>
      <c r="B99" s="15" t="str">
        <f t="shared" si="2"/>
        <v>T4 군용 전기기관차</v>
      </c>
      <c r="C99" s="15">
        <f>VLOOKUP(D99, Factor!$B$41:$C$50, 2, 0)</f>
        <v>40000</v>
      </c>
      <c r="D99" s="15" t="s">
        <v>323</v>
      </c>
      <c r="E99" s="41" t="s">
        <v>508</v>
      </c>
      <c r="F99" s="41" t="s">
        <v>502</v>
      </c>
      <c r="G99" s="41" t="str">
        <f t="shared" si="3"/>
        <v>군용 전기</v>
      </c>
      <c r="H99" s="41">
        <v>1</v>
      </c>
      <c r="I99" s="41">
        <v>1</v>
      </c>
      <c r="J99" s="41">
        <v>1</v>
      </c>
      <c r="K99" s="41">
        <v>1</v>
      </c>
      <c r="L99" s="41">
        <v>1</v>
      </c>
      <c r="M99" s="41">
        <v>1</v>
      </c>
      <c r="N99" s="41">
        <v>1</v>
      </c>
      <c r="O99" s="41">
        <v>1</v>
      </c>
      <c r="P99" s="41">
        <v>1</v>
      </c>
      <c r="Q99" s="41">
        <v>1</v>
      </c>
      <c r="R99" s="41">
        <v>1</v>
      </c>
      <c r="S99" s="41" cm="1">
        <f t="array" ref="S99">H99*VLOOKUP($G99, Factor!$C$4:$N$36, 2, 0)*INDEX(Factor!$C$41:$N$87, _xlfn.XMATCH($C99, Factor!$C$41:$C$87, -1), 2)</f>
        <v>272</v>
      </c>
      <c r="T99" s="41" cm="1">
        <f t="array" ref="T99">I99*VLOOKUP($G99, Factor!$C$4:$N$36, 3, 0)*INDEX(Factor!$C$41:$N$87, _xlfn.XMATCH($C99, Factor!$C$41:$C$87, -1), 3)</f>
        <v>1600</v>
      </c>
      <c r="U99" s="41" cm="1">
        <f t="array" ref="U99">J99*VLOOKUP($G99, Factor!$C$4:$N$36, 4, 0)*INDEX(Factor!$C$41:$N$87, _xlfn.XMATCH($C99, Factor!$C$41:$C$87, -1), 4)</f>
        <v>5</v>
      </c>
      <c r="V99" s="41" cm="1">
        <f t="array" ref="V99">K99*VLOOKUP($G99, Factor!$C$4:$N$36, 5, 0)*INDEX(Factor!$C$41:$N$87, _xlfn.XMATCH($C99, Factor!$C$41:$C$87, -1), 5)</f>
        <v>8</v>
      </c>
      <c r="W99" s="41" cm="1">
        <f t="array" ref="W99">L99*VLOOKUP($G99, Factor!$C$4:$N$36, 6, 0)*INDEX(Factor!$C$41:$N$87, _xlfn.XMATCH($C99, Factor!$C$41:$C$87, -1), 6)</f>
        <v>28.8</v>
      </c>
      <c r="X99" s="41" cm="1">
        <f t="array" ref="X99">M99*VLOOKUP($G99, Factor!$C$4:$N$36, 7, 0)*INDEX(Factor!$C$41:$N$87, _xlfn.XMATCH($C99, Factor!$C$41:$C$87, -1), 7)</f>
        <v>11200</v>
      </c>
      <c r="Y99" s="41" cm="1">
        <f t="array" ref="Y99">N99*VLOOKUP($G99, Factor!$C$4:$N$36, 8, 0)*INDEX(Factor!$C$41:$N$87, _xlfn.XMATCH($C99, Factor!$C$41:$C$87, -1), 8)</f>
        <v>1120</v>
      </c>
      <c r="Z99" s="41" cm="1">
        <f t="array" ref="Z99">O99*VLOOKUP($G99, Factor!$C$4:$N$36, 9, 0)*INDEX(Factor!$C$41:$N$87, _xlfn.XMATCH($C99, Factor!$C$41:$C$87, -1), 9)</f>
        <v>8</v>
      </c>
      <c r="AA99" s="41" cm="1">
        <f t="array" ref="AA99">P99*VLOOKUP($G99, Factor!$C$4:$N$36, 10, 0)*INDEX(Factor!$C$41:$N$87, _xlfn.XMATCH($C99, Factor!$C$41:$C$87, -1), 10)</f>
        <v>1120</v>
      </c>
      <c r="AB99" s="41" cm="1">
        <f t="array" ref="AB99">Q99*VLOOKUP($G99, Factor!$C$4:$N$36, 11, 0)*INDEX(Factor!$C$41:$N$87, _xlfn.XMATCH($C99, Factor!$C$41:$C$87, -1), 11)</f>
        <v>4</v>
      </c>
      <c r="AC99" s="41" cm="1">
        <f t="array" ref="AC99">R99*VLOOKUP($G99, Factor!$C$4:$N$36, 12, 0)*INDEX(Factor!$C$41:$N$87, _xlfn.XMATCH($C99, Factor!$C$41:$C$87, -1), 12)</f>
        <v>4</v>
      </c>
      <c r="AD99" s="41"/>
    </row>
    <row r="100" spans="1:30" ht="15.75" customHeight="1" x14ac:dyDescent="0.2">
      <c r="A100" s="18" t="str">
        <f>"locomotive_"&amp; VLOOKUP(F100, Factor!$BK$4:$BL$6, 2, 0) &amp;"_"&amp;Locomotive!D100&amp;"_"&amp;VLOOKUP(E100, Factor!$BM$4:$BN$36, 2, 0)</f>
        <v>locomotive_Dz_T4_005</v>
      </c>
      <c r="B100" s="18" t="str">
        <f t="shared" si="2"/>
        <v>T4 군용 디젤기관차</v>
      </c>
      <c r="C100" s="18">
        <f>VLOOKUP(D100, Factor!$B$41:$C$50, 2, 0)</f>
        <v>40000</v>
      </c>
      <c r="D100" s="18" t="s">
        <v>323</v>
      </c>
      <c r="E100" s="18" t="s">
        <v>508</v>
      </c>
      <c r="F100" s="18" t="s">
        <v>503</v>
      </c>
      <c r="G100" s="18" t="str">
        <f t="shared" si="3"/>
        <v>군용 디젤</v>
      </c>
      <c r="H100" s="18">
        <v>1</v>
      </c>
      <c r="I100" s="18">
        <v>1</v>
      </c>
      <c r="J100" s="18">
        <v>1</v>
      </c>
      <c r="K100" s="18">
        <v>1</v>
      </c>
      <c r="L100" s="18">
        <v>1</v>
      </c>
      <c r="M100" s="18">
        <v>1</v>
      </c>
      <c r="N100" s="18">
        <v>1</v>
      </c>
      <c r="O100" s="18">
        <v>1</v>
      </c>
      <c r="P100" s="18">
        <v>1</v>
      </c>
      <c r="Q100" s="18">
        <v>1</v>
      </c>
      <c r="R100" s="18">
        <v>1</v>
      </c>
      <c r="S100" s="18" cm="1">
        <f t="array" ref="S100">H100*VLOOKUP($G100, Factor!$C$4:$N$36, 2, 0)*INDEX(Factor!$C$41:$N$87, _xlfn.XMATCH($C100, Factor!$C$41:$C$87, -1), 2)</f>
        <v>176</v>
      </c>
      <c r="T100" s="18" cm="1">
        <f t="array" ref="T100">I100*VLOOKUP($G100, Factor!$C$4:$N$36, 3, 0)*INDEX(Factor!$C$41:$N$87, _xlfn.XMATCH($C100, Factor!$C$41:$C$87, -1), 3)</f>
        <v>2560</v>
      </c>
      <c r="U100" s="18" cm="1">
        <f t="array" ref="U100">J100*VLOOKUP($G100, Factor!$C$4:$N$36, 4, 0)*INDEX(Factor!$C$41:$N$87, _xlfn.XMATCH($C100, Factor!$C$41:$C$87, -1), 4)</f>
        <v>5</v>
      </c>
      <c r="V100" s="18" cm="1">
        <f t="array" ref="V100">K100*VLOOKUP($G100, Factor!$C$4:$N$36, 5, 0)*INDEX(Factor!$C$41:$N$87, _xlfn.XMATCH($C100, Factor!$C$41:$C$87, -1), 5)</f>
        <v>4.8000000000000007</v>
      </c>
      <c r="W100" s="18" cm="1">
        <f t="array" ref="W100">L100*VLOOKUP($G100, Factor!$C$4:$N$36, 6, 0)*INDEX(Factor!$C$41:$N$87, _xlfn.XMATCH($C100, Factor!$C$41:$C$87, -1), 6)</f>
        <v>28.8</v>
      </c>
      <c r="X100" s="18" cm="1">
        <f t="array" ref="X100">M100*VLOOKUP($G100, Factor!$C$4:$N$36, 7, 0)*INDEX(Factor!$C$41:$N$87, _xlfn.XMATCH($C100, Factor!$C$41:$C$87, -1), 7)</f>
        <v>24000</v>
      </c>
      <c r="Y100" s="18" cm="1">
        <f t="array" ref="Y100">N100*VLOOKUP($G100, Factor!$C$4:$N$36, 8, 0)*INDEX(Factor!$C$41:$N$87, _xlfn.XMATCH($C100, Factor!$C$41:$C$87, -1), 8)</f>
        <v>1280</v>
      </c>
      <c r="Z100" s="18" cm="1">
        <f t="array" ref="Z100">O100*VLOOKUP($G100, Factor!$C$4:$N$36, 9, 0)*INDEX(Factor!$C$41:$N$87, _xlfn.XMATCH($C100, Factor!$C$41:$C$87, -1), 9)</f>
        <v>16</v>
      </c>
      <c r="AA100" s="18" cm="1">
        <f t="array" ref="AA100">P100*VLOOKUP($G100, Factor!$C$4:$N$36, 10, 0)*INDEX(Factor!$C$41:$N$87, _xlfn.XMATCH($C100, Factor!$C$41:$C$87, -1), 10)</f>
        <v>1280</v>
      </c>
      <c r="AB100" s="18" cm="1">
        <f t="array" ref="AB100">Q100*VLOOKUP($G100, Factor!$C$4:$N$36, 11, 0)*INDEX(Factor!$C$41:$N$87, _xlfn.XMATCH($C100, Factor!$C$41:$C$87, -1), 11)</f>
        <v>4</v>
      </c>
      <c r="AC100" s="18" cm="1">
        <f t="array" ref="AC100">R100*VLOOKUP($G100, Factor!$C$4:$N$36, 12, 0)*INDEX(Factor!$C$41:$N$87, _xlfn.XMATCH($C100, Factor!$C$41:$C$87, -1), 12)</f>
        <v>4</v>
      </c>
      <c r="AD100" s="18"/>
    </row>
    <row r="101" spans="1:30" ht="15.75" customHeight="1" x14ac:dyDescent="0.2">
      <c r="A101" s="15" t="str">
        <f>"locomotive_"&amp; VLOOKUP(F101, Factor!$BK$4:$BL$6, 2, 0) &amp;"_"&amp;Locomotive!D101&amp;"_"&amp;VLOOKUP(E101, Factor!$BM$4:$BN$36, 2, 0)</f>
        <v>locomotive_St_T4_006</v>
      </c>
      <c r="B101" s="15" t="str">
        <f t="shared" si="2"/>
        <v>T4 여객 증기기관차</v>
      </c>
      <c r="C101" s="15">
        <f>VLOOKUP(D101, Factor!$B$41:$C$50, 2, 0)</f>
        <v>40000</v>
      </c>
      <c r="D101" s="15" t="s">
        <v>323</v>
      </c>
      <c r="E101" s="41" t="s">
        <v>509</v>
      </c>
      <c r="F101" s="41" t="s">
        <v>505</v>
      </c>
      <c r="G101" s="41" t="str">
        <f t="shared" si="3"/>
        <v>여객 증기</v>
      </c>
      <c r="H101" s="41">
        <v>1</v>
      </c>
      <c r="I101" s="41">
        <v>1</v>
      </c>
      <c r="J101" s="41">
        <v>1</v>
      </c>
      <c r="K101" s="41">
        <v>1</v>
      </c>
      <c r="L101" s="41">
        <v>1</v>
      </c>
      <c r="M101" s="41">
        <v>1</v>
      </c>
      <c r="N101" s="41">
        <v>1</v>
      </c>
      <c r="O101" s="41">
        <v>1</v>
      </c>
      <c r="P101" s="41">
        <v>1</v>
      </c>
      <c r="Q101" s="41">
        <v>1</v>
      </c>
      <c r="R101" s="41">
        <v>1</v>
      </c>
      <c r="S101" s="41" cm="1">
        <f t="array" ref="S101">H101*VLOOKUP($G101, Factor!$C$4:$N$36, 2, 0)*INDEX(Factor!$C$41:$N$87, _xlfn.XMATCH($C101, Factor!$C$41:$C$87, -1), 2)</f>
        <v>160</v>
      </c>
      <c r="T101" s="41" cm="1">
        <f t="array" ref="T101">I101*VLOOKUP($G101, Factor!$C$4:$N$36, 3, 0)*INDEX(Factor!$C$41:$N$87, _xlfn.XMATCH($C101, Factor!$C$41:$C$87, -1), 3)</f>
        <v>1600</v>
      </c>
      <c r="U101" s="41" cm="1">
        <f t="array" ref="U101">J101*VLOOKUP($G101, Factor!$C$4:$N$36, 4, 0)*INDEX(Factor!$C$41:$N$87, _xlfn.XMATCH($C101, Factor!$C$41:$C$87, -1), 4)</f>
        <v>5</v>
      </c>
      <c r="V101" s="41" cm="1">
        <f t="array" ref="V101">K101*VLOOKUP($G101, Factor!$C$4:$N$36, 5, 0)*INDEX(Factor!$C$41:$N$87, _xlfn.XMATCH($C101, Factor!$C$41:$C$87, -1), 5)</f>
        <v>6.4</v>
      </c>
      <c r="W101" s="41" cm="1">
        <f t="array" ref="W101">L101*VLOOKUP($G101, Factor!$C$4:$N$36, 6, 0)*INDEX(Factor!$C$41:$N$87, _xlfn.XMATCH($C101, Factor!$C$41:$C$87, -1), 6)</f>
        <v>16</v>
      </c>
      <c r="X101" s="41" cm="1">
        <f t="array" ref="X101">M101*VLOOKUP($G101, Factor!$C$4:$N$36, 7, 0)*INDEX(Factor!$C$41:$N$87, _xlfn.XMATCH($C101, Factor!$C$41:$C$87, -1), 7)</f>
        <v>16000</v>
      </c>
      <c r="Y101" s="41" cm="1">
        <f t="array" ref="Y101">N101*VLOOKUP($G101, Factor!$C$4:$N$36, 8, 0)*INDEX(Factor!$C$41:$N$87, _xlfn.XMATCH($C101, Factor!$C$41:$C$87, -1), 8)</f>
        <v>1440</v>
      </c>
      <c r="Z101" s="41" cm="1">
        <f t="array" ref="Z101">O101*VLOOKUP($G101, Factor!$C$4:$N$36, 9, 0)*INDEX(Factor!$C$41:$N$87, _xlfn.XMATCH($C101, Factor!$C$41:$C$87, -1), 9)</f>
        <v>40</v>
      </c>
      <c r="AA101" s="41" cm="1">
        <f t="array" ref="AA101">P101*VLOOKUP($G101, Factor!$C$4:$N$36, 10, 0)*INDEX(Factor!$C$41:$N$87, _xlfn.XMATCH($C101, Factor!$C$41:$C$87, -1), 10)</f>
        <v>1440</v>
      </c>
      <c r="AB101" s="41" cm="1">
        <f t="array" ref="AB101">Q101*VLOOKUP($G101, Factor!$C$4:$N$36, 11, 0)*INDEX(Factor!$C$41:$N$87, _xlfn.XMATCH($C101, Factor!$C$41:$C$87, -1), 11)</f>
        <v>4</v>
      </c>
      <c r="AC101" s="41" cm="1">
        <f t="array" ref="AC101">R101*VLOOKUP($G101, Factor!$C$4:$N$36, 12, 0)*INDEX(Factor!$C$41:$N$87, _xlfn.XMATCH($C101, Factor!$C$41:$C$87, -1), 12)</f>
        <v>12</v>
      </c>
      <c r="AD101" s="41"/>
    </row>
    <row r="102" spans="1:30" ht="15.75" customHeight="1" x14ac:dyDescent="0.2">
      <c r="A102" s="18" t="str">
        <f>"locomotive_"&amp; VLOOKUP(F102, Factor!$BK$4:$BL$6, 2, 0) &amp;"_"&amp;Locomotive!D102&amp;"_"&amp;VLOOKUP(E102, Factor!$BM$4:$BN$36, 2, 0)</f>
        <v>locomotive_El_T4_006</v>
      </c>
      <c r="B102" s="18" t="str">
        <f t="shared" si="2"/>
        <v>T4 여객 전기기관차</v>
      </c>
      <c r="C102" s="18">
        <f>VLOOKUP(D102, Factor!$B$41:$C$50, 2, 0)</f>
        <v>40000</v>
      </c>
      <c r="D102" s="18" t="s">
        <v>323</v>
      </c>
      <c r="E102" s="18" t="s">
        <v>509</v>
      </c>
      <c r="F102" s="18" t="s">
        <v>502</v>
      </c>
      <c r="G102" s="18" t="str">
        <f t="shared" si="3"/>
        <v>여객 전기</v>
      </c>
      <c r="H102" s="18">
        <v>1</v>
      </c>
      <c r="I102" s="18">
        <v>1</v>
      </c>
      <c r="J102" s="18">
        <v>1</v>
      </c>
      <c r="K102" s="18">
        <v>1</v>
      </c>
      <c r="L102" s="18">
        <v>1</v>
      </c>
      <c r="M102" s="18">
        <v>1</v>
      </c>
      <c r="N102" s="18">
        <v>1</v>
      </c>
      <c r="O102" s="18">
        <v>1</v>
      </c>
      <c r="P102" s="18">
        <v>1</v>
      </c>
      <c r="Q102" s="18">
        <v>1</v>
      </c>
      <c r="R102" s="18">
        <v>1</v>
      </c>
      <c r="S102" s="18" cm="1">
        <f t="array" ref="S102">H102*VLOOKUP($G102, Factor!$C$4:$N$36, 2, 0)*INDEX(Factor!$C$41:$N$87, _xlfn.XMATCH($C102, Factor!$C$41:$C$87, -1), 2)</f>
        <v>320</v>
      </c>
      <c r="T102" s="18" cm="1">
        <f t="array" ref="T102">I102*VLOOKUP($G102, Factor!$C$4:$N$36, 3, 0)*INDEX(Factor!$C$41:$N$87, _xlfn.XMATCH($C102, Factor!$C$41:$C$87, -1), 3)</f>
        <v>1280</v>
      </c>
      <c r="U102" s="18" cm="1">
        <f t="array" ref="U102">J102*VLOOKUP($G102, Factor!$C$4:$N$36, 4, 0)*INDEX(Factor!$C$41:$N$87, _xlfn.XMATCH($C102, Factor!$C$41:$C$87, -1), 4)</f>
        <v>5</v>
      </c>
      <c r="V102" s="18" cm="1">
        <f t="array" ref="V102">K102*VLOOKUP($G102, Factor!$C$4:$N$36, 5, 0)*INDEX(Factor!$C$41:$N$87, _xlfn.XMATCH($C102, Factor!$C$41:$C$87, -1), 5)</f>
        <v>12.8</v>
      </c>
      <c r="W102" s="18" cm="1">
        <f t="array" ref="W102">L102*VLOOKUP($G102, Factor!$C$4:$N$36, 6, 0)*INDEX(Factor!$C$41:$N$87, _xlfn.XMATCH($C102, Factor!$C$41:$C$87, -1), 6)</f>
        <v>16</v>
      </c>
      <c r="X102" s="18" cm="1">
        <f t="array" ref="X102">M102*VLOOKUP($G102, Factor!$C$4:$N$36, 7, 0)*INDEX(Factor!$C$41:$N$87, _xlfn.XMATCH($C102, Factor!$C$41:$C$87, -1), 7)</f>
        <v>11200</v>
      </c>
      <c r="Y102" s="18" cm="1">
        <f t="array" ref="Y102">N102*VLOOKUP($G102, Factor!$C$4:$N$36, 8, 0)*INDEX(Factor!$C$41:$N$87, _xlfn.XMATCH($C102, Factor!$C$41:$C$87, -1), 8)</f>
        <v>960</v>
      </c>
      <c r="Z102" s="18" cm="1">
        <f t="array" ref="Z102">O102*VLOOKUP($G102, Factor!$C$4:$N$36, 9, 0)*INDEX(Factor!$C$41:$N$87, _xlfn.XMATCH($C102, Factor!$C$41:$C$87, -1), 9)</f>
        <v>6.4</v>
      </c>
      <c r="AA102" s="18" cm="1">
        <f t="array" ref="AA102">P102*VLOOKUP($G102, Factor!$C$4:$N$36, 10, 0)*INDEX(Factor!$C$41:$N$87, _xlfn.XMATCH($C102, Factor!$C$41:$C$87, -1), 10)</f>
        <v>960</v>
      </c>
      <c r="AB102" s="18" cm="1">
        <f t="array" ref="AB102">Q102*VLOOKUP($G102, Factor!$C$4:$N$36, 11, 0)*INDEX(Factor!$C$41:$N$87, _xlfn.XMATCH($C102, Factor!$C$41:$C$87, -1), 11)</f>
        <v>4</v>
      </c>
      <c r="AC102" s="18" cm="1">
        <f t="array" ref="AC102">R102*VLOOKUP($G102, Factor!$C$4:$N$36, 12, 0)*INDEX(Factor!$C$41:$N$87, _xlfn.XMATCH($C102, Factor!$C$41:$C$87, -1), 12)</f>
        <v>12</v>
      </c>
      <c r="AD102" s="18"/>
    </row>
    <row r="103" spans="1:30" ht="15.75" customHeight="1" x14ac:dyDescent="0.2">
      <c r="A103" s="15" t="str">
        <f>"locomotive_"&amp; VLOOKUP(F103, Factor!$BK$4:$BL$6, 2, 0) &amp;"_"&amp;Locomotive!D103&amp;"_"&amp;VLOOKUP(E103, Factor!$BM$4:$BN$36, 2, 0)</f>
        <v>locomotive_Dz_T4_006</v>
      </c>
      <c r="B103" s="15" t="str">
        <f t="shared" si="2"/>
        <v>T4 여객 디젤기관차</v>
      </c>
      <c r="C103" s="15">
        <f>VLOOKUP(D103, Factor!$B$41:$C$50, 2, 0)</f>
        <v>40000</v>
      </c>
      <c r="D103" s="15" t="s">
        <v>323</v>
      </c>
      <c r="E103" s="41" t="s">
        <v>509</v>
      </c>
      <c r="F103" s="41" t="s">
        <v>503</v>
      </c>
      <c r="G103" s="41" t="str">
        <f t="shared" si="3"/>
        <v>여객 디젤</v>
      </c>
      <c r="H103" s="41">
        <v>1</v>
      </c>
      <c r="I103" s="41">
        <v>1</v>
      </c>
      <c r="J103" s="41">
        <v>1</v>
      </c>
      <c r="K103" s="41">
        <v>1</v>
      </c>
      <c r="L103" s="41">
        <v>1</v>
      </c>
      <c r="M103" s="41">
        <v>1</v>
      </c>
      <c r="N103" s="41">
        <v>1</v>
      </c>
      <c r="O103" s="41">
        <v>1</v>
      </c>
      <c r="P103" s="41">
        <v>1</v>
      </c>
      <c r="Q103" s="41">
        <v>1</v>
      </c>
      <c r="R103" s="41">
        <v>1</v>
      </c>
      <c r="S103" s="41" cm="1">
        <f t="array" ref="S103">H103*VLOOKUP($G103, Factor!$C$4:$N$36, 2, 0)*INDEX(Factor!$C$41:$N$87, _xlfn.XMATCH($C103, Factor!$C$41:$C$87, -1), 2)</f>
        <v>240</v>
      </c>
      <c r="T103" s="41" cm="1">
        <f t="array" ref="T103">I103*VLOOKUP($G103, Factor!$C$4:$N$36, 3, 0)*INDEX(Factor!$C$41:$N$87, _xlfn.XMATCH($C103, Factor!$C$41:$C$87, -1), 3)</f>
        <v>1920</v>
      </c>
      <c r="U103" s="41" cm="1">
        <f t="array" ref="U103">J103*VLOOKUP($G103, Factor!$C$4:$N$36, 4, 0)*INDEX(Factor!$C$41:$N$87, _xlfn.XMATCH($C103, Factor!$C$41:$C$87, -1), 4)</f>
        <v>5</v>
      </c>
      <c r="V103" s="41" cm="1">
        <f t="array" ref="V103">K103*VLOOKUP($G103, Factor!$C$4:$N$36, 5, 0)*INDEX(Factor!$C$41:$N$87, _xlfn.XMATCH($C103, Factor!$C$41:$C$87, -1), 5)</f>
        <v>9.6000000000000014</v>
      </c>
      <c r="W103" s="41" cm="1">
        <f t="array" ref="W103">L103*VLOOKUP($G103, Factor!$C$4:$N$36, 6, 0)*INDEX(Factor!$C$41:$N$87, _xlfn.XMATCH($C103, Factor!$C$41:$C$87, -1), 6)</f>
        <v>16</v>
      </c>
      <c r="X103" s="41" cm="1">
        <f t="array" ref="X103">M103*VLOOKUP($G103, Factor!$C$4:$N$36, 7, 0)*INDEX(Factor!$C$41:$N$87, _xlfn.XMATCH($C103, Factor!$C$41:$C$87, -1), 7)</f>
        <v>24000</v>
      </c>
      <c r="Y103" s="41" cm="1">
        <f t="array" ref="Y103">N103*VLOOKUP($G103, Factor!$C$4:$N$36, 8, 0)*INDEX(Factor!$C$41:$N$87, _xlfn.XMATCH($C103, Factor!$C$41:$C$87, -1), 8)</f>
        <v>1120</v>
      </c>
      <c r="Z103" s="41" cm="1">
        <f t="array" ref="Z103">O103*VLOOKUP($G103, Factor!$C$4:$N$36, 9, 0)*INDEX(Factor!$C$41:$N$87, _xlfn.XMATCH($C103, Factor!$C$41:$C$87, -1), 9)</f>
        <v>11.200000000000001</v>
      </c>
      <c r="AA103" s="41" cm="1">
        <f t="array" ref="AA103">P103*VLOOKUP($G103, Factor!$C$4:$N$36, 10, 0)*INDEX(Factor!$C$41:$N$87, _xlfn.XMATCH($C103, Factor!$C$41:$C$87, -1), 10)</f>
        <v>1120</v>
      </c>
      <c r="AB103" s="41" cm="1">
        <f t="array" ref="AB103">Q103*VLOOKUP($G103, Factor!$C$4:$N$36, 11, 0)*INDEX(Factor!$C$41:$N$87, _xlfn.XMATCH($C103, Factor!$C$41:$C$87, -1), 11)</f>
        <v>4</v>
      </c>
      <c r="AC103" s="41" cm="1">
        <f t="array" ref="AC103">R103*VLOOKUP($G103, Factor!$C$4:$N$36, 12, 0)*INDEX(Factor!$C$41:$N$87, _xlfn.XMATCH($C103, Factor!$C$41:$C$87, -1), 12)</f>
        <v>12</v>
      </c>
      <c r="AD103" s="41"/>
    </row>
    <row r="104" spans="1:30" ht="15.75" customHeight="1" x14ac:dyDescent="0.2">
      <c r="A104" s="18" t="str">
        <f>"locomotive_"&amp; VLOOKUP(F104, Factor!$BK$4:$BL$6, 2, 0) &amp;"_"&amp;Locomotive!D104&amp;"_"&amp;VLOOKUP(E104, Factor!$BM$4:$BN$36, 2, 0)</f>
        <v>locomotive_St_T4_007</v>
      </c>
      <c r="B104" s="18" t="str">
        <f t="shared" si="2"/>
        <v>T4 시운 증기기관차</v>
      </c>
      <c r="C104" s="18">
        <f>VLOOKUP(D104, Factor!$B$41:$C$50, 2, 0)</f>
        <v>40000</v>
      </c>
      <c r="D104" s="18" t="s">
        <v>323</v>
      </c>
      <c r="E104" s="18" t="s">
        <v>510</v>
      </c>
      <c r="F104" s="18" t="s">
        <v>505</v>
      </c>
      <c r="G104" s="18" t="str">
        <f t="shared" si="3"/>
        <v>시운 증기</v>
      </c>
      <c r="H104" s="18">
        <v>1</v>
      </c>
      <c r="I104" s="18">
        <v>1</v>
      </c>
      <c r="J104" s="18">
        <v>1</v>
      </c>
      <c r="K104" s="18">
        <v>1</v>
      </c>
      <c r="L104" s="18">
        <v>1</v>
      </c>
      <c r="M104" s="18">
        <v>1</v>
      </c>
      <c r="N104" s="18">
        <v>1</v>
      </c>
      <c r="O104" s="18">
        <v>1</v>
      </c>
      <c r="P104" s="18">
        <v>1</v>
      </c>
      <c r="Q104" s="18">
        <v>1</v>
      </c>
      <c r="R104" s="18">
        <v>1</v>
      </c>
      <c r="S104" s="18" cm="1">
        <f t="array" ref="S104">H104*VLOOKUP($G104, Factor!$C$4:$N$36, 2, 0)*INDEX(Factor!$C$41:$N$87, _xlfn.XMATCH($C104, Factor!$C$41:$C$87, -1), 2)</f>
        <v>160</v>
      </c>
      <c r="T104" s="18" cm="1">
        <f t="array" ref="T104">I104*VLOOKUP($G104, Factor!$C$4:$N$36, 3, 0)*INDEX(Factor!$C$41:$N$87, _xlfn.XMATCH($C104, Factor!$C$41:$C$87, -1), 3)</f>
        <v>1600</v>
      </c>
      <c r="U104" s="18" cm="1">
        <f t="array" ref="U104">J104*VLOOKUP($G104, Factor!$C$4:$N$36, 4, 0)*INDEX(Factor!$C$41:$N$87, _xlfn.XMATCH($C104, Factor!$C$41:$C$87, -1), 4)</f>
        <v>5</v>
      </c>
      <c r="V104" s="18" cm="1">
        <f t="array" ref="V104">K104*VLOOKUP($G104, Factor!$C$4:$N$36, 5, 0)*INDEX(Factor!$C$41:$N$87, _xlfn.XMATCH($C104, Factor!$C$41:$C$87, -1), 5)</f>
        <v>9.6000000000000014</v>
      </c>
      <c r="W104" s="18" cm="1">
        <f t="array" ref="W104">L104*VLOOKUP($G104, Factor!$C$4:$N$36, 6, 0)*INDEX(Factor!$C$41:$N$87, _xlfn.XMATCH($C104, Factor!$C$41:$C$87, -1), 6)</f>
        <v>16</v>
      </c>
      <c r="X104" s="18" cm="1">
        <f t="array" ref="X104">M104*VLOOKUP($G104, Factor!$C$4:$N$36, 7, 0)*INDEX(Factor!$C$41:$N$87, _xlfn.XMATCH($C104, Factor!$C$41:$C$87, -1), 7)</f>
        <v>16000</v>
      </c>
      <c r="Y104" s="18" cm="1">
        <f t="array" ref="Y104">N104*VLOOKUP($G104, Factor!$C$4:$N$36, 8, 0)*INDEX(Factor!$C$41:$N$87, _xlfn.XMATCH($C104, Factor!$C$41:$C$87, -1), 8)</f>
        <v>800</v>
      </c>
      <c r="Z104" s="18" cm="1">
        <f t="array" ref="Z104">O104*VLOOKUP($G104, Factor!$C$4:$N$36, 9, 0)*INDEX(Factor!$C$41:$N$87, _xlfn.XMATCH($C104, Factor!$C$41:$C$87, -1), 9)</f>
        <v>48</v>
      </c>
      <c r="AA104" s="18" cm="1">
        <f t="array" ref="AA104">P104*VLOOKUP($G104, Factor!$C$4:$N$36, 10, 0)*INDEX(Factor!$C$41:$N$87, _xlfn.XMATCH($C104, Factor!$C$41:$C$87, -1), 10)</f>
        <v>3200</v>
      </c>
      <c r="AB104" s="18" cm="1">
        <f t="array" ref="AB104">Q104*VLOOKUP($G104, Factor!$C$4:$N$36, 11, 0)*INDEX(Factor!$C$41:$N$87, _xlfn.XMATCH($C104, Factor!$C$41:$C$87, -1), 11)</f>
        <v>4</v>
      </c>
      <c r="AC104" s="18" cm="1">
        <f t="array" ref="AC104">R104*VLOOKUP($G104, Factor!$C$4:$N$36, 12, 0)*INDEX(Factor!$C$41:$N$87, _xlfn.XMATCH($C104, Factor!$C$41:$C$87, -1), 12)</f>
        <v>4</v>
      </c>
      <c r="AD104" s="18"/>
    </row>
    <row r="105" spans="1:30" ht="15.75" customHeight="1" x14ac:dyDescent="0.2">
      <c r="A105" s="15" t="str">
        <f>"locomotive_"&amp; VLOOKUP(F105, Factor!$BK$4:$BL$6, 2, 0) &amp;"_"&amp;Locomotive!D105&amp;"_"&amp;VLOOKUP(E105, Factor!$BM$4:$BN$36, 2, 0)</f>
        <v>locomotive_El_T4_007</v>
      </c>
      <c r="B105" s="15" t="str">
        <f t="shared" si="2"/>
        <v>T4 시운 전기기관차</v>
      </c>
      <c r="C105" s="15">
        <f>VLOOKUP(D105, Factor!$B$41:$C$50, 2, 0)</f>
        <v>40000</v>
      </c>
      <c r="D105" s="15" t="s">
        <v>323</v>
      </c>
      <c r="E105" s="41" t="s">
        <v>510</v>
      </c>
      <c r="F105" s="41" t="s">
        <v>502</v>
      </c>
      <c r="G105" s="41" t="str">
        <f t="shared" si="3"/>
        <v>시운 전기</v>
      </c>
      <c r="H105" s="41">
        <v>1</v>
      </c>
      <c r="I105" s="41">
        <v>1</v>
      </c>
      <c r="J105" s="41">
        <v>1</v>
      </c>
      <c r="K105" s="41">
        <v>1</v>
      </c>
      <c r="L105" s="41">
        <v>1</v>
      </c>
      <c r="M105" s="41">
        <v>1</v>
      </c>
      <c r="N105" s="41">
        <v>1</v>
      </c>
      <c r="O105" s="41">
        <v>1</v>
      </c>
      <c r="P105" s="41">
        <v>1</v>
      </c>
      <c r="Q105" s="41">
        <v>1</v>
      </c>
      <c r="R105" s="41">
        <v>1</v>
      </c>
      <c r="S105" s="41" cm="1">
        <f t="array" ref="S105">H105*VLOOKUP($G105, Factor!$C$4:$N$36, 2, 0)*INDEX(Factor!$C$41:$N$87, _xlfn.XMATCH($C105, Factor!$C$41:$C$87, -1), 2)</f>
        <v>320</v>
      </c>
      <c r="T105" s="41" cm="1">
        <f t="array" ref="T105">I105*VLOOKUP($G105, Factor!$C$4:$N$36, 3, 0)*INDEX(Factor!$C$41:$N$87, _xlfn.XMATCH($C105, Factor!$C$41:$C$87, -1), 3)</f>
        <v>1280</v>
      </c>
      <c r="U105" s="41" cm="1">
        <f t="array" ref="U105">J105*VLOOKUP($G105, Factor!$C$4:$N$36, 4, 0)*INDEX(Factor!$C$41:$N$87, _xlfn.XMATCH($C105, Factor!$C$41:$C$87, -1), 4)</f>
        <v>5</v>
      </c>
      <c r="V105" s="41" cm="1">
        <f t="array" ref="V105">K105*VLOOKUP($G105, Factor!$C$4:$N$36, 5, 0)*INDEX(Factor!$C$41:$N$87, _xlfn.XMATCH($C105, Factor!$C$41:$C$87, -1), 5)</f>
        <v>16</v>
      </c>
      <c r="W105" s="41" cm="1">
        <f t="array" ref="W105">L105*VLOOKUP($G105, Factor!$C$4:$N$36, 6, 0)*INDEX(Factor!$C$41:$N$87, _xlfn.XMATCH($C105, Factor!$C$41:$C$87, -1), 6)</f>
        <v>16</v>
      </c>
      <c r="X105" s="41" cm="1">
        <f t="array" ref="X105">M105*VLOOKUP($G105, Factor!$C$4:$N$36, 7, 0)*INDEX(Factor!$C$41:$N$87, _xlfn.XMATCH($C105, Factor!$C$41:$C$87, -1), 7)</f>
        <v>11200</v>
      </c>
      <c r="Y105" s="41" cm="1">
        <f t="array" ref="Y105">N105*VLOOKUP($G105, Factor!$C$4:$N$36, 8, 0)*INDEX(Factor!$C$41:$N$87, _xlfn.XMATCH($C105, Factor!$C$41:$C$87, -1), 8)</f>
        <v>480</v>
      </c>
      <c r="Z105" s="41" cm="1">
        <f t="array" ref="Z105">O105*VLOOKUP($G105, Factor!$C$4:$N$36, 9, 0)*INDEX(Factor!$C$41:$N$87, _xlfn.XMATCH($C105, Factor!$C$41:$C$87, -1), 9)</f>
        <v>8</v>
      </c>
      <c r="AA105" s="41" cm="1">
        <f t="array" ref="AA105">P105*VLOOKUP($G105, Factor!$C$4:$N$36, 10, 0)*INDEX(Factor!$C$41:$N$87, _xlfn.XMATCH($C105, Factor!$C$41:$C$87, -1), 10)</f>
        <v>1600</v>
      </c>
      <c r="AB105" s="41" cm="1">
        <f t="array" ref="AB105">Q105*VLOOKUP($G105, Factor!$C$4:$N$36, 11, 0)*INDEX(Factor!$C$41:$N$87, _xlfn.XMATCH($C105, Factor!$C$41:$C$87, -1), 11)</f>
        <v>4</v>
      </c>
      <c r="AC105" s="41" cm="1">
        <f t="array" ref="AC105">R105*VLOOKUP($G105, Factor!$C$4:$N$36, 12, 0)*INDEX(Factor!$C$41:$N$87, _xlfn.XMATCH($C105, Factor!$C$41:$C$87, -1), 12)</f>
        <v>4</v>
      </c>
      <c r="AD105" s="41"/>
    </row>
    <row r="106" spans="1:30" ht="15.75" customHeight="1" x14ac:dyDescent="0.2">
      <c r="A106" s="18" t="str">
        <f>"locomotive_"&amp; VLOOKUP(F106, Factor!$BK$4:$BL$6, 2, 0) &amp;"_"&amp;Locomotive!D106&amp;"_"&amp;VLOOKUP(E106, Factor!$BM$4:$BN$36, 2, 0)</f>
        <v>locomotive_Dz_T4_007</v>
      </c>
      <c r="B106" s="18" t="str">
        <f t="shared" si="2"/>
        <v>T4 시운 디젤기관차</v>
      </c>
      <c r="C106" s="18">
        <f>VLOOKUP(D106, Factor!$B$41:$C$50, 2, 0)</f>
        <v>40000</v>
      </c>
      <c r="D106" s="18" t="s">
        <v>323</v>
      </c>
      <c r="E106" s="18" t="s">
        <v>510</v>
      </c>
      <c r="F106" s="18" t="s">
        <v>503</v>
      </c>
      <c r="G106" s="18" t="str">
        <f t="shared" si="3"/>
        <v>시운 디젤</v>
      </c>
      <c r="H106" s="18">
        <v>1</v>
      </c>
      <c r="I106" s="18">
        <v>1</v>
      </c>
      <c r="J106" s="18">
        <v>1</v>
      </c>
      <c r="K106" s="18">
        <v>1</v>
      </c>
      <c r="L106" s="18">
        <v>1</v>
      </c>
      <c r="M106" s="18">
        <v>1</v>
      </c>
      <c r="N106" s="18">
        <v>1</v>
      </c>
      <c r="O106" s="18">
        <v>1</v>
      </c>
      <c r="P106" s="18">
        <v>1</v>
      </c>
      <c r="Q106" s="18">
        <v>1</v>
      </c>
      <c r="R106" s="18">
        <v>1</v>
      </c>
      <c r="S106" s="18" cm="1">
        <f t="array" ref="S106">H106*VLOOKUP($G106, Factor!$C$4:$N$36, 2, 0)*INDEX(Factor!$C$41:$N$87, _xlfn.XMATCH($C106, Factor!$C$41:$C$87, -1), 2)</f>
        <v>240</v>
      </c>
      <c r="T106" s="18" cm="1">
        <f t="array" ref="T106">I106*VLOOKUP($G106, Factor!$C$4:$N$36, 3, 0)*INDEX(Factor!$C$41:$N$87, _xlfn.XMATCH($C106, Factor!$C$41:$C$87, -1), 3)</f>
        <v>1920</v>
      </c>
      <c r="U106" s="18" cm="1">
        <f t="array" ref="U106">J106*VLOOKUP($G106, Factor!$C$4:$N$36, 4, 0)*INDEX(Factor!$C$41:$N$87, _xlfn.XMATCH($C106, Factor!$C$41:$C$87, -1), 4)</f>
        <v>5</v>
      </c>
      <c r="V106" s="18" cm="1">
        <f t="array" ref="V106">K106*VLOOKUP($G106, Factor!$C$4:$N$36, 5, 0)*INDEX(Factor!$C$41:$N$87, _xlfn.XMATCH($C106, Factor!$C$41:$C$87, -1), 5)</f>
        <v>12.8</v>
      </c>
      <c r="W106" s="18" cm="1">
        <f t="array" ref="W106">L106*VLOOKUP($G106, Factor!$C$4:$N$36, 6, 0)*INDEX(Factor!$C$41:$N$87, _xlfn.XMATCH($C106, Factor!$C$41:$C$87, -1), 6)</f>
        <v>16</v>
      </c>
      <c r="X106" s="18" cm="1">
        <f t="array" ref="X106">M106*VLOOKUP($G106, Factor!$C$4:$N$36, 7, 0)*INDEX(Factor!$C$41:$N$87, _xlfn.XMATCH($C106, Factor!$C$41:$C$87, -1), 7)</f>
        <v>24000</v>
      </c>
      <c r="Y106" s="18" cm="1">
        <f t="array" ref="Y106">N106*VLOOKUP($G106, Factor!$C$4:$N$36, 8, 0)*INDEX(Factor!$C$41:$N$87, _xlfn.XMATCH($C106, Factor!$C$41:$C$87, -1), 8)</f>
        <v>640</v>
      </c>
      <c r="Z106" s="18" cm="1">
        <f t="array" ref="Z106">O106*VLOOKUP($G106, Factor!$C$4:$N$36, 9, 0)*INDEX(Factor!$C$41:$N$87, _xlfn.XMATCH($C106, Factor!$C$41:$C$87, -1), 9)</f>
        <v>16</v>
      </c>
      <c r="AA106" s="18" cm="1">
        <f t="array" ref="AA106">P106*VLOOKUP($G106, Factor!$C$4:$N$36, 10, 0)*INDEX(Factor!$C$41:$N$87, _xlfn.XMATCH($C106, Factor!$C$41:$C$87, -1), 10)</f>
        <v>2400</v>
      </c>
      <c r="AB106" s="18" cm="1">
        <f t="array" ref="AB106">Q106*VLOOKUP($G106, Factor!$C$4:$N$36, 11, 0)*INDEX(Factor!$C$41:$N$87, _xlfn.XMATCH($C106, Factor!$C$41:$C$87, -1), 11)</f>
        <v>4</v>
      </c>
      <c r="AC106" s="18" cm="1">
        <f t="array" ref="AC106">R106*VLOOKUP($G106, Factor!$C$4:$N$36, 12, 0)*INDEX(Factor!$C$41:$N$87, _xlfn.XMATCH($C106, Factor!$C$41:$C$87, -1), 12)</f>
        <v>4</v>
      </c>
      <c r="AD106" s="18"/>
    </row>
    <row r="107" spans="1:30" ht="15.75" customHeight="1" x14ac:dyDescent="0.2">
      <c r="A107" s="15" t="str">
        <f>"locomotive_"&amp; VLOOKUP(F107, Factor!$BK$4:$BL$6, 2, 0) &amp;"_"&amp;Locomotive!D107&amp;"_"&amp;VLOOKUP(E107, Factor!$BM$4:$BN$36, 2, 0)</f>
        <v>locomotive_St_T4_008</v>
      </c>
      <c r="B107" s="15" t="str">
        <f t="shared" si="2"/>
        <v>T4 경량 증기기관차</v>
      </c>
      <c r="C107" s="15">
        <f>VLOOKUP(D107, Factor!$B$41:$C$50, 2, 0)</f>
        <v>40000</v>
      </c>
      <c r="D107" s="15" t="s">
        <v>323</v>
      </c>
      <c r="E107" s="41" t="s">
        <v>511</v>
      </c>
      <c r="F107" s="41" t="s">
        <v>505</v>
      </c>
      <c r="G107" s="41" t="str">
        <f t="shared" si="3"/>
        <v>경량 증기</v>
      </c>
      <c r="H107" s="41">
        <v>1</v>
      </c>
      <c r="I107" s="41">
        <v>1</v>
      </c>
      <c r="J107" s="41">
        <v>1</v>
      </c>
      <c r="K107" s="41">
        <v>1</v>
      </c>
      <c r="L107" s="41">
        <v>1</v>
      </c>
      <c r="M107" s="41">
        <v>1</v>
      </c>
      <c r="N107" s="41">
        <v>1</v>
      </c>
      <c r="O107" s="41">
        <v>1</v>
      </c>
      <c r="P107" s="41">
        <v>1</v>
      </c>
      <c r="Q107" s="41">
        <v>1</v>
      </c>
      <c r="R107" s="41">
        <v>1</v>
      </c>
      <c r="S107" s="41" cm="1">
        <f t="array" ref="S107">H107*VLOOKUP($G107, Factor!$C$4:$N$36, 2, 0)*INDEX(Factor!$C$41:$N$87, _xlfn.XMATCH($C107, Factor!$C$41:$C$87, -1), 2)</f>
        <v>160</v>
      </c>
      <c r="T107" s="41" cm="1">
        <f t="array" ref="T107">I107*VLOOKUP($G107, Factor!$C$4:$N$36, 3, 0)*INDEX(Factor!$C$41:$N$87, _xlfn.XMATCH($C107, Factor!$C$41:$C$87, -1), 3)</f>
        <v>1440</v>
      </c>
      <c r="U107" s="41" cm="1">
        <f t="array" ref="U107">J107*VLOOKUP($G107, Factor!$C$4:$N$36, 4, 0)*INDEX(Factor!$C$41:$N$87, _xlfn.XMATCH($C107, Factor!$C$41:$C$87, -1), 4)</f>
        <v>5</v>
      </c>
      <c r="V107" s="41" cm="1">
        <f t="array" ref="V107">K107*VLOOKUP($G107, Factor!$C$4:$N$36, 5, 0)*INDEX(Factor!$C$41:$N$87, _xlfn.XMATCH($C107, Factor!$C$41:$C$87, -1), 5)</f>
        <v>8</v>
      </c>
      <c r="W107" s="41" cm="1">
        <f t="array" ref="W107">L107*VLOOKUP($G107, Factor!$C$4:$N$36, 6, 0)*INDEX(Factor!$C$41:$N$87, _xlfn.XMATCH($C107, Factor!$C$41:$C$87, -1), 6)</f>
        <v>16</v>
      </c>
      <c r="X107" s="41" cm="1">
        <f t="array" ref="X107">M107*VLOOKUP($G107, Factor!$C$4:$N$36, 7, 0)*INDEX(Factor!$C$41:$N$87, _xlfn.XMATCH($C107, Factor!$C$41:$C$87, -1), 7)</f>
        <v>12800</v>
      </c>
      <c r="Y107" s="41" cm="1">
        <f t="array" ref="Y107">N107*VLOOKUP($G107, Factor!$C$4:$N$36, 8, 0)*INDEX(Factor!$C$41:$N$87, _xlfn.XMATCH($C107, Factor!$C$41:$C$87, -1), 8)</f>
        <v>1600</v>
      </c>
      <c r="Z107" s="41" cm="1">
        <f t="array" ref="Z107">O107*VLOOKUP($G107, Factor!$C$4:$N$36, 9, 0)*INDEX(Factor!$C$41:$N$87, _xlfn.XMATCH($C107, Factor!$C$41:$C$87, -1), 9)</f>
        <v>48</v>
      </c>
      <c r="AA107" s="41" cm="1">
        <f t="array" ref="AA107">P107*VLOOKUP($G107, Factor!$C$4:$N$36, 10, 0)*INDEX(Factor!$C$41:$N$87, _xlfn.XMATCH($C107, Factor!$C$41:$C$87, -1), 10)</f>
        <v>1600</v>
      </c>
      <c r="AB107" s="41" cm="1">
        <f t="array" ref="AB107">Q107*VLOOKUP($G107, Factor!$C$4:$N$36, 11, 0)*INDEX(Factor!$C$41:$N$87, _xlfn.XMATCH($C107, Factor!$C$41:$C$87, -1), 11)</f>
        <v>4</v>
      </c>
      <c r="AC107" s="41" cm="1">
        <f t="array" ref="AC107">R107*VLOOKUP($G107, Factor!$C$4:$N$36, 12, 0)*INDEX(Factor!$C$41:$N$87, _xlfn.XMATCH($C107, Factor!$C$41:$C$87, -1), 12)</f>
        <v>4</v>
      </c>
      <c r="AD107" s="41"/>
    </row>
    <row r="108" spans="1:30" ht="15.75" customHeight="1" x14ac:dyDescent="0.2">
      <c r="A108" s="18" t="str">
        <f>"locomotive_"&amp; VLOOKUP(F108, Factor!$BK$4:$BL$6, 2, 0) &amp;"_"&amp;Locomotive!D108&amp;"_"&amp;VLOOKUP(E108, Factor!$BM$4:$BN$36, 2, 0)</f>
        <v>locomotive_El_T4_008</v>
      </c>
      <c r="B108" s="18" t="str">
        <f t="shared" si="2"/>
        <v>T4 경량 전기기관차</v>
      </c>
      <c r="C108" s="18">
        <f>VLOOKUP(D108, Factor!$B$41:$C$50, 2, 0)</f>
        <v>40000</v>
      </c>
      <c r="D108" s="18" t="s">
        <v>323</v>
      </c>
      <c r="E108" s="18" t="s">
        <v>511</v>
      </c>
      <c r="F108" s="18" t="s">
        <v>502</v>
      </c>
      <c r="G108" s="18" t="str">
        <f t="shared" si="3"/>
        <v>경량 전기</v>
      </c>
      <c r="H108" s="18">
        <v>1</v>
      </c>
      <c r="I108" s="18">
        <v>1</v>
      </c>
      <c r="J108" s="18">
        <v>1</v>
      </c>
      <c r="K108" s="18">
        <v>1</v>
      </c>
      <c r="L108" s="18">
        <v>1</v>
      </c>
      <c r="M108" s="18">
        <v>1</v>
      </c>
      <c r="N108" s="18">
        <v>1</v>
      </c>
      <c r="O108" s="18">
        <v>1</v>
      </c>
      <c r="P108" s="18">
        <v>1</v>
      </c>
      <c r="Q108" s="18">
        <v>1</v>
      </c>
      <c r="R108" s="18">
        <v>1</v>
      </c>
      <c r="S108" s="18" cm="1">
        <f t="array" ref="S108">H108*VLOOKUP($G108, Factor!$C$4:$N$36, 2, 0)*INDEX(Factor!$C$41:$N$87, _xlfn.XMATCH($C108, Factor!$C$41:$C$87, -1), 2)</f>
        <v>320</v>
      </c>
      <c r="T108" s="18" cm="1">
        <f t="array" ref="T108">I108*VLOOKUP($G108, Factor!$C$4:$N$36, 3, 0)*INDEX(Factor!$C$41:$N$87, _xlfn.XMATCH($C108, Factor!$C$41:$C$87, -1), 3)</f>
        <v>1120</v>
      </c>
      <c r="U108" s="18" cm="1">
        <f t="array" ref="U108">J108*VLOOKUP($G108, Factor!$C$4:$N$36, 4, 0)*INDEX(Factor!$C$41:$N$87, _xlfn.XMATCH($C108, Factor!$C$41:$C$87, -1), 4)</f>
        <v>5</v>
      </c>
      <c r="V108" s="18" cm="1">
        <f t="array" ref="V108">K108*VLOOKUP($G108, Factor!$C$4:$N$36, 5, 0)*INDEX(Factor!$C$41:$N$87, _xlfn.XMATCH($C108, Factor!$C$41:$C$87, -1), 5)</f>
        <v>14.4</v>
      </c>
      <c r="W108" s="18" cm="1">
        <f t="array" ref="W108">L108*VLOOKUP($G108, Factor!$C$4:$N$36, 6, 0)*INDEX(Factor!$C$41:$N$87, _xlfn.XMATCH($C108, Factor!$C$41:$C$87, -1), 6)</f>
        <v>16</v>
      </c>
      <c r="X108" s="18" cm="1">
        <f t="array" ref="X108">M108*VLOOKUP($G108, Factor!$C$4:$N$36, 7, 0)*INDEX(Factor!$C$41:$N$87, _xlfn.XMATCH($C108, Factor!$C$41:$C$87, -1), 7)</f>
        <v>8000</v>
      </c>
      <c r="Y108" s="18" cm="1">
        <f t="array" ref="Y108">N108*VLOOKUP($G108, Factor!$C$4:$N$36, 8, 0)*INDEX(Factor!$C$41:$N$87, _xlfn.XMATCH($C108, Factor!$C$41:$C$87, -1), 8)</f>
        <v>1120</v>
      </c>
      <c r="Z108" s="18" cm="1">
        <f t="array" ref="Z108">O108*VLOOKUP($G108, Factor!$C$4:$N$36, 9, 0)*INDEX(Factor!$C$41:$N$87, _xlfn.XMATCH($C108, Factor!$C$41:$C$87, -1), 9)</f>
        <v>8</v>
      </c>
      <c r="AA108" s="18" cm="1">
        <f t="array" ref="AA108">P108*VLOOKUP($G108, Factor!$C$4:$N$36, 10, 0)*INDEX(Factor!$C$41:$N$87, _xlfn.XMATCH($C108, Factor!$C$41:$C$87, -1), 10)</f>
        <v>1120</v>
      </c>
      <c r="AB108" s="18" cm="1">
        <f t="array" ref="AB108">Q108*VLOOKUP($G108, Factor!$C$4:$N$36, 11, 0)*INDEX(Factor!$C$41:$N$87, _xlfn.XMATCH($C108, Factor!$C$41:$C$87, -1), 11)</f>
        <v>4</v>
      </c>
      <c r="AC108" s="18" cm="1">
        <f t="array" ref="AC108">R108*VLOOKUP($G108, Factor!$C$4:$N$36, 12, 0)*INDEX(Factor!$C$41:$N$87, _xlfn.XMATCH($C108, Factor!$C$41:$C$87, -1), 12)</f>
        <v>4</v>
      </c>
      <c r="AD108" s="18"/>
    </row>
    <row r="109" spans="1:30" ht="15.75" customHeight="1" x14ac:dyDescent="0.2">
      <c r="A109" s="15" t="str">
        <f>"locomotive_"&amp; VLOOKUP(F109, Factor!$BK$4:$BL$6, 2, 0) &amp;"_"&amp;Locomotive!D109&amp;"_"&amp;VLOOKUP(E109, Factor!$BM$4:$BN$36, 2, 0)</f>
        <v>locomotive_Dz_T4_008</v>
      </c>
      <c r="B109" s="15" t="str">
        <f t="shared" si="2"/>
        <v>T4 경량 디젤기관차</v>
      </c>
      <c r="C109" s="15">
        <f>VLOOKUP(D109, Factor!$B$41:$C$50, 2, 0)</f>
        <v>40000</v>
      </c>
      <c r="D109" s="15" t="s">
        <v>323</v>
      </c>
      <c r="E109" s="41" t="s">
        <v>511</v>
      </c>
      <c r="F109" s="41" t="s">
        <v>503</v>
      </c>
      <c r="G109" s="41" t="str">
        <f t="shared" si="3"/>
        <v>경량 디젤</v>
      </c>
      <c r="H109" s="41">
        <v>1</v>
      </c>
      <c r="I109" s="41">
        <v>1</v>
      </c>
      <c r="J109" s="41">
        <v>1</v>
      </c>
      <c r="K109" s="41">
        <v>1</v>
      </c>
      <c r="L109" s="41">
        <v>1</v>
      </c>
      <c r="M109" s="41">
        <v>1</v>
      </c>
      <c r="N109" s="41">
        <v>1</v>
      </c>
      <c r="O109" s="41">
        <v>1</v>
      </c>
      <c r="P109" s="41">
        <v>1</v>
      </c>
      <c r="Q109" s="41">
        <v>1</v>
      </c>
      <c r="R109" s="41">
        <v>1</v>
      </c>
      <c r="S109" s="41" cm="1">
        <f t="array" ref="S109">H109*VLOOKUP($G109, Factor!$C$4:$N$36, 2, 0)*INDEX(Factor!$C$41:$N$87, _xlfn.XMATCH($C109, Factor!$C$41:$C$87, -1), 2)</f>
        <v>240</v>
      </c>
      <c r="T109" s="41" cm="1">
        <f t="array" ref="T109">I109*VLOOKUP($G109, Factor!$C$4:$N$36, 3, 0)*INDEX(Factor!$C$41:$N$87, _xlfn.XMATCH($C109, Factor!$C$41:$C$87, -1), 3)</f>
        <v>1760</v>
      </c>
      <c r="U109" s="41" cm="1">
        <f t="array" ref="U109">J109*VLOOKUP($G109, Factor!$C$4:$N$36, 4, 0)*INDEX(Factor!$C$41:$N$87, _xlfn.XMATCH($C109, Factor!$C$41:$C$87, -1), 4)</f>
        <v>5</v>
      </c>
      <c r="V109" s="41" cm="1">
        <f t="array" ref="V109">K109*VLOOKUP($G109, Factor!$C$4:$N$36, 5, 0)*INDEX(Factor!$C$41:$N$87, _xlfn.XMATCH($C109, Factor!$C$41:$C$87, -1), 5)</f>
        <v>11.200000000000001</v>
      </c>
      <c r="W109" s="41" cm="1">
        <f t="array" ref="W109">L109*VLOOKUP($G109, Factor!$C$4:$N$36, 6, 0)*INDEX(Factor!$C$41:$N$87, _xlfn.XMATCH($C109, Factor!$C$41:$C$87, -1), 6)</f>
        <v>16</v>
      </c>
      <c r="X109" s="41" cm="1">
        <f t="array" ref="X109">M109*VLOOKUP($G109, Factor!$C$4:$N$36, 7, 0)*INDEX(Factor!$C$41:$N$87, _xlfn.XMATCH($C109, Factor!$C$41:$C$87, -1), 7)</f>
        <v>19200</v>
      </c>
      <c r="Y109" s="41" cm="1">
        <f t="array" ref="Y109">N109*VLOOKUP($G109, Factor!$C$4:$N$36, 8, 0)*INDEX(Factor!$C$41:$N$87, _xlfn.XMATCH($C109, Factor!$C$41:$C$87, -1), 8)</f>
        <v>1280</v>
      </c>
      <c r="Z109" s="41" cm="1">
        <f t="array" ref="Z109">O109*VLOOKUP($G109, Factor!$C$4:$N$36, 9, 0)*INDEX(Factor!$C$41:$N$87, _xlfn.XMATCH($C109, Factor!$C$41:$C$87, -1), 9)</f>
        <v>16</v>
      </c>
      <c r="AA109" s="41" cm="1">
        <f t="array" ref="AA109">P109*VLOOKUP($G109, Factor!$C$4:$N$36, 10, 0)*INDEX(Factor!$C$41:$N$87, _xlfn.XMATCH($C109, Factor!$C$41:$C$87, -1), 10)</f>
        <v>1280</v>
      </c>
      <c r="AB109" s="41" cm="1">
        <f t="array" ref="AB109">Q109*VLOOKUP($G109, Factor!$C$4:$N$36, 11, 0)*INDEX(Factor!$C$41:$N$87, _xlfn.XMATCH($C109, Factor!$C$41:$C$87, -1), 11)</f>
        <v>4</v>
      </c>
      <c r="AC109" s="41" cm="1">
        <f t="array" ref="AC109">R109*VLOOKUP($G109, Factor!$C$4:$N$36, 12, 0)*INDEX(Factor!$C$41:$N$87, _xlfn.XMATCH($C109, Factor!$C$41:$C$87, -1), 12)</f>
        <v>4</v>
      </c>
      <c r="AD109" s="41"/>
    </row>
    <row r="110" spans="1:30" ht="15.75" customHeight="1" x14ac:dyDescent="0.2">
      <c r="A110" s="18" t="str">
        <f>"locomotive_"&amp; VLOOKUP(F110, Factor!$BK$4:$BL$6, 2, 0) &amp;"_"&amp;Locomotive!D110&amp;"_"&amp;VLOOKUP(E110, Factor!$BM$4:$BN$36, 2, 0)</f>
        <v>locomotive_St_T4_009</v>
      </c>
      <c r="B110" s="18" t="str">
        <f t="shared" si="2"/>
        <v>T4 견인 증기기관차</v>
      </c>
      <c r="C110" s="18">
        <f>VLOOKUP(D110, Factor!$B$41:$C$50, 2, 0)</f>
        <v>40000</v>
      </c>
      <c r="D110" s="18" t="s">
        <v>323</v>
      </c>
      <c r="E110" s="18" t="s">
        <v>512</v>
      </c>
      <c r="F110" s="18" t="s">
        <v>505</v>
      </c>
      <c r="G110" s="18" t="str">
        <f t="shared" si="3"/>
        <v>견인 증기</v>
      </c>
      <c r="H110" s="18">
        <v>1</v>
      </c>
      <c r="I110" s="18">
        <v>1</v>
      </c>
      <c r="J110" s="18">
        <v>1</v>
      </c>
      <c r="K110" s="18">
        <v>1</v>
      </c>
      <c r="L110" s="18">
        <v>1</v>
      </c>
      <c r="M110" s="18">
        <v>1</v>
      </c>
      <c r="N110" s="18">
        <v>1</v>
      </c>
      <c r="O110" s="18">
        <v>1</v>
      </c>
      <c r="P110" s="18">
        <v>1</v>
      </c>
      <c r="Q110" s="18">
        <v>1</v>
      </c>
      <c r="R110" s="18">
        <v>1</v>
      </c>
      <c r="S110" s="18" cm="1">
        <f t="array" ref="S110">H110*VLOOKUP($G110, Factor!$C$4:$N$36, 2, 0)*INDEX(Factor!$C$41:$N$87, _xlfn.XMATCH($C110, Factor!$C$41:$C$87, -1), 2)</f>
        <v>144</v>
      </c>
      <c r="T110" s="18" cm="1">
        <f t="array" ref="T110">I110*VLOOKUP($G110, Factor!$C$4:$N$36, 3, 0)*INDEX(Factor!$C$41:$N$87, _xlfn.XMATCH($C110, Factor!$C$41:$C$87, -1), 3)</f>
        <v>1600</v>
      </c>
      <c r="U110" s="18" cm="1">
        <f t="array" ref="U110">J110*VLOOKUP($G110, Factor!$C$4:$N$36, 4, 0)*INDEX(Factor!$C$41:$N$87, _xlfn.XMATCH($C110, Factor!$C$41:$C$87, -1), 4)</f>
        <v>5</v>
      </c>
      <c r="V110" s="18" cm="1">
        <f t="array" ref="V110">K110*VLOOKUP($G110, Factor!$C$4:$N$36, 5, 0)*INDEX(Factor!$C$41:$N$87, _xlfn.XMATCH($C110, Factor!$C$41:$C$87, -1), 5)</f>
        <v>4.8000000000000007</v>
      </c>
      <c r="W110" s="18" cm="1">
        <f t="array" ref="W110">L110*VLOOKUP($G110, Factor!$C$4:$N$36, 6, 0)*INDEX(Factor!$C$41:$N$87, _xlfn.XMATCH($C110, Factor!$C$41:$C$87, -1), 6)</f>
        <v>16</v>
      </c>
      <c r="X110" s="18" cm="1">
        <f t="array" ref="X110">M110*VLOOKUP($G110, Factor!$C$4:$N$36, 7, 0)*INDEX(Factor!$C$41:$N$87, _xlfn.XMATCH($C110, Factor!$C$41:$C$87, -1), 7)</f>
        <v>24000</v>
      </c>
      <c r="Y110" s="18" cm="1">
        <f t="array" ref="Y110">N110*VLOOKUP($G110, Factor!$C$4:$N$36, 8, 0)*INDEX(Factor!$C$41:$N$87, _xlfn.XMATCH($C110, Factor!$C$41:$C$87, -1), 8)</f>
        <v>1600</v>
      </c>
      <c r="Z110" s="18" cm="1">
        <f t="array" ref="Z110">O110*VLOOKUP($G110, Factor!$C$4:$N$36, 9, 0)*INDEX(Factor!$C$41:$N$87, _xlfn.XMATCH($C110, Factor!$C$41:$C$87, -1), 9)</f>
        <v>48</v>
      </c>
      <c r="AA110" s="18" cm="1">
        <f t="array" ref="AA110">P110*VLOOKUP($G110, Factor!$C$4:$N$36, 10, 0)*INDEX(Factor!$C$41:$N$87, _xlfn.XMATCH($C110, Factor!$C$41:$C$87, -1), 10)</f>
        <v>1600</v>
      </c>
      <c r="AB110" s="18" cm="1">
        <f t="array" ref="AB110">Q110*VLOOKUP($G110, Factor!$C$4:$N$36, 11, 0)*INDEX(Factor!$C$41:$N$87, _xlfn.XMATCH($C110, Factor!$C$41:$C$87, -1), 11)</f>
        <v>4</v>
      </c>
      <c r="AC110" s="18" cm="1">
        <f t="array" ref="AC110">R110*VLOOKUP($G110, Factor!$C$4:$N$36, 12, 0)*INDEX(Factor!$C$41:$N$87, _xlfn.XMATCH($C110, Factor!$C$41:$C$87, -1), 12)</f>
        <v>4</v>
      </c>
      <c r="AD110" s="18"/>
    </row>
    <row r="111" spans="1:30" ht="15.75" customHeight="1" x14ac:dyDescent="0.2">
      <c r="A111" s="15" t="str">
        <f>"locomotive_"&amp; VLOOKUP(F111, Factor!$BK$4:$BL$6, 2, 0) &amp;"_"&amp;Locomotive!D111&amp;"_"&amp;VLOOKUP(E111, Factor!$BM$4:$BN$36, 2, 0)</f>
        <v>locomotive_El_T4_009</v>
      </c>
      <c r="B111" s="15" t="str">
        <f t="shared" si="2"/>
        <v>T4 견인 전기기관차</v>
      </c>
      <c r="C111" s="15">
        <f>VLOOKUP(D111, Factor!$B$41:$C$50, 2, 0)</f>
        <v>40000</v>
      </c>
      <c r="D111" s="15" t="s">
        <v>323</v>
      </c>
      <c r="E111" s="41" t="s">
        <v>512</v>
      </c>
      <c r="F111" s="41" t="s">
        <v>502</v>
      </c>
      <c r="G111" s="41" t="str">
        <f t="shared" si="3"/>
        <v>견인 전기</v>
      </c>
      <c r="H111" s="41">
        <v>1</v>
      </c>
      <c r="I111" s="41">
        <v>1</v>
      </c>
      <c r="J111" s="41">
        <v>1</v>
      </c>
      <c r="K111" s="41">
        <v>1</v>
      </c>
      <c r="L111" s="41">
        <v>1</v>
      </c>
      <c r="M111" s="41">
        <v>1</v>
      </c>
      <c r="N111" s="41">
        <v>1</v>
      </c>
      <c r="O111" s="41">
        <v>1</v>
      </c>
      <c r="P111" s="41">
        <v>1</v>
      </c>
      <c r="Q111" s="41">
        <v>1</v>
      </c>
      <c r="R111" s="41">
        <v>1</v>
      </c>
      <c r="S111" s="41" cm="1">
        <f t="array" ref="S111">H111*VLOOKUP($G111, Factor!$C$4:$N$36, 2, 0)*INDEX(Factor!$C$41:$N$87, _xlfn.XMATCH($C111, Factor!$C$41:$C$87, -1), 2)</f>
        <v>288</v>
      </c>
      <c r="T111" s="41" cm="1">
        <f t="array" ref="T111">I111*VLOOKUP($G111, Factor!$C$4:$N$36, 3, 0)*INDEX(Factor!$C$41:$N$87, _xlfn.XMATCH($C111, Factor!$C$41:$C$87, -1), 3)</f>
        <v>1280</v>
      </c>
      <c r="U111" s="41" cm="1">
        <f t="array" ref="U111">J111*VLOOKUP($G111, Factor!$C$4:$N$36, 4, 0)*INDEX(Factor!$C$41:$N$87, _xlfn.XMATCH($C111, Factor!$C$41:$C$87, -1), 4)</f>
        <v>5</v>
      </c>
      <c r="V111" s="41" cm="1">
        <f t="array" ref="V111">K111*VLOOKUP($G111, Factor!$C$4:$N$36, 5, 0)*INDEX(Factor!$C$41:$N$87, _xlfn.XMATCH($C111, Factor!$C$41:$C$87, -1), 5)</f>
        <v>11.200000000000001</v>
      </c>
      <c r="W111" s="41" cm="1">
        <f t="array" ref="W111">L111*VLOOKUP($G111, Factor!$C$4:$N$36, 6, 0)*INDEX(Factor!$C$41:$N$87, _xlfn.XMATCH($C111, Factor!$C$41:$C$87, -1), 6)</f>
        <v>16</v>
      </c>
      <c r="X111" s="41" cm="1">
        <f t="array" ref="X111">M111*VLOOKUP($G111, Factor!$C$4:$N$36, 7, 0)*INDEX(Factor!$C$41:$N$87, _xlfn.XMATCH($C111, Factor!$C$41:$C$87, -1), 7)</f>
        <v>19200</v>
      </c>
      <c r="Y111" s="41" cm="1">
        <f t="array" ref="Y111">N111*VLOOKUP($G111, Factor!$C$4:$N$36, 8, 0)*INDEX(Factor!$C$41:$N$87, _xlfn.XMATCH($C111, Factor!$C$41:$C$87, -1), 8)</f>
        <v>1120</v>
      </c>
      <c r="Z111" s="41" cm="1">
        <f t="array" ref="Z111">O111*VLOOKUP($G111, Factor!$C$4:$N$36, 9, 0)*INDEX(Factor!$C$41:$N$87, _xlfn.XMATCH($C111, Factor!$C$41:$C$87, -1), 9)</f>
        <v>8</v>
      </c>
      <c r="AA111" s="41" cm="1">
        <f t="array" ref="AA111">P111*VLOOKUP($G111, Factor!$C$4:$N$36, 10, 0)*INDEX(Factor!$C$41:$N$87, _xlfn.XMATCH($C111, Factor!$C$41:$C$87, -1), 10)</f>
        <v>1120</v>
      </c>
      <c r="AB111" s="41" cm="1">
        <f t="array" ref="AB111">Q111*VLOOKUP($G111, Factor!$C$4:$N$36, 11, 0)*INDEX(Factor!$C$41:$N$87, _xlfn.XMATCH($C111, Factor!$C$41:$C$87, -1), 11)</f>
        <v>4</v>
      </c>
      <c r="AC111" s="41" cm="1">
        <f t="array" ref="AC111">R111*VLOOKUP($G111, Factor!$C$4:$N$36, 12, 0)*INDEX(Factor!$C$41:$N$87, _xlfn.XMATCH($C111, Factor!$C$41:$C$87, -1), 12)</f>
        <v>4</v>
      </c>
      <c r="AD111" s="41"/>
    </row>
    <row r="112" spans="1:30" ht="15.75" customHeight="1" x14ac:dyDescent="0.2">
      <c r="A112" s="18" t="str">
        <f>"locomotive_"&amp; VLOOKUP(F112, Factor!$BK$4:$BL$6, 2, 0) &amp;"_"&amp;Locomotive!D112&amp;"_"&amp;VLOOKUP(E112, Factor!$BM$4:$BN$36, 2, 0)</f>
        <v>locomotive_Dz_T4_009</v>
      </c>
      <c r="B112" s="18" t="str">
        <f t="shared" si="2"/>
        <v>T4 견인 디젤기관차</v>
      </c>
      <c r="C112" s="18">
        <f>VLOOKUP(D112, Factor!$B$41:$C$50, 2, 0)</f>
        <v>40000</v>
      </c>
      <c r="D112" s="18" t="s">
        <v>323</v>
      </c>
      <c r="E112" s="18" t="s">
        <v>512</v>
      </c>
      <c r="F112" s="18" t="s">
        <v>503</v>
      </c>
      <c r="G112" s="18" t="str">
        <f t="shared" si="3"/>
        <v>견인 디젤</v>
      </c>
      <c r="H112" s="18">
        <v>1</v>
      </c>
      <c r="I112" s="18">
        <v>1</v>
      </c>
      <c r="J112" s="18">
        <v>1</v>
      </c>
      <c r="K112" s="18">
        <v>1</v>
      </c>
      <c r="L112" s="18">
        <v>1</v>
      </c>
      <c r="M112" s="18">
        <v>1</v>
      </c>
      <c r="N112" s="18">
        <v>1</v>
      </c>
      <c r="O112" s="18">
        <v>1</v>
      </c>
      <c r="P112" s="18">
        <v>1</v>
      </c>
      <c r="Q112" s="18">
        <v>1</v>
      </c>
      <c r="R112" s="18">
        <v>1</v>
      </c>
      <c r="S112" s="18" cm="1">
        <f t="array" ref="S112">H112*VLOOKUP($G112, Factor!$C$4:$N$36, 2, 0)*INDEX(Factor!$C$41:$N$87, _xlfn.XMATCH($C112, Factor!$C$41:$C$87, -1), 2)</f>
        <v>192</v>
      </c>
      <c r="T112" s="18" cm="1">
        <f t="array" ref="T112">I112*VLOOKUP($G112, Factor!$C$4:$N$36, 3, 0)*INDEX(Factor!$C$41:$N$87, _xlfn.XMATCH($C112, Factor!$C$41:$C$87, -1), 3)</f>
        <v>1920</v>
      </c>
      <c r="U112" s="18" cm="1">
        <f t="array" ref="U112">J112*VLOOKUP($G112, Factor!$C$4:$N$36, 4, 0)*INDEX(Factor!$C$41:$N$87, _xlfn.XMATCH($C112, Factor!$C$41:$C$87, -1), 4)</f>
        <v>5</v>
      </c>
      <c r="V112" s="18" cm="1">
        <f t="array" ref="V112">K112*VLOOKUP($G112, Factor!$C$4:$N$36, 5, 0)*INDEX(Factor!$C$41:$N$87, _xlfn.XMATCH($C112, Factor!$C$41:$C$87, -1), 5)</f>
        <v>8</v>
      </c>
      <c r="W112" s="18" cm="1">
        <f t="array" ref="W112">L112*VLOOKUP($G112, Factor!$C$4:$N$36, 6, 0)*INDEX(Factor!$C$41:$N$87, _xlfn.XMATCH($C112, Factor!$C$41:$C$87, -1), 6)</f>
        <v>16</v>
      </c>
      <c r="X112" s="18" cm="1">
        <f t="array" ref="X112">M112*VLOOKUP($G112, Factor!$C$4:$N$36, 7, 0)*INDEX(Factor!$C$41:$N$87, _xlfn.XMATCH($C112, Factor!$C$41:$C$87, -1), 7)</f>
        <v>32000</v>
      </c>
      <c r="Y112" s="18" cm="1">
        <f t="array" ref="Y112">N112*VLOOKUP($G112, Factor!$C$4:$N$36, 8, 0)*INDEX(Factor!$C$41:$N$87, _xlfn.XMATCH($C112, Factor!$C$41:$C$87, -1), 8)</f>
        <v>1280</v>
      </c>
      <c r="Z112" s="18" cm="1">
        <f t="array" ref="Z112">O112*VLOOKUP($G112, Factor!$C$4:$N$36, 9, 0)*INDEX(Factor!$C$41:$N$87, _xlfn.XMATCH($C112, Factor!$C$41:$C$87, -1), 9)</f>
        <v>16</v>
      </c>
      <c r="AA112" s="18" cm="1">
        <f t="array" ref="AA112">P112*VLOOKUP($G112, Factor!$C$4:$N$36, 10, 0)*INDEX(Factor!$C$41:$N$87, _xlfn.XMATCH($C112, Factor!$C$41:$C$87, -1), 10)</f>
        <v>1280</v>
      </c>
      <c r="AB112" s="18" cm="1">
        <f t="array" ref="AB112">Q112*VLOOKUP($G112, Factor!$C$4:$N$36, 11, 0)*INDEX(Factor!$C$41:$N$87, _xlfn.XMATCH($C112, Factor!$C$41:$C$87, -1), 11)</f>
        <v>4</v>
      </c>
      <c r="AC112" s="18" cm="1">
        <f t="array" ref="AC112">R112*VLOOKUP($G112, Factor!$C$4:$N$36, 12, 0)*INDEX(Factor!$C$41:$N$87, _xlfn.XMATCH($C112, Factor!$C$41:$C$87, -1), 12)</f>
        <v>4</v>
      </c>
      <c r="AD112" s="18"/>
    </row>
    <row r="113" spans="1:30" ht="15.75" customHeight="1" x14ac:dyDescent="0.2">
      <c r="A113" s="15" t="str">
        <f>"locomotive_"&amp; VLOOKUP(F113, Factor!$BK$4:$BL$6, 2, 0) &amp;"_"&amp;Locomotive!D113&amp;"_"&amp;VLOOKUP(E113, Factor!$BM$4:$BN$36, 2, 0)</f>
        <v>locomotive_St_T5_001</v>
      </c>
      <c r="B113" s="15" t="str">
        <f t="shared" si="2"/>
        <v>T5 표준 증기기관차</v>
      </c>
      <c r="C113" s="15">
        <f>VLOOKUP(D113, Factor!$B$41:$C$50, 2, 0)</f>
        <v>50000</v>
      </c>
      <c r="D113" s="15" t="s">
        <v>324</v>
      </c>
      <c r="E113" s="41" t="s">
        <v>501</v>
      </c>
      <c r="F113" s="41" t="s">
        <v>505</v>
      </c>
      <c r="G113" s="41" t="str">
        <f t="shared" si="3"/>
        <v>표준 증기</v>
      </c>
      <c r="H113" s="41">
        <v>1</v>
      </c>
      <c r="I113" s="41">
        <v>1</v>
      </c>
      <c r="J113" s="41">
        <v>1</v>
      </c>
      <c r="K113" s="41">
        <v>1</v>
      </c>
      <c r="L113" s="41">
        <v>1</v>
      </c>
      <c r="M113" s="41">
        <v>1</v>
      </c>
      <c r="N113" s="41">
        <v>1</v>
      </c>
      <c r="O113" s="41">
        <v>1</v>
      </c>
      <c r="P113" s="41">
        <v>1</v>
      </c>
      <c r="Q113" s="41">
        <v>1</v>
      </c>
      <c r="R113" s="41">
        <v>1</v>
      </c>
      <c r="S113" s="41" cm="1">
        <f t="array" ref="S113">H113*VLOOKUP($G113, Factor!$C$4:$N$36, 2, 0)*INDEX(Factor!$C$41:$N$87, _xlfn.XMATCH($C113, Factor!$C$41:$C$87, -1), 2)</f>
        <v>180</v>
      </c>
      <c r="T113" s="41" cm="1">
        <f t="array" ref="T113">I113*VLOOKUP($G113, Factor!$C$4:$N$36, 3, 0)*INDEX(Factor!$C$41:$N$87, _xlfn.XMATCH($C113, Factor!$C$41:$C$87, -1), 3)</f>
        <v>1800</v>
      </c>
      <c r="U113" s="41" cm="1">
        <f t="array" ref="U113">J113*VLOOKUP($G113, Factor!$C$4:$N$36, 4, 0)*INDEX(Factor!$C$41:$N$87, _xlfn.XMATCH($C113, Factor!$C$41:$C$87, -1), 4)</f>
        <v>6</v>
      </c>
      <c r="V113" s="41" cm="1">
        <f t="array" ref="V113">K113*VLOOKUP($G113, Factor!$C$4:$N$36, 5, 0)*INDEX(Factor!$C$41:$N$87, _xlfn.XMATCH($C113, Factor!$C$41:$C$87, -1), 5)</f>
        <v>7.2</v>
      </c>
      <c r="W113" s="41" cm="1">
        <f t="array" ref="W113">L113*VLOOKUP($G113, Factor!$C$4:$N$36, 6, 0)*INDEX(Factor!$C$41:$N$87, _xlfn.XMATCH($C113, Factor!$C$41:$C$87, -1), 6)</f>
        <v>18</v>
      </c>
      <c r="X113" s="41" cm="1">
        <f t="array" ref="X113">M113*VLOOKUP($G113, Factor!$C$4:$N$36, 7, 0)*INDEX(Factor!$C$41:$N$87, _xlfn.XMATCH($C113, Factor!$C$41:$C$87, -1), 7)</f>
        <v>18000</v>
      </c>
      <c r="Y113" s="41" cm="1">
        <f t="array" ref="Y113">N113*VLOOKUP($G113, Factor!$C$4:$N$36, 8, 0)*INDEX(Factor!$C$41:$N$87, _xlfn.XMATCH($C113, Factor!$C$41:$C$87, -1), 8)</f>
        <v>1800</v>
      </c>
      <c r="Z113" s="41" cm="1">
        <f t="array" ref="Z113">O113*VLOOKUP($G113, Factor!$C$4:$N$36, 9, 0)*INDEX(Factor!$C$41:$N$87, _xlfn.XMATCH($C113, Factor!$C$41:$C$87, -1), 9)</f>
        <v>54</v>
      </c>
      <c r="AA113" s="41" cm="1">
        <f t="array" ref="AA113">P113*VLOOKUP($G113, Factor!$C$4:$N$36, 10, 0)*INDEX(Factor!$C$41:$N$87, _xlfn.XMATCH($C113, Factor!$C$41:$C$87, -1), 10)</f>
        <v>1800</v>
      </c>
      <c r="AB113" s="41" cm="1">
        <f t="array" ref="AB113">Q113*VLOOKUP($G113, Factor!$C$4:$N$36, 11, 0)*INDEX(Factor!$C$41:$N$87, _xlfn.XMATCH($C113, Factor!$C$41:$C$87, -1), 11)</f>
        <v>5</v>
      </c>
      <c r="AC113" s="41" cm="1">
        <f t="array" ref="AC113">R113*VLOOKUP($G113, Factor!$C$4:$N$36, 12, 0)*INDEX(Factor!$C$41:$N$87, _xlfn.XMATCH($C113, Factor!$C$41:$C$87, -1), 12)</f>
        <v>5</v>
      </c>
      <c r="AD113" s="41"/>
    </row>
    <row r="114" spans="1:30" ht="15.75" customHeight="1" x14ac:dyDescent="0.2">
      <c r="A114" s="18" t="str">
        <f>"locomotive_"&amp; VLOOKUP(F114, Factor!$BK$4:$BL$6, 2, 0) &amp;"_"&amp;Locomotive!D114&amp;"_"&amp;VLOOKUP(E114, Factor!$BM$4:$BN$36, 2, 0)</f>
        <v>locomotive_El_T5_001</v>
      </c>
      <c r="B114" s="18" t="str">
        <f t="shared" si="2"/>
        <v>T5 표준 전기기관차</v>
      </c>
      <c r="C114" s="18">
        <f>VLOOKUP(D114, Factor!$B$41:$C$50, 2, 0)</f>
        <v>50000</v>
      </c>
      <c r="D114" s="18" t="s">
        <v>324</v>
      </c>
      <c r="E114" s="18" t="s">
        <v>501</v>
      </c>
      <c r="F114" s="18" t="s">
        <v>502</v>
      </c>
      <c r="G114" s="18" t="str">
        <f t="shared" si="3"/>
        <v>표준 전기</v>
      </c>
      <c r="H114" s="18">
        <v>1</v>
      </c>
      <c r="I114" s="18">
        <v>1</v>
      </c>
      <c r="J114" s="18">
        <v>1</v>
      </c>
      <c r="K114" s="18">
        <v>1</v>
      </c>
      <c r="L114" s="18">
        <v>1</v>
      </c>
      <c r="M114" s="18">
        <v>1</v>
      </c>
      <c r="N114" s="18">
        <v>1</v>
      </c>
      <c r="O114" s="18">
        <v>1</v>
      </c>
      <c r="P114" s="18">
        <v>1</v>
      </c>
      <c r="Q114" s="18">
        <v>1</v>
      </c>
      <c r="R114" s="18">
        <v>1</v>
      </c>
      <c r="S114" s="18" cm="1">
        <f t="array" ref="S114">H114*VLOOKUP($G114, Factor!$C$4:$N$36, 2, 0)*INDEX(Factor!$C$41:$N$87, _xlfn.XMATCH($C114, Factor!$C$41:$C$87, -1), 2)</f>
        <v>360</v>
      </c>
      <c r="T114" s="18" cm="1">
        <f t="array" ref="T114">I114*VLOOKUP($G114, Factor!$C$4:$N$36, 3, 0)*INDEX(Factor!$C$41:$N$87, _xlfn.XMATCH($C114, Factor!$C$41:$C$87, -1), 3)</f>
        <v>1440</v>
      </c>
      <c r="U114" s="18" cm="1">
        <f t="array" ref="U114">J114*VLOOKUP($G114, Factor!$C$4:$N$36, 4, 0)*INDEX(Factor!$C$41:$N$87, _xlfn.XMATCH($C114, Factor!$C$41:$C$87, -1), 4)</f>
        <v>6</v>
      </c>
      <c r="V114" s="18" cm="1">
        <f t="array" ref="V114">K114*VLOOKUP($G114, Factor!$C$4:$N$36, 5, 0)*INDEX(Factor!$C$41:$N$87, _xlfn.XMATCH($C114, Factor!$C$41:$C$87, -1), 5)</f>
        <v>14.4</v>
      </c>
      <c r="W114" s="18" cm="1">
        <f t="array" ref="W114">L114*VLOOKUP($G114, Factor!$C$4:$N$36, 6, 0)*INDEX(Factor!$C$41:$N$87, _xlfn.XMATCH($C114, Factor!$C$41:$C$87, -1), 6)</f>
        <v>18</v>
      </c>
      <c r="X114" s="18" cm="1">
        <f t="array" ref="X114">M114*VLOOKUP($G114, Factor!$C$4:$N$36, 7, 0)*INDEX(Factor!$C$41:$N$87, _xlfn.XMATCH($C114, Factor!$C$41:$C$87, -1), 7)</f>
        <v>12600</v>
      </c>
      <c r="Y114" s="18" cm="1">
        <f t="array" ref="Y114">N114*VLOOKUP($G114, Factor!$C$4:$N$36, 8, 0)*INDEX(Factor!$C$41:$N$87, _xlfn.XMATCH($C114, Factor!$C$41:$C$87, -1), 8)</f>
        <v>1260</v>
      </c>
      <c r="Z114" s="18" cm="1">
        <f t="array" ref="Z114">O114*VLOOKUP($G114, Factor!$C$4:$N$36, 9, 0)*INDEX(Factor!$C$41:$N$87, _xlfn.XMATCH($C114, Factor!$C$41:$C$87, -1), 9)</f>
        <v>9</v>
      </c>
      <c r="AA114" s="18" cm="1">
        <f t="array" ref="AA114">P114*VLOOKUP($G114, Factor!$C$4:$N$36, 10, 0)*INDEX(Factor!$C$41:$N$87, _xlfn.XMATCH($C114, Factor!$C$41:$C$87, -1), 10)</f>
        <v>1260</v>
      </c>
      <c r="AB114" s="18" cm="1">
        <f t="array" ref="AB114">Q114*VLOOKUP($G114, Factor!$C$4:$N$36, 11, 0)*INDEX(Factor!$C$41:$N$87, _xlfn.XMATCH($C114, Factor!$C$41:$C$87, -1), 11)</f>
        <v>5</v>
      </c>
      <c r="AC114" s="18" cm="1">
        <f t="array" ref="AC114">R114*VLOOKUP($G114, Factor!$C$4:$N$36, 12, 0)*INDEX(Factor!$C$41:$N$87, _xlfn.XMATCH($C114, Factor!$C$41:$C$87, -1), 12)</f>
        <v>5</v>
      </c>
      <c r="AD114" s="18"/>
    </row>
    <row r="115" spans="1:30" ht="15.75" customHeight="1" x14ac:dyDescent="0.2">
      <c r="A115" s="15" t="str">
        <f>"locomotive_"&amp; VLOOKUP(F115, Factor!$BK$4:$BL$6, 2, 0) &amp;"_"&amp;Locomotive!D115&amp;"_"&amp;VLOOKUP(E115, Factor!$BM$4:$BN$36, 2, 0)</f>
        <v>locomotive_Dz_T5_001</v>
      </c>
      <c r="B115" s="15" t="str">
        <f t="shared" si="2"/>
        <v>T5 표준 디젤기관차</v>
      </c>
      <c r="C115" s="15">
        <f>VLOOKUP(D115, Factor!$B$41:$C$50, 2, 0)</f>
        <v>50000</v>
      </c>
      <c r="D115" s="15" t="s">
        <v>324</v>
      </c>
      <c r="E115" s="41" t="s">
        <v>501</v>
      </c>
      <c r="F115" s="41" t="s">
        <v>503</v>
      </c>
      <c r="G115" s="41" t="str">
        <f t="shared" si="3"/>
        <v>표준 디젤</v>
      </c>
      <c r="H115" s="41">
        <v>1</v>
      </c>
      <c r="I115" s="41">
        <v>1</v>
      </c>
      <c r="J115" s="41">
        <v>1</v>
      </c>
      <c r="K115" s="41">
        <v>1</v>
      </c>
      <c r="L115" s="41">
        <v>1</v>
      </c>
      <c r="M115" s="41">
        <v>1</v>
      </c>
      <c r="N115" s="41">
        <v>1</v>
      </c>
      <c r="O115" s="41">
        <v>1</v>
      </c>
      <c r="P115" s="41">
        <v>1</v>
      </c>
      <c r="Q115" s="41">
        <v>1</v>
      </c>
      <c r="R115" s="41">
        <v>1</v>
      </c>
      <c r="S115" s="41" cm="1">
        <f t="array" ref="S115">H115*VLOOKUP($G115, Factor!$C$4:$N$36, 2, 0)*INDEX(Factor!$C$41:$N$87, _xlfn.XMATCH($C115, Factor!$C$41:$C$87, -1), 2)</f>
        <v>270</v>
      </c>
      <c r="T115" s="41" cm="1">
        <f t="array" ref="T115">I115*VLOOKUP($G115, Factor!$C$4:$N$36, 3, 0)*INDEX(Factor!$C$41:$N$87, _xlfn.XMATCH($C115, Factor!$C$41:$C$87, -1), 3)</f>
        <v>2160</v>
      </c>
      <c r="U115" s="41" cm="1">
        <f t="array" ref="U115">J115*VLOOKUP($G115, Factor!$C$4:$N$36, 4, 0)*INDEX(Factor!$C$41:$N$87, _xlfn.XMATCH($C115, Factor!$C$41:$C$87, -1), 4)</f>
        <v>6</v>
      </c>
      <c r="V115" s="41" cm="1">
        <f t="array" ref="V115">K115*VLOOKUP($G115, Factor!$C$4:$N$36, 5, 0)*INDEX(Factor!$C$41:$N$87, _xlfn.XMATCH($C115, Factor!$C$41:$C$87, -1), 5)</f>
        <v>10.8</v>
      </c>
      <c r="W115" s="41" cm="1">
        <f t="array" ref="W115">L115*VLOOKUP($G115, Factor!$C$4:$N$36, 6, 0)*INDEX(Factor!$C$41:$N$87, _xlfn.XMATCH($C115, Factor!$C$41:$C$87, -1), 6)</f>
        <v>18</v>
      </c>
      <c r="X115" s="41" cm="1">
        <f t="array" ref="X115">M115*VLOOKUP($G115, Factor!$C$4:$N$36, 7, 0)*INDEX(Factor!$C$41:$N$87, _xlfn.XMATCH($C115, Factor!$C$41:$C$87, -1), 7)</f>
        <v>27000</v>
      </c>
      <c r="Y115" s="41" cm="1">
        <f t="array" ref="Y115">N115*VLOOKUP($G115, Factor!$C$4:$N$36, 8, 0)*INDEX(Factor!$C$41:$N$87, _xlfn.XMATCH($C115, Factor!$C$41:$C$87, -1), 8)</f>
        <v>1440</v>
      </c>
      <c r="Z115" s="41" cm="1">
        <f t="array" ref="Z115">O115*VLOOKUP($G115, Factor!$C$4:$N$36, 9, 0)*INDEX(Factor!$C$41:$N$87, _xlfn.XMATCH($C115, Factor!$C$41:$C$87, -1), 9)</f>
        <v>18</v>
      </c>
      <c r="AA115" s="41" cm="1">
        <f t="array" ref="AA115">P115*VLOOKUP($G115, Factor!$C$4:$N$36, 10, 0)*INDEX(Factor!$C$41:$N$87, _xlfn.XMATCH($C115, Factor!$C$41:$C$87, -1), 10)</f>
        <v>1440</v>
      </c>
      <c r="AB115" s="41" cm="1">
        <f t="array" ref="AB115">Q115*VLOOKUP($G115, Factor!$C$4:$N$36, 11, 0)*INDEX(Factor!$C$41:$N$87, _xlfn.XMATCH($C115, Factor!$C$41:$C$87, -1), 11)</f>
        <v>5</v>
      </c>
      <c r="AC115" s="41" cm="1">
        <f t="array" ref="AC115">R115*VLOOKUP($G115, Factor!$C$4:$N$36, 12, 0)*INDEX(Factor!$C$41:$N$87, _xlfn.XMATCH($C115, Factor!$C$41:$C$87, -1), 12)</f>
        <v>5</v>
      </c>
      <c r="AD115" s="41"/>
    </row>
    <row r="116" spans="1:30" ht="15.75" customHeight="1" x14ac:dyDescent="0.2">
      <c r="A116" s="18" t="str">
        <f>"locomotive_"&amp; VLOOKUP(F116, Factor!$BK$4:$BL$6, 2, 0) &amp;"_"&amp;Locomotive!D116&amp;"_"&amp;VLOOKUP(E116, Factor!$BM$4:$BN$36, 2, 0)</f>
        <v>locomotive_St_T5_002</v>
      </c>
      <c r="B116" s="18" t="str">
        <f t="shared" si="2"/>
        <v>T5 쾌속 증기기관차</v>
      </c>
      <c r="C116" s="18">
        <f>VLOOKUP(D116, Factor!$B$41:$C$50, 2, 0)</f>
        <v>50000</v>
      </c>
      <c r="D116" s="18" t="s">
        <v>324</v>
      </c>
      <c r="E116" s="18" t="s">
        <v>504</v>
      </c>
      <c r="F116" s="18" t="s">
        <v>505</v>
      </c>
      <c r="G116" s="18" t="str">
        <f t="shared" si="3"/>
        <v>쾌속 증기</v>
      </c>
      <c r="H116" s="18">
        <v>1</v>
      </c>
      <c r="I116" s="18">
        <v>1</v>
      </c>
      <c r="J116" s="18">
        <v>1</v>
      </c>
      <c r="K116" s="18">
        <v>1</v>
      </c>
      <c r="L116" s="18">
        <v>1</v>
      </c>
      <c r="M116" s="18">
        <v>1</v>
      </c>
      <c r="N116" s="18">
        <v>1</v>
      </c>
      <c r="O116" s="18">
        <v>1</v>
      </c>
      <c r="P116" s="18">
        <v>1</v>
      </c>
      <c r="Q116" s="18">
        <v>1</v>
      </c>
      <c r="R116" s="18">
        <v>1</v>
      </c>
      <c r="S116" s="18" cm="1">
        <f t="array" ref="S116">H116*VLOOKUP($G116, Factor!$C$4:$N$36, 2, 0)*INDEX(Factor!$C$41:$N$87, _xlfn.XMATCH($C116, Factor!$C$41:$C$87, -1), 2)</f>
        <v>198</v>
      </c>
      <c r="T116" s="18" cm="1">
        <f t="array" ref="T116">I116*VLOOKUP($G116, Factor!$C$4:$N$36, 3, 0)*INDEX(Factor!$C$41:$N$87, _xlfn.XMATCH($C116, Factor!$C$41:$C$87, -1), 3)</f>
        <v>1620</v>
      </c>
      <c r="U116" s="18" cm="1">
        <f t="array" ref="U116">J116*VLOOKUP($G116, Factor!$C$4:$N$36, 4, 0)*INDEX(Factor!$C$41:$N$87, _xlfn.XMATCH($C116, Factor!$C$41:$C$87, -1), 4)</f>
        <v>6</v>
      </c>
      <c r="V116" s="18" cm="1">
        <f t="array" ref="V116">K116*VLOOKUP($G116, Factor!$C$4:$N$36, 5, 0)*INDEX(Factor!$C$41:$N$87, _xlfn.XMATCH($C116, Factor!$C$41:$C$87, -1), 5)</f>
        <v>10.8</v>
      </c>
      <c r="W116" s="18" cm="1">
        <f t="array" ref="W116">L116*VLOOKUP($G116, Factor!$C$4:$N$36, 6, 0)*INDEX(Factor!$C$41:$N$87, _xlfn.XMATCH($C116, Factor!$C$41:$C$87, -1), 6)</f>
        <v>18</v>
      </c>
      <c r="X116" s="18" cm="1">
        <f t="array" ref="X116">M116*VLOOKUP($G116, Factor!$C$4:$N$36, 7, 0)*INDEX(Factor!$C$41:$N$87, _xlfn.XMATCH($C116, Factor!$C$41:$C$87, -1), 7)</f>
        <v>18000</v>
      </c>
      <c r="Y116" s="18" cm="1">
        <f t="array" ref="Y116">N116*VLOOKUP($G116, Factor!$C$4:$N$36, 8, 0)*INDEX(Factor!$C$41:$N$87, _xlfn.XMATCH($C116, Factor!$C$41:$C$87, -1), 8)</f>
        <v>1440</v>
      </c>
      <c r="Z116" s="18" cm="1">
        <f t="array" ref="Z116">O116*VLOOKUP($G116, Factor!$C$4:$N$36, 9, 0)*INDEX(Factor!$C$41:$N$87, _xlfn.XMATCH($C116, Factor!$C$41:$C$87, -1), 9)</f>
        <v>36</v>
      </c>
      <c r="AA116" s="18" cm="1">
        <f t="array" ref="AA116">P116*VLOOKUP($G116, Factor!$C$4:$N$36, 10, 0)*INDEX(Factor!$C$41:$N$87, _xlfn.XMATCH($C116, Factor!$C$41:$C$87, -1), 10)</f>
        <v>1440</v>
      </c>
      <c r="AB116" s="18" cm="1">
        <f t="array" ref="AB116">Q116*VLOOKUP($G116, Factor!$C$4:$N$36, 11, 0)*INDEX(Factor!$C$41:$N$87, _xlfn.XMATCH($C116, Factor!$C$41:$C$87, -1), 11)</f>
        <v>5</v>
      </c>
      <c r="AC116" s="18" cm="1">
        <f t="array" ref="AC116">R116*VLOOKUP($G116, Factor!$C$4:$N$36, 12, 0)*INDEX(Factor!$C$41:$N$87, _xlfn.XMATCH($C116, Factor!$C$41:$C$87, -1), 12)</f>
        <v>5</v>
      </c>
      <c r="AD116" s="18"/>
    </row>
    <row r="117" spans="1:30" ht="15.75" customHeight="1" x14ac:dyDescent="0.2">
      <c r="A117" s="15" t="str">
        <f>"locomotive_"&amp; VLOOKUP(F117, Factor!$BK$4:$BL$6, 2, 0) &amp;"_"&amp;Locomotive!D117&amp;"_"&amp;VLOOKUP(E117, Factor!$BM$4:$BN$36, 2, 0)</f>
        <v>locomotive_El_T5_002</v>
      </c>
      <c r="B117" s="15" t="str">
        <f t="shared" si="2"/>
        <v>T5 쾌속 전기기관차</v>
      </c>
      <c r="C117" s="15">
        <f>VLOOKUP(D117, Factor!$B$41:$C$50, 2, 0)</f>
        <v>50000</v>
      </c>
      <c r="D117" s="15" t="s">
        <v>324</v>
      </c>
      <c r="E117" s="41" t="s">
        <v>504</v>
      </c>
      <c r="F117" s="41" t="s">
        <v>502</v>
      </c>
      <c r="G117" s="41" t="str">
        <f t="shared" si="3"/>
        <v>쾌속 전기</v>
      </c>
      <c r="H117" s="41">
        <v>1</v>
      </c>
      <c r="I117" s="41">
        <v>1</v>
      </c>
      <c r="J117" s="41">
        <v>1</v>
      </c>
      <c r="K117" s="41">
        <v>1</v>
      </c>
      <c r="L117" s="41">
        <v>1</v>
      </c>
      <c r="M117" s="41">
        <v>1</v>
      </c>
      <c r="N117" s="41">
        <v>1</v>
      </c>
      <c r="O117" s="41">
        <v>1</v>
      </c>
      <c r="P117" s="41">
        <v>1</v>
      </c>
      <c r="Q117" s="41">
        <v>1</v>
      </c>
      <c r="R117" s="41">
        <v>1</v>
      </c>
      <c r="S117" s="41" cm="1">
        <f t="array" ref="S117">H117*VLOOKUP($G117, Factor!$C$4:$N$36, 2, 0)*INDEX(Factor!$C$41:$N$87, _xlfn.XMATCH($C117, Factor!$C$41:$C$87, -1), 2)</f>
        <v>396</v>
      </c>
      <c r="T117" s="41" cm="1">
        <f t="array" ref="T117">I117*VLOOKUP($G117, Factor!$C$4:$N$36, 3, 0)*INDEX(Factor!$C$41:$N$87, _xlfn.XMATCH($C117, Factor!$C$41:$C$87, -1), 3)</f>
        <v>1260</v>
      </c>
      <c r="U117" s="41" cm="1">
        <f t="array" ref="U117">J117*VLOOKUP($G117, Factor!$C$4:$N$36, 4, 0)*INDEX(Factor!$C$41:$N$87, _xlfn.XMATCH($C117, Factor!$C$41:$C$87, -1), 4)</f>
        <v>6</v>
      </c>
      <c r="V117" s="41" cm="1">
        <f t="array" ref="V117">K117*VLOOKUP($G117, Factor!$C$4:$N$36, 5, 0)*INDEX(Factor!$C$41:$N$87, _xlfn.XMATCH($C117, Factor!$C$41:$C$87, -1), 5)</f>
        <v>18</v>
      </c>
      <c r="W117" s="41" cm="1">
        <f t="array" ref="W117">L117*VLOOKUP($G117, Factor!$C$4:$N$36, 6, 0)*INDEX(Factor!$C$41:$N$87, _xlfn.XMATCH($C117, Factor!$C$41:$C$87, -1), 6)</f>
        <v>18</v>
      </c>
      <c r="X117" s="41" cm="1">
        <f t="array" ref="X117">M117*VLOOKUP($G117, Factor!$C$4:$N$36, 7, 0)*INDEX(Factor!$C$41:$N$87, _xlfn.XMATCH($C117, Factor!$C$41:$C$87, -1), 7)</f>
        <v>12600</v>
      </c>
      <c r="Y117" s="41" cm="1">
        <f t="array" ref="Y117">N117*VLOOKUP($G117, Factor!$C$4:$N$36, 8, 0)*INDEX(Factor!$C$41:$N$87, _xlfn.XMATCH($C117, Factor!$C$41:$C$87, -1), 8)</f>
        <v>900</v>
      </c>
      <c r="Z117" s="41" cm="1">
        <f t="array" ref="Z117">O117*VLOOKUP($G117, Factor!$C$4:$N$36, 9, 0)*INDEX(Factor!$C$41:$N$87, _xlfn.XMATCH($C117, Factor!$C$41:$C$87, -1), 9)</f>
        <v>5.4</v>
      </c>
      <c r="AA117" s="41" cm="1">
        <f t="array" ref="AA117">P117*VLOOKUP($G117, Factor!$C$4:$N$36, 10, 0)*INDEX(Factor!$C$41:$N$87, _xlfn.XMATCH($C117, Factor!$C$41:$C$87, -1), 10)</f>
        <v>900</v>
      </c>
      <c r="AB117" s="41" cm="1">
        <f t="array" ref="AB117">Q117*VLOOKUP($G117, Factor!$C$4:$N$36, 11, 0)*INDEX(Factor!$C$41:$N$87, _xlfn.XMATCH($C117, Factor!$C$41:$C$87, -1), 11)</f>
        <v>5</v>
      </c>
      <c r="AC117" s="41" cm="1">
        <f t="array" ref="AC117">R117*VLOOKUP($G117, Factor!$C$4:$N$36, 12, 0)*INDEX(Factor!$C$41:$N$87, _xlfn.XMATCH($C117, Factor!$C$41:$C$87, -1), 12)</f>
        <v>5</v>
      </c>
      <c r="AD117" s="41"/>
    </row>
    <row r="118" spans="1:30" ht="15.75" customHeight="1" x14ac:dyDescent="0.2">
      <c r="A118" s="18" t="str">
        <f>"locomotive_"&amp; VLOOKUP(F118, Factor!$BK$4:$BL$6, 2, 0) &amp;"_"&amp;Locomotive!D118&amp;"_"&amp;VLOOKUP(E118, Factor!$BM$4:$BN$36, 2, 0)</f>
        <v>locomotive_Dz_T5_002</v>
      </c>
      <c r="B118" s="18" t="str">
        <f t="shared" si="2"/>
        <v>T5 쾌속 디젤기관차</v>
      </c>
      <c r="C118" s="18">
        <f>VLOOKUP(D118, Factor!$B$41:$C$50, 2, 0)</f>
        <v>50000</v>
      </c>
      <c r="D118" s="18" t="s">
        <v>324</v>
      </c>
      <c r="E118" s="18" t="s">
        <v>504</v>
      </c>
      <c r="F118" s="18" t="s">
        <v>503</v>
      </c>
      <c r="G118" s="18" t="str">
        <f t="shared" si="3"/>
        <v>쾌속 디젤</v>
      </c>
      <c r="H118" s="18">
        <v>1</v>
      </c>
      <c r="I118" s="18">
        <v>1</v>
      </c>
      <c r="J118" s="18">
        <v>1</v>
      </c>
      <c r="K118" s="18">
        <v>1</v>
      </c>
      <c r="L118" s="18">
        <v>1</v>
      </c>
      <c r="M118" s="18">
        <v>1</v>
      </c>
      <c r="N118" s="18">
        <v>1</v>
      </c>
      <c r="O118" s="18">
        <v>1</v>
      </c>
      <c r="P118" s="18">
        <v>1</v>
      </c>
      <c r="Q118" s="18">
        <v>1</v>
      </c>
      <c r="R118" s="18">
        <v>1</v>
      </c>
      <c r="S118" s="18" cm="1">
        <f t="array" ref="S118">H118*VLOOKUP($G118, Factor!$C$4:$N$36, 2, 0)*INDEX(Factor!$C$41:$N$87, _xlfn.XMATCH($C118, Factor!$C$41:$C$87, -1), 2)</f>
        <v>297</v>
      </c>
      <c r="T118" s="18" cm="1">
        <f t="array" ref="T118">I118*VLOOKUP($G118, Factor!$C$4:$N$36, 3, 0)*INDEX(Factor!$C$41:$N$87, _xlfn.XMATCH($C118, Factor!$C$41:$C$87, -1), 3)</f>
        <v>1800</v>
      </c>
      <c r="U118" s="18" cm="1">
        <f t="array" ref="U118">J118*VLOOKUP($G118, Factor!$C$4:$N$36, 4, 0)*INDEX(Factor!$C$41:$N$87, _xlfn.XMATCH($C118, Factor!$C$41:$C$87, -1), 4)</f>
        <v>6</v>
      </c>
      <c r="V118" s="18" cm="1">
        <f t="array" ref="V118">K118*VLOOKUP($G118, Factor!$C$4:$N$36, 5, 0)*INDEX(Factor!$C$41:$N$87, _xlfn.XMATCH($C118, Factor!$C$41:$C$87, -1), 5)</f>
        <v>14.4</v>
      </c>
      <c r="W118" s="18" cm="1">
        <f t="array" ref="W118">L118*VLOOKUP($G118, Factor!$C$4:$N$36, 6, 0)*INDEX(Factor!$C$41:$N$87, _xlfn.XMATCH($C118, Factor!$C$41:$C$87, -1), 6)</f>
        <v>18</v>
      </c>
      <c r="X118" s="18" cm="1">
        <f t="array" ref="X118">M118*VLOOKUP($G118, Factor!$C$4:$N$36, 7, 0)*INDEX(Factor!$C$41:$N$87, _xlfn.XMATCH($C118, Factor!$C$41:$C$87, -1), 7)</f>
        <v>27000</v>
      </c>
      <c r="Y118" s="18" cm="1">
        <f t="array" ref="Y118">N118*VLOOKUP($G118, Factor!$C$4:$N$36, 8, 0)*INDEX(Factor!$C$41:$N$87, _xlfn.XMATCH($C118, Factor!$C$41:$C$87, -1), 8)</f>
        <v>1170</v>
      </c>
      <c r="Z118" s="18" cm="1">
        <f t="array" ref="Z118">O118*VLOOKUP($G118, Factor!$C$4:$N$36, 9, 0)*INDEX(Factor!$C$41:$N$87, _xlfn.XMATCH($C118, Factor!$C$41:$C$87, -1), 9)</f>
        <v>9</v>
      </c>
      <c r="AA118" s="18" cm="1">
        <f t="array" ref="AA118">P118*VLOOKUP($G118, Factor!$C$4:$N$36, 10, 0)*INDEX(Factor!$C$41:$N$87, _xlfn.XMATCH($C118, Factor!$C$41:$C$87, -1), 10)</f>
        <v>1170</v>
      </c>
      <c r="AB118" s="18" cm="1">
        <f t="array" ref="AB118">Q118*VLOOKUP($G118, Factor!$C$4:$N$36, 11, 0)*INDEX(Factor!$C$41:$N$87, _xlfn.XMATCH($C118, Factor!$C$41:$C$87, -1), 11)</f>
        <v>5</v>
      </c>
      <c r="AC118" s="18" cm="1">
        <f t="array" ref="AC118">R118*VLOOKUP($G118, Factor!$C$4:$N$36, 12, 0)*INDEX(Factor!$C$41:$N$87, _xlfn.XMATCH($C118, Factor!$C$41:$C$87, -1), 12)</f>
        <v>5</v>
      </c>
      <c r="AD118" s="18"/>
    </row>
    <row r="119" spans="1:30" ht="15.75" customHeight="1" x14ac:dyDescent="0.2">
      <c r="A119" s="15" t="str">
        <f>"locomotive_"&amp; VLOOKUP(F119, Factor!$BK$4:$BL$6, 2, 0) &amp;"_"&amp;Locomotive!D119&amp;"_"&amp;VLOOKUP(E119, Factor!$BM$4:$BN$36, 2, 0)</f>
        <v>locomotive_St_T5_003</v>
      </c>
      <c r="B119" s="15" t="str">
        <f t="shared" si="2"/>
        <v>T5 중갑 증기기관차</v>
      </c>
      <c r="C119" s="15">
        <f>VLOOKUP(D119, Factor!$B$41:$C$50, 2, 0)</f>
        <v>50000</v>
      </c>
      <c r="D119" s="15" t="s">
        <v>324</v>
      </c>
      <c r="E119" s="41" t="s">
        <v>506</v>
      </c>
      <c r="F119" s="41" t="s">
        <v>505</v>
      </c>
      <c r="G119" s="41" t="str">
        <f t="shared" si="3"/>
        <v>중갑 증기</v>
      </c>
      <c r="H119" s="41">
        <v>1</v>
      </c>
      <c r="I119" s="41">
        <v>1</v>
      </c>
      <c r="J119" s="41">
        <v>1</v>
      </c>
      <c r="K119" s="41">
        <v>1</v>
      </c>
      <c r="L119" s="41">
        <v>1</v>
      </c>
      <c r="M119" s="41">
        <v>1</v>
      </c>
      <c r="N119" s="41">
        <v>1</v>
      </c>
      <c r="O119" s="41">
        <v>1</v>
      </c>
      <c r="P119" s="41">
        <v>1</v>
      </c>
      <c r="Q119" s="41">
        <v>1</v>
      </c>
      <c r="R119" s="41">
        <v>1</v>
      </c>
      <c r="S119" s="41" cm="1">
        <f t="array" ref="S119">H119*VLOOKUP($G119, Factor!$C$4:$N$36, 2, 0)*INDEX(Factor!$C$41:$N$87, _xlfn.XMATCH($C119, Factor!$C$41:$C$87, -1), 2)</f>
        <v>162</v>
      </c>
      <c r="T119" s="41" cm="1">
        <f t="array" ref="T119">I119*VLOOKUP($G119, Factor!$C$4:$N$36, 3, 0)*INDEX(Factor!$C$41:$N$87, _xlfn.XMATCH($C119, Factor!$C$41:$C$87, -1), 3)</f>
        <v>2160</v>
      </c>
      <c r="U119" s="41" cm="1">
        <f t="array" ref="U119">J119*VLOOKUP($G119, Factor!$C$4:$N$36, 4, 0)*INDEX(Factor!$C$41:$N$87, _xlfn.XMATCH($C119, Factor!$C$41:$C$87, -1), 4)</f>
        <v>6</v>
      </c>
      <c r="V119" s="41" cm="1">
        <f t="array" ref="V119">K119*VLOOKUP($G119, Factor!$C$4:$N$36, 5, 0)*INDEX(Factor!$C$41:$N$87, _xlfn.XMATCH($C119, Factor!$C$41:$C$87, -1), 5)</f>
        <v>7.2</v>
      </c>
      <c r="W119" s="41" cm="1">
        <f t="array" ref="W119">L119*VLOOKUP($G119, Factor!$C$4:$N$36, 6, 0)*INDEX(Factor!$C$41:$N$87, _xlfn.XMATCH($C119, Factor!$C$41:$C$87, -1), 6)</f>
        <v>18</v>
      </c>
      <c r="X119" s="41" cm="1">
        <f t="array" ref="X119">M119*VLOOKUP($G119, Factor!$C$4:$N$36, 7, 0)*INDEX(Factor!$C$41:$N$87, _xlfn.XMATCH($C119, Factor!$C$41:$C$87, -1), 7)</f>
        <v>14400</v>
      </c>
      <c r="Y119" s="41" cm="1">
        <f t="array" ref="Y119">N119*VLOOKUP($G119, Factor!$C$4:$N$36, 8, 0)*INDEX(Factor!$C$41:$N$87, _xlfn.XMATCH($C119, Factor!$C$41:$C$87, -1), 8)</f>
        <v>2700</v>
      </c>
      <c r="Z119" s="41" cm="1">
        <f t="array" ref="Z119">O119*VLOOKUP($G119, Factor!$C$4:$N$36, 9, 0)*INDEX(Factor!$C$41:$N$87, _xlfn.XMATCH($C119, Factor!$C$41:$C$87, -1), 9)</f>
        <v>90</v>
      </c>
      <c r="AA119" s="41" cm="1">
        <f t="array" ref="AA119">P119*VLOOKUP($G119, Factor!$C$4:$N$36, 10, 0)*INDEX(Factor!$C$41:$N$87, _xlfn.XMATCH($C119, Factor!$C$41:$C$87, -1), 10)</f>
        <v>2700</v>
      </c>
      <c r="AB119" s="41" cm="1">
        <f t="array" ref="AB119">Q119*VLOOKUP($G119, Factor!$C$4:$N$36, 11, 0)*INDEX(Factor!$C$41:$N$87, _xlfn.XMATCH($C119, Factor!$C$41:$C$87, -1), 11)</f>
        <v>5</v>
      </c>
      <c r="AC119" s="41" cm="1">
        <f t="array" ref="AC119">R119*VLOOKUP($G119, Factor!$C$4:$N$36, 12, 0)*INDEX(Factor!$C$41:$N$87, _xlfn.XMATCH($C119, Factor!$C$41:$C$87, -1), 12)</f>
        <v>5</v>
      </c>
      <c r="AD119" s="41"/>
    </row>
    <row r="120" spans="1:30" ht="15.75" customHeight="1" x14ac:dyDescent="0.2">
      <c r="A120" s="18" t="str">
        <f>"locomotive_"&amp; VLOOKUP(F120, Factor!$BK$4:$BL$6, 2, 0) &amp;"_"&amp;Locomotive!D120&amp;"_"&amp;VLOOKUP(E120, Factor!$BM$4:$BN$36, 2, 0)</f>
        <v>locomotive_El_T5_003</v>
      </c>
      <c r="B120" s="18" t="str">
        <f t="shared" si="2"/>
        <v>T5 중갑 전기기관차</v>
      </c>
      <c r="C120" s="18">
        <f>VLOOKUP(D120, Factor!$B$41:$C$50, 2, 0)</f>
        <v>50000</v>
      </c>
      <c r="D120" s="18" t="s">
        <v>324</v>
      </c>
      <c r="E120" s="18" t="s">
        <v>506</v>
      </c>
      <c r="F120" s="18" t="s">
        <v>502</v>
      </c>
      <c r="G120" s="18" t="str">
        <f t="shared" si="3"/>
        <v>중갑 전기</v>
      </c>
      <c r="H120" s="18">
        <v>1</v>
      </c>
      <c r="I120" s="18">
        <v>1</v>
      </c>
      <c r="J120" s="18">
        <v>1</v>
      </c>
      <c r="K120" s="18">
        <v>1</v>
      </c>
      <c r="L120" s="18">
        <v>1</v>
      </c>
      <c r="M120" s="18">
        <v>1</v>
      </c>
      <c r="N120" s="18">
        <v>1</v>
      </c>
      <c r="O120" s="18">
        <v>1</v>
      </c>
      <c r="P120" s="18">
        <v>1</v>
      </c>
      <c r="Q120" s="18">
        <v>1</v>
      </c>
      <c r="R120" s="18">
        <v>1</v>
      </c>
      <c r="S120" s="18" cm="1">
        <f t="array" ref="S120">H120*VLOOKUP($G120, Factor!$C$4:$N$36, 2, 0)*INDEX(Factor!$C$41:$N$87, _xlfn.XMATCH($C120, Factor!$C$41:$C$87, -1), 2)</f>
        <v>306</v>
      </c>
      <c r="T120" s="18" cm="1">
        <f t="array" ref="T120">I120*VLOOKUP($G120, Factor!$C$4:$N$36, 3, 0)*INDEX(Factor!$C$41:$N$87, _xlfn.XMATCH($C120, Factor!$C$41:$C$87, -1), 3)</f>
        <v>180</v>
      </c>
      <c r="U120" s="18" cm="1">
        <f t="array" ref="U120">J120*VLOOKUP($G120, Factor!$C$4:$N$36, 4, 0)*INDEX(Factor!$C$41:$N$87, _xlfn.XMATCH($C120, Factor!$C$41:$C$87, -1), 4)</f>
        <v>6</v>
      </c>
      <c r="V120" s="18" cm="1">
        <f t="array" ref="V120">K120*VLOOKUP($G120, Factor!$C$4:$N$36, 5, 0)*INDEX(Factor!$C$41:$N$87, _xlfn.XMATCH($C120, Factor!$C$41:$C$87, -1), 5)</f>
        <v>14.4</v>
      </c>
      <c r="W120" s="18" cm="1">
        <f t="array" ref="W120">L120*VLOOKUP($G120, Factor!$C$4:$N$36, 6, 0)*INDEX(Factor!$C$41:$N$87, _xlfn.XMATCH($C120, Factor!$C$41:$C$87, -1), 6)</f>
        <v>18</v>
      </c>
      <c r="X120" s="18" cm="1">
        <f t="array" ref="X120">M120*VLOOKUP($G120, Factor!$C$4:$N$36, 7, 0)*INDEX(Factor!$C$41:$N$87, _xlfn.XMATCH($C120, Factor!$C$41:$C$87, -1), 7)</f>
        <v>9000</v>
      </c>
      <c r="Y120" s="18" cm="1">
        <f t="array" ref="Y120">N120*VLOOKUP($G120, Factor!$C$4:$N$36, 8, 0)*INDEX(Factor!$C$41:$N$87, _xlfn.XMATCH($C120, Factor!$C$41:$C$87, -1), 8)</f>
        <v>1800</v>
      </c>
      <c r="Z120" s="18" cm="1">
        <f t="array" ref="Z120">O120*VLOOKUP($G120, Factor!$C$4:$N$36, 9, 0)*INDEX(Factor!$C$41:$N$87, _xlfn.XMATCH($C120, Factor!$C$41:$C$87, -1), 9)</f>
        <v>27</v>
      </c>
      <c r="AA120" s="18" cm="1">
        <f t="array" ref="AA120">P120*VLOOKUP($G120, Factor!$C$4:$N$36, 10, 0)*INDEX(Factor!$C$41:$N$87, _xlfn.XMATCH($C120, Factor!$C$41:$C$87, -1), 10)</f>
        <v>1800</v>
      </c>
      <c r="AB120" s="18" cm="1">
        <f t="array" ref="AB120">Q120*VLOOKUP($G120, Factor!$C$4:$N$36, 11, 0)*INDEX(Factor!$C$41:$N$87, _xlfn.XMATCH($C120, Factor!$C$41:$C$87, -1), 11)</f>
        <v>5</v>
      </c>
      <c r="AC120" s="18" cm="1">
        <f t="array" ref="AC120">R120*VLOOKUP($G120, Factor!$C$4:$N$36, 12, 0)*INDEX(Factor!$C$41:$N$87, _xlfn.XMATCH($C120, Factor!$C$41:$C$87, -1), 12)</f>
        <v>5</v>
      </c>
      <c r="AD120" s="18"/>
    </row>
    <row r="121" spans="1:30" ht="15.75" customHeight="1" x14ac:dyDescent="0.2">
      <c r="A121" s="15" t="str">
        <f>"locomotive_"&amp; VLOOKUP(F121, Factor!$BK$4:$BL$6, 2, 0) &amp;"_"&amp;Locomotive!D121&amp;"_"&amp;VLOOKUP(E121, Factor!$BM$4:$BN$36, 2, 0)</f>
        <v>locomotive_Dz_T5_003</v>
      </c>
      <c r="B121" s="15" t="str">
        <f t="shared" si="2"/>
        <v>T5 중갑 디젤기관차</v>
      </c>
      <c r="C121" s="15">
        <f>VLOOKUP(D121, Factor!$B$41:$C$50, 2, 0)</f>
        <v>50000</v>
      </c>
      <c r="D121" s="15" t="s">
        <v>324</v>
      </c>
      <c r="E121" s="41" t="s">
        <v>506</v>
      </c>
      <c r="F121" s="41" t="s">
        <v>503</v>
      </c>
      <c r="G121" s="41" t="str">
        <f t="shared" si="3"/>
        <v>중갑 디젤</v>
      </c>
      <c r="H121" s="41">
        <v>1</v>
      </c>
      <c r="I121" s="41">
        <v>1</v>
      </c>
      <c r="J121" s="41">
        <v>1</v>
      </c>
      <c r="K121" s="41">
        <v>1</v>
      </c>
      <c r="L121" s="41">
        <v>1</v>
      </c>
      <c r="M121" s="41">
        <v>1</v>
      </c>
      <c r="N121" s="41">
        <v>1</v>
      </c>
      <c r="O121" s="41">
        <v>1</v>
      </c>
      <c r="P121" s="41">
        <v>1</v>
      </c>
      <c r="Q121" s="41">
        <v>1</v>
      </c>
      <c r="R121" s="41">
        <v>1</v>
      </c>
      <c r="S121" s="41" cm="1">
        <f t="array" ref="S121">H121*VLOOKUP($G121, Factor!$C$4:$N$36, 2, 0)*INDEX(Factor!$C$41:$N$87, _xlfn.XMATCH($C121, Factor!$C$41:$C$87, -1), 2)</f>
        <v>198</v>
      </c>
      <c r="T121" s="41" cm="1">
        <f t="array" ref="T121">I121*VLOOKUP($G121, Factor!$C$4:$N$36, 3, 0)*INDEX(Factor!$C$41:$N$87, _xlfn.XMATCH($C121, Factor!$C$41:$C$87, -1), 3)</f>
        <v>2700</v>
      </c>
      <c r="U121" s="41" cm="1">
        <f t="array" ref="U121">J121*VLOOKUP($G121, Factor!$C$4:$N$36, 4, 0)*INDEX(Factor!$C$41:$N$87, _xlfn.XMATCH($C121, Factor!$C$41:$C$87, -1), 4)</f>
        <v>6</v>
      </c>
      <c r="V121" s="41" cm="1">
        <f t="array" ref="V121">K121*VLOOKUP($G121, Factor!$C$4:$N$36, 5, 0)*INDEX(Factor!$C$41:$N$87, _xlfn.XMATCH($C121, Factor!$C$41:$C$87, -1), 5)</f>
        <v>10.8</v>
      </c>
      <c r="W121" s="41" cm="1">
        <f t="array" ref="W121">L121*VLOOKUP($G121, Factor!$C$4:$N$36, 6, 0)*INDEX(Factor!$C$41:$N$87, _xlfn.XMATCH($C121, Factor!$C$41:$C$87, -1), 6)</f>
        <v>18</v>
      </c>
      <c r="X121" s="41" cm="1">
        <f t="array" ref="X121">M121*VLOOKUP($G121, Factor!$C$4:$N$36, 7, 0)*INDEX(Factor!$C$41:$N$87, _xlfn.XMATCH($C121, Factor!$C$41:$C$87, -1), 7)</f>
        <v>21600</v>
      </c>
      <c r="Y121" s="41" cm="1">
        <f t="array" ref="Y121">N121*VLOOKUP($G121, Factor!$C$4:$N$36, 8, 0)*INDEX(Factor!$C$41:$N$87, _xlfn.XMATCH($C121, Factor!$C$41:$C$87, -1), 8)</f>
        <v>2340</v>
      </c>
      <c r="Z121" s="41" cm="1">
        <f t="array" ref="Z121">O121*VLOOKUP($G121, Factor!$C$4:$N$36, 9, 0)*INDEX(Factor!$C$41:$N$87, _xlfn.XMATCH($C121, Factor!$C$41:$C$87, -1), 9)</f>
        <v>54</v>
      </c>
      <c r="AA121" s="41" cm="1">
        <f t="array" ref="AA121">P121*VLOOKUP($G121, Factor!$C$4:$N$36, 10, 0)*INDEX(Factor!$C$41:$N$87, _xlfn.XMATCH($C121, Factor!$C$41:$C$87, -1), 10)</f>
        <v>2340</v>
      </c>
      <c r="AB121" s="41" cm="1">
        <f t="array" ref="AB121">Q121*VLOOKUP($G121, Factor!$C$4:$N$36, 11, 0)*INDEX(Factor!$C$41:$N$87, _xlfn.XMATCH($C121, Factor!$C$41:$C$87, -1), 11)</f>
        <v>5</v>
      </c>
      <c r="AC121" s="41" cm="1">
        <f t="array" ref="AC121">R121*VLOOKUP($G121, Factor!$C$4:$N$36, 12, 0)*INDEX(Factor!$C$41:$N$87, _xlfn.XMATCH($C121, Factor!$C$41:$C$87, -1), 12)</f>
        <v>5</v>
      </c>
      <c r="AD121" s="41"/>
    </row>
    <row r="122" spans="1:30" ht="15.75" customHeight="1" x14ac:dyDescent="0.2">
      <c r="A122" s="18" t="str">
        <f>"locomotive_"&amp; VLOOKUP(F122, Factor!$BK$4:$BL$6, 2, 0) &amp;"_"&amp;Locomotive!D122&amp;"_"&amp;VLOOKUP(E122, Factor!$BM$4:$BN$36, 2, 0)</f>
        <v>locomotive_St_T5_004</v>
      </c>
      <c r="B122" s="18" t="str">
        <f t="shared" si="2"/>
        <v>T5 화물 증기기관차</v>
      </c>
      <c r="C122" s="18">
        <f>VLOOKUP(D122, Factor!$B$41:$C$50, 2, 0)</f>
        <v>50000</v>
      </c>
      <c r="D122" s="18" t="s">
        <v>324</v>
      </c>
      <c r="E122" s="18" t="s">
        <v>507</v>
      </c>
      <c r="F122" s="18" t="s">
        <v>505</v>
      </c>
      <c r="G122" s="18" t="str">
        <f t="shared" si="3"/>
        <v>화물 증기</v>
      </c>
      <c r="H122" s="18">
        <v>1</v>
      </c>
      <c r="I122" s="18">
        <v>1</v>
      </c>
      <c r="J122" s="18">
        <v>1</v>
      </c>
      <c r="K122" s="18">
        <v>1</v>
      </c>
      <c r="L122" s="18">
        <v>1</v>
      </c>
      <c r="M122" s="18">
        <v>1</v>
      </c>
      <c r="N122" s="18">
        <v>1</v>
      </c>
      <c r="O122" s="18">
        <v>1</v>
      </c>
      <c r="P122" s="18">
        <v>1</v>
      </c>
      <c r="Q122" s="18">
        <v>1</v>
      </c>
      <c r="R122" s="18">
        <v>1</v>
      </c>
      <c r="S122" s="18" cm="1">
        <f t="array" ref="S122">H122*VLOOKUP($G122, Factor!$C$4:$N$36, 2, 0)*INDEX(Factor!$C$41:$N$87, _xlfn.XMATCH($C122, Factor!$C$41:$C$87, -1), 2)</f>
        <v>162</v>
      </c>
      <c r="T122" s="18" cm="1">
        <f t="array" ref="T122">I122*VLOOKUP($G122, Factor!$C$4:$N$36, 3, 0)*INDEX(Factor!$C$41:$N$87, _xlfn.XMATCH($C122, Factor!$C$41:$C$87, -1), 3)</f>
        <v>1800</v>
      </c>
      <c r="U122" s="18" cm="1">
        <f t="array" ref="U122">J122*VLOOKUP($G122, Factor!$C$4:$N$36, 4, 0)*INDEX(Factor!$C$41:$N$87, _xlfn.XMATCH($C122, Factor!$C$41:$C$87, -1), 4)</f>
        <v>6</v>
      </c>
      <c r="V122" s="18" cm="1">
        <f t="array" ref="V122">K122*VLOOKUP($G122, Factor!$C$4:$N$36, 5, 0)*INDEX(Factor!$C$41:$N$87, _xlfn.XMATCH($C122, Factor!$C$41:$C$87, -1), 5)</f>
        <v>7.2</v>
      </c>
      <c r="W122" s="18" cm="1">
        <f t="array" ref="W122">L122*VLOOKUP($G122, Factor!$C$4:$N$36, 6, 0)*INDEX(Factor!$C$41:$N$87, _xlfn.XMATCH($C122, Factor!$C$41:$C$87, -1), 6)</f>
        <v>18</v>
      </c>
      <c r="X122" s="18" cm="1">
        <f t="array" ref="X122">M122*VLOOKUP($G122, Factor!$C$4:$N$36, 7, 0)*INDEX(Factor!$C$41:$N$87, _xlfn.XMATCH($C122, Factor!$C$41:$C$87, -1), 7)</f>
        <v>18000</v>
      </c>
      <c r="Y122" s="18" cm="1">
        <f t="array" ref="Y122">N122*VLOOKUP($G122, Factor!$C$4:$N$36, 8, 0)*INDEX(Factor!$C$41:$N$87, _xlfn.XMATCH($C122, Factor!$C$41:$C$87, -1), 8)</f>
        <v>1800</v>
      </c>
      <c r="Z122" s="18" cm="1">
        <f t="array" ref="Z122">O122*VLOOKUP($G122, Factor!$C$4:$N$36, 9, 0)*INDEX(Factor!$C$41:$N$87, _xlfn.XMATCH($C122, Factor!$C$41:$C$87, -1), 9)</f>
        <v>54</v>
      </c>
      <c r="AA122" s="18" cm="1">
        <f t="array" ref="AA122">P122*VLOOKUP($G122, Factor!$C$4:$N$36, 10, 0)*INDEX(Factor!$C$41:$N$87, _xlfn.XMATCH($C122, Factor!$C$41:$C$87, -1), 10)</f>
        <v>1800</v>
      </c>
      <c r="AB122" s="18" cm="1">
        <f t="array" ref="AB122">Q122*VLOOKUP($G122, Factor!$C$4:$N$36, 11, 0)*INDEX(Factor!$C$41:$N$87, _xlfn.XMATCH($C122, Factor!$C$41:$C$87, -1), 11)</f>
        <v>15</v>
      </c>
      <c r="AC122" s="18" cm="1">
        <f t="array" ref="AC122">R122*VLOOKUP($G122, Factor!$C$4:$N$36, 12, 0)*INDEX(Factor!$C$41:$N$87, _xlfn.XMATCH($C122, Factor!$C$41:$C$87, -1), 12)</f>
        <v>5</v>
      </c>
      <c r="AD122" s="18"/>
    </row>
    <row r="123" spans="1:30" ht="15.75" customHeight="1" x14ac:dyDescent="0.2">
      <c r="A123" s="15" t="str">
        <f>"locomotive_"&amp; VLOOKUP(F123, Factor!$BK$4:$BL$6, 2, 0) &amp;"_"&amp;Locomotive!D123&amp;"_"&amp;VLOOKUP(E123, Factor!$BM$4:$BN$36, 2, 0)</f>
        <v>locomotive_El_T5_004</v>
      </c>
      <c r="B123" s="15" t="str">
        <f t="shared" si="2"/>
        <v>T5 화물 전기기관차</v>
      </c>
      <c r="C123" s="15">
        <f>VLOOKUP(D123, Factor!$B$41:$C$50, 2, 0)</f>
        <v>50000</v>
      </c>
      <c r="D123" s="15" t="s">
        <v>324</v>
      </c>
      <c r="E123" s="41" t="s">
        <v>507</v>
      </c>
      <c r="F123" s="41" t="s">
        <v>502</v>
      </c>
      <c r="G123" s="41" t="str">
        <f t="shared" si="3"/>
        <v>화물 전기</v>
      </c>
      <c r="H123" s="41">
        <v>1</v>
      </c>
      <c r="I123" s="41">
        <v>1</v>
      </c>
      <c r="J123" s="41">
        <v>1</v>
      </c>
      <c r="K123" s="41">
        <v>1</v>
      </c>
      <c r="L123" s="41">
        <v>1</v>
      </c>
      <c r="M123" s="41">
        <v>1</v>
      </c>
      <c r="N123" s="41">
        <v>1</v>
      </c>
      <c r="O123" s="41">
        <v>1</v>
      </c>
      <c r="P123" s="41">
        <v>1</v>
      </c>
      <c r="Q123" s="41">
        <v>1</v>
      </c>
      <c r="R123" s="41">
        <v>1</v>
      </c>
      <c r="S123" s="41" cm="1">
        <f t="array" ref="S123">H123*VLOOKUP($G123, Factor!$C$4:$N$36, 2, 0)*INDEX(Factor!$C$41:$N$87, _xlfn.XMATCH($C123, Factor!$C$41:$C$87, -1), 2)</f>
        <v>324</v>
      </c>
      <c r="T123" s="41" cm="1">
        <f t="array" ref="T123">I123*VLOOKUP($G123, Factor!$C$4:$N$36, 3, 0)*INDEX(Factor!$C$41:$N$87, _xlfn.XMATCH($C123, Factor!$C$41:$C$87, -1), 3)</f>
        <v>1440</v>
      </c>
      <c r="U123" s="41" cm="1">
        <f t="array" ref="U123">J123*VLOOKUP($G123, Factor!$C$4:$N$36, 4, 0)*INDEX(Factor!$C$41:$N$87, _xlfn.XMATCH($C123, Factor!$C$41:$C$87, -1), 4)</f>
        <v>6</v>
      </c>
      <c r="V123" s="41" cm="1">
        <f t="array" ref="V123">K123*VLOOKUP($G123, Factor!$C$4:$N$36, 5, 0)*INDEX(Factor!$C$41:$N$87, _xlfn.XMATCH($C123, Factor!$C$41:$C$87, -1), 5)</f>
        <v>14.4</v>
      </c>
      <c r="W123" s="41" cm="1">
        <f t="array" ref="W123">L123*VLOOKUP($G123, Factor!$C$4:$N$36, 6, 0)*INDEX(Factor!$C$41:$N$87, _xlfn.XMATCH($C123, Factor!$C$41:$C$87, -1), 6)</f>
        <v>18</v>
      </c>
      <c r="X123" s="41" cm="1">
        <f t="array" ref="X123">M123*VLOOKUP($G123, Factor!$C$4:$N$36, 7, 0)*INDEX(Factor!$C$41:$N$87, _xlfn.XMATCH($C123, Factor!$C$41:$C$87, -1), 7)</f>
        <v>12600</v>
      </c>
      <c r="Y123" s="41" cm="1">
        <f t="array" ref="Y123">N123*VLOOKUP($G123, Factor!$C$4:$N$36, 8, 0)*INDEX(Factor!$C$41:$N$87, _xlfn.XMATCH($C123, Factor!$C$41:$C$87, -1), 8)</f>
        <v>1260</v>
      </c>
      <c r="Z123" s="41" cm="1">
        <f t="array" ref="Z123">O123*VLOOKUP($G123, Factor!$C$4:$N$36, 9, 0)*INDEX(Factor!$C$41:$N$87, _xlfn.XMATCH($C123, Factor!$C$41:$C$87, -1), 9)</f>
        <v>9</v>
      </c>
      <c r="AA123" s="41" cm="1">
        <f t="array" ref="AA123">P123*VLOOKUP($G123, Factor!$C$4:$N$36, 10, 0)*INDEX(Factor!$C$41:$N$87, _xlfn.XMATCH($C123, Factor!$C$41:$C$87, -1), 10)</f>
        <v>1260</v>
      </c>
      <c r="AB123" s="41" cm="1">
        <f t="array" ref="AB123">Q123*VLOOKUP($G123, Factor!$C$4:$N$36, 11, 0)*INDEX(Factor!$C$41:$N$87, _xlfn.XMATCH($C123, Factor!$C$41:$C$87, -1), 11)</f>
        <v>15</v>
      </c>
      <c r="AC123" s="41" cm="1">
        <f t="array" ref="AC123">R123*VLOOKUP($G123, Factor!$C$4:$N$36, 12, 0)*INDEX(Factor!$C$41:$N$87, _xlfn.XMATCH($C123, Factor!$C$41:$C$87, -1), 12)</f>
        <v>5</v>
      </c>
      <c r="AD123" s="41"/>
    </row>
    <row r="124" spans="1:30" ht="15.75" customHeight="1" x14ac:dyDescent="0.2">
      <c r="A124" s="18" t="str">
        <f>"locomotive_"&amp; VLOOKUP(F124, Factor!$BK$4:$BL$6, 2, 0) &amp;"_"&amp;Locomotive!D124&amp;"_"&amp;VLOOKUP(E124, Factor!$BM$4:$BN$36, 2, 0)</f>
        <v>locomotive_Dz_T5_004</v>
      </c>
      <c r="B124" s="18" t="str">
        <f t="shared" si="2"/>
        <v>T5 화물 디젤기관차</v>
      </c>
      <c r="C124" s="18">
        <f>VLOOKUP(D124, Factor!$B$41:$C$50, 2, 0)</f>
        <v>50000</v>
      </c>
      <c r="D124" s="18" t="s">
        <v>324</v>
      </c>
      <c r="E124" s="18" t="s">
        <v>507</v>
      </c>
      <c r="F124" s="18" t="s">
        <v>503</v>
      </c>
      <c r="G124" s="18" t="str">
        <f t="shared" si="3"/>
        <v>화물 디젤</v>
      </c>
      <c r="H124" s="18">
        <v>1</v>
      </c>
      <c r="I124" s="18">
        <v>1</v>
      </c>
      <c r="J124" s="18">
        <v>1</v>
      </c>
      <c r="K124" s="18">
        <v>1</v>
      </c>
      <c r="L124" s="18">
        <v>1</v>
      </c>
      <c r="M124" s="18">
        <v>1</v>
      </c>
      <c r="N124" s="18">
        <v>1</v>
      </c>
      <c r="O124" s="18">
        <v>1</v>
      </c>
      <c r="P124" s="18">
        <v>1</v>
      </c>
      <c r="Q124" s="18">
        <v>1</v>
      </c>
      <c r="R124" s="18">
        <v>1</v>
      </c>
      <c r="S124" s="18" cm="1">
        <f t="array" ref="S124">H124*VLOOKUP($G124, Factor!$C$4:$N$36, 2, 0)*INDEX(Factor!$C$41:$N$87, _xlfn.XMATCH($C124, Factor!$C$41:$C$87, -1), 2)</f>
        <v>216</v>
      </c>
      <c r="T124" s="18" cm="1">
        <f t="array" ref="T124">I124*VLOOKUP($G124, Factor!$C$4:$N$36, 3, 0)*INDEX(Factor!$C$41:$N$87, _xlfn.XMATCH($C124, Factor!$C$41:$C$87, -1), 3)</f>
        <v>2160</v>
      </c>
      <c r="U124" s="18" cm="1">
        <f t="array" ref="U124">J124*VLOOKUP($G124, Factor!$C$4:$N$36, 4, 0)*INDEX(Factor!$C$41:$N$87, _xlfn.XMATCH($C124, Factor!$C$41:$C$87, -1), 4)</f>
        <v>6</v>
      </c>
      <c r="V124" s="18" cm="1">
        <f t="array" ref="V124">K124*VLOOKUP($G124, Factor!$C$4:$N$36, 5, 0)*INDEX(Factor!$C$41:$N$87, _xlfn.XMATCH($C124, Factor!$C$41:$C$87, -1), 5)</f>
        <v>10.8</v>
      </c>
      <c r="W124" s="18" cm="1">
        <f t="array" ref="W124">L124*VLOOKUP($G124, Factor!$C$4:$N$36, 6, 0)*INDEX(Factor!$C$41:$N$87, _xlfn.XMATCH($C124, Factor!$C$41:$C$87, -1), 6)</f>
        <v>18</v>
      </c>
      <c r="X124" s="18" cm="1">
        <f t="array" ref="X124">M124*VLOOKUP($G124, Factor!$C$4:$N$36, 7, 0)*INDEX(Factor!$C$41:$N$87, _xlfn.XMATCH($C124, Factor!$C$41:$C$87, -1), 7)</f>
        <v>27000</v>
      </c>
      <c r="Y124" s="18" cm="1">
        <f t="array" ref="Y124">N124*VLOOKUP($G124, Factor!$C$4:$N$36, 8, 0)*INDEX(Factor!$C$41:$N$87, _xlfn.XMATCH($C124, Factor!$C$41:$C$87, -1), 8)</f>
        <v>1440</v>
      </c>
      <c r="Z124" s="18" cm="1">
        <f t="array" ref="Z124">O124*VLOOKUP($G124, Factor!$C$4:$N$36, 9, 0)*INDEX(Factor!$C$41:$N$87, _xlfn.XMATCH($C124, Factor!$C$41:$C$87, -1), 9)</f>
        <v>18</v>
      </c>
      <c r="AA124" s="18" cm="1">
        <f t="array" ref="AA124">P124*VLOOKUP($G124, Factor!$C$4:$N$36, 10, 0)*INDEX(Factor!$C$41:$N$87, _xlfn.XMATCH($C124, Factor!$C$41:$C$87, -1), 10)</f>
        <v>1440</v>
      </c>
      <c r="AB124" s="18" cm="1">
        <f t="array" ref="AB124">Q124*VLOOKUP($G124, Factor!$C$4:$N$36, 11, 0)*INDEX(Factor!$C$41:$N$87, _xlfn.XMATCH($C124, Factor!$C$41:$C$87, -1), 11)</f>
        <v>15</v>
      </c>
      <c r="AC124" s="18" cm="1">
        <f t="array" ref="AC124">R124*VLOOKUP($G124, Factor!$C$4:$N$36, 12, 0)*INDEX(Factor!$C$41:$N$87, _xlfn.XMATCH($C124, Factor!$C$41:$C$87, -1), 12)</f>
        <v>5</v>
      </c>
      <c r="AD124" s="18"/>
    </row>
    <row r="125" spans="1:30" ht="15.75" customHeight="1" x14ac:dyDescent="0.2">
      <c r="A125" s="15" t="str">
        <f>"locomotive_"&amp; VLOOKUP(F125, Factor!$BK$4:$BL$6, 2, 0) &amp;"_"&amp;Locomotive!D125&amp;"_"&amp;VLOOKUP(E125, Factor!$BM$4:$BN$36, 2, 0)</f>
        <v>locomotive_St_T5_005</v>
      </c>
      <c r="B125" s="15" t="str">
        <f t="shared" si="2"/>
        <v>T5 군용 증기기관차</v>
      </c>
      <c r="C125" s="15">
        <f>VLOOKUP(D125, Factor!$B$41:$C$50, 2, 0)</f>
        <v>50000</v>
      </c>
      <c r="D125" s="15" t="s">
        <v>324</v>
      </c>
      <c r="E125" s="41" t="s">
        <v>508</v>
      </c>
      <c r="F125" s="41" t="s">
        <v>505</v>
      </c>
      <c r="G125" s="41" t="str">
        <f t="shared" si="3"/>
        <v>군용 증기</v>
      </c>
      <c r="H125" s="41">
        <v>1</v>
      </c>
      <c r="I125" s="41">
        <v>1</v>
      </c>
      <c r="J125" s="41">
        <v>1</v>
      </c>
      <c r="K125" s="41">
        <v>1</v>
      </c>
      <c r="L125" s="41">
        <v>1</v>
      </c>
      <c r="M125" s="41">
        <v>1</v>
      </c>
      <c r="N125" s="41">
        <v>1</v>
      </c>
      <c r="O125" s="41">
        <v>1</v>
      </c>
      <c r="P125" s="41">
        <v>1</v>
      </c>
      <c r="Q125" s="41">
        <v>1</v>
      </c>
      <c r="R125" s="41">
        <v>1</v>
      </c>
      <c r="S125" s="41" cm="1">
        <f t="array" ref="S125">H125*VLOOKUP($G125, Factor!$C$4:$N$36, 2, 0)*INDEX(Factor!$C$41:$N$87, _xlfn.XMATCH($C125, Factor!$C$41:$C$87, -1), 2)</f>
        <v>162</v>
      </c>
      <c r="T125" s="41" cm="1">
        <f t="array" ref="T125">I125*VLOOKUP($G125, Factor!$C$4:$N$36, 3, 0)*INDEX(Factor!$C$41:$N$87, _xlfn.XMATCH($C125, Factor!$C$41:$C$87, -1), 3)</f>
        <v>2880</v>
      </c>
      <c r="U125" s="41" cm="1">
        <f t="array" ref="U125">J125*VLOOKUP($G125, Factor!$C$4:$N$36, 4, 0)*INDEX(Factor!$C$41:$N$87, _xlfn.XMATCH($C125, Factor!$C$41:$C$87, -1), 4)</f>
        <v>6</v>
      </c>
      <c r="V125" s="41" cm="1">
        <f t="array" ref="V125">K125*VLOOKUP($G125, Factor!$C$4:$N$36, 5, 0)*INDEX(Factor!$C$41:$N$87, _xlfn.XMATCH($C125, Factor!$C$41:$C$87, -1), 5)</f>
        <v>3.6</v>
      </c>
      <c r="W125" s="41" cm="1">
        <f t="array" ref="W125">L125*VLOOKUP($G125, Factor!$C$4:$N$36, 6, 0)*INDEX(Factor!$C$41:$N$87, _xlfn.XMATCH($C125, Factor!$C$41:$C$87, -1), 6)</f>
        <v>32.4</v>
      </c>
      <c r="X125" s="41" cm="1">
        <f t="array" ref="X125">M125*VLOOKUP($G125, Factor!$C$4:$N$36, 7, 0)*INDEX(Factor!$C$41:$N$87, _xlfn.XMATCH($C125, Factor!$C$41:$C$87, -1), 7)</f>
        <v>18000</v>
      </c>
      <c r="Y125" s="41" cm="1">
        <f t="array" ref="Y125">N125*VLOOKUP($G125, Factor!$C$4:$N$36, 8, 0)*INDEX(Factor!$C$41:$N$87, _xlfn.XMATCH($C125, Factor!$C$41:$C$87, -1), 8)</f>
        <v>1800</v>
      </c>
      <c r="Z125" s="41" cm="1">
        <f t="array" ref="Z125">O125*VLOOKUP($G125, Factor!$C$4:$N$36, 9, 0)*INDEX(Factor!$C$41:$N$87, _xlfn.XMATCH($C125, Factor!$C$41:$C$87, -1), 9)</f>
        <v>54</v>
      </c>
      <c r="AA125" s="41" cm="1">
        <f t="array" ref="AA125">P125*VLOOKUP($G125, Factor!$C$4:$N$36, 10, 0)*INDEX(Factor!$C$41:$N$87, _xlfn.XMATCH($C125, Factor!$C$41:$C$87, -1), 10)</f>
        <v>1800</v>
      </c>
      <c r="AB125" s="41" cm="1">
        <f t="array" ref="AB125">Q125*VLOOKUP($G125, Factor!$C$4:$N$36, 11, 0)*INDEX(Factor!$C$41:$N$87, _xlfn.XMATCH($C125, Factor!$C$41:$C$87, -1), 11)</f>
        <v>5</v>
      </c>
      <c r="AC125" s="41" cm="1">
        <f t="array" ref="AC125">R125*VLOOKUP($G125, Factor!$C$4:$N$36, 12, 0)*INDEX(Factor!$C$41:$N$87, _xlfn.XMATCH($C125, Factor!$C$41:$C$87, -1), 12)</f>
        <v>5</v>
      </c>
      <c r="AD125" s="41"/>
    </row>
    <row r="126" spans="1:30" ht="15.75" customHeight="1" x14ac:dyDescent="0.2">
      <c r="A126" s="18" t="str">
        <f>"locomotive_"&amp; VLOOKUP(F126, Factor!$BK$4:$BL$6, 2, 0) &amp;"_"&amp;Locomotive!D126&amp;"_"&amp;VLOOKUP(E126, Factor!$BM$4:$BN$36, 2, 0)</f>
        <v>locomotive_El_T5_005</v>
      </c>
      <c r="B126" s="18" t="str">
        <f t="shared" si="2"/>
        <v>T5 군용 전기기관차</v>
      </c>
      <c r="C126" s="18">
        <f>VLOOKUP(D126, Factor!$B$41:$C$50, 2, 0)</f>
        <v>50000</v>
      </c>
      <c r="D126" s="18" t="s">
        <v>324</v>
      </c>
      <c r="E126" s="18" t="s">
        <v>508</v>
      </c>
      <c r="F126" s="18" t="s">
        <v>502</v>
      </c>
      <c r="G126" s="18" t="str">
        <f t="shared" si="3"/>
        <v>군용 전기</v>
      </c>
      <c r="H126" s="18">
        <v>1</v>
      </c>
      <c r="I126" s="18">
        <v>1</v>
      </c>
      <c r="J126" s="18">
        <v>1</v>
      </c>
      <c r="K126" s="18">
        <v>1</v>
      </c>
      <c r="L126" s="18">
        <v>1</v>
      </c>
      <c r="M126" s="18">
        <v>1</v>
      </c>
      <c r="N126" s="18">
        <v>1</v>
      </c>
      <c r="O126" s="18">
        <v>1</v>
      </c>
      <c r="P126" s="18">
        <v>1</v>
      </c>
      <c r="Q126" s="18">
        <v>1</v>
      </c>
      <c r="R126" s="18">
        <v>1</v>
      </c>
      <c r="S126" s="18" cm="1">
        <f t="array" ref="S126">H126*VLOOKUP($G126, Factor!$C$4:$N$36, 2, 0)*INDEX(Factor!$C$41:$N$87, _xlfn.XMATCH($C126, Factor!$C$41:$C$87, -1), 2)</f>
        <v>306</v>
      </c>
      <c r="T126" s="18" cm="1">
        <f t="array" ref="T126">I126*VLOOKUP($G126, Factor!$C$4:$N$36, 3, 0)*INDEX(Factor!$C$41:$N$87, _xlfn.XMATCH($C126, Factor!$C$41:$C$87, -1), 3)</f>
        <v>1800</v>
      </c>
      <c r="U126" s="18" cm="1">
        <f t="array" ref="U126">J126*VLOOKUP($G126, Factor!$C$4:$N$36, 4, 0)*INDEX(Factor!$C$41:$N$87, _xlfn.XMATCH($C126, Factor!$C$41:$C$87, -1), 4)</f>
        <v>6</v>
      </c>
      <c r="V126" s="18" cm="1">
        <f t="array" ref="V126">K126*VLOOKUP($G126, Factor!$C$4:$N$36, 5, 0)*INDEX(Factor!$C$41:$N$87, _xlfn.XMATCH($C126, Factor!$C$41:$C$87, -1), 5)</f>
        <v>9</v>
      </c>
      <c r="W126" s="18" cm="1">
        <f t="array" ref="W126">L126*VLOOKUP($G126, Factor!$C$4:$N$36, 6, 0)*INDEX(Factor!$C$41:$N$87, _xlfn.XMATCH($C126, Factor!$C$41:$C$87, -1), 6)</f>
        <v>32.4</v>
      </c>
      <c r="X126" s="18" cm="1">
        <f t="array" ref="X126">M126*VLOOKUP($G126, Factor!$C$4:$N$36, 7, 0)*INDEX(Factor!$C$41:$N$87, _xlfn.XMATCH($C126, Factor!$C$41:$C$87, -1), 7)</f>
        <v>12600</v>
      </c>
      <c r="Y126" s="18" cm="1">
        <f t="array" ref="Y126">N126*VLOOKUP($G126, Factor!$C$4:$N$36, 8, 0)*INDEX(Factor!$C$41:$N$87, _xlfn.XMATCH($C126, Factor!$C$41:$C$87, -1), 8)</f>
        <v>1260</v>
      </c>
      <c r="Z126" s="18" cm="1">
        <f t="array" ref="Z126">O126*VLOOKUP($G126, Factor!$C$4:$N$36, 9, 0)*INDEX(Factor!$C$41:$N$87, _xlfn.XMATCH($C126, Factor!$C$41:$C$87, -1), 9)</f>
        <v>9</v>
      </c>
      <c r="AA126" s="18" cm="1">
        <f t="array" ref="AA126">P126*VLOOKUP($G126, Factor!$C$4:$N$36, 10, 0)*INDEX(Factor!$C$41:$N$87, _xlfn.XMATCH($C126, Factor!$C$41:$C$87, -1), 10)</f>
        <v>1260</v>
      </c>
      <c r="AB126" s="18" cm="1">
        <f t="array" ref="AB126">Q126*VLOOKUP($G126, Factor!$C$4:$N$36, 11, 0)*INDEX(Factor!$C$41:$N$87, _xlfn.XMATCH($C126, Factor!$C$41:$C$87, -1), 11)</f>
        <v>5</v>
      </c>
      <c r="AC126" s="18" cm="1">
        <f t="array" ref="AC126">R126*VLOOKUP($G126, Factor!$C$4:$N$36, 12, 0)*INDEX(Factor!$C$41:$N$87, _xlfn.XMATCH($C126, Factor!$C$41:$C$87, -1), 12)</f>
        <v>5</v>
      </c>
      <c r="AD126" s="18"/>
    </row>
    <row r="127" spans="1:30" ht="15.75" customHeight="1" x14ac:dyDescent="0.2">
      <c r="A127" s="15" t="str">
        <f>"locomotive_"&amp; VLOOKUP(F127, Factor!$BK$4:$BL$6, 2, 0) &amp;"_"&amp;Locomotive!D127&amp;"_"&amp;VLOOKUP(E127, Factor!$BM$4:$BN$36, 2, 0)</f>
        <v>locomotive_Dz_T5_005</v>
      </c>
      <c r="B127" s="15" t="str">
        <f t="shared" si="2"/>
        <v>T5 군용 디젤기관차</v>
      </c>
      <c r="C127" s="15">
        <f>VLOOKUP(D127, Factor!$B$41:$C$50, 2, 0)</f>
        <v>50000</v>
      </c>
      <c r="D127" s="15" t="s">
        <v>324</v>
      </c>
      <c r="E127" s="41" t="s">
        <v>508</v>
      </c>
      <c r="F127" s="41" t="s">
        <v>503</v>
      </c>
      <c r="G127" s="41" t="str">
        <f t="shared" si="3"/>
        <v>군용 디젤</v>
      </c>
      <c r="H127" s="41">
        <v>1</v>
      </c>
      <c r="I127" s="41">
        <v>1</v>
      </c>
      <c r="J127" s="41">
        <v>1</v>
      </c>
      <c r="K127" s="41">
        <v>1</v>
      </c>
      <c r="L127" s="41">
        <v>1</v>
      </c>
      <c r="M127" s="41">
        <v>1</v>
      </c>
      <c r="N127" s="41">
        <v>1</v>
      </c>
      <c r="O127" s="41">
        <v>1</v>
      </c>
      <c r="P127" s="41">
        <v>1</v>
      </c>
      <c r="Q127" s="41">
        <v>1</v>
      </c>
      <c r="R127" s="41">
        <v>1</v>
      </c>
      <c r="S127" s="41" cm="1">
        <f t="array" ref="S127">H127*VLOOKUP($G127, Factor!$C$4:$N$36, 2, 0)*INDEX(Factor!$C$41:$N$87, _xlfn.XMATCH($C127, Factor!$C$41:$C$87, -1), 2)</f>
        <v>198</v>
      </c>
      <c r="T127" s="41" cm="1">
        <f t="array" ref="T127">I127*VLOOKUP($G127, Factor!$C$4:$N$36, 3, 0)*INDEX(Factor!$C$41:$N$87, _xlfn.XMATCH($C127, Factor!$C$41:$C$87, -1), 3)</f>
        <v>2880</v>
      </c>
      <c r="U127" s="41" cm="1">
        <f t="array" ref="U127">J127*VLOOKUP($G127, Factor!$C$4:$N$36, 4, 0)*INDEX(Factor!$C$41:$N$87, _xlfn.XMATCH($C127, Factor!$C$41:$C$87, -1), 4)</f>
        <v>6</v>
      </c>
      <c r="V127" s="41" cm="1">
        <f t="array" ref="V127">K127*VLOOKUP($G127, Factor!$C$4:$N$36, 5, 0)*INDEX(Factor!$C$41:$N$87, _xlfn.XMATCH($C127, Factor!$C$41:$C$87, -1), 5)</f>
        <v>5.4</v>
      </c>
      <c r="W127" s="41" cm="1">
        <f t="array" ref="W127">L127*VLOOKUP($G127, Factor!$C$4:$N$36, 6, 0)*INDEX(Factor!$C$41:$N$87, _xlfn.XMATCH($C127, Factor!$C$41:$C$87, -1), 6)</f>
        <v>32.4</v>
      </c>
      <c r="X127" s="41" cm="1">
        <f t="array" ref="X127">M127*VLOOKUP($G127, Factor!$C$4:$N$36, 7, 0)*INDEX(Factor!$C$41:$N$87, _xlfn.XMATCH($C127, Factor!$C$41:$C$87, -1), 7)</f>
        <v>27000</v>
      </c>
      <c r="Y127" s="41" cm="1">
        <f t="array" ref="Y127">N127*VLOOKUP($G127, Factor!$C$4:$N$36, 8, 0)*INDEX(Factor!$C$41:$N$87, _xlfn.XMATCH($C127, Factor!$C$41:$C$87, -1), 8)</f>
        <v>1440</v>
      </c>
      <c r="Z127" s="41" cm="1">
        <f t="array" ref="Z127">O127*VLOOKUP($G127, Factor!$C$4:$N$36, 9, 0)*INDEX(Factor!$C$41:$N$87, _xlfn.XMATCH($C127, Factor!$C$41:$C$87, -1), 9)</f>
        <v>18</v>
      </c>
      <c r="AA127" s="41" cm="1">
        <f t="array" ref="AA127">P127*VLOOKUP($G127, Factor!$C$4:$N$36, 10, 0)*INDEX(Factor!$C$41:$N$87, _xlfn.XMATCH($C127, Factor!$C$41:$C$87, -1), 10)</f>
        <v>1440</v>
      </c>
      <c r="AB127" s="41" cm="1">
        <f t="array" ref="AB127">Q127*VLOOKUP($G127, Factor!$C$4:$N$36, 11, 0)*INDEX(Factor!$C$41:$N$87, _xlfn.XMATCH($C127, Factor!$C$41:$C$87, -1), 11)</f>
        <v>5</v>
      </c>
      <c r="AC127" s="41" cm="1">
        <f t="array" ref="AC127">R127*VLOOKUP($G127, Factor!$C$4:$N$36, 12, 0)*INDEX(Factor!$C$41:$N$87, _xlfn.XMATCH($C127, Factor!$C$41:$C$87, -1), 12)</f>
        <v>5</v>
      </c>
      <c r="AD127" s="41"/>
    </row>
    <row r="128" spans="1:30" ht="15.75" customHeight="1" x14ac:dyDescent="0.2">
      <c r="A128" s="18" t="str">
        <f>"locomotive_"&amp; VLOOKUP(F128, Factor!$BK$4:$BL$6, 2, 0) &amp;"_"&amp;Locomotive!D128&amp;"_"&amp;VLOOKUP(E128, Factor!$BM$4:$BN$36, 2, 0)</f>
        <v>locomotive_St_T5_006</v>
      </c>
      <c r="B128" s="18" t="str">
        <f t="shared" si="2"/>
        <v>T5 여객 증기기관차</v>
      </c>
      <c r="C128" s="18">
        <f>VLOOKUP(D128, Factor!$B$41:$C$50, 2, 0)</f>
        <v>50000</v>
      </c>
      <c r="D128" s="18" t="s">
        <v>324</v>
      </c>
      <c r="E128" s="18" t="s">
        <v>509</v>
      </c>
      <c r="F128" s="18" t="s">
        <v>505</v>
      </c>
      <c r="G128" s="18" t="str">
        <f t="shared" si="3"/>
        <v>여객 증기</v>
      </c>
      <c r="H128" s="18">
        <v>1</v>
      </c>
      <c r="I128" s="18">
        <v>1</v>
      </c>
      <c r="J128" s="18">
        <v>1</v>
      </c>
      <c r="K128" s="18">
        <v>1</v>
      </c>
      <c r="L128" s="18">
        <v>1</v>
      </c>
      <c r="M128" s="18">
        <v>1</v>
      </c>
      <c r="N128" s="18">
        <v>1</v>
      </c>
      <c r="O128" s="18">
        <v>1</v>
      </c>
      <c r="P128" s="18">
        <v>1</v>
      </c>
      <c r="Q128" s="18">
        <v>1</v>
      </c>
      <c r="R128" s="18">
        <v>1</v>
      </c>
      <c r="S128" s="18" cm="1">
        <f t="array" ref="S128">H128*VLOOKUP($G128, Factor!$C$4:$N$36, 2, 0)*INDEX(Factor!$C$41:$N$87, _xlfn.XMATCH($C128, Factor!$C$41:$C$87, -1), 2)</f>
        <v>180</v>
      </c>
      <c r="T128" s="18" cm="1">
        <f t="array" ref="T128">I128*VLOOKUP($G128, Factor!$C$4:$N$36, 3, 0)*INDEX(Factor!$C$41:$N$87, _xlfn.XMATCH($C128, Factor!$C$41:$C$87, -1), 3)</f>
        <v>1800</v>
      </c>
      <c r="U128" s="18" cm="1">
        <f t="array" ref="U128">J128*VLOOKUP($G128, Factor!$C$4:$N$36, 4, 0)*INDEX(Factor!$C$41:$N$87, _xlfn.XMATCH($C128, Factor!$C$41:$C$87, -1), 4)</f>
        <v>6</v>
      </c>
      <c r="V128" s="18" cm="1">
        <f t="array" ref="V128">K128*VLOOKUP($G128, Factor!$C$4:$N$36, 5, 0)*INDEX(Factor!$C$41:$N$87, _xlfn.XMATCH($C128, Factor!$C$41:$C$87, -1), 5)</f>
        <v>7.2</v>
      </c>
      <c r="W128" s="18" cm="1">
        <f t="array" ref="W128">L128*VLOOKUP($G128, Factor!$C$4:$N$36, 6, 0)*INDEX(Factor!$C$41:$N$87, _xlfn.XMATCH($C128, Factor!$C$41:$C$87, -1), 6)</f>
        <v>18</v>
      </c>
      <c r="X128" s="18" cm="1">
        <f t="array" ref="X128">M128*VLOOKUP($G128, Factor!$C$4:$N$36, 7, 0)*INDEX(Factor!$C$41:$N$87, _xlfn.XMATCH($C128, Factor!$C$41:$C$87, -1), 7)</f>
        <v>18000</v>
      </c>
      <c r="Y128" s="18" cm="1">
        <f t="array" ref="Y128">N128*VLOOKUP($G128, Factor!$C$4:$N$36, 8, 0)*INDEX(Factor!$C$41:$N$87, _xlfn.XMATCH($C128, Factor!$C$41:$C$87, -1), 8)</f>
        <v>1620</v>
      </c>
      <c r="Z128" s="18" cm="1">
        <f t="array" ref="Z128">O128*VLOOKUP($G128, Factor!$C$4:$N$36, 9, 0)*INDEX(Factor!$C$41:$N$87, _xlfn.XMATCH($C128, Factor!$C$41:$C$87, -1), 9)</f>
        <v>45</v>
      </c>
      <c r="AA128" s="18" cm="1">
        <f t="array" ref="AA128">P128*VLOOKUP($G128, Factor!$C$4:$N$36, 10, 0)*INDEX(Factor!$C$41:$N$87, _xlfn.XMATCH($C128, Factor!$C$41:$C$87, -1), 10)</f>
        <v>1620</v>
      </c>
      <c r="AB128" s="18" cm="1">
        <f t="array" ref="AB128">Q128*VLOOKUP($G128, Factor!$C$4:$N$36, 11, 0)*INDEX(Factor!$C$41:$N$87, _xlfn.XMATCH($C128, Factor!$C$41:$C$87, -1), 11)</f>
        <v>5</v>
      </c>
      <c r="AC128" s="18" cm="1">
        <f t="array" ref="AC128">R128*VLOOKUP($G128, Factor!$C$4:$N$36, 12, 0)*INDEX(Factor!$C$41:$N$87, _xlfn.XMATCH($C128, Factor!$C$41:$C$87, -1), 12)</f>
        <v>15</v>
      </c>
      <c r="AD128" s="18"/>
    </row>
    <row r="129" spans="1:30" ht="15.75" customHeight="1" x14ac:dyDescent="0.2">
      <c r="A129" s="15" t="str">
        <f>"locomotive_"&amp; VLOOKUP(F129, Factor!$BK$4:$BL$6, 2, 0) &amp;"_"&amp;Locomotive!D129&amp;"_"&amp;VLOOKUP(E129, Factor!$BM$4:$BN$36, 2, 0)</f>
        <v>locomotive_El_T5_006</v>
      </c>
      <c r="B129" s="15" t="str">
        <f t="shared" ref="B129:B192" si="4">D129&amp;" "&amp;G129&amp;"기관차"</f>
        <v>T5 여객 전기기관차</v>
      </c>
      <c r="C129" s="15">
        <f>VLOOKUP(D129, Factor!$B$41:$C$50, 2, 0)</f>
        <v>50000</v>
      </c>
      <c r="D129" s="15" t="s">
        <v>324</v>
      </c>
      <c r="E129" s="41" t="s">
        <v>509</v>
      </c>
      <c r="F129" s="41" t="s">
        <v>502</v>
      </c>
      <c r="G129" s="41" t="str">
        <f t="shared" ref="G129:G192" si="5">E129&amp;" "&amp;F129</f>
        <v>여객 전기</v>
      </c>
      <c r="H129" s="41">
        <v>1</v>
      </c>
      <c r="I129" s="41">
        <v>1</v>
      </c>
      <c r="J129" s="41">
        <v>1</v>
      </c>
      <c r="K129" s="41">
        <v>1</v>
      </c>
      <c r="L129" s="41">
        <v>1</v>
      </c>
      <c r="M129" s="41">
        <v>1</v>
      </c>
      <c r="N129" s="41">
        <v>1</v>
      </c>
      <c r="O129" s="41">
        <v>1</v>
      </c>
      <c r="P129" s="41">
        <v>1</v>
      </c>
      <c r="Q129" s="41">
        <v>1</v>
      </c>
      <c r="R129" s="41">
        <v>1</v>
      </c>
      <c r="S129" s="41" cm="1">
        <f t="array" ref="S129">H129*VLOOKUP($G129, Factor!$C$4:$N$36, 2, 0)*INDEX(Factor!$C$41:$N$87, _xlfn.XMATCH($C129, Factor!$C$41:$C$87, -1), 2)</f>
        <v>360</v>
      </c>
      <c r="T129" s="41" cm="1">
        <f t="array" ref="T129">I129*VLOOKUP($G129, Factor!$C$4:$N$36, 3, 0)*INDEX(Factor!$C$41:$N$87, _xlfn.XMATCH($C129, Factor!$C$41:$C$87, -1), 3)</f>
        <v>1440</v>
      </c>
      <c r="U129" s="41" cm="1">
        <f t="array" ref="U129">J129*VLOOKUP($G129, Factor!$C$4:$N$36, 4, 0)*INDEX(Factor!$C$41:$N$87, _xlfn.XMATCH($C129, Factor!$C$41:$C$87, -1), 4)</f>
        <v>6</v>
      </c>
      <c r="V129" s="41" cm="1">
        <f t="array" ref="V129">K129*VLOOKUP($G129, Factor!$C$4:$N$36, 5, 0)*INDEX(Factor!$C$41:$N$87, _xlfn.XMATCH($C129, Factor!$C$41:$C$87, -1), 5)</f>
        <v>14.4</v>
      </c>
      <c r="W129" s="41" cm="1">
        <f t="array" ref="W129">L129*VLOOKUP($G129, Factor!$C$4:$N$36, 6, 0)*INDEX(Factor!$C$41:$N$87, _xlfn.XMATCH($C129, Factor!$C$41:$C$87, -1), 6)</f>
        <v>18</v>
      </c>
      <c r="X129" s="41" cm="1">
        <f t="array" ref="X129">M129*VLOOKUP($G129, Factor!$C$4:$N$36, 7, 0)*INDEX(Factor!$C$41:$N$87, _xlfn.XMATCH($C129, Factor!$C$41:$C$87, -1), 7)</f>
        <v>12600</v>
      </c>
      <c r="Y129" s="41" cm="1">
        <f t="array" ref="Y129">N129*VLOOKUP($G129, Factor!$C$4:$N$36, 8, 0)*INDEX(Factor!$C$41:$N$87, _xlfn.XMATCH($C129, Factor!$C$41:$C$87, -1), 8)</f>
        <v>1080</v>
      </c>
      <c r="Z129" s="41" cm="1">
        <f t="array" ref="Z129">O129*VLOOKUP($G129, Factor!$C$4:$N$36, 9, 0)*INDEX(Factor!$C$41:$N$87, _xlfn.XMATCH($C129, Factor!$C$41:$C$87, -1), 9)</f>
        <v>7.2</v>
      </c>
      <c r="AA129" s="41" cm="1">
        <f t="array" ref="AA129">P129*VLOOKUP($G129, Factor!$C$4:$N$36, 10, 0)*INDEX(Factor!$C$41:$N$87, _xlfn.XMATCH($C129, Factor!$C$41:$C$87, -1), 10)</f>
        <v>1080</v>
      </c>
      <c r="AB129" s="41" cm="1">
        <f t="array" ref="AB129">Q129*VLOOKUP($G129, Factor!$C$4:$N$36, 11, 0)*INDEX(Factor!$C$41:$N$87, _xlfn.XMATCH($C129, Factor!$C$41:$C$87, -1), 11)</f>
        <v>5</v>
      </c>
      <c r="AC129" s="41" cm="1">
        <f t="array" ref="AC129">R129*VLOOKUP($G129, Factor!$C$4:$N$36, 12, 0)*INDEX(Factor!$C$41:$N$87, _xlfn.XMATCH($C129, Factor!$C$41:$C$87, -1), 12)</f>
        <v>15</v>
      </c>
      <c r="AD129" s="41"/>
    </row>
    <row r="130" spans="1:30" ht="15.75" customHeight="1" x14ac:dyDescent="0.2">
      <c r="A130" s="18" t="str">
        <f>"locomotive_"&amp; VLOOKUP(F130, Factor!$BK$4:$BL$6, 2, 0) &amp;"_"&amp;Locomotive!D130&amp;"_"&amp;VLOOKUP(E130, Factor!$BM$4:$BN$36, 2, 0)</f>
        <v>locomotive_Dz_T5_006</v>
      </c>
      <c r="B130" s="18" t="str">
        <f t="shared" si="4"/>
        <v>T5 여객 디젤기관차</v>
      </c>
      <c r="C130" s="18">
        <f>VLOOKUP(D130, Factor!$B$41:$C$50, 2, 0)</f>
        <v>50000</v>
      </c>
      <c r="D130" s="18" t="s">
        <v>324</v>
      </c>
      <c r="E130" s="18" t="s">
        <v>509</v>
      </c>
      <c r="F130" s="18" t="s">
        <v>503</v>
      </c>
      <c r="G130" s="18" t="str">
        <f t="shared" si="5"/>
        <v>여객 디젤</v>
      </c>
      <c r="H130" s="18">
        <v>1</v>
      </c>
      <c r="I130" s="18">
        <v>1</v>
      </c>
      <c r="J130" s="18">
        <v>1</v>
      </c>
      <c r="K130" s="18">
        <v>1</v>
      </c>
      <c r="L130" s="18">
        <v>1</v>
      </c>
      <c r="M130" s="18">
        <v>1</v>
      </c>
      <c r="N130" s="18">
        <v>1</v>
      </c>
      <c r="O130" s="18">
        <v>1</v>
      </c>
      <c r="P130" s="18">
        <v>1</v>
      </c>
      <c r="Q130" s="18">
        <v>1</v>
      </c>
      <c r="R130" s="18">
        <v>1</v>
      </c>
      <c r="S130" s="18" cm="1">
        <f t="array" ref="S130">H130*VLOOKUP($G130, Factor!$C$4:$N$36, 2, 0)*INDEX(Factor!$C$41:$N$87, _xlfn.XMATCH($C130, Factor!$C$41:$C$87, -1), 2)</f>
        <v>270</v>
      </c>
      <c r="T130" s="18" cm="1">
        <f t="array" ref="T130">I130*VLOOKUP($G130, Factor!$C$4:$N$36, 3, 0)*INDEX(Factor!$C$41:$N$87, _xlfn.XMATCH($C130, Factor!$C$41:$C$87, -1), 3)</f>
        <v>2160</v>
      </c>
      <c r="U130" s="18" cm="1">
        <f t="array" ref="U130">J130*VLOOKUP($G130, Factor!$C$4:$N$36, 4, 0)*INDEX(Factor!$C$41:$N$87, _xlfn.XMATCH($C130, Factor!$C$41:$C$87, -1), 4)</f>
        <v>6</v>
      </c>
      <c r="V130" s="18" cm="1">
        <f t="array" ref="V130">K130*VLOOKUP($G130, Factor!$C$4:$N$36, 5, 0)*INDEX(Factor!$C$41:$N$87, _xlfn.XMATCH($C130, Factor!$C$41:$C$87, -1), 5)</f>
        <v>10.8</v>
      </c>
      <c r="W130" s="18" cm="1">
        <f t="array" ref="W130">L130*VLOOKUP($G130, Factor!$C$4:$N$36, 6, 0)*INDEX(Factor!$C$41:$N$87, _xlfn.XMATCH($C130, Factor!$C$41:$C$87, -1), 6)</f>
        <v>18</v>
      </c>
      <c r="X130" s="18" cm="1">
        <f t="array" ref="X130">M130*VLOOKUP($G130, Factor!$C$4:$N$36, 7, 0)*INDEX(Factor!$C$41:$N$87, _xlfn.XMATCH($C130, Factor!$C$41:$C$87, -1), 7)</f>
        <v>27000</v>
      </c>
      <c r="Y130" s="18" cm="1">
        <f t="array" ref="Y130">N130*VLOOKUP($G130, Factor!$C$4:$N$36, 8, 0)*INDEX(Factor!$C$41:$N$87, _xlfn.XMATCH($C130, Factor!$C$41:$C$87, -1), 8)</f>
        <v>1260</v>
      </c>
      <c r="Z130" s="18" cm="1">
        <f t="array" ref="Z130">O130*VLOOKUP($G130, Factor!$C$4:$N$36, 9, 0)*INDEX(Factor!$C$41:$N$87, _xlfn.XMATCH($C130, Factor!$C$41:$C$87, -1), 9)</f>
        <v>12.6</v>
      </c>
      <c r="AA130" s="18" cm="1">
        <f t="array" ref="AA130">P130*VLOOKUP($G130, Factor!$C$4:$N$36, 10, 0)*INDEX(Factor!$C$41:$N$87, _xlfn.XMATCH($C130, Factor!$C$41:$C$87, -1), 10)</f>
        <v>1260</v>
      </c>
      <c r="AB130" s="18" cm="1">
        <f t="array" ref="AB130">Q130*VLOOKUP($G130, Factor!$C$4:$N$36, 11, 0)*INDEX(Factor!$C$41:$N$87, _xlfn.XMATCH($C130, Factor!$C$41:$C$87, -1), 11)</f>
        <v>5</v>
      </c>
      <c r="AC130" s="18" cm="1">
        <f t="array" ref="AC130">R130*VLOOKUP($G130, Factor!$C$4:$N$36, 12, 0)*INDEX(Factor!$C$41:$N$87, _xlfn.XMATCH($C130, Factor!$C$41:$C$87, -1), 12)</f>
        <v>15</v>
      </c>
      <c r="AD130" s="18"/>
    </row>
    <row r="131" spans="1:30" ht="15.75" customHeight="1" x14ac:dyDescent="0.2">
      <c r="A131" s="15" t="str">
        <f>"locomotive_"&amp; VLOOKUP(F131, Factor!$BK$4:$BL$6, 2, 0) &amp;"_"&amp;Locomotive!D131&amp;"_"&amp;VLOOKUP(E131, Factor!$BM$4:$BN$36, 2, 0)</f>
        <v>locomotive_St_T5_007</v>
      </c>
      <c r="B131" s="15" t="str">
        <f t="shared" si="4"/>
        <v>T5 시운 증기기관차</v>
      </c>
      <c r="C131" s="15">
        <f>VLOOKUP(D131, Factor!$B$41:$C$50, 2, 0)</f>
        <v>50000</v>
      </c>
      <c r="D131" s="15" t="s">
        <v>324</v>
      </c>
      <c r="E131" s="41" t="s">
        <v>510</v>
      </c>
      <c r="F131" s="41" t="s">
        <v>505</v>
      </c>
      <c r="G131" s="41" t="str">
        <f t="shared" si="5"/>
        <v>시운 증기</v>
      </c>
      <c r="H131" s="41">
        <v>1</v>
      </c>
      <c r="I131" s="41">
        <v>1</v>
      </c>
      <c r="J131" s="41">
        <v>1</v>
      </c>
      <c r="K131" s="41">
        <v>1</v>
      </c>
      <c r="L131" s="41">
        <v>1</v>
      </c>
      <c r="M131" s="41">
        <v>1</v>
      </c>
      <c r="N131" s="41">
        <v>1</v>
      </c>
      <c r="O131" s="41">
        <v>1</v>
      </c>
      <c r="P131" s="41">
        <v>1</v>
      </c>
      <c r="Q131" s="41">
        <v>1</v>
      </c>
      <c r="R131" s="41">
        <v>1</v>
      </c>
      <c r="S131" s="41" cm="1">
        <f t="array" ref="S131">H131*VLOOKUP($G131, Factor!$C$4:$N$36, 2, 0)*INDEX(Factor!$C$41:$N$87, _xlfn.XMATCH($C131, Factor!$C$41:$C$87, -1), 2)</f>
        <v>180</v>
      </c>
      <c r="T131" s="41" cm="1">
        <f t="array" ref="T131">I131*VLOOKUP($G131, Factor!$C$4:$N$36, 3, 0)*INDEX(Factor!$C$41:$N$87, _xlfn.XMATCH($C131, Factor!$C$41:$C$87, -1), 3)</f>
        <v>1800</v>
      </c>
      <c r="U131" s="41" cm="1">
        <f t="array" ref="U131">J131*VLOOKUP($G131, Factor!$C$4:$N$36, 4, 0)*INDEX(Factor!$C$41:$N$87, _xlfn.XMATCH($C131, Factor!$C$41:$C$87, -1), 4)</f>
        <v>6</v>
      </c>
      <c r="V131" s="41" cm="1">
        <f t="array" ref="V131">K131*VLOOKUP($G131, Factor!$C$4:$N$36, 5, 0)*INDEX(Factor!$C$41:$N$87, _xlfn.XMATCH($C131, Factor!$C$41:$C$87, -1), 5)</f>
        <v>10.8</v>
      </c>
      <c r="W131" s="41" cm="1">
        <f t="array" ref="W131">L131*VLOOKUP($G131, Factor!$C$4:$N$36, 6, 0)*INDEX(Factor!$C$41:$N$87, _xlfn.XMATCH($C131, Factor!$C$41:$C$87, -1), 6)</f>
        <v>18</v>
      </c>
      <c r="X131" s="41" cm="1">
        <f t="array" ref="X131">M131*VLOOKUP($G131, Factor!$C$4:$N$36, 7, 0)*INDEX(Factor!$C$41:$N$87, _xlfn.XMATCH($C131, Factor!$C$41:$C$87, -1), 7)</f>
        <v>18000</v>
      </c>
      <c r="Y131" s="41" cm="1">
        <f t="array" ref="Y131">N131*VLOOKUP($G131, Factor!$C$4:$N$36, 8, 0)*INDEX(Factor!$C$41:$N$87, _xlfn.XMATCH($C131, Factor!$C$41:$C$87, -1), 8)</f>
        <v>900</v>
      </c>
      <c r="Z131" s="41" cm="1">
        <f t="array" ref="Z131">O131*VLOOKUP($G131, Factor!$C$4:$N$36, 9, 0)*INDEX(Factor!$C$41:$N$87, _xlfn.XMATCH($C131, Factor!$C$41:$C$87, -1), 9)</f>
        <v>54</v>
      </c>
      <c r="AA131" s="41" cm="1">
        <f t="array" ref="AA131">P131*VLOOKUP($G131, Factor!$C$4:$N$36, 10, 0)*INDEX(Factor!$C$41:$N$87, _xlfn.XMATCH($C131, Factor!$C$41:$C$87, -1), 10)</f>
        <v>3600</v>
      </c>
      <c r="AB131" s="41" cm="1">
        <f t="array" ref="AB131">Q131*VLOOKUP($G131, Factor!$C$4:$N$36, 11, 0)*INDEX(Factor!$C$41:$N$87, _xlfn.XMATCH($C131, Factor!$C$41:$C$87, -1), 11)</f>
        <v>5</v>
      </c>
      <c r="AC131" s="41" cm="1">
        <f t="array" ref="AC131">R131*VLOOKUP($G131, Factor!$C$4:$N$36, 12, 0)*INDEX(Factor!$C$41:$N$87, _xlfn.XMATCH($C131, Factor!$C$41:$C$87, -1), 12)</f>
        <v>5</v>
      </c>
      <c r="AD131" s="41"/>
    </row>
    <row r="132" spans="1:30" ht="15.75" customHeight="1" x14ac:dyDescent="0.2">
      <c r="A132" s="18" t="str">
        <f>"locomotive_"&amp; VLOOKUP(F132, Factor!$BK$4:$BL$6, 2, 0) &amp;"_"&amp;Locomotive!D132&amp;"_"&amp;VLOOKUP(E132, Factor!$BM$4:$BN$36, 2, 0)</f>
        <v>locomotive_El_T5_007</v>
      </c>
      <c r="B132" s="18" t="str">
        <f t="shared" si="4"/>
        <v>T5 시운 전기기관차</v>
      </c>
      <c r="C132" s="18">
        <f>VLOOKUP(D132, Factor!$B$41:$C$50, 2, 0)</f>
        <v>50000</v>
      </c>
      <c r="D132" s="18" t="s">
        <v>324</v>
      </c>
      <c r="E132" s="18" t="s">
        <v>510</v>
      </c>
      <c r="F132" s="18" t="s">
        <v>502</v>
      </c>
      <c r="G132" s="18" t="str">
        <f t="shared" si="5"/>
        <v>시운 전기</v>
      </c>
      <c r="H132" s="18">
        <v>1</v>
      </c>
      <c r="I132" s="18">
        <v>1</v>
      </c>
      <c r="J132" s="18">
        <v>1</v>
      </c>
      <c r="K132" s="18">
        <v>1</v>
      </c>
      <c r="L132" s="18">
        <v>1</v>
      </c>
      <c r="M132" s="18">
        <v>1</v>
      </c>
      <c r="N132" s="18">
        <v>1</v>
      </c>
      <c r="O132" s="18">
        <v>1</v>
      </c>
      <c r="P132" s="18">
        <v>1</v>
      </c>
      <c r="Q132" s="18">
        <v>1</v>
      </c>
      <c r="R132" s="18">
        <v>1</v>
      </c>
      <c r="S132" s="18" cm="1">
        <f t="array" ref="S132">H132*VLOOKUP($G132, Factor!$C$4:$N$36, 2, 0)*INDEX(Factor!$C$41:$N$87, _xlfn.XMATCH($C132, Factor!$C$41:$C$87, -1), 2)</f>
        <v>360</v>
      </c>
      <c r="T132" s="18" cm="1">
        <f t="array" ref="T132">I132*VLOOKUP($G132, Factor!$C$4:$N$36, 3, 0)*INDEX(Factor!$C$41:$N$87, _xlfn.XMATCH($C132, Factor!$C$41:$C$87, -1), 3)</f>
        <v>1440</v>
      </c>
      <c r="U132" s="18" cm="1">
        <f t="array" ref="U132">J132*VLOOKUP($G132, Factor!$C$4:$N$36, 4, 0)*INDEX(Factor!$C$41:$N$87, _xlfn.XMATCH($C132, Factor!$C$41:$C$87, -1), 4)</f>
        <v>6</v>
      </c>
      <c r="V132" s="18" cm="1">
        <f t="array" ref="V132">K132*VLOOKUP($G132, Factor!$C$4:$N$36, 5, 0)*INDEX(Factor!$C$41:$N$87, _xlfn.XMATCH($C132, Factor!$C$41:$C$87, -1), 5)</f>
        <v>18</v>
      </c>
      <c r="W132" s="18" cm="1">
        <f t="array" ref="W132">L132*VLOOKUP($G132, Factor!$C$4:$N$36, 6, 0)*INDEX(Factor!$C$41:$N$87, _xlfn.XMATCH($C132, Factor!$C$41:$C$87, -1), 6)</f>
        <v>18</v>
      </c>
      <c r="X132" s="18" cm="1">
        <f t="array" ref="X132">M132*VLOOKUP($G132, Factor!$C$4:$N$36, 7, 0)*INDEX(Factor!$C$41:$N$87, _xlfn.XMATCH($C132, Factor!$C$41:$C$87, -1), 7)</f>
        <v>12600</v>
      </c>
      <c r="Y132" s="18" cm="1">
        <f t="array" ref="Y132">N132*VLOOKUP($G132, Factor!$C$4:$N$36, 8, 0)*INDEX(Factor!$C$41:$N$87, _xlfn.XMATCH($C132, Factor!$C$41:$C$87, -1), 8)</f>
        <v>540</v>
      </c>
      <c r="Z132" s="18" cm="1">
        <f t="array" ref="Z132">O132*VLOOKUP($G132, Factor!$C$4:$N$36, 9, 0)*INDEX(Factor!$C$41:$N$87, _xlfn.XMATCH($C132, Factor!$C$41:$C$87, -1), 9)</f>
        <v>9</v>
      </c>
      <c r="AA132" s="18" cm="1">
        <f t="array" ref="AA132">P132*VLOOKUP($G132, Factor!$C$4:$N$36, 10, 0)*INDEX(Factor!$C$41:$N$87, _xlfn.XMATCH($C132, Factor!$C$41:$C$87, -1), 10)</f>
        <v>1800</v>
      </c>
      <c r="AB132" s="18" cm="1">
        <f t="array" ref="AB132">Q132*VLOOKUP($G132, Factor!$C$4:$N$36, 11, 0)*INDEX(Factor!$C$41:$N$87, _xlfn.XMATCH($C132, Factor!$C$41:$C$87, -1), 11)</f>
        <v>5</v>
      </c>
      <c r="AC132" s="18" cm="1">
        <f t="array" ref="AC132">R132*VLOOKUP($G132, Factor!$C$4:$N$36, 12, 0)*INDEX(Factor!$C$41:$N$87, _xlfn.XMATCH($C132, Factor!$C$41:$C$87, -1), 12)</f>
        <v>5</v>
      </c>
      <c r="AD132" s="18"/>
    </row>
    <row r="133" spans="1:30" ht="15.75" customHeight="1" x14ac:dyDescent="0.2">
      <c r="A133" s="15" t="str">
        <f>"locomotive_"&amp; VLOOKUP(F133, Factor!$BK$4:$BL$6, 2, 0) &amp;"_"&amp;Locomotive!D133&amp;"_"&amp;VLOOKUP(E133, Factor!$BM$4:$BN$36, 2, 0)</f>
        <v>locomotive_Dz_T5_007</v>
      </c>
      <c r="B133" s="15" t="str">
        <f t="shared" si="4"/>
        <v>T5 시운 디젤기관차</v>
      </c>
      <c r="C133" s="15">
        <f>VLOOKUP(D133, Factor!$B$41:$C$50, 2, 0)</f>
        <v>50000</v>
      </c>
      <c r="D133" s="15" t="s">
        <v>324</v>
      </c>
      <c r="E133" s="41" t="s">
        <v>510</v>
      </c>
      <c r="F133" s="41" t="s">
        <v>503</v>
      </c>
      <c r="G133" s="41" t="str">
        <f t="shared" si="5"/>
        <v>시운 디젤</v>
      </c>
      <c r="H133" s="41">
        <v>1</v>
      </c>
      <c r="I133" s="41">
        <v>1</v>
      </c>
      <c r="J133" s="41">
        <v>1</v>
      </c>
      <c r="K133" s="41">
        <v>1</v>
      </c>
      <c r="L133" s="41">
        <v>1</v>
      </c>
      <c r="M133" s="41">
        <v>1</v>
      </c>
      <c r="N133" s="41">
        <v>1</v>
      </c>
      <c r="O133" s="41">
        <v>1</v>
      </c>
      <c r="P133" s="41">
        <v>1</v>
      </c>
      <c r="Q133" s="41">
        <v>1</v>
      </c>
      <c r="R133" s="41">
        <v>1</v>
      </c>
      <c r="S133" s="41" cm="1">
        <f t="array" ref="S133">H133*VLOOKUP($G133, Factor!$C$4:$N$36, 2, 0)*INDEX(Factor!$C$41:$N$87, _xlfn.XMATCH($C133, Factor!$C$41:$C$87, -1), 2)</f>
        <v>270</v>
      </c>
      <c r="T133" s="41" cm="1">
        <f t="array" ref="T133">I133*VLOOKUP($G133, Factor!$C$4:$N$36, 3, 0)*INDEX(Factor!$C$41:$N$87, _xlfn.XMATCH($C133, Factor!$C$41:$C$87, -1), 3)</f>
        <v>2160</v>
      </c>
      <c r="U133" s="41" cm="1">
        <f t="array" ref="U133">J133*VLOOKUP($G133, Factor!$C$4:$N$36, 4, 0)*INDEX(Factor!$C$41:$N$87, _xlfn.XMATCH($C133, Factor!$C$41:$C$87, -1), 4)</f>
        <v>6</v>
      </c>
      <c r="V133" s="41" cm="1">
        <f t="array" ref="V133">K133*VLOOKUP($G133, Factor!$C$4:$N$36, 5, 0)*INDEX(Factor!$C$41:$N$87, _xlfn.XMATCH($C133, Factor!$C$41:$C$87, -1), 5)</f>
        <v>14.4</v>
      </c>
      <c r="W133" s="41" cm="1">
        <f t="array" ref="W133">L133*VLOOKUP($G133, Factor!$C$4:$N$36, 6, 0)*INDEX(Factor!$C$41:$N$87, _xlfn.XMATCH($C133, Factor!$C$41:$C$87, -1), 6)</f>
        <v>18</v>
      </c>
      <c r="X133" s="41" cm="1">
        <f t="array" ref="X133">M133*VLOOKUP($G133, Factor!$C$4:$N$36, 7, 0)*INDEX(Factor!$C$41:$N$87, _xlfn.XMATCH($C133, Factor!$C$41:$C$87, -1), 7)</f>
        <v>27000</v>
      </c>
      <c r="Y133" s="41" cm="1">
        <f t="array" ref="Y133">N133*VLOOKUP($G133, Factor!$C$4:$N$36, 8, 0)*INDEX(Factor!$C$41:$N$87, _xlfn.XMATCH($C133, Factor!$C$41:$C$87, -1), 8)</f>
        <v>720</v>
      </c>
      <c r="Z133" s="41" cm="1">
        <f t="array" ref="Z133">O133*VLOOKUP($G133, Factor!$C$4:$N$36, 9, 0)*INDEX(Factor!$C$41:$N$87, _xlfn.XMATCH($C133, Factor!$C$41:$C$87, -1), 9)</f>
        <v>18</v>
      </c>
      <c r="AA133" s="41" cm="1">
        <f t="array" ref="AA133">P133*VLOOKUP($G133, Factor!$C$4:$N$36, 10, 0)*INDEX(Factor!$C$41:$N$87, _xlfn.XMATCH($C133, Factor!$C$41:$C$87, -1), 10)</f>
        <v>2700</v>
      </c>
      <c r="AB133" s="41" cm="1">
        <f t="array" ref="AB133">Q133*VLOOKUP($G133, Factor!$C$4:$N$36, 11, 0)*INDEX(Factor!$C$41:$N$87, _xlfn.XMATCH($C133, Factor!$C$41:$C$87, -1), 11)</f>
        <v>5</v>
      </c>
      <c r="AC133" s="41" cm="1">
        <f t="array" ref="AC133">R133*VLOOKUP($G133, Factor!$C$4:$N$36, 12, 0)*INDEX(Factor!$C$41:$N$87, _xlfn.XMATCH($C133, Factor!$C$41:$C$87, -1), 12)</f>
        <v>5</v>
      </c>
      <c r="AD133" s="41"/>
    </row>
    <row r="134" spans="1:30" ht="15.75" customHeight="1" x14ac:dyDescent="0.2">
      <c r="A134" s="18" t="str">
        <f>"locomotive_"&amp; VLOOKUP(F134, Factor!$BK$4:$BL$6, 2, 0) &amp;"_"&amp;Locomotive!D134&amp;"_"&amp;VLOOKUP(E134, Factor!$BM$4:$BN$36, 2, 0)</f>
        <v>locomotive_St_T5_008</v>
      </c>
      <c r="B134" s="18" t="str">
        <f t="shared" si="4"/>
        <v>T5 경량 증기기관차</v>
      </c>
      <c r="C134" s="18">
        <f>VLOOKUP(D134, Factor!$B$41:$C$50, 2, 0)</f>
        <v>50000</v>
      </c>
      <c r="D134" s="18" t="s">
        <v>324</v>
      </c>
      <c r="E134" s="18" t="s">
        <v>511</v>
      </c>
      <c r="F134" s="18" t="s">
        <v>505</v>
      </c>
      <c r="G134" s="18" t="str">
        <f t="shared" si="5"/>
        <v>경량 증기</v>
      </c>
      <c r="H134" s="18">
        <v>1</v>
      </c>
      <c r="I134" s="18">
        <v>1</v>
      </c>
      <c r="J134" s="18">
        <v>1</v>
      </c>
      <c r="K134" s="18">
        <v>1</v>
      </c>
      <c r="L134" s="18">
        <v>1</v>
      </c>
      <c r="M134" s="18">
        <v>1</v>
      </c>
      <c r="N134" s="18">
        <v>1</v>
      </c>
      <c r="O134" s="18">
        <v>1</v>
      </c>
      <c r="P134" s="18">
        <v>1</v>
      </c>
      <c r="Q134" s="18">
        <v>1</v>
      </c>
      <c r="R134" s="18">
        <v>1</v>
      </c>
      <c r="S134" s="18" cm="1">
        <f t="array" ref="S134">H134*VLOOKUP($G134, Factor!$C$4:$N$36, 2, 0)*INDEX(Factor!$C$41:$N$87, _xlfn.XMATCH($C134, Factor!$C$41:$C$87, -1), 2)</f>
        <v>180</v>
      </c>
      <c r="T134" s="18" cm="1">
        <f t="array" ref="T134">I134*VLOOKUP($G134, Factor!$C$4:$N$36, 3, 0)*INDEX(Factor!$C$41:$N$87, _xlfn.XMATCH($C134, Factor!$C$41:$C$87, -1), 3)</f>
        <v>1620</v>
      </c>
      <c r="U134" s="18" cm="1">
        <f t="array" ref="U134">J134*VLOOKUP($G134, Factor!$C$4:$N$36, 4, 0)*INDEX(Factor!$C$41:$N$87, _xlfn.XMATCH($C134, Factor!$C$41:$C$87, -1), 4)</f>
        <v>6</v>
      </c>
      <c r="V134" s="18" cm="1">
        <f t="array" ref="V134">K134*VLOOKUP($G134, Factor!$C$4:$N$36, 5, 0)*INDEX(Factor!$C$41:$N$87, _xlfn.XMATCH($C134, Factor!$C$41:$C$87, -1), 5)</f>
        <v>9</v>
      </c>
      <c r="W134" s="18" cm="1">
        <f t="array" ref="W134">L134*VLOOKUP($G134, Factor!$C$4:$N$36, 6, 0)*INDEX(Factor!$C$41:$N$87, _xlfn.XMATCH($C134, Factor!$C$41:$C$87, -1), 6)</f>
        <v>18</v>
      </c>
      <c r="X134" s="18" cm="1">
        <f t="array" ref="X134">M134*VLOOKUP($G134, Factor!$C$4:$N$36, 7, 0)*INDEX(Factor!$C$41:$N$87, _xlfn.XMATCH($C134, Factor!$C$41:$C$87, -1), 7)</f>
        <v>14400</v>
      </c>
      <c r="Y134" s="18" cm="1">
        <f t="array" ref="Y134">N134*VLOOKUP($G134, Factor!$C$4:$N$36, 8, 0)*INDEX(Factor!$C$41:$N$87, _xlfn.XMATCH($C134, Factor!$C$41:$C$87, -1), 8)</f>
        <v>1800</v>
      </c>
      <c r="Z134" s="18" cm="1">
        <f t="array" ref="Z134">O134*VLOOKUP($G134, Factor!$C$4:$N$36, 9, 0)*INDEX(Factor!$C$41:$N$87, _xlfn.XMATCH($C134, Factor!$C$41:$C$87, -1), 9)</f>
        <v>54</v>
      </c>
      <c r="AA134" s="18" cm="1">
        <f t="array" ref="AA134">P134*VLOOKUP($G134, Factor!$C$4:$N$36, 10, 0)*INDEX(Factor!$C$41:$N$87, _xlfn.XMATCH($C134, Factor!$C$41:$C$87, -1), 10)</f>
        <v>1800</v>
      </c>
      <c r="AB134" s="18" cm="1">
        <f t="array" ref="AB134">Q134*VLOOKUP($G134, Factor!$C$4:$N$36, 11, 0)*INDEX(Factor!$C$41:$N$87, _xlfn.XMATCH($C134, Factor!$C$41:$C$87, -1), 11)</f>
        <v>5</v>
      </c>
      <c r="AC134" s="18" cm="1">
        <f t="array" ref="AC134">R134*VLOOKUP($G134, Factor!$C$4:$N$36, 12, 0)*INDEX(Factor!$C$41:$N$87, _xlfn.XMATCH($C134, Factor!$C$41:$C$87, -1), 12)</f>
        <v>5</v>
      </c>
      <c r="AD134" s="18"/>
    </row>
    <row r="135" spans="1:30" ht="15.75" customHeight="1" x14ac:dyDescent="0.2">
      <c r="A135" s="15" t="str">
        <f>"locomotive_"&amp; VLOOKUP(F135, Factor!$BK$4:$BL$6, 2, 0) &amp;"_"&amp;Locomotive!D135&amp;"_"&amp;VLOOKUP(E135, Factor!$BM$4:$BN$36, 2, 0)</f>
        <v>locomotive_El_T5_008</v>
      </c>
      <c r="B135" s="15" t="str">
        <f t="shared" si="4"/>
        <v>T5 경량 전기기관차</v>
      </c>
      <c r="C135" s="15">
        <f>VLOOKUP(D135, Factor!$B$41:$C$50, 2, 0)</f>
        <v>50000</v>
      </c>
      <c r="D135" s="15" t="s">
        <v>324</v>
      </c>
      <c r="E135" s="41" t="s">
        <v>511</v>
      </c>
      <c r="F135" s="41" t="s">
        <v>502</v>
      </c>
      <c r="G135" s="41" t="str">
        <f t="shared" si="5"/>
        <v>경량 전기</v>
      </c>
      <c r="H135" s="41">
        <v>1</v>
      </c>
      <c r="I135" s="41">
        <v>1</v>
      </c>
      <c r="J135" s="41">
        <v>1</v>
      </c>
      <c r="K135" s="41">
        <v>1</v>
      </c>
      <c r="L135" s="41">
        <v>1</v>
      </c>
      <c r="M135" s="41">
        <v>1</v>
      </c>
      <c r="N135" s="41">
        <v>1</v>
      </c>
      <c r="O135" s="41">
        <v>1</v>
      </c>
      <c r="P135" s="41">
        <v>1</v>
      </c>
      <c r="Q135" s="41">
        <v>1</v>
      </c>
      <c r="R135" s="41">
        <v>1</v>
      </c>
      <c r="S135" s="41" cm="1">
        <f t="array" ref="S135">H135*VLOOKUP($G135, Factor!$C$4:$N$36, 2, 0)*INDEX(Factor!$C$41:$N$87, _xlfn.XMATCH($C135, Factor!$C$41:$C$87, -1), 2)</f>
        <v>360</v>
      </c>
      <c r="T135" s="41" cm="1">
        <f t="array" ref="T135">I135*VLOOKUP($G135, Factor!$C$4:$N$36, 3, 0)*INDEX(Factor!$C$41:$N$87, _xlfn.XMATCH($C135, Factor!$C$41:$C$87, -1), 3)</f>
        <v>1260</v>
      </c>
      <c r="U135" s="41" cm="1">
        <f t="array" ref="U135">J135*VLOOKUP($G135, Factor!$C$4:$N$36, 4, 0)*INDEX(Factor!$C$41:$N$87, _xlfn.XMATCH($C135, Factor!$C$41:$C$87, -1), 4)</f>
        <v>6</v>
      </c>
      <c r="V135" s="41" cm="1">
        <f t="array" ref="V135">K135*VLOOKUP($G135, Factor!$C$4:$N$36, 5, 0)*INDEX(Factor!$C$41:$N$87, _xlfn.XMATCH($C135, Factor!$C$41:$C$87, -1), 5)</f>
        <v>16.2</v>
      </c>
      <c r="W135" s="41" cm="1">
        <f t="array" ref="W135">L135*VLOOKUP($G135, Factor!$C$4:$N$36, 6, 0)*INDEX(Factor!$C$41:$N$87, _xlfn.XMATCH($C135, Factor!$C$41:$C$87, -1), 6)</f>
        <v>18</v>
      </c>
      <c r="X135" s="41" cm="1">
        <f t="array" ref="X135">M135*VLOOKUP($G135, Factor!$C$4:$N$36, 7, 0)*INDEX(Factor!$C$41:$N$87, _xlfn.XMATCH($C135, Factor!$C$41:$C$87, -1), 7)</f>
        <v>9000</v>
      </c>
      <c r="Y135" s="41" cm="1">
        <f t="array" ref="Y135">N135*VLOOKUP($G135, Factor!$C$4:$N$36, 8, 0)*INDEX(Factor!$C$41:$N$87, _xlfn.XMATCH($C135, Factor!$C$41:$C$87, -1), 8)</f>
        <v>1260</v>
      </c>
      <c r="Z135" s="41" cm="1">
        <f t="array" ref="Z135">O135*VLOOKUP($G135, Factor!$C$4:$N$36, 9, 0)*INDEX(Factor!$C$41:$N$87, _xlfn.XMATCH($C135, Factor!$C$41:$C$87, -1), 9)</f>
        <v>9</v>
      </c>
      <c r="AA135" s="41" cm="1">
        <f t="array" ref="AA135">P135*VLOOKUP($G135, Factor!$C$4:$N$36, 10, 0)*INDEX(Factor!$C$41:$N$87, _xlfn.XMATCH($C135, Factor!$C$41:$C$87, -1), 10)</f>
        <v>1260</v>
      </c>
      <c r="AB135" s="41" cm="1">
        <f t="array" ref="AB135">Q135*VLOOKUP($G135, Factor!$C$4:$N$36, 11, 0)*INDEX(Factor!$C$41:$N$87, _xlfn.XMATCH($C135, Factor!$C$41:$C$87, -1), 11)</f>
        <v>5</v>
      </c>
      <c r="AC135" s="41" cm="1">
        <f t="array" ref="AC135">R135*VLOOKUP($G135, Factor!$C$4:$N$36, 12, 0)*INDEX(Factor!$C$41:$N$87, _xlfn.XMATCH($C135, Factor!$C$41:$C$87, -1), 12)</f>
        <v>5</v>
      </c>
      <c r="AD135" s="41"/>
    </row>
    <row r="136" spans="1:30" ht="15.75" customHeight="1" x14ac:dyDescent="0.2">
      <c r="A136" s="18" t="str">
        <f>"locomotive_"&amp; VLOOKUP(F136, Factor!$BK$4:$BL$6, 2, 0) &amp;"_"&amp;Locomotive!D136&amp;"_"&amp;VLOOKUP(E136, Factor!$BM$4:$BN$36, 2, 0)</f>
        <v>locomotive_Dz_T5_008</v>
      </c>
      <c r="B136" s="18" t="str">
        <f t="shared" si="4"/>
        <v>T5 경량 디젤기관차</v>
      </c>
      <c r="C136" s="18">
        <f>VLOOKUP(D136, Factor!$B$41:$C$50, 2, 0)</f>
        <v>50000</v>
      </c>
      <c r="D136" s="18" t="s">
        <v>324</v>
      </c>
      <c r="E136" s="18" t="s">
        <v>511</v>
      </c>
      <c r="F136" s="18" t="s">
        <v>503</v>
      </c>
      <c r="G136" s="18" t="str">
        <f t="shared" si="5"/>
        <v>경량 디젤</v>
      </c>
      <c r="H136" s="18">
        <v>1</v>
      </c>
      <c r="I136" s="18">
        <v>1</v>
      </c>
      <c r="J136" s="18">
        <v>1</v>
      </c>
      <c r="K136" s="18">
        <v>1</v>
      </c>
      <c r="L136" s="18">
        <v>1</v>
      </c>
      <c r="M136" s="18">
        <v>1</v>
      </c>
      <c r="N136" s="18">
        <v>1</v>
      </c>
      <c r="O136" s="18">
        <v>1</v>
      </c>
      <c r="P136" s="18">
        <v>1</v>
      </c>
      <c r="Q136" s="18">
        <v>1</v>
      </c>
      <c r="R136" s="18">
        <v>1</v>
      </c>
      <c r="S136" s="18" cm="1">
        <f t="array" ref="S136">H136*VLOOKUP($G136, Factor!$C$4:$N$36, 2, 0)*INDEX(Factor!$C$41:$N$87, _xlfn.XMATCH($C136, Factor!$C$41:$C$87, -1), 2)</f>
        <v>270</v>
      </c>
      <c r="T136" s="18" cm="1">
        <f t="array" ref="T136">I136*VLOOKUP($G136, Factor!$C$4:$N$36, 3, 0)*INDEX(Factor!$C$41:$N$87, _xlfn.XMATCH($C136, Factor!$C$41:$C$87, -1), 3)</f>
        <v>1980</v>
      </c>
      <c r="U136" s="18" cm="1">
        <f t="array" ref="U136">J136*VLOOKUP($G136, Factor!$C$4:$N$36, 4, 0)*INDEX(Factor!$C$41:$N$87, _xlfn.XMATCH($C136, Factor!$C$41:$C$87, -1), 4)</f>
        <v>6</v>
      </c>
      <c r="V136" s="18" cm="1">
        <f t="array" ref="V136">K136*VLOOKUP($G136, Factor!$C$4:$N$36, 5, 0)*INDEX(Factor!$C$41:$N$87, _xlfn.XMATCH($C136, Factor!$C$41:$C$87, -1), 5)</f>
        <v>12.6</v>
      </c>
      <c r="W136" s="18" cm="1">
        <f t="array" ref="W136">L136*VLOOKUP($G136, Factor!$C$4:$N$36, 6, 0)*INDEX(Factor!$C$41:$N$87, _xlfn.XMATCH($C136, Factor!$C$41:$C$87, -1), 6)</f>
        <v>18</v>
      </c>
      <c r="X136" s="18" cm="1">
        <f t="array" ref="X136">M136*VLOOKUP($G136, Factor!$C$4:$N$36, 7, 0)*INDEX(Factor!$C$41:$N$87, _xlfn.XMATCH($C136, Factor!$C$41:$C$87, -1), 7)</f>
        <v>21600</v>
      </c>
      <c r="Y136" s="18" cm="1">
        <f t="array" ref="Y136">N136*VLOOKUP($G136, Factor!$C$4:$N$36, 8, 0)*INDEX(Factor!$C$41:$N$87, _xlfn.XMATCH($C136, Factor!$C$41:$C$87, -1), 8)</f>
        <v>1440</v>
      </c>
      <c r="Z136" s="18" cm="1">
        <f t="array" ref="Z136">O136*VLOOKUP($G136, Factor!$C$4:$N$36, 9, 0)*INDEX(Factor!$C$41:$N$87, _xlfn.XMATCH($C136, Factor!$C$41:$C$87, -1), 9)</f>
        <v>18</v>
      </c>
      <c r="AA136" s="18" cm="1">
        <f t="array" ref="AA136">P136*VLOOKUP($G136, Factor!$C$4:$N$36, 10, 0)*INDEX(Factor!$C$41:$N$87, _xlfn.XMATCH($C136, Factor!$C$41:$C$87, -1), 10)</f>
        <v>1440</v>
      </c>
      <c r="AB136" s="18" cm="1">
        <f t="array" ref="AB136">Q136*VLOOKUP($G136, Factor!$C$4:$N$36, 11, 0)*INDEX(Factor!$C$41:$N$87, _xlfn.XMATCH($C136, Factor!$C$41:$C$87, -1), 11)</f>
        <v>5</v>
      </c>
      <c r="AC136" s="18" cm="1">
        <f t="array" ref="AC136">R136*VLOOKUP($G136, Factor!$C$4:$N$36, 12, 0)*INDEX(Factor!$C$41:$N$87, _xlfn.XMATCH($C136, Factor!$C$41:$C$87, -1), 12)</f>
        <v>5</v>
      </c>
      <c r="AD136" s="18"/>
    </row>
    <row r="137" spans="1:30" ht="15.75" customHeight="1" x14ac:dyDescent="0.2">
      <c r="A137" s="15" t="str">
        <f>"locomotive_"&amp; VLOOKUP(F137, Factor!$BK$4:$BL$6, 2, 0) &amp;"_"&amp;Locomotive!D137&amp;"_"&amp;VLOOKUP(E137, Factor!$BM$4:$BN$36, 2, 0)</f>
        <v>locomotive_St_T5_009</v>
      </c>
      <c r="B137" s="15" t="str">
        <f t="shared" si="4"/>
        <v>T5 견인 증기기관차</v>
      </c>
      <c r="C137" s="15">
        <f>VLOOKUP(D137, Factor!$B$41:$C$50, 2, 0)</f>
        <v>50000</v>
      </c>
      <c r="D137" s="15" t="s">
        <v>324</v>
      </c>
      <c r="E137" s="41" t="s">
        <v>512</v>
      </c>
      <c r="F137" s="41" t="s">
        <v>505</v>
      </c>
      <c r="G137" s="41" t="str">
        <f t="shared" si="5"/>
        <v>견인 증기</v>
      </c>
      <c r="H137" s="41">
        <v>1</v>
      </c>
      <c r="I137" s="41">
        <v>1</v>
      </c>
      <c r="J137" s="41">
        <v>1</v>
      </c>
      <c r="K137" s="41">
        <v>1</v>
      </c>
      <c r="L137" s="41">
        <v>1</v>
      </c>
      <c r="M137" s="41">
        <v>1</v>
      </c>
      <c r="N137" s="41">
        <v>1</v>
      </c>
      <c r="O137" s="41">
        <v>1</v>
      </c>
      <c r="P137" s="41">
        <v>1</v>
      </c>
      <c r="Q137" s="41">
        <v>1</v>
      </c>
      <c r="R137" s="41">
        <v>1</v>
      </c>
      <c r="S137" s="41" cm="1">
        <f t="array" ref="S137">H137*VLOOKUP($G137, Factor!$C$4:$N$36, 2, 0)*INDEX(Factor!$C$41:$N$87, _xlfn.XMATCH($C137, Factor!$C$41:$C$87, -1), 2)</f>
        <v>162</v>
      </c>
      <c r="T137" s="41" cm="1">
        <f t="array" ref="T137">I137*VLOOKUP($G137, Factor!$C$4:$N$36, 3, 0)*INDEX(Factor!$C$41:$N$87, _xlfn.XMATCH($C137, Factor!$C$41:$C$87, -1), 3)</f>
        <v>1800</v>
      </c>
      <c r="U137" s="41" cm="1">
        <f t="array" ref="U137">J137*VLOOKUP($G137, Factor!$C$4:$N$36, 4, 0)*INDEX(Factor!$C$41:$N$87, _xlfn.XMATCH($C137, Factor!$C$41:$C$87, -1), 4)</f>
        <v>6</v>
      </c>
      <c r="V137" s="41" cm="1">
        <f t="array" ref="V137">K137*VLOOKUP($G137, Factor!$C$4:$N$36, 5, 0)*INDEX(Factor!$C$41:$N$87, _xlfn.XMATCH($C137, Factor!$C$41:$C$87, -1), 5)</f>
        <v>5.4</v>
      </c>
      <c r="W137" s="41" cm="1">
        <f t="array" ref="W137">L137*VLOOKUP($G137, Factor!$C$4:$N$36, 6, 0)*INDEX(Factor!$C$41:$N$87, _xlfn.XMATCH($C137, Factor!$C$41:$C$87, -1), 6)</f>
        <v>18</v>
      </c>
      <c r="X137" s="41" cm="1">
        <f t="array" ref="X137">M137*VLOOKUP($G137, Factor!$C$4:$N$36, 7, 0)*INDEX(Factor!$C$41:$N$87, _xlfn.XMATCH($C137, Factor!$C$41:$C$87, -1), 7)</f>
        <v>27000</v>
      </c>
      <c r="Y137" s="41" cm="1">
        <f t="array" ref="Y137">N137*VLOOKUP($G137, Factor!$C$4:$N$36, 8, 0)*INDEX(Factor!$C$41:$N$87, _xlfn.XMATCH($C137, Factor!$C$41:$C$87, -1), 8)</f>
        <v>1800</v>
      </c>
      <c r="Z137" s="41" cm="1">
        <f t="array" ref="Z137">O137*VLOOKUP($G137, Factor!$C$4:$N$36, 9, 0)*INDEX(Factor!$C$41:$N$87, _xlfn.XMATCH($C137, Factor!$C$41:$C$87, -1), 9)</f>
        <v>54</v>
      </c>
      <c r="AA137" s="41" cm="1">
        <f t="array" ref="AA137">P137*VLOOKUP($G137, Factor!$C$4:$N$36, 10, 0)*INDEX(Factor!$C$41:$N$87, _xlfn.XMATCH($C137, Factor!$C$41:$C$87, -1), 10)</f>
        <v>1800</v>
      </c>
      <c r="AB137" s="41" cm="1">
        <f t="array" ref="AB137">Q137*VLOOKUP($G137, Factor!$C$4:$N$36, 11, 0)*INDEX(Factor!$C$41:$N$87, _xlfn.XMATCH($C137, Factor!$C$41:$C$87, -1), 11)</f>
        <v>5</v>
      </c>
      <c r="AC137" s="41" cm="1">
        <f t="array" ref="AC137">R137*VLOOKUP($G137, Factor!$C$4:$N$36, 12, 0)*INDEX(Factor!$C$41:$N$87, _xlfn.XMATCH($C137, Factor!$C$41:$C$87, -1), 12)</f>
        <v>5</v>
      </c>
      <c r="AD137" s="41"/>
    </row>
    <row r="138" spans="1:30" ht="15.75" customHeight="1" x14ac:dyDescent="0.2">
      <c r="A138" s="18" t="str">
        <f>"locomotive_"&amp; VLOOKUP(F138, Factor!$BK$4:$BL$6, 2, 0) &amp;"_"&amp;Locomotive!D138&amp;"_"&amp;VLOOKUP(E138, Factor!$BM$4:$BN$36, 2, 0)</f>
        <v>locomotive_El_T5_009</v>
      </c>
      <c r="B138" s="18" t="str">
        <f t="shared" si="4"/>
        <v>T5 견인 전기기관차</v>
      </c>
      <c r="C138" s="18">
        <f>VLOOKUP(D138, Factor!$B$41:$C$50, 2, 0)</f>
        <v>50000</v>
      </c>
      <c r="D138" s="18" t="s">
        <v>324</v>
      </c>
      <c r="E138" s="18" t="s">
        <v>512</v>
      </c>
      <c r="F138" s="18" t="s">
        <v>502</v>
      </c>
      <c r="G138" s="18" t="str">
        <f t="shared" si="5"/>
        <v>견인 전기</v>
      </c>
      <c r="H138" s="18">
        <v>1</v>
      </c>
      <c r="I138" s="18">
        <v>1</v>
      </c>
      <c r="J138" s="18">
        <v>1</v>
      </c>
      <c r="K138" s="18">
        <v>1</v>
      </c>
      <c r="L138" s="18">
        <v>1</v>
      </c>
      <c r="M138" s="18">
        <v>1</v>
      </c>
      <c r="N138" s="18">
        <v>1</v>
      </c>
      <c r="O138" s="18">
        <v>1</v>
      </c>
      <c r="P138" s="18">
        <v>1</v>
      </c>
      <c r="Q138" s="18">
        <v>1</v>
      </c>
      <c r="R138" s="18">
        <v>1</v>
      </c>
      <c r="S138" s="18" cm="1">
        <f t="array" ref="S138">H138*VLOOKUP($G138, Factor!$C$4:$N$36, 2, 0)*INDEX(Factor!$C$41:$N$87, _xlfn.XMATCH($C138, Factor!$C$41:$C$87, -1), 2)</f>
        <v>324</v>
      </c>
      <c r="T138" s="18" cm="1">
        <f t="array" ref="T138">I138*VLOOKUP($G138, Factor!$C$4:$N$36, 3, 0)*INDEX(Factor!$C$41:$N$87, _xlfn.XMATCH($C138, Factor!$C$41:$C$87, -1), 3)</f>
        <v>1440</v>
      </c>
      <c r="U138" s="18" cm="1">
        <f t="array" ref="U138">J138*VLOOKUP($G138, Factor!$C$4:$N$36, 4, 0)*INDEX(Factor!$C$41:$N$87, _xlfn.XMATCH($C138, Factor!$C$41:$C$87, -1), 4)</f>
        <v>6</v>
      </c>
      <c r="V138" s="18" cm="1">
        <f t="array" ref="V138">K138*VLOOKUP($G138, Factor!$C$4:$N$36, 5, 0)*INDEX(Factor!$C$41:$N$87, _xlfn.XMATCH($C138, Factor!$C$41:$C$87, -1), 5)</f>
        <v>12.6</v>
      </c>
      <c r="W138" s="18" cm="1">
        <f t="array" ref="W138">L138*VLOOKUP($G138, Factor!$C$4:$N$36, 6, 0)*INDEX(Factor!$C$41:$N$87, _xlfn.XMATCH($C138, Factor!$C$41:$C$87, -1), 6)</f>
        <v>18</v>
      </c>
      <c r="X138" s="18" cm="1">
        <f t="array" ref="X138">M138*VLOOKUP($G138, Factor!$C$4:$N$36, 7, 0)*INDEX(Factor!$C$41:$N$87, _xlfn.XMATCH($C138, Factor!$C$41:$C$87, -1), 7)</f>
        <v>21600</v>
      </c>
      <c r="Y138" s="18" cm="1">
        <f t="array" ref="Y138">N138*VLOOKUP($G138, Factor!$C$4:$N$36, 8, 0)*INDEX(Factor!$C$41:$N$87, _xlfn.XMATCH($C138, Factor!$C$41:$C$87, -1), 8)</f>
        <v>1260</v>
      </c>
      <c r="Z138" s="18" cm="1">
        <f t="array" ref="Z138">O138*VLOOKUP($G138, Factor!$C$4:$N$36, 9, 0)*INDEX(Factor!$C$41:$N$87, _xlfn.XMATCH($C138, Factor!$C$41:$C$87, -1), 9)</f>
        <v>9</v>
      </c>
      <c r="AA138" s="18" cm="1">
        <f t="array" ref="AA138">P138*VLOOKUP($G138, Factor!$C$4:$N$36, 10, 0)*INDEX(Factor!$C$41:$N$87, _xlfn.XMATCH($C138, Factor!$C$41:$C$87, -1), 10)</f>
        <v>1260</v>
      </c>
      <c r="AB138" s="18" cm="1">
        <f t="array" ref="AB138">Q138*VLOOKUP($G138, Factor!$C$4:$N$36, 11, 0)*INDEX(Factor!$C$41:$N$87, _xlfn.XMATCH($C138, Factor!$C$41:$C$87, -1), 11)</f>
        <v>5</v>
      </c>
      <c r="AC138" s="18" cm="1">
        <f t="array" ref="AC138">R138*VLOOKUP($G138, Factor!$C$4:$N$36, 12, 0)*INDEX(Factor!$C$41:$N$87, _xlfn.XMATCH($C138, Factor!$C$41:$C$87, -1), 12)</f>
        <v>5</v>
      </c>
      <c r="AD138" s="18"/>
    </row>
    <row r="139" spans="1:30" ht="15.75" customHeight="1" x14ac:dyDescent="0.2">
      <c r="A139" s="15" t="str">
        <f>"locomotive_"&amp; VLOOKUP(F139, Factor!$BK$4:$BL$6, 2, 0) &amp;"_"&amp;Locomotive!D139&amp;"_"&amp;VLOOKUP(E139, Factor!$BM$4:$BN$36, 2, 0)</f>
        <v>locomotive_Dz_T5_009</v>
      </c>
      <c r="B139" s="15" t="str">
        <f t="shared" si="4"/>
        <v>T5 견인 디젤기관차</v>
      </c>
      <c r="C139" s="15">
        <f>VLOOKUP(D139, Factor!$B$41:$C$50, 2, 0)</f>
        <v>50000</v>
      </c>
      <c r="D139" s="15" t="s">
        <v>324</v>
      </c>
      <c r="E139" s="41" t="s">
        <v>512</v>
      </c>
      <c r="F139" s="41" t="s">
        <v>503</v>
      </c>
      <c r="G139" s="41" t="str">
        <f t="shared" si="5"/>
        <v>견인 디젤</v>
      </c>
      <c r="H139" s="41">
        <v>1</v>
      </c>
      <c r="I139" s="41">
        <v>1</v>
      </c>
      <c r="J139" s="41">
        <v>1</v>
      </c>
      <c r="K139" s="41">
        <v>1</v>
      </c>
      <c r="L139" s="41">
        <v>1</v>
      </c>
      <c r="M139" s="41">
        <v>1</v>
      </c>
      <c r="N139" s="41">
        <v>1</v>
      </c>
      <c r="O139" s="41">
        <v>1</v>
      </c>
      <c r="P139" s="41">
        <v>1</v>
      </c>
      <c r="Q139" s="41">
        <v>1</v>
      </c>
      <c r="R139" s="41">
        <v>1</v>
      </c>
      <c r="S139" s="41" cm="1">
        <f t="array" ref="S139">H139*VLOOKUP($G139, Factor!$C$4:$N$36, 2, 0)*INDEX(Factor!$C$41:$N$87, _xlfn.XMATCH($C139, Factor!$C$41:$C$87, -1), 2)</f>
        <v>216</v>
      </c>
      <c r="T139" s="41" cm="1">
        <f t="array" ref="T139">I139*VLOOKUP($G139, Factor!$C$4:$N$36, 3, 0)*INDEX(Factor!$C$41:$N$87, _xlfn.XMATCH($C139, Factor!$C$41:$C$87, -1), 3)</f>
        <v>2160</v>
      </c>
      <c r="U139" s="41" cm="1">
        <f t="array" ref="U139">J139*VLOOKUP($G139, Factor!$C$4:$N$36, 4, 0)*INDEX(Factor!$C$41:$N$87, _xlfn.XMATCH($C139, Factor!$C$41:$C$87, -1), 4)</f>
        <v>6</v>
      </c>
      <c r="V139" s="41" cm="1">
        <f t="array" ref="V139">K139*VLOOKUP($G139, Factor!$C$4:$N$36, 5, 0)*INDEX(Factor!$C$41:$N$87, _xlfn.XMATCH($C139, Factor!$C$41:$C$87, -1), 5)</f>
        <v>9</v>
      </c>
      <c r="W139" s="41" cm="1">
        <f t="array" ref="W139">L139*VLOOKUP($G139, Factor!$C$4:$N$36, 6, 0)*INDEX(Factor!$C$41:$N$87, _xlfn.XMATCH($C139, Factor!$C$41:$C$87, -1), 6)</f>
        <v>18</v>
      </c>
      <c r="X139" s="41" cm="1">
        <f t="array" ref="X139">M139*VLOOKUP($G139, Factor!$C$4:$N$36, 7, 0)*INDEX(Factor!$C$41:$N$87, _xlfn.XMATCH($C139, Factor!$C$41:$C$87, -1), 7)</f>
        <v>36000</v>
      </c>
      <c r="Y139" s="41" cm="1">
        <f t="array" ref="Y139">N139*VLOOKUP($G139, Factor!$C$4:$N$36, 8, 0)*INDEX(Factor!$C$41:$N$87, _xlfn.XMATCH($C139, Factor!$C$41:$C$87, -1), 8)</f>
        <v>1440</v>
      </c>
      <c r="Z139" s="41" cm="1">
        <f t="array" ref="Z139">O139*VLOOKUP($G139, Factor!$C$4:$N$36, 9, 0)*INDEX(Factor!$C$41:$N$87, _xlfn.XMATCH($C139, Factor!$C$41:$C$87, -1), 9)</f>
        <v>18</v>
      </c>
      <c r="AA139" s="41" cm="1">
        <f t="array" ref="AA139">P139*VLOOKUP($G139, Factor!$C$4:$N$36, 10, 0)*INDEX(Factor!$C$41:$N$87, _xlfn.XMATCH($C139, Factor!$C$41:$C$87, -1), 10)</f>
        <v>1440</v>
      </c>
      <c r="AB139" s="41" cm="1">
        <f t="array" ref="AB139">Q139*VLOOKUP($G139, Factor!$C$4:$N$36, 11, 0)*INDEX(Factor!$C$41:$N$87, _xlfn.XMATCH($C139, Factor!$C$41:$C$87, -1), 11)</f>
        <v>5</v>
      </c>
      <c r="AC139" s="41" cm="1">
        <f t="array" ref="AC139">R139*VLOOKUP($G139, Factor!$C$4:$N$36, 12, 0)*INDEX(Factor!$C$41:$N$87, _xlfn.XMATCH($C139, Factor!$C$41:$C$87, -1), 12)</f>
        <v>5</v>
      </c>
      <c r="AD139" s="41"/>
    </row>
    <row r="140" spans="1:30" ht="15.75" customHeight="1" x14ac:dyDescent="0.2">
      <c r="A140" s="18" t="str">
        <f>"locomotive_"&amp; VLOOKUP(F140, Factor!$BK$4:$BL$6, 2, 0) &amp;"_"&amp;Locomotive!D140&amp;"_"&amp;VLOOKUP(E140, Factor!$BM$4:$BN$36, 2, 0)</f>
        <v>locomotive_St_T6_001</v>
      </c>
      <c r="B140" s="18" t="str">
        <f t="shared" si="4"/>
        <v>T6 표준 증기기관차</v>
      </c>
      <c r="C140" s="18">
        <f>VLOOKUP(D140, Factor!$B$41:$C$50, 2, 0)</f>
        <v>60000</v>
      </c>
      <c r="D140" s="18" t="s">
        <v>322</v>
      </c>
      <c r="E140" s="18" t="s">
        <v>501</v>
      </c>
      <c r="F140" s="18" t="s">
        <v>505</v>
      </c>
      <c r="G140" s="18" t="str">
        <f t="shared" si="5"/>
        <v>표준 증기</v>
      </c>
      <c r="H140" s="18">
        <v>1</v>
      </c>
      <c r="I140" s="18">
        <v>1</v>
      </c>
      <c r="J140" s="18">
        <v>1</v>
      </c>
      <c r="K140" s="18">
        <v>1</v>
      </c>
      <c r="L140" s="18">
        <v>1</v>
      </c>
      <c r="M140" s="18">
        <v>1</v>
      </c>
      <c r="N140" s="18">
        <v>1</v>
      </c>
      <c r="O140" s="18">
        <v>1</v>
      </c>
      <c r="P140" s="18">
        <v>1</v>
      </c>
      <c r="Q140" s="18">
        <v>1</v>
      </c>
      <c r="R140" s="18">
        <v>1</v>
      </c>
      <c r="S140" s="18" cm="1">
        <f t="array" ref="S140">H140*VLOOKUP($G140, Factor!$C$4:$N$36, 2, 0)*INDEX(Factor!$C$41:$N$87, _xlfn.XMATCH($C140, Factor!$C$41:$C$87, -1), 2)</f>
        <v>200</v>
      </c>
      <c r="T140" s="18" cm="1">
        <f t="array" ref="T140">I140*VLOOKUP($G140, Factor!$C$4:$N$36, 3, 0)*INDEX(Factor!$C$41:$N$87, _xlfn.XMATCH($C140, Factor!$C$41:$C$87, -1), 3)</f>
        <v>2000</v>
      </c>
      <c r="U140" s="18" cm="1">
        <f t="array" ref="U140">J140*VLOOKUP($G140, Factor!$C$4:$N$36, 4, 0)*INDEX(Factor!$C$41:$N$87, _xlfn.XMATCH($C140, Factor!$C$41:$C$87, -1), 4)</f>
        <v>7</v>
      </c>
      <c r="V140" s="18" cm="1">
        <f t="array" ref="V140">K140*VLOOKUP($G140, Factor!$C$4:$N$36, 5, 0)*INDEX(Factor!$C$41:$N$87, _xlfn.XMATCH($C140, Factor!$C$41:$C$87, -1), 5)</f>
        <v>8</v>
      </c>
      <c r="W140" s="18" cm="1">
        <f t="array" ref="W140">L140*VLOOKUP($G140, Factor!$C$4:$N$36, 6, 0)*INDEX(Factor!$C$41:$N$87, _xlfn.XMATCH($C140, Factor!$C$41:$C$87, -1), 6)</f>
        <v>20</v>
      </c>
      <c r="X140" s="18" cm="1">
        <f t="array" ref="X140">M140*VLOOKUP($G140, Factor!$C$4:$N$36, 7, 0)*INDEX(Factor!$C$41:$N$87, _xlfn.XMATCH($C140, Factor!$C$41:$C$87, -1), 7)</f>
        <v>20000</v>
      </c>
      <c r="Y140" s="18" cm="1">
        <f t="array" ref="Y140">N140*VLOOKUP($G140, Factor!$C$4:$N$36, 8, 0)*INDEX(Factor!$C$41:$N$87, _xlfn.XMATCH($C140, Factor!$C$41:$C$87, -1), 8)</f>
        <v>2000</v>
      </c>
      <c r="Z140" s="18" cm="1">
        <f t="array" ref="Z140">O140*VLOOKUP($G140, Factor!$C$4:$N$36, 9, 0)*INDEX(Factor!$C$41:$N$87, _xlfn.XMATCH($C140, Factor!$C$41:$C$87, -1), 9)</f>
        <v>60</v>
      </c>
      <c r="AA140" s="18" cm="1">
        <f t="array" ref="AA140">P140*VLOOKUP($G140, Factor!$C$4:$N$36, 10, 0)*INDEX(Factor!$C$41:$N$87, _xlfn.XMATCH($C140, Factor!$C$41:$C$87, -1), 10)</f>
        <v>2000</v>
      </c>
      <c r="AB140" s="18" cm="1">
        <f t="array" ref="AB140">Q140*VLOOKUP($G140, Factor!$C$4:$N$36, 11, 0)*INDEX(Factor!$C$41:$N$87, _xlfn.XMATCH($C140, Factor!$C$41:$C$87, -1), 11)</f>
        <v>6</v>
      </c>
      <c r="AC140" s="18" cm="1">
        <f t="array" ref="AC140">R140*VLOOKUP($G140, Factor!$C$4:$N$36, 12, 0)*INDEX(Factor!$C$41:$N$87, _xlfn.XMATCH($C140, Factor!$C$41:$C$87, -1), 12)</f>
        <v>6</v>
      </c>
      <c r="AD140" s="18"/>
    </row>
    <row r="141" spans="1:30" ht="15.75" customHeight="1" x14ac:dyDescent="0.2">
      <c r="A141" s="15" t="str">
        <f>"locomotive_"&amp; VLOOKUP(F141, Factor!$BK$4:$BL$6, 2, 0) &amp;"_"&amp;Locomotive!D141&amp;"_"&amp;VLOOKUP(E141, Factor!$BM$4:$BN$36, 2, 0)</f>
        <v>locomotive_El_T6_001</v>
      </c>
      <c r="B141" s="15" t="str">
        <f t="shared" si="4"/>
        <v>T6 표준 전기기관차</v>
      </c>
      <c r="C141" s="15">
        <f>VLOOKUP(D141, Factor!$B$41:$C$50, 2, 0)</f>
        <v>60000</v>
      </c>
      <c r="D141" s="15" t="s">
        <v>322</v>
      </c>
      <c r="E141" s="41" t="s">
        <v>501</v>
      </c>
      <c r="F141" s="41" t="s">
        <v>502</v>
      </c>
      <c r="G141" s="41" t="str">
        <f t="shared" si="5"/>
        <v>표준 전기</v>
      </c>
      <c r="H141" s="41">
        <v>1</v>
      </c>
      <c r="I141" s="41">
        <v>1</v>
      </c>
      <c r="J141" s="41">
        <v>1</v>
      </c>
      <c r="K141" s="41">
        <v>1</v>
      </c>
      <c r="L141" s="41">
        <v>1</v>
      </c>
      <c r="M141" s="41">
        <v>1</v>
      </c>
      <c r="N141" s="41">
        <v>1</v>
      </c>
      <c r="O141" s="41">
        <v>1</v>
      </c>
      <c r="P141" s="41">
        <v>1</v>
      </c>
      <c r="Q141" s="41">
        <v>1</v>
      </c>
      <c r="R141" s="41">
        <v>1</v>
      </c>
      <c r="S141" s="41" cm="1">
        <f t="array" ref="S141">H141*VLOOKUP($G141, Factor!$C$4:$N$36, 2, 0)*INDEX(Factor!$C$41:$N$87, _xlfn.XMATCH($C141, Factor!$C$41:$C$87, -1), 2)</f>
        <v>400</v>
      </c>
      <c r="T141" s="41" cm="1">
        <f t="array" ref="T141">I141*VLOOKUP($G141, Factor!$C$4:$N$36, 3, 0)*INDEX(Factor!$C$41:$N$87, _xlfn.XMATCH($C141, Factor!$C$41:$C$87, -1), 3)</f>
        <v>1600</v>
      </c>
      <c r="U141" s="41" cm="1">
        <f t="array" ref="U141">J141*VLOOKUP($G141, Factor!$C$4:$N$36, 4, 0)*INDEX(Factor!$C$41:$N$87, _xlfn.XMATCH($C141, Factor!$C$41:$C$87, -1), 4)</f>
        <v>7</v>
      </c>
      <c r="V141" s="41" cm="1">
        <f t="array" ref="V141">K141*VLOOKUP($G141, Factor!$C$4:$N$36, 5, 0)*INDEX(Factor!$C$41:$N$87, _xlfn.XMATCH($C141, Factor!$C$41:$C$87, -1), 5)</f>
        <v>16</v>
      </c>
      <c r="W141" s="41" cm="1">
        <f t="array" ref="W141">L141*VLOOKUP($G141, Factor!$C$4:$N$36, 6, 0)*INDEX(Factor!$C$41:$N$87, _xlfn.XMATCH($C141, Factor!$C$41:$C$87, -1), 6)</f>
        <v>20</v>
      </c>
      <c r="X141" s="41" cm="1">
        <f t="array" ref="X141">M141*VLOOKUP($G141, Factor!$C$4:$N$36, 7, 0)*INDEX(Factor!$C$41:$N$87, _xlfn.XMATCH($C141, Factor!$C$41:$C$87, -1), 7)</f>
        <v>14000</v>
      </c>
      <c r="Y141" s="41" cm="1">
        <f t="array" ref="Y141">N141*VLOOKUP($G141, Factor!$C$4:$N$36, 8, 0)*INDEX(Factor!$C$41:$N$87, _xlfn.XMATCH($C141, Factor!$C$41:$C$87, -1), 8)</f>
        <v>1400</v>
      </c>
      <c r="Z141" s="41" cm="1">
        <f t="array" ref="Z141">O141*VLOOKUP($G141, Factor!$C$4:$N$36, 9, 0)*INDEX(Factor!$C$41:$N$87, _xlfn.XMATCH($C141, Factor!$C$41:$C$87, -1), 9)</f>
        <v>10</v>
      </c>
      <c r="AA141" s="41" cm="1">
        <f t="array" ref="AA141">P141*VLOOKUP($G141, Factor!$C$4:$N$36, 10, 0)*INDEX(Factor!$C$41:$N$87, _xlfn.XMATCH($C141, Factor!$C$41:$C$87, -1), 10)</f>
        <v>1400</v>
      </c>
      <c r="AB141" s="41" cm="1">
        <f t="array" ref="AB141">Q141*VLOOKUP($G141, Factor!$C$4:$N$36, 11, 0)*INDEX(Factor!$C$41:$N$87, _xlfn.XMATCH($C141, Factor!$C$41:$C$87, -1), 11)</f>
        <v>6</v>
      </c>
      <c r="AC141" s="41" cm="1">
        <f t="array" ref="AC141">R141*VLOOKUP($G141, Factor!$C$4:$N$36, 12, 0)*INDEX(Factor!$C$41:$N$87, _xlfn.XMATCH($C141, Factor!$C$41:$C$87, -1), 12)</f>
        <v>6</v>
      </c>
      <c r="AD141" s="41"/>
    </row>
    <row r="142" spans="1:30" ht="15.75" customHeight="1" x14ac:dyDescent="0.2">
      <c r="A142" s="18" t="str">
        <f>"locomotive_"&amp; VLOOKUP(F142, Factor!$BK$4:$BL$6, 2, 0) &amp;"_"&amp;Locomotive!D142&amp;"_"&amp;VLOOKUP(E142, Factor!$BM$4:$BN$36, 2, 0)</f>
        <v>locomotive_Dz_T6_001</v>
      </c>
      <c r="B142" s="18" t="str">
        <f t="shared" si="4"/>
        <v>T6 표준 디젤기관차</v>
      </c>
      <c r="C142" s="18">
        <f>VLOOKUP(D142, Factor!$B$41:$C$50, 2, 0)</f>
        <v>60000</v>
      </c>
      <c r="D142" s="18" t="s">
        <v>322</v>
      </c>
      <c r="E142" s="18" t="s">
        <v>501</v>
      </c>
      <c r="F142" s="18" t="s">
        <v>503</v>
      </c>
      <c r="G142" s="18" t="str">
        <f t="shared" si="5"/>
        <v>표준 디젤</v>
      </c>
      <c r="H142" s="18">
        <v>1</v>
      </c>
      <c r="I142" s="18">
        <v>1</v>
      </c>
      <c r="J142" s="18">
        <v>1</v>
      </c>
      <c r="K142" s="18">
        <v>1</v>
      </c>
      <c r="L142" s="18">
        <v>1</v>
      </c>
      <c r="M142" s="18">
        <v>1</v>
      </c>
      <c r="N142" s="18">
        <v>1</v>
      </c>
      <c r="O142" s="18">
        <v>1</v>
      </c>
      <c r="P142" s="18">
        <v>1</v>
      </c>
      <c r="Q142" s="18">
        <v>1</v>
      </c>
      <c r="R142" s="18">
        <v>1</v>
      </c>
      <c r="S142" s="18" cm="1">
        <f t="array" ref="S142">H142*VLOOKUP($G142, Factor!$C$4:$N$36, 2, 0)*INDEX(Factor!$C$41:$N$87, _xlfn.XMATCH($C142, Factor!$C$41:$C$87, -1), 2)</f>
        <v>300</v>
      </c>
      <c r="T142" s="18" cm="1">
        <f t="array" ref="T142">I142*VLOOKUP($G142, Factor!$C$4:$N$36, 3, 0)*INDEX(Factor!$C$41:$N$87, _xlfn.XMATCH($C142, Factor!$C$41:$C$87, -1), 3)</f>
        <v>2400</v>
      </c>
      <c r="U142" s="18" cm="1">
        <f t="array" ref="U142">J142*VLOOKUP($G142, Factor!$C$4:$N$36, 4, 0)*INDEX(Factor!$C$41:$N$87, _xlfn.XMATCH($C142, Factor!$C$41:$C$87, -1), 4)</f>
        <v>7</v>
      </c>
      <c r="V142" s="18" cm="1">
        <f t="array" ref="V142">K142*VLOOKUP($G142, Factor!$C$4:$N$36, 5, 0)*INDEX(Factor!$C$41:$N$87, _xlfn.XMATCH($C142, Factor!$C$41:$C$87, -1), 5)</f>
        <v>12</v>
      </c>
      <c r="W142" s="18" cm="1">
        <f t="array" ref="W142">L142*VLOOKUP($G142, Factor!$C$4:$N$36, 6, 0)*INDEX(Factor!$C$41:$N$87, _xlfn.XMATCH($C142, Factor!$C$41:$C$87, -1), 6)</f>
        <v>20</v>
      </c>
      <c r="X142" s="18" cm="1">
        <f t="array" ref="X142">M142*VLOOKUP($G142, Factor!$C$4:$N$36, 7, 0)*INDEX(Factor!$C$41:$N$87, _xlfn.XMATCH($C142, Factor!$C$41:$C$87, -1), 7)</f>
        <v>30000</v>
      </c>
      <c r="Y142" s="18" cm="1">
        <f t="array" ref="Y142">N142*VLOOKUP($G142, Factor!$C$4:$N$36, 8, 0)*INDEX(Factor!$C$41:$N$87, _xlfn.XMATCH($C142, Factor!$C$41:$C$87, -1), 8)</f>
        <v>1600</v>
      </c>
      <c r="Z142" s="18" cm="1">
        <f t="array" ref="Z142">O142*VLOOKUP($G142, Factor!$C$4:$N$36, 9, 0)*INDEX(Factor!$C$41:$N$87, _xlfn.XMATCH($C142, Factor!$C$41:$C$87, -1), 9)</f>
        <v>20</v>
      </c>
      <c r="AA142" s="18" cm="1">
        <f t="array" ref="AA142">P142*VLOOKUP($G142, Factor!$C$4:$N$36, 10, 0)*INDEX(Factor!$C$41:$N$87, _xlfn.XMATCH($C142, Factor!$C$41:$C$87, -1), 10)</f>
        <v>1600</v>
      </c>
      <c r="AB142" s="18" cm="1">
        <f t="array" ref="AB142">Q142*VLOOKUP($G142, Factor!$C$4:$N$36, 11, 0)*INDEX(Factor!$C$41:$N$87, _xlfn.XMATCH($C142, Factor!$C$41:$C$87, -1), 11)</f>
        <v>6</v>
      </c>
      <c r="AC142" s="18" cm="1">
        <f t="array" ref="AC142">R142*VLOOKUP($G142, Factor!$C$4:$N$36, 12, 0)*INDEX(Factor!$C$41:$N$87, _xlfn.XMATCH($C142, Factor!$C$41:$C$87, -1), 12)</f>
        <v>6</v>
      </c>
      <c r="AD142" s="18"/>
    </row>
    <row r="143" spans="1:30" ht="15.75" customHeight="1" x14ac:dyDescent="0.2">
      <c r="A143" s="15" t="str">
        <f>"locomotive_"&amp; VLOOKUP(F143, Factor!$BK$4:$BL$6, 2, 0) &amp;"_"&amp;Locomotive!D143&amp;"_"&amp;VLOOKUP(E143, Factor!$BM$4:$BN$36, 2, 0)</f>
        <v>locomotive_St_T6_002</v>
      </c>
      <c r="B143" s="15" t="str">
        <f t="shared" si="4"/>
        <v>T6 쾌속 증기기관차</v>
      </c>
      <c r="C143" s="15">
        <f>VLOOKUP(D143, Factor!$B$41:$C$50, 2, 0)</f>
        <v>60000</v>
      </c>
      <c r="D143" s="15" t="s">
        <v>322</v>
      </c>
      <c r="E143" s="41" t="s">
        <v>504</v>
      </c>
      <c r="F143" s="41" t="s">
        <v>505</v>
      </c>
      <c r="G143" s="41" t="str">
        <f t="shared" si="5"/>
        <v>쾌속 증기</v>
      </c>
      <c r="H143" s="41">
        <v>1</v>
      </c>
      <c r="I143" s="41">
        <v>1</v>
      </c>
      <c r="J143" s="41">
        <v>1</v>
      </c>
      <c r="K143" s="41">
        <v>1</v>
      </c>
      <c r="L143" s="41">
        <v>1</v>
      </c>
      <c r="M143" s="41">
        <v>1</v>
      </c>
      <c r="N143" s="41">
        <v>1</v>
      </c>
      <c r="O143" s="41">
        <v>1</v>
      </c>
      <c r="P143" s="41">
        <v>1</v>
      </c>
      <c r="Q143" s="41">
        <v>1</v>
      </c>
      <c r="R143" s="41">
        <v>1</v>
      </c>
      <c r="S143" s="41" cm="1">
        <f t="array" ref="S143">H143*VLOOKUP($G143, Factor!$C$4:$N$36, 2, 0)*INDEX(Factor!$C$41:$N$87, _xlfn.XMATCH($C143, Factor!$C$41:$C$87, -1), 2)</f>
        <v>220</v>
      </c>
      <c r="T143" s="41" cm="1">
        <f t="array" ref="T143">I143*VLOOKUP($G143, Factor!$C$4:$N$36, 3, 0)*INDEX(Factor!$C$41:$N$87, _xlfn.XMATCH($C143, Factor!$C$41:$C$87, -1), 3)</f>
        <v>1800</v>
      </c>
      <c r="U143" s="41" cm="1">
        <f t="array" ref="U143">J143*VLOOKUP($G143, Factor!$C$4:$N$36, 4, 0)*INDEX(Factor!$C$41:$N$87, _xlfn.XMATCH($C143, Factor!$C$41:$C$87, -1), 4)</f>
        <v>7</v>
      </c>
      <c r="V143" s="41" cm="1">
        <f t="array" ref="V143">K143*VLOOKUP($G143, Factor!$C$4:$N$36, 5, 0)*INDEX(Factor!$C$41:$N$87, _xlfn.XMATCH($C143, Factor!$C$41:$C$87, -1), 5)</f>
        <v>12</v>
      </c>
      <c r="W143" s="41" cm="1">
        <f t="array" ref="W143">L143*VLOOKUP($G143, Factor!$C$4:$N$36, 6, 0)*INDEX(Factor!$C$41:$N$87, _xlfn.XMATCH($C143, Factor!$C$41:$C$87, -1), 6)</f>
        <v>20</v>
      </c>
      <c r="X143" s="41" cm="1">
        <f t="array" ref="X143">M143*VLOOKUP($G143, Factor!$C$4:$N$36, 7, 0)*INDEX(Factor!$C$41:$N$87, _xlfn.XMATCH($C143, Factor!$C$41:$C$87, -1), 7)</f>
        <v>20000</v>
      </c>
      <c r="Y143" s="41" cm="1">
        <f t="array" ref="Y143">N143*VLOOKUP($G143, Factor!$C$4:$N$36, 8, 0)*INDEX(Factor!$C$41:$N$87, _xlfn.XMATCH($C143, Factor!$C$41:$C$87, -1), 8)</f>
        <v>1600</v>
      </c>
      <c r="Z143" s="41" cm="1">
        <f t="array" ref="Z143">O143*VLOOKUP($G143, Factor!$C$4:$N$36, 9, 0)*INDEX(Factor!$C$41:$N$87, _xlfn.XMATCH($C143, Factor!$C$41:$C$87, -1), 9)</f>
        <v>40</v>
      </c>
      <c r="AA143" s="41" cm="1">
        <f t="array" ref="AA143">P143*VLOOKUP($G143, Factor!$C$4:$N$36, 10, 0)*INDEX(Factor!$C$41:$N$87, _xlfn.XMATCH($C143, Factor!$C$41:$C$87, -1), 10)</f>
        <v>1600</v>
      </c>
      <c r="AB143" s="41" cm="1">
        <f t="array" ref="AB143">Q143*VLOOKUP($G143, Factor!$C$4:$N$36, 11, 0)*INDEX(Factor!$C$41:$N$87, _xlfn.XMATCH($C143, Factor!$C$41:$C$87, -1), 11)</f>
        <v>6</v>
      </c>
      <c r="AC143" s="41" cm="1">
        <f t="array" ref="AC143">R143*VLOOKUP($G143, Factor!$C$4:$N$36, 12, 0)*INDEX(Factor!$C$41:$N$87, _xlfn.XMATCH($C143, Factor!$C$41:$C$87, -1), 12)</f>
        <v>6</v>
      </c>
      <c r="AD143" s="41"/>
    </row>
    <row r="144" spans="1:30" ht="15.75" customHeight="1" x14ac:dyDescent="0.2">
      <c r="A144" s="18" t="str">
        <f>"locomotive_"&amp; VLOOKUP(F144, Factor!$BK$4:$BL$6, 2, 0) &amp;"_"&amp;Locomotive!D144&amp;"_"&amp;VLOOKUP(E144, Factor!$BM$4:$BN$36, 2, 0)</f>
        <v>locomotive_El_T6_002</v>
      </c>
      <c r="B144" s="18" t="str">
        <f t="shared" si="4"/>
        <v>T6 쾌속 전기기관차</v>
      </c>
      <c r="C144" s="18">
        <f>VLOOKUP(D144, Factor!$B$41:$C$50, 2, 0)</f>
        <v>60000</v>
      </c>
      <c r="D144" s="18" t="s">
        <v>322</v>
      </c>
      <c r="E144" s="18" t="s">
        <v>504</v>
      </c>
      <c r="F144" s="18" t="s">
        <v>502</v>
      </c>
      <c r="G144" s="18" t="str">
        <f t="shared" si="5"/>
        <v>쾌속 전기</v>
      </c>
      <c r="H144" s="18">
        <v>1</v>
      </c>
      <c r="I144" s="18">
        <v>1</v>
      </c>
      <c r="J144" s="18">
        <v>1</v>
      </c>
      <c r="K144" s="18">
        <v>1</v>
      </c>
      <c r="L144" s="18">
        <v>1</v>
      </c>
      <c r="M144" s="18">
        <v>1</v>
      </c>
      <c r="N144" s="18">
        <v>1</v>
      </c>
      <c r="O144" s="18">
        <v>1</v>
      </c>
      <c r="P144" s="18">
        <v>1</v>
      </c>
      <c r="Q144" s="18">
        <v>1</v>
      </c>
      <c r="R144" s="18">
        <v>1</v>
      </c>
      <c r="S144" s="18" cm="1">
        <f t="array" ref="S144">H144*VLOOKUP($G144, Factor!$C$4:$N$36, 2, 0)*INDEX(Factor!$C$41:$N$87, _xlfn.XMATCH($C144, Factor!$C$41:$C$87, -1), 2)</f>
        <v>440</v>
      </c>
      <c r="T144" s="18" cm="1">
        <f t="array" ref="T144">I144*VLOOKUP($G144, Factor!$C$4:$N$36, 3, 0)*INDEX(Factor!$C$41:$N$87, _xlfn.XMATCH($C144, Factor!$C$41:$C$87, -1), 3)</f>
        <v>1400</v>
      </c>
      <c r="U144" s="18" cm="1">
        <f t="array" ref="U144">J144*VLOOKUP($G144, Factor!$C$4:$N$36, 4, 0)*INDEX(Factor!$C$41:$N$87, _xlfn.XMATCH($C144, Factor!$C$41:$C$87, -1), 4)</f>
        <v>7</v>
      </c>
      <c r="V144" s="18" cm="1">
        <f t="array" ref="V144">K144*VLOOKUP($G144, Factor!$C$4:$N$36, 5, 0)*INDEX(Factor!$C$41:$N$87, _xlfn.XMATCH($C144, Factor!$C$41:$C$87, -1), 5)</f>
        <v>20</v>
      </c>
      <c r="W144" s="18" cm="1">
        <f t="array" ref="W144">L144*VLOOKUP($G144, Factor!$C$4:$N$36, 6, 0)*INDEX(Factor!$C$41:$N$87, _xlfn.XMATCH($C144, Factor!$C$41:$C$87, -1), 6)</f>
        <v>20</v>
      </c>
      <c r="X144" s="18" cm="1">
        <f t="array" ref="X144">M144*VLOOKUP($G144, Factor!$C$4:$N$36, 7, 0)*INDEX(Factor!$C$41:$N$87, _xlfn.XMATCH($C144, Factor!$C$41:$C$87, -1), 7)</f>
        <v>14000</v>
      </c>
      <c r="Y144" s="18" cm="1">
        <f t="array" ref="Y144">N144*VLOOKUP($G144, Factor!$C$4:$N$36, 8, 0)*INDEX(Factor!$C$41:$N$87, _xlfn.XMATCH($C144, Factor!$C$41:$C$87, -1), 8)</f>
        <v>1000</v>
      </c>
      <c r="Z144" s="18" cm="1">
        <f t="array" ref="Z144">O144*VLOOKUP($G144, Factor!$C$4:$N$36, 9, 0)*INDEX(Factor!$C$41:$N$87, _xlfn.XMATCH($C144, Factor!$C$41:$C$87, -1), 9)</f>
        <v>6</v>
      </c>
      <c r="AA144" s="18" cm="1">
        <f t="array" ref="AA144">P144*VLOOKUP($G144, Factor!$C$4:$N$36, 10, 0)*INDEX(Factor!$C$41:$N$87, _xlfn.XMATCH($C144, Factor!$C$41:$C$87, -1), 10)</f>
        <v>1000</v>
      </c>
      <c r="AB144" s="18" cm="1">
        <f t="array" ref="AB144">Q144*VLOOKUP($G144, Factor!$C$4:$N$36, 11, 0)*INDEX(Factor!$C$41:$N$87, _xlfn.XMATCH($C144, Factor!$C$41:$C$87, -1), 11)</f>
        <v>6</v>
      </c>
      <c r="AC144" s="18" cm="1">
        <f t="array" ref="AC144">R144*VLOOKUP($G144, Factor!$C$4:$N$36, 12, 0)*INDEX(Factor!$C$41:$N$87, _xlfn.XMATCH($C144, Factor!$C$41:$C$87, -1), 12)</f>
        <v>6</v>
      </c>
      <c r="AD144" s="18"/>
    </row>
    <row r="145" spans="1:30" ht="15.75" customHeight="1" x14ac:dyDescent="0.2">
      <c r="A145" s="15" t="str">
        <f>"locomotive_"&amp; VLOOKUP(F145, Factor!$BK$4:$BL$6, 2, 0) &amp;"_"&amp;Locomotive!D145&amp;"_"&amp;VLOOKUP(E145, Factor!$BM$4:$BN$36, 2, 0)</f>
        <v>locomotive_Dz_T6_002</v>
      </c>
      <c r="B145" s="15" t="str">
        <f t="shared" si="4"/>
        <v>T6 쾌속 디젤기관차</v>
      </c>
      <c r="C145" s="15">
        <f>VLOOKUP(D145, Factor!$B$41:$C$50, 2, 0)</f>
        <v>60000</v>
      </c>
      <c r="D145" s="15" t="s">
        <v>322</v>
      </c>
      <c r="E145" s="41" t="s">
        <v>504</v>
      </c>
      <c r="F145" s="41" t="s">
        <v>503</v>
      </c>
      <c r="G145" s="41" t="str">
        <f t="shared" si="5"/>
        <v>쾌속 디젤</v>
      </c>
      <c r="H145" s="41">
        <v>1</v>
      </c>
      <c r="I145" s="41">
        <v>1</v>
      </c>
      <c r="J145" s="41">
        <v>1</v>
      </c>
      <c r="K145" s="41">
        <v>1</v>
      </c>
      <c r="L145" s="41">
        <v>1</v>
      </c>
      <c r="M145" s="41">
        <v>1</v>
      </c>
      <c r="N145" s="41">
        <v>1</v>
      </c>
      <c r="O145" s="41">
        <v>1</v>
      </c>
      <c r="P145" s="41">
        <v>1</v>
      </c>
      <c r="Q145" s="41">
        <v>1</v>
      </c>
      <c r="R145" s="41">
        <v>1</v>
      </c>
      <c r="S145" s="41" cm="1">
        <f t="array" ref="S145">H145*VLOOKUP($G145, Factor!$C$4:$N$36, 2, 0)*INDEX(Factor!$C$41:$N$87, _xlfn.XMATCH($C145, Factor!$C$41:$C$87, -1), 2)</f>
        <v>330</v>
      </c>
      <c r="T145" s="41" cm="1">
        <f t="array" ref="T145">I145*VLOOKUP($G145, Factor!$C$4:$N$36, 3, 0)*INDEX(Factor!$C$41:$N$87, _xlfn.XMATCH($C145, Factor!$C$41:$C$87, -1), 3)</f>
        <v>2000</v>
      </c>
      <c r="U145" s="41" cm="1">
        <f t="array" ref="U145">J145*VLOOKUP($G145, Factor!$C$4:$N$36, 4, 0)*INDEX(Factor!$C$41:$N$87, _xlfn.XMATCH($C145, Factor!$C$41:$C$87, -1), 4)</f>
        <v>7</v>
      </c>
      <c r="V145" s="41" cm="1">
        <f t="array" ref="V145">K145*VLOOKUP($G145, Factor!$C$4:$N$36, 5, 0)*INDEX(Factor!$C$41:$N$87, _xlfn.XMATCH($C145, Factor!$C$41:$C$87, -1), 5)</f>
        <v>16</v>
      </c>
      <c r="W145" s="41" cm="1">
        <f t="array" ref="W145">L145*VLOOKUP($G145, Factor!$C$4:$N$36, 6, 0)*INDEX(Factor!$C$41:$N$87, _xlfn.XMATCH($C145, Factor!$C$41:$C$87, -1), 6)</f>
        <v>20</v>
      </c>
      <c r="X145" s="41" cm="1">
        <f t="array" ref="X145">M145*VLOOKUP($G145, Factor!$C$4:$N$36, 7, 0)*INDEX(Factor!$C$41:$N$87, _xlfn.XMATCH($C145, Factor!$C$41:$C$87, -1), 7)</f>
        <v>30000</v>
      </c>
      <c r="Y145" s="41" cm="1">
        <f t="array" ref="Y145">N145*VLOOKUP($G145, Factor!$C$4:$N$36, 8, 0)*INDEX(Factor!$C$41:$N$87, _xlfn.XMATCH($C145, Factor!$C$41:$C$87, -1), 8)</f>
        <v>1300</v>
      </c>
      <c r="Z145" s="41" cm="1">
        <f t="array" ref="Z145">O145*VLOOKUP($G145, Factor!$C$4:$N$36, 9, 0)*INDEX(Factor!$C$41:$N$87, _xlfn.XMATCH($C145, Factor!$C$41:$C$87, -1), 9)</f>
        <v>10</v>
      </c>
      <c r="AA145" s="41" cm="1">
        <f t="array" ref="AA145">P145*VLOOKUP($G145, Factor!$C$4:$N$36, 10, 0)*INDEX(Factor!$C$41:$N$87, _xlfn.XMATCH($C145, Factor!$C$41:$C$87, -1), 10)</f>
        <v>1300</v>
      </c>
      <c r="AB145" s="41" cm="1">
        <f t="array" ref="AB145">Q145*VLOOKUP($G145, Factor!$C$4:$N$36, 11, 0)*INDEX(Factor!$C$41:$N$87, _xlfn.XMATCH($C145, Factor!$C$41:$C$87, -1), 11)</f>
        <v>6</v>
      </c>
      <c r="AC145" s="41" cm="1">
        <f t="array" ref="AC145">R145*VLOOKUP($G145, Factor!$C$4:$N$36, 12, 0)*INDEX(Factor!$C$41:$N$87, _xlfn.XMATCH($C145, Factor!$C$41:$C$87, -1), 12)</f>
        <v>6</v>
      </c>
      <c r="AD145" s="41"/>
    </row>
    <row r="146" spans="1:30" ht="15.75" customHeight="1" x14ac:dyDescent="0.2">
      <c r="A146" s="18" t="str">
        <f>"locomotive_"&amp; VLOOKUP(F146, Factor!$BK$4:$BL$6, 2, 0) &amp;"_"&amp;Locomotive!D146&amp;"_"&amp;VLOOKUP(E146, Factor!$BM$4:$BN$36, 2, 0)</f>
        <v>locomotive_St_T6_003</v>
      </c>
      <c r="B146" s="18" t="str">
        <f t="shared" si="4"/>
        <v>T6 중갑 증기기관차</v>
      </c>
      <c r="C146" s="18">
        <f>VLOOKUP(D146, Factor!$B$41:$C$50, 2, 0)</f>
        <v>60000</v>
      </c>
      <c r="D146" s="18" t="s">
        <v>322</v>
      </c>
      <c r="E146" s="18" t="s">
        <v>506</v>
      </c>
      <c r="F146" s="18" t="s">
        <v>505</v>
      </c>
      <c r="G146" s="18" t="str">
        <f t="shared" si="5"/>
        <v>중갑 증기</v>
      </c>
      <c r="H146" s="18">
        <v>1</v>
      </c>
      <c r="I146" s="18">
        <v>1</v>
      </c>
      <c r="J146" s="18">
        <v>1</v>
      </c>
      <c r="K146" s="18">
        <v>1</v>
      </c>
      <c r="L146" s="18">
        <v>1</v>
      </c>
      <c r="M146" s="18">
        <v>1</v>
      </c>
      <c r="N146" s="18">
        <v>1</v>
      </c>
      <c r="O146" s="18">
        <v>1</v>
      </c>
      <c r="P146" s="18">
        <v>1</v>
      </c>
      <c r="Q146" s="18">
        <v>1</v>
      </c>
      <c r="R146" s="18">
        <v>1</v>
      </c>
      <c r="S146" s="18" cm="1">
        <f t="array" ref="S146">H146*VLOOKUP($G146, Factor!$C$4:$N$36, 2, 0)*INDEX(Factor!$C$41:$N$87, _xlfn.XMATCH($C146, Factor!$C$41:$C$87, -1), 2)</f>
        <v>180</v>
      </c>
      <c r="T146" s="18" cm="1">
        <f t="array" ref="T146">I146*VLOOKUP($G146, Factor!$C$4:$N$36, 3, 0)*INDEX(Factor!$C$41:$N$87, _xlfn.XMATCH($C146, Factor!$C$41:$C$87, -1), 3)</f>
        <v>2400</v>
      </c>
      <c r="U146" s="18" cm="1">
        <f t="array" ref="U146">J146*VLOOKUP($G146, Factor!$C$4:$N$36, 4, 0)*INDEX(Factor!$C$41:$N$87, _xlfn.XMATCH($C146, Factor!$C$41:$C$87, -1), 4)</f>
        <v>7</v>
      </c>
      <c r="V146" s="18" cm="1">
        <f t="array" ref="V146">K146*VLOOKUP($G146, Factor!$C$4:$N$36, 5, 0)*INDEX(Factor!$C$41:$N$87, _xlfn.XMATCH($C146, Factor!$C$41:$C$87, -1), 5)</f>
        <v>8</v>
      </c>
      <c r="W146" s="18" cm="1">
        <f t="array" ref="W146">L146*VLOOKUP($G146, Factor!$C$4:$N$36, 6, 0)*INDEX(Factor!$C$41:$N$87, _xlfn.XMATCH($C146, Factor!$C$41:$C$87, -1), 6)</f>
        <v>20</v>
      </c>
      <c r="X146" s="18" cm="1">
        <f t="array" ref="X146">M146*VLOOKUP($G146, Factor!$C$4:$N$36, 7, 0)*INDEX(Factor!$C$41:$N$87, _xlfn.XMATCH($C146, Factor!$C$41:$C$87, -1), 7)</f>
        <v>16000</v>
      </c>
      <c r="Y146" s="18" cm="1">
        <f t="array" ref="Y146">N146*VLOOKUP($G146, Factor!$C$4:$N$36, 8, 0)*INDEX(Factor!$C$41:$N$87, _xlfn.XMATCH($C146, Factor!$C$41:$C$87, -1), 8)</f>
        <v>3000</v>
      </c>
      <c r="Z146" s="18" cm="1">
        <f t="array" ref="Z146">O146*VLOOKUP($G146, Factor!$C$4:$N$36, 9, 0)*INDEX(Factor!$C$41:$N$87, _xlfn.XMATCH($C146, Factor!$C$41:$C$87, -1), 9)</f>
        <v>100</v>
      </c>
      <c r="AA146" s="18" cm="1">
        <f t="array" ref="AA146">P146*VLOOKUP($G146, Factor!$C$4:$N$36, 10, 0)*INDEX(Factor!$C$41:$N$87, _xlfn.XMATCH($C146, Factor!$C$41:$C$87, -1), 10)</f>
        <v>3000</v>
      </c>
      <c r="AB146" s="18" cm="1">
        <f t="array" ref="AB146">Q146*VLOOKUP($G146, Factor!$C$4:$N$36, 11, 0)*INDEX(Factor!$C$41:$N$87, _xlfn.XMATCH($C146, Factor!$C$41:$C$87, -1), 11)</f>
        <v>6</v>
      </c>
      <c r="AC146" s="18" cm="1">
        <f t="array" ref="AC146">R146*VLOOKUP($G146, Factor!$C$4:$N$36, 12, 0)*INDEX(Factor!$C$41:$N$87, _xlfn.XMATCH($C146, Factor!$C$41:$C$87, -1), 12)</f>
        <v>6</v>
      </c>
      <c r="AD146" s="18"/>
    </row>
    <row r="147" spans="1:30" ht="15.75" customHeight="1" x14ac:dyDescent="0.2">
      <c r="A147" s="15" t="str">
        <f>"locomotive_"&amp; VLOOKUP(F147, Factor!$BK$4:$BL$6, 2, 0) &amp;"_"&amp;Locomotive!D147&amp;"_"&amp;VLOOKUP(E147, Factor!$BM$4:$BN$36, 2, 0)</f>
        <v>locomotive_El_T6_003</v>
      </c>
      <c r="B147" s="15" t="str">
        <f t="shared" si="4"/>
        <v>T6 중갑 전기기관차</v>
      </c>
      <c r="C147" s="15">
        <f>VLOOKUP(D147, Factor!$B$41:$C$50, 2, 0)</f>
        <v>60000</v>
      </c>
      <c r="D147" s="15" t="s">
        <v>322</v>
      </c>
      <c r="E147" s="41" t="s">
        <v>506</v>
      </c>
      <c r="F147" s="41" t="s">
        <v>502</v>
      </c>
      <c r="G147" s="41" t="str">
        <f t="shared" si="5"/>
        <v>중갑 전기</v>
      </c>
      <c r="H147" s="41">
        <v>1</v>
      </c>
      <c r="I147" s="41">
        <v>1</v>
      </c>
      <c r="J147" s="41">
        <v>1</v>
      </c>
      <c r="K147" s="41">
        <v>1</v>
      </c>
      <c r="L147" s="41">
        <v>1</v>
      </c>
      <c r="M147" s="41">
        <v>1</v>
      </c>
      <c r="N147" s="41">
        <v>1</v>
      </c>
      <c r="O147" s="41">
        <v>1</v>
      </c>
      <c r="P147" s="41">
        <v>1</v>
      </c>
      <c r="Q147" s="41">
        <v>1</v>
      </c>
      <c r="R147" s="41">
        <v>1</v>
      </c>
      <c r="S147" s="41" cm="1">
        <f t="array" ref="S147">H147*VLOOKUP($G147, Factor!$C$4:$N$36, 2, 0)*INDEX(Factor!$C$41:$N$87, _xlfn.XMATCH($C147, Factor!$C$41:$C$87, -1), 2)</f>
        <v>340</v>
      </c>
      <c r="T147" s="41" cm="1">
        <f t="array" ref="T147">I147*VLOOKUP($G147, Factor!$C$4:$N$36, 3, 0)*INDEX(Factor!$C$41:$N$87, _xlfn.XMATCH($C147, Factor!$C$41:$C$87, -1), 3)</f>
        <v>200</v>
      </c>
      <c r="U147" s="41" cm="1">
        <f t="array" ref="U147">J147*VLOOKUP($G147, Factor!$C$4:$N$36, 4, 0)*INDEX(Factor!$C$41:$N$87, _xlfn.XMATCH($C147, Factor!$C$41:$C$87, -1), 4)</f>
        <v>7</v>
      </c>
      <c r="V147" s="41" cm="1">
        <f t="array" ref="V147">K147*VLOOKUP($G147, Factor!$C$4:$N$36, 5, 0)*INDEX(Factor!$C$41:$N$87, _xlfn.XMATCH($C147, Factor!$C$41:$C$87, -1), 5)</f>
        <v>16</v>
      </c>
      <c r="W147" s="41" cm="1">
        <f t="array" ref="W147">L147*VLOOKUP($G147, Factor!$C$4:$N$36, 6, 0)*INDEX(Factor!$C$41:$N$87, _xlfn.XMATCH($C147, Factor!$C$41:$C$87, -1), 6)</f>
        <v>20</v>
      </c>
      <c r="X147" s="41" cm="1">
        <f t="array" ref="X147">M147*VLOOKUP($G147, Factor!$C$4:$N$36, 7, 0)*INDEX(Factor!$C$41:$N$87, _xlfn.XMATCH($C147, Factor!$C$41:$C$87, -1), 7)</f>
        <v>10000</v>
      </c>
      <c r="Y147" s="41" cm="1">
        <f t="array" ref="Y147">N147*VLOOKUP($G147, Factor!$C$4:$N$36, 8, 0)*INDEX(Factor!$C$41:$N$87, _xlfn.XMATCH($C147, Factor!$C$41:$C$87, -1), 8)</f>
        <v>2000</v>
      </c>
      <c r="Z147" s="41" cm="1">
        <f t="array" ref="Z147">O147*VLOOKUP($G147, Factor!$C$4:$N$36, 9, 0)*INDEX(Factor!$C$41:$N$87, _xlfn.XMATCH($C147, Factor!$C$41:$C$87, -1), 9)</f>
        <v>30</v>
      </c>
      <c r="AA147" s="41" cm="1">
        <f t="array" ref="AA147">P147*VLOOKUP($G147, Factor!$C$4:$N$36, 10, 0)*INDEX(Factor!$C$41:$N$87, _xlfn.XMATCH($C147, Factor!$C$41:$C$87, -1), 10)</f>
        <v>2000</v>
      </c>
      <c r="AB147" s="41" cm="1">
        <f t="array" ref="AB147">Q147*VLOOKUP($G147, Factor!$C$4:$N$36, 11, 0)*INDEX(Factor!$C$41:$N$87, _xlfn.XMATCH($C147, Factor!$C$41:$C$87, -1), 11)</f>
        <v>6</v>
      </c>
      <c r="AC147" s="41" cm="1">
        <f t="array" ref="AC147">R147*VLOOKUP($G147, Factor!$C$4:$N$36, 12, 0)*INDEX(Factor!$C$41:$N$87, _xlfn.XMATCH($C147, Factor!$C$41:$C$87, -1), 12)</f>
        <v>6</v>
      </c>
      <c r="AD147" s="41"/>
    </row>
    <row r="148" spans="1:30" ht="15.75" customHeight="1" x14ac:dyDescent="0.2">
      <c r="A148" s="18" t="str">
        <f>"locomotive_"&amp; VLOOKUP(F148, Factor!$BK$4:$BL$6, 2, 0) &amp;"_"&amp;Locomotive!D148&amp;"_"&amp;VLOOKUP(E148, Factor!$BM$4:$BN$36, 2, 0)</f>
        <v>locomotive_Dz_T6_003</v>
      </c>
      <c r="B148" s="18" t="str">
        <f t="shared" si="4"/>
        <v>T6 중갑 디젤기관차</v>
      </c>
      <c r="C148" s="18">
        <f>VLOOKUP(D148, Factor!$B$41:$C$50, 2, 0)</f>
        <v>60000</v>
      </c>
      <c r="D148" s="18" t="s">
        <v>322</v>
      </c>
      <c r="E148" s="18" t="s">
        <v>506</v>
      </c>
      <c r="F148" s="18" t="s">
        <v>503</v>
      </c>
      <c r="G148" s="18" t="str">
        <f t="shared" si="5"/>
        <v>중갑 디젤</v>
      </c>
      <c r="H148" s="18">
        <v>1</v>
      </c>
      <c r="I148" s="18">
        <v>1</v>
      </c>
      <c r="J148" s="18">
        <v>1</v>
      </c>
      <c r="K148" s="18">
        <v>1</v>
      </c>
      <c r="L148" s="18">
        <v>1</v>
      </c>
      <c r="M148" s="18">
        <v>1</v>
      </c>
      <c r="N148" s="18">
        <v>1</v>
      </c>
      <c r="O148" s="18">
        <v>1</v>
      </c>
      <c r="P148" s="18">
        <v>1</v>
      </c>
      <c r="Q148" s="18">
        <v>1</v>
      </c>
      <c r="R148" s="18">
        <v>1</v>
      </c>
      <c r="S148" s="18" cm="1">
        <f t="array" ref="S148">H148*VLOOKUP($G148, Factor!$C$4:$N$36, 2, 0)*INDEX(Factor!$C$41:$N$87, _xlfn.XMATCH($C148, Factor!$C$41:$C$87, -1), 2)</f>
        <v>220</v>
      </c>
      <c r="T148" s="18" cm="1">
        <f t="array" ref="T148">I148*VLOOKUP($G148, Factor!$C$4:$N$36, 3, 0)*INDEX(Factor!$C$41:$N$87, _xlfn.XMATCH($C148, Factor!$C$41:$C$87, -1), 3)</f>
        <v>3000</v>
      </c>
      <c r="U148" s="18" cm="1">
        <f t="array" ref="U148">J148*VLOOKUP($G148, Factor!$C$4:$N$36, 4, 0)*INDEX(Factor!$C$41:$N$87, _xlfn.XMATCH($C148, Factor!$C$41:$C$87, -1), 4)</f>
        <v>7</v>
      </c>
      <c r="V148" s="18" cm="1">
        <f t="array" ref="V148">K148*VLOOKUP($G148, Factor!$C$4:$N$36, 5, 0)*INDEX(Factor!$C$41:$N$87, _xlfn.XMATCH($C148, Factor!$C$41:$C$87, -1), 5)</f>
        <v>12</v>
      </c>
      <c r="W148" s="18" cm="1">
        <f t="array" ref="W148">L148*VLOOKUP($G148, Factor!$C$4:$N$36, 6, 0)*INDEX(Factor!$C$41:$N$87, _xlfn.XMATCH($C148, Factor!$C$41:$C$87, -1), 6)</f>
        <v>20</v>
      </c>
      <c r="X148" s="18" cm="1">
        <f t="array" ref="X148">M148*VLOOKUP($G148, Factor!$C$4:$N$36, 7, 0)*INDEX(Factor!$C$41:$N$87, _xlfn.XMATCH($C148, Factor!$C$41:$C$87, -1), 7)</f>
        <v>24000</v>
      </c>
      <c r="Y148" s="18" cm="1">
        <f t="array" ref="Y148">N148*VLOOKUP($G148, Factor!$C$4:$N$36, 8, 0)*INDEX(Factor!$C$41:$N$87, _xlfn.XMATCH($C148, Factor!$C$41:$C$87, -1), 8)</f>
        <v>2600</v>
      </c>
      <c r="Z148" s="18" cm="1">
        <f t="array" ref="Z148">O148*VLOOKUP($G148, Factor!$C$4:$N$36, 9, 0)*INDEX(Factor!$C$41:$N$87, _xlfn.XMATCH($C148, Factor!$C$41:$C$87, -1), 9)</f>
        <v>60</v>
      </c>
      <c r="AA148" s="18" cm="1">
        <f t="array" ref="AA148">P148*VLOOKUP($G148, Factor!$C$4:$N$36, 10, 0)*INDEX(Factor!$C$41:$N$87, _xlfn.XMATCH($C148, Factor!$C$41:$C$87, -1), 10)</f>
        <v>2600</v>
      </c>
      <c r="AB148" s="18" cm="1">
        <f t="array" ref="AB148">Q148*VLOOKUP($G148, Factor!$C$4:$N$36, 11, 0)*INDEX(Factor!$C$41:$N$87, _xlfn.XMATCH($C148, Factor!$C$41:$C$87, -1), 11)</f>
        <v>6</v>
      </c>
      <c r="AC148" s="18" cm="1">
        <f t="array" ref="AC148">R148*VLOOKUP($G148, Factor!$C$4:$N$36, 12, 0)*INDEX(Factor!$C$41:$N$87, _xlfn.XMATCH($C148, Factor!$C$41:$C$87, -1), 12)</f>
        <v>6</v>
      </c>
      <c r="AD148" s="18"/>
    </row>
    <row r="149" spans="1:30" ht="15.75" customHeight="1" x14ac:dyDescent="0.2">
      <c r="A149" s="15" t="str">
        <f>"locomotive_"&amp; VLOOKUP(F149, Factor!$BK$4:$BL$6, 2, 0) &amp;"_"&amp;Locomotive!D149&amp;"_"&amp;VLOOKUP(E149, Factor!$BM$4:$BN$36, 2, 0)</f>
        <v>locomotive_St_T6_004</v>
      </c>
      <c r="B149" s="15" t="str">
        <f t="shared" si="4"/>
        <v>T6 화물 증기기관차</v>
      </c>
      <c r="C149" s="15">
        <f>VLOOKUP(D149, Factor!$B$41:$C$50, 2, 0)</f>
        <v>60000</v>
      </c>
      <c r="D149" s="15" t="s">
        <v>322</v>
      </c>
      <c r="E149" s="41" t="s">
        <v>507</v>
      </c>
      <c r="F149" s="41" t="s">
        <v>505</v>
      </c>
      <c r="G149" s="41" t="str">
        <f t="shared" si="5"/>
        <v>화물 증기</v>
      </c>
      <c r="H149" s="41">
        <v>1</v>
      </c>
      <c r="I149" s="41">
        <v>1</v>
      </c>
      <c r="J149" s="41">
        <v>1</v>
      </c>
      <c r="K149" s="41">
        <v>1</v>
      </c>
      <c r="L149" s="41">
        <v>1</v>
      </c>
      <c r="M149" s="41">
        <v>1</v>
      </c>
      <c r="N149" s="41">
        <v>1</v>
      </c>
      <c r="O149" s="41">
        <v>1</v>
      </c>
      <c r="P149" s="41">
        <v>1</v>
      </c>
      <c r="Q149" s="41">
        <v>1</v>
      </c>
      <c r="R149" s="41">
        <v>1</v>
      </c>
      <c r="S149" s="41" cm="1">
        <f t="array" ref="S149">H149*VLOOKUP($G149, Factor!$C$4:$N$36, 2, 0)*INDEX(Factor!$C$41:$N$87, _xlfn.XMATCH($C149, Factor!$C$41:$C$87, -1), 2)</f>
        <v>180</v>
      </c>
      <c r="T149" s="41" cm="1">
        <f t="array" ref="T149">I149*VLOOKUP($G149, Factor!$C$4:$N$36, 3, 0)*INDEX(Factor!$C$41:$N$87, _xlfn.XMATCH($C149, Factor!$C$41:$C$87, -1), 3)</f>
        <v>2000</v>
      </c>
      <c r="U149" s="41" cm="1">
        <f t="array" ref="U149">J149*VLOOKUP($G149, Factor!$C$4:$N$36, 4, 0)*INDEX(Factor!$C$41:$N$87, _xlfn.XMATCH($C149, Factor!$C$41:$C$87, -1), 4)</f>
        <v>7</v>
      </c>
      <c r="V149" s="41" cm="1">
        <f t="array" ref="V149">K149*VLOOKUP($G149, Factor!$C$4:$N$36, 5, 0)*INDEX(Factor!$C$41:$N$87, _xlfn.XMATCH($C149, Factor!$C$41:$C$87, -1), 5)</f>
        <v>8</v>
      </c>
      <c r="W149" s="41" cm="1">
        <f t="array" ref="W149">L149*VLOOKUP($G149, Factor!$C$4:$N$36, 6, 0)*INDEX(Factor!$C$41:$N$87, _xlfn.XMATCH($C149, Factor!$C$41:$C$87, -1), 6)</f>
        <v>20</v>
      </c>
      <c r="X149" s="41" cm="1">
        <f t="array" ref="X149">M149*VLOOKUP($G149, Factor!$C$4:$N$36, 7, 0)*INDEX(Factor!$C$41:$N$87, _xlfn.XMATCH($C149, Factor!$C$41:$C$87, -1), 7)</f>
        <v>20000</v>
      </c>
      <c r="Y149" s="41" cm="1">
        <f t="array" ref="Y149">N149*VLOOKUP($G149, Factor!$C$4:$N$36, 8, 0)*INDEX(Factor!$C$41:$N$87, _xlfn.XMATCH($C149, Factor!$C$41:$C$87, -1), 8)</f>
        <v>2000</v>
      </c>
      <c r="Z149" s="41" cm="1">
        <f t="array" ref="Z149">O149*VLOOKUP($G149, Factor!$C$4:$N$36, 9, 0)*INDEX(Factor!$C$41:$N$87, _xlfn.XMATCH($C149, Factor!$C$41:$C$87, -1), 9)</f>
        <v>60</v>
      </c>
      <c r="AA149" s="41" cm="1">
        <f t="array" ref="AA149">P149*VLOOKUP($G149, Factor!$C$4:$N$36, 10, 0)*INDEX(Factor!$C$41:$N$87, _xlfn.XMATCH($C149, Factor!$C$41:$C$87, -1), 10)</f>
        <v>2000</v>
      </c>
      <c r="AB149" s="41" cm="1">
        <f t="array" ref="AB149">Q149*VLOOKUP($G149, Factor!$C$4:$N$36, 11, 0)*INDEX(Factor!$C$41:$N$87, _xlfn.XMATCH($C149, Factor!$C$41:$C$87, -1), 11)</f>
        <v>18</v>
      </c>
      <c r="AC149" s="41" cm="1">
        <f t="array" ref="AC149">R149*VLOOKUP($G149, Factor!$C$4:$N$36, 12, 0)*INDEX(Factor!$C$41:$N$87, _xlfn.XMATCH($C149, Factor!$C$41:$C$87, -1), 12)</f>
        <v>6</v>
      </c>
      <c r="AD149" s="41"/>
    </row>
    <row r="150" spans="1:30" ht="15.75" customHeight="1" x14ac:dyDescent="0.2">
      <c r="A150" s="18" t="str">
        <f>"locomotive_"&amp; VLOOKUP(F150, Factor!$BK$4:$BL$6, 2, 0) &amp;"_"&amp;Locomotive!D150&amp;"_"&amp;VLOOKUP(E150, Factor!$BM$4:$BN$36, 2, 0)</f>
        <v>locomotive_El_T6_004</v>
      </c>
      <c r="B150" s="18" t="str">
        <f t="shared" si="4"/>
        <v>T6 화물 전기기관차</v>
      </c>
      <c r="C150" s="18">
        <f>VLOOKUP(D150, Factor!$B$41:$C$50, 2, 0)</f>
        <v>60000</v>
      </c>
      <c r="D150" s="18" t="s">
        <v>322</v>
      </c>
      <c r="E150" s="18" t="s">
        <v>507</v>
      </c>
      <c r="F150" s="18" t="s">
        <v>502</v>
      </c>
      <c r="G150" s="18" t="str">
        <f t="shared" si="5"/>
        <v>화물 전기</v>
      </c>
      <c r="H150" s="18">
        <v>1</v>
      </c>
      <c r="I150" s="18">
        <v>1</v>
      </c>
      <c r="J150" s="18">
        <v>1</v>
      </c>
      <c r="K150" s="18">
        <v>1</v>
      </c>
      <c r="L150" s="18">
        <v>1</v>
      </c>
      <c r="M150" s="18">
        <v>1</v>
      </c>
      <c r="N150" s="18">
        <v>1</v>
      </c>
      <c r="O150" s="18">
        <v>1</v>
      </c>
      <c r="P150" s="18">
        <v>1</v>
      </c>
      <c r="Q150" s="18">
        <v>1</v>
      </c>
      <c r="R150" s="18">
        <v>1</v>
      </c>
      <c r="S150" s="18" cm="1">
        <f t="array" ref="S150">H150*VLOOKUP($G150, Factor!$C$4:$N$36, 2, 0)*INDEX(Factor!$C$41:$N$87, _xlfn.XMATCH($C150, Factor!$C$41:$C$87, -1), 2)</f>
        <v>360</v>
      </c>
      <c r="T150" s="18" cm="1">
        <f t="array" ref="T150">I150*VLOOKUP($G150, Factor!$C$4:$N$36, 3, 0)*INDEX(Factor!$C$41:$N$87, _xlfn.XMATCH($C150, Factor!$C$41:$C$87, -1), 3)</f>
        <v>1600</v>
      </c>
      <c r="U150" s="18" cm="1">
        <f t="array" ref="U150">J150*VLOOKUP($G150, Factor!$C$4:$N$36, 4, 0)*INDEX(Factor!$C$41:$N$87, _xlfn.XMATCH($C150, Factor!$C$41:$C$87, -1), 4)</f>
        <v>7</v>
      </c>
      <c r="V150" s="18" cm="1">
        <f t="array" ref="V150">K150*VLOOKUP($G150, Factor!$C$4:$N$36, 5, 0)*INDEX(Factor!$C$41:$N$87, _xlfn.XMATCH($C150, Factor!$C$41:$C$87, -1), 5)</f>
        <v>16</v>
      </c>
      <c r="W150" s="18" cm="1">
        <f t="array" ref="W150">L150*VLOOKUP($G150, Factor!$C$4:$N$36, 6, 0)*INDEX(Factor!$C$41:$N$87, _xlfn.XMATCH($C150, Factor!$C$41:$C$87, -1), 6)</f>
        <v>20</v>
      </c>
      <c r="X150" s="18" cm="1">
        <f t="array" ref="X150">M150*VLOOKUP($G150, Factor!$C$4:$N$36, 7, 0)*INDEX(Factor!$C$41:$N$87, _xlfn.XMATCH($C150, Factor!$C$41:$C$87, -1), 7)</f>
        <v>14000</v>
      </c>
      <c r="Y150" s="18" cm="1">
        <f t="array" ref="Y150">N150*VLOOKUP($G150, Factor!$C$4:$N$36, 8, 0)*INDEX(Factor!$C$41:$N$87, _xlfn.XMATCH($C150, Factor!$C$41:$C$87, -1), 8)</f>
        <v>1400</v>
      </c>
      <c r="Z150" s="18" cm="1">
        <f t="array" ref="Z150">O150*VLOOKUP($G150, Factor!$C$4:$N$36, 9, 0)*INDEX(Factor!$C$41:$N$87, _xlfn.XMATCH($C150, Factor!$C$41:$C$87, -1), 9)</f>
        <v>10</v>
      </c>
      <c r="AA150" s="18" cm="1">
        <f t="array" ref="AA150">P150*VLOOKUP($G150, Factor!$C$4:$N$36, 10, 0)*INDEX(Factor!$C$41:$N$87, _xlfn.XMATCH($C150, Factor!$C$41:$C$87, -1), 10)</f>
        <v>1400</v>
      </c>
      <c r="AB150" s="18" cm="1">
        <f t="array" ref="AB150">Q150*VLOOKUP($G150, Factor!$C$4:$N$36, 11, 0)*INDEX(Factor!$C$41:$N$87, _xlfn.XMATCH($C150, Factor!$C$41:$C$87, -1), 11)</f>
        <v>18</v>
      </c>
      <c r="AC150" s="18" cm="1">
        <f t="array" ref="AC150">R150*VLOOKUP($G150, Factor!$C$4:$N$36, 12, 0)*INDEX(Factor!$C$41:$N$87, _xlfn.XMATCH($C150, Factor!$C$41:$C$87, -1), 12)</f>
        <v>6</v>
      </c>
      <c r="AD150" s="18"/>
    </row>
    <row r="151" spans="1:30" ht="15.75" customHeight="1" x14ac:dyDescent="0.2">
      <c r="A151" s="15" t="str">
        <f>"locomotive_"&amp; VLOOKUP(F151, Factor!$BK$4:$BL$6, 2, 0) &amp;"_"&amp;Locomotive!D151&amp;"_"&amp;VLOOKUP(E151, Factor!$BM$4:$BN$36, 2, 0)</f>
        <v>locomotive_Dz_T6_004</v>
      </c>
      <c r="B151" s="15" t="str">
        <f t="shared" si="4"/>
        <v>T6 화물 디젤기관차</v>
      </c>
      <c r="C151" s="15">
        <f>VLOOKUP(D151, Factor!$B$41:$C$50, 2, 0)</f>
        <v>60000</v>
      </c>
      <c r="D151" s="15" t="s">
        <v>322</v>
      </c>
      <c r="E151" s="41" t="s">
        <v>507</v>
      </c>
      <c r="F151" s="41" t="s">
        <v>503</v>
      </c>
      <c r="G151" s="41" t="str">
        <f t="shared" si="5"/>
        <v>화물 디젤</v>
      </c>
      <c r="H151" s="41">
        <v>1</v>
      </c>
      <c r="I151" s="41">
        <v>1</v>
      </c>
      <c r="J151" s="41">
        <v>1</v>
      </c>
      <c r="K151" s="41">
        <v>1</v>
      </c>
      <c r="L151" s="41">
        <v>1</v>
      </c>
      <c r="M151" s="41">
        <v>1</v>
      </c>
      <c r="N151" s="41">
        <v>1</v>
      </c>
      <c r="O151" s="41">
        <v>1</v>
      </c>
      <c r="P151" s="41">
        <v>1</v>
      </c>
      <c r="Q151" s="41">
        <v>1</v>
      </c>
      <c r="R151" s="41">
        <v>1</v>
      </c>
      <c r="S151" s="41" cm="1">
        <f t="array" ref="S151">H151*VLOOKUP($G151, Factor!$C$4:$N$36, 2, 0)*INDEX(Factor!$C$41:$N$87, _xlfn.XMATCH($C151, Factor!$C$41:$C$87, -1), 2)</f>
        <v>240</v>
      </c>
      <c r="T151" s="41" cm="1">
        <f t="array" ref="T151">I151*VLOOKUP($G151, Factor!$C$4:$N$36, 3, 0)*INDEX(Factor!$C$41:$N$87, _xlfn.XMATCH($C151, Factor!$C$41:$C$87, -1), 3)</f>
        <v>2400</v>
      </c>
      <c r="U151" s="41" cm="1">
        <f t="array" ref="U151">J151*VLOOKUP($G151, Factor!$C$4:$N$36, 4, 0)*INDEX(Factor!$C$41:$N$87, _xlfn.XMATCH($C151, Factor!$C$41:$C$87, -1), 4)</f>
        <v>7</v>
      </c>
      <c r="V151" s="41" cm="1">
        <f t="array" ref="V151">K151*VLOOKUP($G151, Factor!$C$4:$N$36, 5, 0)*INDEX(Factor!$C$41:$N$87, _xlfn.XMATCH($C151, Factor!$C$41:$C$87, -1), 5)</f>
        <v>12</v>
      </c>
      <c r="W151" s="41" cm="1">
        <f t="array" ref="W151">L151*VLOOKUP($G151, Factor!$C$4:$N$36, 6, 0)*INDEX(Factor!$C$41:$N$87, _xlfn.XMATCH($C151, Factor!$C$41:$C$87, -1), 6)</f>
        <v>20</v>
      </c>
      <c r="X151" s="41" cm="1">
        <f t="array" ref="X151">M151*VLOOKUP($G151, Factor!$C$4:$N$36, 7, 0)*INDEX(Factor!$C$41:$N$87, _xlfn.XMATCH($C151, Factor!$C$41:$C$87, -1), 7)</f>
        <v>30000</v>
      </c>
      <c r="Y151" s="41" cm="1">
        <f t="array" ref="Y151">N151*VLOOKUP($G151, Factor!$C$4:$N$36, 8, 0)*INDEX(Factor!$C$41:$N$87, _xlfn.XMATCH($C151, Factor!$C$41:$C$87, -1), 8)</f>
        <v>1600</v>
      </c>
      <c r="Z151" s="41" cm="1">
        <f t="array" ref="Z151">O151*VLOOKUP($G151, Factor!$C$4:$N$36, 9, 0)*INDEX(Factor!$C$41:$N$87, _xlfn.XMATCH($C151, Factor!$C$41:$C$87, -1), 9)</f>
        <v>20</v>
      </c>
      <c r="AA151" s="41" cm="1">
        <f t="array" ref="AA151">P151*VLOOKUP($G151, Factor!$C$4:$N$36, 10, 0)*INDEX(Factor!$C$41:$N$87, _xlfn.XMATCH($C151, Factor!$C$41:$C$87, -1), 10)</f>
        <v>1600</v>
      </c>
      <c r="AB151" s="41" cm="1">
        <f t="array" ref="AB151">Q151*VLOOKUP($G151, Factor!$C$4:$N$36, 11, 0)*INDEX(Factor!$C$41:$N$87, _xlfn.XMATCH($C151, Factor!$C$41:$C$87, -1), 11)</f>
        <v>18</v>
      </c>
      <c r="AC151" s="41" cm="1">
        <f t="array" ref="AC151">R151*VLOOKUP($G151, Factor!$C$4:$N$36, 12, 0)*INDEX(Factor!$C$41:$N$87, _xlfn.XMATCH($C151, Factor!$C$41:$C$87, -1), 12)</f>
        <v>6</v>
      </c>
      <c r="AD151" s="41"/>
    </row>
    <row r="152" spans="1:30" ht="15.75" customHeight="1" x14ac:dyDescent="0.2">
      <c r="A152" s="18" t="str">
        <f>"locomotive_"&amp; VLOOKUP(F152, Factor!$BK$4:$BL$6, 2, 0) &amp;"_"&amp;Locomotive!D152&amp;"_"&amp;VLOOKUP(E152, Factor!$BM$4:$BN$36, 2, 0)</f>
        <v>locomotive_St_T6_005</v>
      </c>
      <c r="B152" s="18" t="str">
        <f t="shared" si="4"/>
        <v>T6 군용 증기기관차</v>
      </c>
      <c r="C152" s="18">
        <f>VLOOKUP(D152, Factor!$B$41:$C$50, 2, 0)</f>
        <v>60000</v>
      </c>
      <c r="D152" s="18" t="s">
        <v>322</v>
      </c>
      <c r="E152" s="18" t="s">
        <v>508</v>
      </c>
      <c r="F152" s="18" t="s">
        <v>505</v>
      </c>
      <c r="G152" s="18" t="str">
        <f t="shared" si="5"/>
        <v>군용 증기</v>
      </c>
      <c r="H152" s="18">
        <v>1</v>
      </c>
      <c r="I152" s="18">
        <v>1</v>
      </c>
      <c r="J152" s="18">
        <v>1</v>
      </c>
      <c r="K152" s="18">
        <v>1</v>
      </c>
      <c r="L152" s="18">
        <v>1</v>
      </c>
      <c r="M152" s="18">
        <v>1</v>
      </c>
      <c r="N152" s="18">
        <v>1</v>
      </c>
      <c r="O152" s="18">
        <v>1</v>
      </c>
      <c r="P152" s="18">
        <v>1</v>
      </c>
      <c r="Q152" s="18">
        <v>1</v>
      </c>
      <c r="R152" s="18">
        <v>1</v>
      </c>
      <c r="S152" s="18" cm="1">
        <f t="array" ref="S152">H152*VLOOKUP($G152, Factor!$C$4:$N$36, 2, 0)*INDEX(Factor!$C$41:$N$87, _xlfn.XMATCH($C152, Factor!$C$41:$C$87, -1), 2)</f>
        <v>180</v>
      </c>
      <c r="T152" s="18" cm="1">
        <f t="array" ref="T152">I152*VLOOKUP($G152, Factor!$C$4:$N$36, 3, 0)*INDEX(Factor!$C$41:$N$87, _xlfn.XMATCH($C152, Factor!$C$41:$C$87, -1), 3)</f>
        <v>3200</v>
      </c>
      <c r="U152" s="18" cm="1">
        <f t="array" ref="U152">J152*VLOOKUP($G152, Factor!$C$4:$N$36, 4, 0)*INDEX(Factor!$C$41:$N$87, _xlfn.XMATCH($C152, Factor!$C$41:$C$87, -1), 4)</f>
        <v>7</v>
      </c>
      <c r="V152" s="18" cm="1">
        <f t="array" ref="V152">K152*VLOOKUP($G152, Factor!$C$4:$N$36, 5, 0)*INDEX(Factor!$C$41:$N$87, _xlfn.XMATCH($C152, Factor!$C$41:$C$87, -1), 5)</f>
        <v>4</v>
      </c>
      <c r="W152" s="18" cm="1">
        <f t="array" ref="W152">L152*VLOOKUP($G152, Factor!$C$4:$N$36, 6, 0)*INDEX(Factor!$C$41:$N$87, _xlfn.XMATCH($C152, Factor!$C$41:$C$87, -1), 6)</f>
        <v>36</v>
      </c>
      <c r="X152" s="18" cm="1">
        <f t="array" ref="X152">M152*VLOOKUP($G152, Factor!$C$4:$N$36, 7, 0)*INDEX(Factor!$C$41:$N$87, _xlfn.XMATCH($C152, Factor!$C$41:$C$87, -1), 7)</f>
        <v>20000</v>
      </c>
      <c r="Y152" s="18" cm="1">
        <f t="array" ref="Y152">N152*VLOOKUP($G152, Factor!$C$4:$N$36, 8, 0)*INDEX(Factor!$C$41:$N$87, _xlfn.XMATCH($C152, Factor!$C$41:$C$87, -1), 8)</f>
        <v>2000</v>
      </c>
      <c r="Z152" s="18" cm="1">
        <f t="array" ref="Z152">O152*VLOOKUP($G152, Factor!$C$4:$N$36, 9, 0)*INDEX(Factor!$C$41:$N$87, _xlfn.XMATCH($C152, Factor!$C$41:$C$87, -1), 9)</f>
        <v>60</v>
      </c>
      <c r="AA152" s="18" cm="1">
        <f t="array" ref="AA152">P152*VLOOKUP($G152, Factor!$C$4:$N$36, 10, 0)*INDEX(Factor!$C$41:$N$87, _xlfn.XMATCH($C152, Factor!$C$41:$C$87, -1), 10)</f>
        <v>2000</v>
      </c>
      <c r="AB152" s="18" cm="1">
        <f t="array" ref="AB152">Q152*VLOOKUP($G152, Factor!$C$4:$N$36, 11, 0)*INDEX(Factor!$C$41:$N$87, _xlfn.XMATCH($C152, Factor!$C$41:$C$87, -1), 11)</f>
        <v>6</v>
      </c>
      <c r="AC152" s="18" cm="1">
        <f t="array" ref="AC152">R152*VLOOKUP($G152, Factor!$C$4:$N$36, 12, 0)*INDEX(Factor!$C$41:$N$87, _xlfn.XMATCH($C152, Factor!$C$41:$C$87, -1), 12)</f>
        <v>6</v>
      </c>
      <c r="AD152" s="18"/>
    </row>
    <row r="153" spans="1:30" ht="15.75" customHeight="1" x14ac:dyDescent="0.2">
      <c r="A153" s="15" t="str">
        <f>"locomotive_"&amp; VLOOKUP(F153, Factor!$BK$4:$BL$6, 2, 0) &amp;"_"&amp;Locomotive!D153&amp;"_"&amp;VLOOKUP(E153, Factor!$BM$4:$BN$36, 2, 0)</f>
        <v>locomotive_El_T6_005</v>
      </c>
      <c r="B153" s="15" t="str">
        <f t="shared" si="4"/>
        <v>T6 군용 전기기관차</v>
      </c>
      <c r="C153" s="15">
        <f>VLOOKUP(D153, Factor!$B$41:$C$50, 2, 0)</f>
        <v>60000</v>
      </c>
      <c r="D153" s="15" t="s">
        <v>322</v>
      </c>
      <c r="E153" s="41" t="s">
        <v>508</v>
      </c>
      <c r="F153" s="41" t="s">
        <v>502</v>
      </c>
      <c r="G153" s="41" t="str">
        <f t="shared" si="5"/>
        <v>군용 전기</v>
      </c>
      <c r="H153" s="41">
        <v>1</v>
      </c>
      <c r="I153" s="41">
        <v>1</v>
      </c>
      <c r="J153" s="41">
        <v>1</v>
      </c>
      <c r="K153" s="41">
        <v>1</v>
      </c>
      <c r="L153" s="41">
        <v>1</v>
      </c>
      <c r="M153" s="41">
        <v>1</v>
      </c>
      <c r="N153" s="41">
        <v>1</v>
      </c>
      <c r="O153" s="41">
        <v>1</v>
      </c>
      <c r="P153" s="41">
        <v>1</v>
      </c>
      <c r="Q153" s="41">
        <v>1</v>
      </c>
      <c r="R153" s="41">
        <v>1</v>
      </c>
      <c r="S153" s="41" cm="1">
        <f t="array" ref="S153">H153*VLOOKUP($G153, Factor!$C$4:$N$36, 2, 0)*INDEX(Factor!$C$41:$N$87, _xlfn.XMATCH($C153, Factor!$C$41:$C$87, -1), 2)</f>
        <v>340</v>
      </c>
      <c r="T153" s="41" cm="1">
        <f t="array" ref="T153">I153*VLOOKUP($G153, Factor!$C$4:$N$36, 3, 0)*INDEX(Factor!$C$41:$N$87, _xlfn.XMATCH($C153, Factor!$C$41:$C$87, -1), 3)</f>
        <v>2000</v>
      </c>
      <c r="U153" s="41" cm="1">
        <f t="array" ref="U153">J153*VLOOKUP($G153, Factor!$C$4:$N$36, 4, 0)*INDEX(Factor!$C$41:$N$87, _xlfn.XMATCH($C153, Factor!$C$41:$C$87, -1), 4)</f>
        <v>7</v>
      </c>
      <c r="V153" s="41" cm="1">
        <f t="array" ref="V153">K153*VLOOKUP($G153, Factor!$C$4:$N$36, 5, 0)*INDEX(Factor!$C$41:$N$87, _xlfn.XMATCH($C153, Factor!$C$41:$C$87, -1), 5)</f>
        <v>10</v>
      </c>
      <c r="W153" s="41" cm="1">
        <f t="array" ref="W153">L153*VLOOKUP($G153, Factor!$C$4:$N$36, 6, 0)*INDEX(Factor!$C$41:$N$87, _xlfn.XMATCH($C153, Factor!$C$41:$C$87, -1), 6)</f>
        <v>36</v>
      </c>
      <c r="X153" s="41" cm="1">
        <f t="array" ref="X153">M153*VLOOKUP($G153, Factor!$C$4:$N$36, 7, 0)*INDEX(Factor!$C$41:$N$87, _xlfn.XMATCH($C153, Factor!$C$41:$C$87, -1), 7)</f>
        <v>14000</v>
      </c>
      <c r="Y153" s="41" cm="1">
        <f t="array" ref="Y153">N153*VLOOKUP($G153, Factor!$C$4:$N$36, 8, 0)*INDEX(Factor!$C$41:$N$87, _xlfn.XMATCH($C153, Factor!$C$41:$C$87, -1), 8)</f>
        <v>1400</v>
      </c>
      <c r="Z153" s="41" cm="1">
        <f t="array" ref="Z153">O153*VLOOKUP($G153, Factor!$C$4:$N$36, 9, 0)*INDEX(Factor!$C$41:$N$87, _xlfn.XMATCH($C153, Factor!$C$41:$C$87, -1), 9)</f>
        <v>10</v>
      </c>
      <c r="AA153" s="41" cm="1">
        <f t="array" ref="AA153">P153*VLOOKUP($G153, Factor!$C$4:$N$36, 10, 0)*INDEX(Factor!$C$41:$N$87, _xlfn.XMATCH($C153, Factor!$C$41:$C$87, -1), 10)</f>
        <v>1400</v>
      </c>
      <c r="AB153" s="41" cm="1">
        <f t="array" ref="AB153">Q153*VLOOKUP($G153, Factor!$C$4:$N$36, 11, 0)*INDEX(Factor!$C$41:$N$87, _xlfn.XMATCH($C153, Factor!$C$41:$C$87, -1), 11)</f>
        <v>6</v>
      </c>
      <c r="AC153" s="41" cm="1">
        <f t="array" ref="AC153">R153*VLOOKUP($G153, Factor!$C$4:$N$36, 12, 0)*INDEX(Factor!$C$41:$N$87, _xlfn.XMATCH($C153, Factor!$C$41:$C$87, -1), 12)</f>
        <v>6</v>
      </c>
      <c r="AD153" s="41"/>
    </row>
    <row r="154" spans="1:30" ht="15.75" customHeight="1" x14ac:dyDescent="0.2">
      <c r="A154" s="18" t="str">
        <f>"locomotive_"&amp; VLOOKUP(F154, Factor!$BK$4:$BL$6, 2, 0) &amp;"_"&amp;Locomotive!D154&amp;"_"&amp;VLOOKUP(E154, Factor!$BM$4:$BN$36, 2, 0)</f>
        <v>locomotive_Dz_T6_005</v>
      </c>
      <c r="B154" s="18" t="str">
        <f t="shared" si="4"/>
        <v>T6 군용 디젤기관차</v>
      </c>
      <c r="C154" s="18">
        <f>VLOOKUP(D154, Factor!$B$41:$C$50, 2, 0)</f>
        <v>60000</v>
      </c>
      <c r="D154" s="18" t="s">
        <v>322</v>
      </c>
      <c r="E154" s="18" t="s">
        <v>508</v>
      </c>
      <c r="F154" s="18" t="s">
        <v>503</v>
      </c>
      <c r="G154" s="18" t="str">
        <f t="shared" si="5"/>
        <v>군용 디젤</v>
      </c>
      <c r="H154" s="18">
        <v>1</v>
      </c>
      <c r="I154" s="18">
        <v>1</v>
      </c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>
        <v>1</v>
      </c>
      <c r="P154" s="18">
        <v>1</v>
      </c>
      <c r="Q154" s="18">
        <v>1</v>
      </c>
      <c r="R154" s="18">
        <v>1</v>
      </c>
      <c r="S154" s="18" cm="1">
        <f t="array" ref="S154">H154*VLOOKUP($G154, Factor!$C$4:$N$36, 2, 0)*INDEX(Factor!$C$41:$N$87, _xlfn.XMATCH($C154, Factor!$C$41:$C$87, -1), 2)</f>
        <v>220</v>
      </c>
      <c r="T154" s="18" cm="1">
        <f t="array" ref="T154">I154*VLOOKUP($G154, Factor!$C$4:$N$36, 3, 0)*INDEX(Factor!$C$41:$N$87, _xlfn.XMATCH($C154, Factor!$C$41:$C$87, -1), 3)</f>
        <v>3200</v>
      </c>
      <c r="U154" s="18" cm="1">
        <f t="array" ref="U154">J154*VLOOKUP($G154, Factor!$C$4:$N$36, 4, 0)*INDEX(Factor!$C$41:$N$87, _xlfn.XMATCH($C154, Factor!$C$41:$C$87, -1), 4)</f>
        <v>7</v>
      </c>
      <c r="V154" s="18" cm="1">
        <f t="array" ref="V154">K154*VLOOKUP($G154, Factor!$C$4:$N$36, 5, 0)*INDEX(Factor!$C$41:$N$87, _xlfn.XMATCH($C154, Factor!$C$41:$C$87, -1), 5)</f>
        <v>6</v>
      </c>
      <c r="W154" s="18" cm="1">
        <f t="array" ref="W154">L154*VLOOKUP($G154, Factor!$C$4:$N$36, 6, 0)*INDEX(Factor!$C$41:$N$87, _xlfn.XMATCH($C154, Factor!$C$41:$C$87, -1), 6)</f>
        <v>36</v>
      </c>
      <c r="X154" s="18" cm="1">
        <f t="array" ref="X154">M154*VLOOKUP($G154, Factor!$C$4:$N$36, 7, 0)*INDEX(Factor!$C$41:$N$87, _xlfn.XMATCH($C154, Factor!$C$41:$C$87, -1), 7)</f>
        <v>30000</v>
      </c>
      <c r="Y154" s="18" cm="1">
        <f t="array" ref="Y154">N154*VLOOKUP($G154, Factor!$C$4:$N$36, 8, 0)*INDEX(Factor!$C$41:$N$87, _xlfn.XMATCH($C154, Factor!$C$41:$C$87, -1), 8)</f>
        <v>1600</v>
      </c>
      <c r="Z154" s="18" cm="1">
        <f t="array" ref="Z154">O154*VLOOKUP($G154, Factor!$C$4:$N$36, 9, 0)*INDEX(Factor!$C$41:$N$87, _xlfn.XMATCH($C154, Factor!$C$41:$C$87, -1), 9)</f>
        <v>20</v>
      </c>
      <c r="AA154" s="18" cm="1">
        <f t="array" ref="AA154">P154*VLOOKUP($G154, Factor!$C$4:$N$36, 10, 0)*INDEX(Factor!$C$41:$N$87, _xlfn.XMATCH($C154, Factor!$C$41:$C$87, -1), 10)</f>
        <v>1600</v>
      </c>
      <c r="AB154" s="18" cm="1">
        <f t="array" ref="AB154">Q154*VLOOKUP($G154, Factor!$C$4:$N$36, 11, 0)*INDEX(Factor!$C$41:$N$87, _xlfn.XMATCH($C154, Factor!$C$41:$C$87, -1), 11)</f>
        <v>6</v>
      </c>
      <c r="AC154" s="18" cm="1">
        <f t="array" ref="AC154">R154*VLOOKUP($G154, Factor!$C$4:$N$36, 12, 0)*INDEX(Factor!$C$41:$N$87, _xlfn.XMATCH($C154, Factor!$C$41:$C$87, -1), 12)</f>
        <v>6</v>
      </c>
      <c r="AD154" s="18"/>
    </row>
    <row r="155" spans="1:30" ht="15.75" customHeight="1" x14ac:dyDescent="0.2">
      <c r="A155" s="15" t="str">
        <f>"locomotive_"&amp; VLOOKUP(F155, Factor!$BK$4:$BL$6, 2, 0) &amp;"_"&amp;Locomotive!D155&amp;"_"&amp;VLOOKUP(E155, Factor!$BM$4:$BN$36, 2, 0)</f>
        <v>locomotive_St_T6_006</v>
      </c>
      <c r="B155" s="15" t="str">
        <f t="shared" si="4"/>
        <v>T6 여객 증기기관차</v>
      </c>
      <c r="C155" s="15">
        <f>VLOOKUP(D155, Factor!$B$41:$C$50, 2, 0)</f>
        <v>60000</v>
      </c>
      <c r="D155" s="15" t="s">
        <v>322</v>
      </c>
      <c r="E155" s="41" t="s">
        <v>509</v>
      </c>
      <c r="F155" s="41" t="s">
        <v>505</v>
      </c>
      <c r="G155" s="41" t="str">
        <f t="shared" si="5"/>
        <v>여객 증기</v>
      </c>
      <c r="H155" s="41">
        <v>1</v>
      </c>
      <c r="I155" s="41">
        <v>1</v>
      </c>
      <c r="J155" s="41">
        <v>1</v>
      </c>
      <c r="K155" s="41">
        <v>1</v>
      </c>
      <c r="L155" s="41">
        <v>1</v>
      </c>
      <c r="M155" s="41">
        <v>1</v>
      </c>
      <c r="N155" s="41">
        <v>1</v>
      </c>
      <c r="O155" s="41">
        <v>1</v>
      </c>
      <c r="P155" s="41">
        <v>1</v>
      </c>
      <c r="Q155" s="41">
        <v>1</v>
      </c>
      <c r="R155" s="41">
        <v>1</v>
      </c>
      <c r="S155" s="41" cm="1">
        <f t="array" ref="S155">H155*VLOOKUP($G155, Factor!$C$4:$N$36, 2, 0)*INDEX(Factor!$C$41:$N$87, _xlfn.XMATCH($C155, Factor!$C$41:$C$87, -1), 2)</f>
        <v>200</v>
      </c>
      <c r="T155" s="41" cm="1">
        <f t="array" ref="T155">I155*VLOOKUP($G155, Factor!$C$4:$N$36, 3, 0)*INDEX(Factor!$C$41:$N$87, _xlfn.XMATCH($C155, Factor!$C$41:$C$87, -1), 3)</f>
        <v>2000</v>
      </c>
      <c r="U155" s="41" cm="1">
        <f t="array" ref="U155">J155*VLOOKUP($G155, Factor!$C$4:$N$36, 4, 0)*INDEX(Factor!$C$41:$N$87, _xlfn.XMATCH($C155, Factor!$C$41:$C$87, -1), 4)</f>
        <v>7</v>
      </c>
      <c r="V155" s="41" cm="1">
        <f t="array" ref="V155">K155*VLOOKUP($G155, Factor!$C$4:$N$36, 5, 0)*INDEX(Factor!$C$41:$N$87, _xlfn.XMATCH($C155, Factor!$C$41:$C$87, -1), 5)</f>
        <v>8</v>
      </c>
      <c r="W155" s="41" cm="1">
        <f t="array" ref="W155">L155*VLOOKUP($G155, Factor!$C$4:$N$36, 6, 0)*INDEX(Factor!$C$41:$N$87, _xlfn.XMATCH($C155, Factor!$C$41:$C$87, -1), 6)</f>
        <v>20</v>
      </c>
      <c r="X155" s="41" cm="1">
        <f t="array" ref="X155">M155*VLOOKUP($G155, Factor!$C$4:$N$36, 7, 0)*INDEX(Factor!$C$41:$N$87, _xlfn.XMATCH($C155, Factor!$C$41:$C$87, -1), 7)</f>
        <v>20000</v>
      </c>
      <c r="Y155" s="41" cm="1">
        <f t="array" ref="Y155">N155*VLOOKUP($G155, Factor!$C$4:$N$36, 8, 0)*INDEX(Factor!$C$41:$N$87, _xlfn.XMATCH($C155, Factor!$C$41:$C$87, -1), 8)</f>
        <v>1800</v>
      </c>
      <c r="Z155" s="41" cm="1">
        <f t="array" ref="Z155">O155*VLOOKUP($G155, Factor!$C$4:$N$36, 9, 0)*INDEX(Factor!$C$41:$N$87, _xlfn.XMATCH($C155, Factor!$C$41:$C$87, -1), 9)</f>
        <v>50</v>
      </c>
      <c r="AA155" s="41" cm="1">
        <f t="array" ref="AA155">P155*VLOOKUP($G155, Factor!$C$4:$N$36, 10, 0)*INDEX(Factor!$C$41:$N$87, _xlfn.XMATCH($C155, Factor!$C$41:$C$87, -1), 10)</f>
        <v>1800</v>
      </c>
      <c r="AB155" s="41" cm="1">
        <f t="array" ref="AB155">Q155*VLOOKUP($G155, Factor!$C$4:$N$36, 11, 0)*INDEX(Factor!$C$41:$N$87, _xlfn.XMATCH($C155, Factor!$C$41:$C$87, -1), 11)</f>
        <v>6</v>
      </c>
      <c r="AC155" s="41" cm="1">
        <f t="array" ref="AC155">R155*VLOOKUP($G155, Factor!$C$4:$N$36, 12, 0)*INDEX(Factor!$C$41:$N$87, _xlfn.XMATCH($C155, Factor!$C$41:$C$87, -1), 12)</f>
        <v>18</v>
      </c>
      <c r="AD155" s="41"/>
    </row>
    <row r="156" spans="1:30" ht="15.75" customHeight="1" x14ac:dyDescent="0.2">
      <c r="A156" s="18" t="str">
        <f>"locomotive_"&amp; VLOOKUP(F156, Factor!$BK$4:$BL$6, 2, 0) &amp;"_"&amp;Locomotive!D156&amp;"_"&amp;VLOOKUP(E156, Factor!$BM$4:$BN$36, 2, 0)</f>
        <v>locomotive_El_T6_006</v>
      </c>
      <c r="B156" s="18" t="str">
        <f t="shared" si="4"/>
        <v>T6 여객 전기기관차</v>
      </c>
      <c r="C156" s="18">
        <f>VLOOKUP(D156, Factor!$B$41:$C$50, 2, 0)</f>
        <v>60000</v>
      </c>
      <c r="D156" s="18" t="s">
        <v>322</v>
      </c>
      <c r="E156" s="18" t="s">
        <v>509</v>
      </c>
      <c r="F156" s="18" t="s">
        <v>502</v>
      </c>
      <c r="G156" s="18" t="str">
        <f t="shared" si="5"/>
        <v>여객 전기</v>
      </c>
      <c r="H156" s="18">
        <v>1</v>
      </c>
      <c r="I156" s="18">
        <v>1</v>
      </c>
      <c r="J156" s="18">
        <v>1</v>
      </c>
      <c r="K156" s="18">
        <v>1</v>
      </c>
      <c r="L156" s="18">
        <v>1</v>
      </c>
      <c r="M156" s="18">
        <v>1</v>
      </c>
      <c r="N156" s="18">
        <v>1</v>
      </c>
      <c r="O156" s="18">
        <v>1</v>
      </c>
      <c r="P156" s="18">
        <v>1</v>
      </c>
      <c r="Q156" s="18">
        <v>1</v>
      </c>
      <c r="R156" s="18">
        <v>1</v>
      </c>
      <c r="S156" s="18" cm="1">
        <f t="array" ref="S156">H156*VLOOKUP($G156, Factor!$C$4:$N$36, 2, 0)*INDEX(Factor!$C$41:$N$87, _xlfn.XMATCH($C156, Factor!$C$41:$C$87, -1), 2)</f>
        <v>400</v>
      </c>
      <c r="T156" s="18" cm="1">
        <f t="array" ref="T156">I156*VLOOKUP($G156, Factor!$C$4:$N$36, 3, 0)*INDEX(Factor!$C$41:$N$87, _xlfn.XMATCH($C156, Factor!$C$41:$C$87, -1), 3)</f>
        <v>1600</v>
      </c>
      <c r="U156" s="18" cm="1">
        <f t="array" ref="U156">J156*VLOOKUP($G156, Factor!$C$4:$N$36, 4, 0)*INDEX(Factor!$C$41:$N$87, _xlfn.XMATCH($C156, Factor!$C$41:$C$87, -1), 4)</f>
        <v>7</v>
      </c>
      <c r="V156" s="18" cm="1">
        <f t="array" ref="V156">K156*VLOOKUP($G156, Factor!$C$4:$N$36, 5, 0)*INDEX(Factor!$C$41:$N$87, _xlfn.XMATCH($C156, Factor!$C$41:$C$87, -1), 5)</f>
        <v>16</v>
      </c>
      <c r="W156" s="18" cm="1">
        <f t="array" ref="W156">L156*VLOOKUP($G156, Factor!$C$4:$N$36, 6, 0)*INDEX(Factor!$C$41:$N$87, _xlfn.XMATCH($C156, Factor!$C$41:$C$87, -1), 6)</f>
        <v>20</v>
      </c>
      <c r="X156" s="18" cm="1">
        <f t="array" ref="X156">M156*VLOOKUP($G156, Factor!$C$4:$N$36, 7, 0)*INDEX(Factor!$C$41:$N$87, _xlfn.XMATCH($C156, Factor!$C$41:$C$87, -1), 7)</f>
        <v>14000</v>
      </c>
      <c r="Y156" s="18" cm="1">
        <f t="array" ref="Y156">N156*VLOOKUP($G156, Factor!$C$4:$N$36, 8, 0)*INDEX(Factor!$C$41:$N$87, _xlfn.XMATCH($C156, Factor!$C$41:$C$87, -1), 8)</f>
        <v>1200</v>
      </c>
      <c r="Z156" s="18" cm="1">
        <f t="array" ref="Z156">O156*VLOOKUP($G156, Factor!$C$4:$N$36, 9, 0)*INDEX(Factor!$C$41:$N$87, _xlfn.XMATCH($C156, Factor!$C$41:$C$87, -1), 9)</f>
        <v>8</v>
      </c>
      <c r="AA156" s="18" cm="1">
        <f t="array" ref="AA156">P156*VLOOKUP($G156, Factor!$C$4:$N$36, 10, 0)*INDEX(Factor!$C$41:$N$87, _xlfn.XMATCH($C156, Factor!$C$41:$C$87, -1), 10)</f>
        <v>1200</v>
      </c>
      <c r="AB156" s="18" cm="1">
        <f t="array" ref="AB156">Q156*VLOOKUP($G156, Factor!$C$4:$N$36, 11, 0)*INDEX(Factor!$C$41:$N$87, _xlfn.XMATCH($C156, Factor!$C$41:$C$87, -1), 11)</f>
        <v>6</v>
      </c>
      <c r="AC156" s="18" cm="1">
        <f t="array" ref="AC156">R156*VLOOKUP($G156, Factor!$C$4:$N$36, 12, 0)*INDEX(Factor!$C$41:$N$87, _xlfn.XMATCH($C156, Factor!$C$41:$C$87, -1), 12)</f>
        <v>18</v>
      </c>
      <c r="AD156" s="18"/>
    </row>
    <row r="157" spans="1:30" ht="15.75" customHeight="1" x14ac:dyDescent="0.2">
      <c r="A157" s="15" t="str">
        <f>"locomotive_"&amp; VLOOKUP(F157, Factor!$BK$4:$BL$6, 2, 0) &amp;"_"&amp;Locomotive!D157&amp;"_"&amp;VLOOKUP(E157, Factor!$BM$4:$BN$36, 2, 0)</f>
        <v>locomotive_Dz_T6_006</v>
      </c>
      <c r="B157" s="15" t="str">
        <f t="shared" si="4"/>
        <v>T6 여객 디젤기관차</v>
      </c>
      <c r="C157" s="15">
        <f>VLOOKUP(D157, Factor!$B$41:$C$50, 2, 0)</f>
        <v>60000</v>
      </c>
      <c r="D157" s="15" t="s">
        <v>322</v>
      </c>
      <c r="E157" s="41" t="s">
        <v>509</v>
      </c>
      <c r="F157" s="41" t="s">
        <v>503</v>
      </c>
      <c r="G157" s="41" t="str">
        <f t="shared" si="5"/>
        <v>여객 디젤</v>
      </c>
      <c r="H157" s="41">
        <v>1</v>
      </c>
      <c r="I157" s="41">
        <v>1</v>
      </c>
      <c r="J157" s="41">
        <v>1</v>
      </c>
      <c r="K157" s="41">
        <v>1</v>
      </c>
      <c r="L157" s="41">
        <v>1</v>
      </c>
      <c r="M157" s="41">
        <v>1</v>
      </c>
      <c r="N157" s="41">
        <v>1</v>
      </c>
      <c r="O157" s="41">
        <v>1</v>
      </c>
      <c r="P157" s="41">
        <v>1</v>
      </c>
      <c r="Q157" s="41">
        <v>1</v>
      </c>
      <c r="R157" s="41">
        <v>1</v>
      </c>
      <c r="S157" s="41" cm="1">
        <f t="array" ref="S157">H157*VLOOKUP($G157, Factor!$C$4:$N$36, 2, 0)*INDEX(Factor!$C$41:$N$87, _xlfn.XMATCH($C157, Factor!$C$41:$C$87, -1), 2)</f>
        <v>300</v>
      </c>
      <c r="T157" s="41" cm="1">
        <f t="array" ref="T157">I157*VLOOKUP($G157, Factor!$C$4:$N$36, 3, 0)*INDEX(Factor!$C$41:$N$87, _xlfn.XMATCH($C157, Factor!$C$41:$C$87, -1), 3)</f>
        <v>2400</v>
      </c>
      <c r="U157" s="41" cm="1">
        <f t="array" ref="U157">J157*VLOOKUP($G157, Factor!$C$4:$N$36, 4, 0)*INDEX(Factor!$C$41:$N$87, _xlfn.XMATCH($C157, Factor!$C$41:$C$87, -1), 4)</f>
        <v>7</v>
      </c>
      <c r="V157" s="41" cm="1">
        <f t="array" ref="V157">K157*VLOOKUP($G157, Factor!$C$4:$N$36, 5, 0)*INDEX(Factor!$C$41:$N$87, _xlfn.XMATCH($C157, Factor!$C$41:$C$87, -1), 5)</f>
        <v>12</v>
      </c>
      <c r="W157" s="41" cm="1">
        <f t="array" ref="W157">L157*VLOOKUP($G157, Factor!$C$4:$N$36, 6, 0)*INDEX(Factor!$C$41:$N$87, _xlfn.XMATCH($C157, Factor!$C$41:$C$87, -1), 6)</f>
        <v>20</v>
      </c>
      <c r="X157" s="41" cm="1">
        <f t="array" ref="X157">M157*VLOOKUP($G157, Factor!$C$4:$N$36, 7, 0)*INDEX(Factor!$C$41:$N$87, _xlfn.XMATCH($C157, Factor!$C$41:$C$87, -1), 7)</f>
        <v>30000</v>
      </c>
      <c r="Y157" s="41" cm="1">
        <f t="array" ref="Y157">N157*VLOOKUP($G157, Factor!$C$4:$N$36, 8, 0)*INDEX(Factor!$C$41:$N$87, _xlfn.XMATCH($C157, Factor!$C$41:$C$87, -1), 8)</f>
        <v>1400</v>
      </c>
      <c r="Z157" s="41" cm="1">
        <f t="array" ref="Z157">O157*VLOOKUP($G157, Factor!$C$4:$N$36, 9, 0)*INDEX(Factor!$C$41:$N$87, _xlfn.XMATCH($C157, Factor!$C$41:$C$87, -1), 9)</f>
        <v>14</v>
      </c>
      <c r="AA157" s="41" cm="1">
        <f t="array" ref="AA157">P157*VLOOKUP($G157, Factor!$C$4:$N$36, 10, 0)*INDEX(Factor!$C$41:$N$87, _xlfn.XMATCH($C157, Factor!$C$41:$C$87, -1), 10)</f>
        <v>1400</v>
      </c>
      <c r="AB157" s="41" cm="1">
        <f t="array" ref="AB157">Q157*VLOOKUP($G157, Factor!$C$4:$N$36, 11, 0)*INDEX(Factor!$C$41:$N$87, _xlfn.XMATCH($C157, Factor!$C$41:$C$87, -1), 11)</f>
        <v>6</v>
      </c>
      <c r="AC157" s="41" cm="1">
        <f t="array" ref="AC157">R157*VLOOKUP($G157, Factor!$C$4:$N$36, 12, 0)*INDEX(Factor!$C$41:$N$87, _xlfn.XMATCH($C157, Factor!$C$41:$C$87, -1), 12)</f>
        <v>18</v>
      </c>
      <c r="AD157" s="41"/>
    </row>
    <row r="158" spans="1:30" ht="15.75" customHeight="1" x14ac:dyDescent="0.2">
      <c r="A158" s="18" t="str">
        <f>"locomotive_"&amp; VLOOKUP(F158, Factor!$BK$4:$BL$6, 2, 0) &amp;"_"&amp;Locomotive!D158&amp;"_"&amp;VLOOKUP(E158, Factor!$BM$4:$BN$36, 2, 0)</f>
        <v>locomotive_St_T6_007</v>
      </c>
      <c r="B158" s="18" t="str">
        <f t="shared" si="4"/>
        <v>T6 시운 증기기관차</v>
      </c>
      <c r="C158" s="18">
        <f>VLOOKUP(D158, Factor!$B$41:$C$50, 2, 0)</f>
        <v>60000</v>
      </c>
      <c r="D158" s="18" t="s">
        <v>322</v>
      </c>
      <c r="E158" s="18" t="s">
        <v>510</v>
      </c>
      <c r="F158" s="18" t="s">
        <v>505</v>
      </c>
      <c r="G158" s="18" t="str">
        <f t="shared" si="5"/>
        <v>시운 증기</v>
      </c>
      <c r="H158" s="18">
        <v>1</v>
      </c>
      <c r="I158" s="18">
        <v>1</v>
      </c>
      <c r="J158" s="18">
        <v>1</v>
      </c>
      <c r="K158" s="18">
        <v>1</v>
      </c>
      <c r="L158" s="18">
        <v>1</v>
      </c>
      <c r="M158" s="18">
        <v>1</v>
      </c>
      <c r="N158" s="18">
        <v>1</v>
      </c>
      <c r="O158" s="18">
        <v>1</v>
      </c>
      <c r="P158" s="18">
        <v>1</v>
      </c>
      <c r="Q158" s="18">
        <v>1</v>
      </c>
      <c r="R158" s="18">
        <v>1</v>
      </c>
      <c r="S158" s="18" cm="1">
        <f t="array" ref="S158">H158*VLOOKUP($G158, Factor!$C$4:$N$36, 2, 0)*INDEX(Factor!$C$41:$N$87, _xlfn.XMATCH($C158, Factor!$C$41:$C$87, -1), 2)</f>
        <v>200</v>
      </c>
      <c r="T158" s="18" cm="1">
        <f t="array" ref="T158">I158*VLOOKUP($G158, Factor!$C$4:$N$36, 3, 0)*INDEX(Factor!$C$41:$N$87, _xlfn.XMATCH($C158, Factor!$C$41:$C$87, -1), 3)</f>
        <v>2000</v>
      </c>
      <c r="U158" s="18" cm="1">
        <f t="array" ref="U158">J158*VLOOKUP($G158, Factor!$C$4:$N$36, 4, 0)*INDEX(Factor!$C$41:$N$87, _xlfn.XMATCH($C158, Factor!$C$41:$C$87, -1), 4)</f>
        <v>7</v>
      </c>
      <c r="V158" s="18" cm="1">
        <f t="array" ref="V158">K158*VLOOKUP($G158, Factor!$C$4:$N$36, 5, 0)*INDEX(Factor!$C$41:$N$87, _xlfn.XMATCH($C158, Factor!$C$41:$C$87, -1), 5)</f>
        <v>12</v>
      </c>
      <c r="W158" s="18" cm="1">
        <f t="array" ref="W158">L158*VLOOKUP($G158, Factor!$C$4:$N$36, 6, 0)*INDEX(Factor!$C$41:$N$87, _xlfn.XMATCH($C158, Factor!$C$41:$C$87, -1), 6)</f>
        <v>20</v>
      </c>
      <c r="X158" s="18" cm="1">
        <f t="array" ref="X158">M158*VLOOKUP($G158, Factor!$C$4:$N$36, 7, 0)*INDEX(Factor!$C$41:$N$87, _xlfn.XMATCH($C158, Factor!$C$41:$C$87, -1), 7)</f>
        <v>20000</v>
      </c>
      <c r="Y158" s="18" cm="1">
        <f t="array" ref="Y158">N158*VLOOKUP($G158, Factor!$C$4:$N$36, 8, 0)*INDEX(Factor!$C$41:$N$87, _xlfn.XMATCH($C158, Factor!$C$41:$C$87, -1), 8)</f>
        <v>1000</v>
      </c>
      <c r="Z158" s="18" cm="1">
        <f t="array" ref="Z158">O158*VLOOKUP($G158, Factor!$C$4:$N$36, 9, 0)*INDEX(Factor!$C$41:$N$87, _xlfn.XMATCH($C158, Factor!$C$41:$C$87, -1), 9)</f>
        <v>60</v>
      </c>
      <c r="AA158" s="18" cm="1">
        <f t="array" ref="AA158">P158*VLOOKUP($G158, Factor!$C$4:$N$36, 10, 0)*INDEX(Factor!$C$41:$N$87, _xlfn.XMATCH($C158, Factor!$C$41:$C$87, -1), 10)</f>
        <v>4000</v>
      </c>
      <c r="AB158" s="18" cm="1">
        <f t="array" ref="AB158">Q158*VLOOKUP($G158, Factor!$C$4:$N$36, 11, 0)*INDEX(Factor!$C$41:$N$87, _xlfn.XMATCH($C158, Factor!$C$41:$C$87, -1), 11)</f>
        <v>6</v>
      </c>
      <c r="AC158" s="18" cm="1">
        <f t="array" ref="AC158">R158*VLOOKUP($G158, Factor!$C$4:$N$36, 12, 0)*INDEX(Factor!$C$41:$N$87, _xlfn.XMATCH($C158, Factor!$C$41:$C$87, -1), 12)</f>
        <v>6</v>
      </c>
      <c r="AD158" s="18"/>
    </row>
    <row r="159" spans="1:30" ht="15.75" customHeight="1" x14ac:dyDescent="0.2">
      <c r="A159" s="15" t="str">
        <f>"locomotive_"&amp; VLOOKUP(F159, Factor!$BK$4:$BL$6, 2, 0) &amp;"_"&amp;Locomotive!D159&amp;"_"&amp;VLOOKUP(E159, Factor!$BM$4:$BN$36, 2, 0)</f>
        <v>locomotive_El_T6_007</v>
      </c>
      <c r="B159" s="15" t="str">
        <f t="shared" si="4"/>
        <v>T6 시운 전기기관차</v>
      </c>
      <c r="C159" s="15">
        <f>VLOOKUP(D159, Factor!$B$41:$C$50, 2, 0)</f>
        <v>60000</v>
      </c>
      <c r="D159" s="15" t="s">
        <v>322</v>
      </c>
      <c r="E159" s="41" t="s">
        <v>510</v>
      </c>
      <c r="F159" s="41" t="s">
        <v>502</v>
      </c>
      <c r="G159" s="41" t="str">
        <f t="shared" si="5"/>
        <v>시운 전기</v>
      </c>
      <c r="H159" s="41">
        <v>1</v>
      </c>
      <c r="I159" s="41">
        <v>1</v>
      </c>
      <c r="J159" s="41">
        <v>1</v>
      </c>
      <c r="K159" s="41">
        <v>1</v>
      </c>
      <c r="L159" s="41">
        <v>1</v>
      </c>
      <c r="M159" s="41">
        <v>1</v>
      </c>
      <c r="N159" s="41">
        <v>1</v>
      </c>
      <c r="O159" s="41">
        <v>1</v>
      </c>
      <c r="P159" s="41">
        <v>1</v>
      </c>
      <c r="Q159" s="41">
        <v>1</v>
      </c>
      <c r="R159" s="41">
        <v>1</v>
      </c>
      <c r="S159" s="41" cm="1">
        <f t="array" ref="S159">H159*VLOOKUP($G159, Factor!$C$4:$N$36, 2, 0)*INDEX(Factor!$C$41:$N$87, _xlfn.XMATCH($C159, Factor!$C$41:$C$87, -1), 2)</f>
        <v>400</v>
      </c>
      <c r="T159" s="41" cm="1">
        <f t="array" ref="T159">I159*VLOOKUP($G159, Factor!$C$4:$N$36, 3, 0)*INDEX(Factor!$C$41:$N$87, _xlfn.XMATCH($C159, Factor!$C$41:$C$87, -1), 3)</f>
        <v>1600</v>
      </c>
      <c r="U159" s="41" cm="1">
        <f t="array" ref="U159">J159*VLOOKUP($G159, Factor!$C$4:$N$36, 4, 0)*INDEX(Factor!$C$41:$N$87, _xlfn.XMATCH($C159, Factor!$C$41:$C$87, -1), 4)</f>
        <v>7</v>
      </c>
      <c r="V159" s="41" cm="1">
        <f t="array" ref="V159">K159*VLOOKUP($G159, Factor!$C$4:$N$36, 5, 0)*INDEX(Factor!$C$41:$N$87, _xlfn.XMATCH($C159, Factor!$C$41:$C$87, -1), 5)</f>
        <v>20</v>
      </c>
      <c r="W159" s="41" cm="1">
        <f t="array" ref="W159">L159*VLOOKUP($G159, Factor!$C$4:$N$36, 6, 0)*INDEX(Factor!$C$41:$N$87, _xlfn.XMATCH($C159, Factor!$C$41:$C$87, -1), 6)</f>
        <v>20</v>
      </c>
      <c r="X159" s="41" cm="1">
        <f t="array" ref="X159">M159*VLOOKUP($G159, Factor!$C$4:$N$36, 7, 0)*INDEX(Factor!$C$41:$N$87, _xlfn.XMATCH($C159, Factor!$C$41:$C$87, -1), 7)</f>
        <v>14000</v>
      </c>
      <c r="Y159" s="41" cm="1">
        <f t="array" ref="Y159">N159*VLOOKUP($G159, Factor!$C$4:$N$36, 8, 0)*INDEX(Factor!$C$41:$N$87, _xlfn.XMATCH($C159, Factor!$C$41:$C$87, -1), 8)</f>
        <v>600</v>
      </c>
      <c r="Z159" s="41" cm="1">
        <f t="array" ref="Z159">O159*VLOOKUP($G159, Factor!$C$4:$N$36, 9, 0)*INDEX(Factor!$C$41:$N$87, _xlfn.XMATCH($C159, Factor!$C$41:$C$87, -1), 9)</f>
        <v>10</v>
      </c>
      <c r="AA159" s="41" cm="1">
        <f t="array" ref="AA159">P159*VLOOKUP($G159, Factor!$C$4:$N$36, 10, 0)*INDEX(Factor!$C$41:$N$87, _xlfn.XMATCH($C159, Factor!$C$41:$C$87, -1), 10)</f>
        <v>2000</v>
      </c>
      <c r="AB159" s="41" cm="1">
        <f t="array" ref="AB159">Q159*VLOOKUP($G159, Factor!$C$4:$N$36, 11, 0)*INDEX(Factor!$C$41:$N$87, _xlfn.XMATCH($C159, Factor!$C$41:$C$87, -1), 11)</f>
        <v>6</v>
      </c>
      <c r="AC159" s="41" cm="1">
        <f t="array" ref="AC159">R159*VLOOKUP($G159, Factor!$C$4:$N$36, 12, 0)*INDEX(Factor!$C$41:$N$87, _xlfn.XMATCH($C159, Factor!$C$41:$C$87, -1), 12)</f>
        <v>6</v>
      </c>
      <c r="AD159" s="41"/>
    </row>
    <row r="160" spans="1:30" ht="15.75" customHeight="1" x14ac:dyDescent="0.2">
      <c r="A160" s="18" t="str">
        <f>"locomotive_"&amp; VLOOKUP(F160, Factor!$BK$4:$BL$6, 2, 0) &amp;"_"&amp;Locomotive!D160&amp;"_"&amp;VLOOKUP(E160, Factor!$BM$4:$BN$36, 2, 0)</f>
        <v>locomotive_Dz_T6_007</v>
      </c>
      <c r="B160" s="18" t="str">
        <f t="shared" si="4"/>
        <v>T6 시운 디젤기관차</v>
      </c>
      <c r="C160" s="18">
        <f>VLOOKUP(D160, Factor!$B$41:$C$50, 2, 0)</f>
        <v>60000</v>
      </c>
      <c r="D160" s="18" t="s">
        <v>322</v>
      </c>
      <c r="E160" s="18" t="s">
        <v>510</v>
      </c>
      <c r="F160" s="18" t="s">
        <v>503</v>
      </c>
      <c r="G160" s="18" t="str">
        <f t="shared" si="5"/>
        <v>시운 디젤</v>
      </c>
      <c r="H160" s="18">
        <v>1</v>
      </c>
      <c r="I160" s="18">
        <v>1</v>
      </c>
      <c r="J160" s="18">
        <v>1</v>
      </c>
      <c r="K160" s="18">
        <v>1</v>
      </c>
      <c r="L160" s="18">
        <v>1</v>
      </c>
      <c r="M160" s="18">
        <v>1</v>
      </c>
      <c r="N160" s="18">
        <v>1</v>
      </c>
      <c r="O160" s="18">
        <v>1</v>
      </c>
      <c r="P160" s="18">
        <v>1</v>
      </c>
      <c r="Q160" s="18">
        <v>1</v>
      </c>
      <c r="R160" s="18">
        <v>1</v>
      </c>
      <c r="S160" s="18" cm="1">
        <f t="array" ref="S160">H160*VLOOKUP($G160, Factor!$C$4:$N$36, 2, 0)*INDEX(Factor!$C$41:$N$87, _xlfn.XMATCH($C160, Factor!$C$41:$C$87, -1), 2)</f>
        <v>300</v>
      </c>
      <c r="T160" s="18" cm="1">
        <f t="array" ref="T160">I160*VLOOKUP($G160, Factor!$C$4:$N$36, 3, 0)*INDEX(Factor!$C$41:$N$87, _xlfn.XMATCH($C160, Factor!$C$41:$C$87, -1), 3)</f>
        <v>2400</v>
      </c>
      <c r="U160" s="18" cm="1">
        <f t="array" ref="U160">J160*VLOOKUP($G160, Factor!$C$4:$N$36, 4, 0)*INDEX(Factor!$C$41:$N$87, _xlfn.XMATCH($C160, Factor!$C$41:$C$87, -1), 4)</f>
        <v>7</v>
      </c>
      <c r="V160" s="18" cm="1">
        <f t="array" ref="V160">K160*VLOOKUP($G160, Factor!$C$4:$N$36, 5, 0)*INDEX(Factor!$C$41:$N$87, _xlfn.XMATCH($C160, Factor!$C$41:$C$87, -1), 5)</f>
        <v>16</v>
      </c>
      <c r="W160" s="18" cm="1">
        <f t="array" ref="W160">L160*VLOOKUP($G160, Factor!$C$4:$N$36, 6, 0)*INDEX(Factor!$C$41:$N$87, _xlfn.XMATCH($C160, Factor!$C$41:$C$87, -1), 6)</f>
        <v>20</v>
      </c>
      <c r="X160" s="18" cm="1">
        <f t="array" ref="X160">M160*VLOOKUP($G160, Factor!$C$4:$N$36, 7, 0)*INDEX(Factor!$C$41:$N$87, _xlfn.XMATCH($C160, Factor!$C$41:$C$87, -1), 7)</f>
        <v>30000</v>
      </c>
      <c r="Y160" s="18" cm="1">
        <f t="array" ref="Y160">N160*VLOOKUP($G160, Factor!$C$4:$N$36, 8, 0)*INDEX(Factor!$C$41:$N$87, _xlfn.XMATCH($C160, Factor!$C$41:$C$87, -1), 8)</f>
        <v>800</v>
      </c>
      <c r="Z160" s="18" cm="1">
        <f t="array" ref="Z160">O160*VLOOKUP($G160, Factor!$C$4:$N$36, 9, 0)*INDEX(Factor!$C$41:$N$87, _xlfn.XMATCH($C160, Factor!$C$41:$C$87, -1), 9)</f>
        <v>20</v>
      </c>
      <c r="AA160" s="18" cm="1">
        <f t="array" ref="AA160">P160*VLOOKUP($G160, Factor!$C$4:$N$36, 10, 0)*INDEX(Factor!$C$41:$N$87, _xlfn.XMATCH($C160, Factor!$C$41:$C$87, -1), 10)</f>
        <v>3000</v>
      </c>
      <c r="AB160" s="18" cm="1">
        <f t="array" ref="AB160">Q160*VLOOKUP($G160, Factor!$C$4:$N$36, 11, 0)*INDEX(Factor!$C$41:$N$87, _xlfn.XMATCH($C160, Factor!$C$41:$C$87, -1), 11)</f>
        <v>6</v>
      </c>
      <c r="AC160" s="18" cm="1">
        <f t="array" ref="AC160">R160*VLOOKUP($G160, Factor!$C$4:$N$36, 12, 0)*INDEX(Factor!$C$41:$N$87, _xlfn.XMATCH($C160, Factor!$C$41:$C$87, -1), 12)</f>
        <v>6</v>
      </c>
      <c r="AD160" s="18"/>
    </row>
    <row r="161" spans="1:30" ht="15.75" customHeight="1" x14ac:dyDescent="0.2">
      <c r="A161" s="15" t="str">
        <f>"locomotive_"&amp; VLOOKUP(F161, Factor!$BK$4:$BL$6, 2, 0) &amp;"_"&amp;Locomotive!D161&amp;"_"&amp;VLOOKUP(E161, Factor!$BM$4:$BN$36, 2, 0)</f>
        <v>locomotive_St_T6_008</v>
      </c>
      <c r="B161" s="15" t="str">
        <f t="shared" si="4"/>
        <v>T6 경량 증기기관차</v>
      </c>
      <c r="C161" s="15">
        <f>VLOOKUP(D161, Factor!$B$41:$C$50, 2, 0)</f>
        <v>60000</v>
      </c>
      <c r="D161" s="15" t="s">
        <v>322</v>
      </c>
      <c r="E161" s="41" t="s">
        <v>511</v>
      </c>
      <c r="F161" s="41" t="s">
        <v>505</v>
      </c>
      <c r="G161" s="41" t="str">
        <f t="shared" si="5"/>
        <v>경량 증기</v>
      </c>
      <c r="H161" s="41">
        <v>1</v>
      </c>
      <c r="I161" s="41">
        <v>1</v>
      </c>
      <c r="J161" s="41">
        <v>1</v>
      </c>
      <c r="K161" s="41">
        <v>1</v>
      </c>
      <c r="L161" s="41">
        <v>1</v>
      </c>
      <c r="M161" s="41">
        <v>1</v>
      </c>
      <c r="N161" s="41">
        <v>1</v>
      </c>
      <c r="O161" s="41">
        <v>1</v>
      </c>
      <c r="P161" s="41">
        <v>1</v>
      </c>
      <c r="Q161" s="41">
        <v>1</v>
      </c>
      <c r="R161" s="41">
        <v>1</v>
      </c>
      <c r="S161" s="41" cm="1">
        <f t="array" ref="S161">H161*VLOOKUP($G161, Factor!$C$4:$N$36, 2, 0)*INDEX(Factor!$C$41:$N$87, _xlfn.XMATCH($C161, Factor!$C$41:$C$87, -1), 2)</f>
        <v>200</v>
      </c>
      <c r="T161" s="41" cm="1">
        <f t="array" ref="T161">I161*VLOOKUP($G161, Factor!$C$4:$N$36, 3, 0)*INDEX(Factor!$C$41:$N$87, _xlfn.XMATCH($C161, Factor!$C$41:$C$87, -1), 3)</f>
        <v>1800</v>
      </c>
      <c r="U161" s="41" cm="1">
        <f t="array" ref="U161">J161*VLOOKUP($G161, Factor!$C$4:$N$36, 4, 0)*INDEX(Factor!$C$41:$N$87, _xlfn.XMATCH($C161, Factor!$C$41:$C$87, -1), 4)</f>
        <v>7</v>
      </c>
      <c r="V161" s="41" cm="1">
        <f t="array" ref="V161">K161*VLOOKUP($G161, Factor!$C$4:$N$36, 5, 0)*INDEX(Factor!$C$41:$N$87, _xlfn.XMATCH($C161, Factor!$C$41:$C$87, -1), 5)</f>
        <v>10</v>
      </c>
      <c r="W161" s="41" cm="1">
        <f t="array" ref="W161">L161*VLOOKUP($G161, Factor!$C$4:$N$36, 6, 0)*INDEX(Factor!$C$41:$N$87, _xlfn.XMATCH($C161, Factor!$C$41:$C$87, -1), 6)</f>
        <v>20</v>
      </c>
      <c r="X161" s="41" cm="1">
        <f t="array" ref="X161">M161*VLOOKUP($G161, Factor!$C$4:$N$36, 7, 0)*INDEX(Factor!$C$41:$N$87, _xlfn.XMATCH($C161, Factor!$C$41:$C$87, -1), 7)</f>
        <v>16000</v>
      </c>
      <c r="Y161" s="41" cm="1">
        <f t="array" ref="Y161">N161*VLOOKUP($G161, Factor!$C$4:$N$36, 8, 0)*INDEX(Factor!$C$41:$N$87, _xlfn.XMATCH($C161, Factor!$C$41:$C$87, -1), 8)</f>
        <v>2000</v>
      </c>
      <c r="Z161" s="41" cm="1">
        <f t="array" ref="Z161">O161*VLOOKUP($G161, Factor!$C$4:$N$36, 9, 0)*INDEX(Factor!$C$41:$N$87, _xlfn.XMATCH($C161, Factor!$C$41:$C$87, -1), 9)</f>
        <v>60</v>
      </c>
      <c r="AA161" s="41" cm="1">
        <f t="array" ref="AA161">P161*VLOOKUP($G161, Factor!$C$4:$N$36, 10, 0)*INDEX(Factor!$C$41:$N$87, _xlfn.XMATCH($C161, Factor!$C$41:$C$87, -1), 10)</f>
        <v>2000</v>
      </c>
      <c r="AB161" s="41" cm="1">
        <f t="array" ref="AB161">Q161*VLOOKUP($G161, Factor!$C$4:$N$36, 11, 0)*INDEX(Factor!$C$41:$N$87, _xlfn.XMATCH($C161, Factor!$C$41:$C$87, -1), 11)</f>
        <v>6</v>
      </c>
      <c r="AC161" s="41" cm="1">
        <f t="array" ref="AC161">R161*VLOOKUP($G161, Factor!$C$4:$N$36, 12, 0)*INDEX(Factor!$C$41:$N$87, _xlfn.XMATCH($C161, Factor!$C$41:$C$87, -1), 12)</f>
        <v>6</v>
      </c>
      <c r="AD161" s="41"/>
    </row>
    <row r="162" spans="1:30" ht="15.75" customHeight="1" x14ac:dyDescent="0.2">
      <c r="A162" s="18" t="str">
        <f>"locomotive_"&amp; VLOOKUP(F162, Factor!$BK$4:$BL$6, 2, 0) &amp;"_"&amp;Locomotive!D162&amp;"_"&amp;VLOOKUP(E162, Factor!$BM$4:$BN$36, 2, 0)</f>
        <v>locomotive_El_T6_008</v>
      </c>
      <c r="B162" s="18" t="str">
        <f t="shared" si="4"/>
        <v>T6 경량 전기기관차</v>
      </c>
      <c r="C162" s="18">
        <f>VLOOKUP(D162, Factor!$B$41:$C$50, 2, 0)</f>
        <v>60000</v>
      </c>
      <c r="D162" s="18" t="s">
        <v>322</v>
      </c>
      <c r="E162" s="18" t="s">
        <v>511</v>
      </c>
      <c r="F162" s="18" t="s">
        <v>502</v>
      </c>
      <c r="G162" s="18" t="str">
        <f t="shared" si="5"/>
        <v>경량 전기</v>
      </c>
      <c r="H162" s="18">
        <v>1</v>
      </c>
      <c r="I162" s="18">
        <v>1</v>
      </c>
      <c r="J162" s="18">
        <v>1</v>
      </c>
      <c r="K162" s="18">
        <v>1</v>
      </c>
      <c r="L162" s="18">
        <v>1</v>
      </c>
      <c r="M162" s="18">
        <v>1</v>
      </c>
      <c r="N162" s="18">
        <v>1</v>
      </c>
      <c r="O162" s="18">
        <v>1</v>
      </c>
      <c r="P162" s="18">
        <v>1</v>
      </c>
      <c r="Q162" s="18">
        <v>1</v>
      </c>
      <c r="R162" s="18">
        <v>1</v>
      </c>
      <c r="S162" s="18" cm="1">
        <f t="array" ref="S162">H162*VLOOKUP($G162, Factor!$C$4:$N$36, 2, 0)*INDEX(Factor!$C$41:$N$87, _xlfn.XMATCH($C162, Factor!$C$41:$C$87, -1), 2)</f>
        <v>400</v>
      </c>
      <c r="T162" s="18" cm="1">
        <f t="array" ref="T162">I162*VLOOKUP($G162, Factor!$C$4:$N$36, 3, 0)*INDEX(Factor!$C$41:$N$87, _xlfn.XMATCH($C162, Factor!$C$41:$C$87, -1), 3)</f>
        <v>1400</v>
      </c>
      <c r="U162" s="18" cm="1">
        <f t="array" ref="U162">J162*VLOOKUP($G162, Factor!$C$4:$N$36, 4, 0)*INDEX(Factor!$C$41:$N$87, _xlfn.XMATCH($C162, Factor!$C$41:$C$87, -1), 4)</f>
        <v>7</v>
      </c>
      <c r="V162" s="18" cm="1">
        <f t="array" ref="V162">K162*VLOOKUP($G162, Factor!$C$4:$N$36, 5, 0)*INDEX(Factor!$C$41:$N$87, _xlfn.XMATCH($C162, Factor!$C$41:$C$87, -1), 5)</f>
        <v>18</v>
      </c>
      <c r="W162" s="18" cm="1">
        <f t="array" ref="W162">L162*VLOOKUP($G162, Factor!$C$4:$N$36, 6, 0)*INDEX(Factor!$C$41:$N$87, _xlfn.XMATCH($C162, Factor!$C$41:$C$87, -1), 6)</f>
        <v>20</v>
      </c>
      <c r="X162" s="18" cm="1">
        <f t="array" ref="X162">M162*VLOOKUP($G162, Factor!$C$4:$N$36, 7, 0)*INDEX(Factor!$C$41:$N$87, _xlfn.XMATCH($C162, Factor!$C$41:$C$87, -1), 7)</f>
        <v>10000</v>
      </c>
      <c r="Y162" s="18" cm="1">
        <f t="array" ref="Y162">N162*VLOOKUP($G162, Factor!$C$4:$N$36, 8, 0)*INDEX(Factor!$C$41:$N$87, _xlfn.XMATCH($C162, Factor!$C$41:$C$87, -1), 8)</f>
        <v>1400</v>
      </c>
      <c r="Z162" s="18" cm="1">
        <f t="array" ref="Z162">O162*VLOOKUP($G162, Factor!$C$4:$N$36, 9, 0)*INDEX(Factor!$C$41:$N$87, _xlfn.XMATCH($C162, Factor!$C$41:$C$87, -1), 9)</f>
        <v>10</v>
      </c>
      <c r="AA162" s="18" cm="1">
        <f t="array" ref="AA162">P162*VLOOKUP($G162, Factor!$C$4:$N$36, 10, 0)*INDEX(Factor!$C$41:$N$87, _xlfn.XMATCH($C162, Factor!$C$41:$C$87, -1), 10)</f>
        <v>1400</v>
      </c>
      <c r="AB162" s="18" cm="1">
        <f t="array" ref="AB162">Q162*VLOOKUP($G162, Factor!$C$4:$N$36, 11, 0)*INDEX(Factor!$C$41:$N$87, _xlfn.XMATCH($C162, Factor!$C$41:$C$87, -1), 11)</f>
        <v>6</v>
      </c>
      <c r="AC162" s="18" cm="1">
        <f t="array" ref="AC162">R162*VLOOKUP($G162, Factor!$C$4:$N$36, 12, 0)*INDEX(Factor!$C$41:$N$87, _xlfn.XMATCH($C162, Factor!$C$41:$C$87, -1), 12)</f>
        <v>6</v>
      </c>
      <c r="AD162" s="18"/>
    </row>
    <row r="163" spans="1:30" ht="15.75" customHeight="1" x14ac:dyDescent="0.2">
      <c r="A163" s="15" t="str">
        <f>"locomotive_"&amp; VLOOKUP(F163, Factor!$BK$4:$BL$6, 2, 0) &amp;"_"&amp;Locomotive!D163&amp;"_"&amp;VLOOKUP(E163, Factor!$BM$4:$BN$36, 2, 0)</f>
        <v>locomotive_Dz_T6_008</v>
      </c>
      <c r="B163" s="15" t="str">
        <f t="shared" si="4"/>
        <v>T6 경량 디젤기관차</v>
      </c>
      <c r="C163" s="15">
        <f>VLOOKUP(D163, Factor!$B$41:$C$50, 2, 0)</f>
        <v>60000</v>
      </c>
      <c r="D163" s="15" t="s">
        <v>322</v>
      </c>
      <c r="E163" s="41" t="s">
        <v>511</v>
      </c>
      <c r="F163" s="41" t="s">
        <v>503</v>
      </c>
      <c r="G163" s="41" t="str">
        <f t="shared" si="5"/>
        <v>경량 디젤</v>
      </c>
      <c r="H163" s="41">
        <v>1</v>
      </c>
      <c r="I163" s="41">
        <v>1</v>
      </c>
      <c r="J163" s="41">
        <v>1</v>
      </c>
      <c r="K163" s="41">
        <v>1</v>
      </c>
      <c r="L163" s="41">
        <v>1</v>
      </c>
      <c r="M163" s="41">
        <v>1</v>
      </c>
      <c r="N163" s="41">
        <v>1</v>
      </c>
      <c r="O163" s="41">
        <v>1</v>
      </c>
      <c r="P163" s="41">
        <v>1</v>
      </c>
      <c r="Q163" s="41">
        <v>1</v>
      </c>
      <c r="R163" s="41">
        <v>1</v>
      </c>
      <c r="S163" s="41" cm="1">
        <f t="array" ref="S163">H163*VLOOKUP($G163, Factor!$C$4:$N$36, 2, 0)*INDEX(Factor!$C$41:$N$87, _xlfn.XMATCH($C163, Factor!$C$41:$C$87, -1), 2)</f>
        <v>300</v>
      </c>
      <c r="T163" s="41" cm="1">
        <f t="array" ref="T163">I163*VLOOKUP($G163, Factor!$C$4:$N$36, 3, 0)*INDEX(Factor!$C$41:$N$87, _xlfn.XMATCH($C163, Factor!$C$41:$C$87, -1), 3)</f>
        <v>2200</v>
      </c>
      <c r="U163" s="41" cm="1">
        <f t="array" ref="U163">J163*VLOOKUP($G163, Factor!$C$4:$N$36, 4, 0)*INDEX(Factor!$C$41:$N$87, _xlfn.XMATCH($C163, Factor!$C$41:$C$87, -1), 4)</f>
        <v>7</v>
      </c>
      <c r="V163" s="41" cm="1">
        <f t="array" ref="V163">K163*VLOOKUP($G163, Factor!$C$4:$N$36, 5, 0)*INDEX(Factor!$C$41:$N$87, _xlfn.XMATCH($C163, Factor!$C$41:$C$87, -1), 5)</f>
        <v>14</v>
      </c>
      <c r="W163" s="41" cm="1">
        <f t="array" ref="W163">L163*VLOOKUP($G163, Factor!$C$4:$N$36, 6, 0)*INDEX(Factor!$C$41:$N$87, _xlfn.XMATCH($C163, Factor!$C$41:$C$87, -1), 6)</f>
        <v>20</v>
      </c>
      <c r="X163" s="41" cm="1">
        <f t="array" ref="X163">M163*VLOOKUP($G163, Factor!$C$4:$N$36, 7, 0)*INDEX(Factor!$C$41:$N$87, _xlfn.XMATCH($C163, Factor!$C$41:$C$87, -1), 7)</f>
        <v>24000</v>
      </c>
      <c r="Y163" s="41" cm="1">
        <f t="array" ref="Y163">N163*VLOOKUP($G163, Factor!$C$4:$N$36, 8, 0)*INDEX(Factor!$C$41:$N$87, _xlfn.XMATCH($C163, Factor!$C$41:$C$87, -1), 8)</f>
        <v>1600</v>
      </c>
      <c r="Z163" s="41" cm="1">
        <f t="array" ref="Z163">O163*VLOOKUP($G163, Factor!$C$4:$N$36, 9, 0)*INDEX(Factor!$C$41:$N$87, _xlfn.XMATCH($C163, Factor!$C$41:$C$87, -1), 9)</f>
        <v>20</v>
      </c>
      <c r="AA163" s="41" cm="1">
        <f t="array" ref="AA163">P163*VLOOKUP($G163, Factor!$C$4:$N$36, 10, 0)*INDEX(Factor!$C$41:$N$87, _xlfn.XMATCH($C163, Factor!$C$41:$C$87, -1), 10)</f>
        <v>1600</v>
      </c>
      <c r="AB163" s="41" cm="1">
        <f t="array" ref="AB163">Q163*VLOOKUP($G163, Factor!$C$4:$N$36, 11, 0)*INDEX(Factor!$C$41:$N$87, _xlfn.XMATCH($C163, Factor!$C$41:$C$87, -1), 11)</f>
        <v>6</v>
      </c>
      <c r="AC163" s="41" cm="1">
        <f t="array" ref="AC163">R163*VLOOKUP($G163, Factor!$C$4:$N$36, 12, 0)*INDEX(Factor!$C$41:$N$87, _xlfn.XMATCH($C163, Factor!$C$41:$C$87, -1), 12)</f>
        <v>6</v>
      </c>
      <c r="AD163" s="41"/>
    </row>
    <row r="164" spans="1:30" ht="15.75" customHeight="1" x14ac:dyDescent="0.2">
      <c r="A164" s="18" t="str">
        <f>"locomotive_"&amp; VLOOKUP(F164, Factor!$BK$4:$BL$6, 2, 0) &amp;"_"&amp;Locomotive!D164&amp;"_"&amp;VLOOKUP(E164, Factor!$BM$4:$BN$36, 2, 0)</f>
        <v>locomotive_St_T6_009</v>
      </c>
      <c r="B164" s="18" t="str">
        <f t="shared" si="4"/>
        <v>T6 견인 증기기관차</v>
      </c>
      <c r="C164" s="18">
        <f>VLOOKUP(D164, Factor!$B$41:$C$50, 2, 0)</f>
        <v>60000</v>
      </c>
      <c r="D164" s="18" t="s">
        <v>322</v>
      </c>
      <c r="E164" s="18" t="s">
        <v>512</v>
      </c>
      <c r="F164" s="18" t="s">
        <v>505</v>
      </c>
      <c r="G164" s="18" t="str">
        <f t="shared" si="5"/>
        <v>견인 증기</v>
      </c>
      <c r="H164" s="18">
        <v>1</v>
      </c>
      <c r="I164" s="18">
        <v>1</v>
      </c>
      <c r="J164" s="18">
        <v>1</v>
      </c>
      <c r="K164" s="18">
        <v>1</v>
      </c>
      <c r="L164" s="18">
        <v>1</v>
      </c>
      <c r="M164" s="18">
        <v>1</v>
      </c>
      <c r="N164" s="18">
        <v>1</v>
      </c>
      <c r="O164" s="18">
        <v>1</v>
      </c>
      <c r="P164" s="18">
        <v>1</v>
      </c>
      <c r="Q164" s="18">
        <v>1</v>
      </c>
      <c r="R164" s="18">
        <v>1</v>
      </c>
      <c r="S164" s="18" cm="1">
        <f t="array" ref="S164">H164*VLOOKUP($G164, Factor!$C$4:$N$36, 2, 0)*INDEX(Factor!$C$41:$N$87, _xlfn.XMATCH($C164, Factor!$C$41:$C$87, -1), 2)</f>
        <v>180</v>
      </c>
      <c r="T164" s="18" cm="1">
        <f t="array" ref="T164">I164*VLOOKUP($G164, Factor!$C$4:$N$36, 3, 0)*INDEX(Factor!$C$41:$N$87, _xlfn.XMATCH($C164, Factor!$C$41:$C$87, -1), 3)</f>
        <v>2000</v>
      </c>
      <c r="U164" s="18" cm="1">
        <f t="array" ref="U164">J164*VLOOKUP($G164, Factor!$C$4:$N$36, 4, 0)*INDEX(Factor!$C$41:$N$87, _xlfn.XMATCH($C164, Factor!$C$41:$C$87, -1), 4)</f>
        <v>7</v>
      </c>
      <c r="V164" s="18" cm="1">
        <f t="array" ref="V164">K164*VLOOKUP($G164, Factor!$C$4:$N$36, 5, 0)*INDEX(Factor!$C$41:$N$87, _xlfn.XMATCH($C164, Factor!$C$41:$C$87, -1), 5)</f>
        <v>6</v>
      </c>
      <c r="W164" s="18" cm="1">
        <f t="array" ref="W164">L164*VLOOKUP($G164, Factor!$C$4:$N$36, 6, 0)*INDEX(Factor!$C$41:$N$87, _xlfn.XMATCH($C164, Factor!$C$41:$C$87, -1), 6)</f>
        <v>20</v>
      </c>
      <c r="X164" s="18" cm="1">
        <f t="array" ref="X164">M164*VLOOKUP($G164, Factor!$C$4:$N$36, 7, 0)*INDEX(Factor!$C$41:$N$87, _xlfn.XMATCH($C164, Factor!$C$41:$C$87, -1), 7)</f>
        <v>30000</v>
      </c>
      <c r="Y164" s="18" cm="1">
        <f t="array" ref="Y164">N164*VLOOKUP($G164, Factor!$C$4:$N$36, 8, 0)*INDEX(Factor!$C$41:$N$87, _xlfn.XMATCH($C164, Factor!$C$41:$C$87, -1), 8)</f>
        <v>2000</v>
      </c>
      <c r="Z164" s="18" cm="1">
        <f t="array" ref="Z164">O164*VLOOKUP($G164, Factor!$C$4:$N$36, 9, 0)*INDEX(Factor!$C$41:$N$87, _xlfn.XMATCH($C164, Factor!$C$41:$C$87, -1), 9)</f>
        <v>60</v>
      </c>
      <c r="AA164" s="18" cm="1">
        <f t="array" ref="AA164">P164*VLOOKUP($G164, Factor!$C$4:$N$36, 10, 0)*INDEX(Factor!$C$41:$N$87, _xlfn.XMATCH($C164, Factor!$C$41:$C$87, -1), 10)</f>
        <v>2000</v>
      </c>
      <c r="AB164" s="18" cm="1">
        <f t="array" ref="AB164">Q164*VLOOKUP($G164, Factor!$C$4:$N$36, 11, 0)*INDEX(Factor!$C$41:$N$87, _xlfn.XMATCH($C164, Factor!$C$41:$C$87, -1), 11)</f>
        <v>6</v>
      </c>
      <c r="AC164" s="18" cm="1">
        <f t="array" ref="AC164">R164*VLOOKUP($G164, Factor!$C$4:$N$36, 12, 0)*INDEX(Factor!$C$41:$N$87, _xlfn.XMATCH($C164, Factor!$C$41:$C$87, -1), 12)</f>
        <v>6</v>
      </c>
      <c r="AD164" s="18"/>
    </row>
    <row r="165" spans="1:30" ht="15.75" customHeight="1" x14ac:dyDescent="0.2">
      <c r="A165" s="15" t="str">
        <f>"locomotive_"&amp; VLOOKUP(F165, Factor!$BK$4:$BL$6, 2, 0) &amp;"_"&amp;Locomotive!D165&amp;"_"&amp;VLOOKUP(E165, Factor!$BM$4:$BN$36, 2, 0)</f>
        <v>locomotive_El_T6_009</v>
      </c>
      <c r="B165" s="15" t="str">
        <f t="shared" si="4"/>
        <v>T6 견인 전기기관차</v>
      </c>
      <c r="C165" s="15">
        <f>VLOOKUP(D165, Factor!$B$41:$C$50, 2, 0)</f>
        <v>60000</v>
      </c>
      <c r="D165" s="15" t="s">
        <v>322</v>
      </c>
      <c r="E165" s="41" t="s">
        <v>512</v>
      </c>
      <c r="F165" s="41" t="s">
        <v>502</v>
      </c>
      <c r="G165" s="41" t="str">
        <f t="shared" si="5"/>
        <v>견인 전기</v>
      </c>
      <c r="H165" s="41">
        <v>1</v>
      </c>
      <c r="I165" s="41">
        <v>1</v>
      </c>
      <c r="J165" s="41">
        <v>1</v>
      </c>
      <c r="K165" s="41">
        <v>1</v>
      </c>
      <c r="L165" s="41">
        <v>1</v>
      </c>
      <c r="M165" s="41">
        <v>1</v>
      </c>
      <c r="N165" s="41">
        <v>1</v>
      </c>
      <c r="O165" s="41">
        <v>1</v>
      </c>
      <c r="P165" s="41">
        <v>1</v>
      </c>
      <c r="Q165" s="41">
        <v>1</v>
      </c>
      <c r="R165" s="41">
        <v>1</v>
      </c>
      <c r="S165" s="41" cm="1">
        <f t="array" ref="S165">H165*VLOOKUP($G165, Factor!$C$4:$N$36, 2, 0)*INDEX(Factor!$C$41:$N$87, _xlfn.XMATCH($C165, Factor!$C$41:$C$87, -1), 2)</f>
        <v>360</v>
      </c>
      <c r="T165" s="41" cm="1">
        <f t="array" ref="T165">I165*VLOOKUP($G165, Factor!$C$4:$N$36, 3, 0)*INDEX(Factor!$C$41:$N$87, _xlfn.XMATCH($C165, Factor!$C$41:$C$87, -1), 3)</f>
        <v>1600</v>
      </c>
      <c r="U165" s="41" cm="1">
        <f t="array" ref="U165">J165*VLOOKUP($G165, Factor!$C$4:$N$36, 4, 0)*INDEX(Factor!$C$41:$N$87, _xlfn.XMATCH($C165, Factor!$C$41:$C$87, -1), 4)</f>
        <v>7</v>
      </c>
      <c r="V165" s="41" cm="1">
        <f t="array" ref="V165">K165*VLOOKUP($G165, Factor!$C$4:$N$36, 5, 0)*INDEX(Factor!$C$41:$N$87, _xlfn.XMATCH($C165, Factor!$C$41:$C$87, -1), 5)</f>
        <v>14</v>
      </c>
      <c r="W165" s="41" cm="1">
        <f t="array" ref="W165">L165*VLOOKUP($G165, Factor!$C$4:$N$36, 6, 0)*INDEX(Factor!$C$41:$N$87, _xlfn.XMATCH($C165, Factor!$C$41:$C$87, -1), 6)</f>
        <v>20</v>
      </c>
      <c r="X165" s="41" cm="1">
        <f t="array" ref="X165">M165*VLOOKUP($G165, Factor!$C$4:$N$36, 7, 0)*INDEX(Factor!$C$41:$N$87, _xlfn.XMATCH($C165, Factor!$C$41:$C$87, -1), 7)</f>
        <v>24000</v>
      </c>
      <c r="Y165" s="41" cm="1">
        <f t="array" ref="Y165">N165*VLOOKUP($G165, Factor!$C$4:$N$36, 8, 0)*INDEX(Factor!$C$41:$N$87, _xlfn.XMATCH($C165, Factor!$C$41:$C$87, -1), 8)</f>
        <v>1400</v>
      </c>
      <c r="Z165" s="41" cm="1">
        <f t="array" ref="Z165">O165*VLOOKUP($G165, Factor!$C$4:$N$36, 9, 0)*INDEX(Factor!$C$41:$N$87, _xlfn.XMATCH($C165, Factor!$C$41:$C$87, -1), 9)</f>
        <v>10</v>
      </c>
      <c r="AA165" s="41" cm="1">
        <f t="array" ref="AA165">P165*VLOOKUP($G165, Factor!$C$4:$N$36, 10, 0)*INDEX(Factor!$C$41:$N$87, _xlfn.XMATCH($C165, Factor!$C$41:$C$87, -1), 10)</f>
        <v>1400</v>
      </c>
      <c r="AB165" s="41" cm="1">
        <f t="array" ref="AB165">Q165*VLOOKUP($G165, Factor!$C$4:$N$36, 11, 0)*INDEX(Factor!$C$41:$N$87, _xlfn.XMATCH($C165, Factor!$C$41:$C$87, -1), 11)</f>
        <v>6</v>
      </c>
      <c r="AC165" s="41" cm="1">
        <f t="array" ref="AC165">R165*VLOOKUP($G165, Factor!$C$4:$N$36, 12, 0)*INDEX(Factor!$C$41:$N$87, _xlfn.XMATCH($C165, Factor!$C$41:$C$87, -1), 12)</f>
        <v>6</v>
      </c>
      <c r="AD165" s="41"/>
    </row>
    <row r="166" spans="1:30" ht="15.75" customHeight="1" x14ac:dyDescent="0.2">
      <c r="A166" s="18" t="str">
        <f>"locomotive_"&amp; VLOOKUP(F166, Factor!$BK$4:$BL$6, 2, 0) &amp;"_"&amp;Locomotive!D166&amp;"_"&amp;VLOOKUP(E166, Factor!$BM$4:$BN$36, 2, 0)</f>
        <v>locomotive_Dz_T6_009</v>
      </c>
      <c r="B166" s="18" t="str">
        <f t="shared" si="4"/>
        <v>T6 견인 디젤기관차</v>
      </c>
      <c r="C166" s="18">
        <f>VLOOKUP(D166, Factor!$B$41:$C$50, 2, 0)</f>
        <v>60000</v>
      </c>
      <c r="D166" s="18" t="s">
        <v>322</v>
      </c>
      <c r="E166" s="18" t="s">
        <v>512</v>
      </c>
      <c r="F166" s="18" t="s">
        <v>503</v>
      </c>
      <c r="G166" s="18" t="str">
        <f t="shared" si="5"/>
        <v>견인 디젤</v>
      </c>
      <c r="H166" s="18">
        <v>1</v>
      </c>
      <c r="I166" s="18">
        <v>1</v>
      </c>
      <c r="J166" s="18">
        <v>1</v>
      </c>
      <c r="K166" s="18">
        <v>1</v>
      </c>
      <c r="L166" s="18">
        <v>1</v>
      </c>
      <c r="M166" s="18">
        <v>1</v>
      </c>
      <c r="N166" s="18">
        <v>1</v>
      </c>
      <c r="O166" s="18">
        <v>1</v>
      </c>
      <c r="P166" s="18">
        <v>1</v>
      </c>
      <c r="Q166" s="18">
        <v>1</v>
      </c>
      <c r="R166" s="18">
        <v>1</v>
      </c>
      <c r="S166" s="18" cm="1">
        <f t="array" ref="S166">H166*VLOOKUP($G166, Factor!$C$4:$N$36, 2, 0)*INDEX(Factor!$C$41:$N$87, _xlfn.XMATCH($C166, Factor!$C$41:$C$87, -1), 2)</f>
        <v>240</v>
      </c>
      <c r="T166" s="18" cm="1">
        <f t="array" ref="T166">I166*VLOOKUP($G166, Factor!$C$4:$N$36, 3, 0)*INDEX(Factor!$C$41:$N$87, _xlfn.XMATCH($C166, Factor!$C$41:$C$87, -1), 3)</f>
        <v>2400</v>
      </c>
      <c r="U166" s="18" cm="1">
        <f t="array" ref="U166">J166*VLOOKUP($G166, Factor!$C$4:$N$36, 4, 0)*INDEX(Factor!$C$41:$N$87, _xlfn.XMATCH($C166, Factor!$C$41:$C$87, -1), 4)</f>
        <v>7</v>
      </c>
      <c r="V166" s="18" cm="1">
        <f t="array" ref="V166">K166*VLOOKUP($G166, Factor!$C$4:$N$36, 5, 0)*INDEX(Factor!$C$41:$N$87, _xlfn.XMATCH($C166, Factor!$C$41:$C$87, -1), 5)</f>
        <v>10</v>
      </c>
      <c r="W166" s="18" cm="1">
        <f t="array" ref="W166">L166*VLOOKUP($G166, Factor!$C$4:$N$36, 6, 0)*INDEX(Factor!$C$41:$N$87, _xlfn.XMATCH($C166, Factor!$C$41:$C$87, -1), 6)</f>
        <v>20</v>
      </c>
      <c r="X166" s="18" cm="1">
        <f t="array" ref="X166">M166*VLOOKUP($G166, Factor!$C$4:$N$36, 7, 0)*INDEX(Factor!$C$41:$N$87, _xlfn.XMATCH($C166, Factor!$C$41:$C$87, -1), 7)</f>
        <v>40000</v>
      </c>
      <c r="Y166" s="18" cm="1">
        <f t="array" ref="Y166">N166*VLOOKUP($G166, Factor!$C$4:$N$36, 8, 0)*INDEX(Factor!$C$41:$N$87, _xlfn.XMATCH($C166, Factor!$C$41:$C$87, -1), 8)</f>
        <v>1600</v>
      </c>
      <c r="Z166" s="18" cm="1">
        <f t="array" ref="Z166">O166*VLOOKUP($G166, Factor!$C$4:$N$36, 9, 0)*INDEX(Factor!$C$41:$N$87, _xlfn.XMATCH($C166, Factor!$C$41:$C$87, -1), 9)</f>
        <v>20</v>
      </c>
      <c r="AA166" s="18" cm="1">
        <f t="array" ref="AA166">P166*VLOOKUP($G166, Factor!$C$4:$N$36, 10, 0)*INDEX(Factor!$C$41:$N$87, _xlfn.XMATCH($C166, Factor!$C$41:$C$87, -1), 10)</f>
        <v>1600</v>
      </c>
      <c r="AB166" s="18" cm="1">
        <f t="array" ref="AB166">Q166*VLOOKUP($G166, Factor!$C$4:$N$36, 11, 0)*INDEX(Factor!$C$41:$N$87, _xlfn.XMATCH($C166, Factor!$C$41:$C$87, -1), 11)</f>
        <v>6</v>
      </c>
      <c r="AC166" s="18" cm="1">
        <f t="array" ref="AC166">R166*VLOOKUP($G166, Factor!$C$4:$N$36, 12, 0)*INDEX(Factor!$C$41:$N$87, _xlfn.XMATCH($C166, Factor!$C$41:$C$87, -1), 12)</f>
        <v>6</v>
      </c>
      <c r="AD166" s="18"/>
    </row>
    <row r="167" spans="1:30" ht="15.75" customHeight="1" x14ac:dyDescent="0.2">
      <c r="A167" s="15" t="str">
        <f>"locomotive_"&amp; VLOOKUP(F167, Factor!$BK$4:$BL$6, 2, 0) &amp;"_"&amp;Locomotive!D167&amp;"_"&amp;VLOOKUP(E167, Factor!$BM$4:$BN$36, 2, 0)</f>
        <v>locomotive_St_T7_001</v>
      </c>
      <c r="B167" s="15" t="str">
        <f t="shared" si="4"/>
        <v>T7 표준 증기기관차</v>
      </c>
      <c r="C167" s="15">
        <f>VLOOKUP(D167, Factor!$B$41:$C$50, 2, 0)</f>
        <v>70000</v>
      </c>
      <c r="D167" s="15" t="s">
        <v>325</v>
      </c>
      <c r="E167" s="41" t="s">
        <v>501</v>
      </c>
      <c r="F167" s="41" t="s">
        <v>505</v>
      </c>
      <c r="G167" s="41" t="str">
        <f t="shared" si="5"/>
        <v>표준 증기</v>
      </c>
      <c r="H167" s="41">
        <v>1</v>
      </c>
      <c r="I167" s="41">
        <v>1</v>
      </c>
      <c r="J167" s="41">
        <v>1</v>
      </c>
      <c r="K167" s="41">
        <v>1</v>
      </c>
      <c r="L167" s="41">
        <v>1</v>
      </c>
      <c r="M167" s="41">
        <v>1</v>
      </c>
      <c r="N167" s="41">
        <v>1</v>
      </c>
      <c r="O167" s="41">
        <v>1</v>
      </c>
      <c r="P167" s="41">
        <v>1</v>
      </c>
      <c r="Q167" s="41">
        <v>1</v>
      </c>
      <c r="R167" s="41">
        <v>1</v>
      </c>
      <c r="S167" s="41" cm="1">
        <f t="array" ref="S167">H167*VLOOKUP($G167, Factor!$C$4:$N$36, 2, 0)*INDEX(Factor!$C$41:$N$87, _xlfn.XMATCH($C167, Factor!$C$41:$C$87, -1), 2)</f>
        <v>220.00000000000003</v>
      </c>
      <c r="T167" s="41" cm="1">
        <f t="array" ref="T167">I167*VLOOKUP($G167, Factor!$C$4:$N$36, 3, 0)*INDEX(Factor!$C$41:$N$87, _xlfn.XMATCH($C167, Factor!$C$41:$C$87, -1), 3)</f>
        <v>2200</v>
      </c>
      <c r="U167" s="41" cm="1">
        <f t="array" ref="U167">J167*VLOOKUP($G167, Factor!$C$4:$N$36, 4, 0)*INDEX(Factor!$C$41:$N$87, _xlfn.XMATCH($C167, Factor!$C$41:$C$87, -1), 4)</f>
        <v>8</v>
      </c>
      <c r="V167" s="41" cm="1">
        <f t="array" ref="V167">K167*VLOOKUP($G167, Factor!$C$4:$N$36, 5, 0)*INDEX(Factor!$C$41:$N$87, _xlfn.XMATCH($C167, Factor!$C$41:$C$87, -1), 5)</f>
        <v>8.8000000000000007</v>
      </c>
      <c r="W167" s="41" cm="1">
        <f t="array" ref="W167">L167*VLOOKUP($G167, Factor!$C$4:$N$36, 6, 0)*INDEX(Factor!$C$41:$N$87, _xlfn.XMATCH($C167, Factor!$C$41:$C$87, -1), 6)</f>
        <v>22</v>
      </c>
      <c r="X167" s="41" cm="1">
        <f t="array" ref="X167">M167*VLOOKUP($G167, Factor!$C$4:$N$36, 7, 0)*INDEX(Factor!$C$41:$N$87, _xlfn.XMATCH($C167, Factor!$C$41:$C$87, -1), 7)</f>
        <v>22000</v>
      </c>
      <c r="Y167" s="41" cm="1">
        <f t="array" ref="Y167">N167*VLOOKUP($G167, Factor!$C$4:$N$36, 8, 0)*INDEX(Factor!$C$41:$N$87, _xlfn.XMATCH($C167, Factor!$C$41:$C$87, -1), 8)</f>
        <v>2200</v>
      </c>
      <c r="Z167" s="41" cm="1">
        <f t="array" ref="Z167">O167*VLOOKUP($G167, Factor!$C$4:$N$36, 9, 0)*INDEX(Factor!$C$41:$N$87, _xlfn.XMATCH($C167, Factor!$C$41:$C$87, -1), 9)</f>
        <v>66</v>
      </c>
      <c r="AA167" s="41" cm="1">
        <f t="array" ref="AA167">P167*VLOOKUP($G167, Factor!$C$4:$N$36, 10, 0)*INDEX(Factor!$C$41:$N$87, _xlfn.XMATCH($C167, Factor!$C$41:$C$87, -1), 10)</f>
        <v>2200</v>
      </c>
      <c r="AB167" s="41" cm="1">
        <f t="array" ref="AB167">Q167*VLOOKUP($G167, Factor!$C$4:$N$36, 11, 0)*INDEX(Factor!$C$41:$N$87, _xlfn.XMATCH($C167, Factor!$C$41:$C$87, -1), 11)</f>
        <v>7</v>
      </c>
      <c r="AC167" s="41" cm="1">
        <f t="array" ref="AC167">R167*VLOOKUP($G167, Factor!$C$4:$N$36, 12, 0)*INDEX(Factor!$C$41:$N$87, _xlfn.XMATCH($C167, Factor!$C$41:$C$87, -1), 12)</f>
        <v>7</v>
      </c>
      <c r="AD167" s="41"/>
    </row>
    <row r="168" spans="1:30" ht="15.75" customHeight="1" x14ac:dyDescent="0.2">
      <c r="A168" s="18" t="str">
        <f>"locomotive_"&amp; VLOOKUP(F168, Factor!$BK$4:$BL$6, 2, 0) &amp;"_"&amp;Locomotive!D168&amp;"_"&amp;VLOOKUP(E168, Factor!$BM$4:$BN$36, 2, 0)</f>
        <v>locomotive_El_T7_001</v>
      </c>
      <c r="B168" s="18" t="str">
        <f t="shared" si="4"/>
        <v>T7 표준 전기기관차</v>
      </c>
      <c r="C168" s="18">
        <f>VLOOKUP(D168, Factor!$B$41:$C$50, 2, 0)</f>
        <v>70000</v>
      </c>
      <c r="D168" s="18" t="s">
        <v>325</v>
      </c>
      <c r="E168" s="18" t="s">
        <v>501</v>
      </c>
      <c r="F168" s="18" t="s">
        <v>502</v>
      </c>
      <c r="G168" s="18" t="str">
        <f t="shared" si="5"/>
        <v>표준 전기</v>
      </c>
      <c r="H168" s="18">
        <v>1</v>
      </c>
      <c r="I168" s="18">
        <v>1</v>
      </c>
      <c r="J168" s="18">
        <v>1</v>
      </c>
      <c r="K168" s="18">
        <v>1</v>
      </c>
      <c r="L168" s="18">
        <v>1</v>
      </c>
      <c r="M168" s="18">
        <v>1</v>
      </c>
      <c r="N168" s="18">
        <v>1</v>
      </c>
      <c r="O168" s="18">
        <v>1</v>
      </c>
      <c r="P168" s="18">
        <v>1</v>
      </c>
      <c r="Q168" s="18">
        <v>1</v>
      </c>
      <c r="R168" s="18">
        <v>1</v>
      </c>
      <c r="S168" s="18" cm="1">
        <f t="array" ref="S168">H168*VLOOKUP($G168, Factor!$C$4:$N$36, 2, 0)*INDEX(Factor!$C$41:$N$87, _xlfn.XMATCH($C168, Factor!$C$41:$C$87, -1), 2)</f>
        <v>440.00000000000006</v>
      </c>
      <c r="T168" s="18" cm="1">
        <f t="array" ref="T168">I168*VLOOKUP($G168, Factor!$C$4:$N$36, 3, 0)*INDEX(Factor!$C$41:$N$87, _xlfn.XMATCH($C168, Factor!$C$41:$C$87, -1), 3)</f>
        <v>1760.0000000000002</v>
      </c>
      <c r="U168" s="18" cm="1">
        <f t="array" ref="U168">J168*VLOOKUP($G168, Factor!$C$4:$N$36, 4, 0)*INDEX(Factor!$C$41:$N$87, _xlfn.XMATCH($C168, Factor!$C$41:$C$87, -1), 4)</f>
        <v>8</v>
      </c>
      <c r="V168" s="18" cm="1">
        <f t="array" ref="V168">K168*VLOOKUP($G168, Factor!$C$4:$N$36, 5, 0)*INDEX(Factor!$C$41:$N$87, _xlfn.XMATCH($C168, Factor!$C$41:$C$87, -1), 5)</f>
        <v>17.600000000000001</v>
      </c>
      <c r="W168" s="18" cm="1">
        <f t="array" ref="W168">L168*VLOOKUP($G168, Factor!$C$4:$N$36, 6, 0)*INDEX(Factor!$C$41:$N$87, _xlfn.XMATCH($C168, Factor!$C$41:$C$87, -1), 6)</f>
        <v>22</v>
      </c>
      <c r="X168" s="18" cm="1">
        <f t="array" ref="X168">M168*VLOOKUP($G168, Factor!$C$4:$N$36, 7, 0)*INDEX(Factor!$C$41:$N$87, _xlfn.XMATCH($C168, Factor!$C$41:$C$87, -1), 7)</f>
        <v>15400.000000000002</v>
      </c>
      <c r="Y168" s="18" cm="1">
        <f t="array" ref="Y168">N168*VLOOKUP($G168, Factor!$C$4:$N$36, 8, 0)*INDEX(Factor!$C$41:$N$87, _xlfn.XMATCH($C168, Factor!$C$41:$C$87, -1), 8)</f>
        <v>1540.0000000000002</v>
      </c>
      <c r="Z168" s="18" cm="1">
        <f t="array" ref="Z168">O168*VLOOKUP($G168, Factor!$C$4:$N$36, 9, 0)*INDEX(Factor!$C$41:$N$87, _xlfn.XMATCH($C168, Factor!$C$41:$C$87, -1), 9)</f>
        <v>11</v>
      </c>
      <c r="AA168" s="18" cm="1">
        <f t="array" ref="AA168">P168*VLOOKUP($G168, Factor!$C$4:$N$36, 10, 0)*INDEX(Factor!$C$41:$N$87, _xlfn.XMATCH($C168, Factor!$C$41:$C$87, -1), 10)</f>
        <v>1540.0000000000002</v>
      </c>
      <c r="AB168" s="18" cm="1">
        <f t="array" ref="AB168">Q168*VLOOKUP($G168, Factor!$C$4:$N$36, 11, 0)*INDEX(Factor!$C$41:$N$87, _xlfn.XMATCH($C168, Factor!$C$41:$C$87, -1), 11)</f>
        <v>7</v>
      </c>
      <c r="AC168" s="18" cm="1">
        <f t="array" ref="AC168">R168*VLOOKUP($G168, Factor!$C$4:$N$36, 12, 0)*INDEX(Factor!$C$41:$N$87, _xlfn.XMATCH($C168, Factor!$C$41:$C$87, -1), 12)</f>
        <v>7</v>
      </c>
      <c r="AD168" s="18"/>
    </row>
    <row r="169" spans="1:30" ht="15.75" customHeight="1" x14ac:dyDescent="0.2">
      <c r="A169" s="15" t="str">
        <f>"locomotive_"&amp; VLOOKUP(F169, Factor!$BK$4:$BL$6, 2, 0) &amp;"_"&amp;Locomotive!D169&amp;"_"&amp;VLOOKUP(E169, Factor!$BM$4:$BN$36, 2, 0)</f>
        <v>locomotive_Dz_T7_001</v>
      </c>
      <c r="B169" s="15" t="str">
        <f t="shared" si="4"/>
        <v>T7 표준 디젤기관차</v>
      </c>
      <c r="C169" s="15">
        <f>VLOOKUP(D169, Factor!$B$41:$C$50, 2, 0)</f>
        <v>70000</v>
      </c>
      <c r="D169" s="15" t="s">
        <v>325</v>
      </c>
      <c r="E169" s="41" t="s">
        <v>501</v>
      </c>
      <c r="F169" s="41" t="s">
        <v>503</v>
      </c>
      <c r="G169" s="41" t="str">
        <f t="shared" si="5"/>
        <v>표준 디젤</v>
      </c>
      <c r="H169" s="41">
        <v>1</v>
      </c>
      <c r="I169" s="41">
        <v>1</v>
      </c>
      <c r="J169" s="41">
        <v>1</v>
      </c>
      <c r="K169" s="41">
        <v>1</v>
      </c>
      <c r="L169" s="41">
        <v>1</v>
      </c>
      <c r="M169" s="41">
        <v>1</v>
      </c>
      <c r="N169" s="41">
        <v>1</v>
      </c>
      <c r="O169" s="41">
        <v>1</v>
      </c>
      <c r="P169" s="41">
        <v>1</v>
      </c>
      <c r="Q169" s="41">
        <v>1</v>
      </c>
      <c r="R169" s="41">
        <v>1</v>
      </c>
      <c r="S169" s="41" cm="1">
        <f t="array" ref="S169">H169*VLOOKUP($G169, Factor!$C$4:$N$36, 2, 0)*INDEX(Factor!$C$41:$N$87, _xlfn.XMATCH($C169, Factor!$C$41:$C$87, -1), 2)</f>
        <v>330</v>
      </c>
      <c r="T169" s="41" cm="1">
        <f t="array" ref="T169">I169*VLOOKUP($G169, Factor!$C$4:$N$36, 3, 0)*INDEX(Factor!$C$41:$N$87, _xlfn.XMATCH($C169, Factor!$C$41:$C$87, -1), 3)</f>
        <v>2640</v>
      </c>
      <c r="U169" s="41" cm="1">
        <f t="array" ref="U169">J169*VLOOKUP($G169, Factor!$C$4:$N$36, 4, 0)*INDEX(Factor!$C$41:$N$87, _xlfn.XMATCH($C169, Factor!$C$41:$C$87, -1), 4)</f>
        <v>8</v>
      </c>
      <c r="V169" s="41" cm="1">
        <f t="array" ref="V169">K169*VLOOKUP($G169, Factor!$C$4:$N$36, 5, 0)*INDEX(Factor!$C$41:$N$87, _xlfn.XMATCH($C169, Factor!$C$41:$C$87, -1), 5)</f>
        <v>13.200000000000001</v>
      </c>
      <c r="W169" s="41" cm="1">
        <f t="array" ref="W169">L169*VLOOKUP($G169, Factor!$C$4:$N$36, 6, 0)*INDEX(Factor!$C$41:$N$87, _xlfn.XMATCH($C169, Factor!$C$41:$C$87, -1), 6)</f>
        <v>22</v>
      </c>
      <c r="X169" s="41" cm="1">
        <f t="array" ref="X169">M169*VLOOKUP($G169, Factor!$C$4:$N$36, 7, 0)*INDEX(Factor!$C$41:$N$87, _xlfn.XMATCH($C169, Factor!$C$41:$C$87, -1), 7)</f>
        <v>33000</v>
      </c>
      <c r="Y169" s="41" cm="1">
        <f t="array" ref="Y169">N169*VLOOKUP($G169, Factor!$C$4:$N$36, 8, 0)*INDEX(Factor!$C$41:$N$87, _xlfn.XMATCH($C169, Factor!$C$41:$C$87, -1), 8)</f>
        <v>1760.0000000000002</v>
      </c>
      <c r="Z169" s="41" cm="1">
        <f t="array" ref="Z169">O169*VLOOKUP($G169, Factor!$C$4:$N$36, 9, 0)*INDEX(Factor!$C$41:$N$87, _xlfn.XMATCH($C169, Factor!$C$41:$C$87, -1), 9)</f>
        <v>22</v>
      </c>
      <c r="AA169" s="41" cm="1">
        <f t="array" ref="AA169">P169*VLOOKUP($G169, Factor!$C$4:$N$36, 10, 0)*INDEX(Factor!$C$41:$N$87, _xlfn.XMATCH($C169, Factor!$C$41:$C$87, -1), 10)</f>
        <v>1760.0000000000002</v>
      </c>
      <c r="AB169" s="41" cm="1">
        <f t="array" ref="AB169">Q169*VLOOKUP($G169, Factor!$C$4:$N$36, 11, 0)*INDEX(Factor!$C$41:$N$87, _xlfn.XMATCH($C169, Factor!$C$41:$C$87, -1), 11)</f>
        <v>7</v>
      </c>
      <c r="AC169" s="41" cm="1">
        <f t="array" ref="AC169">R169*VLOOKUP($G169, Factor!$C$4:$N$36, 12, 0)*INDEX(Factor!$C$41:$N$87, _xlfn.XMATCH($C169, Factor!$C$41:$C$87, -1), 12)</f>
        <v>7</v>
      </c>
      <c r="AD169" s="41"/>
    </row>
    <row r="170" spans="1:30" ht="15.75" customHeight="1" x14ac:dyDescent="0.2">
      <c r="A170" s="18" t="str">
        <f>"locomotive_"&amp; VLOOKUP(F170, Factor!$BK$4:$BL$6, 2, 0) &amp;"_"&amp;Locomotive!D170&amp;"_"&amp;VLOOKUP(E170, Factor!$BM$4:$BN$36, 2, 0)</f>
        <v>locomotive_St_T7_002</v>
      </c>
      <c r="B170" s="18" t="str">
        <f t="shared" si="4"/>
        <v>T7 쾌속 증기기관차</v>
      </c>
      <c r="C170" s="18">
        <f>VLOOKUP(D170, Factor!$B$41:$C$50, 2, 0)</f>
        <v>70000</v>
      </c>
      <c r="D170" s="18" t="s">
        <v>325</v>
      </c>
      <c r="E170" s="18" t="s">
        <v>504</v>
      </c>
      <c r="F170" s="18" t="s">
        <v>505</v>
      </c>
      <c r="G170" s="18" t="str">
        <f t="shared" si="5"/>
        <v>쾌속 증기</v>
      </c>
      <c r="H170" s="18">
        <v>1</v>
      </c>
      <c r="I170" s="18">
        <v>1</v>
      </c>
      <c r="J170" s="18">
        <v>1</v>
      </c>
      <c r="K170" s="18">
        <v>1</v>
      </c>
      <c r="L170" s="18">
        <v>1</v>
      </c>
      <c r="M170" s="18">
        <v>1</v>
      </c>
      <c r="N170" s="18">
        <v>1</v>
      </c>
      <c r="O170" s="18">
        <v>1</v>
      </c>
      <c r="P170" s="18">
        <v>1</v>
      </c>
      <c r="Q170" s="18">
        <v>1</v>
      </c>
      <c r="R170" s="18">
        <v>1</v>
      </c>
      <c r="S170" s="18" cm="1">
        <f t="array" ref="S170">H170*VLOOKUP($G170, Factor!$C$4:$N$36, 2, 0)*INDEX(Factor!$C$41:$N$87, _xlfn.XMATCH($C170, Factor!$C$41:$C$87, -1), 2)</f>
        <v>242.00000000000003</v>
      </c>
      <c r="T170" s="18" cm="1">
        <f t="array" ref="T170">I170*VLOOKUP($G170, Factor!$C$4:$N$36, 3, 0)*INDEX(Factor!$C$41:$N$87, _xlfn.XMATCH($C170, Factor!$C$41:$C$87, -1), 3)</f>
        <v>1980.0000000000002</v>
      </c>
      <c r="U170" s="18" cm="1">
        <f t="array" ref="U170">J170*VLOOKUP($G170, Factor!$C$4:$N$36, 4, 0)*INDEX(Factor!$C$41:$N$87, _xlfn.XMATCH($C170, Factor!$C$41:$C$87, -1), 4)</f>
        <v>8</v>
      </c>
      <c r="V170" s="18" cm="1">
        <f t="array" ref="V170">K170*VLOOKUP($G170, Factor!$C$4:$N$36, 5, 0)*INDEX(Factor!$C$41:$N$87, _xlfn.XMATCH($C170, Factor!$C$41:$C$87, -1), 5)</f>
        <v>13.200000000000001</v>
      </c>
      <c r="W170" s="18" cm="1">
        <f t="array" ref="W170">L170*VLOOKUP($G170, Factor!$C$4:$N$36, 6, 0)*INDEX(Factor!$C$41:$N$87, _xlfn.XMATCH($C170, Factor!$C$41:$C$87, -1), 6)</f>
        <v>22</v>
      </c>
      <c r="X170" s="18" cm="1">
        <f t="array" ref="X170">M170*VLOOKUP($G170, Factor!$C$4:$N$36, 7, 0)*INDEX(Factor!$C$41:$N$87, _xlfn.XMATCH($C170, Factor!$C$41:$C$87, -1), 7)</f>
        <v>22000</v>
      </c>
      <c r="Y170" s="18" cm="1">
        <f t="array" ref="Y170">N170*VLOOKUP($G170, Factor!$C$4:$N$36, 8, 0)*INDEX(Factor!$C$41:$N$87, _xlfn.XMATCH($C170, Factor!$C$41:$C$87, -1), 8)</f>
        <v>1760.0000000000002</v>
      </c>
      <c r="Z170" s="18" cm="1">
        <f t="array" ref="Z170">O170*VLOOKUP($G170, Factor!$C$4:$N$36, 9, 0)*INDEX(Factor!$C$41:$N$87, _xlfn.XMATCH($C170, Factor!$C$41:$C$87, -1), 9)</f>
        <v>44</v>
      </c>
      <c r="AA170" s="18" cm="1">
        <f t="array" ref="AA170">P170*VLOOKUP($G170, Factor!$C$4:$N$36, 10, 0)*INDEX(Factor!$C$41:$N$87, _xlfn.XMATCH($C170, Factor!$C$41:$C$87, -1), 10)</f>
        <v>1760.0000000000002</v>
      </c>
      <c r="AB170" s="18" cm="1">
        <f t="array" ref="AB170">Q170*VLOOKUP($G170, Factor!$C$4:$N$36, 11, 0)*INDEX(Factor!$C$41:$N$87, _xlfn.XMATCH($C170, Factor!$C$41:$C$87, -1), 11)</f>
        <v>7</v>
      </c>
      <c r="AC170" s="18" cm="1">
        <f t="array" ref="AC170">R170*VLOOKUP($G170, Factor!$C$4:$N$36, 12, 0)*INDEX(Factor!$C$41:$N$87, _xlfn.XMATCH($C170, Factor!$C$41:$C$87, -1), 12)</f>
        <v>7</v>
      </c>
      <c r="AD170" s="18"/>
    </row>
    <row r="171" spans="1:30" ht="15.75" customHeight="1" x14ac:dyDescent="0.2">
      <c r="A171" s="15" t="str">
        <f>"locomotive_"&amp; VLOOKUP(F171, Factor!$BK$4:$BL$6, 2, 0) &amp;"_"&amp;Locomotive!D171&amp;"_"&amp;VLOOKUP(E171, Factor!$BM$4:$BN$36, 2, 0)</f>
        <v>locomotive_El_T7_002</v>
      </c>
      <c r="B171" s="15" t="str">
        <f t="shared" si="4"/>
        <v>T7 쾌속 전기기관차</v>
      </c>
      <c r="C171" s="15">
        <f>VLOOKUP(D171, Factor!$B$41:$C$50, 2, 0)</f>
        <v>70000</v>
      </c>
      <c r="D171" s="15" t="s">
        <v>325</v>
      </c>
      <c r="E171" s="41" t="s">
        <v>504</v>
      </c>
      <c r="F171" s="41" t="s">
        <v>502</v>
      </c>
      <c r="G171" s="41" t="str">
        <f t="shared" si="5"/>
        <v>쾌속 전기</v>
      </c>
      <c r="H171" s="41">
        <v>1</v>
      </c>
      <c r="I171" s="41">
        <v>1</v>
      </c>
      <c r="J171" s="41">
        <v>1</v>
      </c>
      <c r="K171" s="41">
        <v>1</v>
      </c>
      <c r="L171" s="41">
        <v>1</v>
      </c>
      <c r="M171" s="41">
        <v>1</v>
      </c>
      <c r="N171" s="41">
        <v>1</v>
      </c>
      <c r="O171" s="41">
        <v>1</v>
      </c>
      <c r="P171" s="41">
        <v>1</v>
      </c>
      <c r="Q171" s="41">
        <v>1</v>
      </c>
      <c r="R171" s="41">
        <v>1</v>
      </c>
      <c r="S171" s="41" cm="1">
        <f t="array" ref="S171">H171*VLOOKUP($G171, Factor!$C$4:$N$36, 2, 0)*INDEX(Factor!$C$41:$N$87, _xlfn.XMATCH($C171, Factor!$C$41:$C$87, -1), 2)</f>
        <v>484.00000000000006</v>
      </c>
      <c r="T171" s="41" cm="1">
        <f t="array" ref="T171">I171*VLOOKUP($G171, Factor!$C$4:$N$36, 3, 0)*INDEX(Factor!$C$41:$N$87, _xlfn.XMATCH($C171, Factor!$C$41:$C$87, -1), 3)</f>
        <v>1540.0000000000002</v>
      </c>
      <c r="U171" s="41" cm="1">
        <f t="array" ref="U171">J171*VLOOKUP($G171, Factor!$C$4:$N$36, 4, 0)*INDEX(Factor!$C$41:$N$87, _xlfn.XMATCH($C171, Factor!$C$41:$C$87, -1), 4)</f>
        <v>8</v>
      </c>
      <c r="V171" s="41" cm="1">
        <f t="array" ref="V171">K171*VLOOKUP($G171, Factor!$C$4:$N$36, 5, 0)*INDEX(Factor!$C$41:$N$87, _xlfn.XMATCH($C171, Factor!$C$41:$C$87, -1), 5)</f>
        <v>22</v>
      </c>
      <c r="W171" s="41" cm="1">
        <f t="array" ref="W171">L171*VLOOKUP($G171, Factor!$C$4:$N$36, 6, 0)*INDEX(Factor!$C$41:$N$87, _xlfn.XMATCH($C171, Factor!$C$41:$C$87, -1), 6)</f>
        <v>22</v>
      </c>
      <c r="X171" s="41" cm="1">
        <f t="array" ref="X171">M171*VLOOKUP($G171, Factor!$C$4:$N$36, 7, 0)*INDEX(Factor!$C$41:$N$87, _xlfn.XMATCH($C171, Factor!$C$41:$C$87, -1), 7)</f>
        <v>15400.000000000002</v>
      </c>
      <c r="Y171" s="41" cm="1">
        <f t="array" ref="Y171">N171*VLOOKUP($G171, Factor!$C$4:$N$36, 8, 0)*INDEX(Factor!$C$41:$N$87, _xlfn.XMATCH($C171, Factor!$C$41:$C$87, -1), 8)</f>
        <v>1100</v>
      </c>
      <c r="Z171" s="41" cm="1">
        <f t="array" ref="Z171">O171*VLOOKUP($G171, Factor!$C$4:$N$36, 9, 0)*INDEX(Factor!$C$41:$N$87, _xlfn.XMATCH($C171, Factor!$C$41:$C$87, -1), 9)</f>
        <v>6.6000000000000005</v>
      </c>
      <c r="AA171" s="41" cm="1">
        <f t="array" ref="AA171">P171*VLOOKUP($G171, Factor!$C$4:$N$36, 10, 0)*INDEX(Factor!$C$41:$N$87, _xlfn.XMATCH($C171, Factor!$C$41:$C$87, -1), 10)</f>
        <v>1100</v>
      </c>
      <c r="AB171" s="41" cm="1">
        <f t="array" ref="AB171">Q171*VLOOKUP($G171, Factor!$C$4:$N$36, 11, 0)*INDEX(Factor!$C$41:$N$87, _xlfn.XMATCH($C171, Factor!$C$41:$C$87, -1), 11)</f>
        <v>7</v>
      </c>
      <c r="AC171" s="41" cm="1">
        <f t="array" ref="AC171">R171*VLOOKUP($G171, Factor!$C$4:$N$36, 12, 0)*INDEX(Factor!$C$41:$N$87, _xlfn.XMATCH($C171, Factor!$C$41:$C$87, -1), 12)</f>
        <v>7</v>
      </c>
      <c r="AD171" s="41"/>
    </row>
    <row r="172" spans="1:30" ht="15.75" customHeight="1" x14ac:dyDescent="0.2">
      <c r="A172" s="18" t="str">
        <f>"locomotive_"&amp; VLOOKUP(F172, Factor!$BK$4:$BL$6, 2, 0) &amp;"_"&amp;Locomotive!D172&amp;"_"&amp;VLOOKUP(E172, Factor!$BM$4:$BN$36, 2, 0)</f>
        <v>locomotive_Dz_T7_002</v>
      </c>
      <c r="B172" s="18" t="str">
        <f t="shared" si="4"/>
        <v>T7 쾌속 디젤기관차</v>
      </c>
      <c r="C172" s="18">
        <f>VLOOKUP(D172, Factor!$B$41:$C$50, 2, 0)</f>
        <v>70000</v>
      </c>
      <c r="D172" s="18" t="s">
        <v>325</v>
      </c>
      <c r="E172" s="18" t="s">
        <v>504</v>
      </c>
      <c r="F172" s="18" t="s">
        <v>503</v>
      </c>
      <c r="G172" s="18" t="str">
        <f t="shared" si="5"/>
        <v>쾌속 디젤</v>
      </c>
      <c r="H172" s="18">
        <v>1</v>
      </c>
      <c r="I172" s="18">
        <v>1</v>
      </c>
      <c r="J172" s="18">
        <v>1</v>
      </c>
      <c r="K172" s="18">
        <v>1</v>
      </c>
      <c r="L172" s="18">
        <v>1</v>
      </c>
      <c r="M172" s="18">
        <v>1</v>
      </c>
      <c r="N172" s="18">
        <v>1</v>
      </c>
      <c r="O172" s="18">
        <v>1</v>
      </c>
      <c r="P172" s="18">
        <v>1</v>
      </c>
      <c r="Q172" s="18">
        <v>1</v>
      </c>
      <c r="R172" s="18">
        <v>1</v>
      </c>
      <c r="S172" s="18" cm="1">
        <f t="array" ref="S172">H172*VLOOKUP($G172, Factor!$C$4:$N$36, 2, 0)*INDEX(Factor!$C$41:$N$87, _xlfn.XMATCH($C172, Factor!$C$41:$C$87, -1), 2)</f>
        <v>363.00000000000006</v>
      </c>
      <c r="T172" s="18" cm="1">
        <f t="array" ref="T172">I172*VLOOKUP($G172, Factor!$C$4:$N$36, 3, 0)*INDEX(Factor!$C$41:$N$87, _xlfn.XMATCH($C172, Factor!$C$41:$C$87, -1), 3)</f>
        <v>2200</v>
      </c>
      <c r="U172" s="18" cm="1">
        <f t="array" ref="U172">J172*VLOOKUP($G172, Factor!$C$4:$N$36, 4, 0)*INDEX(Factor!$C$41:$N$87, _xlfn.XMATCH($C172, Factor!$C$41:$C$87, -1), 4)</f>
        <v>8</v>
      </c>
      <c r="V172" s="18" cm="1">
        <f t="array" ref="V172">K172*VLOOKUP($G172, Factor!$C$4:$N$36, 5, 0)*INDEX(Factor!$C$41:$N$87, _xlfn.XMATCH($C172, Factor!$C$41:$C$87, -1), 5)</f>
        <v>17.600000000000001</v>
      </c>
      <c r="W172" s="18" cm="1">
        <f t="array" ref="W172">L172*VLOOKUP($G172, Factor!$C$4:$N$36, 6, 0)*INDEX(Factor!$C$41:$N$87, _xlfn.XMATCH($C172, Factor!$C$41:$C$87, -1), 6)</f>
        <v>22</v>
      </c>
      <c r="X172" s="18" cm="1">
        <f t="array" ref="X172">M172*VLOOKUP($G172, Factor!$C$4:$N$36, 7, 0)*INDEX(Factor!$C$41:$N$87, _xlfn.XMATCH($C172, Factor!$C$41:$C$87, -1), 7)</f>
        <v>33000</v>
      </c>
      <c r="Y172" s="18" cm="1">
        <f t="array" ref="Y172">N172*VLOOKUP($G172, Factor!$C$4:$N$36, 8, 0)*INDEX(Factor!$C$41:$N$87, _xlfn.XMATCH($C172, Factor!$C$41:$C$87, -1), 8)</f>
        <v>1430.0000000000002</v>
      </c>
      <c r="Z172" s="18" cm="1">
        <f t="array" ref="Z172">O172*VLOOKUP($G172, Factor!$C$4:$N$36, 9, 0)*INDEX(Factor!$C$41:$N$87, _xlfn.XMATCH($C172, Factor!$C$41:$C$87, -1), 9)</f>
        <v>11</v>
      </c>
      <c r="AA172" s="18" cm="1">
        <f t="array" ref="AA172">P172*VLOOKUP($G172, Factor!$C$4:$N$36, 10, 0)*INDEX(Factor!$C$41:$N$87, _xlfn.XMATCH($C172, Factor!$C$41:$C$87, -1), 10)</f>
        <v>1430.0000000000002</v>
      </c>
      <c r="AB172" s="18" cm="1">
        <f t="array" ref="AB172">Q172*VLOOKUP($G172, Factor!$C$4:$N$36, 11, 0)*INDEX(Factor!$C$41:$N$87, _xlfn.XMATCH($C172, Factor!$C$41:$C$87, -1), 11)</f>
        <v>7</v>
      </c>
      <c r="AC172" s="18" cm="1">
        <f t="array" ref="AC172">R172*VLOOKUP($G172, Factor!$C$4:$N$36, 12, 0)*INDEX(Factor!$C$41:$N$87, _xlfn.XMATCH($C172, Factor!$C$41:$C$87, -1), 12)</f>
        <v>7</v>
      </c>
      <c r="AD172" s="18"/>
    </row>
    <row r="173" spans="1:30" ht="15.75" customHeight="1" x14ac:dyDescent="0.2">
      <c r="A173" s="15" t="str">
        <f>"locomotive_"&amp; VLOOKUP(F173, Factor!$BK$4:$BL$6, 2, 0) &amp;"_"&amp;Locomotive!D173&amp;"_"&amp;VLOOKUP(E173, Factor!$BM$4:$BN$36, 2, 0)</f>
        <v>locomotive_St_T7_003</v>
      </c>
      <c r="B173" s="15" t="str">
        <f t="shared" si="4"/>
        <v>T7 중갑 증기기관차</v>
      </c>
      <c r="C173" s="15">
        <f>VLOOKUP(D173, Factor!$B$41:$C$50, 2, 0)</f>
        <v>70000</v>
      </c>
      <c r="D173" s="15" t="s">
        <v>325</v>
      </c>
      <c r="E173" s="41" t="s">
        <v>506</v>
      </c>
      <c r="F173" s="41" t="s">
        <v>505</v>
      </c>
      <c r="G173" s="41" t="str">
        <f t="shared" si="5"/>
        <v>중갑 증기</v>
      </c>
      <c r="H173" s="41">
        <v>1</v>
      </c>
      <c r="I173" s="41">
        <v>1</v>
      </c>
      <c r="J173" s="41">
        <v>1</v>
      </c>
      <c r="K173" s="41">
        <v>1</v>
      </c>
      <c r="L173" s="41">
        <v>1</v>
      </c>
      <c r="M173" s="41">
        <v>1</v>
      </c>
      <c r="N173" s="41">
        <v>1</v>
      </c>
      <c r="O173" s="41">
        <v>1</v>
      </c>
      <c r="P173" s="41">
        <v>1</v>
      </c>
      <c r="Q173" s="41">
        <v>1</v>
      </c>
      <c r="R173" s="41">
        <v>1</v>
      </c>
      <c r="S173" s="41" cm="1">
        <f t="array" ref="S173">H173*VLOOKUP($G173, Factor!$C$4:$N$36, 2, 0)*INDEX(Factor!$C$41:$N$87, _xlfn.XMATCH($C173, Factor!$C$41:$C$87, -1), 2)</f>
        <v>198.00000000000003</v>
      </c>
      <c r="T173" s="41" cm="1">
        <f t="array" ref="T173">I173*VLOOKUP($G173, Factor!$C$4:$N$36, 3, 0)*INDEX(Factor!$C$41:$N$87, _xlfn.XMATCH($C173, Factor!$C$41:$C$87, -1), 3)</f>
        <v>2640</v>
      </c>
      <c r="U173" s="41" cm="1">
        <f t="array" ref="U173">J173*VLOOKUP($G173, Factor!$C$4:$N$36, 4, 0)*INDEX(Factor!$C$41:$N$87, _xlfn.XMATCH($C173, Factor!$C$41:$C$87, -1), 4)</f>
        <v>8</v>
      </c>
      <c r="V173" s="41" cm="1">
        <f t="array" ref="V173">K173*VLOOKUP($G173, Factor!$C$4:$N$36, 5, 0)*INDEX(Factor!$C$41:$N$87, _xlfn.XMATCH($C173, Factor!$C$41:$C$87, -1), 5)</f>
        <v>8.8000000000000007</v>
      </c>
      <c r="W173" s="41" cm="1">
        <f t="array" ref="W173">L173*VLOOKUP($G173, Factor!$C$4:$N$36, 6, 0)*INDEX(Factor!$C$41:$N$87, _xlfn.XMATCH($C173, Factor!$C$41:$C$87, -1), 6)</f>
        <v>22</v>
      </c>
      <c r="X173" s="41" cm="1">
        <f t="array" ref="X173">M173*VLOOKUP($G173, Factor!$C$4:$N$36, 7, 0)*INDEX(Factor!$C$41:$N$87, _xlfn.XMATCH($C173, Factor!$C$41:$C$87, -1), 7)</f>
        <v>17600</v>
      </c>
      <c r="Y173" s="41" cm="1">
        <f t="array" ref="Y173">N173*VLOOKUP($G173, Factor!$C$4:$N$36, 8, 0)*INDEX(Factor!$C$41:$N$87, _xlfn.XMATCH($C173, Factor!$C$41:$C$87, -1), 8)</f>
        <v>3300.0000000000005</v>
      </c>
      <c r="Z173" s="41" cm="1">
        <f t="array" ref="Z173">O173*VLOOKUP($G173, Factor!$C$4:$N$36, 9, 0)*INDEX(Factor!$C$41:$N$87, _xlfn.XMATCH($C173, Factor!$C$41:$C$87, -1), 9)</f>
        <v>110.00000000000001</v>
      </c>
      <c r="AA173" s="41" cm="1">
        <f t="array" ref="AA173">P173*VLOOKUP($G173, Factor!$C$4:$N$36, 10, 0)*INDEX(Factor!$C$41:$N$87, _xlfn.XMATCH($C173, Factor!$C$41:$C$87, -1), 10)</f>
        <v>3300.0000000000005</v>
      </c>
      <c r="AB173" s="41" cm="1">
        <f t="array" ref="AB173">Q173*VLOOKUP($G173, Factor!$C$4:$N$36, 11, 0)*INDEX(Factor!$C$41:$N$87, _xlfn.XMATCH($C173, Factor!$C$41:$C$87, -1), 11)</f>
        <v>7</v>
      </c>
      <c r="AC173" s="41" cm="1">
        <f t="array" ref="AC173">R173*VLOOKUP($G173, Factor!$C$4:$N$36, 12, 0)*INDEX(Factor!$C$41:$N$87, _xlfn.XMATCH($C173, Factor!$C$41:$C$87, -1), 12)</f>
        <v>7</v>
      </c>
      <c r="AD173" s="41"/>
    </row>
    <row r="174" spans="1:30" ht="15.75" customHeight="1" x14ac:dyDescent="0.2">
      <c r="A174" s="18" t="str">
        <f>"locomotive_"&amp; VLOOKUP(F174, Factor!$BK$4:$BL$6, 2, 0) &amp;"_"&amp;Locomotive!D174&amp;"_"&amp;VLOOKUP(E174, Factor!$BM$4:$BN$36, 2, 0)</f>
        <v>locomotive_El_T7_003</v>
      </c>
      <c r="B174" s="18" t="str">
        <f t="shared" si="4"/>
        <v>T7 중갑 전기기관차</v>
      </c>
      <c r="C174" s="18">
        <f>VLOOKUP(D174, Factor!$B$41:$C$50, 2, 0)</f>
        <v>70000</v>
      </c>
      <c r="D174" s="18" t="s">
        <v>325</v>
      </c>
      <c r="E174" s="18" t="s">
        <v>506</v>
      </c>
      <c r="F174" s="18" t="s">
        <v>502</v>
      </c>
      <c r="G174" s="18" t="str">
        <f t="shared" si="5"/>
        <v>중갑 전기</v>
      </c>
      <c r="H174" s="18">
        <v>1</v>
      </c>
      <c r="I174" s="18">
        <v>1</v>
      </c>
      <c r="J174" s="18">
        <v>1</v>
      </c>
      <c r="K174" s="18">
        <v>1</v>
      </c>
      <c r="L174" s="18">
        <v>1</v>
      </c>
      <c r="M174" s="18">
        <v>1</v>
      </c>
      <c r="N174" s="18">
        <v>1</v>
      </c>
      <c r="O174" s="18">
        <v>1</v>
      </c>
      <c r="P174" s="18">
        <v>1</v>
      </c>
      <c r="Q174" s="18">
        <v>1</v>
      </c>
      <c r="R174" s="18">
        <v>1</v>
      </c>
      <c r="S174" s="18" cm="1">
        <f t="array" ref="S174">H174*VLOOKUP($G174, Factor!$C$4:$N$36, 2, 0)*INDEX(Factor!$C$41:$N$87, _xlfn.XMATCH($C174, Factor!$C$41:$C$87, -1), 2)</f>
        <v>374.00000000000006</v>
      </c>
      <c r="T174" s="18" cm="1">
        <f t="array" ref="T174">I174*VLOOKUP($G174, Factor!$C$4:$N$36, 3, 0)*INDEX(Factor!$C$41:$N$87, _xlfn.XMATCH($C174, Factor!$C$41:$C$87, -1), 3)</f>
        <v>220.00000000000003</v>
      </c>
      <c r="U174" s="18" cm="1">
        <f t="array" ref="U174">J174*VLOOKUP($G174, Factor!$C$4:$N$36, 4, 0)*INDEX(Factor!$C$41:$N$87, _xlfn.XMATCH($C174, Factor!$C$41:$C$87, -1), 4)</f>
        <v>8</v>
      </c>
      <c r="V174" s="18" cm="1">
        <f t="array" ref="V174">K174*VLOOKUP($G174, Factor!$C$4:$N$36, 5, 0)*INDEX(Factor!$C$41:$N$87, _xlfn.XMATCH($C174, Factor!$C$41:$C$87, -1), 5)</f>
        <v>17.600000000000001</v>
      </c>
      <c r="W174" s="18" cm="1">
        <f t="array" ref="W174">L174*VLOOKUP($G174, Factor!$C$4:$N$36, 6, 0)*INDEX(Factor!$C$41:$N$87, _xlfn.XMATCH($C174, Factor!$C$41:$C$87, -1), 6)</f>
        <v>22</v>
      </c>
      <c r="X174" s="18" cm="1">
        <f t="array" ref="X174">M174*VLOOKUP($G174, Factor!$C$4:$N$36, 7, 0)*INDEX(Factor!$C$41:$N$87, _xlfn.XMATCH($C174, Factor!$C$41:$C$87, -1), 7)</f>
        <v>11000</v>
      </c>
      <c r="Y174" s="18" cm="1">
        <f t="array" ref="Y174">N174*VLOOKUP($G174, Factor!$C$4:$N$36, 8, 0)*INDEX(Factor!$C$41:$N$87, _xlfn.XMATCH($C174, Factor!$C$41:$C$87, -1), 8)</f>
        <v>2200</v>
      </c>
      <c r="Z174" s="18" cm="1">
        <f t="array" ref="Z174">O174*VLOOKUP($G174, Factor!$C$4:$N$36, 9, 0)*INDEX(Factor!$C$41:$N$87, _xlfn.XMATCH($C174, Factor!$C$41:$C$87, -1), 9)</f>
        <v>33</v>
      </c>
      <c r="AA174" s="18" cm="1">
        <f t="array" ref="AA174">P174*VLOOKUP($G174, Factor!$C$4:$N$36, 10, 0)*INDEX(Factor!$C$41:$N$87, _xlfn.XMATCH($C174, Factor!$C$41:$C$87, -1), 10)</f>
        <v>2200</v>
      </c>
      <c r="AB174" s="18" cm="1">
        <f t="array" ref="AB174">Q174*VLOOKUP($G174, Factor!$C$4:$N$36, 11, 0)*INDEX(Factor!$C$41:$N$87, _xlfn.XMATCH($C174, Factor!$C$41:$C$87, -1), 11)</f>
        <v>7</v>
      </c>
      <c r="AC174" s="18" cm="1">
        <f t="array" ref="AC174">R174*VLOOKUP($G174, Factor!$C$4:$N$36, 12, 0)*INDEX(Factor!$C$41:$N$87, _xlfn.XMATCH($C174, Factor!$C$41:$C$87, -1), 12)</f>
        <v>7</v>
      </c>
      <c r="AD174" s="18"/>
    </row>
    <row r="175" spans="1:30" ht="15.75" customHeight="1" x14ac:dyDescent="0.2">
      <c r="A175" s="15" t="str">
        <f>"locomotive_"&amp; VLOOKUP(F175, Factor!$BK$4:$BL$6, 2, 0) &amp;"_"&amp;Locomotive!D175&amp;"_"&amp;VLOOKUP(E175, Factor!$BM$4:$BN$36, 2, 0)</f>
        <v>locomotive_Dz_T7_003</v>
      </c>
      <c r="B175" s="15" t="str">
        <f t="shared" si="4"/>
        <v>T7 중갑 디젤기관차</v>
      </c>
      <c r="C175" s="15">
        <f>VLOOKUP(D175, Factor!$B$41:$C$50, 2, 0)</f>
        <v>70000</v>
      </c>
      <c r="D175" s="15" t="s">
        <v>325</v>
      </c>
      <c r="E175" s="41" t="s">
        <v>506</v>
      </c>
      <c r="F175" s="41" t="s">
        <v>503</v>
      </c>
      <c r="G175" s="41" t="str">
        <f t="shared" si="5"/>
        <v>중갑 디젤</v>
      </c>
      <c r="H175" s="41">
        <v>1</v>
      </c>
      <c r="I175" s="41">
        <v>1</v>
      </c>
      <c r="J175" s="41">
        <v>1</v>
      </c>
      <c r="K175" s="41">
        <v>1</v>
      </c>
      <c r="L175" s="41">
        <v>1</v>
      </c>
      <c r="M175" s="41">
        <v>1</v>
      </c>
      <c r="N175" s="41">
        <v>1</v>
      </c>
      <c r="O175" s="41">
        <v>1</v>
      </c>
      <c r="P175" s="41">
        <v>1</v>
      </c>
      <c r="Q175" s="41">
        <v>1</v>
      </c>
      <c r="R175" s="41">
        <v>1</v>
      </c>
      <c r="S175" s="41" cm="1">
        <f t="array" ref="S175">H175*VLOOKUP($G175, Factor!$C$4:$N$36, 2, 0)*INDEX(Factor!$C$41:$N$87, _xlfn.XMATCH($C175, Factor!$C$41:$C$87, -1), 2)</f>
        <v>242.00000000000003</v>
      </c>
      <c r="T175" s="41" cm="1">
        <f t="array" ref="T175">I175*VLOOKUP($G175, Factor!$C$4:$N$36, 3, 0)*INDEX(Factor!$C$41:$N$87, _xlfn.XMATCH($C175, Factor!$C$41:$C$87, -1), 3)</f>
        <v>3300.0000000000005</v>
      </c>
      <c r="U175" s="41" cm="1">
        <f t="array" ref="U175">J175*VLOOKUP($G175, Factor!$C$4:$N$36, 4, 0)*INDEX(Factor!$C$41:$N$87, _xlfn.XMATCH($C175, Factor!$C$41:$C$87, -1), 4)</f>
        <v>8</v>
      </c>
      <c r="V175" s="41" cm="1">
        <f t="array" ref="V175">K175*VLOOKUP($G175, Factor!$C$4:$N$36, 5, 0)*INDEX(Factor!$C$41:$N$87, _xlfn.XMATCH($C175, Factor!$C$41:$C$87, -1), 5)</f>
        <v>13.200000000000001</v>
      </c>
      <c r="W175" s="41" cm="1">
        <f t="array" ref="W175">L175*VLOOKUP($G175, Factor!$C$4:$N$36, 6, 0)*INDEX(Factor!$C$41:$N$87, _xlfn.XMATCH($C175, Factor!$C$41:$C$87, -1), 6)</f>
        <v>22</v>
      </c>
      <c r="X175" s="41" cm="1">
        <f t="array" ref="X175">M175*VLOOKUP($G175, Factor!$C$4:$N$36, 7, 0)*INDEX(Factor!$C$41:$N$87, _xlfn.XMATCH($C175, Factor!$C$41:$C$87, -1), 7)</f>
        <v>26400.000000000004</v>
      </c>
      <c r="Y175" s="41" cm="1">
        <f t="array" ref="Y175">N175*VLOOKUP($G175, Factor!$C$4:$N$36, 8, 0)*INDEX(Factor!$C$41:$N$87, _xlfn.XMATCH($C175, Factor!$C$41:$C$87, -1), 8)</f>
        <v>2860.0000000000005</v>
      </c>
      <c r="Z175" s="41" cm="1">
        <f t="array" ref="Z175">O175*VLOOKUP($G175, Factor!$C$4:$N$36, 9, 0)*INDEX(Factor!$C$41:$N$87, _xlfn.XMATCH($C175, Factor!$C$41:$C$87, -1), 9)</f>
        <v>66</v>
      </c>
      <c r="AA175" s="41" cm="1">
        <f t="array" ref="AA175">P175*VLOOKUP($G175, Factor!$C$4:$N$36, 10, 0)*INDEX(Factor!$C$41:$N$87, _xlfn.XMATCH($C175, Factor!$C$41:$C$87, -1), 10)</f>
        <v>2860.0000000000005</v>
      </c>
      <c r="AB175" s="41" cm="1">
        <f t="array" ref="AB175">Q175*VLOOKUP($G175, Factor!$C$4:$N$36, 11, 0)*INDEX(Factor!$C$41:$N$87, _xlfn.XMATCH($C175, Factor!$C$41:$C$87, -1), 11)</f>
        <v>7</v>
      </c>
      <c r="AC175" s="41" cm="1">
        <f t="array" ref="AC175">R175*VLOOKUP($G175, Factor!$C$4:$N$36, 12, 0)*INDEX(Factor!$C$41:$N$87, _xlfn.XMATCH($C175, Factor!$C$41:$C$87, -1), 12)</f>
        <v>7</v>
      </c>
      <c r="AD175" s="41"/>
    </row>
    <row r="176" spans="1:30" ht="15.75" customHeight="1" x14ac:dyDescent="0.2">
      <c r="A176" s="18" t="str">
        <f>"locomotive_"&amp; VLOOKUP(F176, Factor!$BK$4:$BL$6, 2, 0) &amp;"_"&amp;Locomotive!D176&amp;"_"&amp;VLOOKUP(E176, Factor!$BM$4:$BN$36, 2, 0)</f>
        <v>locomotive_St_T7_004</v>
      </c>
      <c r="B176" s="18" t="str">
        <f t="shared" si="4"/>
        <v>T7 화물 증기기관차</v>
      </c>
      <c r="C176" s="18">
        <f>VLOOKUP(D176, Factor!$B$41:$C$50, 2, 0)</f>
        <v>70000</v>
      </c>
      <c r="D176" s="18" t="s">
        <v>325</v>
      </c>
      <c r="E176" s="18" t="s">
        <v>507</v>
      </c>
      <c r="F176" s="18" t="s">
        <v>505</v>
      </c>
      <c r="G176" s="18" t="str">
        <f t="shared" si="5"/>
        <v>화물 증기</v>
      </c>
      <c r="H176" s="18">
        <v>1</v>
      </c>
      <c r="I176" s="18">
        <v>1</v>
      </c>
      <c r="J176" s="18">
        <v>1</v>
      </c>
      <c r="K176" s="18">
        <v>1</v>
      </c>
      <c r="L176" s="18">
        <v>1</v>
      </c>
      <c r="M176" s="18">
        <v>1</v>
      </c>
      <c r="N176" s="18">
        <v>1</v>
      </c>
      <c r="O176" s="18">
        <v>1</v>
      </c>
      <c r="P176" s="18">
        <v>1</v>
      </c>
      <c r="Q176" s="18">
        <v>1</v>
      </c>
      <c r="R176" s="18">
        <v>1</v>
      </c>
      <c r="S176" s="18" cm="1">
        <f t="array" ref="S176">H176*VLOOKUP($G176, Factor!$C$4:$N$36, 2, 0)*INDEX(Factor!$C$41:$N$87, _xlfn.XMATCH($C176, Factor!$C$41:$C$87, -1), 2)</f>
        <v>198.00000000000003</v>
      </c>
      <c r="T176" s="18" cm="1">
        <f t="array" ref="T176">I176*VLOOKUP($G176, Factor!$C$4:$N$36, 3, 0)*INDEX(Factor!$C$41:$N$87, _xlfn.XMATCH($C176, Factor!$C$41:$C$87, -1), 3)</f>
        <v>2200</v>
      </c>
      <c r="U176" s="18" cm="1">
        <f t="array" ref="U176">J176*VLOOKUP($G176, Factor!$C$4:$N$36, 4, 0)*INDEX(Factor!$C$41:$N$87, _xlfn.XMATCH($C176, Factor!$C$41:$C$87, -1), 4)</f>
        <v>8</v>
      </c>
      <c r="V176" s="18" cm="1">
        <f t="array" ref="V176">K176*VLOOKUP($G176, Factor!$C$4:$N$36, 5, 0)*INDEX(Factor!$C$41:$N$87, _xlfn.XMATCH($C176, Factor!$C$41:$C$87, -1), 5)</f>
        <v>8.8000000000000007</v>
      </c>
      <c r="W176" s="18" cm="1">
        <f t="array" ref="W176">L176*VLOOKUP($G176, Factor!$C$4:$N$36, 6, 0)*INDEX(Factor!$C$41:$N$87, _xlfn.XMATCH($C176, Factor!$C$41:$C$87, -1), 6)</f>
        <v>22</v>
      </c>
      <c r="X176" s="18" cm="1">
        <f t="array" ref="X176">M176*VLOOKUP($G176, Factor!$C$4:$N$36, 7, 0)*INDEX(Factor!$C$41:$N$87, _xlfn.XMATCH($C176, Factor!$C$41:$C$87, -1), 7)</f>
        <v>22000</v>
      </c>
      <c r="Y176" s="18" cm="1">
        <f t="array" ref="Y176">N176*VLOOKUP($G176, Factor!$C$4:$N$36, 8, 0)*INDEX(Factor!$C$41:$N$87, _xlfn.XMATCH($C176, Factor!$C$41:$C$87, -1), 8)</f>
        <v>2200</v>
      </c>
      <c r="Z176" s="18" cm="1">
        <f t="array" ref="Z176">O176*VLOOKUP($G176, Factor!$C$4:$N$36, 9, 0)*INDEX(Factor!$C$41:$N$87, _xlfn.XMATCH($C176, Factor!$C$41:$C$87, -1), 9)</f>
        <v>66</v>
      </c>
      <c r="AA176" s="18" cm="1">
        <f t="array" ref="AA176">P176*VLOOKUP($G176, Factor!$C$4:$N$36, 10, 0)*INDEX(Factor!$C$41:$N$87, _xlfn.XMATCH($C176, Factor!$C$41:$C$87, -1), 10)</f>
        <v>2200</v>
      </c>
      <c r="AB176" s="18" cm="1">
        <f t="array" ref="AB176">Q176*VLOOKUP($G176, Factor!$C$4:$N$36, 11, 0)*INDEX(Factor!$C$41:$N$87, _xlfn.XMATCH($C176, Factor!$C$41:$C$87, -1), 11)</f>
        <v>21</v>
      </c>
      <c r="AC176" s="18" cm="1">
        <f t="array" ref="AC176">R176*VLOOKUP($G176, Factor!$C$4:$N$36, 12, 0)*INDEX(Factor!$C$41:$N$87, _xlfn.XMATCH($C176, Factor!$C$41:$C$87, -1), 12)</f>
        <v>7</v>
      </c>
      <c r="AD176" s="18"/>
    </row>
    <row r="177" spans="1:30" ht="15.75" customHeight="1" x14ac:dyDescent="0.2">
      <c r="A177" s="15" t="str">
        <f>"locomotive_"&amp; VLOOKUP(F177, Factor!$BK$4:$BL$6, 2, 0) &amp;"_"&amp;Locomotive!D177&amp;"_"&amp;VLOOKUP(E177, Factor!$BM$4:$BN$36, 2, 0)</f>
        <v>locomotive_El_T7_004</v>
      </c>
      <c r="B177" s="15" t="str">
        <f t="shared" si="4"/>
        <v>T7 화물 전기기관차</v>
      </c>
      <c r="C177" s="15">
        <f>VLOOKUP(D177, Factor!$B$41:$C$50, 2, 0)</f>
        <v>70000</v>
      </c>
      <c r="D177" s="15" t="s">
        <v>325</v>
      </c>
      <c r="E177" s="41" t="s">
        <v>507</v>
      </c>
      <c r="F177" s="41" t="s">
        <v>502</v>
      </c>
      <c r="G177" s="41" t="str">
        <f t="shared" si="5"/>
        <v>화물 전기</v>
      </c>
      <c r="H177" s="41">
        <v>1</v>
      </c>
      <c r="I177" s="41">
        <v>1</v>
      </c>
      <c r="J177" s="41">
        <v>1</v>
      </c>
      <c r="K177" s="41">
        <v>1</v>
      </c>
      <c r="L177" s="41">
        <v>1</v>
      </c>
      <c r="M177" s="41">
        <v>1</v>
      </c>
      <c r="N177" s="41">
        <v>1</v>
      </c>
      <c r="O177" s="41">
        <v>1</v>
      </c>
      <c r="P177" s="41">
        <v>1</v>
      </c>
      <c r="Q177" s="41">
        <v>1</v>
      </c>
      <c r="R177" s="41">
        <v>1</v>
      </c>
      <c r="S177" s="41" cm="1">
        <f t="array" ref="S177">H177*VLOOKUP($G177, Factor!$C$4:$N$36, 2, 0)*INDEX(Factor!$C$41:$N$87, _xlfn.XMATCH($C177, Factor!$C$41:$C$87, -1), 2)</f>
        <v>396.00000000000006</v>
      </c>
      <c r="T177" s="41" cm="1">
        <f t="array" ref="T177">I177*VLOOKUP($G177, Factor!$C$4:$N$36, 3, 0)*INDEX(Factor!$C$41:$N$87, _xlfn.XMATCH($C177, Factor!$C$41:$C$87, -1), 3)</f>
        <v>1760.0000000000002</v>
      </c>
      <c r="U177" s="41" cm="1">
        <f t="array" ref="U177">J177*VLOOKUP($G177, Factor!$C$4:$N$36, 4, 0)*INDEX(Factor!$C$41:$N$87, _xlfn.XMATCH($C177, Factor!$C$41:$C$87, -1), 4)</f>
        <v>8</v>
      </c>
      <c r="V177" s="41" cm="1">
        <f t="array" ref="V177">K177*VLOOKUP($G177, Factor!$C$4:$N$36, 5, 0)*INDEX(Factor!$C$41:$N$87, _xlfn.XMATCH($C177, Factor!$C$41:$C$87, -1), 5)</f>
        <v>17.600000000000001</v>
      </c>
      <c r="W177" s="41" cm="1">
        <f t="array" ref="W177">L177*VLOOKUP($G177, Factor!$C$4:$N$36, 6, 0)*INDEX(Factor!$C$41:$N$87, _xlfn.XMATCH($C177, Factor!$C$41:$C$87, -1), 6)</f>
        <v>22</v>
      </c>
      <c r="X177" s="41" cm="1">
        <f t="array" ref="X177">M177*VLOOKUP($G177, Factor!$C$4:$N$36, 7, 0)*INDEX(Factor!$C$41:$N$87, _xlfn.XMATCH($C177, Factor!$C$41:$C$87, -1), 7)</f>
        <v>15400.000000000002</v>
      </c>
      <c r="Y177" s="41" cm="1">
        <f t="array" ref="Y177">N177*VLOOKUP($G177, Factor!$C$4:$N$36, 8, 0)*INDEX(Factor!$C$41:$N$87, _xlfn.XMATCH($C177, Factor!$C$41:$C$87, -1), 8)</f>
        <v>1540.0000000000002</v>
      </c>
      <c r="Z177" s="41" cm="1">
        <f t="array" ref="Z177">O177*VLOOKUP($G177, Factor!$C$4:$N$36, 9, 0)*INDEX(Factor!$C$41:$N$87, _xlfn.XMATCH($C177, Factor!$C$41:$C$87, -1), 9)</f>
        <v>11</v>
      </c>
      <c r="AA177" s="41" cm="1">
        <f t="array" ref="AA177">P177*VLOOKUP($G177, Factor!$C$4:$N$36, 10, 0)*INDEX(Factor!$C$41:$N$87, _xlfn.XMATCH($C177, Factor!$C$41:$C$87, -1), 10)</f>
        <v>1540.0000000000002</v>
      </c>
      <c r="AB177" s="41" cm="1">
        <f t="array" ref="AB177">Q177*VLOOKUP($G177, Factor!$C$4:$N$36, 11, 0)*INDEX(Factor!$C$41:$N$87, _xlfn.XMATCH($C177, Factor!$C$41:$C$87, -1), 11)</f>
        <v>21</v>
      </c>
      <c r="AC177" s="41" cm="1">
        <f t="array" ref="AC177">R177*VLOOKUP($G177, Factor!$C$4:$N$36, 12, 0)*INDEX(Factor!$C$41:$N$87, _xlfn.XMATCH($C177, Factor!$C$41:$C$87, -1), 12)</f>
        <v>7</v>
      </c>
      <c r="AD177" s="41"/>
    </row>
    <row r="178" spans="1:30" ht="15.75" customHeight="1" x14ac:dyDescent="0.2">
      <c r="A178" s="18" t="str">
        <f>"locomotive_"&amp; VLOOKUP(F178, Factor!$BK$4:$BL$6, 2, 0) &amp;"_"&amp;Locomotive!D178&amp;"_"&amp;VLOOKUP(E178, Factor!$BM$4:$BN$36, 2, 0)</f>
        <v>locomotive_Dz_T7_004</v>
      </c>
      <c r="B178" s="18" t="str">
        <f t="shared" si="4"/>
        <v>T7 화물 디젤기관차</v>
      </c>
      <c r="C178" s="18">
        <f>VLOOKUP(D178, Factor!$B$41:$C$50, 2, 0)</f>
        <v>70000</v>
      </c>
      <c r="D178" s="18" t="s">
        <v>325</v>
      </c>
      <c r="E178" s="18" t="s">
        <v>507</v>
      </c>
      <c r="F178" s="18" t="s">
        <v>503</v>
      </c>
      <c r="G178" s="18" t="str">
        <f t="shared" si="5"/>
        <v>화물 디젤</v>
      </c>
      <c r="H178" s="18">
        <v>1</v>
      </c>
      <c r="I178" s="18">
        <v>1</v>
      </c>
      <c r="J178" s="18">
        <v>1</v>
      </c>
      <c r="K178" s="18">
        <v>1</v>
      </c>
      <c r="L178" s="18">
        <v>1</v>
      </c>
      <c r="M178" s="18">
        <v>1</v>
      </c>
      <c r="N178" s="18">
        <v>1</v>
      </c>
      <c r="O178" s="18">
        <v>1</v>
      </c>
      <c r="P178" s="18">
        <v>1</v>
      </c>
      <c r="Q178" s="18">
        <v>1</v>
      </c>
      <c r="R178" s="18">
        <v>1</v>
      </c>
      <c r="S178" s="18" cm="1">
        <f t="array" ref="S178">H178*VLOOKUP($G178, Factor!$C$4:$N$36, 2, 0)*INDEX(Factor!$C$41:$N$87, _xlfn.XMATCH($C178, Factor!$C$41:$C$87, -1), 2)</f>
        <v>264</v>
      </c>
      <c r="T178" s="18" cm="1">
        <f t="array" ref="T178">I178*VLOOKUP($G178, Factor!$C$4:$N$36, 3, 0)*INDEX(Factor!$C$41:$N$87, _xlfn.XMATCH($C178, Factor!$C$41:$C$87, -1), 3)</f>
        <v>2640</v>
      </c>
      <c r="U178" s="18" cm="1">
        <f t="array" ref="U178">J178*VLOOKUP($G178, Factor!$C$4:$N$36, 4, 0)*INDEX(Factor!$C$41:$N$87, _xlfn.XMATCH($C178, Factor!$C$41:$C$87, -1), 4)</f>
        <v>8</v>
      </c>
      <c r="V178" s="18" cm="1">
        <f t="array" ref="V178">K178*VLOOKUP($G178, Factor!$C$4:$N$36, 5, 0)*INDEX(Factor!$C$41:$N$87, _xlfn.XMATCH($C178, Factor!$C$41:$C$87, -1), 5)</f>
        <v>13.200000000000001</v>
      </c>
      <c r="W178" s="18" cm="1">
        <f t="array" ref="W178">L178*VLOOKUP($G178, Factor!$C$4:$N$36, 6, 0)*INDEX(Factor!$C$41:$N$87, _xlfn.XMATCH($C178, Factor!$C$41:$C$87, -1), 6)</f>
        <v>22</v>
      </c>
      <c r="X178" s="18" cm="1">
        <f t="array" ref="X178">M178*VLOOKUP($G178, Factor!$C$4:$N$36, 7, 0)*INDEX(Factor!$C$41:$N$87, _xlfn.XMATCH($C178, Factor!$C$41:$C$87, -1), 7)</f>
        <v>33000</v>
      </c>
      <c r="Y178" s="18" cm="1">
        <f t="array" ref="Y178">N178*VLOOKUP($G178, Factor!$C$4:$N$36, 8, 0)*INDEX(Factor!$C$41:$N$87, _xlfn.XMATCH($C178, Factor!$C$41:$C$87, -1), 8)</f>
        <v>1760.0000000000002</v>
      </c>
      <c r="Z178" s="18" cm="1">
        <f t="array" ref="Z178">O178*VLOOKUP($G178, Factor!$C$4:$N$36, 9, 0)*INDEX(Factor!$C$41:$N$87, _xlfn.XMATCH($C178, Factor!$C$41:$C$87, -1), 9)</f>
        <v>22</v>
      </c>
      <c r="AA178" s="18" cm="1">
        <f t="array" ref="AA178">P178*VLOOKUP($G178, Factor!$C$4:$N$36, 10, 0)*INDEX(Factor!$C$41:$N$87, _xlfn.XMATCH($C178, Factor!$C$41:$C$87, -1), 10)</f>
        <v>1760.0000000000002</v>
      </c>
      <c r="AB178" s="18" cm="1">
        <f t="array" ref="AB178">Q178*VLOOKUP($G178, Factor!$C$4:$N$36, 11, 0)*INDEX(Factor!$C$41:$N$87, _xlfn.XMATCH($C178, Factor!$C$41:$C$87, -1), 11)</f>
        <v>21</v>
      </c>
      <c r="AC178" s="18" cm="1">
        <f t="array" ref="AC178">R178*VLOOKUP($G178, Factor!$C$4:$N$36, 12, 0)*INDEX(Factor!$C$41:$N$87, _xlfn.XMATCH($C178, Factor!$C$41:$C$87, -1), 12)</f>
        <v>7</v>
      </c>
      <c r="AD178" s="18"/>
    </row>
    <row r="179" spans="1:30" ht="15.75" customHeight="1" x14ac:dyDescent="0.2">
      <c r="A179" s="15" t="str">
        <f>"locomotive_"&amp; VLOOKUP(F179, Factor!$BK$4:$BL$6, 2, 0) &amp;"_"&amp;Locomotive!D179&amp;"_"&amp;VLOOKUP(E179, Factor!$BM$4:$BN$36, 2, 0)</f>
        <v>locomotive_St_T7_005</v>
      </c>
      <c r="B179" s="15" t="str">
        <f t="shared" si="4"/>
        <v>T7 군용 증기기관차</v>
      </c>
      <c r="C179" s="15">
        <f>VLOOKUP(D179, Factor!$B$41:$C$50, 2, 0)</f>
        <v>70000</v>
      </c>
      <c r="D179" s="15" t="s">
        <v>325</v>
      </c>
      <c r="E179" s="41" t="s">
        <v>508</v>
      </c>
      <c r="F179" s="41" t="s">
        <v>505</v>
      </c>
      <c r="G179" s="41" t="str">
        <f t="shared" si="5"/>
        <v>군용 증기</v>
      </c>
      <c r="H179" s="41">
        <v>1</v>
      </c>
      <c r="I179" s="41">
        <v>1</v>
      </c>
      <c r="J179" s="41">
        <v>1</v>
      </c>
      <c r="K179" s="41">
        <v>1</v>
      </c>
      <c r="L179" s="41">
        <v>1</v>
      </c>
      <c r="M179" s="41">
        <v>1</v>
      </c>
      <c r="N179" s="41">
        <v>1</v>
      </c>
      <c r="O179" s="41">
        <v>1</v>
      </c>
      <c r="P179" s="41">
        <v>1</v>
      </c>
      <c r="Q179" s="41">
        <v>1</v>
      </c>
      <c r="R179" s="41">
        <v>1</v>
      </c>
      <c r="S179" s="41" cm="1">
        <f t="array" ref="S179">H179*VLOOKUP($G179, Factor!$C$4:$N$36, 2, 0)*INDEX(Factor!$C$41:$N$87, _xlfn.XMATCH($C179, Factor!$C$41:$C$87, -1), 2)</f>
        <v>198.00000000000003</v>
      </c>
      <c r="T179" s="41" cm="1">
        <f t="array" ref="T179">I179*VLOOKUP($G179, Factor!$C$4:$N$36, 3, 0)*INDEX(Factor!$C$41:$N$87, _xlfn.XMATCH($C179, Factor!$C$41:$C$87, -1), 3)</f>
        <v>3520.0000000000005</v>
      </c>
      <c r="U179" s="41" cm="1">
        <f t="array" ref="U179">J179*VLOOKUP($G179, Factor!$C$4:$N$36, 4, 0)*INDEX(Factor!$C$41:$N$87, _xlfn.XMATCH($C179, Factor!$C$41:$C$87, -1), 4)</f>
        <v>8</v>
      </c>
      <c r="V179" s="41" cm="1">
        <f t="array" ref="V179">K179*VLOOKUP($G179, Factor!$C$4:$N$36, 5, 0)*INDEX(Factor!$C$41:$N$87, _xlfn.XMATCH($C179, Factor!$C$41:$C$87, -1), 5)</f>
        <v>4.4000000000000004</v>
      </c>
      <c r="W179" s="41" cm="1">
        <f t="array" ref="W179">L179*VLOOKUP($G179, Factor!$C$4:$N$36, 6, 0)*INDEX(Factor!$C$41:$N$87, _xlfn.XMATCH($C179, Factor!$C$41:$C$87, -1), 6)</f>
        <v>39.6</v>
      </c>
      <c r="X179" s="41" cm="1">
        <f t="array" ref="X179">M179*VLOOKUP($G179, Factor!$C$4:$N$36, 7, 0)*INDEX(Factor!$C$41:$N$87, _xlfn.XMATCH($C179, Factor!$C$41:$C$87, -1), 7)</f>
        <v>22000</v>
      </c>
      <c r="Y179" s="41" cm="1">
        <f t="array" ref="Y179">N179*VLOOKUP($G179, Factor!$C$4:$N$36, 8, 0)*INDEX(Factor!$C$41:$N$87, _xlfn.XMATCH($C179, Factor!$C$41:$C$87, -1), 8)</f>
        <v>2200</v>
      </c>
      <c r="Z179" s="41" cm="1">
        <f t="array" ref="Z179">O179*VLOOKUP($G179, Factor!$C$4:$N$36, 9, 0)*INDEX(Factor!$C$41:$N$87, _xlfn.XMATCH($C179, Factor!$C$41:$C$87, -1), 9)</f>
        <v>66</v>
      </c>
      <c r="AA179" s="41" cm="1">
        <f t="array" ref="AA179">P179*VLOOKUP($G179, Factor!$C$4:$N$36, 10, 0)*INDEX(Factor!$C$41:$N$87, _xlfn.XMATCH($C179, Factor!$C$41:$C$87, -1), 10)</f>
        <v>2200</v>
      </c>
      <c r="AB179" s="41" cm="1">
        <f t="array" ref="AB179">Q179*VLOOKUP($G179, Factor!$C$4:$N$36, 11, 0)*INDEX(Factor!$C$41:$N$87, _xlfn.XMATCH($C179, Factor!$C$41:$C$87, -1), 11)</f>
        <v>7</v>
      </c>
      <c r="AC179" s="41" cm="1">
        <f t="array" ref="AC179">R179*VLOOKUP($G179, Factor!$C$4:$N$36, 12, 0)*INDEX(Factor!$C$41:$N$87, _xlfn.XMATCH($C179, Factor!$C$41:$C$87, -1), 12)</f>
        <v>7</v>
      </c>
      <c r="AD179" s="41"/>
    </row>
    <row r="180" spans="1:30" ht="15.75" customHeight="1" x14ac:dyDescent="0.2">
      <c r="A180" s="18" t="str">
        <f>"locomotive_"&amp; VLOOKUP(F180, Factor!$BK$4:$BL$6, 2, 0) &amp;"_"&amp;Locomotive!D180&amp;"_"&amp;VLOOKUP(E180, Factor!$BM$4:$BN$36, 2, 0)</f>
        <v>locomotive_El_T7_005</v>
      </c>
      <c r="B180" s="18" t="str">
        <f t="shared" si="4"/>
        <v>T7 군용 전기기관차</v>
      </c>
      <c r="C180" s="18">
        <f>VLOOKUP(D180, Factor!$B$41:$C$50, 2, 0)</f>
        <v>70000</v>
      </c>
      <c r="D180" s="18" t="s">
        <v>325</v>
      </c>
      <c r="E180" s="18" t="s">
        <v>508</v>
      </c>
      <c r="F180" s="18" t="s">
        <v>502</v>
      </c>
      <c r="G180" s="18" t="str">
        <f t="shared" si="5"/>
        <v>군용 전기</v>
      </c>
      <c r="H180" s="18">
        <v>1</v>
      </c>
      <c r="I180" s="18">
        <v>1</v>
      </c>
      <c r="J180" s="18">
        <v>1</v>
      </c>
      <c r="K180" s="18">
        <v>1</v>
      </c>
      <c r="L180" s="18">
        <v>1</v>
      </c>
      <c r="M180" s="18">
        <v>1</v>
      </c>
      <c r="N180" s="18">
        <v>1</v>
      </c>
      <c r="O180" s="18">
        <v>1</v>
      </c>
      <c r="P180" s="18">
        <v>1</v>
      </c>
      <c r="Q180" s="18">
        <v>1</v>
      </c>
      <c r="R180" s="18">
        <v>1</v>
      </c>
      <c r="S180" s="18" cm="1">
        <f t="array" ref="S180">H180*VLOOKUP($G180, Factor!$C$4:$N$36, 2, 0)*INDEX(Factor!$C$41:$N$87, _xlfn.XMATCH($C180, Factor!$C$41:$C$87, -1), 2)</f>
        <v>374.00000000000006</v>
      </c>
      <c r="T180" s="18" cm="1">
        <f t="array" ref="T180">I180*VLOOKUP($G180, Factor!$C$4:$N$36, 3, 0)*INDEX(Factor!$C$41:$N$87, _xlfn.XMATCH($C180, Factor!$C$41:$C$87, -1), 3)</f>
        <v>2200</v>
      </c>
      <c r="U180" s="18" cm="1">
        <f t="array" ref="U180">J180*VLOOKUP($G180, Factor!$C$4:$N$36, 4, 0)*INDEX(Factor!$C$41:$N$87, _xlfn.XMATCH($C180, Factor!$C$41:$C$87, -1), 4)</f>
        <v>8</v>
      </c>
      <c r="V180" s="18" cm="1">
        <f t="array" ref="V180">K180*VLOOKUP($G180, Factor!$C$4:$N$36, 5, 0)*INDEX(Factor!$C$41:$N$87, _xlfn.XMATCH($C180, Factor!$C$41:$C$87, -1), 5)</f>
        <v>11</v>
      </c>
      <c r="W180" s="18" cm="1">
        <f t="array" ref="W180">L180*VLOOKUP($G180, Factor!$C$4:$N$36, 6, 0)*INDEX(Factor!$C$41:$N$87, _xlfn.XMATCH($C180, Factor!$C$41:$C$87, -1), 6)</f>
        <v>39.6</v>
      </c>
      <c r="X180" s="18" cm="1">
        <f t="array" ref="X180">M180*VLOOKUP($G180, Factor!$C$4:$N$36, 7, 0)*INDEX(Factor!$C$41:$N$87, _xlfn.XMATCH($C180, Factor!$C$41:$C$87, -1), 7)</f>
        <v>15400.000000000002</v>
      </c>
      <c r="Y180" s="18" cm="1">
        <f t="array" ref="Y180">N180*VLOOKUP($G180, Factor!$C$4:$N$36, 8, 0)*INDEX(Factor!$C$41:$N$87, _xlfn.XMATCH($C180, Factor!$C$41:$C$87, -1), 8)</f>
        <v>1540.0000000000002</v>
      </c>
      <c r="Z180" s="18" cm="1">
        <f t="array" ref="Z180">O180*VLOOKUP($G180, Factor!$C$4:$N$36, 9, 0)*INDEX(Factor!$C$41:$N$87, _xlfn.XMATCH($C180, Factor!$C$41:$C$87, -1), 9)</f>
        <v>11</v>
      </c>
      <c r="AA180" s="18" cm="1">
        <f t="array" ref="AA180">P180*VLOOKUP($G180, Factor!$C$4:$N$36, 10, 0)*INDEX(Factor!$C$41:$N$87, _xlfn.XMATCH($C180, Factor!$C$41:$C$87, -1), 10)</f>
        <v>1540.0000000000002</v>
      </c>
      <c r="AB180" s="18" cm="1">
        <f t="array" ref="AB180">Q180*VLOOKUP($G180, Factor!$C$4:$N$36, 11, 0)*INDEX(Factor!$C$41:$N$87, _xlfn.XMATCH($C180, Factor!$C$41:$C$87, -1), 11)</f>
        <v>7</v>
      </c>
      <c r="AC180" s="18" cm="1">
        <f t="array" ref="AC180">R180*VLOOKUP($G180, Factor!$C$4:$N$36, 12, 0)*INDEX(Factor!$C$41:$N$87, _xlfn.XMATCH($C180, Factor!$C$41:$C$87, -1), 12)</f>
        <v>7</v>
      </c>
      <c r="AD180" s="18"/>
    </row>
    <row r="181" spans="1:30" ht="15.75" customHeight="1" x14ac:dyDescent="0.2">
      <c r="A181" s="15" t="str">
        <f>"locomotive_"&amp; VLOOKUP(F181, Factor!$BK$4:$BL$6, 2, 0) &amp;"_"&amp;Locomotive!D181&amp;"_"&amp;VLOOKUP(E181, Factor!$BM$4:$BN$36, 2, 0)</f>
        <v>locomotive_Dz_T7_005</v>
      </c>
      <c r="B181" s="15" t="str">
        <f t="shared" si="4"/>
        <v>T7 군용 디젤기관차</v>
      </c>
      <c r="C181" s="15">
        <f>VLOOKUP(D181, Factor!$B$41:$C$50, 2, 0)</f>
        <v>70000</v>
      </c>
      <c r="D181" s="15" t="s">
        <v>325</v>
      </c>
      <c r="E181" s="41" t="s">
        <v>508</v>
      </c>
      <c r="F181" s="41" t="s">
        <v>503</v>
      </c>
      <c r="G181" s="41" t="str">
        <f t="shared" si="5"/>
        <v>군용 디젤</v>
      </c>
      <c r="H181" s="41">
        <v>1</v>
      </c>
      <c r="I181" s="41">
        <v>1</v>
      </c>
      <c r="J181" s="41">
        <v>1</v>
      </c>
      <c r="K181" s="41">
        <v>1</v>
      </c>
      <c r="L181" s="41">
        <v>1</v>
      </c>
      <c r="M181" s="41">
        <v>1</v>
      </c>
      <c r="N181" s="41">
        <v>1</v>
      </c>
      <c r="O181" s="41">
        <v>1</v>
      </c>
      <c r="P181" s="41">
        <v>1</v>
      </c>
      <c r="Q181" s="41">
        <v>1</v>
      </c>
      <c r="R181" s="41">
        <v>1</v>
      </c>
      <c r="S181" s="41" cm="1">
        <f t="array" ref="S181">H181*VLOOKUP($G181, Factor!$C$4:$N$36, 2, 0)*INDEX(Factor!$C$41:$N$87, _xlfn.XMATCH($C181, Factor!$C$41:$C$87, -1), 2)</f>
        <v>242.00000000000003</v>
      </c>
      <c r="T181" s="41" cm="1">
        <f t="array" ref="T181">I181*VLOOKUP($G181, Factor!$C$4:$N$36, 3, 0)*INDEX(Factor!$C$41:$N$87, _xlfn.XMATCH($C181, Factor!$C$41:$C$87, -1), 3)</f>
        <v>3520.0000000000005</v>
      </c>
      <c r="U181" s="41" cm="1">
        <f t="array" ref="U181">J181*VLOOKUP($G181, Factor!$C$4:$N$36, 4, 0)*INDEX(Factor!$C$41:$N$87, _xlfn.XMATCH($C181, Factor!$C$41:$C$87, -1), 4)</f>
        <v>8</v>
      </c>
      <c r="V181" s="41" cm="1">
        <f t="array" ref="V181">K181*VLOOKUP($G181, Factor!$C$4:$N$36, 5, 0)*INDEX(Factor!$C$41:$N$87, _xlfn.XMATCH($C181, Factor!$C$41:$C$87, -1), 5)</f>
        <v>6.6000000000000005</v>
      </c>
      <c r="W181" s="41" cm="1">
        <f t="array" ref="W181">L181*VLOOKUP($G181, Factor!$C$4:$N$36, 6, 0)*INDEX(Factor!$C$41:$N$87, _xlfn.XMATCH($C181, Factor!$C$41:$C$87, -1), 6)</f>
        <v>39.6</v>
      </c>
      <c r="X181" s="41" cm="1">
        <f t="array" ref="X181">M181*VLOOKUP($G181, Factor!$C$4:$N$36, 7, 0)*INDEX(Factor!$C$41:$N$87, _xlfn.XMATCH($C181, Factor!$C$41:$C$87, -1), 7)</f>
        <v>33000</v>
      </c>
      <c r="Y181" s="41" cm="1">
        <f t="array" ref="Y181">N181*VLOOKUP($G181, Factor!$C$4:$N$36, 8, 0)*INDEX(Factor!$C$41:$N$87, _xlfn.XMATCH($C181, Factor!$C$41:$C$87, -1), 8)</f>
        <v>1760.0000000000002</v>
      </c>
      <c r="Z181" s="41" cm="1">
        <f t="array" ref="Z181">O181*VLOOKUP($G181, Factor!$C$4:$N$36, 9, 0)*INDEX(Factor!$C$41:$N$87, _xlfn.XMATCH($C181, Factor!$C$41:$C$87, -1), 9)</f>
        <v>22</v>
      </c>
      <c r="AA181" s="41" cm="1">
        <f t="array" ref="AA181">P181*VLOOKUP($G181, Factor!$C$4:$N$36, 10, 0)*INDEX(Factor!$C$41:$N$87, _xlfn.XMATCH($C181, Factor!$C$41:$C$87, -1), 10)</f>
        <v>1760.0000000000002</v>
      </c>
      <c r="AB181" s="41" cm="1">
        <f t="array" ref="AB181">Q181*VLOOKUP($G181, Factor!$C$4:$N$36, 11, 0)*INDEX(Factor!$C$41:$N$87, _xlfn.XMATCH($C181, Factor!$C$41:$C$87, -1), 11)</f>
        <v>7</v>
      </c>
      <c r="AC181" s="41" cm="1">
        <f t="array" ref="AC181">R181*VLOOKUP($G181, Factor!$C$4:$N$36, 12, 0)*INDEX(Factor!$C$41:$N$87, _xlfn.XMATCH($C181, Factor!$C$41:$C$87, -1), 12)</f>
        <v>7</v>
      </c>
      <c r="AD181" s="41"/>
    </row>
    <row r="182" spans="1:30" ht="15.75" customHeight="1" x14ac:dyDescent="0.2">
      <c r="A182" s="18" t="str">
        <f>"locomotive_"&amp; VLOOKUP(F182, Factor!$BK$4:$BL$6, 2, 0) &amp;"_"&amp;Locomotive!D182&amp;"_"&amp;VLOOKUP(E182, Factor!$BM$4:$BN$36, 2, 0)</f>
        <v>locomotive_St_T7_006</v>
      </c>
      <c r="B182" s="18" t="str">
        <f t="shared" si="4"/>
        <v>T7 여객 증기기관차</v>
      </c>
      <c r="C182" s="18">
        <f>VLOOKUP(D182, Factor!$B$41:$C$50, 2, 0)</f>
        <v>70000</v>
      </c>
      <c r="D182" s="18" t="s">
        <v>325</v>
      </c>
      <c r="E182" s="18" t="s">
        <v>509</v>
      </c>
      <c r="F182" s="18" t="s">
        <v>505</v>
      </c>
      <c r="G182" s="18" t="str">
        <f t="shared" si="5"/>
        <v>여객 증기</v>
      </c>
      <c r="H182" s="18">
        <v>1</v>
      </c>
      <c r="I182" s="18">
        <v>1</v>
      </c>
      <c r="J182" s="18">
        <v>1</v>
      </c>
      <c r="K182" s="18">
        <v>1</v>
      </c>
      <c r="L182" s="18">
        <v>1</v>
      </c>
      <c r="M182" s="18">
        <v>1</v>
      </c>
      <c r="N182" s="18">
        <v>1</v>
      </c>
      <c r="O182" s="18">
        <v>1</v>
      </c>
      <c r="P182" s="18">
        <v>1</v>
      </c>
      <c r="Q182" s="18">
        <v>1</v>
      </c>
      <c r="R182" s="18">
        <v>1</v>
      </c>
      <c r="S182" s="18" cm="1">
        <f t="array" ref="S182">H182*VLOOKUP($G182, Factor!$C$4:$N$36, 2, 0)*INDEX(Factor!$C$41:$N$87, _xlfn.XMATCH($C182, Factor!$C$41:$C$87, -1), 2)</f>
        <v>220.00000000000003</v>
      </c>
      <c r="T182" s="18" cm="1">
        <f t="array" ref="T182">I182*VLOOKUP($G182, Factor!$C$4:$N$36, 3, 0)*INDEX(Factor!$C$41:$N$87, _xlfn.XMATCH($C182, Factor!$C$41:$C$87, -1), 3)</f>
        <v>2200</v>
      </c>
      <c r="U182" s="18" cm="1">
        <f t="array" ref="U182">J182*VLOOKUP($G182, Factor!$C$4:$N$36, 4, 0)*INDEX(Factor!$C$41:$N$87, _xlfn.XMATCH($C182, Factor!$C$41:$C$87, -1), 4)</f>
        <v>8</v>
      </c>
      <c r="V182" s="18" cm="1">
        <f t="array" ref="V182">K182*VLOOKUP($G182, Factor!$C$4:$N$36, 5, 0)*INDEX(Factor!$C$41:$N$87, _xlfn.XMATCH($C182, Factor!$C$41:$C$87, -1), 5)</f>
        <v>8.8000000000000007</v>
      </c>
      <c r="W182" s="18" cm="1">
        <f t="array" ref="W182">L182*VLOOKUP($G182, Factor!$C$4:$N$36, 6, 0)*INDEX(Factor!$C$41:$N$87, _xlfn.XMATCH($C182, Factor!$C$41:$C$87, -1), 6)</f>
        <v>22</v>
      </c>
      <c r="X182" s="18" cm="1">
        <f t="array" ref="X182">M182*VLOOKUP($G182, Factor!$C$4:$N$36, 7, 0)*INDEX(Factor!$C$41:$N$87, _xlfn.XMATCH($C182, Factor!$C$41:$C$87, -1), 7)</f>
        <v>22000</v>
      </c>
      <c r="Y182" s="18" cm="1">
        <f t="array" ref="Y182">N182*VLOOKUP($G182, Factor!$C$4:$N$36, 8, 0)*INDEX(Factor!$C$41:$N$87, _xlfn.XMATCH($C182, Factor!$C$41:$C$87, -1), 8)</f>
        <v>1980.0000000000002</v>
      </c>
      <c r="Z182" s="18" cm="1">
        <f t="array" ref="Z182">O182*VLOOKUP($G182, Factor!$C$4:$N$36, 9, 0)*INDEX(Factor!$C$41:$N$87, _xlfn.XMATCH($C182, Factor!$C$41:$C$87, -1), 9)</f>
        <v>55.000000000000007</v>
      </c>
      <c r="AA182" s="18" cm="1">
        <f t="array" ref="AA182">P182*VLOOKUP($G182, Factor!$C$4:$N$36, 10, 0)*INDEX(Factor!$C$41:$N$87, _xlfn.XMATCH($C182, Factor!$C$41:$C$87, -1), 10)</f>
        <v>1980.0000000000002</v>
      </c>
      <c r="AB182" s="18" cm="1">
        <f t="array" ref="AB182">Q182*VLOOKUP($G182, Factor!$C$4:$N$36, 11, 0)*INDEX(Factor!$C$41:$N$87, _xlfn.XMATCH($C182, Factor!$C$41:$C$87, -1), 11)</f>
        <v>7</v>
      </c>
      <c r="AC182" s="18" cm="1">
        <f t="array" ref="AC182">R182*VLOOKUP($G182, Factor!$C$4:$N$36, 12, 0)*INDEX(Factor!$C$41:$N$87, _xlfn.XMATCH($C182, Factor!$C$41:$C$87, -1), 12)</f>
        <v>21</v>
      </c>
      <c r="AD182" s="18"/>
    </row>
    <row r="183" spans="1:30" ht="15.75" customHeight="1" x14ac:dyDescent="0.2">
      <c r="A183" s="15" t="str">
        <f>"locomotive_"&amp; VLOOKUP(F183, Factor!$BK$4:$BL$6, 2, 0) &amp;"_"&amp;Locomotive!D183&amp;"_"&amp;VLOOKUP(E183, Factor!$BM$4:$BN$36, 2, 0)</f>
        <v>locomotive_El_T7_006</v>
      </c>
      <c r="B183" s="15" t="str">
        <f t="shared" si="4"/>
        <v>T7 여객 전기기관차</v>
      </c>
      <c r="C183" s="15">
        <f>VLOOKUP(D183, Factor!$B$41:$C$50, 2, 0)</f>
        <v>70000</v>
      </c>
      <c r="D183" s="15" t="s">
        <v>325</v>
      </c>
      <c r="E183" s="41" t="s">
        <v>509</v>
      </c>
      <c r="F183" s="41" t="s">
        <v>502</v>
      </c>
      <c r="G183" s="41" t="str">
        <f t="shared" si="5"/>
        <v>여객 전기</v>
      </c>
      <c r="H183" s="41">
        <v>1</v>
      </c>
      <c r="I183" s="41">
        <v>1</v>
      </c>
      <c r="J183" s="41">
        <v>1</v>
      </c>
      <c r="K183" s="41">
        <v>1</v>
      </c>
      <c r="L183" s="41">
        <v>1</v>
      </c>
      <c r="M183" s="41">
        <v>1</v>
      </c>
      <c r="N183" s="41">
        <v>1</v>
      </c>
      <c r="O183" s="41">
        <v>1</v>
      </c>
      <c r="P183" s="41">
        <v>1</v>
      </c>
      <c r="Q183" s="41">
        <v>1</v>
      </c>
      <c r="R183" s="41">
        <v>1</v>
      </c>
      <c r="S183" s="41" cm="1">
        <f t="array" ref="S183">H183*VLOOKUP($G183, Factor!$C$4:$N$36, 2, 0)*INDEX(Factor!$C$41:$N$87, _xlfn.XMATCH($C183, Factor!$C$41:$C$87, -1), 2)</f>
        <v>440.00000000000006</v>
      </c>
      <c r="T183" s="41" cm="1">
        <f t="array" ref="T183">I183*VLOOKUP($G183, Factor!$C$4:$N$36, 3, 0)*INDEX(Factor!$C$41:$N$87, _xlfn.XMATCH($C183, Factor!$C$41:$C$87, -1), 3)</f>
        <v>1760.0000000000002</v>
      </c>
      <c r="U183" s="41" cm="1">
        <f t="array" ref="U183">J183*VLOOKUP($G183, Factor!$C$4:$N$36, 4, 0)*INDEX(Factor!$C$41:$N$87, _xlfn.XMATCH($C183, Factor!$C$41:$C$87, -1), 4)</f>
        <v>8</v>
      </c>
      <c r="V183" s="41" cm="1">
        <f t="array" ref="V183">K183*VLOOKUP($G183, Factor!$C$4:$N$36, 5, 0)*INDEX(Factor!$C$41:$N$87, _xlfn.XMATCH($C183, Factor!$C$41:$C$87, -1), 5)</f>
        <v>17.600000000000001</v>
      </c>
      <c r="W183" s="41" cm="1">
        <f t="array" ref="W183">L183*VLOOKUP($G183, Factor!$C$4:$N$36, 6, 0)*INDEX(Factor!$C$41:$N$87, _xlfn.XMATCH($C183, Factor!$C$41:$C$87, -1), 6)</f>
        <v>22</v>
      </c>
      <c r="X183" s="41" cm="1">
        <f t="array" ref="X183">M183*VLOOKUP($G183, Factor!$C$4:$N$36, 7, 0)*INDEX(Factor!$C$41:$N$87, _xlfn.XMATCH($C183, Factor!$C$41:$C$87, -1), 7)</f>
        <v>15400.000000000002</v>
      </c>
      <c r="Y183" s="41" cm="1">
        <f t="array" ref="Y183">N183*VLOOKUP($G183, Factor!$C$4:$N$36, 8, 0)*INDEX(Factor!$C$41:$N$87, _xlfn.XMATCH($C183, Factor!$C$41:$C$87, -1), 8)</f>
        <v>1320</v>
      </c>
      <c r="Z183" s="41" cm="1">
        <f t="array" ref="Z183">O183*VLOOKUP($G183, Factor!$C$4:$N$36, 9, 0)*INDEX(Factor!$C$41:$N$87, _xlfn.XMATCH($C183, Factor!$C$41:$C$87, -1), 9)</f>
        <v>8.8000000000000007</v>
      </c>
      <c r="AA183" s="41" cm="1">
        <f t="array" ref="AA183">P183*VLOOKUP($G183, Factor!$C$4:$N$36, 10, 0)*INDEX(Factor!$C$41:$N$87, _xlfn.XMATCH($C183, Factor!$C$41:$C$87, -1), 10)</f>
        <v>1320</v>
      </c>
      <c r="AB183" s="41" cm="1">
        <f t="array" ref="AB183">Q183*VLOOKUP($G183, Factor!$C$4:$N$36, 11, 0)*INDEX(Factor!$C$41:$N$87, _xlfn.XMATCH($C183, Factor!$C$41:$C$87, -1), 11)</f>
        <v>7</v>
      </c>
      <c r="AC183" s="41" cm="1">
        <f t="array" ref="AC183">R183*VLOOKUP($G183, Factor!$C$4:$N$36, 12, 0)*INDEX(Factor!$C$41:$N$87, _xlfn.XMATCH($C183, Factor!$C$41:$C$87, -1), 12)</f>
        <v>21</v>
      </c>
      <c r="AD183" s="41"/>
    </row>
    <row r="184" spans="1:30" ht="15.75" customHeight="1" x14ac:dyDescent="0.2">
      <c r="A184" s="18" t="str">
        <f>"locomotive_"&amp; VLOOKUP(F184, Factor!$BK$4:$BL$6, 2, 0) &amp;"_"&amp;Locomotive!D184&amp;"_"&amp;VLOOKUP(E184, Factor!$BM$4:$BN$36, 2, 0)</f>
        <v>locomotive_Dz_T7_006</v>
      </c>
      <c r="B184" s="18" t="str">
        <f t="shared" si="4"/>
        <v>T7 여객 디젤기관차</v>
      </c>
      <c r="C184" s="18">
        <f>VLOOKUP(D184, Factor!$B$41:$C$50, 2, 0)</f>
        <v>70000</v>
      </c>
      <c r="D184" s="18" t="s">
        <v>325</v>
      </c>
      <c r="E184" s="18" t="s">
        <v>509</v>
      </c>
      <c r="F184" s="18" t="s">
        <v>503</v>
      </c>
      <c r="G184" s="18" t="str">
        <f t="shared" si="5"/>
        <v>여객 디젤</v>
      </c>
      <c r="H184" s="18">
        <v>1</v>
      </c>
      <c r="I184" s="18">
        <v>1</v>
      </c>
      <c r="J184" s="18">
        <v>1</v>
      </c>
      <c r="K184" s="18">
        <v>1</v>
      </c>
      <c r="L184" s="18">
        <v>1</v>
      </c>
      <c r="M184" s="18">
        <v>1</v>
      </c>
      <c r="N184" s="18">
        <v>1</v>
      </c>
      <c r="O184" s="18">
        <v>1</v>
      </c>
      <c r="P184" s="18">
        <v>1</v>
      </c>
      <c r="Q184" s="18">
        <v>1</v>
      </c>
      <c r="R184" s="18">
        <v>1</v>
      </c>
      <c r="S184" s="18" cm="1">
        <f t="array" ref="S184">H184*VLOOKUP($G184, Factor!$C$4:$N$36, 2, 0)*INDEX(Factor!$C$41:$N$87, _xlfn.XMATCH($C184, Factor!$C$41:$C$87, -1), 2)</f>
        <v>330</v>
      </c>
      <c r="T184" s="18" cm="1">
        <f t="array" ref="T184">I184*VLOOKUP($G184, Factor!$C$4:$N$36, 3, 0)*INDEX(Factor!$C$41:$N$87, _xlfn.XMATCH($C184, Factor!$C$41:$C$87, -1), 3)</f>
        <v>2640</v>
      </c>
      <c r="U184" s="18" cm="1">
        <f t="array" ref="U184">J184*VLOOKUP($G184, Factor!$C$4:$N$36, 4, 0)*INDEX(Factor!$C$41:$N$87, _xlfn.XMATCH($C184, Factor!$C$41:$C$87, -1), 4)</f>
        <v>8</v>
      </c>
      <c r="V184" s="18" cm="1">
        <f t="array" ref="V184">K184*VLOOKUP($G184, Factor!$C$4:$N$36, 5, 0)*INDEX(Factor!$C$41:$N$87, _xlfn.XMATCH($C184, Factor!$C$41:$C$87, -1), 5)</f>
        <v>13.200000000000001</v>
      </c>
      <c r="W184" s="18" cm="1">
        <f t="array" ref="W184">L184*VLOOKUP($G184, Factor!$C$4:$N$36, 6, 0)*INDEX(Factor!$C$41:$N$87, _xlfn.XMATCH($C184, Factor!$C$41:$C$87, -1), 6)</f>
        <v>22</v>
      </c>
      <c r="X184" s="18" cm="1">
        <f t="array" ref="X184">M184*VLOOKUP($G184, Factor!$C$4:$N$36, 7, 0)*INDEX(Factor!$C$41:$N$87, _xlfn.XMATCH($C184, Factor!$C$41:$C$87, -1), 7)</f>
        <v>33000</v>
      </c>
      <c r="Y184" s="18" cm="1">
        <f t="array" ref="Y184">N184*VLOOKUP($G184, Factor!$C$4:$N$36, 8, 0)*INDEX(Factor!$C$41:$N$87, _xlfn.XMATCH($C184, Factor!$C$41:$C$87, -1), 8)</f>
        <v>1540.0000000000002</v>
      </c>
      <c r="Z184" s="18" cm="1">
        <f t="array" ref="Z184">O184*VLOOKUP($G184, Factor!$C$4:$N$36, 9, 0)*INDEX(Factor!$C$41:$N$87, _xlfn.XMATCH($C184, Factor!$C$41:$C$87, -1), 9)</f>
        <v>15.400000000000002</v>
      </c>
      <c r="AA184" s="18" cm="1">
        <f t="array" ref="AA184">P184*VLOOKUP($G184, Factor!$C$4:$N$36, 10, 0)*INDEX(Factor!$C$41:$N$87, _xlfn.XMATCH($C184, Factor!$C$41:$C$87, -1), 10)</f>
        <v>1540.0000000000002</v>
      </c>
      <c r="AB184" s="18" cm="1">
        <f t="array" ref="AB184">Q184*VLOOKUP($G184, Factor!$C$4:$N$36, 11, 0)*INDEX(Factor!$C$41:$N$87, _xlfn.XMATCH($C184, Factor!$C$41:$C$87, -1), 11)</f>
        <v>7</v>
      </c>
      <c r="AC184" s="18" cm="1">
        <f t="array" ref="AC184">R184*VLOOKUP($G184, Factor!$C$4:$N$36, 12, 0)*INDEX(Factor!$C$41:$N$87, _xlfn.XMATCH($C184, Factor!$C$41:$C$87, -1), 12)</f>
        <v>21</v>
      </c>
      <c r="AD184" s="18"/>
    </row>
    <row r="185" spans="1:30" ht="15.75" customHeight="1" x14ac:dyDescent="0.2">
      <c r="A185" s="15" t="str">
        <f>"locomotive_"&amp; VLOOKUP(F185, Factor!$BK$4:$BL$6, 2, 0) &amp;"_"&amp;Locomotive!D185&amp;"_"&amp;VLOOKUP(E185, Factor!$BM$4:$BN$36, 2, 0)</f>
        <v>locomotive_St_T7_007</v>
      </c>
      <c r="B185" s="15" t="str">
        <f t="shared" si="4"/>
        <v>T7 시운 증기기관차</v>
      </c>
      <c r="C185" s="15">
        <f>VLOOKUP(D185, Factor!$B$41:$C$50, 2, 0)</f>
        <v>70000</v>
      </c>
      <c r="D185" s="15" t="s">
        <v>325</v>
      </c>
      <c r="E185" s="41" t="s">
        <v>510</v>
      </c>
      <c r="F185" s="41" t="s">
        <v>505</v>
      </c>
      <c r="G185" s="41" t="str">
        <f t="shared" si="5"/>
        <v>시운 증기</v>
      </c>
      <c r="H185" s="41">
        <v>1</v>
      </c>
      <c r="I185" s="41">
        <v>1</v>
      </c>
      <c r="J185" s="41">
        <v>1</v>
      </c>
      <c r="K185" s="41">
        <v>1</v>
      </c>
      <c r="L185" s="41">
        <v>1</v>
      </c>
      <c r="M185" s="41">
        <v>1</v>
      </c>
      <c r="N185" s="41">
        <v>1</v>
      </c>
      <c r="O185" s="41">
        <v>1</v>
      </c>
      <c r="P185" s="41">
        <v>1</v>
      </c>
      <c r="Q185" s="41">
        <v>1</v>
      </c>
      <c r="R185" s="41">
        <v>1</v>
      </c>
      <c r="S185" s="41" cm="1">
        <f t="array" ref="S185">H185*VLOOKUP($G185, Factor!$C$4:$N$36, 2, 0)*INDEX(Factor!$C$41:$N$87, _xlfn.XMATCH($C185, Factor!$C$41:$C$87, -1), 2)</f>
        <v>220.00000000000003</v>
      </c>
      <c r="T185" s="41" cm="1">
        <f t="array" ref="T185">I185*VLOOKUP($G185, Factor!$C$4:$N$36, 3, 0)*INDEX(Factor!$C$41:$N$87, _xlfn.XMATCH($C185, Factor!$C$41:$C$87, -1), 3)</f>
        <v>2200</v>
      </c>
      <c r="U185" s="41" cm="1">
        <f t="array" ref="U185">J185*VLOOKUP($G185, Factor!$C$4:$N$36, 4, 0)*INDEX(Factor!$C$41:$N$87, _xlfn.XMATCH($C185, Factor!$C$41:$C$87, -1), 4)</f>
        <v>8</v>
      </c>
      <c r="V185" s="41" cm="1">
        <f t="array" ref="V185">K185*VLOOKUP($G185, Factor!$C$4:$N$36, 5, 0)*INDEX(Factor!$C$41:$N$87, _xlfn.XMATCH($C185, Factor!$C$41:$C$87, -1), 5)</f>
        <v>13.200000000000001</v>
      </c>
      <c r="W185" s="41" cm="1">
        <f t="array" ref="W185">L185*VLOOKUP($G185, Factor!$C$4:$N$36, 6, 0)*INDEX(Factor!$C$41:$N$87, _xlfn.XMATCH($C185, Factor!$C$41:$C$87, -1), 6)</f>
        <v>22</v>
      </c>
      <c r="X185" s="41" cm="1">
        <f t="array" ref="X185">M185*VLOOKUP($G185, Factor!$C$4:$N$36, 7, 0)*INDEX(Factor!$C$41:$N$87, _xlfn.XMATCH($C185, Factor!$C$41:$C$87, -1), 7)</f>
        <v>22000</v>
      </c>
      <c r="Y185" s="41" cm="1">
        <f t="array" ref="Y185">N185*VLOOKUP($G185, Factor!$C$4:$N$36, 8, 0)*INDEX(Factor!$C$41:$N$87, _xlfn.XMATCH($C185, Factor!$C$41:$C$87, -1), 8)</f>
        <v>1100</v>
      </c>
      <c r="Z185" s="41" cm="1">
        <f t="array" ref="Z185">O185*VLOOKUP($G185, Factor!$C$4:$N$36, 9, 0)*INDEX(Factor!$C$41:$N$87, _xlfn.XMATCH($C185, Factor!$C$41:$C$87, -1), 9)</f>
        <v>66</v>
      </c>
      <c r="AA185" s="41" cm="1">
        <f t="array" ref="AA185">P185*VLOOKUP($G185, Factor!$C$4:$N$36, 10, 0)*INDEX(Factor!$C$41:$N$87, _xlfn.XMATCH($C185, Factor!$C$41:$C$87, -1), 10)</f>
        <v>4400</v>
      </c>
      <c r="AB185" s="41" cm="1">
        <f t="array" ref="AB185">Q185*VLOOKUP($G185, Factor!$C$4:$N$36, 11, 0)*INDEX(Factor!$C$41:$N$87, _xlfn.XMATCH($C185, Factor!$C$41:$C$87, -1), 11)</f>
        <v>7</v>
      </c>
      <c r="AC185" s="41" cm="1">
        <f t="array" ref="AC185">R185*VLOOKUP($G185, Factor!$C$4:$N$36, 12, 0)*INDEX(Factor!$C$41:$N$87, _xlfn.XMATCH($C185, Factor!$C$41:$C$87, -1), 12)</f>
        <v>7</v>
      </c>
      <c r="AD185" s="41"/>
    </row>
    <row r="186" spans="1:30" ht="15.75" customHeight="1" x14ac:dyDescent="0.2">
      <c r="A186" s="18" t="str">
        <f>"locomotive_"&amp; VLOOKUP(F186, Factor!$BK$4:$BL$6, 2, 0) &amp;"_"&amp;Locomotive!D186&amp;"_"&amp;VLOOKUP(E186, Factor!$BM$4:$BN$36, 2, 0)</f>
        <v>locomotive_El_T7_007</v>
      </c>
      <c r="B186" s="18" t="str">
        <f t="shared" si="4"/>
        <v>T7 시운 전기기관차</v>
      </c>
      <c r="C186" s="18">
        <f>VLOOKUP(D186, Factor!$B$41:$C$50, 2, 0)</f>
        <v>70000</v>
      </c>
      <c r="D186" s="18" t="s">
        <v>325</v>
      </c>
      <c r="E186" s="18" t="s">
        <v>510</v>
      </c>
      <c r="F186" s="18" t="s">
        <v>502</v>
      </c>
      <c r="G186" s="18" t="str">
        <f t="shared" si="5"/>
        <v>시운 전기</v>
      </c>
      <c r="H186" s="18">
        <v>1</v>
      </c>
      <c r="I186" s="18">
        <v>1</v>
      </c>
      <c r="J186" s="18">
        <v>1</v>
      </c>
      <c r="K186" s="18">
        <v>1</v>
      </c>
      <c r="L186" s="18">
        <v>1</v>
      </c>
      <c r="M186" s="18">
        <v>1</v>
      </c>
      <c r="N186" s="18">
        <v>1</v>
      </c>
      <c r="O186" s="18">
        <v>1</v>
      </c>
      <c r="P186" s="18">
        <v>1</v>
      </c>
      <c r="Q186" s="18">
        <v>1</v>
      </c>
      <c r="R186" s="18">
        <v>1</v>
      </c>
      <c r="S186" s="18" cm="1">
        <f t="array" ref="S186">H186*VLOOKUP($G186, Factor!$C$4:$N$36, 2, 0)*INDEX(Factor!$C$41:$N$87, _xlfn.XMATCH($C186, Factor!$C$41:$C$87, -1), 2)</f>
        <v>440.00000000000006</v>
      </c>
      <c r="T186" s="18" cm="1">
        <f t="array" ref="T186">I186*VLOOKUP($G186, Factor!$C$4:$N$36, 3, 0)*INDEX(Factor!$C$41:$N$87, _xlfn.XMATCH($C186, Factor!$C$41:$C$87, -1), 3)</f>
        <v>1760.0000000000002</v>
      </c>
      <c r="U186" s="18" cm="1">
        <f t="array" ref="U186">J186*VLOOKUP($G186, Factor!$C$4:$N$36, 4, 0)*INDEX(Factor!$C$41:$N$87, _xlfn.XMATCH($C186, Factor!$C$41:$C$87, -1), 4)</f>
        <v>8</v>
      </c>
      <c r="V186" s="18" cm="1">
        <f t="array" ref="V186">K186*VLOOKUP($G186, Factor!$C$4:$N$36, 5, 0)*INDEX(Factor!$C$41:$N$87, _xlfn.XMATCH($C186, Factor!$C$41:$C$87, -1), 5)</f>
        <v>22</v>
      </c>
      <c r="W186" s="18" cm="1">
        <f t="array" ref="W186">L186*VLOOKUP($G186, Factor!$C$4:$N$36, 6, 0)*INDEX(Factor!$C$41:$N$87, _xlfn.XMATCH($C186, Factor!$C$41:$C$87, -1), 6)</f>
        <v>22</v>
      </c>
      <c r="X186" s="18" cm="1">
        <f t="array" ref="X186">M186*VLOOKUP($G186, Factor!$C$4:$N$36, 7, 0)*INDEX(Factor!$C$41:$N$87, _xlfn.XMATCH($C186, Factor!$C$41:$C$87, -1), 7)</f>
        <v>15400.000000000002</v>
      </c>
      <c r="Y186" s="18" cm="1">
        <f t="array" ref="Y186">N186*VLOOKUP($G186, Factor!$C$4:$N$36, 8, 0)*INDEX(Factor!$C$41:$N$87, _xlfn.XMATCH($C186, Factor!$C$41:$C$87, -1), 8)</f>
        <v>660</v>
      </c>
      <c r="Z186" s="18" cm="1">
        <f t="array" ref="Z186">O186*VLOOKUP($G186, Factor!$C$4:$N$36, 9, 0)*INDEX(Factor!$C$41:$N$87, _xlfn.XMATCH($C186, Factor!$C$41:$C$87, -1), 9)</f>
        <v>11</v>
      </c>
      <c r="AA186" s="18" cm="1">
        <f t="array" ref="AA186">P186*VLOOKUP($G186, Factor!$C$4:$N$36, 10, 0)*INDEX(Factor!$C$41:$N$87, _xlfn.XMATCH($C186, Factor!$C$41:$C$87, -1), 10)</f>
        <v>2200</v>
      </c>
      <c r="AB186" s="18" cm="1">
        <f t="array" ref="AB186">Q186*VLOOKUP($G186, Factor!$C$4:$N$36, 11, 0)*INDEX(Factor!$C$41:$N$87, _xlfn.XMATCH($C186, Factor!$C$41:$C$87, -1), 11)</f>
        <v>7</v>
      </c>
      <c r="AC186" s="18" cm="1">
        <f t="array" ref="AC186">R186*VLOOKUP($G186, Factor!$C$4:$N$36, 12, 0)*INDEX(Factor!$C$41:$N$87, _xlfn.XMATCH($C186, Factor!$C$41:$C$87, -1), 12)</f>
        <v>7</v>
      </c>
      <c r="AD186" s="18"/>
    </row>
    <row r="187" spans="1:30" ht="15.75" customHeight="1" x14ac:dyDescent="0.2">
      <c r="A187" s="15" t="str">
        <f>"locomotive_"&amp; VLOOKUP(F187, Factor!$BK$4:$BL$6, 2, 0) &amp;"_"&amp;Locomotive!D187&amp;"_"&amp;VLOOKUP(E187, Factor!$BM$4:$BN$36, 2, 0)</f>
        <v>locomotive_Dz_T7_007</v>
      </c>
      <c r="B187" s="15" t="str">
        <f t="shared" si="4"/>
        <v>T7 시운 디젤기관차</v>
      </c>
      <c r="C187" s="15">
        <f>VLOOKUP(D187, Factor!$B$41:$C$50, 2, 0)</f>
        <v>70000</v>
      </c>
      <c r="D187" s="15" t="s">
        <v>325</v>
      </c>
      <c r="E187" s="41" t="s">
        <v>510</v>
      </c>
      <c r="F187" s="41" t="s">
        <v>503</v>
      </c>
      <c r="G187" s="41" t="str">
        <f t="shared" si="5"/>
        <v>시운 디젤</v>
      </c>
      <c r="H187" s="41">
        <v>1</v>
      </c>
      <c r="I187" s="41">
        <v>1</v>
      </c>
      <c r="J187" s="41">
        <v>1</v>
      </c>
      <c r="K187" s="41">
        <v>1</v>
      </c>
      <c r="L187" s="41">
        <v>1</v>
      </c>
      <c r="M187" s="41">
        <v>1</v>
      </c>
      <c r="N187" s="41">
        <v>1</v>
      </c>
      <c r="O187" s="41">
        <v>1</v>
      </c>
      <c r="P187" s="41">
        <v>1</v>
      </c>
      <c r="Q187" s="41">
        <v>1</v>
      </c>
      <c r="R187" s="41">
        <v>1</v>
      </c>
      <c r="S187" s="41" cm="1">
        <f t="array" ref="S187">H187*VLOOKUP($G187, Factor!$C$4:$N$36, 2, 0)*INDEX(Factor!$C$41:$N$87, _xlfn.XMATCH($C187, Factor!$C$41:$C$87, -1), 2)</f>
        <v>330</v>
      </c>
      <c r="T187" s="41" cm="1">
        <f t="array" ref="T187">I187*VLOOKUP($G187, Factor!$C$4:$N$36, 3, 0)*INDEX(Factor!$C$41:$N$87, _xlfn.XMATCH($C187, Factor!$C$41:$C$87, -1), 3)</f>
        <v>2640</v>
      </c>
      <c r="U187" s="41" cm="1">
        <f t="array" ref="U187">J187*VLOOKUP($G187, Factor!$C$4:$N$36, 4, 0)*INDEX(Factor!$C$41:$N$87, _xlfn.XMATCH($C187, Factor!$C$41:$C$87, -1), 4)</f>
        <v>8</v>
      </c>
      <c r="V187" s="41" cm="1">
        <f t="array" ref="V187">K187*VLOOKUP($G187, Factor!$C$4:$N$36, 5, 0)*INDEX(Factor!$C$41:$N$87, _xlfn.XMATCH($C187, Factor!$C$41:$C$87, -1), 5)</f>
        <v>17.600000000000001</v>
      </c>
      <c r="W187" s="41" cm="1">
        <f t="array" ref="W187">L187*VLOOKUP($G187, Factor!$C$4:$N$36, 6, 0)*INDEX(Factor!$C$41:$N$87, _xlfn.XMATCH($C187, Factor!$C$41:$C$87, -1), 6)</f>
        <v>22</v>
      </c>
      <c r="X187" s="41" cm="1">
        <f t="array" ref="X187">M187*VLOOKUP($G187, Factor!$C$4:$N$36, 7, 0)*INDEX(Factor!$C$41:$N$87, _xlfn.XMATCH($C187, Factor!$C$41:$C$87, -1), 7)</f>
        <v>33000</v>
      </c>
      <c r="Y187" s="41" cm="1">
        <f t="array" ref="Y187">N187*VLOOKUP($G187, Factor!$C$4:$N$36, 8, 0)*INDEX(Factor!$C$41:$N$87, _xlfn.XMATCH($C187, Factor!$C$41:$C$87, -1), 8)</f>
        <v>880.00000000000011</v>
      </c>
      <c r="Z187" s="41" cm="1">
        <f t="array" ref="Z187">O187*VLOOKUP($G187, Factor!$C$4:$N$36, 9, 0)*INDEX(Factor!$C$41:$N$87, _xlfn.XMATCH($C187, Factor!$C$41:$C$87, -1), 9)</f>
        <v>22</v>
      </c>
      <c r="AA187" s="41" cm="1">
        <f t="array" ref="AA187">P187*VLOOKUP($G187, Factor!$C$4:$N$36, 10, 0)*INDEX(Factor!$C$41:$N$87, _xlfn.XMATCH($C187, Factor!$C$41:$C$87, -1), 10)</f>
        <v>3300.0000000000005</v>
      </c>
      <c r="AB187" s="41" cm="1">
        <f t="array" ref="AB187">Q187*VLOOKUP($G187, Factor!$C$4:$N$36, 11, 0)*INDEX(Factor!$C$41:$N$87, _xlfn.XMATCH($C187, Factor!$C$41:$C$87, -1), 11)</f>
        <v>7</v>
      </c>
      <c r="AC187" s="41" cm="1">
        <f t="array" ref="AC187">R187*VLOOKUP($G187, Factor!$C$4:$N$36, 12, 0)*INDEX(Factor!$C$41:$N$87, _xlfn.XMATCH($C187, Factor!$C$41:$C$87, -1), 12)</f>
        <v>7</v>
      </c>
      <c r="AD187" s="41"/>
    </row>
    <row r="188" spans="1:30" ht="15.75" customHeight="1" x14ac:dyDescent="0.2">
      <c r="A188" s="18" t="str">
        <f>"locomotive_"&amp; VLOOKUP(F188, Factor!$BK$4:$BL$6, 2, 0) &amp;"_"&amp;Locomotive!D188&amp;"_"&amp;VLOOKUP(E188, Factor!$BM$4:$BN$36, 2, 0)</f>
        <v>locomotive_St_T7_008</v>
      </c>
      <c r="B188" s="18" t="str">
        <f t="shared" si="4"/>
        <v>T7 경량 증기기관차</v>
      </c>
      <c r="C188" s="18">
        <f>VLOOKUP(D188, Factor!$B$41:$C$50, 2, 0)</f>
        <v>70000</v>
      </c>
      <c r="D188" s="18" t="s">
        <v>325</v>
      </c>
      <c r="E188" s="18" t="s">
        <v>511</v>
      </c>
      <c r="F188" s="18" t="s">
        <v>505</v>
      </c>
      <c r="G188" s="18" t="str">
        <f t="shared" si="5"/>
        <v>경량 증기</v>
      </c>
      <c r="H188" s="18">
        <v>1</v>
      </c>
      <c r="I188" s="18">
        <v>1</v>
      </c>
      <c r="J188" s="18">
        <v>1</v>
      </c>
      <c r="K188" s="18">
        <v>1</v>
      </c>
      <c r="L188" s="18">
        <v>1</v>
      </c>
      <c r="M188" s="18">
        <v>1</v>
      </c>
      <c r="N188" s="18">
        <v>1</v>
      </c>
      <c r="O188" s="18">
        <v>1</v>
      </c>
      <c r="P188" s="18">
        <v>1</v>
      </c>
      <c r="Q188" s="18">
        <v>1</v>
      </c>
      <c r="R188" s="18">
        <v>1</v>
      </c>
      <c r="S188" s="18" cm="1">
        <f t="array" ref="S188">H188*VLOOKUP($G188, Factor!$C$4:$N$36, 2, 0)*INDEX(Factor!$C$41:$N$87, _xlfn.XMATCH($C188, Factor!$C$41:$C$87, -1), 2)</f>
        <v>220.00000000000003</v>
      </c>
      <c r="T188" s="18" cm="1">
        <f t="array" ref="T188">I188*VLOOKUP($G188, Factor!$C$4:$N$36, 3, 0)*INDEX(Factor!$C$41:$N$87, _xlfn.XMATCH($C188, Factor!$C$41:$C$87, -1), 3)</f>
        <v>1980.0000000000002</v>
      </c>
      <c r="U188" s="18" cm="1">
        <f t="array" ref="U188">J188*VLOOKUP($G188, Factor!$C$4:$N$36, 4, 0)*INDEX(Factor!$C$41:$N$87, _xlfn.XMATCH($C188, Factor!$C$41:$C$87, -1), 4)</f>
        <v>8</v>
      </c>
      <c r="V188" s="18" cm="1">
        <f t="array" ref="V188">K188*VLOOKUP($G188, Factor!$C$4:$N$36, 5, 0)*INDEX(Factor!$C$41:$N$87, _xlfn.XMATCH($C188, Factor!$C$41:$C$87, -1), 5)</f>
        <v>11</v>
      </c>
      <c r="W188" s="18" cm="1">
        <f t="array" ref="W188">L188*VLOOKUP($G188, Factor!$C$4:$N$36, 6, 0)*INDEX(Factor!$C$41:$N$87, _xlfn.XMATCH($C188, Factor!$C$41:$C$87, -1), 6)</f>
        <v>22</v>
      </c>
      <c r="X188" s="18" cm="1">
        <f t="array" ref="X188">M188*VLOOKUP($G188, Factor!$C$4:$N$36, 7, 0)*INDEX(Factor!$C$41:$N$87, _xlfn.XMATCH($C188, Factor!$C$41:$C$87, -1), 7)</f>
        <v>17600</v>
      </c>
      <c r="Y188" s="18" cm="1">
        <f t="array" ref="Y188">N188*VLOOKUP($G188, Factor!$C$4:$N$36, 8, 0)*INDEX(Factor!$C$41:$N$87, _xlfn.XMATCH($C188, Factor!$C$41:$C$87, -1), 8)</f>
        <v>2200</v>
      </c>
      <c r="Z188" s="18" cm="1">
        <f t="array" ref="Z188">O188*VLOOKUP($G188, Factor!$C$4:$N$36, 9, 0)*INDEX(Factor!$C$41:$N$87, _xlfn.XMATCH($C188, Factor!$C$41:$C$87, -1), 9)</f>
        <v>66</v>
      </c>
      <c r="AA188" s="18" cm="1">
        <f t="array" ref="AA188">P188*VLOOKUP($G188, Factor!$C$4:$N$36, 10, 0)*INDEX(Factor!$C$41:$N$87, _xlfn.XMATCH($C188, Factor!$C$41:$C$87, -1), 10)</f>
        <v>2200</v>
      </c>
      <c r="AB188" s="18" cm="1">
        <f t="array" ref="AB188">Q188*VLOOKUP($G188, Factor!$C$4:$N$36, 11, 0)*INDEX(Factor!$C$41:$N$87, _xlfn.XMATCH($C188, Factor!$C$41:$C$87, -1), 11)</f>
        <v>7</v>
      </c>
      <c r="AC188" s="18" cm="1">
        <f t="array" ref="AC188">R188*VLOOKUP($G188, Factor!$C$4:$N$36, 12, 0)*INDEX(Factor!$C$41:$N$87, _xlfn.XMATCH($C188, Factor!$C$41:$C$87, -1), 12)</f>
        <v>7</v>
      </c>
      <c r="AD188" s="18"/>
    </row>
    <row r="189" spans="1:30" ht="15.75" customHeight="1" x14ac:dyDescent="0.2">
      <c r="A189" s="15" t="str">
        <f>"locomotive_"&amp; VLOOKUP(F189, Factor!$BK$4:$BL$6, 2, 0) &amp;"_"&amp;Locomotive!D189&amp;"_"&amp;VLOOKUP(E189, Factor!$BM$4:$BN$36, 2, 0)</f>
        <v>locomotive_El_T7_008</v>
      </c>
      <c r="B189" s="15" t="str">
        <f t="shared" si="4"/>
        <v>T7 경량 전기기관차</v>
      </c>
      <c r="C189" s="15">
        <f>VLOOKUP(D189, Factor!$B$41:$C$50, 2, 0)</f>
        <v>70000</v>
      </c>
      <c r="D189" s="15" t="s">
        <v>325</v>
      </c>
      <c r="E189" s="41" t="s">
        <v>511</v>
      </c>
      <c r="F189" s="41" t="s">
        <v>502</v>
      </c>
      <c r="G189" s="41" t="str">
        <f t="shared" si="5"/>
        <v>경량 전기</v>
      </c>
      <c r="H189" s="41">
        <v>1</v>
      </c>
      <c r="I189" s="41">
        <v>1</v>
      </c>
      <c r="J189" s="41">
        <v>1</v>
      </c>
      <c r="K189" s="41">
        <v>1</v>
      </c>
      <c r="L189" s="41">
        <v>1</v>
      </c>
      <c r="M189" s="41">
        <v>1</v>
      </c>
      <c r="N189" s="41">
        <v>1</v>
      </c>
      <c r="O189" s="41">
        <v>1</v>
      </c>
      <c r="P189" s="41">
        <v>1</v>
      </c>
      <c r="Q189" s="41">
        <v>1</v>
      </c>
      <c r="R189" s="41">
        <v>1</v>
      </c>
      <c r="S189" s="41" cm="1">
        <f t="array" ref="S189">H189*VLOOKUP($G189, Factor!$C$4:$N$36, 2, 0)*INDEX(Factor!$C$41:$N$87, _xlfn.XMATCH($C189, Factor!$C$41:$C$87, -1), 2)</f>
        <v>440.00000000000006</v>
      </c>
      <c r="T189" s="41" cm="1">
        <f t="array" ref="T189">I189*VLOOKUP($G189, Factor!$C$4:$N$36, 3, 0)*INDEX(Factor!$C$41:$N$87, _xlfn.XMATCH($C189, Factor!$C$41:$C$87, -1), 3)</f>
        <v>1540.0000000000002</v>
      </c>
      <c r="U189" s="41" cm="1">
        <f t="array" ref="U189">J189*VLOOKUP($G189, Factor!$C$4:$N$36, 4, 0)*INDEX(Factor!$C$41:$N$87, _xlfn.XMATCH($C189, Factor!$C$41:$C$87, -1), 4)</f>
        <v>8</v>
      </c>
      <c r="V189" s="41" cm="1">
        <f t="array" ref="V189">K189*VLOOKUP($G189, Factor!$C$4:$N$36, 5, 0)*INDEX(Factor!$C$41:$N$87, _xlfn.XMATCH($C189, Factor!$C$41:$C$87, -1), 5)</f>
        <v>19.8</v>
      </c>
      <c r="W189" s="41" cm="1">
        <f t="array" ref="W189">L189*VLOOKUP($G189, Factor!$C$4:$N$36, 6, 0)*INDEX(Factor!$C$41:$N$87, _xlfn.XMATCH($C189, Factor!$C$41:$C$87, -1), 6)</f>
        <v>22</v>
      </c>
      <c r="X189" s="41" cm="1">
        <f t="array" ref="X189">M189*VLOOKUP($G189, Factor!$C$4:$N$36, 7, 0)*INDEX(Factor!$C$41:$N$87, _xlfn.XMATCH($C189, Factor!$C$41:$C$87, -1), 7)</f>
        <v>11000</v>
      </c>
      <c r="Y189" s="41" cm="1">
        <f t="array" ref="Y189">N189*VLOOKUP($G189, Factor!$C$4:$N$36, 8, 0)*INDEX(Factor!$C$41:$N$87, _xlfn.XMATCH($C189, Factor!$C$41:$C$87, -1), 8)</f>
        <v>1540.0000000000002</v>
      </c>
      <c r="Z189" s="41" cm="1">
        <f t="array" ref="Z189">O189*VLOOKUP($G189, Factor!$C$4:$N$36, 9, 0)*INDEX(Factor!$C$41:$N$87, _xlfn.XMATCH($C189, Factor!$C$41:$C$87, -1), 9)</f>
        <v>11</v>
      </c>
      <c r="AA189" s="41" cm="1">
        <f t="array" ref="AA189">P189*VLOOKUP($G189, Factor!$C$4:$N$36, 10, 0)*INDEX(Factor!$C$41:$N$87, _xlfn.XMATCH($C189, Factor!$C$41:$C$87, -1), 10)</f>
        <v>1540.0000000000002</v>
      </c>
      <c r="AB189" s="41" cm="1">
        <f t="array" ref="AB189">Q189*VLOOKUP($G189, Factor!$C$4:$N$36, 11, 0)*INDEX(Factor!$C$41:$N$87, _xlfn.XMATCH($C189, Factor!$C$41:$C$87, -1), 11)</f>
        <v>7</v>
      </c>
      <c r="AC189" s="41" cm="1">
        <f t="array" ref="AC189">R189*VLOOKUP($G189, Factor!$C$4:$N$36, 12, 0)*INDEX(Factor!$C$41:$N$87, _xlfn.XMATCH($C189, Factor!$C$41:$C$87, -1), 12)</f>
        <v>7</v>
      </c>
      <c r="AD189" s="41"/>
    </row>
    <row r="190" spans="1:30" ht="15.75" customHeight="1" x14ac:dyDescent="0.2">
      <c r="A190" s="18" t="str">
        <f>"locomotive_"&amp; VLOOKUP(F190, Factor!$BK$4:$BL$6, 2, 0) &amp;"_"&amp;Locomotive!D190&amp;"_"&amp;VLOOKUP(E190, Factor!$BM$4:$BN$36, 2, 0)</f>
        <v>locomotive_Dz_T7_008</v>
      </c>
      <c r="B190" s="18" t="str">
        <f t="shared" si="4"/>
        <v>T7 경량 디젤기관차</v>
      </c>
      <c r="C190" s="18">
        <f>VLOOKUP(D190, Factor!$B$41:$C$50, 2, 0)</f>
        <v>70000</v>
      </c>
      <c r="D190" s="18" t="s">
        <v>325</v>
      </c>
      <c r="E190" s="18" t="s">
        <v>511</v>
      </c>
      <c r="F190" s="18" t="s">
        <v>503</v>
      </c>
      <c r="G190" s="18" t="str">
        <f t="shared" si="5"/>
        <v>경량 디젤</v>
      </c>
      <c r="H190" s="18">
        <v>1</v>
      </c>
      <c r="I190" s="18">
        <v>1</v>
      </c>
      <c r="J190" s="18">
        <v>1</v>
      </c>
      <c r="K190" s="18">
        <v>1</v>
      </c>
      <c r="L190" s="18">
        <v>1</v>
      </c>
      <c r="M190" s="18">
        <v>1</v>
      </c>
      <c r="N190" s="18">
        <v>1</v>
      </c>
      <c r="O190" s="18">
        <v>1</v>
      </c>
      <c r="P190" s="18">
        <v>1</v>
      </c>
      <c r="Q190" s="18">
        <v>1</v>
      </c>
      <c r="R190" s="18">
        <v>1</v>
      </c>
      <c r="S190" s="18" cm="1">
        <f t="array" ref="S190">H190*VLOOKUP($G190, Factor!$C$4:$N$36, 2, 0)*INDEX(Factor!$C$41:$N$87, _xlfn.XMATCH($C190, Factor!$C$41:$C$87, -1), 2)</f>
        <v>330</v>
      </c>
      <c r="T190" s="18" cm="1">
        <f t="array" ref="T190">I190*VLOOKUP($G190, Factor!$C$4:$N$36, 3, 0)*INDEX(Factor!$C$41:$N$87, _xlfn.XMATCH($C190, Factor!$C$41:$C$87, -1), 3)</f>
        <v>2420</v>
      </c>
      <c r="U190" s="18" cm="1">
        <f t="array" ref="U190">J190*VLOOKUP($G190, Factor!$C$4:$N$36, 4, 0)*INDEX(Factor!$C$41:$N$87, _xlfn.XMATCH($C190, Factor!$C$41:$C$87, -1), 4)</f>
        <v>8</v>
      </c>
      <c r="V190" s="18" cm="1">
        <f t="array" ref="V190">K190*VLOOKUP($G190, Factor!$C$4:$N$36, 5, 0)*INDEX(Factor!$C$41:$N$87, _xlfn.XMATCH($C190, Factor!$C$41:$C$87, -1), 5)</f>
        <v>15.400000000000002</v>
      </c>
      <c r="W190" s="18" cm="1">
        <f t="array" ref="W190">L190*VLOOKUP($G190, Factor!$C$4:$N$36, 6, 0)*INDEX(Factor!$C$41:$N$87, _xlfn.XMATCH($C190, Factor!$C$41:$C$87, -1), 6)</f>
        <v>22</v>
      </c>
      <c r="X190" s="18" cm="1">
        <f t="array" ref="X190">M190*VLOOKUP($G190, Factor!$C$4:$N$36, 7, 0)*INDEX(Factor!$C$41:$N$87, _xlfn.XMATCH($C190, Factor!$C$41:$C$87, -1), 7)</f>
        <v>26400.000000000004</v>
      </c>
      <c r="Y190" s="18" cm="1">
        <f t="array" ref="Y190">N190*VLOOKUP($G190, Factor!$C$4:$N$36, 8, 0)*INDEX(Factor!$C$41:$N$87, _xlfn.XMATCH($C190, Factor!$C$41:$C$87, -1), 8)</f>
        <v>1760.0000000000002</v>
      </c>
      <c r="Z190" s="18" cm="1">
        <f t="array" ref="Z190">O190*VLOOKUP($G190, Factor!$C$4:$N$36, 9, 0)*INDEX(Factor!$C$41:$N$87, _xlfn.XMATCH($C190, Factor!$C$41:$C$87, -1), 9)</f>
        <v>22</v>
      </c>
      <c r="AA190" s="18" cm="1">
        <f t="array" ref="AA190">P190*VLOOKUP($G190, Factor!$C$4:$N$36, 10, 0)*INDEX(Factor!$C$41:$N$87, _xlfn.XMATCH($C190, Factor!$C$41:$C$87, -1), 10)</f>
        <v>1760.0000000000002</v>
      </c>
      <c r="AB190" s="18" cm="1">
        <f t="array" ref="AB190">Q190*VLOOKUP($G190, Factor!$C$4:$N$36, 11, 0)*INDEX(Factor!$C$41:$N$87, _xlfn.XMATCH($C190, Factor!$C$41:$C$87, -1), 11)</f>
        <v>7</v>
      </c>
      <c r="AC190" s="18" cm="1">
        <f t="array" ref="AC190">R190*VLOOKUP($G190, Factor!$C$4:$N$36, 12, 0)*INDEX(Factor!$C$41:$N$87, _xlfn.XMATCH($C190, Factor!$C$41:$C$87, -1), 12)</f>
        <v>7</v>
      </c>
      <c r="AD190" s="18"/>
    </row>
    <row r="191" spans="1:30" ht="15.75" customHeight="1" x14ac:dyDescent="0.2">
      <c r="A191" s="15" t="str">
        <f>"locomotive_"&amp; VLOOKUP(F191, Factor!$BK$4:$BL$6, 2, 0) &amp;"_"&amp;Locomotive!D191&amp;"_"&amp;VLOOKUP(E191, Factor!$BM$4:$BN$36, 2, 0)</f>
        <v>locomotive_St_T7_009</v>
      </c>
      <c r="B191" s="15" t="str">
        <f t="shared" si="4"/>
        <v>T7 견인 증기기관차</v>
      </c>
      <c r="C191" s="15">
        <f>VLOOKUP(D191, Factor!$B$41:$C$50, 2, 0)</f>
        <v>70000</v>
      </c>
      <c r="D191" s="15" t="s">
        <v>325</v>
      </c>
      <c r="E191" s="41" t="s">
        <v>512</v>
      </c>
      <c r="F191" s="41" t="s">
        <v>505</v>
      </c>
      <c r="G191" s="41" t="str">
        <f t="shared" si="5"/>
        <v>견인 증기</v>
      </c>
      <c r="H191" s="41">
        <v>1</v>
      </c>
      <c r="I191" s="41">
        <v>1</v>
      </c>
      <c r="J191" s="41">
        <v>1</v>
      </c>
      <c r="K191" s="41">
        <v>1</v>
      </c>
      <c r="L191" s="41">
        <v>1</v>
      </c>
      <c r="M191" s="41">
        <v>1</v>
      </c>
      <c r="N191" s="41">
        <v>1</v>
      </c>
      <c r="O191" s="41">
        <v>1</v>
      </c>
      <c r="P191" s="41">
        <v>1</v>
      </c>
      <c r="Q191" s="41">
        <v>1</v>
      </c>
      <c r="R191" s="41">
        <v>1</v>
      </c>
      <c r="S191" s="41" cm="1">
        <f t="array" ref="S191">H191*VLOOKUP($G191, Factor!$C$4:$N$36, 2, 0)*INDEX(Factor!$C$41:$N$87, _xlfn.XMATCH($C191, Factor!$C$41:$C$87, -1), 2)</f>
        <v>198.00000000000003</v>
      </c>
      <c r="T191" s="41" cm="1">
        <f t="array" ref="T191">I191*VLOOKUP($G191, Factor!$C$4:$N$36, 3, 0)*INDEX(Factor!$C$41:$N$87, _xlfn.XMATCH($C191, Factor!$C$41:$C$87, -1), 3)</f>
        <v>2200</v>
      </c>
      <c r="U191" s="41" cm="1">
        <f t="array" ref="U191">J191*VLOOKUP($G191, Factor!$C$4:$N$36, 4, 0)*INDEX(Factor!$C$41:$N$87, _xlfn.XMATCH($C191, Factor!$C$41:$C$87, -1), 4)</f>
        <v>8</v>
      </c>
      <c r="V191" s="41" cm="1">
        <f t="array" ref="V191">K191*VLOOKUP($G191, Factor!$C$4:$N$36, 5, 0)*INDEX(Factor!$C$41:$N$87, _xlfn.XMATCH($C191, Factor!$C$41:$C$87, -1), 5)</f>
        <v>6.6000000000000005</v>
      </c>
      <c r="W191" s="41" cm="1">
        <f t="array" ref="W191">L191*VLOOKUP($G191, Factor!$C$4:$N$36, 6, 0)*INDEX(Factor!$C$41:$N$87, _xlfn.XMATCH($C191, Factor!$C$41:$C$87, -1), 6)</f>
        <v>22</v>
      </c>
      <c r="X191" s="41" cm="1">
        <f t="array" ref="X191">M191*VLOOKUP($G191, Factor!$C$4:$N$36, 7, 0)*INDEX(Factor!$C$41:$N$87, _xlfn.XMATCH($C191, Factor!$C$41:$C$87, -1), 7)</f>
        <v>33000</v>
      </c>
      <c r="Y191" s="41" cm="1">
        <f t="array" ref="Y191">N191*VLOOKUP($G191, Factor!$C$4:$N$36, 8, 0)*INDEX(Factor!$C$41:$N$87, _xlfn.XMATCH($C191, Factor!$C$41:$C$87, -1), 8)</f>
        <v>2200</v>
      </c>
      <c r="Z191" s="41" cm="1">
        <f t="array" ref="Z191">O191*VLOOKUP($G191, Factor!$C$4:$N$36, 9, 0)*INDEX(Factor!$C$41:$N$87, _xlfn.XMATCH($C191, Factor!$C$41:$C$87, -1), 9)</f>
        <v>66</v>
      </c>
      <c r="AA191" s="41" cm="1">
        <f t="array" ref="AA191">P191*VLOOKUP($G191, Factor!$C$4:$N$36, 10, 0)*INDEX(Factor!$C$41:$N$87, _xlfn.XMATCH($C191, Factor!$C$41:$C$87, -1), 10)</f>
        <v>2200</v>
      </c>
      <c r="AB191" s="41" cm="1">
        <f t="array" ref="AB191">Q191*VLOOKUP($G191, Factor!$C$4:$N$36, 11, 0)*INDEX(Factor!$C$41:$N$87, _xlfn.XMATCH($C191, Factor!$C$41:$C$87, -1), 11)</f>
        <v>7</v>
      </c>
      <c r="AC191" s="41" cm="1">
        <f t="array" ref="AC191">R191*VLOOKUP($G191, Factor!$C$4:$N$36, 12, 0)*INDEX(Factor!$C$41:$N$87, _xlfn.XMATCH($C191, Factor!$C$41:$C$87, -1), 12)</f>
        <v>7</v>
      </c>
      <c r="AD191" s="41"/>
    </row>
    <row r="192" spans="1:30" ht="15.75" customHeight="1" x14ac:dyDescent="0.2">
      <c r="A192" s="18" t="str">
        <f>"locomotive_"&amp; VLOOKUP(F192, Factor!$BK$4:$BL$6, 2, 0) &amp;"_"&amp;Locomotive!D192&amp;"_"&amp;VLOOKUP(E192, Factor!$BM$4:$BN$36, 2, 0)</f>
        <v>locomotive_El_T7_009</v>
      </c>
      <c r="B192" s="18" t="str">
        <f t="shared" si="4"/>
        <v>T7 견인 전기기관차</v>
      </c>
      <c r="C192" s="18">
        <f>VLOOKUP(D192, Factor!$B$41:$C$50, 2, 0)</f>
        <v>70000</v>
      </c>
      <c r="D192" s="18" t="s">
        <v>325</v>
      </c>
      <c r="E192" s="18" t="s">
        <v>512</v>
      </c>
      <c r="F192" s="18" t="s">
        <v>502</v>
      </c>
      <c r="G192" s="18" t="str">
        <f t="shared" si="5"/>
        <v>견인 전기</v>
      </c>
      <c r="H192" s="18">
        <v>1</v>
      </c>
      <c r="I192" s="18">
        <v>1</v>
      </c>
      <c r="J192" s="18">
        <v>1</v>
      </c>
      <c r="K192" s="18">
        <v>1</v>
      </c>
      <c r="L192" s="18">
        <v>1</v>
      </c>
      <c r="M192" s="18">
        <v>1</v>
      </c>
      <c r="N192" s="18">
        <v>1</v>
      </c>
      <c r="O192" s="18">
        <v>1</v>
      </c>
      <c r="P192" s="18">
        <v>1</v>
      </c>
      <c r="Q192" s="18">
        <v>1</v>
      </c>
      <c r="R192" s="18">
        <v>1</v>
      </c>
      <c r="S192" s="18" cm="1">
        <f t="array" ref="S192">H192*VLOOKUP($G192, Factor!$C$4:$N$36, 2, 0)*INDEX(Factor!$C$41:$N$87, _xlfn.XMATCH($C192, Factor!$C$41:$C$87, -1), 2)</f>
        <v>396.00000000000006</v>
      </c>
      <c r="T192" s="18" cm="1">
        <f t="array" ref="T192">I192*VLOOKUP($G192, Factor!$C$4:$N$36, 3, 0)*INDEX(Factor!$C$41:$N$87, _xlfn.XMATCH($C192, Factor!$C$41:$C$87, -1), 3)</f>
        <v>1760.0000000000002</v>
      </c>
      <c r="U192" s="18" cm="1">
        <f t="array" ref="U192">J192*VLOOKUP($G192, Factor!$C$4:$N$36, 4, 0)*INDEX(Factor!$C$41:$N$87, _xlfn.XMATCH($C192, Factor!$C$41:$C$87, -1), 4)</f>
        <v>8</v>
      </c>
      <c r="V192" s="18" cm="1">
        <f t="array" ref="V192">K192*VLOOKUP($G192, Factor!$C$4:$N$36, 5, 0)*INDEX(Factor!$C$41:$N$87, _xlfn.XMATCH($C192, Factor!$C$41:$C$87, -1), 5)</f>
        <v>15.400000000000002</v>
      </c>
      <c r="W192" s="18" cm="1">
        <f t="array" ref="W192">L192*VLOOKUP($G192, Factor!$C$4:$N$36, 6, 0)*INDEX(Factor!$C$41:$N$87, _xlfn.XMATCH($C192, Factor!$C$41:$C$87, -1), 6)</f>
        <v>22</v>
      </c>
      <c r="X192" s="18" cm="1">
        <f t="array" ref="X192">M192*VLOOKUP($G192, Factor!$C$4:$N$36, 7, 0)*INDEX(Factor!$C$41:$N$87, _xlfn.XMATCH($C192, Factor!$C$41:$C$87, -1), 7)</f>
        <v>26400.000000000004</v>
      </c>
      <c r="Y192" s="18" cm="1">
        <f t="array" ref="Y192">N192*VLOOKUP($G192, Factor!$C$4:$N$36, 8, 0)*INDEX(Factor!$C$41:$N$87, _xlfn.XMATCH($C192, Factor!$C$41:$C$87, -1), 8)</f>
        <v>1540.0000000000002</v>
      </c>
      <c r="Z192" s="18" cm="1">
        <f t="array" ref="Z192">O192*VLOOKUP($G192, Factor!$C$4:$N$36, 9, 0)*INDEX(Factor!$C$41:$N$87, _xlfn.XMATCH($C192, Factor!$C$41:$C$87, -1), 9)</f>
        <v>11</v>
      </c>
      <c r="AA192" s="18" cm="1">
        <f t="array" ref="AA192">P192*VLOOKUP($G192, Factor!$C$4:$N$36, 10, 0)*INDEX(Factor!$C$41:$N$87, _xlfn.XMATCH($C192, Factor!$C$41:$C$87, -1), 10)</f>
        <v>1540.0000000000002</v>
      </c>
      <c r="AB192" s="18" cm="1">
        <f t="array" ref="AB192">Q192*VLOOKUP($G192, Factor!$C$4:$N$36, 11, 0)*INDEX(Factor!$C$41:$N$87, _xlfn.XMATCH($C192, Factor!$C$41:$C$87, -1), 11)</f>
        <v>7</v>
      </c>
      <c r="AC192" s="18" cm="1">
        <f t="array" ref="AC192">R192*VLOOKUP($G192, Factor!$C$4:$N$36, 12, 0)*INDEX(Factor!$C$41:$N$87, _xlfn.XMATCH($C192, Factor!$C$41:$C$87, -1), 12)</f>
        <v>7</v>
      </c>
      <c r="AD192" s="18"/>
    </row>
    <row r="193" spans="1:30" ht="15.75" customHeight="1" x14ac:dyDescent="0.2">
      <c r="A193" s="15" t="str">
        <f>"locomotive_"&amp; VLOOKUP(F193, Factor!$BK$4:$BL$6, 2, 0) &amp;"_"&amp;Locomotive!D193&amp;"_"&amp;VLOOKUP(E193, Factor!$BM$4:$BN$36, 2, 0)</f>
        <v>locomotive_Dz_T7_009</v>
      </c>
      <c r="B193" s="15" t="str">
        <f t="shared" ref="B193:B256" si="6">D193&amp;" "&amp;G193&amp;"기관차"</f>
        <v>T7 견인 디젤기관차</v>
      </c>
      <c r="C193" s="15">
        <f>VLOOKUP(D193, Factor!$B$41:$C$50, 2, 0)</f>
        <v>70000</v>
      </c>
      <c r="D193" s="15" t="s">
        <v>325</v>
      </c>
      <c r="E193" s="41" t="s">
        <v>512</v>
      </c>
      <c r="F193" s="41" t="s">
        <v>503</v>
      </c>
      <c r="G193" s="41" t="str">
        <f t="shared" ref="G193:G256" si="7">E193&amp;" "&amp;F193</f>
        <v>견인 디젤</v>
      </c>
      <c r="H193" s="41">
        <v>1</v>
      </c>
      <c r="I193" s="41">
        <v>1</v>
      </c>
      <c r="J193" s="41">
        <v>1</v>
      </c>
      <c r="K193" s="41">
        <v>1</v>
      </c>
      <c r="L193" s="41">
        <v>1</v>
      </c>
      <c r="M193" s="41">
        <v>1</v>
      </c>
      <c r="N193" s="41">
        <v>1</v>
      </c>
      <c r="O193" s="41">
        <v>1</v>
      </c>
      <c r="P193" s="41">
        <v>1</v>
      </c>
      <c r="Q193" s="41">
        <v>1</v>
      </c>
      <c r="R193" s="41">
        <v>1</v>
      </c>
      <c r="S193" s="41" cm="1">
        <f t="array" ref="S193">H193*VLOOKUP($G193, Factor!$C$4:$N$36, 2, 0)*INDEX(Factor!$C$41:$N$87, _xlfn.XMATCH($C193, Factor!$C$41:$C$87, -1), 2)</f>
        <v>264</v>
      </c>
      <c r="T193" s="41" cm="1">
        <f t="array" ref="T193">I193*VLOOKUP($G193, Factor!$C$4:$N$36, 3, 0)*INDEX(Factor!$C$41:$N$87, _xlfn.XMATCH($C193, Factor!$C$41:$C$87, -1), 3)</f>
        <v>2640</v>
      </c>
      <c r="U193" s="41" cm="1">
        <f t="array" ref="U193">J193*VLOOKUP($G193, Factor!$C$4:$N$36, 4, 0)*INDEX(Factor!$C$41:$N$87, _xlfn.XMATCH($C193, Factor!$C$41:$C$87, -1), 4)</f>
        <v>8</v>
      </c>
      <c r="V193" s="41" cm="1">
        <f t="array" ref="V193">K193*VLOOKUP($G193, Factor!$C$4:$N$36, 5, 0)*INDEX(Factor!$C$41:$N$87, _xlfn.XMATCH($C193, Factor!$C$41:$C$87, -1), 5)</f>
        <v>11</v>
      </c>
      <c r="W193" s="41" cm="1">
        <f t="array" ref="W193">L193*VLOOKUP($G193, Factor!$C$4:$N$36, 6, 0)*INDEX(Factor!$C$41:$N$87, _xlfn.XMATCH($C193, Factor!$C$41:$C$87, -1), 6)</f>
        <v>22</v>
      </c>
      <c r="X193" s="41" cm="1">
        <f t="array" ref="X193">M193*VLOOKUP($G193, Factor!$C$4:$N$36, 7, 0)*INDEX(Factor!$C$41:$N$87, _xlfn.XMATCH($C193, Factor!$C$41:$C$87, -1), 7)</f>
        <v>44000</v>
      </c>
      <c r="Y193" s="41" cm="1">
        <f t="array" ref="Y193">N193*VLOOKUP($G193, Factor!$C$4:$N$36, 8, 0)*INDEX(Factor!$C$41:$N$87, _xlfn.XMATCH($C193, Factor!$C$41:$C$87, -1), 8)</f>
        <v>1760.0000000000002</v>
      </c>
      <c r="Z193" s="41" cm="1">
        <f t="array" ref="Z193">O193*VLOOKUP($G193, Factor!$C$4:$N$36, 9, 0)*INDEX(Factor!$C$41:$N$87, _xlfn.XMATCH($C193, Factor!$C$41:$C$87, -1), 9)</f>
        <v>22</v>
      </c>
      <c r="AA193" s="41" cm="1">
        <f t="array" ref="AA193">P193*VLOOKUP($G193, Factor!$C$4:$N$36, 10, 0)*INDEX(Factor!$C$41:$N$87, _xlfn.XMATCH($C193, Factor!$C$41:$C$87, -1), 10)</f>
        <v>1760.0000000000002</v>
      </c>
      <c r="AB193" s="41" cm="1">
        <f t="array" ref="AB193">Q193*VLOOKUP($G193, Factor!$C$4:$N$36, 11, 0)*INDEX(Factor!$C$41:$N$87, _xlfn.XMATCH($C193, Factor!$C$41:$C$87, -1), 11)</f>
        <v>7</v>
      </c>
      <c r="AC193" s="41" cm="1">
        <f t="array" ref="AC193">R193*VLOOKUP($G193, Factor!$C$4:$N$36, 12, 0)*INDEX(Factor!$C$41:$N$87, _xlfn.XMATCH($C193, Factor!$C$41:$C$87, -1), 12)</f>
        <v>7</v>
      </c>
      <c r="AD193" s="41"/>
    </row>
    <row r="194" spans="1:30" ht="15.75" customHeight="1" x14ac:dyDescent="0.2">
      <c r="A194" s="18" t="str">
        <f>"locomotive_"&amp; VLOOKUP(F194, Factor!$BK$4:$BL$6, 2, 0) &amp;"_"&amp;Locomotive!D194&amp;"_"&amp;VLOOKUP(E194, Factor!$BM$4:$BN$36, 2, 0)</f>
        <v>locomotive_St_T8_001</v>
      </c>
      <c r="B194" s="18" t="str">
        <f t="shared" si="6"/>
        <v>T8 표준 증기기관차</v>
      </c>
      <c r="C194" s="18">
        <f>VLOOKUP(D194, Factor!$B$41:$C$50, 2, 0)</f>
        <v>80000</v>
      </c>
      <c r="D194" s="18" t="s">
        <v>326</v>
      </c>
      <c r="E194" s="18" t="s">
        <v>501</v>
      </c>
      <c r="F194" s="18" t="s">
        <v>505</v>
      </c>
      <c r="G194" s="18" t="str">
        <f t="shared" si="7"/>
        <v>표준 증기</v>
      </c>
      <c r="H194" s="18">
        <v>1</v>
      </c>
      <c r="I194" s="18">
        <v>1</v>
      </c>
      <c r="J194" s="18">
        <v>1</v>
      </c>
      <c r="K194" s="18">
        <v>1</v>
      </c>
      <c r="L194" s="18">
        <v>1</v>
      </c>
      <c r="M194" s="18">
        <v>1</v>
      </c>
      <c r="N194" s="18">
        <v>1</v>
      </c>
      <c r="O194" s="18">
        <v>1</v>
      </c>
      <c r="P194" s="18">
        <v>1</v>
      </c>
      <c r="Q194" s="18">
        <v>1</v>
      </c>
      <c r="R194" s="18">
        <v>1</v>
      </c>
      <c r="S194" s="18" cm="1">
        <f t="array" ref="S194">H194*VLOOKUP($G194, Factor!$C$4:$N$36, 2, 0)*INDEX(Factor!$C$41:$N$87, _xlfn.XMATCH($C194, Factor!$C$41:$C$87, -1), 2)</f>
        <v>240</v>
      </c>
      <c r="T194" s="18" cm="1">
        <f t="array" ref="T194">I194*VLOOKUP($G194, Factor!$C$4:$N$36, 3, 0)*INDEX(Factor!$C$41:$N$87, _xlfn.XMATCH($C194, Factor!$C$41:$C$87, -1), 3)</f>
        <v>2400</v>
      </c>
      <c r="U194" s="18" cm="1">
        <f t="array" ref="U194">J194*VLOOKUP($G194, Factor!$C$4:$N$36, 4, 0)*INDEX(Factor!$C$41:$N$87, _xlfn.XMATCH($C194, Factor!$C$41:$C$87, -1), 4)</f>
        <v>9</v>
      </c>
      <c r="V194" s="18" cm="1">
        <f t="array" ref="V194">K194*VLOOKUP($G194, Factor!$C$4:$N$36, 5, 0)*INDEX(Factor!$C$41:$N$87, _xlfn.XMATCH($C194, Factor!$C$41:$C$87, -1), 5)</f>
        <v>9.6</v>
      </c>
      <c r="W194" s="18" cm="1">
        <f t="array" ref="W194">L194*VLOOKUP($G194, Factor!$C$4:$N$36, 6, 0)*INDEX(Factor!$C$41:$N$87, _xlfn.XMATCH($C194, Factor!$C$41:$C$87, -1), 6)</f>
        <v>24</v>
      </c>
      <c r="X194" s="18" cm="1">
        <f t="array" ref="X194">M194*VLOOKUP($G194, Factor!$C$4:$N$36, 7, 0)*INDEX(Factor!$C$41:$N$87, _xlfn.XMATCH($C194, Factor!$C$41:$C$87, -1), 7)</f>
        <v>24000</v>
      </c>
      <c r="Y194" s="18" cm="1">
        <f t="array" ref="Y194">N194*VLOOKUP($G194, Factor!$C$4:$N$36, 8, 0)*INDEX(Factor!$C$41:$N$87, _xlfn.XMATCH($C194, Factor!$C$41:$C$87, -1), 8)</f>
        <v>2400</v>
      </c>
      <c r="Z194" s="18" cm="1">
        <f t="array" ref="Z194">O194*VLOOKUP($G194, Factor!$C$4:$N$36, 9, 0)*INDEX(Factor!$C$41:$N$87, _xlfn.XMATCH($C194, Factor!$C$41:$C$87, -1), 9)</f>
        <v>72</v>
      </c>
      <c r="AA194" s="18" cm="1">
        <f t="array" ref="AA194">P194*VLOOKUP($G194, Factor!$C$4:$N$36, 10, 0)*INDEX(Factor!$C$41:$N$87, _xlfn.XMATCH($C194, Factor!$C$41:$C$87, -1), 10)</f>
        <v>2400</v>
      </c>
      <c r="AB194" s="18" cm="1">
        <f t="array" ref="AB194">Q194*VLOOKUP($G194, Factor!$C$4:$N$36, 11, 0)*INDEX(Factor!$C$41:$N$87, _xlfn.XMATCH($C194, Factor!$C$41:$C$87, -1), 11)</f>
        <v>8</v>
      </c>
      <c r="AC194" s="18" cm="1">
        <f t="array" ref="AC194">R194*VLOOKUP($G194, Factor!$C$4:$N$36, 12, 0)*INDEX(Factor!$C$41:$N$87, _xlfn.XMATCH($C194, Factor!$C$41:$C$87, -1), 12)</f>
        <v>8</v>
      </c>
      <c r="AD194" s="18"/>
    </row>
    <row r="195" spans="1:30" ht="15.75" customHeight="1" x14ac:dyDescent="0.2">
      <c r="A195" s="15" t="str">
        <f>"locomotive_"&amp; VLOOKUP(F195, Factor!$BK$4:$BL$6, 2, 0) &amp;"_"&amp;Locomotive!D195&amp;"_"&amp;VLOOKUP(E195, Factor!$BM$4:$BN$36, 2, 0)</f>
        <v>locomotive_El_T8_001</v>
      </c>
      <c r="B195" s="15" t="str">
        <f t="shared" si="6"/>
        <v>T8 표준 전기기관차</v>
      </c>
      <c r="C195" s="15">
        <f>VLOOKUP(D195, Factor!$B$41:$C$50, 2, 0)</f>
        <v>80000</v>
      </c>
      <c r="D195" s="15" t="s">
        <v>326</v>
      </c>
      <c r="E195" s="41" t="s">
        <v>501</v>
      </c>
      <c r="F195" s="41" t="s">
        <v>502</v>
      </c>
      <c r="G195" s="41" t="str">
        <f t="shared" si="7"/>
        <v>표준 전기</v>
      </c>
      <c r="H195" s="41">
        <v>1</v>
      </c>
      <c r="I195" s="41">
        <v>1</v>
      </c>
      <c r="J195" s="41">
        <v>1</v>
      </c>
      <c r="K195" s="41">
        <v>1</v>
      </c>
      <c r="L195" s="41">
        <v>1</v>
      </c>
      <c r="M195" s="41">
        <v>1</v>
      </c>
      <c r="N195" s="41">
        <v>1</v>
      </c>
      <c r="O195" s="41">
        <v>1</v>
      </c>
      <c r="P195" s="41">
        <v>1</v>
      </c>
      <c r="Q195" s="41">
        <v>1</v>
      </c>
      <c r="R195" s="41">
        <v>1</v>
      </c>
      <c r="S195" s="41" cm="1">
        <f t="array" ref="S195">H195*VLOOKUP($G195, Factor!$C$4:$N$36, 2, 0)*INDEX(Factor!$C$41:$N$87, _xlfn.XMATCH($C195, Factor!$C$41:$C$87, -1), 2)</f>
        <v>480</v>
      </c>
      <c r="T195" s="41" cm="1">
        <f t="array" ref="T195">I195*VLOOKUP($G195, Factor!$C$4:$N$36, 3, 0)*INDEX(Factor!$C$41:$N$87, _xlfn.XMATCH($C195, Factor!$C$41:$C$87, -1), 3)</f>
        <v>1920</v>
      </c>
      <c r="U195" s="41" cm="1">
        <f t="array" ref="U195">J195*VLOOKUP($G195, Factor!$C$4:$N$36, 4, 0)*INDEX(Factor!$C$41:$N$87, _xlfn.XMATCH($C195, Factor!$C$41:$C$87, -1), 4)</f>
        <v>9</v>
      </c>
      <c r="V195" s="41" cm="1">
        <f t="array" ref="V195">K195*VLOOKUP($G195, Factor!$C$4:$N$36, 5, 0)*INDEX(Factor!$C$41:$N$87, _xlfn.XMATCH($C195, Factor!$C$41:$C$87, -1), 5)</f>
        <v>19.2</v>
      </c>
      <c r="W195" s="41" cm="1">
        <f t="array" ref="W195">L195*VLOOKUP($G195, Factor!$C$4:$N$36, 6, 0)*INDEX(Factor!$C$41:$N$87, _xlfn.XMATCH($C195, Factor!$C$41:$C$87, -1), 6)</f>
        <v>24</v>
      </c>
      <c r="X195" s="41" cm="1">
        <f t="array" ref="X195">M195*VLOOKUP($G195, Factor!$C$4:$N$36, 7, 0)*INDEX(Factor!$C$41:$N$87, _xlfn.XMATCH($C195, Factor!$C$41:$C$87, -1), 7)</f>
        <v>16800</v>
      </c>
      <c r="Y195" s="41" cm="1">
        <f t="array" ref="Y195">N195*VLOOKUP($G195, Factor!$C$4:$N$36, 8, 0)*INDEX(Factor!$C$41:$N$87, _xlfn.XMATCH($C195, Factor!$C$41:$C$87, -1), 8)</f>
        <v>1680</v>
      </c>
      <c r="Z195" s="41" cm="1">
        <f t="array" ref="Z195">O195*VLOOKUP($G195, Factor!$C$4:$N$36, 9, 0)*INDEX(Factor!$C$41:$N$87, _xlfn.XMATCH($C195, Factor!$C$41:$C$87, -1), 9)</f>
        <v>12</v>
      </c>
      <c r="AA195" s="41" cm="1">
        <f t="array" ref="AA195">P195*VLOOKUP($G195, Factor!$C$4:$N$36, 10, 0)*INDEX(Factor!$C$41:$N$87, _xlfn.XMATCH($C195, Factor!$C$41:$C$87, -1), 10)</f>
        <v>1680</v>
      </c>
      <c r="AB195" s="41" cm="1">
        <f t="array" ref="AB195">Q195*VLOOKUP($G195, Factor!$C$4:$N$36, 11, 0)*INDEX(Factor!$C$41:$N$87, _xlfn.XMATCH($C195, Factor!$C$41:$C$87, -1), 11)</f>
        <v>8</v>
      </c>
      <c r="AC195" s="41" cm="1">
        <f t="array" ref="AC195">R195*VLOOKUP($G195, Factor!$C$4:$N$36, 12, 0)*INDEX(Factor!$C$41:$N$87, _xlfn.XMATCH($C195, Factor!$C$41:$C$87, -1), 12)</f>
        <v>8</v>
      </c>
      <c r="AD195" s="41"/>
    </row>
    <row r="196" spans="1:30" ht="15.75" customHeight="1" x14ac:dyDescent="0.2">
      <c r="A196" s="18" t="str">
        <f>"locomotive_"&amp; VLOOKUP(F196, Factor!$BK$4:$BL$6, 2, 0) &amp;"_"&amp;Locomotive!D196&amp;"_"&amp;VLOOKUP(E196, Factor!$BM$4:$BN$36, 2, 0)</f>
        <v>locomotive_Dz_T8_001</v>
      </c>
      <c r="B196" s="18" t="str">
        <f t="shared" si="6"/>
        <v>T8 표준 디젤기관차</v>
      </c>
      <c r="C196" s="18">
        <f>VLOOKUP(D196, Factor!$B$41:$C$50, 2, 0)</f>
        <v>80000</v>
      </c>
      <c r="D196" s="18" t="s">
        <v>326</v>
      </c>
      <c r="E196" s="18" t="s">
        <v>501</v>
      </c>
      <c r="F196" s="18" t="s">
        <v>503</v>
      </c>
      <c r="G196" s="18" t="str">
        <f t="shared" si="7"/>
        <v>표준 디젤</v>
      </c>
      <c r="H196" s="18">
        <v>1</v>
      </c>
      <c r="I196" s="18">
        <v>1</v>
      </c>
      <c r="J196" s="18">
        <v>1</v>
      </c>
      <c r="K196" s="18">
        <v>1</v>
      </c>
      <c r="L196" s="18">
        <v>1</v>
      </c>
      <c r="M196" s="18">
        <v>1</v>
      </c>
      <c r="N196" s="18">
        <v>1</v>
      </c>
      <c r="O196" s="18">
        <v>1</v>
      </c>
      <c r="P196" s="18">
        <v>1</v>
      </c>
      <c r="Q196" s="18">
        <v>1</v>
      </c>
      <c r="R196" s="18">
        <v>1</v>
      </c>
      <c r="S196" s="18" cm="1">
        <f t="array" ref="S196">H196*VLOOKUP($G196, Factor!$C$4:$N$36, 2, 0)*INDEX(Factor!$C$41:$N$87, _xlfn.XMATCH($C196, Factor!$C$41:$C$87, -1), 2)</f>
        <v>360</v>
      </c>
      <c r="T196" s="18" cm="1">
        <f t="array" ref="T196">I196*VLOOKUP($G196, Factor!$C$4:$N$36, 3, 0)*INDEX(Factor!$C$41:$N$87, _xlfn.XMATCH($C196, Factor!$C$41:$C$87, -1), 3)</f>
        <v>2880</v>
      </c>
      <c r="U196" s="18" cm="1">
        <f t="array" ref="U196">J196*VLOOKUP($G196, Factor!$C$4:$N$36, 4, 0)*INDEX(Factor!$C$41:$N$87, _xlfn.XMATCH($C196, Factor!$C$41:$C$87, -1), 4)</f>
        <v>9</v>
      </c>
      <c r="V196" s="18" cm="1">
        <f t="array" ref="V196">K196*VLOOKUP($G196, Factor!$C$4:$N$36, 5, 0)*INDEX(Factor!$C$41:$N$87, _xlfn.XMATCH($C196, Factor!$C$41:$C$87, -1), 5)</f>
        <v>14.399999999999999</v>
      </c>
      <c r="W196" s="18" cm="1">
        <f t="array" ref="W196">L196*VLOOKUP($G196, Factor!$C$4:$N$36, 6, 0)*INDEX(Factor!$C$41:$N$87, _xlfn.XMATCH($C196, Factor!$C$41:$C$87, -1), 6)</f>
        <v>24</v>
      </c>
      <c r="X196" s="18" cm="1">
        <f t="array" ref="X196">M196*VLOOKUP($G196, Factor!$C$4:$N$36, 7, 0)*INDEX(Factor!$C$41:$N$87, _xlfn.XMATCH($C196, Factor!$C$41:$C$87, -1), 7)</f>
        <v>36000</v>
      </c>
      <c r="Y196" s="18" cm="1">
        <f t="array" ref="Y196">N196*VLOOKUP($G196, Factor!$C$4:$N$36, 8, 0)*INDEX(Factor!$C$41:$N$87, _xlfn.XMATCH($C196, Factor!$C$41:$C$87, -1), 8)</f>
        <v>1920</v>
      </c>
      <c r="Z196" s="18" cm="1">
        <f t="array" ref="Z196">O196*VLOOKUP($G196, Factor!$C$4:$N$36, 9, 0)*INDEX(Factor!$C$41:$N$87, _xlfn.XMATCH($C196, Factor!$C$41:$C$87, -1), 9)</f>
        <v>24</v>
      </c>
      <c r="AA196" s="18" cm="1">
        <f t="array" ref="AA196">P196*VLOOKUP($G196, Factor!$C$4:$N$36, 10, 0)*INDEX(Factor!$C$41:$N$87, _xlfn.XMATCH($C196, Factor!$C$41:$C$87, -1), 10)</f>
        <v>1920</v>
      </c>
      <c r="AB196" s="18" cm="1">
        <f t="array" ref="AB196">Q196*VLOOKUP($G196, Factor!$C$4:$N$36, 11, 0)*INDEX(Factor!$C$41:$N$87, _xlfn.XMATCH($C196, Factor!$C$41:$C$87, -1), 11)</f>
        <v>8</v>
      </c>
      <c r="AC196" s="18" cm="1">
        <f t="array" ref="AC196">R196*VLOOKUP($G196, Factor!$C$4:$N$36, 12, 0)*INDEX(Factor!$C$41:$N$87, _xlfn.XMATCH($C196, Factor!$C$41:$C$87, -1), 12)</f>
        <v>8</v>
      </c>
      <c r="AD196" s="18"/>
    </row>
    <row r="197" spans="1:30" ht="15.75" customHeight="1" x14ac:dyDescent="0.2">
      <c r="A197" s="15" t="str">
        <f>"locomotive_"&amp; VLOOKUP(F197, Factor!$BK$4:$BL$6, 2, 0) &amp;"_"&amp;Locomotive!D197&amp;"_"&amp;VLOOKUP(E197, Factor!$BM$4:$BN$36, 2, 0)</f>
        <v>locomotive_St_T8_002</v>
      </c>
      <c r="B197" s="15" t="str">
        <f t="shared" si="6"/>
        <v>T8 쾌속 증기기관차</v>
      </c>
      <c r="C197" s="15">
        <f>VLOOKUP(D197, Factor!$B$41:$C$50, 2, 0)</f>
        <v>80000</v>
      </c>
      <c r="D197" s="15" t="s">
        <v>326</v>
      </c>
      <c r="E197" s="41" t="s">
        <v>504</v>
      </c>
      <c r="F197" s="41" t="s">
        <v>505</v>
      </c>
      <c r="G197" s="41" t="str">
        <f t="shared" si="7"/>
        <v>쾌속 증기</v>
      </c>
      <c r="H197" s="41">
        <v>1</v>
      </c>
      <c r="I197" s="41">
        <v>1</v>
      </c>
      <c r="J197" s="41">
        <v>1</v>
      </c>
      <c r="K197" s="41">
        <v>1</v>
      </c>
      <c r="L197" s="41">
        <v>1</v>
      </c>
      <c r="M197" s="41">
        <v>1</v>
      </c>
      <c r="N197" s="41">
        <v>1</v>
      </c>
      <c r="O197" s="41">
        <v>1</v>
      </c>
      <c r="P197" s="41">
        <v>1</v>
      </c>
      <c r="Q197" s="41">
        <v>1</v>
      </c>
      <c r="R197" s="41">
        <v>1</v>
      </c>
      <c r="S197" s="41" cm="1">
        <f t="array" ref="S197">H197*VLOOKUP($G197, Factor!$C$4:$N$36, 2, 0)*INDEX(Factor!$C$41:$N$87, _xlfn.XMATCH($C197, Factor!$C$41:$C$87, -1), 2)</f>
        <v>264</v>
      </c>
      <c r="T197" s="41" cm="1">
        <f t="array" ref="T197">I197*VLOOKUP($G197, Factor!$C$4:$N$36, 3, 0)*INDEX(Factor!$C$41:$N$87, _xlfn.XMATCH($C197, Factor!$C$41:$C$87, -1), 3)</f>
        <v>2160</v>
      </c>
      <c r="U197" s="41" cm="1">
        <f t="array" ref="U197">J197*VLOOKUP($G197, Factor!$C$4:$N$36, 4, 0)*INDEX(Factor!$C$41:$N$87, _xlfn.XMATCH($C197, Factor!$C$41:$C$87, -1), 4)</f>
        <v>9</v>
      </c>
      <c r="V197" s="41" cm="1">
        <f t="array" ref="V197">K197*VLOOKUP($G197, Factor!$C$4:$N$36, 5, 0)*INDEX(Factor!$C$41:$N$87, _xlfn.XMATCH($C197, Factor!$C$41:$C$87, -1), 5)</f>
        <v>14.399999999999999</v>
      </c>
      <c r="W197" s="41" cm="1">
        <f t="array" ref="W197">L197*VLOOKUP($G197, Factor!$C$4:$N$36, 6, 0)*INDEX(Factor!$C$41:$N$87, _xlfn.XMATCH($C197, Factor!$C$41:$C$87, -1), 6)</f>
        <v>24</v>
      </c>
      <c r="X197" s="41" cm="1">
        <f t="array" ref="X197">M197*VLOOKUP($G197, Factor!$C$4:$N$36, 7, 0)*INDEX(Factor!$C$41:$N$87, _xlfn.XMATCH($C197, Factor!$C$41:$C$87, -1), 7)</f>
        <v>24000</v>
      </c>
      <c r="Y197" s="41" cm="1">
        <f t="array" ref="Y197">N197*VLOOKUP($G197, Factor!$C$4:$N$36, 8, 0)*INDEX(Factor!$C$41:$N$87, _xlfn.XMATCH($C197, Factor!$C$41:$C$87, -1), 8)</f>
        <v>1920</v>
      </c>
      <c r="Z197" s="41" cm="1">
        <f t="array" ref="Z197">O197*VLOOKUP($G197, Factor!$C$4:$N$36, 9, 0)*INDEX(Factor!$C$41:$N$87, _xlfn.XMATCH($C197, Factor!$C$41:$C$87, -1), 9)</f>
        <v>48</v>
      </c>
      <c r="AA197" s="41" cm="1">
        <f t="array" ref="AA197">P197*VLOOKUP($G197, Factor!$C$4:$N$36, 10, 0)*INDEX(Factor!$C$41:$N$87, _xlfn.XMATCH($C197, Factor!$C$41:$C$87, -1), 10)</f>
        <v>1920</v>
      </c>
      <c r="AB197" s="41" cm="1">
        <f t="array" ref="AB197">Q197*VLOOKUP($G197, Factor!$C$4:$N$36, 11, 0)*INDEX(Factor!$C$41:$N$87, _xlfn.XMATCH($C197, Factor!$C$41:$C$87, -1), 11)</f>
        <v>8</v>
      </c>
      <c r="AC197" s="41" cm="1">
        <f t="array" ref="AC197">R197*VLOOKUP($G197, Factor!$C$4:$N$36, 12, 0)*INDEX(Factor!$C$41:$N$87, _xlfn.XMATCH($C197, Factor!$C$41:$C$87, -1), 12)</f>
        <v>8</v>
      </c>
      <c r="AD197" s="41"/>
    </row>
    <row r="198" spans="1:30" ht="15.75" customHeight="1" x14ac:dyDescent="0.2">
      <c r="A198" s="18" t="str">
        <f>"locomotive_"&amp; VLOOKUP(F198, Factor!$BK$4:$BL$6, 2, 0) &amp;"_"&amp;Locomotive!D198&amp;"_"&amp;VLOOKUP(E198, Factor!$BM$4:$BN$36, 2, 0)</f>
        <v>locomotive_El_T8_002</v>
      </c>
      <c r="B198" s="18" t="str">
        <f t="shared" si="6"/>
        <v>T8 쾌속 전기기관차</v>
      </c>
      <c r="C198" s="18">
        <f>VLOOKUP(D198, Factor!$B$41:$C$50, 2, 0)</f>
        <v>80000</v>
      </c>
      <c r="D198" s="18" t="s">
        <v>326</v>
      </c>
      <c r="E198" s="18" t="s">
        <v>504</v>
      </c>
      <c r="F198" s="18" t="s">
        <v>502</v>
      </c>
      <c r="G198" s="18" t="str">
        <f t="shared" si="7"/>
        <v>쾌속 전기</v>
      </c>
      <c r="H198" s="18">
        <v>1</v>
      </c>
      <c r="I198" s="18">
        <v>1</v>
      </c>
      <c r="J198" s="18">
        <v>1</v>
      </c>
      <c r="K198" s="18">
        <v>1</v>
      </c>
      <c r="L198" s="18">
        <v>1</v>
      </c>
      <c r="M198" s="18">
        <v>1</v>
      </c>
      <c r="N198" s="18">
        <v>1</v>
      </c>
      <c r="O198" s="18">
        <v>1</v>
      </c>
      <c r="P198" s="18">
        <v>1</v>
      </c>
      <c r="Q198" s="18">
        <v>1</v>
      </c>
      <c r="R198" s="18">
        <v>1</v>
      </c>
      <c r="S198" s="18" cm="1">
        <f t="array" ref="S198">H198*VLOOKUP($G198, Factor!$C$4:$N$36, 2, 0)*INDEX(Factor!$C$41:$N$87, _xlfn.XMATCH($C198, Factor!$C$41:$C$87, -1), 2)</f>
        <v>528</v>
      </c>
      <c r="T198" s="18" cm="1">
        <f t="array" ref="T198">I198*VLOOKUP($G198, Factor!$C$4:$N$36, 3, 0)*INDEX(Factor!$C$41:$N$87, _xlfn.XMATCH($C198, Factor!$C$41:$C$87, -1), 3)</f>
        <v>1680</v>
      </c>
      <c r="U198" s="18" cm="1">
        <f t="array" ref="U198">J198*VLOOKUP($G198, Factor!$C$4:$N$36, 4, 0)*INDEX(Factor!$C$41:$N$87, _xlfn.XMATCH($C198, Factor!$C$41:$C$87, -1), 4)</f>
        <v>9</v>
      </c>
      <c r="V198" s="18" cm="1">
        <f t="array" ref="V198">K198*VLOOKUP($G198, Factor!$C$4:$N$36, 5, 0)*INDEX(Factor!$C$41:$N$87, _xlfn.XMATCH($C198, Factor!$C$41:$C$87, -1), 5)</f>
        <v>24</v>
      </c>
      <c r="W198" s="18" cm="1">
        <f t="array" ref="W198">L198*VLOOKUP($G198, Factor!$C$4:$N$36, 6, 0)*INDEX(Factor!$C$41:$N$87, _xlfn.XMATCH($C198, Factor!$C$41:$C$87, -1), 6)</f>
        <v>24</v>
      </c>
      <c r="X198" s="18" cm="1">
        <f t="array" ref="X198">M198*VLOOKUP($G198, Factor!$C$4:$N$36, 7, 0)*INDEX(Factor!$C$41:$N$87, _xlfn.XMATCH($C198, Factor!$C$41:$C$87, -1), 7)</f>
        <v>16800</v>
      </c>
      <c r="Y198" s="18" cm="1">
        <f t="array" ref="Y198">N198*VLOOKUP($G198, Factor!$C$4:$N$36, 8, 0)*INDEX(Factor!$C$41:$N$87, _xlfn.XMATCH($C198, Factor!$C$41:$C$87, -1), 8)</f>
        <v>1200</v>
      </c>
      <c r="Z198" s="18" cm="1">
        <f t="array" ref="Z198">O198*VLOOKUP($G198, Factor!$C$4:$N$36, 9, 0)*INDEX(Factor!$C$41:$N$87, _xlfn.XMATCH($C198, Factor!$C$41:$C$87, -1), 9)</f>
        <v>7.1999999999999993</v>
      </c>
      <c r="AA198" s="18" cm="1">
        <f t="array" ref="AA198">P198*VLOOKUP($G198, Factor!$C$4:$N$36, 10, 0)*INDEX(Factor!$C$41:$N$87, _xlfn.XMATCH($C198, Factor!$C$41:$C$87, -1), 10)</f>
        <v>1200</v>
      </c>
      <c r="AB198" s="18" cm="1">
        <f t="array" ref="AB198">Q198*VLOOKUP($G198, Factor!$C$4:$N$36, 11, 0)*INDEX(Factor!$C$41:$N$87, _xlfn.XMATCH($C198, Factor!$C$41:$C$87, -1), 11)</f>
        <v>8</v>
      </c>
      <c r="AC198" s="18" cm="1">
        <f t="array" ref="AC198">R198*VLOOKUP($G198, Factor!$C$4:$N$36, 12, 0)*INDEX(Factor!$C$41:$N$87, _xlfn.XMATCH($C198, Factor!$C$41:$C$87, -1), 12)</f>
        <v>8</v>
      </c>
      <c r="AD198" s="18"/>
    </row>
    <row r="199" spans="1:30" ht="15.75" customHeight="1" x14ac:dyDescent="0.2">
      <c r="A199" s="15" t="str">
        <f>"locomotive_"&amp; VLOOKUP(F199, Factor!$BK$4:$BL$6, 2, 0) &amp;"_"&amp;Locomotive!D199&amp;"_"&amp;VLOOKUP(E199, Factor!$BM$4:$BN$36, 2, 0)</f>
        <v>locomotive_Dz_T8_002</v>
      </c>
      <c r="B199" s="15" t="str">
        <f t="shared" si="6"/>
        <v>T8 쾌속 디젤기관차</v>
      </c>
      <c r="C199" s="15">
        <f>VLOOKUP(D199, Factor!$B$41:$C$50, 2, 0)</f>
        <v>80000</v>
      </c>
      <c r="D199" s="15" t="s">
        <v>326</v>
      </c>
      <c r="E199" s="41" t="s">
        <v>504</v>
      </c>
      <c r="F199" s="41" t="s">
        <v>503</v>
      </c>
      <c r="G199" s="41" t="str">
        <f t="shared" si="7"/>
        <v>쾌속 디젤</v>
      </c>
      <c r="H199" s="41">
        <v>1</v>
      </c>
      <c r="I199" s="41">
        <v>1</v>
      </c>
      <c r="J199" s="41">
        <v>1</v>
      </c>
      <c r="K199" s="41">
        <v>1</v>
      </c>
      <c r="L199" s="41">
        <v>1</v>
      </c>
      <c r="M199" s="41">
        <v>1</v>
      </c>
      <c r="N199" s="41">
        <v>1</v>
      </c>
      <c r="O199" s="41">
        <v>1</v>
      </c>
      <c r="P199" s="41">
        <v>1</v>
      </c>
      <c r="Q199" s="41">
        <v>1</v>
      </c>
      <c r="R199" s="41">
        <v>1</v>
      </c>
      <c r="S199" s="41" cm="1">
        <f t="array" ref="S199">H199*VLOOKUP($G199, Factor!$C$4:$N$36, 2, 0)*INDEX(Factor!$C$41:$N$87, _xlfn.XMATCH($C199, Factor!$C$41:$C$87, -1), 2)</f>
        <v>396</v>
      </c>
      <c r="T199" s="41" cm="1">
        <f t="array" ref="T199">I199*VLOOKUP($G199, Factor!$C$4:$N$36, 3, 0)*INDEX(Factor!$C$41:$N$87, _xlfn.XMATCH($C199, Factor!$C$41:$C$87, -1), 3)</f>
        <v>2400</v>
      </c>
      <c r="U199" s="41" cm="1">
        <f t="array" ref="U199">J199*VLOOKUP($G199, Factor!$C$4:$N$36, 4, 0)*INDEX(Factor!$C$41:$N$87, _xlfn.XMATCH($C199, Factor!$C$41:$C$87, -1), 4)</f>
        <v>9</v>
      </c>
      <c r="V199" s="41" cm="1">
        <f t="array" ref="V199">K199*VLOOKUP($G199, Factor!$C$4:$N$36, 5, 0)*INDEX(Factor!$C$41:$N$87, _xlfn.XMATCH($C199, Factor!$C$41:$C$87, -1), 5)</f>
        <v>19.2</v>
      </c>
      <c r="W199" s="41" cm="1">
        <f t="array" ref="W199">L199*VLOOKUP($G199, Factor!$C$4:$N$36, 6, 0)*INDEX(Factor!$C$41:$N$87, _xlfn.XMATCH($C199, Factor!$C$41:$C$87, -1), 6)</f>
        <v>24</v>
      </c>
      <c r="X199" s="41" cm="1">
        <f t="array" ref="X199">M199*VLOOKUP($G199, Factor!$C$4:$N$36, 7, 0)*INDEX(Factor!$C$41:$N$87, _xlfn.XMATCH($C199, Factor!$C$41:$C$87, -1), 7)</f>
        <v>36000</v>
      </c>
      <c r="Y199" s="41" cm="1">
        <f t="array" ref="Y199">N199*VLOOKUP($G199, Factor!$C$4:$N$36, 8, 0)*INDEX(Factor!$C$41:$N$87, _xlfn.XMATCH($C199, Factor!$C$41:$C$87, -1), 8)</f>
        <v>1560</v>
      </c>
      <c r="Z199" s="41" cm="1">
        <f t="array" ref="Z199">O199*VLOOKUP($G199, Factor!$C$4:$N$36, 9, 0)*INDEX(Factor!$C$41:$N$87, _xlfn.XMATCH($C199, Factor!$C$41:$C$87, -1), 9)</f>
        <v>12</v>
      </c>
      <c r="AA199" s="41" cm="1">
        <f t="array" ref="AA199">P199*VLOOKUP($G199, Factor!$C$4:$N$36, 10, 0)*INDEX(Factor!$C$41:$N$87, _xlfn.XMATCH($C199, Factor!$C$41:$C$87, -1), 10)</f>
        <v>1560</v>
      </c>
      <c r="AB199" s="41" cm="1">
        <f t="array" ref="AB199">Q199*VLOOKUP($G199, Factor!$C$4:$N$36, 11, 0)*INDEX(Factor!$C$41:$N$87, _xlfn.XMATCH($C199, Factor!$C$41:$C$87, -1), 11)</f>
        <v>8</v>
      </c>
      <c r="AC199" s="41" cm="1">
        <f t="array" ref="AC199">R199*VLOOKUP($G199, Factor!$C$4:$N$36, 12, 0)*INDEX(Factor!$C$41:$N$87, _xlfn.XMATCH($C199, Factor!$C$41:$C$87, -1), 12)</f>
        <v>8</v>
      </c>
      <c r="AD199" s="41"/>
    </row>
    <row r="200" spans="1:30" ht="15.75" customHeight="1" x14ac:dyDescent="0.2">
      <c r="A200" s="18" t="str">
        <f>"locomotive_"&amp; VLOOKUP(F200, Factor!$BK$4:$BL$6, 2, 0) &amp;"_"&amp;Locomotive!D200&amp;"_"&amp;VLOOKUP(E200, Factor!$BM$4:$BN$36, 2, 0)</f>
        <v>locomotive_St_T8_003</v>
      </c>
      <c r="B200" s="18" t="str">
        <f t="shared" si="6"/>
        <v>T8 중갑 증기기관차</v>
      </c>
      <c r="C200" s="18">
        <f>VLOOKUP(D200, Factor!$B$41:$C$50, 2, 0)</f>
        <v>80000</v>
      </c>
      <c r="D200" s="18" t="s">
        <v>326</v>
      </c>
      <c r="E200" s="18" t="s">
        <v>506</v>
      </c>
      <c r="F200" s="18" t="s">
        <v>505</v>
      </c>
      <c r="G200" s="18" t="str">
        <f t="shared" si="7"/>
        <v>중갑 증기</v>
      </c>
      <c r="H200" s="18">
        <v>1</v>
      </c>
      <c r="I200" s="18">
        <v>1</v>
      </c>
      <c r="J200" s="18">
        <v>1</v>
      </c>
      <c r="K200" s="18">
        <v>1</v>
      </c>
      <c r="L200" s="18">
        <v>1</v>
      </c>
      <c r="M200" s="18">
        <v>1</v>
      </c>
      <c r="N200" s="18">
        <v>1</v>
      </c>
      <c r="O200" s="18">
        <v>1</v>
      </c>
      <c r="P200" s="18">
        <v>1</v>
      </c>
      <c r="Q200" s="18">
        <v>1</v>
      </c>
      <c r="R200" s="18">
        <v>1</v>
      </c>
      <c r="S200" s="18" cm="1">
        <f t="array" ref="S200">H200*VLOOKUP($G200, Factor!$C$4:$N$36, 2, 0)*INDEX(Factor!$C$41:$N$87, _xlfn.XMATCH($C200, Factor!$C$41:$C$87, -1), 2)</f>
        <v>216</v>
      </c>
      <c r="T200" s="18" cm="1">
        <f t="array" ref="T200">I200*VLOOKUP($G200, Factor!$C$4:$N$36, 3, 0)*INDEX(Factor!$C$41:$N$87, _xlfn.XMATCH($C200, Factor!$C$41:$C$87, -1), 3)</f>
        <v>2880</v>
      </c>
      <c r="U200" s="18" cm="1">
        <f t="array" ref="U200">J200*VLOOKUP($G200, Factor!$C$4:$N$36, 4, 0)*INDEX(Factor!$C$41:$N$87, _xlfn.XMATCH($C200, Factor!$C$41:$C$87, -1), 4)</f>
        <v>9</v>
      </c>
      <c r="V200" s="18" cm="1">
        <f t="array" ref="V200">K200*VLOOKUP($G200, Factor!$C$4:$N$36, 5, 0)*INDEX(Factor!$C$41:$N$87, _xlfn.XMATCH($C200, Factor!$C$41:$C$87, -1), 5)</f>
        <v>9.6</v>
      </c>
      <c r="W200" s="18" cm="1">
        <f t="array" ref="W200">L200*VLOOKUP($G200, Factor!$C$4:$N$36, 6, 0)*INDEX(Factor!$C$41:$N$87, _xlfn.XMATCH($C200, Factor!$C$41:$C$87, -1), 6)</f>
        <v>24</v>
      </c>
      <c r="X200" s="18" cm="1">
        <f t="array" ref="X200">M200*VLOOKUP($G200, Factor!$C$4:$N$36, 7, 0)*INDEX(Factor!$C$41:$N$87, _xlfn.XMATCH($C200, Factor!$C$41:$C$87, -1), 7)</f>
        <v>19200</v>
      </c>
      <c r="Y200" s="18" cm="1">
        <f t="array" ref="Y200">N200*VLOOKUP($G200, Factor!$C$4:$N$36, 8, 0)*INDEX(Factor!$C$41:$N$87, _xlfn.XMATCH($C200, Factor!$C$41:$C$87, -1), 8)</f>
        <v>3600</v>
      </c>
      <c r="Z200" s="18" cm="1">
        <f t="array" ref="Z200">O200*VLOOKUP($G200, Factor!$C$4:$N$36, 9, 0)*INDEX(Factor!$C$41:$N$87, _xlfn.XMATCH($C200, Factor!$C$41:$C$87, -1), 9)</f>
        <v>120</v>
      </c>
      <c r="AA200" s="18" cm="1">
        <f t="array" ref="AA200">P200*VLOOKUP($G200, Factor!$C$4:$N$36, 10, 0)*INDEX(Factor!$C$41:$N$87, _xlfn.XMATCH($C200, Factor!$C$41:$C$87, -1), 10)</f>
        <v>3600</v>
      </c>
      <c r="AB200" s="18" cm="1">
        <f t="array" ref="AB200">Q200*VLOOKUP($G200, Factor!$C$4:$N$36, 11, 0)*INDEX(Factor!$C$41:$N$87, _xlfn.XMATCH($C200, Factor!$C$41:$C$87, -1), 11)</f>
        <v>8</v>
      </c>
      <c r="AC200" s="18" cm="1">
        <f t="array" ref="AC200">R200*VLOOKUP($G200, Factor!$C$4:$N$36, 12, 0)*INDEX(Factor!$C$41:$N$87, _xlfn.XMATCH($C200, Factor!$C$41:$C$87, -1), 12)</f>
        <v>8</v>
      </c>
      <c r="AD200" s="18"/>
    </row>
    <row r="201" spans="1:30" ht="15.75" customHeight="1" x14ac:dyDescent="0.2">
      <c r="A201" s="15" t="str">
        <f>"locomotive_"&amp; VLOOKUP(F201, Factor!$BK$4:$BL$6, 2, 0) &amp;"_"&amp;Locomotive!D201&amp;"_"&amp;VLOOKUP(E201, Factor!$BM$4:$BN$36, 2, 0)</f>
        <v>locomotive_El_T8_003</v>
      </c>
      <c r="B201" s="15" t="str">
        <f t="shared" si="6"/>
        <v>T8 중갑 전기기관차</v>
      </c>
      <c r="C201" s="15">
        <f>VLOOKUP(D201, Factor!$B$41:$C$50, 2, 0)</f>
        <v>80000</v>
      </c>
      <c r="D201" s="15" t="s">
        <v>326</v>
      </c>
      <c r="E201" s="41" t="s">
        <v>506</v>
      </c>
      <c r="F201" s="41" t="s">
        <v>502</v>
      </c>
      <c r="G201" s="41" t="str">
        <f t="shared" si="7"/>
        <v>중갑 전기</v>
      </c>
      <c r="H201" s="41">
        <v>1</v>
      </c>
      <c r="I201" s="41">
        <v>1</v>
      </c>
      <c r="J201" s="41">
        <v>1</v>
      </c>
      <c r="K201" s="41">
        <v>1</v>
      </c>
      <c r="L201" s="41">
        <v>1</v>
      </c>
      <c r="M201" s="41">
        <v>1</v>
      </c>
      <c r="N201" s="41">
        <v>1</v>
      </c>
      <c r="O201" s="41">
        <v>1</v>
      </c>
      <c r="P201" s="41">
        <v>1</v>
      </c>
      <c r="Q201" s="41">
        <v>1</v>
      </c>
      <c r="R201" s="41">
        <v>1</v>
      </c>
      <c r="S201" s="41" cm="1">
        <f t="array" ref="S201">H201*VLOOKUP($G201, Factor!$C$4:$N$36, 2, 0)*INDEX(Factor!$C$41:$N$87, _xlfn.XMATCH($C201, Factor!$C$41:$C$87, -1), 2)</f>
        <v>408</v>
      </c>
      <c r="T201" s="41" cm="1">
        <f t="array" ref="T201">I201*VLOOKUP($G201, Factor!$C$4:$N$36, 3, 0)*INDEX(Factor!$C$41:$N$87, _xlfn.XMATCH($C201, Factor!$C$41:$C$87, -1), 3)</f>
        <v>240</v>
      </c>
      <c r="U201" s="41" cm="1">
        <f t="array" ref="U201">J201*VLOOKUP($G201, Factor!$C$4:$N$36, 4, 0)*INDEX(Factor!$C$41:$N$87, _xlfn.XMATCH($C201, Factor!$C$41:$C$87, -1), 4)</f>
        <v>9</v>
      </c>
      <c r="V201" s="41" cm="1">
        <f t="array" ref="V201">K201*VLOOKUP($G201, Factor!$C$4:$N$36, 5, 0)*INDEX(Factor!$C$41:$N$87, _xlfn.XMATCH($C201, Factor!$C$41:$C$87, -1), 5)</f>
        <v>19.2</v>
      </c>
      <c r="W201" s="41" cm="1">
        <f t="array" ref="W201">L201*VLOOKUP($G201, Factor!$C$4:$N$36, 6, 0)*INDEX(Factor!$C$41:$N$87, _xlfn.XMATCH($C201, Factor!$C$41:$C$87, -1), 6)</f>
        <v>24</v>
      </c>
      <c r="X201" s="41" cm="1">
        <f t="array" ref="X201">M201*VLOOKUP($G201, Factor!$C$4:$N$36, 7, 0)*INDEX(Factor!$C$41:$N$87, _xlfn.XMATCH($C201, Factor!$C$41:$C$87, -1), 7)</f>
        <v>12000</v>
      </c>
      <c r="Y201" s="41" cm="1">
        <f t="array" ref="Y201">N201*VLOOKUP($G201, Factor!$C$4:$N$36, 8, 0)*INDEX(Factor!$C$41:$N$87, _xlfn.XMATCH($C201, Factor!$C$41:$C$87, -1), 8)</f>
        <v>2400</v>
      </c>
      <c r="Z201" s="41" cm="1">
        <f t="array" ref="Z201">O201*VLOOKUP($G201, Factor!$C$4:$N$36, 9, 0)*INDEX(Factor!$C$41:$N$87, _xlfn.XMATCH($C201, Factor!$C$41:$C$87, -1), 9)</f>
        <v>36</v>
      </c>
      <c r="AA201" s="41" cm="1">
        <f t="array" ref="AA201">P201*VLOOKUP($G201, Factor!$C$4:$N$36, 10, 0)*INDEX(Factor!$C$41:$N$87, _xlfn.XMATCH($C201, Factor!$C$41:$C$87, -1), 10)</f>
        <v>2400</v>
      </c>
      <c r="AB201" s="41" cm="1">
        <f t="array" ref="AB201">Q201*VLOOKUP($G201, Factor!$C$4:$N$36, 11, 0)*INDEX(Factor!$C$41:$N$87, _xlfn.XMATCH($C201, Factor!$C$41:$C$87, -1), 11)</f>
        <v>8</v>
      </c>
      <c r="AC201" s="41" cm="1">
        <f t="array" ref="AC201">R201*VLOOKUP($G201, Factor!$C$4:$N$36, 12, 0)*INDEX(Factor!$C$41:$N$87, _xlfn.XMATCH($C201, Factor!$C$41:$C$87, -1), 12)</f>
        <v>8</v>
      </c>
      <c r="AD201" s="41"/>
    </row>
    <row r="202" spans="1:30" ht="15.75" customHeight="1" x14ac:dyDescent="0.2">
      <c r="A202" s="18" t="str">
        <f>"locomotive_"&amp; VLOOKUP(F202, Factor!$BK$4:$BL$6, 2, 0) &amp;"_"&amp;Locomotive!D202&amp;"_"&amp;VLOOKUP(E202, Factor!$BM$4:$BN$36, 2, 0)</f>
        <v>locomotive_Dz_T8_003</v>
      </c>
      <c r="B202" s="18" t="str">
        <f t="shared" si="6"/>
        <v>T8 중갑 디젤기관차</v>
      </c>
      <c r="C202" s="18">
        <f>VLOOKUP(D202, Factor!$B$41:$C$50, 2, 0)</f>
        <v>80000</v>
      </c>
      <c r="D202" s="18" t="s">
        <v>326</v>
      </c>
      <c r="E202" s="18" t="s">
        <v>506</v>
      </c>
      <c r="F202" s="18" t="s">
        <v>503</v>
      </c>
      <c r="G202" s="18" t="str">
        <f t="shared" si="7"/>
        <v>중갑 디젤</v>
      </c>
      <c r="H202" s="18">
        <v>1</v>
      </c>
      <c r="I202" s="18">
        <v>1</v>
      </c>
      <c r="J202" s="18">
        <v>1</v>
      </c>
      <c r="K202" s="18">
        <v>1</v>
      </c>
      <c r="L202" s="18">
        <v>1</v>
      </c>
      <c r="M202" s="18">
        <v>1</v>
      </c>
      <c r="N202" s="18">
        <v>1</v>
      </c>
      <c r="O202" s="18">
        <v>1</v>
      </c>
      <c r="P202" s="18">
        <v>1</v>
      </c>
      <c r="Q202" s="18">
        <v>1</v>
      </c>
      <c r="R202" s="18">
        <v>1</v>
      </c>
      <c r="S202" s="18" cm="1">
        <f t="array" ref="S202">H202*VLOOKUP($G202, Factor!$C$4:$N$36, 2, 0)*INDEX(Factor!$C$41:$N$87, _xlfn.XMATCH($C202, Factor!$C$41:$C$87, -1), 2)</f>
        <v>264</v>
      </c>
      <c r="T202" s="18" cm="1">
        <f t="array" ref="T202">I202*VLOOKUP($G202, Factor!$C$4:$N$36, 3, 0)*INDEX(Factor!$C$41:$N$87, _xlfn.XMATCH($C202, Factor!$C$41:$C$87, -1), 3)</f>
        <v>3600</v>
      </c>
      <c r="U202" s="18" cm="1">
        <f t="array" ref="U202">J202*VLOOKUP($G202, Factor!$C$4:$N$36, 4, 0)*INDEX(Factor!$C$41:$N$87, _xlfn.XMATCH($C202, Factor!$C$41:$C$87, -1), 4)</f>
        <v>9</v>
      </c>
      <c r="V202" s="18" cm="1">
        <f t="array" ref="V202">K202*VLOOKUP($G202, Factor!$C$4:$N$36, 5, 0)*INDEX(Factor!$C$41:$N$87, _xlfn.XMATCH($C202, Factor!$C$41:$C$87, -1), 5)</f>
        <v>14.399999999999999</v>
      </c>
      <c r="W202" s="18" cm="1">
        <f t="array" ref="W202">L202*VLOOKUP($G202, Factor!$C$4:$N$36, 6, 0)*INDEX(Factor!$C$41:$N$87, _xlfn.XMATCH($C202, Factor!$C$41:$C$87, -1), 6)</f>
        <v>24</v>
      </c>
      <c r="X202" s="18" cm="1">
        <f t="array" ref="X202">M202*VLOOKUP($G202, Factor!$C$4:$N$36, 7, 0)*INDEX(Factor!$C$41:$N$87, _xlfn.XMATCH($C202, Factor!$C$41:$C$87, -1), 7)</f>
        <v>28800</v>
      </c>
      <c r="Y202" s="18" cm="1">
        <f t="array" ref="Y202">N202*VLOOKUP($G202, Factor!$C$4:$N$36, 8, 0)*INDEX(Factor!$C$41:$N$87, _xlfn.XMATCH($C202, Factor!$C$41:$C$87, -1), 8)</f>
        <v>3120</v>
      </c>
      <c r="Z202" s="18" cm="1">
        <f t="array" ref="Z202">O202*VLOOKUP($G202, Factor!$C$4:$N$36, 9, 0)*INDEX(Factor!$C$41:$N$87, _xlfn.XMATCH($C202, Factor!$C$41:$C$87, -1), 9)</f>
        <v>72</v>
      </c>
      <c r="AA202" s="18" cm="1">
        <f t="array" ref="AA202">P202*VLOOKUP($G202, Factor!$C$4:$N$36, 10, 0)*INDEX(Factor!$C$41:$N$87, _xlfn.XMATCH($C202, Factor!$C$41:$C$87, -1), 10)</f>
        <v>3120</v>
      </c>
      <c r="AB202" s="18" cm="1">
        <f t="array" ref="AB202">Q202*VLOOKUP($G202, Factor!$C$4:$N$36, 11, 0)*INDEX(Factor!$C$41:$N$87, _xlfn.XMATCH($C202, Factor!$C$41:$C$87, -1), 11)</f>
        <v>8</v>
      </c>
      <c r="AC202" s="18" cm="1">
        <f t="array" ref="AC202">R202*VLOOKUP($G202, Factor!$C$4:$N$36, 12, 0)*INDEX(Factor!$C$41:$N$87, _xlfn.XMATCH($C202, Factor!$C$41:$C$87, -1), 12)</f>
        <v>8</v>
      </c>
      <c r="AD202" s="18"/>
    </row>
    <row r="203" spans="1:30" ht="15.75" customHeight="1" x14ac:dyDescent="0.2">
      <c r="A203" s="15" t="str">
        <f>"locomotive_"&amp; VLOOKUP(F203, Factor!$BK$4:$BL$6, 2, 0) &amp;"_"&amp;Locomotive!D203&amp;"_"&amp;VLOOKUP(E203, Factor!$BM$4:$BN$36, 2, 0)</f>
        <v>locomotive_St_T8_004</v>
      </c>
      <c r="B203" s="15" t="str">
        <f t="shared" si="6"/>
        <v>T8 화물 증기기관차</v>
      </c>
      <c r="C203" s="15">
        <f>VLOOKUP(D203, Factor!$B$41:$C$50, 2, 0)</f>
        <v>80000</v>
      </c>
      <c r="D203" s="15" t="s">
        <v>326</v>
      </c>
      <c r="E203" s="41" t="s">
        <v>507</v>
      </c>
      <c r="F203" s="41" t="s">
        <v>505</v>
      </c>
      <c r="G203" s="41" t="str">
        <f t="shared" si="7"/>
        <v>화물 증기</v>
      </c>
      <c r="H203" s="41">
        <v>1</v>
      </c>
      <c r="I203" s="41">
        <v>1</v>
      </c>
      <c r="J203" s="41">
        <v>1</v>
      </c>
      <c r="K203" s="41">
        <v>1</v>
      </c>
      <c r="L203" s="41">
        <v>1</v>
      </c>
      <c r="M203" s="41">
        <v>1</v>
      </c>
      <c r="N203" s="41">
        <v>1</v>
      </c>
      <c r="O203" s="41">
        <v>1</v>
      </c>
      <c r="P203" s="41">
        <v>1</v>
      </c>
      <c r="Q203" s="41">
        <v>1</v>
      </c>
      <c r="R203" s="41">
        <v>1</v>
      </c>
      <c r="S203" s="41" cm="1">
        <f t="array" ref="S203">H203*VLOOKUP($G203, Factor!$C$4:$N$36, 2, 0)*INDEX(Factor!$C$41:$N$87, _xlfn.XMATCH($C203, Factor!$C$41:$C$87, -1), 2)</f>
        <v>216</v>
      </c>
      <c r="T203" s="41" cm="1">
        <f t="array" ref="T203">I203*VLOOKUP($G203, Factor!$C$4:$N$36, 3, 0)*INDEX(Factor!$C$41:$N$87, _xlfn.XMATCH($C203, Factor!$C$41:$C$87, -1), 3)</f>
        <v>2400</v>
      </c>
      <c r="U203" s="41" cm="1">
        <f t="array" ref="U203">J203*VLOOKUP($G203, Factor!$C$4:$N$36, 4, 0)*INDEX(Factor!$C$41:$N$87, _xlfn.XMATCH($C203, Factor!$C$41:$C$87, -1), 4)</f>
        <v>9</v>
      </c>
      <c r="V203" s="41" cm="1">
        <f t="array" ref="V203">K203*VLOOKUP($G203, Factor!$C$4:$N$36, 5, 0)*INDEX(Factor!$C$41:$N$87, _xlfn.XMATCH($C203, Factor!$C$41:$C$87, -1), 5)</f>
        <v>9.6</v>
      </c>
      <c r="W203" s="41" cm="1">
        <f t="array" ref="W203">L203*VLOOKUP($G203, Factor!$C$4:$N$36, 6, 0)*INDEX(Factor!$C$41:$N$87, _xlfn.XMATCH($C203, Factor!$C$41:$C$87, -1), 6)</f>
        <v>24</v>
      </c>
      <c r="X203" s="41" cm="1">
        <f t="array" ref="X203">M203*VLOOKUP($G203, Factor!$C$4:$N$36, 7, 0)*INDEX(Factor!$C$41:$N$87, _xlfn.XMATCH($C203, Factor!$C$41:$C$87, -1), 7)</f>
        <v>24000</v>
      </c>
      <c r="Y203" s="41" cm="1">
        <f t="array" ref="Y203">N203*VLOOKUP($G203, Factor!$C$4:$N$36, 8, 0)*INDEX(Factor!$C$41:$N$87, _xlfn.XMATCH($C203, Factor!$C$41:$C$87, -1), 8)</f>
        <v>2400</v>
      </c>
      <c r="Z203" s="41" cm="1">
        <f t="array" ref="Z203">O203*VLOOKUP($G203, Factor!$C$4:$N$36, 9, 0)*INDEX(Factor!$C$41:$N$87, _xlfn.XMATCH($C203, Factor!$C$41:$C$87, -1), 9)</f>
        <v>72</v>
      </c>
      <c r="AA203" s="41" cm="1">
        <f t="array" ref="AA203">P203*VLOOKUP($G203, Factor!$C$4:$N$36, 10, 0)*INDEX(Factor!$C$41:$N$87, _xlfn.XMATCH($C203, Factor!$C$41:$C$87, -1), 10)</f>
        <v>2400</v>
      </c>
      <c r="AB203" s="41" cm="1">
        <f t="array" ref="AB203">Q203*VLOOKUP($G203, Factor!$C$4:$N$36, 11, 0)*INDEX(Factor!$C$41:$N$87, _xlfn.XMATCH($C203, Factor!$C$41:$C$87, -1), 11)</f>
        <v>24</v>
      </c>
      <c r="AC203" s="41" cm="1">
        <f t="array" ref="AC203">R203*VLOOKUP($G203, Factor!$C$4:$N$36, 12, 0)*INDEX(Factor!$C$41:$N$87, _xlfn.XMATCH($C203, Factor!$C$41:$C$87, -1), 12)</f>
        <v>8</v>
      </c>
      <c r="AD203" s="41"/>
    </row>
    <row r="204" spans="1:30" ht="15.75" customHeight="1" x14ac:dyDescent="0.2">
      <c r="A204" s="18" t="str">
        <f>"locomotive_"&amp; VLOOKUP(F204, Factor!$BK$4:$BL$6, 2, 0) &amp;"_"&amp;Locomotive!D204&amp;"_"&amp;VLOOKUP(E204, Factor!$BM$4:$BN$36, 2, 0)</f>
        <v>locomotive_El_T8_004</v>
      </c>
      <c r="B204" s="18" t="str">
        <f t="shared" si="6"/>
        <v>T8 화물 전기기관차</v>
      </c>
      <c r="C204" s="18">
        <f>VLOOKUP(D204, Factor!$B$41:$C$50, 2, 0)</f>
        <v>80000</v>
      </c>
      <c r="D204" s="18" t="s">
        <v>326</v>
      </c>
      <c r="E204" s="18" t="s">
        <v>507</v>
      </c>
      <c r="F204" s="18" t="s">
        <v>502</v>
      </c>
      <c r="G204" s="18" t="str">
        <f t="shared" si="7"/>
        <v>화물 전기</v>
      </c>
      <c r="H204" s="18">
        <v>1</v>
      </c>
      <c r="I204" s="18">
        <v>1</v>
      </c>
      <c r="J204" s="18">
        <v>1</v>
      </c>
      <c r="K204" s="18">
        <v>1</v>
      </c>
      <c r="L204" s="18">
        <v>1</v>
      </c>
      <c r="M204" s="18">
        <v>1</v>
      </c>
      <c r="N204" s="18">
        <v>1</v>
      </c>
      <c r="O204" s="18">
        <v>1</v>
      </c>
      <c r="P204" s="18">
        <v>1</v>
      </c>
      <c r="Q204" s="18">
        <v>1</v>
      </c>
      <c r="R204" s="18">
        <v>1</v>
      </c>
      <c r="S204" s="18" cm="1">
        <f t="array" ref="S204">H204*VLOOKUP($G204, Factor!$C$4:$N$36, 2, 0)*INDEX(Factor!$C$41:$N$87, _xlfn.XMATCH($C204, Factor!$C$41:$C$87, -1), 2)</f>
        <v>432</v>
      </c>
      <c r="T204" s="18" cm="1">
        <f t="array" ref="T204">I204*VLOOKUP($G204, Factor!$C$4:$N$36, 3, 0)*INDEX(Factor!$C$41:$N$87, _xlfn.XMATCH($C204, Factor!$C$41:$C$87, -1), 3)</f>
        <v>1920</v>
      </c>
      <c r="U204" s="18" cm="1">
        <f t="array" ref="U204">J204*VLOOKUP($G204, Factor!$C$4:$N$36, 4, 0)*INDEX(Factor!$C$41:$N$87, _xlfn.XMATCH($C204, Factor!$C$41:$C$87, -1), 4)</f>
        <v>9</v>
      </c>
      <c r="V204" s="18" cm="1">
        <f t="array" ref="V204">K204*VLOOKUP($G204, Factor!$C$4:$N$36, 5, 0)*INDEX(Factor!$C$41:$N$87, _xlfn.XMATCH($C204, Factor!$C$41:$C$87, -1), 5)</f>
        <v>19.2</v>
      </c>
      <c r="W204" s="18" cm="1">
        <f t="array" ref="W204">L204*VLOOKUP($G204, Factor!$C$4:$N$36, 6, 0)*INDEX(Factor!$C$41:$N$87, _xlfn.XMATCH($C204, Factor!$C$41:$C$87, -1), 6)</f>
        <v>24</v>
      </c>
      <c r="X204" s="18" cm="1">
        <f t="array" ref="X204">M204*VLOOKUP($G204, Factor!$C$4:$N$36, 7, 0)*INDEX(Factor!$C$41:$N$87, _xlfn.XMATCH($C204, Factor!$C$41:$C$87, -1), 7)</f>
        <v>16800</v>
      </c>
      <c r="Y204" s="18" cm="1">
        <f t="array" ref="Y204">N204*VLOOKUP($G204, Factor!$C$4:$N$36, 8, 0)*INDEX(Factor!$C$41:$N$87, _xlfn.XMATCH($C204, Factor!$C$41:$C$87, -1), 8)</f>
        <v>1680</v>
      </c>
      <c r="Z204" s="18" cm="1">
        <f t="array" ref="Z204">O204*VLOOKUP($G204, Factor!$C$4:$N$36, 9, 0)*INDEX(Factor!$C$41:$N$87, _xlfn.XMATCH($C204, Factor!$C$41:$C$87, -1), 9)</f>
        <v>12</v>
      </c>
      <c r="AA204" s="18" cm="1">
        <f t="array" ref="AA204">P204*VLOOKUP($G204, Factor!$C$4:$N$36, 10, 0)*INDEX(Factor!$C$41:$N$87, _xlfn.XMATCH($C204, Factor!$C$41:$C$87, -1), 10)</f>
        <v>1680</v>
      </c>
      <c r="AB204" s="18" cm="1">
        <f t="array" ref="AB204">Q204*VLOOKUP($G204, Factor!$C$4:$N$36, 11, 0)*INDEX(Factor!$C$41:$N$87, _xlfn.XMATCH($C204, Factor!$C$41:$C$87, -1), 11)</f>
        <v>24</v>
      </c>
      <c r="AC204" s="18" cm="1">
        <f t="array" ref="AC204">R204*VLOOKUP($G204, Factor!$C$4:$N$36, 12, 0)*INDEX(Factor!$C$41:$N$87, _xlfn.XMATCH($C204, Factor!$C$41:$C$87, -1), 12)</f>
        <v>8</v>
      </c>
      <c r="AD204" s="18"/>
    </row>
    <row r="205" spans="1:30" ht="15.75" customHeight="1" x14ac:dyDescent="0.2">
      <c r="A205" s="15" t="str">
        <f>"locomotive_"&amp; VLOOKUP(F205, Factor!$BK$4:$BL$6, 2, 0) &amp;"_"&amp;Locomotive!D205&amp;"_"&amp;VLOOKUP(E205, Factor!$BM$4:$BN$36, 2, 0)</f>
        <v>locomotive_Dz_T8_004</v>
      </c>
      <c r="B205" s="15" t="str">
        <f t="shared" si="6"/>
        <v>T8 화물 디젤기관차</v>
      </c>
      <c r="C205" s="15">
        <f>VLOOKUP(D205, Factor!$B$41:$C$50, 2, 0)</f>
        <v>80000</v>
      </c>
      <c r="D205" s="15" t="s">
        <v>326</v>
      </c>
      <c r="E205" s="41" t="s">
        <v>507</v>
      </c>
      <c r="F205" s="41" t="s">
        <v>503</v>
      </c>
      <c r="G205" s="41" t="str">
        <f t="shared" si="7"/>
        <v>화물 디젤</v>
      </c>
      <c r="H205" s="41">
        <v>1</v>
      </c>
      <c r="I205" s="41">
        <v>1</v>
      </c>
      <c r="J205" s="41">
        <v>1</v>
      </c>
      <c r="K205" s="41">
        <v>1</v>
      </c>
      <c r="L205" s="41">
        <v>1</v>
      </c>
      <c r="M205" s="41">
        <v>1</v>
      </c>
      <c r="N205" s="41">
        <v>1</v>
      </c>
      <c r="O205" s="41">
        <v>1</v>
      </c>
      <c r="P205" s="41">
        <v>1</v>
      </c>
      <c r="Q205" s="41">
        <v>1</v>
      </c>
      <c r="R205" s="41">
        <v>1</v>
      </c>
      <c r="S205" s="41" cm="1">
        <f t="array" ref="S205">H205*VLOOKUP($G205, Factor!$C$4:$N$36, 2, 0)*INDEX(Factor!$C$41:$N$87, _xlfn.XMATCH($C205, Factor!$C$41:$C$87, -1), 2)</f>
        <v>288</v>
      </c>
      <c r="T205" s="41" cm="1">
        <f t="array" ref="T205">I205*VLOOKUP($G205, Factor!$C$4:$N$36, 3, 0)*INDEX(Factor!$C$41:$N$87, _xlfn.XMATCH($C205, Factor!$C$41:$C$87, -1), 3)</f>
        <v>2880</v>
      </c>
      <c r="U205" s="41" cm="1">
        <f t="array" ref="U205">J205*VLOOKUP($G205, Factor!$C$4:$N$36, 4, 0)*INDEX(Factor!$C$41:$N$87, _xlfn.XMATCH($C205, Factor!$C$41:$C$87, -1), 4)</f>
        <v>9</v>
      </c>
      <c r="V205" s="41" cm="1">
        <f t="array" ref="V205">K205*VLOOKUP($G205, Factor!$C$4:$N$36, 5, 0)*INDEX(Factor!$C$41:$N$87, _xlfn.XMATCH($C205, Factor!$C$41:$C$87, -1), 5)</f>
        <v>14.399999999999999</v>
      </c>
      <c r="W205" s="41" cm="1">
        <f t="array" ref="W205">L205*VLOOKUP($G205, Factor!$C$4:$N$36, 6, 0)*INDEX(Factor!$C$41:$N$87, _xlfn.XMATCH($C205, Factor!$C$41:$C$87, -1), 6)</f>
        <v>24</v>
      </c>
      <c r="X205" s="41" cm="1">
        <f t="array" ref="X205">M205*VLOOKUP($G205, Factor!$C$4:$N$36, 7, 0)*INDEX(Factor!$C$41:$N$87, _xlfn.XMATCH($C205, Factor!$C$41:$C$87, -1), 7)</f>
        <v>36000</v>
      </c>
      <c r="Y205" s="41" cm="1">
        <f t="array" ref="Y205">N205*VLOOKUP($G205, Factor!$C$4:$N$36, 8, 0)*INDEX(Factor!$C$41:$N$87, _xlfn.XMATCH($C205, Factor!$C$41:$C$87, -1), 8)</f>
        <v>1920</v>
      </c>
      <c r="Z205" s="41" cm="1">
        <f t="array" ref="Z205">O205*VLOOKUP($G205, Factor!$C$4:$N$36, 9, 0)*INDEX(Factor!$C$41:$N$87, _xlfn.XMATCH($C205, Factor!$C$41:$C$87, -1), 9)</f>
        <v>24</v>
      </c>
      <c r="AA205" s="41" cm="1">
        <f t="array" ref="AA205">P205*VLOOKUP($G205, Factor!$C$4:$N$36, 10, 0)*INDEX(Factor!$C$41:$N$87, _xlfn.XMATCH($C205, Factor!$C$41:$C$87, -1), 10)</f>
        <v>1920</v>
      </c>
      <c r="AB205" s="41" cm="1">
        <f t="array" ref="AB205">Q205*VLOOKUP($G205, Factor!$C$4:$N$36, 11, 0)*INDEX(Factor!$C$41:$N$87, _xlfn.XMATCH($C205, Factor!$C$41:$C$87, -1), 11)</f>
        <v>24</v>
      </c>
      <c r="AC205" s="41" cm="1">
        <f t="array" ref="AC205">R205*VLOOKUP($G205, Factor!$C$4:$N$36, 12, 0)*INDEX(Factor!$C$41:$N$87, _xlfn.XMATCH($C205, Factor!$C$41:$C$87, -1), 12)</f>
        <v>8</v>
      </c>
      <c r="AD205" s="41"/>
    </row>
    <row r="206" spans="1:30" ht="15.75" customHeight="1" x14ac:dyDescent="0.2">
      <c r="A206" s="18" t="str">
        <f>"locomotive_"&amp; VLOOKUP(F206, Factor!$BK$4:$BL$6, 2, 0) &amp;"_"&amp;Locomotive!D206&amp;"_"&amp;VLOOKUP(E206, Factor!$BM$4:$BN$36, 2, 0)</f>
        <v>locomotive_St_T8_005</v>
      </c>
      <c r="B206" s="18" t="str">
        <f t="shared" si="6"/>
        <v>T8 군용 증기기관차</v>
      </c>
      <c r="C206" s="18">
        <f>VLOOKUP(D206, Factor!$B$41:$C$50, 2, 0)</f>
        <v>80000</v>
      </c>
      <c r="D206" s="18" t="s">
        <v>326</v>
      </c>
      <c r="E206" s="18" t="s">
        <v>508</v>
      </c>
      <c r="F206" s="18" t="s">
        <v>505</v>
      </c>
      <c r="G206" s="18" t="str">
        <f t="shared" si="7"/>
        <v>군용 증기</v>
      </c>
      <c r="H206" s="18">
        <v>1</v>
      </c>
      <c r="I206" s="18">
        <v>1</v>
      </c>
      <c r="J206" s="18">
        <v>1</v>
      </c>
      <c r="K206" s="18">
        <v>1</v>
      </c>
      <c r="L206" s="18">
        <v>1</v>
      </c>
      <c r="M206" s="18">
        <v>1</v>
      </c>
      <c r="N206" s="18">
        <v>1</v>
      </c>
      <c r="O206" s="18">
        <v>1</v>
      </c>
      <c r="P206" s="18">
        <v>1</v>
      </c>
      <c r="Q206" s="18">
        <v>1</v>
      </c>
      <c r="R206" s="18">
        <v>1</v>
      </c>
      <c r="S206" s="18" cm="1">
        <f t="array" ref="S206">H206*VLOOKUP($G206, Factor!$C$4:$N$36, 2, 0)*INDEX(Factor!$C$41:$N$87, _xlfn.XMATCH($C206, Factor!$C$41:$C$87, -1), 2)</f>
        <v>216</v>
      </c>
      <c r="T206" s="18" cm="1">
        <f t="array" ref="T206">I206*VLOOKUP($G206, Factor!$C$4:$N$36, 3, 0)*INDEX(Factor!$C$41:$N$87, _xlfn.XMATCH($C206, Factor!$C$41:$C$87, -1), 3)</f>
        <v>3840</v>
      </c>
      <c r="U206" s="18" cm="1">
        <f t="array" ref="U206">J206*VLOOKUP($G206, Factor!$C$4:$N$36, 4, 0)*INDEX(Factor!$C$41:$N$87, _xlfn.XMATCH($C206, Factor!$C$41:$C$87, -1), 4)</f>
        <v>9</v>
      </c>
      <c r="V206" s="18" cm="1">
        <f t="array" ref="V206">K206*VLOOKUP($G206, Factor!$C$4:$N$36, 5, 0)*INDEX(Factor!$C$41:$N$87, _xlfn.XMATCH($C206, Factor!$C$41:$C$87, -1), 5)</f>
        <v>4.8</v>
      </c>
      <c r="W206" s="18" cm="1">
        <f t="array" ref="W206">L206*VLOOKUP($G206, Factor!$C$4:$N$36, 6, 0)*INDEX(Factor!$C$41:$N$87, _xlfn.XMATCH($C206, Factor!$C$41:$C$87, -1), 6)</f>
        <v>43.199999999999996</v>
      </c>
      <c r="X206" s="18" cm="1">
        <f t="array" ref="X206">M206*VLOOKUP($G206, Factor!$C$4:$N$36, 7, 0)*INDEX(Factor!$C$41:$N$87, _xlfn.XMATCH($C206, Factor!$C$41:$C$87, -1), 7)</f>
        <v>24000</v>
      </c>
      <c r="Y206" s="18" cm="1">
        <f t="array" ref="Y206">N206*VLOOKUP($G206, Factor!$C$4:$N$36, 8, 0)*INDEX(Factor!$C$41:$N$87, _xlfn.XMATCH($C206, Factor!$C$41:$C$87, -1), 8)</f>
        <v>2400</v>
      </c>
      <c r="Z206" s="18" cm="1">
        <f t="array" ref="Z206">O206*VLOOKUP($G206, Factor!$C$4:$N$36, 9, 0)*INDEX(Factor!$C$41:$N$87, _xlfn.XMATCH($C206, Factor!$C$41:$C$87, -1), 9)</f>
        <v>72</v>
      </c>
      <c r="AA206" s="18" cm="1">
        <f t="array" ref="AA206">P206*VLOOKUP($G206, Factor!$C$4:$N$36, 10, 0)*INDEX(Factor!$C$41:$N$87, _xlfn.XMATCH($C206, Factor!$C$41:$C$87, -1), 10)</f>
        <v>2400</v>
      </c>
      <c r="AB206" s="18" cm="1">
        <f t="array" ref="AB206">Q206*VLOOKUP($G206, Factor!$C$4:$N$36, 11, 0)*INDEX(Factor!$C$41:$N$87, _xlfn.XMATCH($C206, Factor!$C$41:$C$87, -1), 11)</f>
        <v>8</v>
      </c>
      <c r="AC206" s="18" cm="1">
        <f t="array" ref="AC206">R206*VLOOKUP($G206, Factor!$C$4:$N$36, 12, 0)*INDEX(Factor!$C$41:$N$87, _xlfn.XMATCH($C206, Factor!$C$41:$C$87, -1), 12)</f>
        <v>8</v>
      </c>
      <c r="AD206" s="18"/>
    </row>
    <row r="207" spans="1:30" ht="15.75" customHeight="1" x14ac:dyDescent="0.2">
      <c r="A207" s="15" t="str">
        <f>"locomotive_"&amp; VLOOKUP(F207, Factor!$BK$4:$BL$6, 2, 0) &amp;"_"&amp;Locomotive!D207&amp;"_"&amp;VLOOKUP(E207, Factor!$BM$4:$BN$36, 2, 0)</f>
        <v>locomotive_El_T8_005</v>
      </c>
      <c r="B207" s="15" t="str">
        <f t="shared" si="6"/>
        <v>T8 군용 전기기관차</v>
      </c>
      <c r="C207" s="15">
        <f>VLOOKUP(D207, Factor!$B$41:$C$50, 2, 0)</f>
        <v>80000</v>
      </c>
      <c r="D207" s="15" t="s">
        <v>326</v>
      </c>
      <c r="E207" s="41" t="s">
        <v>508</v>
      </c>
      <c r="F207" s="41" t="s">
        <v>502</v>
      </c>
      <c r="G207" s="41" t="str">
        <f t="shared" si="7"/>
        <v>군용 전기</v>
      </c>
      <c r="H207" s="41">
        <v>1</v>
      </c>
      <c r="I207" s="41">
        <v>1</v>
      </c>
      <c r="J207" s="41">
        <v>1</v>
      </c>
      <c r="K207" s="41">
        <v>1</v>
      </c>
      <c r="L207" s="41">
        <v>1</v>
      </c>
      <c r="M207" s="41">
        <v>1</v>
      </c>
      <c r="N207" s="41">
        <v>1</v>
      </c>
      <c r="O207" s="41">
        <v>1</v>
      </c>
      <c r="P207" s="41">
        <v>1</v>
      </c>
      <c r="Q207" s="41">
        <v>1</v>
      </c>
      <c r="R207" s="41">
        <v>1</v>
      </c>
      <c r="S207" s="41" cm="1">
        <f t="array" ref="S207">H207*VLOOKUP($G207, Factor!$C$4:$N$36, 2, 0)*INDEX(Factor!$C$41:$N$87, _xlfn.XMATCH($C207, Factor!$C$41:$C$87, -1), 2)</f>
        <v>408</v>
      </c>
      <c r="T207" s="41" cm="1">
        <f t="array" ref="T207">I207*VLOOKUP($G207, Factor!$C$4:$N$36, 3, 0)*INDEX(Factor!$C$41:$N$87, _xlfn.XMATCH($C207, Factor!$C$41:$C$87, -1), 3)</f>
        <v>2400</v>
      </c>
      <c r="U207" s="41" cm="1">
        <f t="array" ref="U207">J207*VLOOKUP($G207, Factor!$C$4:$N$36, 4, 0)*INDEX(Factor!$C$41:$N$87, _xlfn.XMATCH($C207, Factor!$C$41:$C$87, -1), 4)</f>
        <v>9</v>
      </c>
      <c r="V207" s="41" cm="1">
        <f t="array" ref="V207">K207*VLOOKUP($G207, Factor!$C$4:$N$36, 5, 0)*INDEX(Factor!$C$41:$N$87, _xlfn.XMATCH($C207, Factor!$C$41:$C$87, -1), 5)</f>
        <v>12</v>
      </c>
      <c r="W207" s="41" cm="1">
        <f t="array" ref="W207">L207*VLOOKUP($G207, Factor!$C$4:$N$36, 6, 0)*INDEX(Factor!$C$41:$N$87, _xlfn.XMATCH($C207, Factor!$C$41:$C$87, -1), 6)</f>
        <v>43.199999999999996</v>
      </c>
      <c r="X207" s="41" cm="1">
        <f t="array" ref="X207">M207*VLOOKUP($G207, Factor!$C$4:$N$36, 7, 0)*INDEX(Factor!$C$41:$N$87, _xlfn.XMATCH($C207, Factor!$C$41:$C$87, -1), 7)</f>
        <v>16800</v>
      </c>
      <c r="Y207" s="41" cm="1">
        <f t="array" ref="Y207">N207*VLOOKUP($G207, Factor!$C$4:$N$36, 8, 0)*INDEX(Factor!$C$41:$N$87, _xlfn.XMATCH($C207, Factor!$C$41:$C$87, -1), 8)</f>
        <v>1680</v>
      </c>
      <c r="Z207" s="41" cm="1">
        <f t="array" ref="Z207">O207*VLOOKUP($G207, Factor!$C$4:$N$36, 9, 0)*INDEX(Factor!$C$41:$N$87, _xlfn.XMATCH($C207, Factor!$C$41:$C$87, -1), 9)</f>
        <v>12</v>
      </c>
      <c r="AA207" s="41" cm="1">
        <f t="array" ref="AA207">P207*VLOOKUP($G207, Factor!$C$4:$N$36, 10, 0)*INDEX(Factor!$C$41:$N$87, _xlfn.XMATCH($C207, Factor!$C$41:$C$87, -1), 10)</f>
        <v>1680</v>
      </c>
      <c r="AB207" s="41" cm="1">
        <f t="array" ref="AB207">Q207*VLOOKUP($G207, Factor!$C$4:$N$36, 11, 0)*INDEX(Factor!$C$41:$N$87, _xlfn.XMATCH($C207, Factor!$C$41:$C$87, -1), 11)</f>
        <v>8</v>
      </c>
      <c r="AC207" s="41" cm="1">
        <f t="array" ref="AC207">R207*VLOOKUP($G207, Factor!$C$4:$N$36, 12, 0)*INDEX(Factor!$C$41:$N$87, _xlfn.XMATCH($C207, Factor!$C$41:$C$87, -1), 12)</f>
        <v>8</v>
      </c>
      <c r="AD207" s="41"/>
    </row>
    <row r="208" spans="1:30" ht="15.75" customHeight="1" x14ac:dyDescent="0.2">
      <c r="A208" s="18" t="str">
        <f>"locomotive_"&amp; VLOOKUP(F208, Factor!$BK$4:$BL$6, 2, 0) &amp;"_"&amp;Locomotive!D208&amp;"_"&amp;VLOOKUP(E208, Factor!$BM$4:$BN$36, 2, 0)</f>
        <v>locomotive_Dz_T8_005</v>
      </c>
      <c r="B208" s="18" t="str">
        <f t="shared" si="6"/>
        <v>T8 군용 디젤기관차</v>
      </c>
      <c r="C208" s="18">
        <f>VLOOKUP(D208, Factor!$B$41:$C$50, 2, 0)</f>
        <v>80000</v>
      </c>
      <c r="D208" s="18" t="s">
        <v>326</v>
      </c>
      <c r="E208" s="18" t="s">
        <v>508</v>
      </c>
      <c r="F208" s="18" t="s">
        <v>503</v>
      </c>
      <c r="G208" s="18" t="str">
        <f t="shared" si="7"/>
        <v>군용 디젤</v>
      </c>
      <c r="H208" s="18">
        <v>1</v>
      </c>
      <c r="I208" s="18">
        <v>1</v>
      </c>
      <c r="J208" s="18">
        <v>1</v>
      </c>
      <c r="K208" s="18">
        <v>1</v>
      </c>
      <c r="L208" s="18">
        <v>1</v>
      </c>
      <c r="M208" s="18">
        <v>1</v>
      </c>
      <c r="N208" s="18">
        <v>1</v>
      </c>
      <c r="O208" s="18">
        <v>1</v>
      </c>
      <c r="P208" s="18">
        <v>1</v>
      </c>
      <c r="Q208" s="18">
        <v>1</v>
      </c>
      <c r="R208" s="18">
        <v>1</v>
      </c>
      <c r="S208" s="18" cm="1">
        <f t="array" ref="S208">H208*VLOOKUP($G208, Factor!$C$4:$N$36, 2, 0)*INDEX(Factor!$C$41:$N$87, _xlfn.XMATCH($C208, Factor!$C$41:$C$87, -1), 2)</f>
        <v>264</v>
      </c>
      <c r="T208" s="18" cm="1">
        <f t="array" ref="T208">I208*VLOOKUP($G208, Factor!$C$4:$N$36, 3, 0)*INDEX(Factor!$C$41:$N$87, _xlfn.XMATCH($C208, Factor!$C$41:$C$87, -1), 3)</f>
        <v>3840</v>
      </c>
      <c r="U208" s="18" cm="1">
        <f t="array" ref="U208">J208*VLOOKUP($G208, Factor!$C$4:$N$36, 4, 0)*INDEX(Factor!$C$41:$N$87, _xlfn.XMATCH($C208, Factor!$C$41:$C$87, -1), 4)</f>
        <v>9</v>
      </c>
      <c r="V208" s="18" cm="1">
        <f t="array" ref="V208">K208*VLOOKUP($G208, Factor!$C$4:$N$36, 5, 0)*INDEX(Factor!$C$41:$N$87, _xlfn.XMATCH($C208, Factor!$C$41:$C$87, -1), 5)</f>
        <v>7.1999999999999993</v>
      </c>
      <c r="W208" s="18" cm="1">
        <f t="array" ref="W208">L208*VLOOKUP($G208, Factor!$C$4:$N$36, 6, 0)*INDEX(Factor!$C$41:$N$87, _xlfn.XMATCH($C208, Factor!$C$41:$C$87, -1), 6)</f>
        <v>43.199999999999996</v>
      </c>
      <c r="X208" s="18" cm="1">
        <f t="array" ref="X208">M208*VLOOKUP($G208, Factor!$C$4:$N$36, 7, 0)*INDEX(Factor!$C$41:$N$87, _xlfn.XMATCH($C208, Factor!$C$41:$C$87, -1), 7)</f>
        <v>36000</v>
      </c>
      <c r="Y208" s="18" cm="1">
        <f t="array" ref="Y208">N208*VLOOKUP($G208, Factor!$C$4:$N$36, 8, 0)*INDEX(Factor!$C$41:$N$87, _xlfn.XMATCH($C208, Factor!$C$41:$C$87, -1), 8)</f>
        <v>1920</v>
      </c>
      <c r="Z208" s="18" cm="1">
        <f t="array" ref="Z208">O208*VLOOKUP($G208, Factor!$C$4:$N$36, 9, 0)*INDEX(Factor!$C$41:$N$87, _xlfn.XMATCH($C208, Factor!$C$41:$C$87, -1), 9)</f>
        <v>24</v>
      </c>
      <c r="AA208" s="18" cm="1">
        <f t="array" ref="AA208">P208*VLOOKUP($G208, Factor!$C$4:$N$36, 10, 0)*INDEX(Factor!$C$41:$N$87, _xlfn.XMATCH($C208, Factor!$C$41:$C$87, -1), 10)</f>
        <v>1920</v>
      </c>
      <c r="AB208" s="18" cm="1">
        <f t="array" ref="AB208">Q208*VLOOKUP($G208, Factor!$C$4:$N$36, 11, 0)*INDEX(Factor!$C$41:$N$87, _xlfn.XMATCH($C208, Factor!$C$41:$C$87, -1), 11)</f>
        <v>8</v>
      </c>
      <c r="AC208" s="18" cm="1">
        <f t="array" ref="AC208">R208*VLOOKUP($G208, Factor!$C$4:$N$36, 12, 0)*INDEX(Factor!$C$41:$N$87, _xlfn.XMATCH($C208, Factor!$C$41:$C$87, -1), 12)</f>
        <v>8</v>
      </c>
      <c r="AD208" s="18"/>
    </row>
    <row r="209" spans="1:30" ht="15.75" customHeight="1" x14ac:dyDescent="0.2">
      <c r="A209" s="15" t="str">
        <f>"locomotive_"&amp; VLOOKUP(F209, Factor!$BK$4:$BL$6, 2, 0) &amp;"_"&amp;Locomotive!D209&amp;"_"&amp;VLOOKUP(E209, Factor!$BM$4:$BN$36, 2, 0)</f>
        <v>locomotive_St_T8_006</v>
      </c>
      <c r="B209" s="15" t="str">
        <f t="shared" si="6"/>
        <v>T8 여객 증기기관차</v>
      </c>
      <c r="C209" s="15">
        <f>VLOOKUP(D209, Factor!$B$41:$C$50, 2, 0)</f>
        <v>80000</v>
      </c>
      <c r="D209" s="15" t="s">
        <v>326</v>
      </c>
      <c r="E209" s="41" t="s">
        <v>509</v>
      </c>
      <c r="F209" s="41" t="s">
        <v>505</v>
      </c>
      <c r="G209" s="41" t="str">
        <f t="shared" si="7"/>
        <v>여객 증기</v>
      </c>
      <c r="H209" s="41">
        <v>1</v>
      </c>
      <c r="I209" s="41">
        <v>1</v>
      </c>
      <c r="J209" s="41">
        <v>1</v>
      </c>
      <c r="K209" s="41">
        <v>1</v>
      </c>
      <c r="L209" s="41">
        <v>1</v>
      </c>
      <c r="M209" s="41">
        <v>1</v>
      </c>
      <c r="N209" s="41">
        <v>1</v>
      </c>
      <c r="O209" s="41">
        <v>1</v>
      </c>
      <c r="P209" s="41">
        <v>1</v>
      </c>
      <c r="Q209" s="41">
        <v>1</v>
      </c>
      <c r="R209" s="41">
        <v>1</v>
      </c>
      <c r="S209" s="41" cm="1">
        <f t="array" ref="S209">H209*VLOOKUP($G209, Factor!$C$4:$N$36, 2, 0)*INDEX(Factor!$C$41:$N$87, _xlfn.XMATCH($C209, Factor!$C$41:$C$87, -1), 2)</f>
        <v>240</v>
      </c>
      <c r="T209" s="41" cm="1">
        <f t="array" ref="T209">I209*VLOOKUP($G209, Factor!$C$4:$N$36, 3, 0)*INDEX(Factor!$C$41:$N$87, _xlfn.XMATCH($C209, Factor!$C$41:$C$87, -1), 3)</f>
        <v>2400</v>
      </c>
      <c r="U209" s="41" cm="1">
        <f t="array" ref="U209">J209*VLOOKUP($G209, Factor!$C$4:$N$36, 4, 0)*INDEX(Factor!$C$41:$N$87, _xlfn.XMATCH($C209, Factor!$C$41:$C$87, -1), 4)</f>
        <v>9</v>
      </c>
      <c r="V209" s="41" cm="1">
        <f t="array" ref="V209">K209*VLOOKUP($G209, Factor!$C$4:$N$36, 5, 0)*INDEX(Factor!$C$41:$N$87, _xlfn.XMATCH($C209, Factor!$C$41:$C$87, -1), 5)</f>
        <v>9.6</v>
      </c>
      <c r="W209" s="41" cm="1">
        <f t="array" ref="W209">L209*VLOOKUP($G209, Factor!$C$4:$N$36, 6, 0)*INDEX(Factor!$C$41:$N$87, _xlfn.XMATCH($C209, Factor!$C$41:$C$87, -1), 6)</f>
        <v>24</v>
      </c>
      <c r="X209" s="41" cm="1">
        <f t="array" ref="X209">M209*VLOOKUP($G209, Factor!$C$4:$N$36, 7, 0)*INDEX(Factor!$C$41:$N$87, _xlfn.XMATCH($C209, Factor!$C$41:$C$87, -1), 7)</f>
        <v>24000</v>
      </c>
      <c r="Y209" s="41" cm="1">
        <f t="array" ref="Y209">N209*VLOOKUP($G209, Factor!$C$4:$N$36, 8, 0)*INDEX(Factor!$C$41:$N$87, _xlfn.XMATCH($C209, Factor!$C$41:$C$87, -1), 8)</f>
        <v>2160</v>
      </c>
      <c r="Z209" s="41" cm="1">
        <f t="array" ref="Z209">O209*VLOOKUP($G209, Factor!$C$4:$N$36, 9, 0)*INDEX(Factor!$C$41:$N$87, _xlfn.XMATCH($C209, Factor!$C$41:$C$87, -1), 9)</f>
        <v>60</v>
      </c>
      <c r="AA209" s="41" cm="1">
        <f t="array" ref="AA209">P209*VLOOKUP($G209, Factor!$C$4:$N$36, 10, 0)*INDEX(Factor!$C$41:$N$87, _xlfn.XMATCH($C209, Factor!$C$41:$C$87, -1), 10)</f>
        <v>2160</v>
      </c>
      <c r="AB209" s="41" cm="1">
        <f t="array" ref="AB209">Q209*VLOOKUP($G209, Factor!$C$4:$N$36, 11, 0)*INDEX(Factor!$C$41:$N$87, _xlfn.XMATCH($C209, Factor!$C$41:$C$87, -1), 11)</f>
        <v>8</v>
      </c>
      <c r="AC209" s="41" cm="1">
        <f t="array" ref="AC209">R209*VLOOKUP($G209, Factor!$C$4:$N$36, 12, 0)*INDEX(Factor!$C$41:$N$87, _xlfn.XMATCH($C209, Factor!$C$41:$C$87, -1), 12)</f>
        <v>24</v>
      </c>
      <c r="AD209" s="41"/>
    </row>
    <row r="210" spans="1:30" ht="15.75" customHeight="1" x14ac:dyDescent="0.2">
      <c r="A210" s="18" t="str">
        <f>"locomotive_"&amp; VLOOKUP(F210, Factor!$BK$4:$BL$6, 2, 0) &amp;"_"&amp;Locomotive!D210&amp;"_"&amp;VLOOKUP(E210, Factor!$BM$4:$BN$36, 2, 0)</f>
        <v>locomotive_El_T8_006</v>
      </c>
      <c r="B210" s="18" t="str">
        <f t="shared" si="6"/>
        <v>T8 여객 전기기관차</v>
      </c>
      <c r="C210" s="18">
        <f>VLOOKUP(D210, Factor!$B$41:$C$50, 2, 0)</f>
        <v>80000</v>
      </c>
      <c r="D210" s="18" t="s">
        <v>326</v>
      </c>
      <c r="E210" s="18" t="s">
        <v>509</v>
      </c>
      <c r="F210" s="18" t="s">
        <v>502</v>
      </c>
      <c r="G210" s="18" t="str">
        <f t="shared" si="7"/>
        <v>여객 전기</v>
      </c>
      <c r="H210" s="18">
        <v>1</v>
      </c>
      <c r="I210" s="18">
        <v>1</v>
      </c>
      <c r="J210" s="18">
        <v>1</v>
      </c>
      <c r="K210" s="18">
        <v>1</v>
      </c>
      <c r="L210" s="18">
        <v>1</v>
      </c>
      <c r="M210" s="18">
        <v>1</v>
      </c>
      <c r="N210" s="18">
        <v>1</v>
      </c>
      <c r="O210" s="18">
        <v>1</v>
      </c>
      <c r="P210" s="18">
        <v>1</v>
      </c>
      <c r="Q210" s="18">
        <v>1</v>
      </c>
      <c r="R210" s="18">
        <v>1</v>
      </c>
      <c r="S210" s="18" cm="1">
        <f t="array" ref="S210">H210*VLOOKUP($G210, Factor!$C$4:$N$36, 2, 0)*INDEX(Factor!$C$41:$N$87, _xlfn.XMATCH($C210, Factor!$C$41:$C$87, -1), 2)</f>
        <v>480</v>
      </c>
      <c r="T210" s="18" cm="1">
        <f t="array" ref="T210">I210*VLOOKUP($G210, Factor!$C$4:$N$36, 3, 0)*INDEX(Factor!$C$41:$N$87, _xlfn.XMATCH($C210, Factor!$C$41:$C$87, -1), 3)</f>
        <v>1920</v>
      </c>
      <c r="U210" s="18" cm="1">
        <f t="array" ref="U210">J210*VLOOKUP($G210, Factor!$C$4:$N$36, 4, 0)*INDEX(Factor!$C$41:$N$87, _xlfn.XMATCH($C210, Factor!$C$41:$C$87, -1), 4)</f>
        <v>9</v>
      </c>
      <c r="V210" s="18" cm="1">
        <f t="array" ref="V210">K210*VLOOKUP($G210, Factor!$C$4:$N$36, 5, 0)*INDEX(Factor!$C$41:$N$87, _xlfn.XMATCH($C210, Factor!$C$41:$C$87, -1), 5)</f>
        <v>19.2</v>
      </c>
      <c r="W210" s="18" cm="1">
        <f t="array" ref="W210">L210*VLOOKUP($G210, Factor!$C$4:$N$36, 6, 0)*INDEX(Factor!$C$41:$N$87, _xlfn.XMATCH($C210, Factor!$C$41:$C$87, -1), 6)</f>
        <v>24</v>
      </c>
      <c r="X210" s="18" cm="1">
        <f t="array" ref="X210">M210*VLOOKUP($G210, Factor!$C$4:$N$36, 7, 0)*INDEX(Factor!$C$41:$N$87, _xlfn.XMATCH($C210, Factor!$C$41:$C$87, -1), 7)</f>
        <v>16800</v>
      </c>
      <c r="Y210" s="18" cm="1">
        <f t="array" ref="Y210">N210*VLOOKUP($G210, Factor!$C$4:$N$36, 8, 0)*INDEX(Factor!$C$41:$N$87, _xlfn.XMATCH($C210, Factor!$C$41:$C$87, -1), 8)</f>
        <v>1440</v>
      </c>
      <c r="Z210" s="18" cm="1">
        <f t="array" ref="Z210">O210*VLOOKUP($G210, Factor!$C$4:$N$36, 9, 0)*INDEX(Factor!$C$41:$N$87, _xlfn.XMATCH($C210, Factor!$C$41:$C$87, -1), 9)</f>
        <v>9.6</v>
      </c>
      <c r="AA210" s="18" cm="1">
        <f t="array" ref="AA210">P210*VLOOKUP($G210, Factor!$C$4:$N$36, 10, 0)*INDEX(Factor!$C$41:$N$87, _xlfn.XMATCH($C210, Factor!$C$41:$C$87, -1), 10)</f>
        <v>1440</v>
      </c>
      <c r="AB210" s="18" cm="1">
        <f t="array" ref="AB210">Q210*VLOOKUP($G210, Factor!$C$4:$N$36, 11, 0)*INDEX(Factor!$C$41:$N$87, _xlfn.XMATCH($C210, Factor!$C$41:$C$87, -1), 11)</f>
        <v>8</v>
      </c>
      <c r="AC210" s="18" cm="1">
        <f t="array" ref="AC210">R210*VLOOKUP($G210, Factor!$C$4:$N$36, 12, 0)*INDEX(Factor!$C$41:$N$87, _xlfn.XMATCH($C210, Factor!$C$41:$C$87, -1), 12)</f>
        <v>24</v>
      </c>
      <c r="AD210" s="18"/>
    </row>
    <row r="211" spans="1:30" ht="15.75" customHeight="1" x14ac:dyDescent="0.2">
      <c r="A211" s="15" t="str">
        <f>"locomotive_"&amp; VLOOKUP(F211, Factor!$BK$4:$BL$6, 2, 0) &amp;"_"&amp;Locomotive!D211&amp;"_"&amp;VLOOKUP(E211, Factor!$BM$4:$BN$36, 2, 0)</f>
        <v>locomotive_Dz_T8_006</v>
      </c>
      <c r="B211" s="15" t="str">
        <f t="shared" si="6"/>
        <v>T8 여객 디젤기관차</v>
      </c>
      <c r="C211" s="15">
        <f>VLOOKUP(D211, Factor!$B$41:$C$50, 2, 0)</f>
        <v>80000</v>
      </c>
      <c r="D211" s="15" t="s">
        <v>326</v>
      </c>
      <c r="E211" s="41" t="s">
        <v>509</v>
      </c>
      <c r="F211" s="41" t="s">
        <v>503</v>
      </c>
      <c r="G211" s="41" t="str">
        <f t="shared" si="7"/>
        <v>여객 디젤</v>
      </c>
      <c r="H211" s="41">
        <v>1</v>
      </c>
      <c r="I211" s="41">
        <v>1</v>
      </c>
      <c r="J211" s="41">
        <v>1</v>
      </c>
      <c r="K211" s="41">
        <v>1</v>
      </c>
      <c r="L211" s="41">
        <v>1</v>
      </c>
      <c r="M211" s="41">
        <v>1</v>
      </c>
      <c r="N211" s="41">
        <v>1</v>
      </c>
      <c r="O211" s="41">
        <v>1</v>
      </c>
      <c r="P211" s="41">
        <v>1</v>
      </c>
      <c r="Q211" s="41">
        <v>1</v>
      </c>
      <c r="R211" s="41">
        <v>1</v>
      </c>
      <c r="S211" s="41" cm="1">
        <f t="array" ref="S211">H211*VLOOKUP($G211, Factor!$C$4:$N$36, 2, 0)*INDEX(Factor!$C$41:$N$87, _xlfn.XMATCH($C211, Factor!$C$41:$C$87, -1), 2)</f>
        <v>360</v>
      </c>
      <c r="T211" s="41" cm="1">
        <f t="array" ref="T211">I211*VLOOKUP($G211, Factor!$C$4:$N$36, 3, 0)*INDEX(Factor!$C$41:$N$87, _xlfn.XMATCH($C211, Factor!$C$41:$C$87, -1), 3)</f>
        <v>2880</v>
      </c>
      <c r="U211" s="41" cm="1">
        <f t="array" ref="U211">J211*VLOOKUP($G211, Factor!$C$4:$N$36, 4, 0)*INDEX(Factor!$C$41:$N$87, _xlfn.XMATCH($C211, Factor!$C$41:$C$87, -1), 4)</f>
        <v>9</v>
      </c>
      <c r="V211" s="41" cm="1">
        <f t="array" ref="V211">K211*VLOOKUP($G211, Factor!$C$4:$N$36, 5, 0)*INDEX(Factor!$C$41:$N$87, _xlfn.XMATCH($C211, Factor!$C$41:$C$87, -1), 5)</f>
        <v>14.399999999999999</v>
      </c>
      <c r="W211" s="41" cm="1">
        <f t="array" ref="W211">L211*VLOOKUP($G211, Factor!$C$4:$N$36, 6, 0)*INDEX(Factor!$C$41:$N$87, _xlfn.XMATCH($C211, Factor!$C$41:$C$87, -1), 6)</f>
        <v>24</v>
      </c>
      <c r="X211" s="41" cm="1">
        <f t="array" ref="X211">M211*VLOOKUP($G211, Factor!$C$4:$N$36, 7, 0)*INDEX(Factor!$C$41:$N$87, _xlfn.XMATCH($C211, Factor!$C$41:$C$87, -1), 7)</f>
        <v>36000</v>
      </c>
      <c r="Y211" s="41" cm="1">
        <f t="array" ref="Y211">N211*VLOOKUP($G211, Factor!$C$4:$N$36, 8, 0)*INDEX(Factor!$C$41:$N$87, _xlfn.XMATCH($C211, Factor!$C$41:$C$87, -1), 8)</f>
        <v>1680</v>
      </c>
      <c r="Z211" s="41" cm="1">
        <f t="array" ref="Z211">O211*VLOOKUP($G211, Factor!$C$4:$N$36, 9, 0)*INDEX(Factor!$C$41:$N$87, _xlfn.XMATCH($C211, Factor!$C$41:$C$87, -1), 9)</f>
        <v>16.8</v>
      </c>
      <c r="AA211" s="41" cm="1">
        <f t="array" ref="AA211">P211*VLOOKUP($G211, Factor!$C$4:$N$36, 10, 0)*INDEX(Factor!$C$41:$N$87, _xlfn.XMATCH($C211, Factor!$C$41:$C$87, -1), 10)</f>
        <v>1680</v>
      </c>
      <c r="AB211" s="41" cm="1">
        <f t="array" ref="AB211">Q211*VLOOKUP($G211, Factor!$C$4:$N$36, 11, 0)*INDEX(Factor!$C$41:$N$87, _xlfn.XMATCH($C211, Factor!$C$41:$C$87, -1), 11)</f>
        <v>8</v>
      </c>
      <c r="AC211" s="41" cm="1">
        <f t="array" ref="AC211">R211*VLOOKUP($G211, Factor!$C$4:$N$36, 12, 0)*INDEX(Factor!$C$41:$N$87, _xlfn.XMATCH($C211, Factor!$C$41:$C$87, -1), 12)</f>
        <v>24</v>
      </c>
      <c r="AD211" s="41"/>
    </row>
    <row r="212" spans="1:30" ht="15.75" customHeight="1" x14ac:dyDescent="0.2">
      <c r="A212" s="18" t="str">
        <f>"locomotive_"&amp; VLOOKUP(F212, Factor!$BK$4:$BL$6, 2, 0) &amp;"_"&amp;Locomotive!D212&amp;"_"&amp;VLOOKUP(E212, Factor!$BM$4:$BN$36, 2, 0)</f>
        <v>locomotive_St_T8_007</v>
      </c>
      <c r="B212" s="18" t="str">
        <f t="shared" si="6"/>
        <v>T8 시운 증기기관차</v>
      </c>
      <c r="C212" s="18">
        <f>VLOOKUP(D212, Factor!$B$41:$C$50, 2, 0)</f>
        <v>80000</v>
      </c>
      <c r="D212" s="18" t="s">
        <v>326</v>
      </c>
      <c r="E212" s="18" t="s">
        <v>510</v>
      </c>
      <c r="F212" s="18" t="s">
        <v>505</v>
      </c>
      <c r="G212" s="18" t="str">
        <f t="shared" si="7"/>
        <v>시운 증기</v>
      </c>
      <c r="H212" s="18">
        <v>1</v>
      </c>
      <c r="I212" s="18">
        <v>1</v>
      </c>
      <c r="J212" s="18">
        <v>1</v>
      </c>
      <c r="K212" s="18">
        <v>1</v>
      </c>
      <c r="L212" s="18">
        <v>1</v>
      </c>
      <c r="M212" s="18">
        <v>1</v>
      </c>
      <c r="N212" s="18">
        <v>1</v>
      </c>
      <c r="O212" s="18">
        <v>1</v>
      </c>
      <c r="P212" s="18">
        <v>1</v>
      </c>
      <c r="Q212" s="18">
        <v>1</v>
      </c>
      <c r="R212" s="18">
        <v>1</v>
      </c>
      <c r="S212" s="18" cm="1">
        <f t="array" ref="S212">H212*VLOOKUP($G212, Factor!$C$4:$N$36, 2, 0)*INDEX(Factor!$C$41:$N$87, _xlfn.XMATCH($C212, Factor!$C$41:$C$87, -1), 2)</f>
        <v>240</v>
      </c>
      <c r="T212" s="18" cm="1">
        <f t="array" ref="T212">I212*VLOOKUP($G212, Factor!$C$4:$N$36, 3, 0)*INDEX(Factor!$C$41:$N$87, _xlfn.XMATCH($C212, Factor!$C$41:$C$87, -1), 3)</f>
        <v>2400</v>
      </c>
      <c r="U212" s="18" cm="1">
        <f t="array" ref="U212">J212*VLOOKUP($G212, Factor!$C$4:$N$36, 4, 0)*INDEX(Factor!$C$41:$N$87, _xlfn.XMATCH($C212, Factor!$C$41:$C$87, -1), 4)</f>
        <v>9</v>
      </c>
      <c r="V212" s="18" cm="1">
        <f t="array" ref="V212">K212*VLOOKUP($G212, Factor!$C$4:$N$36, 5, 0)*INDEX(Factor!$C$41:$N$87, _xlfn.XMATCH($C212, Factor!$C$41:$C$87, -1), 5)</f>
        <v>14.399999999999999</v>
      </c>
      <c r="W212" s="18" cm="1">
        <f t="array" ref="W212">L212*VLOOKUP($G212, Factor!$C$4:$N$36, 6, 0)*INDEX(Factor!$C$41:$N$87, _xlfn.XMATCH($C212, Factor!$C$41:$C$87, -1), 6)</f>
        <v>24</v>
      </c>
      <c r="X212" s="18" cm="1">
        <f t="array" ref="X212">M212*VLOOKUP($G212, Factor!$C$4:$N$36, 7, 0)*INDEX(Factor!$C$41:$N$87, _xlfn.XMATCH($C212, Factor!$C$41:$C$87, -1), 7)</f>
        <v>24000</v>
      </c>
      <c r="Y212" s="18" cm="1">
        <f t="array" ref="Y212">N212*VLOOKUP($G212, Factor!$C$4:$N$36, 8, 0)*INDEX(Factor!$C$41:$N$87, _xlfn.XMATCH($C212, Factor!$C$41:$C$87, -1), 8)</f>
        <v>1200</v>
      </c>
      <c r="Z212" s="18" cm="1">
        <f t="array" ref="Z212">O212*VLOOKUP($G212, Factor!$C$4:$N$36, 9, 0)*INDEX(Factor!$C$41:$N$87, _xlfn.XMATCH($C212, Factor!$C$41:$C$87, -1), 9)</f>
        <v>72</v>
      </c>
      <c r="AA212" s="18" cm="1">
        <f t="array" ref="AA212">P212*VLOOKUP($G212, Factor!$C$4:$N$36, 10, 0)*INDEX(Factor!$C$41:$N$87, _xlfn.XMATCH($C212, Factor!$C$41:$C$87, -1), 10)</f>
        <v>4800</v>
      </c>
      <c r="AB212" s="18" cm="1">
        <f t="array" ref="AB212">Q212*VLOOKUP($G212, Factor!$C$4:$N$36, 11, 0)*INDEX(Factor!$C$41:$N$87, _xlfn.XMATCH($C212, Factor!$C$41:$C$87, -1), 11)</f>
        <v>8</v>
      </c>
      <c r="AC212" s="18" cm="1">
        <f t="array" ref="AC212">R212*VLOOKUP($G212, Factor!$C$4:$N$36, 12, 0)*INDEX(Factor!$C$41:$N$87, _xlfn.XMATCH($C212, Factor!$C$41:$C$87, -1), 12)</f>
        <v>8</v>
      </c>
      <c r="AD212" s="18"/>
    </row>
    <row r="213" spans="1:30" ht="15.75" customHeight="1" x14ac:dyDescent="0.2">
      <c r="A213" s="15" t="str">
        <f>"locomotive_"&amp; VLOOKUP(F213, Factor!$BK$4:$BL$6, 2, 0) &amp;"_"&amp;Locomotive!D213&amp;"_"&amp;VLOOKUP(E213, Factor!$BM$4:$BN$36, 2, 0)</f>
        <v>locomotive_El_T8_007</v>
      </c>
      <c r="B213" s="15" t="str">
        <f t="shared" si="6"/>
        <v>T8 시운 전기기관차</v>
      </c>
      <c r="C213" s="15">
        <f>VLOOKUP(D213, Factor!$B$41:$C$50, 2, 0)</f>
        <v>80000</v>
      </c>
      <c r="D213" s="15" t="s">
        <v>326</v>
      </c>
      <c r="E213" s="41" t="s">
        <v>510</v>
      </c>
      <c r="F213" s="41" t="s">
        <v>502</v>
      </c>
      <c r="G213" s="41" t="str">
        <f t="shared" si="7"/>
        <v>시운 전기</v>
      </c>
      <c r="H213" s="41">
        <v>1</v>
      </c>
      <c r="I213" s="41">
        <v>1</v>
      </c>
      <c r="J213" s="41">
        <v>1</v>
      </c>
      <c r="K213" s="41">
        <v>1</v>
      </c>
      <c r="L213" s="41">
        <v>1</v>
      </c>
      <c r="M213" s="41">
        <v>1</v>
      </c>
      <c r="N213" s="41">
        <v>1</v>
      </c>
      <c r="O213" s="41">
        <v>1</v>
      </c>
      <c r="P213" s="41">
        <v>1</v>
      </c>
      <c r="Q213" s="41">
        <v>1</v>
      </c>
      <c r="R213" s="41">
        <v>1</v>
      </c>
      <c r="S213" s="41" cm="1">
        <f t="array" ref="S213">H213*VLOOKUP($G213, Factor!$C$4:$N$36, 2, 0)*INDEX(Factor!$C$41:$N$87, _xlfn.XMATCH($C213, Factor!$C$41:$C$87, -1), 2)</f>
        <v>480</v>
      </c>
      <c r="T213" s="41" cm="1">
        <f t="array" ref="T213">I213*VLOOKUP($G213, Factor!$C$4:$N$36, 3, 0)*INDEX(Factor!$C$41:$N$87, _xlfn.XMATCH($C213, Factor!$C$41:$C$87, -1), 3)</f>
        <v>1920</v>
      </c>
      <c r="U213" s="41" cm="1">
        <f t="array" ref="U213">J213*VLOOKUP($G213, Factor!$C$4:$N$36, 4, 0)*INDEX(Factor!$C$41:$N$87, _xlfn.XMATCH($C213, Factor!$C$41:$C$87, -1), 4)</f>
        <v>9</v>
      </c>
      <c r="V213" s="41" cm="1">
        <f t="array" ref="V213">K213*VLOOKUP($G213, Factor!$C$4:$N$36, 5, 0)*INDEX(Factor!$C$41:$N$87, _xlfn.XMATCH($C213, Factor!$C$41:$C$87, -1), 5)</f>
        <v>24</v>
      </c>
      <c r="W213" s="41" cm="1">
        <f t="array" ref="W213">L213*VLOOKUP($G213, Factor!$C$4:$N$36, 6, 0)*INDEX(Factor!$C$41:$N$87, _xlfn.XMATCH($C213, Factor!$C$41:$C$87, -1), 6)</f>
        <v>24</v>
      </c>
      <c r="X213" s="41" cm="1">
        <f t="array" ref="X213">M213*VLOOKUP($G213, Factor!$C$4:$N$36, 7, 0)*INDEX(Factor!$C$41:$N$87, _xlfn.XMATCH($C213, Factor!$C$41:$C$87, -1), 7)</f>
        <v>16800</v>
      </c>
      <c r="Y213" s="41" cm="1">
        <f t="array" ref="Y213">N213*VLOOKUP($G213, Factor!$C$4:$N$36, 8, 0)*INDEX(Factor!$C$41:$N$87, _xlfn.XMATCH($C213, Factor!$C$41:$C$87, -1), 8)</f>
        <v>720</v>
      </c>
      <c r="Z213" s="41" cm="1">
        <f t="array" ref="Z213">O213*VLOOKUP($G213, Factor!$C$4:$N$36, 9, 0)*INDEX(Factor!$C$41:$N$87, _xlfn.XMATCH($C213, Factor!$C$41:$C$87, -1), 9)</f>
        <v>12</v>
      </c>
      <c r="AA213" s="41" cm="1">
        <f t="array" ref="AA213">P213*VLOOKUP($G213, Factor!$C$4:$N$36, 10, 0)*INDEX(Factor!$C$41:$N$87, _xlfn.XMATCH($C213, Factor!$C$41:$C$87, -1), 10)</f>
        <v>2400</v>
      </c>
      <c r="AB213" s="41" cm="1">
        <f t="array" ref="AB213">Q213*VLOOKUP($G213, Factor!$C$4:$N$36, 11, 0)*INDEX(Factor!$C$41:$N$87, _xlfn.XMATCH($C213, Factor!$C$41:$C$87, -1), 11)</f>
        <v>8</v>
      </c>
      <c r="AC213" s="41" cm="1">
        <f t="array" ref="AC213">R213*VLOOKUP($G213, Factor!$C$4:$N$36, 12, 0)*INDEX(Factor!$C$41:$N$87, _xlfn.XMATCH($C213, Factor!$C$41:$C$87, -1), 12)</f>
        <v>8</v>
      </c>
      <c r="AD213" s="41"/>
    </row>
    <row r="214" spans="1:30" ht="15.75" customHeight="1" x14ac:dyDescent="0.2">
      <c r="A214" s="18" t="str">
        <f>"locomotive_"&amp; VLOOKUP(F214, Factor!$BK$4:$BL$6, 2, 0) &amp;"_"&amp;Locomotive!D214&amp;"_"&amp;VLOOKUP(E214, Factor!$BM$4:$BN$36, 2, 0)</f>
        <v>locomotive_Dz_T8_007</v>
      </c>
      <c r="B214" s="18" t="str">
        <f t="shared" si="6"/>
        <v>T8 시운 디젤기관차</v>
      </c>
      <c r="C214" s="18">
        <f>VLOOKUP(D214, Factor!$B$41:$C$50, 2, 0)</f>
        <v>80000</v>
      </c>
      <c r="D214" s="18" t="s">
        <v>326</v>
      </c>
      <c r="E214" s="18" t="s">
        <v>510</v>
      </c>
      <c r="F214" s="18" t="s">
        <v>503</v>
      </c>
      <c r="G214" s="18" t="str">
        <f t="shared" si="7"/>
        <v>시운 디젤</v>
      </c>
      <c r="H214" s="18">
        <v>1</v>
      </c>
      <c r="I214" s="18">
        <v>1</v>
      </c>
      <c r="J214" s="18">
        <v>1</v>
      </c>
      <c r="K214" s="18">
        <v>1</v>
      </c>
      <c r="L214" s="18">
        <v>1</v>
      </c>
      <c r="M214" s="18">
        <v>1</v>
      </c>
      <c r="N214" s="18">
        <v>1</v>
      </c>
      <c r="O214" s="18">
        <v>1</v>
      </c>
      <c r="P214" s="18">
        <v>1</v>
      </c>
      <c r="Q214" s="18">
        <v>1</v>
      </c>
      <c r="R214" s="18">
        <v>1</v>
      </c>
      <c r="S214" s="18" cm="1">
        <f t="array" ref="S214">H214*VLOOKUP($G214, Factor!$C$4:$N$36, 2, 0)*INDEX(Factor!$C$41:$N$87, _xlfn.XMATCH($C214, Factor!$C$41:$C$87, -1), 2)</f>
        <v>360</v>
      </c>
      <c r="T214" s="18" cm="1">
        <f t="array" ref="T214">I214*VLOOKUP($G214, Factor!$C$4:$N$36, 3, 0)*INDEX(Factor!$C$41:$N$87, _xlfn.XMATCH($C214, Factor!$C$41:$C$87, -1), 3)</f>
        <v>2880</v>
      </c>
      <c r="U214" s="18" cm="1">
        <f t="array" ref="U214">J214*VLOOKUP($G214, Factor!$C$4:$N$36, 4, 0)*INDEX(Factor!$C$41:$N$87, _xlfn.XMATCH($C214, Factor!$C$41:$C$87, -1), 4)</f>
        <v>9</v>
      </c>
      <c r="V214" s="18" cm="1">
        <f t="array" ref="V214">K214*VLOOKUP($G214, Factor!$C$4:$N$36, 5, 0)*INDEX(Factor!$C$41:$N$87, _xlfn.XMATCH($C214, Factor!$C$41:$C$87, -1), 5)</f>
        <v>19.2</v>
      </c>
      <c r="W214" s="18" cm="1">
        <f t="array" ref="W214">L214*VLOOKUP($G214, Factor!$C$4:$N$36, 6, 0)*INDEX(Factor!$C$41:$N$87, _xlfn.XMATCH($C214, Factor!$C$41:$C$87, -1), 6)</f>
        <v>24</v>
      </c>
      <c r="X214" s="18" cm="1">
        <f t="array" ref="X214">M214*VLOOKUP($G214, Factor!$C$4:$N$36, 7, 0)*INDEX(Factor!$C$41:$N$87, _xlfn.XMATCH($C214, Factor!$C$41:$C$87, -1), 7)</f>
        <v>36000</v>
      </c>
      <c r="Y214" s="18" cm="1">
        <f t="array" ref="Y214">N214*VLOOKUP($G214, Factor!$C$4:$N$36, 8, 0)*INDEX(Factor!$C$41:$N$87, _xlfn.XMATCH($C214, Factor!$C$41:$C$87, -1), 8)</f>
        <v>960</v>
      </c>
      <c r="Z214" s="18" cm="1">
        <f t="array" ref="Z214">O214*VLOOKUP($G214, Factor!$C$4:$N$36, 9, 0)*INDEX(Factor!$C$41:$N$87, _xlfn.XMATCH($C214, Factor!$C$41:$C$87, -1), 9)</f>
        <v>24</v>
      </c>
      <c r="AA214" s="18" cm="1">
        <f t="array" ref="AA214">P214*VLOOKUP($G214, Factor!$C$4:$N$36, 10, 0)*INDEX(Factor!$C$41:$N$87, _xlfn.XMATCH($C214, Factor!$C$41:$C$87, -1), 10)</f>
        <v>3600</v>
      </c>
      <c r="AB214" s="18" cm="1">
        <f t="array" ref="AB214">Q214*VLOOKUP($G214, Factor!$C$4:$N$36, 11, 0)*INDEX(Factor!$C$41:$N$87, _xlfn.XMATCH($C214, Factor!$C$41:$C$87, -1), 11)</f>
        <v>8</v>
      </c>
      <c r="AC214" s="18" cm="1">
        <f t="array" ref="AC214">R214*VLOOKUP($G214, Factor!$C$4:$N$36, 12, 0)*INDEX(Factor!$C$41:$N$87, _xlfn.XMATCH($C214, Factor!$C$41:$C$87, -1), 12)</f>
        <v>8</v>
      </c>
      <c r="AD214" s="18"/>
    </row>
    <row r="215" spans="1:30" ht="15.75" customHeight="1" x14ac:dyDescent="0.2">
      <c r="A215" s="15" t="str">
        <f>"locomotive_"&amp; VLOOKUP(F215, Factor!$BK$4:$BL$6, 2, 0) &amp;"_"&amp;Locomotive!D215&amp;"_"&amp;VLOOKUP(E215, Factor!$BM$4:$BN$36, 2, 0)</f>
        <v>locomotive_St_T8_008</v>
      </c>
      <c r="B215" s="15" t="str">
        <f t="shared" si="6"/>
        <v>T8 경량 증기기관차</v>
      </c>
      <c r="C215" s="15">
        <f>VLOOKUP(D215, Factor!$B$41:$C$50, 2, 0)</f>
        <v>80000</v>
      </c>
      <c r="D215" s="15" t="s">
        <v>326</v>
      </c>
      <c r="E215" s="41" t="s">
        <v>511</v>
      </c>
      <c r="F215" s="41" t="s">
        <v>505</v>
      </c>
      <c r="G215" s="41" t="str">
        <f t="shared" si="7"/>
        <v>경량 증기</v>
      </c>
      <c r="H215" s="41">
        <v>1</v>
      </c>
      <c r="I215" s="41">
        <v>1</v>
      </c>
      <c r="J215" s="41">
        <v>1</v>
      </c>
      <c r="K215" s="41">
        <v>1</v>
      </c>
      <c r="L215" s="41">
        <v>1</v>
      </c>
      <c r="M215" s="41">
        <v>1</v>
      </c>
      <c r="N215" s="41">
        <v>1</v>
      </c>
      <c r="O215" s="41">
        <v>1</v>
      </c>
      <c r="P215" s="41">
        <v>1</v>
      </c>
      <c r="Q215" s="41">
        <v>1</v>
      </c>
      <c r="R215" s="41">
        <v>1</v>
      </c>
      <c r="S215" s="41" cm="1">
        <f t="array" ref="S215">H215*VLOOKUP($G215, Factor!$C$4:$N$36, 2, 0)*INDEX(Factor!$C$41:$N$87, _xlfn.XMATCH($C215, Factor!$C$41:$C$87, -1), 2)</f>
        <v>240</v>
      </c>
      <c r="T215" s="41" cm="1">
        <f t="array" ref="T215">I215*VLOOKUP($G215, Factor!$C$4:$N$36, 3, 0)*INDEX(Factor!$C$41:$N$87, _xlfn.XMATCH($C215, Factor!$C$41:$C$87, -1), 3)</f>
        <v>2160</v>
      </c>
      <c r="U215" s="41" cm="1">
        <f t="array" ref="U215">J215*VLOOKUP($G215, Factor!$C$4:$N$36, 4, 0)*INDEX(Factor!$C$41:$N$87, _xlfn.XMATCH($C215, Factor!$C$41:$C$87, -1), 4)</f>
        <v>9</v>
      </c>
      <c r="V215" s="41" cm="1">
        <f t="array" ref="V215">K215*VLOOKUP($G215, Factor!$C$4:$N$36, 5, 0)*INDEX(Factor!$C$41:$N$87, _xlfn.XMATCH($C215, Factor!$C$41:$C$87, -1), 5)</f>
        <v>12</v>
      </c>
      <c r="W215" s="41" cm="1">
        <f t="array" ref="W215">L215*VLOOKUP($G215, Factor!$C$4:$N$36, 6, 0)*INDEX(Factor!$C$41:$N$87, _xlfn.XMATCH($C215, Factor!$C$41:$C$87, -1), 6)</f>
        <v>24</v>
      </c>
      <c r="X215" s="41" cm="1">
        <f t="array" ref="X215">M215*VLOOKUP($G215, Factor!$C$4:$N$36, 7, 0)*INDEX(Factor!$C$41:$N$87, _xlfn.XMATCH($C215, Factor!$C$41:$C$87, -1), 7)</f>
        <v>19200</v>
      </c>
      <c r="Y215" s="41" cm="1">
        <f t="array" ref="Y215">N215*VLOOKUP($G215, Factor!$C$4:$N$36, 8, 0)*INDEX(Factor!$C$41:$N$87, _xlfn.XMATCH($C215, Factor!$C$41:$C$87, -1), 8)</f>
        <v>2400</v>
      </c>
      <c r="Z215" s="41" cm="1">
        <f t="array" ref="Z215">O215*VLOOKUP($G215, Factor!$C$4:$N$36, 9, 0)*INDEX(Factor!$C$41:$N$87, _xlfn.XMATCH($C215, Factor!$C$41:$C$87, -1), 9)</f>
        <v>72</v>
      </c>
      <c r="AA215" s="41" cm="1">
        <f t="array" ref="AA215">P215*VLOOKUP($G215, Factor!$C$4:$N$36, 10, 0)*INDEX(Factor!$C$41:$N$87, _xlfn.XMATCH($C215, Factor!$C$41:$C$87, -1), 10)</f>
        <v>2400</v>
      </c>
      <c r="AB215" s="41" cm="1">
        <f t="array" ref="AB215">Q215*VLOOKUP($G215, Factor!$C$4:$N$36, 11, 0)*INDEX(Factor!$C$41:$N$87, _xlfn.XMATCH($C215, Factor!$C$41:$C$87, -1), 11)</f>
        <v>8</v>
      </c>
      <c r="AC215" s="41" cm="1">
        <f t="array" ref="AC215">R215*VLOOKUP($G215, Factor!$C$4:$N$36, 12, 0)*INDEX(Factor!$C$41:$N$87, _xlfn.XMATCH($C215, Factor!$C$41:$C$87, -1), 12)</f>
        <v>8</v>
      </c>
      <c r="AD215" s="41"/>
    </row>
    <row r="216" spans="1:30" ht="15.75" customHeight="1" x14ac:dyDescent="0.2">
      <c r="A216" s="18" t="str">
        <f>"locomotive_"&amp; VLOOKUP(F216, Factor!$BK$4:$BL$6, 2, 0) &amp;"_"&amp;Locomotive!D216&amp;"_"&amp;VLOOKUP(E216, Factor!$BM$4:$BN$36, 2, 0)</f>
        <v>locomotive_El_T8_008</v>
      </c>
      <c r="B216" s="18" t="str">
        <f t="shared" si="6"/>
        <v>T8 경량 전기기관차</v>
      </c>
      <c r="C216" s="18">
        <f>VLOOKUP(D216, Factor!$B$41:$C$50, 2, 0)</f>
        <v>80000</v>
      </c>
      <c r="D216" s="18" t="s">
        <v>326</v>
      </c>
      <c r="E216" s="18" t="s">
        <v>511</v>
      </c>
      <c r="F216" s="18" t="s">
        <v>502</v>
      </c>
      <c r="G216" s="18" t="str">
        <f t="shared" si="7"/>
        <v>경량 전기</v>
      </c>
      <c r="H216" s="18">
        <v>1</v>
      </c>
      <c r="I216" s="18">
        <v>1</v>
      </c>
      <c r="J216" s="18">
        <v>1</v>
      </c>
      <c r="K216" s="18">
        <v>1</v>
      </c>
      <c r="L216" s="18">
        <v>1</v>
      </c>
      <c r="M216" s="18">
        <v>1</v>
      </c>
      <c r="N216" s="18">
        <v>1</v>
      </c>
      <c r="O216" s="18">
        <v>1</v>
      </c>
      <c r="P216" s="18">
        <v>1</v>
      </c>
      <c r="Q216" s="18">
        <v>1</v>
      </c>
      <c r="R216" s="18">
        <v>1</v>
      </c>
      <c r="S216" s="18" cm="1">
        <f t="array" ref="S216">H216*VLOOKUP($G216, Factor!$C$4:$N$36, 2, 0)*INDEX(Factor!$C$41:$N$87, _xlfn.XMATCH($C216, Factor!$C$41:$C$87, -1), 2)</f>
        <v>480</v>
      </c>
      <c r="T216" s="18" cm="1">
        <f t="array" ref="T216">I216*VLOOKUP($G216, Factor!$C$4:$N$36, 3, 0)*INDEX(Factor!$C$41:$N$87, _xlfn.XMATCH($C216, Factor!$C$41:$C$87, -1), 3)</f>
        <v>1680</v>
      </c>
      <c r="U216" s="18" cm="1">
        <f t="array" ref="U216">J216*VLOOKUP($G216, Factor!$C$4:$N$36, 4, 0)*INDEX(Factor!$C$41:$N$87, _xlfn.XMATCH($C216, Factor!$C$41:$C$87, -1), 4)</f>
        <v>9</v>
      </c>
      <c r="V216" s="18" cm="1">
        <f t="array" ref="V216">K216*VLOOKUP($G216, Factor!$C$4:$N$36, 5, 0)*INDEX(Factor!$C$41:$N$87, _xlfn.XMATCH($C216, Factor!$C$41:$C$87, -1), 5)</f>
        <v>21.599999999999998</v>
      </c>
      <c r="W216" s="18" cm="1">
        <f t="array" ref="W216">L216*VLOOKUP($G216, Factor!$C$4:$N$36, 6, 0)*INDEX(Factor!$C$41:$N$87, _xlfn.XMATCH($C216, Factor!$C$41:$C$87, -1), 6)</f>
        <v>24</v>
      </c>
      <c r="X216" s="18" cm="1">
        <f t="array" ref="X216">M216*VLOOKUP($G216, Factor!$C$4:$N$36, 7, 0)*INDEX(Factor!$C$41:$N$87, _xlfn.XMATCH($C216, Factor!$C$41:$C$87, -1), 7)</f>
        <v>12000</v>
      </c>
      <c r="Y216" s="18" cm="1">
        <f t="array" ref="Y216">N216*VLOOKUP($G216, Factor!$C$4:$N$36, 8, 0)*INDEX(Factor!$C$41:$N$87, _xlfn.XMATCH($C216, Factor!$C$41:$C$87, -1), 8)</f>
        <v>1680</v>
      </c>
      <c r="Z216" s="18" cm="1">
        <f t="array" ref="Z216">O216*VLOOKUP($G216, Factor!$C$4:$N$36, 9, 0)*INDEX(Factor!$C$41:$N$87, _xlfn.XMATCH($C216, Factor!$C$41:$C$87, -1), 9)</f>
        <v>12</v>
      </c>
      <c r="AA216" s="18" cm="1">
        <f t="array" ref="AA216">P216*VLOOKUP($G216, Factor!$C$4:$N$36, 10, 0)*INDEX(Factor!$C$41:$N$87, _xlfn.XMATCH($C216, Factor!$C$41:$C$87, -1), 10)</f>
        <v>1680</v>
      </c>
      <c r="AB216" s="18" cm="1">
        <f t="array" ref="AB216">Q216*VLOOKUP($G216, Factor!$C$4:$N$36, 11, 0)*INDEX(Factor!$C$41:$N$87, _xlfn.XMATCH($C216, Factor!$C$41:$C$87, -1), 11)</f>
        <v>8</v>
      </c>
      <c r="AC216" s="18" cm="1">
        <f t="array" ref="AC216">R216*VLOOKUP($G216, Factor!$C$4:$N$36, 12, 0)*INDEX(Factor!$C$41:$N$87, _xlfn.XMATCH($C216, Factor!$C$41:$C$87, -1), 12)</f>
        <v>8</v>
      </c>
      <c r="AD216" s="18"/>
    </row>
    <row r="217" spans="1:30" ht="15.75" customHeight="1" x14ac:dyDescent="0.2">
      <c r="A217" s="15" t="str">
        <f>"locomotive_"&amp; VLOOKUP(F217, Factor!$BK$4:$BL$6, 2, 0) &amp;"_"&amp;Locomotive!D217&amp;"_"&amp;VLOOKUP(E217, Factor!$BM$4:$BN$36, 2, 0)</f>
        <v>locomotive_Dz_T8_008</v>
      </c>
      <c r="B217" s="15" t="str">
        <f t="shared" si="6"/>
        <v>T8 경량 디젤기관차</v>
      </c>
      <c r="C217" s="15">
        <f>VLOOKUP(D217, Factor!$B$41:$C$50, 2, 0)</f>
        <v>80000</v>
      </c>
      <c r="D217" s="15" t="s">
        <v>326</v>
      </c>
      <c r="E217" s="41" t="s">
        <v>511</v>
      </c>
      <c r="F217" s="41" t="s">
        <v>503</v>
      </c>
      <c r="G217" s="41" t="str">
        <f t="shared" si="7"/>
        <v>경량 디젤</v>
      </c>
      <c r="H217" s="41">
        <v>1</v>
      </c>
      <c r="I217" s="41">
        <v>1</v>
      </c>
      <c r="J217" s="41">
        <v>1</v>
      </c>
      <c r="K217" s="41">
        <v>1</v>
      </c>
      <c r="L217" s="41">
        <v>1</v>
      </c>
      <c r="M217" s="41">
        <v>1</v>
      </c>
      <c r="N217" s="41">
        <v>1</v>
      </c>
      <c r="O217" s="41">
        <v>1</v>
      </c>
      <c r="P217" s="41">
        <v>1</v>
      </c>
      <c r="Q217" s="41">
        <v>1</v>
      </c>
      <c r="R217" s="41">
        <v>1</v>
      </c>
      <c r="S217" s="41" cm="1">
        <f t="array" ref="S217">H217*VLOOKUP($G217, Factor!$C$4:$N$36, 2, 0)*INDEX(Factor!$C$41:$N$87, _xlfn.XMATCH($C217, Factor!$C$41:$C$87, -1), 2)</f>
        <v>360</v>
      </c>
      <c r="T217" s="41" cm="1">
        <f t="array" ref="T217">I217*VLOOKUP($G217, Factor!$C$4:$N$36, 3, 0)*INDEX(Factor!$C$41:$N$87, _xlfn.XMATCH($C217, Factor!$C$41:$C$87, -1), 3)</f>
        <v>2640</v>
      </c>
      <c r="U217" s="41" cm="1">
        <f t="array" ref="U217">J217*VLOOKUP($G217, Factor!$C$4:$N$36, 4, 0)*INDEX(Factor!$C$41:$N$87, _xlfn.XMATCH($C217, Factor!$C$41:$C$87, -1), 4)</f>
        <v>9</v>
      </c>
      <c r="V217" s="41" cm="1">
        <f t="array" ref="V217">K217*VLOOKUP($G217, Factor!$C$4:$N$36, 5, 0)*INDEX(Factor!$C$41:$N$87, _xlfn.XMATCH($C217, Factor!$C$41:$C$87, -1), 5)</f>
        <v>16.8</v>
      </c>
      <c r="W217" s="41" cm="1">
        <f t="array" ref="W217">L217*VLOOKUP($G217, Factor!$C$4:$N$36, 6, 0)*INDEX(Factor!$C$41:$N$87, _xlfn.XMATCH($C217, Factor!$C$41:$C$87, -1), 6)</f>
        <v>24</v>
      </c>
      <c r="X217" s="41" cm="1">
        <f t="array" ref="X217">M217*VLOOKUP($G217, Factor!$C$4:$N$36, 7, 0)*INDEX(Factor!$C$41:$N$87, _xlfn.XMATCH($C217, Factor!$C$41:$C$87, -1), 7)</f>
        <v>28800</v>
      </c>
      <c r="Y217" s="41" cm="1">
        <f t="array" ref="Y217">N217*VLOOKUP($G217, Factor!$C$4:$N$36, 8, 0)*INDEX(Factor!$C$41:$N$87, _xlfn.XMATCH($C217, Factor!$C$41:$C$87, -1), 8)</f>
        <v>1920</v>
      </c>
      <c r="Z217" s="41" cm="1">
        <f t="array" ref="Z217">O217*VLOOKUP($G217, Factor!$C$4:$N$36, 9, 0)*INDEX(Factor!$C$41:$N$87, _xlfn.XMATCH($C217, Factor!$C$41:$C$87, -1), 9)</f>
        <v>24</v>
      </c>
      <c r="AA217" s="41" cm="1">
        <f t="array" ref="AA217">P217*VLOOKUP($G217, Factor!$C$4:$N$36, 10, 0)*INDEX(Factor!$C$41:$N$87, _xlfn.XMATCH($C217, Factor!$C$41:$C$87, -1), 10)</f>
        <v>1920</v>
      </c>
      <c r="AB217" s="41" cm="1">
        <f t="array" ref="AB217">Q217*VLOOKUP($G217, Factor!$C$4:$N$36, 11, 0)*INDEX(Factor!$C$41:$N$87, _xlfn.XMATCH($C217, Factor!$C$41:$C$87, -1), 11)</f>
        <v>8</v>
      </c>
      <c r="AC217" s="41" cm="1">
        <f t="array" ref="AC217">R217*VLOOKUP($G217, Factor!$C$4:$N$36, 12, 0)*INDEX(Factor!$C$41:$N$87, _xlfn.XMATCH($C217, Factor!$C$41:$C$87, -1), 12)</f>
        <v>8</v>
      </c>
      <c r="AD217" s="41"/>
    </row>
    <row r="218" spans="1:30" ht="15.75" customHeight="1" x14ac:dyDescent="0.2">
      <c r="A218" s="18" t="str">
        <f>"locomotive_"&amp; VLOOKUP(F218, Factor!$BK$4:$BL$6, 2, 0) &amp;"_"&amp;Locomotive!D218&amp;"_"&amp;VLOOKUP(E218, Factor!$BM$4:$BN$36, 2, 0)</f>
        <v>locomotive_St_T8_009</v>
      </c>
      <c r="B218" s="18" t="str">
        <f t="shared" si="6"/>
        <v>T8 견인 증기기관차</v>
      </c>
      <c r="C218" s="18">
        <f>VLOOKUP(D218, Factor!$B$41:$C$50, 2, 0)</f>
        <v>80000</v>
      </c>
      <c r="D218" s="18" t="s">
        <v>326</v>
      </c>
      <c r="E218" s="18" t="s">
        <v>512</v>
      </c>
      <c r="F218" s="18" t="s">
        <v>505</v>
      </c>
      <c r="G218" s="18" t="str">
        <f t="shared" si="7"/>
        <v>견인 증기</v>
      </c>
      <c r="H218" s="18">
        <v>1</v>
      </c>
      <c r="I218" s="18">
        <v>1</v>
      </c>
      <c r="J218" s="18">
        <v>1</v>
      </c>
      <c r="K218" s="18">
        <v>1</v>
      </c>
      <c r="L218" s="18">
        <v>1</v>
      </c>
      <c r="M218" s="18">
        <v>1</v>
      </c>
      <c r="N218" s="18">
        <v>1</v>
      </c>
      <c r="O218" s="18">
        <v>1</v>
      </c>
      <c r="P218" s="18">
        <v>1</v>
      </c>
      <c r="Q218" s="18">
        <v>1</v>
      </c>
      <c r="R218" s="18">
        <v>1</v>
      </c>
      <c r="S218" s="18" cm="1">
        <f t="array" ref="S218">H218*VLOOKUP($G218, Factor!$C$4:$N$36, 2, 0)*INDEX(Factor!$C$41:$N$87, _xlfn.XMATCH($C218, Factor!$C$41:$C$87, -1), 2)</f>
        <v>216</v>
      </c>
      <c r="T218" s="18" cm="1">
        <f t="array" ref="T218">I218*VLOOKUP($G218, Factor!$C$4:$N$36, 3, 0)*INDEX(Factor!$C$41:$N$87, _xlfn.XMATCH($C218, Factor!$C$41:$C$87, -1), 3)</f>
        <v>2400</v>
      </c>
      <c r="U218" s="18" cm="1">
        <f t="array" ref="U218">J218*VLOOKUP($G218, Factor!$C$4:$N$36, 4, 0)*INDEX(Factor!$C$41:$N$87, _xlfn.XMATCH($C218, Factor!$C$41:$C$87, -1), 4)</f>
        <v>9</v>
      </c>
      <c r="V218" s="18" cm="1">
        <f t="array" ref="V218">K218*VLOOKUP($G218, Factor!$C$4:$N$36, 5, 0)*INDEX(Factor!$C$41:$N$87, _xlfn.XMATCH($C218, Factor!$C$41:$C$87, -1), 5)</f>
        <v>7.1999999999999993</v>
      </c>
      <c r="W218" s="18" cm="1">
        <f t="array" ref="W218">L218*VLOOKUP($G218, Factor!$C$4:$N$36, 6, 0)*INDEX(Factor!$C$41:$N$87, _xlfn.XMATCH($C218, Factor!$C$41:$C$87, -1), 6)</f>
        <v>24</v>
      </c>
      <c r="X218" s="18" cm="1">
        <f t="array" ref="X218">M218*VLOOKUP($G218, Factor!$C$4:$N$36, 7, 0)*INDEX(Factor!$C$41:$N$87, _xlfn.XMATCH($C218, Factor!$C$41:$C$87, -1), 7)</f>
        <v>36000</v>
      </c>
      <c r="Y218" s="18" cm="1">
        <f t="array" ref="Y218">N218*VLOOKUP($G218, Factor!$C$4:$N$36, 8, 0)*INDEX(Factor!$C$41:$N$87, _xlfn.XMATCH($C218, Factor!$C$41:$C$87, -1), 8)</f>
        <v>2400</v>
      </c>
      <c r="Z218" s="18" cm="1">
        <f t="array" ref="Z218">O218*VLOOKUP($G218, Factor!$C$4:$N$36, 9, 0)*INDEX(Factor!$C$41:$N$87, _xlfn.XMATCH($C218, Factor!$C$41:$C$87, -1), 9)</f>
        <v>72</v>
      </c>
      <c r="AA218" s="18" cm="1">
        <f t="array" ref="AA218">P218*VLOOKUP($G218, Factor!$C$4:$N$36, 10, 0)*INDEX(Factor!$C$41:$N$87, _xlfn.XMATCH($C218, Factor!$C$41:$C$87, -1), 10)</f>
        <v>2400</v>
      </c>
      <c r="AB218" s="18" cm="1">
        <f t="array" ref="AB218">Q218*VLOOKUP($G218, Factor!$C$4:$N$36, 11, 0)*INDEX(Factor!$C$41:$N$87, _xlfn.XMATCH($C218, Factor!$C$41:$C$87, -1), 11)</f>
        <v>8</v>
      </c>
      <c r="AC218" s="18" cm="1">
        <f t="array" ref="AC218">R218*VLOOKUP($G218, Factor!$C$4:$N$36, 12, 0)*INDEX(Factor!$C$41:$N$87, _xlfn.XMATCH($C218, Factor!$C$41:$C$87, -1), 12)</f>
        <v>8</v>
      </c>
      <c r="AD218" s="18"/>
    </row>
    <row r="219" spans="1:30" ht="15.75" customHeight="1" x14ac:dyDescent="0.2">
      <c r="A219" s="15" t="str">
        <f>"locomotive_"&amp; VLOOKUP(F219, Factor!$BK$4:$BL$6, 2, 0) &amp;"_"&amp;Locomotive!D219&amp;"_"&amp;VLOOKUP(E219, Factor!$BM$4:$BN$36, 2, 0)</f>
        <v>locomotive_El_T8_009</v>
      </c>
      <c r="B219" s="15" t="str">
        <f t="shared" si="6"/>
        <v>T8 견인 전기기관차</v>
      </c>
      <c r="C219" s="15">
        <f>VLOOKUP(D219, Factor!$B$41:$C$50, 2, 0)</f>
        <v>80000</v>
      </c>
      <c r="D219" s="15" t="s">
        <v>326</v>
      </c>
      <c r="E219" s="41" t="s">
        <v>512</v>
      </c>
      <c r="F219" s="41" t="s">
        <v>502</v>
      </c>
      <c r="G219" s="41" t="str">
        <f t="shared" si="7"/>
        <v>견인 전기</v>
      </c>
      <c r="H219" s="41">
        <v>1</v>
      </c>
      <c r="I219" s="41">
        <v>1</v>
      </c>
      <c r="J219" s="41">
        <v>1</v>
      </c>
      <c r="K219" s="41">
        <v>1</v>
      </c>
      <c r="L219" s="41">
        <v>1</v>
      </c>
      <c r="M219" s="41">
        <v>1</v>
      </c>
      <c r="N219" s="41">
        <v>1</v>
      </c>
      <c r="O219" s="41">
        <v>1</v>
      </c>
      <c r="P219" s="41">
        <v>1</v>
      </c>
      <c r="Q219" s="41">
        <v>1</v>
      </c>
      <c r="R219" s="41">
        <v>1</v>
      </c>
      <c r="S219" s="41" cm="1">
        <f t="array" ref="S219">H219*VLOOKUP($G219, Factor!$C$4:$N$36, 2, 0)*INDEX(Factor!$C$41:$N$87, _xlfn.XMATCH($C219, Factor!$C$41:$C$87, -1), 2)</f>
        <v>432</v>
      </c>
      <c r="T219" s="41" cm="1">
        <f t="array" ref="T219">I219*VLOOKUP($G219, Factor!$C$4:$N$36, 3, 0)*INDEX(Factor!$C$41:$N$87, _xlfn.XMATCH($C219, Factor!$C$41:$C$87, -1), 3)</f>
        <v>1920</v>
      </c>
      <c r="U219" s="41" cm="1">
        <f t="array" ref="U219">J219*VLOOKUP($G219, Factor!$C$4:$N$36, 4, 0)*INDEX(Factor!$C$41:$N$87, _xlfn.XMATCH($C219, Factor!$C$41:$C$87, -1), 4)</f>
        <v>9</v>
      </c>
      <c r="V219" s="41" cm="1">
        <f t="array" ref="V219">K219*VLOOKUP($G219, Factor!$C$4:$N$36, 5, 0)*INDEX(Factor!$C$41:$N$87, _xlfn.XMATCH($C219, Factor!$C$41:$C$87, -1), 5)</f>
        <v>16.8</v>
      </c>
      <c r="W219" s="41" cm="1">
        <f t="array" ref="W219">L219*VLOOKUP($G219, Factor!$C$4:$N$36, 6, 0)*INDEX(Factor!$C$41:$N$87, _xlfn.XMATCH($C219, Factor!$C$41:$C$87, -1), 6)</f>
        <v>24</v>
      </c>
      <c r="X219" s="41" cm="1">
        <f t="array" ref="X219">M219*VLOOKUP($G219, Factor!$C$4:$N$36, 7, 0)*INDEX(Factor!$C$41:$N$87, _xlfn.XMATCH($C219, Factor!$C$41:$C$87, -1), 7)</f>
        <v>28800</v>
      </c>
      <c r="Y219" s="41" cm="1">
        <f t="array" ref="Y219">N219*VLOOKUP($G219, Factor!$C$4:$N$36, 8, 0)*INDEX(Factor!$C$41:$N$87, _xlfn.XMATCH($C219, Factor!$C$41:$C$87, -1), 8)</f>
        <v>1680</v>
      </c>
      <c r="Z219" s="41" cm="1">
        <f t="array" ref="Z219">O219*VLOOKUP($G219, Factor!$C$4:$N$36, 9, 0)*INDEX(Factor!$C$41:$N$87, _xlfn.XMATCH($C219, Factor!$C$41:$C$87, -1), 9)</f>
        <v>12</v>
      </c>
      <c r="AA219" s="41" cm="1">
        <f t="array" ref="AA219">P219*VLOOKUP($G219, Factor!$C$4:$N$36, 10, 0)*INDEX(Factor!$C$41:$N$87, _xlfn.XMATCH($C219, Factor!$C$41:$C$87, -1), 10)</f>
        <v>1680</v>
      </c>
      <c r="AB219" s="41" cm="1">
        <f t="array" ref="AB219">Q219*VLOOKUP($G219, Factor!$C$4:$N$36, 11, 0)*INDEX(Factor!$C$41:$N$87, _xlfn.XMATCH($C219, Factor!$C$41:$C$87, -1), 11)</f>
        <v>8</v>
      </c>
      <c r="AC219" s="41" cm="1">
        <f t="array" ref="AC219">R219*VLOOKUP($G219, Factor!$C$4:$N$36, 12, 0)*INDEX(Factor!$C$41:$N$87, _xlfn.XMATCH($C219, Factor!$C$41:$C$87, -1), 12)</f>
        <v>8</v>
      </c>
      <c r="AD219" s="41"/>
    </row>
    <row r="220" spans="1:30" ht="15.75" customHeight="1" x14ac:dyDescent="0.2">
      <c r="A220" s="18" t="str">
        <f>"locomotive_"&amp; VLOOKUP(F220, Factor!$BK$4:$BL$6, 2, 0) &amp;"_"&amp;Locomotive!D220&amp;"_"&amp;VLOOKUP(E220, Factor!$BM$4:$BN$36, 2, 0)</f>
        <v>locomotive_Dz_T8_009</v>
      </c>
      <c r="B220" s="18" t="str">
        <f t="shared" si="6"/>
        <v>T8 견인 디젤기관차</v>
      </c>
      <c r="C220" s="18">
        <f>VLOOKUP(D220, Factor!$B$41:$C$50, 2, 0)</f>
        <v>80000</v>
      </c>
      <c r="D220" s="18" t="s">
        <v>326</v>
      </c>
      <c r="E220" s="18" t="s">
        <v>512</v>
      </c>
      <c r="F220" s="18" t="s">
        <v>503</v>
      </c>
      <c r="G220" s="18" t="str">
        <f t="shared" si="7"/>
        <v>견인 디젤</v>
      </c>
      <c r="H220" s="18">
        <v>1</v>
      </c>
      <c r="I220" s="18">
        <v>1</v>
      </c>
      <c r="J220" s="18">
        <v>1</v>
      </c>
      <c r="K220" s="18">
        <v>1</v>
      </c>
      <c r="L220" s="18">
        <v>1</v>
      </c>
      <c r="M220" s="18">
        <v>1</v>
      </c>
      <c r="N220" s="18">
        <v>1</v>
      </c>
      <c r="O220" s="18">
        <v>1</v>
      </c>
      <c r="P220" s="18">
        <v>1</v>
      </c>
      <c r="Q220" s="18">
        <v>1</v>
      </c>
      <c r="R220" s="18">
        <v>1</v>
      </c>
      <c r="S220" s="18" cm="1">
        <f t="array" ref="S220">H220*VLOOKUP($G220, Factor!$C$4:$N$36, 2, 0)*INDEX(Factor!$C$41:$N$87, _xlfn.XMATCH($C220, Factor!$C$41:$C$87, -1), 2)</f>
        <v>288</v>
      </c>
      <c r="T220" s="18" cm="1">
        <f t="array" ref="T220">I220*VLOOKUP($G220, Factor!$C$4:$N$36, 3, 0)*INDEX(Factor!$C$41:$N$87, _xlfn.XMATCH($C220, Factor!$C$41:$C$87, -1), 3)</f>
        <v>2880</v>
      </c>
      <c r="U220" s="18" cm="1">
        <f t="array" ref="U220">J220*VLOOKUP($G220, Factor!$C$4:$N$36, 4, 0)*INDEX(Factor!$C$41:$N$87, _xlfn.XMATCH($C220, Factor!$C$41:$C$87, -1), 4)</f>
        <v>9</v>
      </c>
      <c r="V220" s="18" cm="1">
        <f t="array" ref="V220">K220*VLOOKUP($G220, Factor!$C$4:$N$36, 5, 0)*INDEX(Factor!$C$41:$N$87, _xlfn.XMATCH($C220, Factor!$C$41:$C$87, -1), 5)</f>
        <v>12</v>
      </c>
      <c r="W220" s="18" cm="1">
        <f t="array" ref="W220">L220*VLOOKUP($G220, Factor!$C$4:$N$36, 6, 0)*INDEX(Factor!$C$41:$N$87, _xlfn.XMATCH($C220, Factor!$C$41:$C$87, -1), 6)</f>
        <v>24</v>
      </c>
      <c r="X220" s="18" cm="1">
        <f t="array" ref="X220">M220*VLOOKUP($G220, Factor!$C$4:$N$36, 7, 0)*INDEX(Factor!$C$41:$N$87, _xlfn.XMATCH($C220, Factor!$C$41:$C$87, -1), 7)</f>
        <v>48000</v>
      </c>
      <c r="Y220" s="18" cm="1">
        <f t="array" ref="Y220">N220*VLOOKUP($G220, Factor!$C$4:$N$36, 8, 0)*INDEX(Factor!$C$41:$N$87, _xlfn.XMATCH($C220, Factor!$C$41:$C$87, -1), 8)</f>
        <v>1920</v>
      </c>
      <c r="Z220" s="18" cm="1">
        <f t="array" ref="Z220">O220*VLOOKUP($G220, Factor!$C$4:$N$36, 9, 0)*INDEX(Factor!$C$41:$N$87, _xlfn.XMATCH($C220, Factor!$C$41:$C$87, -1), 9)</f>
        <v>24</v>
      </c>
      <c r="AA220" s="18" cm="1">
        <f t="array" ref="AA220">P220*VLOOKUP($G220, Factor!$C$4:$N$36, 10, 0)*INDEX(Factor!$C$41:$N$87, _xlfn.XMATCH($C220, Factor!$C$41:$C$87, -1), 10)</f>
        <v>1920</v>
      </c>
      <c r="AB220" s="18" cm="1">
        <f t="array" ref="AB220">Q220*VLOOKUP($G220, Factor!$C$4:$N$36, 11, 0)*INDEX(Factor!$C$41:$N$87, _xlfn.XMATCH($C220, Factor!$C$41:$C$87, -1), 11)</f>
        <v>8</v>
      </c>
      <c r="AC220" s="18" cm="1">
        <f t="array" ref="AC220">R220*VLOOKUP($G220, Factor!$C$4:$N$36, 12, 0)*INDEX(Factor!$C$41:$N$87, _xlfn.XMATCH($C220, Factor!$C$41:$C$87, -1), 12)</f>
        <v>8</v>
      </c>
      <c r="AD220" s="18"/>
    </row>
    <row r="221" spans="1:30" ht="15.75" customHeight="1" x14ac:dyDescent="0.2">
      <c r="A221" s="15" t="str">
        <f>"locomotive_"&amp; VLOOKUP(F221, Factor!$BK$4:$BL$6, 2, 0) &amp;"_"&amp;Locomotive!D221&amp;"_"&amp;VLOOKUP(E221, Factor!$BM$4:$BN$36, 2, 0)</f>
        <v>locomotive_St_T9_001</v>
      </c>
      <c r="B221" s="15" t="str">
        <f t="shared" si="6"/>
        <v>T9 표준 증기기관차</v>
      </c>
      <c r="C221" s="15">
        <f>VLOOKUP(D221, Factor!$B$41:$C$50, 2, 0)</f>
        <v>90000</v>
      </c>
      <c r="D221" s="15" t="s">
        <v>327</v>
      </c>
      <c r="E221" s="41" t="s">
        <v>501</v>
      </c>
      <c r="F221" s="41" t="s">
        <v>505</v>
      </c>
      <c r="G221" s="41" t="str">
        <f t="shared" si="7"/>
        <v>표준 증기</v>
      </c>
      <c r="H221" s="41">
        <v>1</v>
      </c>
      <c r="I221" s="41">
        <v>1</v>
      </c>
      <c r="J221" s="41">
        <v>1</v>
      </c>
      <c r="K221" s="41">
        <v>1</v>
      </c>
      <c r="L221" s="41">
        <v>1</v>
      </c>
      <c r="M221" s="41">
        <v>1</v>
      </c>
      <c r="N221" s="41">
        <v>1</v>
      </c>
      <c r="O221" s="41">
        <v>1</v>
      </c>
      <c r="P221" s="41">
        <v>1</v>
      </c>
      <c r="Q221" s="41">
        <v>1</v>
      </c>
      <c r="R221" s="41">
        <v>1</v>
      </c>
      <c r="S221" s="41" cm="1">
        <f t="array" ref="S221">H221*VLOOKUP($G221, Factor!$C$4:$N$36, 2, 0)*INDEX(Factor!$C$41:$N$87, _xlfn.XMATCH($C221, Factor!$C$41:$C$87, -1), 2)</f>
        <v>260</v>
      </c>
      <c r="T221" s="41" cm="1">
        <f t="array" ref="T221">I221*VLOOKUP($G221, Factor!$C$4:$N$36, 3, 0)*INDEX(Factor!$C$41:$N$87, _xlfn.XMATCH($C221, Factor!$C$41:$C$87, -1), 3)</f>
        <v>2600</v>
      </c>
      <c r="U221" s="41" cm="1">
        <f t="array" ref="U221">J221*VLOOKUP($G221, Factor!$C$4:$N$36, 4, 0)*INDEX(Factor!$C$41:$N$87, _xlfn.XMATCH($C221, Factor!$C$41:$C$87, -1), 4)</f>
        <v>10</v>
      </c>
      <c r="V221" s="41" cm="1">
        <f t="array" ref="V221">K221*VLOOKUP($G221, Factor!$C$4:$N$36, 5, 0)*INDEX(Factor!$C$41:$N$87, _xlfn.XMATCH($C221, Factor!$C$41:$C$87, -1), 5)</f>
        <v>10.4</v>
      </c>
      <c r="W221" s="41" cm="1">
        <f t="array" ref="W221">L221*VLOOKUP($G221, Factor!$C$4:$N$36, 6, 0)*INDEX(Factor!$C$41:$N$87, _xlfn.XMATCH($C221, Factor!$C$41:$C$87, -1), 6)</f>
        <v>26</v>
      </c>
      <c r="X221" s="41" cm="1">
        <f t="array" ref="X221">M221*VLOOKUP($G221, Factor!$C$4:$N$36, 7, 0)*INDEX(Factor!$C$41:$N$87, _xlfn.XMATCH($C221, Factor!$C$41:$C$87, -1), 7)</f>
        <v>26000</v>
      </c>
      <c r="Y221" s="41" cm="1">
        <f t="array" ref="Y221">N221*VLOOKUP($G221, Factor!$C$4:$N$36, 8, 0)*INDEX(Factor!$C$41:$N$87, _xlfn.XMATCH($C221, Factor!$C$41:$C$87, -1), 8)</f>
        <v>2600</v>
      </c>
      <c r="Z221" s="41" cm="1">
        <f t="array" ref="Z221">O221*VLOOKUP($G221, Factor!$C$4:$N$36, 9, 0)*INDEX(Factor!$C$41:$N$87, _xlfn.XMATCH($C221, Factor!$C$41:$C$87, -1), 9)</f>
        <v>78</v>
      </c>
      <c r="AA221" s="41" cm="1">
        <f t="array" ref="AA221">P221*VLOOKUP($G221, Factor!$C$4:$N$36, 10, 0)*INDEX(Factor!$C$41:$N$87, _xlfn.XMATCH($C221, Factor!$C$41:$C$87, -1), 10)</f>
        <v>2600</v>
      </c>
      <c r="AB221" s="41" cm="1">
        <f t="array" ref="AB221">Q221*VLOOKUP($G221, Factor!$C$4:$N$36, 11, 0)*INDEX(Factor!$C$41:$N$87, _xlfn.XMATCH($C221, Factor!$C$41:$C$87, -1), 11)</f>
        <v>9</v>
      </c>
      <c r="AC221" s="41" cm="1">
        <f t="array" ref="AC221">R221*VLOOKUP($G221, Factor!$C$4:$N$36, 12, 0)*INDEX(Factor!$C$41:$N$87, _xlfn.XMATCH($C221, Factor!$C$41:$C$87, -1), 12)</f>
        <v>9</v>
      </c>
      <c r="AD221" s="41"/>
    </row>
    <row r="222" spans="1:30" ht="15.75" customHeight="1" x14ac:dyDescent="0.2">
      <c r="A222" s="18" t="str">
        <f>"locomotive_"&amp; VLOOKUP(F222, Factor!$BK$4:$BL$6, 2, 0) &amp;"_"&amp;Locomotive!D222&amp;"_"&amp;VLOOKUP(E222, Factor!$BM$4:$BN$36, 2, 0)</f>
        <v>locomotive_El_T9_001</v>
      </c>
      <c r="B222" s="18" t="str">
        <f t="shared" si="6"/>
        <v>T9 표준 전기기관차</v>
      </c>
      <c r="C222" s="18">
        <f>VLOOKUP(D222, Factor!$B$41:$C$50, 2, 0)</f>
        <v>90000</v>
      </c>
      <c r="D222" s="18" t="s">
        <v>327</v>
      </c>
      <c r="E222" s="18" t="s">
        <v>501</v>
      </c>
      <c r="F222" s="18" t="s">
        <v>502</v>
      </c>
      <c r="G222" s="18" t="str">
        <f t="shared" si="7"/>
        <v>표준 전기</v>
      </c>
      <c r="H222" s="18">
        <v>1</v>
      </c>
      <c r="I222" s="18">
        <v>1</v>
      </c>
      <c r="J222" s="18">
        <v>1</v>
      </c>
      <c r="K222" s="18">
        <v>1</v>
      </c>
      <c r="L222" s="18">
        <v>1</v>
      </c>
      <c r="M222" s="18">
        <v>1</v>
      </c>
      <c r="N222" s="18">
        <v>1</v>
      </c>
      <c r="O222" s="18">
        <v>1</v>
      </c>
      <c r="P222" s="18">
        <v>1</v>
      </c>
      <c r="Q222" s="18">
        <v>1</v>
      </c>
      <c r="R222" s="18">
        <v>1</v>
      </c>
      <c r="S222" s="18" cm="1">
        <f t="array" ref="S222">H222*VLOOKUP($G222, Factor!$C$4:$N$36, 2, 0)*INDEX(Factor!$C$41:$N$87, _xlfn.XMATCH($C222, Factor!$C$41:$C$87, -1), 2)</f>
        <v>520</v>
      </c>
      <c r="T222" s="18" cm="1">
        <f t="array" ref="T222">I222*VLOOKUP($G222, Factor!$C$4:$N$36, 3, 0)*INDEX(Factor!$C$41:$N$87, _xlfn.XMATCH($C222, Factor!$C$41:$C$87, -1), 3)</f>
        <v>2080</v>
      </c>
      <c r="U222" s="18" cm="1">
        <f t="array" ref="U222">J222*VLOOKUP($G222, Factor!$C$4:$N$36, 4, 0)*INDEX(Factor!$C$41:$N$87, _xlfn.XMATCH($C222, Factor!$C$41:$C$87, -1), 4)</f>
        <v>10</v>
      </c>
      <c r="V222" s="18" cm="1">
        <f t="array" ref="V222">K222*VLOOKUP($G222, Factor!$C$4:$N$36, 5, 0)*INDEX(Factor!$C$41:$N$87, _xlfn.XMATCH($C222, Factor!$C$41:$C$87, -1), 5)</f>
        <v>20.8</v>
      </c>
      <c r="W222" s="18" cm="1">
        <f t="array" ref="W222">L222*VLOOKUP($G222, Factor!$C$4:$N$36, 6, 0)*INDEX(Factor!$C$41:$N$87, _xlfn.XMATCH($C222, Factor!$C$41:$C$87, -1), 6)</f>
        <v>26</v>
      </c>
      <c r="X222" s="18" cm="1">
        <f t="array" ref="X222">M222*VLOOKUP($G222, Factor!$C$4:$N$36, 7, 0)*INDEX(Factor!$C$41:$N$87, _xlfn.XMATCH($C222, Factor!$C$41:$C$87, -1), 7)</f>
        <v>18200</v>
      </c>
      <c r="Y222" s="18" cm="1">
        <f t="array" ref="Y222">N222*VLOOKUP($G222, Factor!$C$4:$N$36, 8, 0)*INDEX(Factor!$C$41:$N$87, _xlfn.XMATCH($C222, Factor!$C$41:$C$87, -1), 8)</f>
        <v>1820</v>
      </c>
      <c r="Z222" s="18" cm="1">
        <f t="array" ref="Z222">O222*VLOOKUP($G222, Factor!$C$4:$N$36, 9, 0)*INDEX(Factor!$C$41:$N$87, _xlfn.XMATCH($C222, Factor!$C$41:$C$87, -1), 9)</f>
        <v>13</v>
      </c>
      <c r="AA222" s="18" cm="1">
        <f t="array" ref="AA222">P222*VLOOKUP($G222, Factor!$C$4:$N$36, 10, 0)*INDEX(Factor!$C$41:$N$87, _xlfn.XMATCH($C222, Factor!$C$41:$C$87, -1), 10)</f>
        <v>1820</v>
      </c>
      <c r="AB222" s="18" cm="1">
        <f t="array" ref="AB222">Q222*VLOOKUP($G222, Factor!$C$4:$N$36, 11, 0)*INDEX(Factor!$C$41:$N$87, _xlfn.XMATCH($C222, Factor!$C$41:$C$87, -1), 11)</f>
        <v>9</v>
      </c>
      <c r="AC222" s="18" cm="1">
        <f t="array" ref="AC222">R222*VLOOKUP($G222, Factor!$C$4:$N$36, 12, 0)*INDEX(Factor!$C$41:$N$87, _xlfn.XMATCH($C222, Factor!$C$41:$C$87, -1), 12)</f>
        <v>9</v>
      </c>
      <c r="AD222" s="18"/>
    </row>
    <row r="223" spans="1:30" ht="15.75" customHeight="1" x14ac:dyDescent="0.2">
      <c r="A223" s="15" t="str">
        <f>"locomotive_"&amp; VLOOKUP(F223, Factor!$BK$4:$BL$6, 2, 0) &amp;"_"&amp;Locomotive!D223&amp;"_"&amp;VLOOKUP(E223, Factor!$BM$4:$BN$36, 2, 0)</f>
        <v>locomotive_Dz_T9_001</v>
      </c>
      <c r="B223" s="15" t="str">
        <f t="shared" si="6"/>
        <v>T9 표준 디젤기관차</v>
      </c>
      <c r="C223" s="15">
        <f>VLOOKUP(D223, Factor!$B$41:$C$50, 2, 0)</f>
        <v>90000</v>
      </c>
      <c r="D223" s="15" t="s">
        <v>327</v>
      </c>
      <c r="E223" s="41" t="s">
        <v>501</v>
      </c>
      <c r="F223" s="41" t="s">
        <v>503</v>
      </c>
      <c r="G223" s="41" t="str">
        <f t="shared" si="7"/>
        <v>표준 디젤</v>
      </c>
      <c r="H223" s="41">
        <v>1</v>
      </c>
      <c r="I223" s="41">
        <v>1</v>
      </c>
      <c r="J223" s="41">
        <v>1</v>
      </c>
      <c r="K223" s="41">
        <v>1</v>
      </c>
      <c r="L223" s="41">
        <v>1</v>
      </c>
      <c r="M223" s="41">
        <v>1</v>
      </c>
      <c r="N223" s="41">
        <v>1</v>
      </c>
      <c r="O223" s="41">
        <v>1</v>
      </c>
      <c r="P223" s="41">
        <v>1</v>
      </c>
      <c r="Q223" s="41">
        <v>1</v>
      </c>
      <c r="R223" s="41">
        <v>1</v>
      </c>
      <c r="S223" s="41" cm="1">
        <f t="array" ref="S223">H223*VLOOKUP($G223, Factor!$C$4:$N$36, 2, 0)*INDEX(Factor!$C$41:$N$87, _xlfn.XMATCH($C223, Factor!$C$41:$C$87, -1), 2)</f>
        <v>390</v>
      </c>
      <c r="T223" s="41" cm="1">
        <f t="array" ref="T223">I223*VLOOKUP($G223, Factor!$C$4:$N$36, 3, 0)*INDEX(Factor!$C$41:$N$87, _xlfn.XMATCH($C223, Factor!$C$41:$C$87, -1), 3)</f>
        <v>3120</v>
      </c>
      <c r="U223" s="41" cm="1">
        <f t="array" ref="U223">J223*VLOOKUP($G223, Factor!$C$4:$N$36, 4, 0)*INDEX(Factor!$C$41:$N$87, _xlfn.XMATCH($C223, Factor!$C$41:$C$87, -1), 4)</f>
        <v>10</v>
      </c>
      <c r="V223" s="41" cm="1">
        <f t="array" ref="V223">K223*VLOOKUP($G223, Factor!$C$4:$N$36, 5, 0)*INDEX(Factor!$C$41:$N$87, _xlfn.XMATCH($C223, Factor!$C$41:$C$87, -1), 5)</f>
        <v>15.600000000000001</v>
      </c>
      <c r="W223" s="41" cm="1">
        <f t="array" ref="W223">L223*VLOOKUP($G223, Factor!$C$4:$N$36, 6, 0)*INDEX(Factor!$C$41:$N$87, _xlfn.XMATCH($C223, Factor!$C$41:$C$87, -1), 6)</f>
        <v>26</v>
      </c>
      <c r="X223" s="41" cm="1">
        <f t="array" ref="X223">M223*VLOOKUP($G223, Factor!$C$4:$N$36, 7, 0)*INDEX(Factor!$C$41:$N$87, _xlfn.XMATCH($C223, Factor!$C$41:$C$87, -1), 7)</f>
        <v>39000</v>
      </c>
      <c r="Y223" s="41" cm="1">
        <f t="array" ref="Y223">N223*VLOOKUP($G223, Factor!$C$4:$N$36, 8, 0)*INDEX(Factor!$C$41:$N$87, _xlfn.XMATCH($C223, Factor!$C$41:$C$87, -1), 8)</f>
        <v>2080</v>
      </c>
      <c r="Z223" s="41" cm="1">
        <f t="array" ref="Z223">O223*VLOOKUP($G223, Factor!$C$4:$N$36, 9, 0)*INDEX(Factor!$C$41:$N$87, _xlfn.XMATCH($C223, Factor!$C$41:$C$87, -1), 9)</f>
        <v>26</v>
      </c>
      <c r="AA223" s="41" cm="1">
        <f t="array" ref="AA223">P223*VLOOKUP($G223, Factor!$C$4:$N$36, 10, 0)*INDEX(Factor!$C$41:$N$87, _xlfn.XMATCH($C223, Factor!$C$41:$C$87, -1), 10)</f>
        <v>2080</v>
      </c>
      <c r="AB223" s="41" cm="1">
        <f t="array" ref="AB223">Q223*VLOOKUP($G223, Factor!$C$4:$N$36, 11, 0)*INDEX(Factor!$C$41:$N$87, _xlfn.XMATCH($C223, Factor!$C$41:$C$87, -1), 11)</f>
        <v>9</v>
      </c>
      <c r="AC223" s="41" cm="1">
        <f t="array" ref="AC223">R223*VLOOKUP($G223, Factor!$C$4:$N$36, 12, 0)*INDEX(Factor!$C$41:$N$87, _xlfn.XMATCH($C223, Factor!$C$41:$C$87, -1), 12)</f>
        <v>9</v>
      </c>
      <c r="AD223" s="41"/>
    </row>
    <row r="224" spans="1:30" ht="15.75" customHeight="1" x14ac:dyDescent="0.2">
      <c r="A224" s="18" t="str">
        <f>"locomotive_"&amp; VLOOKUP(F224, Factor!$BK$4:$BL$6, 2, 0) &amp;"_"&amp;Locomotive!D224&amp;"_"&amp;VLOOKUP(E224, Factor!$BM$4:$BN$36, 2, 0)</f>
        <v>locomotive_St_T9_002</v>
      </c>
      <c r="B224" s="18" t="str">
        <f t="shared" si="6"/>
        <v>T9 쾌속 증기기관차</v>
      </c>
      <c r="C224" s="18">
        <f>VLOOKUP(D224, Factor!$B$41:$C$50, 2, 0)</f>
        <v>90000</v>
      </c>
      <c r="D224" s="18" t="s">
        <v>327</v>
      </c>
      <c r="E224" s="18" t="s">
        <v>504</v>
      </c>
      <c r="F224" s="18" t="s">
        <v>505</v>
      </c>
      <c r="G224" s="18" t="str">
        <f t="shared" si="7"/>
        <v>쾌속 증기</v>
      </c>
      <c r="H224" s="18">
        <v>1</v>
      </c>
      <c r="I224" s="18">
        <v>1</v>
      </c>
      <c r="J224" s="18">
        <v>1</v>
      </c>
      <c r="K224" s="18">
        <v>1</v>
      </c>
      <c r="L224" s="18">
        <v>1</v>
      </c>
      <c r="M224" s="18">
        <v>1</v>
      </c>
      <c r="N224" s="18">
        <v>1</v>
      </c>
      <c r="O224" s="18">
        <v>1</v>
      </c>
      <c r="P224" s="18">
        <v>1</v>
      </c>
      <c r="Q224" s="18">
        <v>1</v>
      </c>
      <c r="R224" s="18">
        <v>1</v>
      </c>
      <c r="S224" s="18" cm="1">
        <f t="array" ref="S224">H224*VLOOKUP($G224, Factor!$C$4:$N$36, 2, 0)*INDEX(Factor!$C$41:$N$87, _xlfn.XMATCH($C224, Factor!$C$41:$C$87, -1), 2)</f>
        <v>286</v>
      </c>
      <c r="T224" s="18" cm="1">
        <f t="array" ref="T224">I224*VLOOKUP($G224, Factor!$C$4:$N$36, 3, 0)*INDEX(Factor!$C$41:$N$87, _xlfn.XMATCH($C224, Factor!$C$41:$C$87, -1), 3)</f>
        <v>2340</v>
      </c>
      <c r="U224" s="18" cm="1">
        <f t="array" ref="U224">J224*VLOOKUP($G224, Factor!$C$4:$N$36, 4, 0)*INDEX(Factor!$C$41:$N$87, _xlfn.XMATCH($C224, Factor!$C$41:$C$87, -1), 4)</f>
        <v>10</v>
      </c>
      <c r="V224" s="18" cm="1">
        <f t="array" ref="V224">K224*VLOOKUP($G224, Factor!$C$4:$N$36, 5, 0)*INDEX(Factor!$C$41:$N$87, _xlfn.XMATCH($C224, Factor!$C$41:$C$87, -1), 5)</f>
        <v>15.600000000000001</v>
      </c>
      <c r="W224" s="18" cm="1">
        <f t="array" ref="W224">L224*VLOOKUP($G224, Factor!$C$4:$N$36, 6, 0)*INDEX(Factor!$C$41:$N$87, _xlfn.XMATCH($C224, Factor!$C$41:$C$87, -1), 6)</f>
        <v>26</v>
      </c>
      <c r="X224" s="18" cm="1">
        <f t="array" ref="X224">M224*VLOOKUP($G224, Factor!$C$4:$N$36, 7, 0)*INDEX(Factor!$C$41:$N$87, _xlfn.XMATCH($C224, Factor!$C$41:$C$87, -1), 7)</f>
        <v>26000</v>
      </c>
      <c r="Y224" s="18" cm="1">
        <f t="array" ref="Y224">N224*VLOOKUP($G224, Factor!$C$4:$N$36, 8, 0)*INDEX(Factor!$C$41:$N$87, _xlfn.XMATCH($C224, Factor!$C$41:$C$87, -1), 8)</f>
        <v>2080</v>
      </c>
      <c r="Z224" s="18" cm="1">
        <f t="array" ref="Z224">O224*VLOOKUP($G224, Factor!$C$4:$N$36, 9, 0)*INDEX(Factor!$C$41:$N$87, _xlfn.XMATCH($C224, Factor!$C$41:$C$87, -1), 9)</f>
        <v>52</v>
      </c>
      <c r="AA224" s="18" cm="1">
        <f t="array" ref="AA224">P224*VLOOKUP($G224, Factor!$C$4:$N$36, 10, 0)*INDEX(Factor!$C$41:$N$87, _xlfn.XMATCH($C224, Factor!$C$41:$C$87, -1), 10)</f>
        <v>2080</v>
      </c>
      <c r="AB224" s="18" cm="1">
        <f t="array" ref="AB224">Q224*VLOOKUP($G224, Factor!$C$4:$N$36, 11, 0)*INDEX(Factor!$C$41:$N$87, _xlfn.XMATCH($C224, Factor!$C$41:$C$87, -1), 11)</f>
        <v>9</v>
      </c>
      <c r="AC224" s="18" cm="1">
        <f t="array" ref="AC224">R224*VLOOKUP($G224, Factor!$C$4:$N$36, 12, 0)*INDEX(Factor!$C$41:$N$87, _xlfn.XMATCH($C224, Factor!$C$41:$C$87, -1), 12)</f>
        <v>9</v>
      </c>
      <c r="AD224" s="18"/>
    </row>
    <row r="225" spans="1:30" ht="15.75" customHeight="1" x14ac:dyDescent="0.2">
      <c r="A225" s="15" t="str">
        <f>"locomotive_"&amp; VLOOKUP(F225, Factor!$BK$4:$BL$6, 2, 0) &amp;"_"&amp;Locomotive!D225&amp;"_"&amp;VLOOKUP(E225, Factor!$BM$4:$BN$36, 2, 0)</f>
        <v>locomotive_El_T9_002</v>
      </c>
      <c r="B225" s="15" t="str">
        <f t="shared" si="6"/>
        <v>T9 쾌속 전기기관차</v>
      </c>
      <c r="C225" s="15">
        <f>VLOOKUP(D225, Factor!$B$41:$C$50, 2, 0)</f>
        <v>90000</v>
      </c>
      <c r="D225" s="15" t="s">
        <v>327</v>
      </c>
      <c r="E225" s="41" t="s">
        <v>504</v>
      </c>
      <c r="F225" s="41" t="s">
        <v>502</v>
      </c>
      <c r="G225" s="41" t="str">
        <f t="shared" si="7"/>
        <v>쾌속 전기</v>
      </c>
      <c r="H225" s="41">
        <v>1</v>
      </c>
      <c r="I225" s="41">
        <v>1</v>
      </c>
      <c r="J225" s="41">
        <v>1</v>
      </c>
      <c r="K225" s="41">
        <v>1</v>
      </c>
      <c r="L225" s="41">
        <v>1</v>
      </c>
      <c r="M225" s="41">
        <v>1</v>
      </c>
      <c r="N225" s="41">
        <v>1</v>
      </c>
      <c r="O225" s="41">
        <v>1</v>
      </c>
      <c r="P225" s="41">
        <v>1</v>
      </c>
      <c r="Q225" s="41">
        <v>1</v>
      </c>
      <c r="R225" s="41">
        <v>1</v>
      </c>
      <c r="S225" s="41" cm="1">
        <f t="array" ref="S225">H225*VLOOKUP($G225, Factor!$C$4:$N$36, 2, 0)*INDEX(Factor!$C$41:$N$87, _xlfn.XMATCH($C225, Factor!$C$41:$C$87, -1), 2)</f>
        <v>572</v>
      </c>
      <c r="T225" s="41" cm="1">
        <f t="array" ref="T225">I225*VLOOKUP($G225, Factor!$C$4:$N$36, 3, 0)*INDEX(Factor!$C$41:$N$87, _xlfn.XMATCH($C225, Factor!$C$41:$C$87, -1), 3)</f>
        <v>1820</v>
      </c>
      <c r="U225" s="41" cm="1">
        <f t="array" ref="U225">J225*VLOOKUP($G225, Factor!$C$4:$N$36, 4, 0)*INDEX(Factor!$C$41:$N$87, _xlfn.XMATCH($C225, Factor!$C$41:$C$87, -1), 4)</f>
        <v>10</v>
      </c>
      <c r="V225" s="41" cm="1">
        <f t="array" ref="V225">K225*VLOOKUP($G225, Factor!$C$4:$N$36, 5, 0)*INDEX(Factor!$C$41:$N$87, _xlfn.XMATCH($C225, Factor!$C$41:$C$87, -1), 5)</f>
        <v>26</v>
      </c>
      <c r="W225" s="41" cm="1">
        <f t="array" ref="W225">L225*VLOOKUP($G225, Factor!$C$4:$N$36, 6, 0)*INDEX(Factor!$C$41:$N$87, _xlfn.XMATCH($C225, Factor!$C$41:$C$87, -1), 6)</f>
        <v>26</v>
      </c>
      <c r="X225" s="41" cm="1">
        <f t="array" ref="X225">M225*VLOOKUP($G225, Factor!$C$4:$N$36, 7, 0)*INDEX(Factor!$C$41:$N$87, _xlfn.XMATCH($C225, Factor!$C$41:$C$87, -1), 7)</f>
        <v>18200</v>
      </c>
      <c r="Y225" s="41" cm="1">
        <f t="array" ref="Y225">N225*VLOOKUP($G225, Factor!$C$4:$N$36, 8, 0)*INDEX(Factor!$C$41:$N$87, _xlfn.XMATCH($C225, Factor!$C$41:$C$87, -1), 8)</f>
        <v>1300</v>
      </c>
      <c r="Z225" s="41" cm="1">
        <f t="array" ref="Z225">O225*VLOOKUP($G225, Factor!$C$4:$N$36, 9, 0)*INDEX(Factor!$C$41:$N$87, _xlfn.XMATCH($C225, Factor!$C$41:$C$87, -1), 9)</f>
        <v>7.8000000000000007</v>
      </c>
      <c r="AA225" s="41" cm="1">
        <f t="array" ref="AA225">P225*VLOOKUP($G225, Factor!$C$4:$N$36, 10, 0)*INDEX(Factor!$C$41:$N$87, _xlfn.XMATCH($C225, Factor!$C$41:$C$87, -1), 10)</f>
        <v>1300</v>
      </c>
      <c r="AB225" s="41" cm="1">
        <f t="array" ref="AB225">Q225*VLOOKUP($G225, Factor!$C$4:$N$36, 11, 0)*INDEX(Factor!$C$41:$N$87, _xlfn.XMATCH($C225, Factor!$C$41:$C$87, -1), 11)</f>
        <v>9</v>
      </c>
      <c r="AC225" s="41" cm="1">
        <f t="array" ref="AC225">R225*VLOOKUP($G225, Factor!$C$4:$N$36, 12, 0)*INDEX(Factor!$C$41:$N$87, _xlfn.XMATCH($C225, Factor!$C$41:$C$87, -1), 12)</f>
        <v>9</v>
      </c>
      <c r="AD225" s="41"/>
    </row>
    <row r="226" spans="1:30" ht="15.75" customHeight="1" x14ac:dyDescent="0.2">
      <c r="A226" s="18" t="str">
        <f>"locomotive_"&amp; VLOOKUP(F226, Factor!$BK$4:$BL$6, 2, 0) &amp;"_"&amp;Locomotive!D226&amp;"_"&amp;VLOOKUP(E226, Factor!$BM$4:$BN$36, 2, 0)</f>
        <v>locomotive_Dz_T9_002</v>
      </c>
      <c r="B226" s="18" t="str">
        <f t="shared" si="6"/>
        <v>T9 쾌속 디젤기관차</v>
      </c>
      <c r="C226" s="18">
        <f>VLOOKUP(D226, Factor!$B$41:$C$50, 2, 0)</f>
        <v>90000</v>
      </c>
      <c r="D226" s="18" t="s">
        <v>327</v>
      </c>
      <c r="E226" s="18" t="s">
        <v>504</v>
      </c>
      <c r="F226" s="18" t="s">
        <v>503</v>
      </c>
      <c r="G226" s="18" t="str">
        <f t="shared" si="7"/>
        <v>쾌속 디젤</v>
      </c>
      <c r="H226" s="18">
        <v>1</v>
      </c>
      <c r="I226" s="18">
        <v>1</v>
      </c>
      <c r="J226" s="18">
        <v>1</v>
      </c>
      <c r="K226" s="18">
        <v>1</v>
      </c>
      <c r="L226" s="18">
        <v>1</v>
      </c>
      <c r="M226" s="18">
        <v>1</v>
      </c>
      <c r="N226" s="18">
        <v>1</v>
      </c>
      <c r="O226" s="18">
        <v>1</v>
      </c>
      <c r="P226" s="18">
        <v>1</v>
      </c>
      <c r="Q226" s="18">
        <v>1</v>
      </c>
      <c r="R226" s="18">
        <v>1</v>
      </c>
      <c r="S226" s="18" cm="1">
        <f t="array" ref="S226">H226*VLOOKUP($G226, Factor!$C$4:$N$36, 2, 0)*INDEX(Factor!$C$41:$N$87, _xlfn.XMATCH($C226, Factor!$C$41:$C$87, -1), 2)</f>
        <v>429</v>
      </c>
      <c r="T226" s="18" cm="1">
        <f t="array" ref="T226">I226*VLOOKUP($G226, Factor!$C$4:$N$36, 3, 0)*INDEX(Factor!$C$41:$N$87, _xlfn.XMATCH($C226, Factor!$C$41:$C$87, -1), 3)</f>
        <v>2600</v>
      </c>
      <c r="U226" s="18" cm="1">
        <f t="array" ref="U226">J226*VLOOKUP($G226, Factor!$C$4:$N$36, 4, 0)*INDEX(Factor!$C$41:$N$87, _xlfn.XMATCH($C226, Factor!$C$41:$C$87, -1), 4)</f>
        <v>10</v>
      </c>
      <c r="V226" s="18" cm="1">
        <f t="array" ref="V226">K226*VLOOKUP($G226, Factor!$C$4:$N$36, 5, 0)*INDEX(Factor!$C$41:$N$87, _xlfn.XMATCH($C226, Factor!$C$41:$C$87, -1), 5)</f>
        <v>20.8</v>
      </c>
      <c r="W226" s="18" cm="1">
        <f t="array" ref="W226">L226*VLOOKUP($G226, Factor!$C$4:$N$36, 6, 0)*INDEX(Factor!$C$41:$N$87, _xlfn.XMATCH($C226, Factor!$C$41:$C$87, -1), 6)</f>
        <v>26</v>
      </c>
      <c r="X226" s="18" cm="1">
        <f t="array" ref="X226">M226*VLOOKUP($G226, Factor!$C$4:$N$36, 7, 0)*INDEX(Factor!$C$41:$N$87, _xlfn.XMATCH($C226, Factor!$C$41:$C$87, -1), 7)</f>
        <v>39000</v>
      </c>
      <c r="Y226" s="18" cm="1">
        <f t="array" ref="Y226">N226*VLOOKUP($G226, Factor!$C$4:$N$36, 8, 0)*INDEX(Factor!$C$41:$N$87, _xlfn.XMATCH($C226, Factor!$C$41:$C$87, -1), 8)</f>
        <v>1690</v>
      </c>
      <c r="Z226" s="18" cm="1">
        <f t="array" ref="Z226">O226*VLOOKUP($G226, Factor!$C$4:$N$36, 9, 0)*INDEX(Factor!$C$41:$N$87, _xlfn.XMATCH($C226, Factor!$C$41:$C$87, -1), 9)</f>
        <v>13</v>
      </c>
      <c r="AA226" s="18" cm="1">
        <f t="array" ref="AA226">P226*VLOOKUP($G226, Factor!$C$4:$N$36, 10, 0)*INDEX(Factor!$C$41:$N$87, _xlfn.XMATCH($C226, Factor!$C$41:$C$87, -1), 10)</f>
        <v>1690</v>
      </c>
      <c r="AB226" s="18" cm="1">
        <f t="array" ref="AB226">Q226*VLOOKUP($G226, Factor!$C$4:$N$36, 11, 0)*INDEX(Factor!$C$41:$N$87, _xlfn.XMATCH($C226, Factor!$C$41:$C$87, -1), 11)</f>
        <v>9</v>
      </c>
      <c r="AC226" s="18" cm="1">
        <f t="array" ref="AC226">R226*VLOOKUP($G226, Factor!$C$4:$N$36, 12, 0)*INDEX(Factor!$C$41:$N$87, _xlfn.XMATCH($C226, Factor!$C$41:$C$87, -1), 12)</f>
        <v>9</v>
      </c>
      <c r="AD226" s="18"/>
    </row>
    <row r="227" spans="1:30" ht="15.75" customHeight="1" x14ac:dyDescent="0.2">
      <c r="A227" s="15" t="str">
        <f>"locomotive_"&amp; VLOOKUP(F227, Factor!$BK$4:$BL$6, 2, 0) &amp;"_"&amp;Locomotive!D227&amp;"_"&amp;VLOOKUP(E227, Factor!$BM$4:$BN$36, 2, 0)</f>
        <v>locomotive_St_T9_003</v>
      </c>
      <c r="B227" s="15" t="str">
        <f t="shared" si="6"/>
        <v>T9 중갑 증기기관차</v>
      </c>
      <c r="C227" s="15">
        <f>VLOOKUP(D227, Factor!$B$41:$C$50, 2, 0)</f>
        <v>90000</v>
      </c>
      <c r="D227" s="15" t="s">
        <v>327</v>
      </c>
      <c r="E227" s="41" t="s">
        <v>506</v>
      </c>
      <c r="F227" s="41" t="s">
        <v>505</v>
      </c>
      <c r="G227" s="41" t="str">
        <f t="shared" si="7"/>
        <v>중갑 증기</v>
      </c>
      <c r="H227" s="41">
        <v>1</v>
      </c>
      <c r="I227" s="41">
        <v>1</v>
      </c>
      <c r="J227" s="41">
        <v>1</v>
      </c>
      <c r="K227" s="41">
        <v>1</v>
      </c>
      <c r="L227" s="41">
        <v>1</v>
      </c>
      <c r="M227" s="41">
        <v>1</v>
      </c>
      <c r="N227" s="41">
        <v>1</v>
      </c>
      <c r="O227" s="41">
        <v>1</v>
      </c>
      <c r="P227" s="41">
        <v>1</v>
      </c>
      <c r="Q227" s="41">
        <v>1</v>
      </c>
      <c r="R227" s="41">
        <v>1</v>
      </c>
      <c r="S227" s="41" cm="1">
        <f t="array" ref="S227">H227*VLOOKUP($G227, Factor!$C$4:$N$36, 2, 0)*INDEX(Factor!$C$41:$N$87, _xlfn.XMATCH($C227, Factor!$C$41:$C$87, -1), 2)</f>
        <v>234</v>
      </c>
      <c r="T227" s="41" cm="1">
        <f t="array" ref="T227">I227*VLOOKUP($G227, Factor!$C$4:$N$36, 3, 0)*INDEX(Factor!$C$41:$N$87, _xlfn.XMATCH($C227, Factor!$C$41:$C$87, -1), 3)</f>
        <v>3120</v>
      </c>
      <c r="U227" s="41" cm="1">
        <f t="array" ref="U227">J227*VLOOKUP($G227, Factor!$C$4:$N$36, 4, 0)*INDEX(Factor!$C$41:$N$87, _xlfn.XMATCH($C227, Factor!$C$41:$C$87, -1), 4)</f>
        <v>10</v>
      </c>
      <c r="V227" s="41" cm="1">
        <f t="array" ref="V227">K227*VLOOKUP($G227, Factor!$C$4:$N$36, 5, 0)*INDEX(Factor!$C$41:$N$87, _xlfn.XMATCH($C227, Factor!$C$41:$C$87, -1), 5)</f>
        <v>10.4</v>
      </c>
      <c r="W227" s="41" cm="1">
        <f t="array" ref="W227">L227*VLOOKUP($G227, Factor!$C$4:$N$36, 6, 0)*INDEX(Factor!$C$41:$N$87, _xlfn.XMATCH($C227, Factor!$C$41:$C$87, -1), 6)</f>
        <v>26</v>
      </c>
      <c r="X227" s="41" cm="1">
        <f t="array" ref="X227">M227*VLOOKUP($G227, Factor!$C$4:$N$36, 7, 0)*INDEX(Factor!$C$41:$N$87, _xlfn.XMATCH($C227, Factor!$C$41:$C$87, -1), 7)</f>
        <v>20800</v>
      </c>
      <c r="Y227" s="41" cm="1">
        <f t="array" ref="Y227">N227*VLOOKUP($G227, Factor!$C$4:$N$36, 8, 0)*INDEX(Factor!$C$41:$N$87, _xlfn.XMATCH($C227, Factor!$C$41:$C$87, -1), 8)</f>
        <v>3900</v>
      </c>
      <c r="Z227" s="41" cm="1">
        <f t="array" ref="Z227">O227*VLOOKUP($G227, Factor!$C$4:$N$36, 9, 0)*INDEX(Factor!$C$41:$N$87, _xlfn.XMATCH($C227, Factor!$C$41:$C$87, -1), 9)</f>
        <v>130</v>
      </c>
      <c r="AA227" s="41" cm="1">
        <f t="array" ref="AA227">P227*VLOOKUP($G227, Factor!$C$4:$N$36, 10, 0)*INDEX(Factor!$C$41:$N$87, _xlfn.XMATCH($C227, Factor!$C$41:$C$87, -1), 10)</f>
        <v>3900</v>
      </c>
      <c r="AB227" s="41" cm="1">
        <f t="array" ref="AB227">Q227*VLOOKUP($G227, Factor!$C$4:$N$36, 11, 0)*INDEX(Factor!$C$41:$N$87, _xlfn.XMATCH($C227, Factor!$C$41:$C$87, -1), 11)</f>
        <v>9</v>
      </c>
      <c r="AC227" s="41" cm="1">
        <f t="array" ref="AC227">R227*VLOOKUP($G227, Factor!$C$4:$N$36, 12, 0)*INDEX(Factor!$C$41:$N$87, _xlfn.XMATCH($C227, Factor!$C$41:$C$87, -1), 12)</f>
        <v>9</v>
      </c>
      <c r="AD227" s="41"/>
    </row>
    <row r="228" spans="1:30" ht="15.75" customHeight="1" x14ac:dyDescent="0.2">
      <c r="A228" s="18" t="str">
        <f>"locomotive_"&amp; VLOOKUP(F228, Factor!$BK$4:$BL$6, 2, 0) &amp;"_"&amp;Locomotive!D228&amp;"_"&amp;VLOOKUP(E228, Factor!$BM$4:$BN$36, 2, 0)</f>
        <v>locomotive_El_T9_003</v>
      </c>
      <c r="B228" s="18" t="str">
        <f t="shared" si="6"/>
        <v>T9 중갑 전기기관차</v>
      </c>
      <c r="C228" s="18">
        <f>VLOOKUP(D228, Factor!$B$41:$C$50, 2, 0)</f>
        <v>90000</v>
      </c>
      <c r="D228" s="18" t="s">
        <v>327</v>
      </c>
      <c r="E228" s="18" t="s">
        <v>506</v>
      </c>
      <c r="F228" s="18" t="s">
        <v>502</v>
      </c>
      <c r="G228" s="18" t="str">
        <f t="shared" si="7"/>
        <v>중갑 전기</v>
      </c>
      <c r="H228" s="18">
        <v>1</v>
      </c>
      <c r="I228" s="18">
        <v>1</v>
      </c>
      <c r="J228" s="18">
        <v>1</v>
      </c>
      <c r="K228" s="18">
        <v>1</v>
      </c>
      <c r="L228" s="18">
        <v>1</v>
      </c>
      <c r="M228" s="18">
        <v>1</v>
      </c>
      <c r="N228" s="18">
        <v>1</v>
      </c>
      <c r="O228" s="18">
        <v>1</v>
      </c>
      <c r="P228" s="18">
        <v>1</v>
      </c>
      <c r="Q228" s="18">
        <v>1</v>
      </c>
      <c r="R228" s="18">
        <v>1</v>
      </c>
      <c r="S228" s="18" cm="1">
        <f t="array" ref="S228">H228*VLOOKUP($G228, Factor!$C$4:$N$36, 2, 0)*INDEX(Factor!$C$41:$N$87, _xlfn.XMATCH($C228, Factor!$C$41:$C$87, -1), 2)</f>
        <v>442</v>
      </c>
      <c r="T228" s="18" cm="1">
        <f t="array" ref="T228">I228*VLOOKUP($G228, Factor!$C$4:$N$36, 3, 0)*INDEX(Factor!$C$41:$N$87, _xlfn.XMATCH($C228, Factor!$C$41:$C$87, -1), 3)</f>
        <v>260</v>
      </c>
      <c r="U228" s="18" cm="1">
        <f t="array" ref="U228">J228*VLOOKUP($G228, Factor!$C$4:$N$36, 4, 0)*INDEX(Factor!$C$41:$N$87, _xlfn.XMATCH($C228, Factor!$C$41:$C$87, -1), 4)</f>
        <v>10</v>
      </c>
      <c r="V228" s="18" cm="1">
        <f t="array" ref="V228">K228*VLOOKUP($G228, Factor!$C$4:$N$36, 5, 0)*INDEX(Factor!$C$41:$N$87, _xlfn.XMATCH($C228, Factor!$C$41:$C$87, -1), 5)</f>
        <v>20.8</v>
      </c>
      <c r="W228" s="18" cm="1">
        <f t="array" ref="W228">L228*VLOOKUP($G228, Factor!$C$4:$N$36, 6, 0)*INDEX(Factor!$C$41:$N$87, _xlfn.XMATCH($C228, Factor!$C$41:$C$87, -1), 6)</f>
        <v>26</v>
      </c>
      <c r="X228" s="18" cm="1">
        <f t="array" ref="X228">M228*VLOOKUP($G228, Factor!$C$4:$N$36, 7, 0)*INDEX(Factor!$C$41:$N$87, _xlfn.XMATCH($C228, Factor!$C$41:$C$87, -1), 7)</f>
        <v>13000</v>
      </c>
      <c r="Y228" s="18" cm="1">
        <f t="array" ref="Y228">N228*VLOOKUP($G228, Factor!$C$4:$N$36, 8, 0)*INDEX(Factor!$C$41:$N$87, _xlfn.XMATCH($C228, Factor!$C$41:$C$87, -1), 8)</f>
        <v>2600</v>
      </c>
      <c r="Z228" s="18" cm="1">
        <f t="array" ref="Z228">O228*VLOOKUP($G228, Factor!$C$4:$N$36, 9, 0)*INDEX(Factor!$C$41:$N$87, _xlfn.XMATCH($C228, Factor!$C$41:$C$87, -1), 9)</f>
        <v>39</v>
      </c>
      <c r="AA228" s="18" cm="1">
        <f t="array" ref="AA228">P228*VLOOKUP($G228, Factor!$C$4:$N$36, 10, 0)*INDEX(Factor!$C$41:$N$87, _xlfn.XMATCH($C228, Factor!$C$41:$C$87, -1), 10)</f>
        <v>2600</v>
      </c>
      <c r="AB228" s="18" cm="1">
        <f t="array" ref="AB228">Q228*VLOOKUP($G228, Factor!$C$4:$N$36, 11, 0)*INDEX(Factor!$C$41:$N$87, _xlfn.XMATCH($C228, Factor!$C$41:$C$87, -1), 11)</f>
        <v>9</v>
      </c>
      <c r="AC228" s="18" cm="1">
        <f t="array" ref="AC228">R228*VLOOKUP($G228, Factor!$C$4:$N$36, 12, 0)*INDEX(Factor!$C$41:$N$87, _xlfn.XMATCH($C228, Factor!$C$41:$C$87, -1), 12)</f>
        <v>9</v>
      </c>
      <c r="AD228" s="18"/>
    </row>
    <row r="229" spans="1:30" ht="15.75" customHeight="1" x14ac:dyDescent="0.2">
      <c r="A229" s="15" t="str">
        <f>"locomotive_"&amp; VLOOKUP(F229, Factor!$BK$4:$BL$6, 2, 0) &amp;"_"&amp;Locomotive!D229&amp;"_"&amp;VLOOKUP(E229, Factor!$BM$4:$BN$36, 2, 0)</f>
        <v>locomotive_Dz_T9_003</v>
      </c>
      <c r="B229" s="15" t="str">
        <f t="shared" si="6"/>
        <v>T9 중갑 디젤기관차</v>
      </c>
      <c r="C229" s="15">
        <f>VLOOKUP(D229, Factor!$B$41:$C$50, 2, 0)</f>
        <v>90000</v>
      </c>
      <c r="D229" s="15" t="s">
        <v>327</v>
      </c>
      <c r="E229" s="41" t="s">
        <v>506</v>
      </c>
      <c r="F229" s="41" t="s">
        <v>503</v>
      </c>
      <c r="G229" s="41" t="str">
        <f t="shared" si="7"/>
        <v>중갑 디젤</v>
      </c>
      <c r="H229" s="41">
        <v>1</v>
      </c>
      <c r="I229" s="41">
        <v>1</v>
      </c>
      <c r="J229" s="41">
        <v>1</v>
      </c>
      <c r="K229" s="41">
        <v>1</v>
      </c>
      <c r="L229" s="41">
        <v>1</v>
      </c>
      <c r="M229" s="41">
        <v>1</v>
      </c>
      <c r="N229" s="41">
        <v>1</v>
      </c>
      <c r="O229" s="41">
        <v>1</v>
      </c>
      <c r="P229" s="41">
        <v>1</v>
      </c>
      <c r="Q229" s="41">
        <v>1</v>
      </c>
      <c r="R229" s="41">
        <v>1</v>
      </c>
      <c r="S229" s="41" cm="1">
        <f t="array" ref="S229">H229*VLOOKUP($G229, Factor!$C$4:$N$36, 2, 0)*INDEX(Factor!$C$41:$N$87, _xlfn.XMATCH($C229, Factor!$C$41:$C$87, -1), 2)</f>
        <v>286</v>
      </c>
      <c r="T229" s="41" cm="1">
        <f t="array" ref="T229">I229*VLOOKUP($G229, Factor!$C$4:$N$36, 3, 0)*INDEX(Factor!$C$41:$N$87, _xlfn.XMATCH($C229, Factor!$C$41:$C$87, -1), 3)</f>
        <v>3900</v>
      </c>
      <c r="U229" s="41" cm="1">
        <f t="array" ref="U229">J229*VLOOKUP($G229, Factor!$C$4:$N$36, 4, 0)*INDEX(Factor!$C$41:$N$87, _xlfn.XMATCH($C229, Factor!$C$41:$C$87, -1), 4)</f>
        <v>10</v>
      </c>
      <c r="V229" s="41" cm="1">
        <f t="array" ref="V229">K229*VLOOKUP($G229, Factor!$C$4:$N$36, 5, 0)*INDEX(Factor!$C$41:$N$87, _xlfn.XMATCH($C229, Factor!$C$41:$C$87, -1), 5)</f>
        <v>15.600000000000001</v>
      </c>
      <c r="W229" s="41" cm="1">
        <f t="array" ref="W229">L229*VLOOKUP($G229, Factor!$C$4:$N$36, 6, 0)*INDEX(Factor!$C$41:$N$87, _xlfn.XMATCH($C229, Factor!$C$41:$C$87, -1), 6)</f>
        <v>26</v>
      </c>
      <c r="X229" s="41" cm="1">
        <f t="array" ref="X229">M229*VLOOKUP($G229, Factor!$C$4:$N$36, 7, 0)*INDEX(Factor!$C$41:$N$87, _xlfn.XMATCH($C229, Factor!$C$41:$C$87, -1), 7)</f>
        <v>31200</v>
      </c>
      <c r="Y229" s="41" cm="1">
        <f t="array" ref="Y229">N229*VLOOKUP($G229, Factor!$C$4:$N$36, 8, 0)*INDEX(Factor!$C$41:$N$87, _xlfn.XMATCH($C229, Factor!$C$41:$C$87, -1), 8)</f>
        <v>3380</v>
      </c>
      <c r="Z229" s="41" cm="1">
        <f t="array" ref="Z229">O229*VLOOKUP($G229, Factor!$C$4:$N$36, 9, 0)*INDEX(Factor!$C$41:$N$87, _xlfn.XMATCH($C229, Factor!$C$41:$C$87, -1), 9)</f>
        <v>78</v>
      </c>
      <c r="AA229" s="41" cm="1">
        <f t="array" ref="AA229">P229*VLOOKUP($G229, Factor!$C$4:$N$36, 10, 0)*INDEX(Factor!$C$41:$N$87, _xlfn.XMATCH($C229, Factor!$C$41:$C$87, -1), 10)</f>
        <v>3380</v>
      </c>
      <c r="AB229" s="41" cm="1">
        <f t="array" ref="AB229">Q229*VLOOKUP($G229, Factor!$C$4:$N$36, 11, 0)*INDEX(Factor!$C$41:$N$87, _xlfn.XMATCH($C229, Factor!$C$41:$C$87, -1), 11)</f>
        <v>9</v>
      </c>
      <c r="AC229" s="41" cm="1">
        <f t="array" ref="AC229">R229*VLOOKUP($G229, Factor!$C$4:$N$36, 12, 0)*INDEX(Factor!$C$41:$N$87, _xlfn.XMATCH($C229, Factor!$C$41:$C$87, -1), 12)</f>
        <v>9</v>
      </c>
      <c r="AD229" s="41"/>
    </row>
    <row r="230" spans="1:30" ht="15.75" customHeight="1" x14ac:dyDescent="0.2">
      <c r="A230" s="18" t="str">
        <f>"locomotive_"&amp; VLOOKUP(F230, Factor!$BK$4:$BL$6, 2, 0) &amp;"_"&amp;Locomotive!D230&amp;"_"&amp;VLOOKUP(E230, Factor!$BM$4:$BN$36, 2, 0)</f>
        <v>locomotive_St_T9_004</v>
      </c>
      <c r="B230" s="18" t="str">
        <f t="shared" si="6"/>
        <v>T9 화물 증기기관차</v>
      </c>
      <c r="C230" s="18">
        <f>VLOOKUP(D230, Factor!$B$41:$C$50, 2, 0)</f>
        <v>90000</v>
      </c>
      <c r="D230" s="18" t="s">
        <v>327</v>
      </c>
      <c r="E230" s="18" t="s">
        <v>507</v>
      </c>
      <c r="F230" s="18" t="s">
        <v>505</v>
      </c>
      <c r="G230" s="18" t="str">
        <f t="shared" si="7"/>
        <v>화물 증기</v>
      </c>
      <c r="H230" s="18">
        <v>1</v>
      </c>
      <c r="I230" s="18">
        <v>1</v>
      </c>
      <c r="J230" s="18">
        <v>1</v>
      </c>
      <c r="K230" s="18">
        <v>1</v>
      </c>
      <c r="L230" s="18">
        <v>1</v>
      </c>
      <c r="M230" s="18">
        <v>1</v>
      </c>
      <c r="N230" s="18">
        <v>1</v>
      </c>
      <c r="O230" s="18">
        <v>1</v>
      </c>
      <c r="P230" s="18">
        <v>1</v>
      </c>
      <c r="Q230" s="18">
        <v>1</v>
      </c>
      <c r="R230" s="18">
        <v>1</v>
      </c>
      <c r="S230" s="18" cm="1">
        <f t="array" ref="S230">H230*VLOOKUP($G230, Factor!$C$4:$N$36, 2, 0)*INDEX(Factor!$C$41:$N$87, _xlfn.XMATCH($C230, Factor!$C$41:$C$87, -1), 2)</f>
        <v>234</v>
      </c>
      <c r="T230" s="18" cm="1">
        <f t="array" ref="T230">I230*VLOOKUP($G230, Factor!$C$4:$N$36, 3, 0)*INDEX(Factor!$C$41:$N$87, _xlfn.XMATCH($C230, Factor!$C$41:$C$87, -1), 3)</f>
        <v>2600</v>
      </c>
      <c r="U230" s="18" cm="1">
        <f t="array" ref="U230">J230*VLOOKUP($G230, Factor!$C$4:$N$36, 4, 0)*INDEX(Factor!$C$41:$N$87, _xlfn.XMATCH($C230, Factor!$C$41:$C$87, -1), 4)</f>
        <v>10</v>
      </c>
      <c r="V230" s="18" cm="1">
        <f t="array" ref="V230">K230*VLOOKUP($G230, Factor!$C$4:$N$36, 5, 0)*INDEX(Factor!$C$41:$N$87, _xlfn.XMATCH($C230, Factor!$C$41:$C$87, -1), 5)</f>
        <v>10.4</v>
      </c>
      <c r="W230" s="18" cm="1">
        <f t="array" ref="W230">L230*VLOOKUP($G230, Factor!$C$4:$N$36, 6, 0)*INDEX(Factor!$C$41:$N$87, _xlfn.XMATCH($C230, Factor!$C$41:$C$87, -1), 6)</f>
        <v>26</v>
      </c>
      <c r="X230" s="18" cm="1">
        <f t="array" ref="X230">M230*VLOOKUP($G230, Factor!$C$4:$N$36, 7, 0)*INDEX(Factor!$C$41:$N$87, _xlfn.XMATCH($C230, Factor!$C$41:$C$87, -1), 7)</f>
        <v>26000</v>
      </c>
      <c r="Y230" s="18" cm="1">
        <f t="array" ref="Y230">N230*VLOOKUP($G230, Factor!$C$4:$N$36, 8, 0)*INDEX(Factor!$C$41:$N$87, _xlfn.XMATCH($C230, Factor!$C$41:$C$87, -1), 8)</f>
        <v>2600</v>
      </c>
      <c r="Z230" s="18" cm="1">
        <f t="array" ref="Z230">O230*VLOOKUP($G230, Factor!$C$4:$N$36, 9, 0)*INDEX(Factor!$C$41:$N$87, _xlfn.XMATCH($C230, Factor!$C$41:$C$87, -1), 9)</f>
        <v>78</v>
      </c>
      <c r="AA230" s="18" cm="1">
        <f t="array" ref="AA230">P230*VLOOKUP($G230, Factor!$C$4:$N$36, 10, 0)*INDEX(Factor!$C$41:$N$87, _xlfn.XMATCH($C230, Factor!$C$41:$C$87, -1), 10)</f>
        <v>2600</v>
      </c>
      <c r="AB230" s="18" cm="1">
        <f t="array" ref="AB230">Q230*VLOOKUP($G230, Factor!$C$4:$N$36, 11, 0)*INDEX(Factor!$C$41:$N$87, _xlfn.XMATCH($C230, Factor!$C$41:$C$87, -1), 11)</f>
        <v>27</v>
      </c>
      <c r="AC230" s="18" cm="1">
        <f t="array" ref="AC230">R230*VLOOKUP($G230, Factor!$C$4:$N$36, 12, 0)*INDEX(Factor!$C$41:$N$87, _xlfn.XMATCH($C230, Factor!$C$41:$C$87, -1), 12)</f>
        <v>9</v>
      </c>
      <c r="AD230" s="18"/>
    </row>
    <row r="231" spans="1:30" ht="15.75" customHeight="1" x14ac:dyDescent="0.2">
      <c r="A231" s="15" t="str">
        <f>"locomotive_"&amp; VLOOKUP(F231, Factor!$BK$4:$BL$6, 2, 0) &amp;"_"&amp;Locomotive!D231&amp;"_"&amp;VLOOKUP(E231, Factor!$BM$4:$BN$36, 2, 0)</f>
        <v>locomotive_El_T9_004</v>
      </c>
      <c r="B231" s="15" t="str">
        <f t="shared" si="6"/>
        <v>T9 화물 전기기관차</v>
      </c>
      <c r="C231" s="15">
        <f>VLOOKUP(D231, Factor!$B$41:$C$50, 2, 0)</f>
        <v>90000</v>
      </c>
      <c r="D231" s="15" t="s">
        <v>327</v>
      </c>
      <c r="E231" s="41" t="s">
        <v>507</v>
      </c>
      <c r="F231" s="41" t="s">
        <v>502</v>
      </c>
      <c r="G231" s="41" t="str">
        <f t="shared" si="7"/>
        <v>화물 전기</v>
      </c>
      <c r="H231" s="41">
        <v>1</v>
      </c>
      <c r="I231" s="41">
        <v>1</v>
      </c>
      <c r="J231" s="41">
        <v>1</v>
      </c>
      <c r="K231" s="41">
        <v>1</v>
      </c>
      <c r="L231" s="41">
        <v>1</v>
      </c>
      <c r="M231" s="41">
        <v>1</v>
      </c>
      <c r="N231" s="41">
        <v>1</v>
      </c>
      <c r="O231" s="41">
        <v>1</v>
      </c>
      <c r="P231" s="41">
        <v>1</v>
      </c>
      <c r="Q231" s="41">
        <v>1</v>
      </c>
      <c r="R231" s="41">
        <v>1</v>
      </c>
      <c r="S231" s="41" cm="1">
        <f t="array" ref="S231">H231*VLOOKUP($G231, Factor!$C$4:$N$36, 2, 0)*INDEX(Factor!$C$41:$N$87, _xlfn.XMATCH($C231, Factor!$C$41:$C$87, -1), 2)</f>
        <v>468</v>
      </c>
      <c r="T231" s="41" cm="1">
        <f t="array" ref="T231">I231*VLOOKUP($G231, Factor!$C$4:$N$36, 3, 0)*INDEX(Factor!$C$41:$N$87, _xlfn.XMATCH($C231, Factor!$C$41:$C$87, -1), 3)</f>
        <v>2080</v>
      </c>
      <c r="U231" s="41" cm="1">
        <f t="array" ref="U231">J231*VLOOKUP($G231, Factor!$C$4:$N$36, 4, 0)*INDEX(Factor!$C$41:$N$87, _xlfn.XMATCH($C231, Factor!$C$41:$C$87, -1), 4)</f>
        <v>10</v>
      </c>
      <c r="V231" s="41" cm="1">
        <f t="array" ref="V231">K231*VLOOKUP($G231, Factor!$C$4:$N$36, 5, 0)*INDEX(Factor!$C$41:$N$87, _xlfn.XMATCH($C231, Factor!$C$41:$C$87, -1), 5)</f>
        <v>20.8</v>
      </c>
      <c r="W231" s="41" cm="1">
        <f t="array" ref="W231">L231*VLOOKUP($G231, Factor!$C$4:$N$36, 6, 0)*INDEX(Factor!$C$41:$N$87, _xlfn.XMATCH($C231, Factor!$C$41:$C$87, -1), 6)</f>
        <v>26</v>
      </c>
      <c r="X231" s="41" cm="1">
        <f t="array" ref="X231">M231*VLOOKUP($G231, Factor!$C$4:$N$36, 7, 0)*INDEX(Factor!$C$41:$N$87, _xlfn.XMATCH($C231, Factor!$C$41:$C$87, -1), 7)</f>
        <v>18200</v>
      </c>
      <c r="Y231" s="41" cm="1">
        <f t="array" ref="Y231">N231*VLOOKUP($G231, Factor!$C$4:$N$36, 8, 0)*INDEX(Factor!$C$41:$N$87, _xlfn.XMATCH($C231, Factor!$C$41:$C$87, -1), 8)</f>
        <v>1820</v>
      </c>
      <c r="Z231" s="41" cm="1">
        <f t="array" ref="Z231">O231*VLOOKUP($G231, Factor!$C$4:$N$36, 9, 0)*INDEX(Factor!$C$41:$N$87, _xlfn.XMATCH($C231, Factor!$C$41:$C$87, -1), 9)</f>
        <v>13</v>
      </c>
      <c r="AA231" s="41" cm="1">
        <f t="array" ref="AA231">P231*VLOOKUP($G231, Factor!$C$4:$N$36, 10, 0)*INDEX(Factor!$C$41:$N$87, _xlfn.XMATCH($C231, Factor!$C$41:$C$87, -1), 10)</f>
        <v>1820</v>
      </c>
      <c r="AB231" s="41" cm="1">
        <f t="array" ref="AB231">Q231*VLOOKUP($G231, Factor!$C$4:$N$36, 11, 0)*INDEX(Factor!$C$41:$N$87, _xlfn.XMATCH($C231, Factor!$C$41:$C$87, -1), 11)</f>
        <v>27</v>
      </c>
      <c r="AC231" s="41" cm="1">
        <f t="array" ref="AC231">R231*VLOOKUP($G231, Factor!$C$4:$N$36, 12, 0)*INDEX(Factor!$C$41:$N$87, _xlfn.XMATCH($C231, Factor!$C$41:$C$87, -1), 12)</f>
        <v>9</v>
      </c>
      <c r="AD231" s="41"/>
    </row>
    <row r="232" spans="1:30" ht="15.75" customHeight="1" x14ac:dyDescent="0.2">
      <c r="A232" s="18" t="str">
        <f>"locomotive_"&amp; VLOOKUP(F232, Factor!$BK$4:$BL$6, 2, 0) &amp;"_"&amp;Locomotive!D232&amp;"_"&amp;VLOOKUP(E232, Factor!$BM$4:$BN$36, 2, 0)</f>
        <v>locomotive_Dz_T9_004</v>
      </c>
      <c r="B232" s="18" t="str">
        <f t="shared" si="6"/>
        <v>T9 화물 디젤기관차</v>
      </c>
      <c r="C232" s="18">
        <f>VLOOKUP(D232, Factor!$B$41:$C$50, 2, 0)</f>
        <v>90000</v>
      </c>
      <c r="D232" s="18" t="s">
        <v>327</v>
      </c>
      <c r="E232" s="18" t="s">
        <v>507</v>
      </c>
      <c r="F232" s="18" t="s">
        <v>503</v>
      </c>
      <c r="G232" s="18" t="str">
        <f t="shared" si="7"/>
        <v>화물 디젤</v>
      </c>
      <c r="H232" s="18">
        <v>1</v>
      </c>
      <c r="I232" s="18">
        <v>1</v>
      </c>
      <c r="J232" s="18">
        <v>1</v>
      </c>
      <c r="K232" s="18">
        <v>1</v>
      </c>
      <c r="L232" s="18">
        <v>1</v>
      </c>
      <c r="M232" s="18">
        <v>1</v>
      </c>
      <c r="N232" s="18">
        <v>1</v>
      </c>
      <c r="O232" s="18">
        <v>1</v>
      </c>
      <c r="P232" s="18">
        <v>1</v>
      </c>
      <c r="Q232" s="18">
        <v>1</v>
      </c>
      <c r="R232" s="18">
        <v>1</v>
      </c>
      <c r="S232" s="18" cm="1">
        <f t="array" ref="S232">H232*VLOOKUP($G232, Factor!$C$4:$N$36, 2, 0)*INDEX(Factor!$C$41:$N$87, _xlfn.XMATCH($C232, Factor!$C$41:$C$87, -1), 2)</f>
        <v>312</v>
      </c>
      <c r="T232" s="18" cm="1">
        <f t="array" ref="T232">I232*VLOOKUP($G232, Factor!$C$4:$N$36, 3, 0)*INDEX(Factor!$C$41:$N$87, _xlfn.XMATCH($C232, Factor!$C$41:$C$87, -1), 3)</f>
        <v>3120</v>
      </c>
      <c r="U232" s="18" cm="1">
        <f t="array" ref="U232">J232*VLOOKUP($G232, Factor!$C$4:$N$36, 4, 0)*INDEX(Factor!$C$41:$N$87, _xlfn.XMATCH($C232, Factor!$C$41:$C$87, -1), 4)</f>
        <v>10</v>
      </c>
      <c r="V232" s="18" cm="1">
        <f t="array" ref="V232">K232*VLOOKUP($G232, Factor!$C$4:$N$36, 5, 0)*INDEX(Factor!$C$41:$N$87, _xlfn.XMATCH($C232, Factor!$C$41:$C$87, -1), 5)</f>
        <v>15.600000000000001</v>
      </c>
      <c r="W232" s="18" cm="1">
        <f t="array" ref="W232">L232*VLOOKUP($G232, Factor!$C$4:$N$36, 6, 0)*INDEX(Factor!$C$41:$N$87, _xlfn.XMATCH($C232, Factor!$C$41:$C$87, -1), 6)</f>
        <v>26</v>
      </c>
      <c r="X232" s="18" cm="1">
        <f t="array" ref="X232">M232*VLOOKUP($G232, Factor!$C$4:$N$36, 7, 0)*INDEX(Factor!$C$41:$N$87, _xlfn.XMATCH($C232, Factor!$C$41:$C$87, -1), 7)</f>
        <v>39000</v>
      </c>
      <c r="Y232" s="18" cm="1">
        <f t="array" ref="Y232">N232*VLOOKUP($G232, Factor!$C$4:$N$36, 8, 0)*INDEX(Factor!$C$41:$N$87, _xlfn.XMATCH($C232, Factor!$C$41:$C$87, -1), 8)</f>
        <v>2080</v>
      </c>
      <c r="Z232" s="18" cm="1">
        <f t="array" ref="Z232">O232*VLOOKUP($G232, Factor!$C$4:$N$36, 9, 0)*INDEX(Factor!$C$41:$N$87, _xlfn.XMATCH($C232, Factor!$C$41:$C$87, -1), 9)</f>
        <v>26</v>
      </c>
      <c r="AA232" s="18" cm="1">
        <f t="array" ref="AA232">P232*VLOOKUP($G232, Factor!$C$4:$N$36, 10, 0)*INDEX(Factor!$C$41:$N$87, _xlfn.XMATCH($C232, Factor!$C$41:$C$87, -1), 10)</f>
        <v>2080</v>
      </c>
      <c r="AB232" s="18" cm="1">
        <f t="array" ref="AB232">Q232*VLOOKUP($G232, Factor!$C$4:$N$36, 11, 0)*INDEX(Factor!$C$41:$N$87, _xlfn.XMATCH($C232, Factor!$C$41:$C$87, -1), 11)</f>
        <v>27</v>
      </c>
      <c r="AC232" s="18" cm="1">
        <f t="array" ref="AC232">R232*VLOOKUP($G232, Factor!$C$4:$N$36, 12, 0)*INDEX(Factor!$C$41:$N$87, _xlfn.XMATCH($C232, Factor!$C$41:$C$87, -1), 12)</f>
        <v>9</v>
      </c>
      <c r="AD232" s="18"/>
    </row>
    <row r="233" spans="1:30" ht="15.75" customHeight="1" x14ac:dyDescent="0.2">
      <c r="A233" s="15" t="str">
        <f>"locomotive_"&amp; VLOOKUP(F233, Factor!$BK$4:$BL$6, 2, 0) &amp;"_"&amp;Locomotive!D233&amp;"_"&amp;VLOOKUP(E233, Factor!$BM$4:$BN$36, 2, 0)</f>
        <v>locomotive_St_T9_005</v>
      </c>
      <c r="B233" s="15" t="str">
        <f t="shared" si="6"/>
        <v>T9 군용 증기기관차</v>
      </c>
      <c r="C233" s="15">
        <f>VLOOKUP(D233, Factor!$B$41:$C$50, 2, 0)</f>
        <v>90000</v>
      </c>
      <c r="D233" s="15" t="s">
        <v>327</v>
      </c>
      <c r="E233" s="41" t="s">
        <v>508</v>
      </c>
      <c r="F233" s="41" t="s">
        <v>505</v>
      </c>
      <c r="G233" s="41" t="str">
        <f t="shared" si="7"/>
        <v>군용 증기</v>
      </c>
      <c r="H233" s="41">
        <v>1</v>
      </c>
      <c r="I233" s="41">
        <v>1</v>
      </c>
      <c r="J233" s="41">
        <v>1</v>
      </c>
      <c r="K233" s="41">
        <v>1</v>
      </c>
      <c r="L233" s="41">
        <v>1</v>
      </c>
      <c r="M233" s="41">
        <v>1</v>
      </c>
      <c r="N233" s="41">
        <v>1</v>
      </c>
      <c r="O233" s="41">
        <v>1</v>
      </c>
      <c r="P233" s="41">
        <v>1</v>
      </c>
      <c r="Q233" s="41">
        <v>1</v>
      </c>
      <c r="R233" s="41">
        <v>1</v>
      </c>
      <c r="S233" s="41" cm="1">
        <f t="array" ref="S233">H233*VLOOKUP($G233, Factor!$C$4:$N$36, 2, 0)*INDEX(Factor!$C$41:$N$87, _xlfn.XMATCH($C233, Factor!$C$41:$C$87, -1), 2)</f>
        <v>234</v>
      </c>
      <c r="T233" s="41" cm="1">
        <f t="array" ref="T233">I233*VLOOKUP($G233, Factor!$C$4:$N$36, 3, 0)*INDEX(Factor!$C$41:$N$87, _xlfn.XMATCH($C233, Factor!$C$41:$C$87, -1), 3)</f>
        <v>4160</v>
      </c>
      <c r="U233" s="41" cm="1">
        <f t="array" ref="U233">J233*VLOOKUP($G233, Factor!$C$4:$N$36, 4, 0)*INDEX(Factor!$C$41:$N$87, _xlfn.XMATCH($C233, Factor!$C$41:$C$87, -1), 4)</f>
        <v>10</v>
      </c>
      <c r="V233" s="41" cm="1">
        <f t="array" ref="V233">K233*VLOOKUP($G233, Factor!$C$4:$N$36, 5, 0)*INDEX(Factor!$C$41:$N$87, _xlfn.XMATCH($C233, Factor!$C$41:$C$87, -1), 5)</f>
        <v>5.2</v>
      </c>
      <c r="W233" s="41" cm="1">
        <f t="array" ref="W233">L233*VLOOKUP($G233, Factor!$C$4:$N$36, 6, 0)*INDEX(Factor!$C$41:$N$87, _xlfn.XMATCH($C233, Factor!$C$41:$C$87, -1), 6)</f>
        <v>46.800000000000004</v>
      </c>
      <c r="X233" s="41" cm="1">
        <f t="array" ref="X233">M233*VLOOKUP($G233, Factor!$C$4:$N$36, 7, 0)*INDEX(Factor!$C$41:$N$87, _xlfn.XMATCH($C233, Factor!$C$41:$C$87, -1), 7)</f>
        <v>26000</v>
      </c>
      <c r="Y233" s="41" cm="1">
        <f t="array" ref="Y233">N233*VLOOKUP($G233, Factor!$C$4:$N$36, 8, 0)*INDEX(Factor!$C$41:$N$87, _xlfn.XMATCH($C233, Factor!$C$41:$C$87, -1), 8)</f>
        <v>2600</v>
      </c>
      <c r="Z233" s="41" cm="1">
        <f t="array" ref="Z233">O233*VLOOKUP($G233, Factor!$C$4:$N$36, 9, 0)*INDEX(Factor!$C$41:$N$87, _xlfn.XMATCH($C233, Factor!$C$41:$C$87, -1), 9)</f>
        <v>78</v>
      </c>
      <c r="AA233" s="41" cm="1">
        <f t="array" ref="AA233">P233*VLOOKUP($G233, Factor!$C$4:$N$36, 10, 0)*INDEX(Factor!$C$41:$N$87, _xlfn.XMATCH($C233, Factor!$C$41:$C$87, -1), 10)</f>
        <v>2600</v>
      </c>
      <c r="AB233" s="41" cm="1">
        <f t="array" ref="AB233">Q233*VLOOKUP($G233, Factor!$C$4:$N$36, 11, 0)*INDEX(Factor!$C$41:$N$87, _xlfn.XMATCH($C233, Factor!$C$41:$C$87, -1), 11)</f>
        <v>9</v>
      </c>
      <c r="AC233" s="41" cm="1">
        <f t="array" ref="AC233">R233*VLOOKUP($G233, Factor!$C$4:$N$36, 12, 0)*INDEX(Factor!$C$41:$N$87, _xlfn.XMATCH($C233, Factor!$C$41:$C$87, -1), 12)</f>
        <v>9</v>
      </c>
      <c r="AD233" s="41"/>
    </row>
    <row r="234" spans="1:30" ht="15.75" customHeight="1" x14ac:dyDescent="0.2">
      <c r="A234" s="18" t="str">
        <f>"locomotive_"&amp; VLOOKUP(F234, Factor!$BK$4:$BL$6, 2, 0) &amp;"_"&amp;Locomotive!D234&amp;"_"&amp;VLOOKUP(E234, Factor!$BM$4:$BN$36, 2, 0)</f>
        <v>locomotive_El_T9_005</v>
      </c>
      <c r="B234" s="18" t="str">
        <f t="shared" si="6"/>
        <v>T9 군용 전기기관차</v>
      </c>
      <c r="C234" s="18">
        <f>VLOOKUP(D234, Factor!$B$41:$C$50, 2, 0)</f>
        <v>90000</v>
      </c>
      <c r="D234" s="18" t="s">
        <v>327</v>
      </c>
      <c r="E234" s="18" t="s">
        <v>508</v>
      </c>
      <c r="F234" s="18" t="s">
        <v>502</v>
      </c>
      <c r="G234" s="18" t="str">
        <f t="shared" si="7"/>
        <v>군용 전기</v>
      </c>
      <c r="H234" s="18">
        <v>1</v>
      </c>
      <c r="I234" s="18">
        <v>1</v>
      </c>
      <c r="J234" s="18">
        <v>1</v>
      </c>
      <c r="K234" s="18">
        <v>1</v>
      </c>
      <c r="L234" s="18">
        <v>1</v>
      </c>
      <c r="M234" s="18">
        <v>1</v>
      </c>
      <c r="N234" s="18">
        <v>1</v>
      </c>
      <c r="O234" s="18">
        <v>1</v>
      </c>
      <c r="P234" s="18">
        <v>1</v>
      </c>
      <c r="Q234" s="18">
        <v>1</v>
      </c>
      <c r="R234" s="18">
        <v>1</v>
      </c>
      <c r="S234" s="18" cm="1">
        <f t="array" ref="S234">H234*VLOOKUP($G234, Factor!$C$4:$N$36, 2, 0)*INDEX(Factor!$C$41:$N$87, _xlfn.XMATCH($C234, Factor!$C$41:$C$87, -1), 2)</f>
        <v>442</v>
      </c>
      <c r="T234" s="18" cm="1">
        <f t="array" ref="T234">I234*VLOOKUP($G234, Factor!$C$4:$N$36, 3, 0)*INDEX(Factor!$C$41:$N$87, _xlfn.XMATCH($C234, Factor!$C$41:$C$87, -1), 3)</f>
        <v>2600</v>
      </c>
      <c r="U234" s="18" cm="1">
        <f t="array" ref="U234">J234*VLOOKUP($G234, Factor!$C$4:$N$36, 4, 0)*INDEX(Factor!$C$41:$N$87, _xlfn.XMATCH($C234, Factor!$C$41:$C$87, -1), 4)</f>
        <v>10</v>
      </c>
      <c r="V234" s="18" cm="1">
        <f t="array" ref="V234">K234*VLOOKUP($G234, Factor!$C$4:$N$36, 5, 0)*INDEX(Factor!$C$41:$N$87, _xlfn.XMATCH($C234, Factor!$C$41:$C$87, -1), 5)</f>
        <v>13</v>
      </c>
      <c r="W234" s="18" cm="1">
        <f t="array" ref="W234">L234*VLOOKUP($G234, Factor!$C$4:$N$36, 6, 0)*INDEX(Factor!$C$41:$N$87, _xlfn.XMATCH($C234, Factor!$C$41:$C$87, -1), 6)</f>
        <v>46.800000000000004</v>
      </c>
      <c r="X234" s="18" cm="1">
        <f t="array" ref="X234">M234*VLOOKUP($G234, Factor!$C$4:$N$36, 7, 0)*INDEX(Factor!$C$41:$N$87, _xlfn.XMATCH($C234, Factor!$C$41:$C$87, -1), 7)</f>
        <v>18200</v>
      </c>
      <c r="Y234" s="18" cm="1">
        <f t="array" ref="Y234">N234*VLOOKUP($G234, Factor!$C$4:$N$36, 8, 0)*INDEX(Factor!$C$41:$N$87, _xlfn.XMATCH($C234, Factor!$C$41:$C$87, -1), 8)</f>
        <v>1820</v>
      </c>
      <c r="Z234" s="18" cm="1">
        <f t="array" ref="Z234">O234*VLOOKUP($G234, Factor!$C$4:$N$36, 9, 0)*INDEX(Factor!$C$41:$N$87, _xlfn.XMATCH($C234, Factor!$C$41:$C$87, -1), 9)</f>
        <v>13</v>
      </c>
      <c r="AA234" s="18" cm="1">
        <f t="array" ref="AA234">P234*VLOOKUP($G234, Factor!$C$4:$N$36, 10, 0)*INDEX(Factor!$C$41:$N$87, _xlfn.XMATCH($C234, Factor!$C$41:$C$87, -1), 10)</f>
        <v>1820</v>
      </c>
      <c r="AB234" s="18" cm="1">
        <f t="array" ref="AB234">Q234*VLOOKUP($G234, Factor!$C$4:$N$36, 11, 0)*INDEX(Factor!$C$41:$N$87, _xlfn.XMATCH($C234, Factor!$C$41:$C$87, -1), 11)</f>
        <v>9</v>
      </c>
      <c r="AC234" s="18" cm="1">
        <f t="array" ref="AC234">R234*VLOOKUP($G234, Factor!$C$4:$N$36, 12, 0)*INDEX(Factor!$C$41:$N$87, _xlfn.XMATCH($C234, Factor!$C$41:$C$87, -1), 12)</f>
        <v>9</v>
      </c>
      <c r="AD234" s="18"/>
    </row>
    <row r="235" spans="1:30" ht="15.75" customHeight="1" x14ac:dyDescent="0.2">
      <c r="A235" s="15" t="str">
        <f>"locomotive_"&amp; VLOOKUP(F235, Factor!$BK$4:$BL$6, 2, 0) &amp;"_"&amp;Locomotive!D235&amp;"_"&amp;VLOOKUP(E235, Factor!$BM$4:$BN$36, 2, 0)</f>
        <v>locomotive_Dz_T9_005</v>
      </c>
      <c r="B235" s="15" t="str">
        <f t="shared" si="6"/>
        <v>T9 군용 디젤기관차</v>
      </c>
      <c r="C235" s="15">
        <f>VLOOKUP(D235, Factor!$B$41:$C$50, 2, 0)</f>
        <v>90000</v>
      </c>
      <c r="D235" s="15" t="s">
        <v>327</v>
      </c>
      <c r="E235" s="41" t="s">
        <v>508</v>
      </c>
      <c r="F235" s="41" t="s">
        <v>503</v>
      </c>
      <c r="G235" s="41" t="str">
        <f t="shared" si="7"/>
        <v>군용 디젤</v>
      </c>
      <c r="H235" s="41">
        <v>1</v>
      </c>
      <c r="I235" s="41">
        <v>1</v>
      </c>
      <c r="J235" s="41">
        <v>1</v>
      </c>
      <c r="K235" s="41">
        <v>1</v>
      </c>
      <c r="L235" s="41">
        <v>1</v>
      </c>
      <c r="M235" s="41">
        <v>1</v>
      </c>
      <c r="N235" s="41">
        <v>1</v>
      </c>
      <c r="O235" s="41">
        <v>1</v>
      </c>
      <c r="P235" s="41">
        <v>1</v>
      </c>
      <c r="Q235" s="41">
        <v>1</v>
      </c>
      <c r="R235" s="41">
        <v>1</v>
      </c>
      <c r="S235" s="41" cm="1">
        <f t="array" ref="S235">H235*VLOOKUP($G235, Factor!$C$4:$N$36, 2, 0)*INDEX(Factor!$C$41:$N$87, _xlfn.XMATCH($C235, Factor!$C$41:$C$87, -1), 2)</f>
        <v>286</v>
      </c>
      <c r="T235" s="41" cm="1">
        <f t="array" ref="T235">I235*VLOOKUP($G235, Factor!$C$4:$N$36, 3, 0)*INDEX(Factor!$C$41:$N$87, _xlfn.XMATCH($C235, Factor!$C$41:$C$87, -1), 3)</f>
        <v>4160</v>
      </c>
      <c r="U235" s="41" cm="1">
        <f t="array" ref="U235">J235*VLOOKUP($G235, Factor!$C$4:$N$36, 4, 0)*INDEX(Factor!$C$41:$N$87, _xlfn.XMATCH($C235, Factor!$C$41:$C$87, -1), 4)</f>
        <v>10</v>
      </c>
      <c r="V235" s="41" cm="1">
        <f t="array" ref="V235">K235*VLOOKUP($G235, Factor!$C$4:$N$36, 5, 0)*INDEX(Factor!$C$41:$N$87, _xlfn.XMATCH($C235, Factor!$C$41:$C$87, -1), 5)</f>
        <v>7.8000000000000007</v>
      </c>
      <c r="W235" s="41" cm="1">
        <f t="array" ref="W235">L235*VLOOKUP($G235, Factor!$C$4:$N$36, 6, 0)*INDEX(Factor!$C$41:$N$87, _xlfn.XMATCH($C235, Factor!$C$41:$C$87, -1), 6)</f>
        <v>46.800000000000004</v>
      </c>
      <c r="X235" s="41" cm="1">
        <f t="array" ref="X235">M235*VLOOKUP($G235, Factor!$C$4:$N$36, 7, 0)*INDEX(Factor!$C$41:$N$87, _xlfn.XMATCH($C235, Factor!$C$41:$C$87, -1), 7)</f>
        <v>39000</v>
      </c>
      <c r="Y235" s="41" cm="1">
        <f t="array" ref="Y235">N235*VLOOKUP($G235, Factor!$C$4:$N$36, 8, 0)*INDEX(Factor!$C$41:$N$87, _xlfn.XMATCH($C235, Factor!$C$41:$C$87, -1), 8)</f>
        <v>2080</v>
      </c>
      <c r="Z235" s="41" cm="1">
        <f t="array" ref="Z235">O235*VLOOKUP($G235, Factor!$C$4:$N$36, 9, 0)*INDEX(Factor!$C$41:$N$87, _xlfn.XMATCH($C235, Factor!$C$41:$C$87, -1), 9)</f>
        <v>26</v>
      </c>
      <c r="AA235" s="41" cm="1">
        <f t="array" ref="AA235">P235*VLOOKUP($G235, Factor!$C$4:$N$36, 10, 0)*INDEX(Factor!$C$41:$N$87, _xlfn.XMATCH($C235, Factor!$C$41:$C$87, -1), 10)</f>
        <v>2080</v>
      </c>
      <c r="AB235" s="41" cm="1">
        <f t="array" ref="AB235">Q235*VLOOKUP($G235, Factor!$C$4:$N$36, 11, 0)*INDEX(Factor!$C$41:$N$87, _xlfn.XMATCH($C235, Factor!$C$41:$C$87, -1), 11)</f>
        <v>9</v>
      </c>
      <c r="AC235" s="41" cm="1">
        <f t="array" ref="AC235">R235*VLOOKUP($G235, Factor!$C$4:$N$36, 12, 0)*INDEX(Factor!$C$41:$N$87, _xlfn.XMATCH($C235, Factor!$C$41:$C$87, -1), 12)</f>
        <v>9</v>
      </c>
      <c r="AD235" s="41"/>
    </row>
    <row r="236" spans="1:30" ht="15.75" customHeight="1" x14ac:dyDescent="0.2">
      <c r="A236" s="18" t="str">
        <f>"locomotive_"&amp; VLOOKUP(F236, Factor!$BK$4:$BL$6, 2, 0) &amp;"_"&amp;Locomotive!D236&amp;"_"&amp;VLOOKUP(E236, Factor!$BM$4:$BN$36, 2, 0)</f>
        <v>locomotive_St_T9_006</v>
      </c>
      <c r="B236" s="18" t="str">
        <f t="shared" si="6"/>
        <v>T9 여객 증기기관차</v>
      </c>
      <c r="C236" s="18">
        <f>VLOOKUP(D236, Factor!$B$41:$C$50, 2, 0)</f>
        <v>90000</v>
      </c>
      <c r="D236" s="18" t="s">
        <v>327</v>
      </c>
      <c r="E236" s="18" t="s">
        <v>509</v>
      </c>
      <c r="F236" s="18" t="s">
        <v>505</v>
      </c>
      <c r="G236" s="18" t="str">
        <f t="shared" si="7"/>
        <v>여객 증기</v>
      </c>
      <c r="H236" s="18">
        <v>1</v>
      </c>
      <c r="I236" s="18">
        <v>1</v>
      </c>
      <c r="J236" s="18">
        <v>1</v>
      </c>
      <c r="K236" s="18">
        <v>1</v>
      </c>
      <c r="L236" s="18">
        <v>1</v>
      </c>
      <c r="M236" s="18">
        <v>1</v>
      </c>
      <c r="N236" s="18">
        <v>1</v>
      </c>
      <c r="O236" s="18">
        <v>1</v>
      </c>
      <c r="P236" s="18">
        <v>1</v>
      </c>
      <c r="Q236" s="18">
        <v>1</v>
      </c>
      <c r="R236" s="18">
        <v>1</v>
      </c>
      <c r="S236" s="18" cm="1">
        <f t="array" ref="S236">H236*VLOOKUP($G236, Factor!$C$4:$N$36, 2, 0)*INDEX(Factor!$C$41:$N$87, _xlfn.XMATCH($C236, Factor!$C$41:$C$87, -1), 2)</f>
        <v>260</v>
      </c>
      <c r="T236" s="18" cm="1">
        <f t="array" ref="T236">I236*VLOOKUP($G236, Factor!$C$4:$N$36, 3, 0)*INDEX(Factor!$C$41:$N$87, _xlfn.XMATCH($C236, Factor!$C$41:$C$87, -1), 3)</f>
        <v>2600</v>
      </c>
      <c r="U236" s="18" cm="1">
        <f t="array" ref="U236">J236*VLOOKUP($G236, Factor!$C$4:$N$36, 4, 0)*INDEX(Factor!$C$41:$N$87, _xlfn.XMATCH($C236, Factor!$C$41:$C$87, -1), 4)</f>
        <v>10</v>
      </c>
      <c r="V236" s="18" cm="1">
        <f t="array" ref="V236">K236*VLOOKUP($G236, Factor!$C$4:$N$36, 5, 0)*INDEX(Factor!$C$41:$N$87, _xlfn.XMATCH($C236, Factor!$C$41:$C$87, -1), 5)</f>
        <v>10.4</v>
      </c>
      <c r="W236" s="18" cm="1">
        <f t="array" ref="W236">L236*VLOOKUP($G236, Factor!$C$4:$N$36, 6, 0)*INDEX(Factor!$C$41:$N$87, _xlfn.XMATCH($C236, Factor!$C$41:$C$87, -1), 6)</f>
        <v>26</v>
      </c>
      <c r="X236" s="18" cm="1">
        <f t="array" ref="X236">M236*VLOOKUP($G236, Factor!$C$4:$N$36, 7, 0)*INDEX(Factor!$C$41:$N$87, _xlfn.XMATCH($C236, Factor!$C$41:$C$87, -1), 7)</f>
        <v>26000</v>
      </c>
      <c r="Y236" s="18" cm="1">
        <f t="array" ref="Y236">N236*VLOOKUP($G236, Factor!$C$4:$N$36, 8, 0)*INDEX(Factor!$C$41:$N$87, _xlfn.XMATCH($C236, Factor!$C$41:$C$87, -1), 8)</f>
        <v>2340</v>
      </c>
      <c r="Z236" s="18" cm="1">
        <f t="array" ref="Z236">O236*VLOOKUP($G236, Factor!$C$4:$N$36, 9, 0)*INDEX(Factor!$C$41:$N$87, _xlfn.XMATCH($C236, Factor!$C$41:$C$87, -1), 9)</f>
        <v>65</v>
      </c>
      <c r="AA236" s="18" cm="1">
        <f t="array" ref="AA236">P236*VLOOKUP($G236, Factor!$C$4:$N$36, 10, 0)*INDEX(Factor!$C$41:$N$87, _xlfn.XMATCH($C236, Factor!$C$41:$C$87, -1), 10)</f>
        <v>2340</v>
      </c>
      <c r="AB236" s="18" cm="1">
        <f t="array" ref="AB236">Q236*VLOOKUP($G236, Factor!$C$4:$N$36, 11, 0)*INDEX(Factor!$C$41:$N$87, _xlfn.XMATCH($C236, Factor!$C$41:$C$87, -1), 11)</f>
        <v>9</v>
      </c>
      <c r="AC236" s="18" cm="1">
        <f t="array" ref="AC236">R236*VLOOKUP($G236, Factor!$C$4:$N$36, 12, 0)*INDEX(Factor!$C$41:$N$87, _xlfn.XMATCH($C236, Factor!$C$41:$C$87, -1), 12)</f>
        <v>27</v>
      </c>
      <c r="AD236" s="18"/>
    </row>
    <row r="237" spans="1:30" ht="15.75" customHeight="1" x14ac:dyDescent="0.2">
      <c r="A237" s="15" t="str">
        <f>"locomotive_"&amp; VLOOKUP(F237, Factor!$BK$4:$BL$6, 2, 0) &amp;"_"&amp;Locomotive!D237&amp;"_"&amp;VLOOKUP(E237, Factor!$BM$4:$BN$36, 2, 0)</f>
        <v>locomotive_El_T9_006</v>
      </c>
      <c r="B237" s="15" t="str">
        <f t="shared" si="6"/>
        <v>T9 여객 전기기관차</v>
      </c>
      <c r="C237" s="15">
        <f>VLOOKUP(D237, Factor!$B$41:$C$50, 2, 0)</f>
        <v>90000</v>
      </c>
      <c r="D237" s="15" t="s">
        <v>327</v>
      </c>
      <c r="E237" s="41" t="s">
        <v>509</v>
      </c>
      <c r="F237" s="41" t="s">
        <v>502</v>
      </c>
      <c r="G237" s="41" t="str">
        <f t="shared" si="7"/>
        <v>여객 전기</v>
      </c>
      <c r="H237" s="41">
        <v>1</v>
      </c>
      <c r="I237" s="41">
        <v>1</v>
      </c>
      <c r="J237" s="41">
        <v>1</v>
      </c>
      <c r="K237" s="41">
        <v>1</v>
      </c>
      <c r="L237" s="41">
        <v>1</v>
      </c>
      <c r="M237" s="41">
        <v>1</v>
      </c>
      <c r="N237" s="41">
        <v>1</v>
      </c>
      <c r="O237" s="41">
        <v>1</v>
      </c>
      <c r="P237" s="41">
        <v>1</v>
      </c>
      <c r="Q237" s="41">
        <v>1</v>
      </c>
      <c r="R237" s="41">
        <v>1</v>
      </c>
      <c r="S237" s="41" cm="1">
        <f t="array" ref="S237">H237*VLOOKUP($G237, Factor!$C$4:$N$36, 2, 0)*INDEX(Factor!$C$41:$N$87, _xlfn.XMATCH($C237, Factor!$C$41:$C$87, -1), 2)</f>
        <v>520</v>
      </c>
      <c r="T237" s="41" cm="1">
        <f t="array" ref="T237">I237*VLOOKUP($G237, Factor!$C$4:$N$36, 3, 0)*INDEX(Factor!$C$41:$N$87, _xlfn.XMATCH($C237, Factor!$C$41:$C$87, -1), 3)</f>
        <v>2080</v>
      </c>
      <c r="U237" s="41" cm="1">
        <f t="array" ref="U237">J237*VLOOKUP($G237, Factor!$C$4:$N$36, 4, 0)*INDEX(Factor!$C$41:$N$87, _xlfn.XMATCH($C237, Factor!$C$41:$C$87, -1), 4)</f>
        <v>10</v>
      </c>
      <c r="V237" s="41" cm="1">
        <f t="array" ref="V237">K237*VLOOKUP($G237, Factor!$C$4:$N$36, 5, 0)*INDEX(Factor!$C$41:$N$87, _xlfn.XMATCH($C237, Factor!$C$41:$C$87, -1), 5)</f>
        <v>20.8</v>
      </c>
      <c r="W237" s="41" cm="1">
        <f t="array" ref="W237">L237*VLOOKUP($G237, Factor!$C$4:$N$36, 6, 0)*INDEX(Factor!$C$41:$N$87, _xlfn.XMATCH($C237, Factor!$C$41:$C$87, -1), 6)</f>
        <v>26</v>
      </c>
      <c r="X237" s="41" cm="1">
        <f t="array" ref="X237">M237*VLOOKUP($G237, Factor!$C$4:$N$36, 7, 0)*INDEX(Factor!$C$41:$N$87, _xlfn.XMATCH($C237, Factor!$C$41:$C$87, -1), 7)</f>
        <v>18200</v>
      </c>
      <c r="Y237" s="41" cm="1">
        <f t="array" ref="Y237">N237*VLOOKUP($G237, Factor!$C$4:$N$36, 8, 0)*INDEX(Factor!$C$41:$N$87, _xlfn.XMATCH($C237, Factor!$C$41:$C$87, -1), 8)</f>
        <v>1560</v>
      </c>
      <c r="Z237" s="41" cm="1">
        <f t="array" ref="Z237">O237*VLOOKUP($G237, Factor!$C$4:$N$36, 9, 0)*INDEX(Factor!$C$41:$N$87, _xlfn.XMATCH($C237, Factor!$C$41:$C$87, -1), 9)</f>
        <v>10.4</v>
      </c>
      <c r="AA237" s="41" cm="1">
        <f t="array" ref="AA237">P237*VLOOKUP($G237, Factor!$C$4:$N$36, 10, 0)*INDEX(Factor!$C$41:$N$87, _xlfn.XMATCH($C237, Factor!$C$41:$C$87, -1), 10)</f>
        <v>1560</v>
      </c>
      <c r="AB237" s="41" cm="1">
        <f t="array" ref="AB237">Q237*VLOOKUP($G237, Factor!$C$4:$N$36, 11, 0)*INDEX(Factor!$C$41:$N$87, _xlfn.XMATCH($C237, Factor!$C$41:$C$87, -1), 11)</f>
        <v>9</v>
      </c>
      <c r="AC237" s="41" cm="1">
        <f t="array" ref="AC237">R237*VLOOKUP($G237, Factor!$C$4:$N$36, 12, 0)*INDEX(Factor!$C$41:$N$87, _xlfn.XMATCH($C237, Factor!$C$41:$C$87, -1), 12)</f>
        <v>27</v>
      </c>
      <c r="AD237" s="41"/>
    </row>
    <row r="238" spans="1:30" ht="15.75" customHeight="1" x14ac:dyDescent="0.2">
      <c r="A238" s="18" t="str">
        <f>"locomotive_"&amp; VLOOKUP(F238, Factor!$BK$4:$BL$6, 2, 0) &amp;"_"&amp;Locomotive!D238&amp;"_"&amp;VLOOKUP(E238, Factor!$BM$4:$BN$36, 2, 0)</f>
        <v>locomotive_Dz_T9_006</v>
      </c>
      <c r="B238" s="18" t="str">
        <f t="shared" si="6"/>
        <v>T9 여객 디젤기관차</v>
      </c>
      <c r="C238" s="18">
        <f>VLOOKUP(D238, Factor!$B$41:$C$50, 2, 0)</f>
        <v>90000</v>
      </c>
      <c r="D238" s="18" t="s">
        <v>327</v>
      </c>
      <c r="E238" s="18" t="s">
        <v>509</v>
      </c>
      <c r="F238" s="18" t="s">
        <v>503</v>
      </c>
      <c r="G238" s="18" t="str">
        <f t="shared" si="7"/>
        <v>여객 디젤</v>
      </c>
      <c r="H238" s="18">
        <v>1</v>
      </c>
      <c r="I238" s="18">
        <v>1</v>
      </c>
      <c r="J238" s="18">
        <v>1</v>
      </c>
      <c r="K238" s="18">
        <v>1</v>
      </c>
      <c r="L238" s="18">
        <v>1</v>
      </c>
      <c r="M238" s="18">
        <v>1</v>
      </c>
      <c r="N238" s="18">
        <v>1</v>
      </c>
      <c r="O238" s="18">
        <v>1</v>
      </c>
      <c r="P238" s="18">
        <v>1</v>
      </c>
      <c r="Q238" s="18">
        <v>1</v>
      </c>
      <c r="R238" s="18">
        <v>1</v>
      </c>
      <c r="S238" s="18" cm="1">
        <f t="array" ref="S238">H238*VLOOKUP($G238, Factor!$C$4:$N$36, 2, 0)*INDEX(Factor!$C$41:$N$87, _xlfn.XMATCH($C238, Factor!$C$41:$C$87, -1), 2)</f>
        <v>390</v>
      </c>
      <c r="T238" s="18" cm="1">
        <f t="array" ref="T238">I238*VLOOKUP($G238, Factor!$C$4:$N$36, 3, 0)*INDEX(Factor!$C$41:$N$87, _xlfn.XMATCH($C238, Factor!$C$41:$C$87, -1), 3)</f>
        <v>3120</v>
      </c>
      <c r="U238" s="18" cm="1">
        <f t="array" ref="U238">J238*VLOOKUP($G238, Factor!$C$4:$N$36, 4, 0)*INDEX(Factor!$C$41:$N$87, _xlfn.XMATCH($C238, Factor!$C$41:$C$87, -1), 4)</f>
        <v>10</v>
      </c>
      <c r="V238" s="18" cm="1">
        <f t="array" ref="V238">K238*VLOOKUP($G238, Factor!$C$4:$N$36, 5, 0)*INDEX(Factor!$C$41:$N$87, _xlfn.XMATCH($C238, Factor!$C$41:$C$87, -1), 5)</f>
        <v>15.600000000000001</v>
      </c>
      <c r="W238" s="18" cm="1">
        <f t="array" ref="W238">L238*VLOOKUP($G238, Factor!$C$4:$N$36, 6, 0)*INDEX(Factor!$C$41:$N$87, _xlfn.XMATCH($C238, Factor!$C$41:$C$87, -1), 6)</f>
        <v>26</v>
      </c>
      <c r="X238" s="18" cm="1">
        <f t="array" ref="X238">M238*VLOOKUP($G238, Factor!$C$4:$N$36, 7, 0)*INDEX(Factor!$C$41:$N$87, _xlfn.XMATCH($C238, Factor!$C$41:$C$87, -1), 7)</f>
        <v>39000</v>
      </c>
      <c r="Y238" s="18" cm="1">
        <f t="array" ref="Y238">N238*VLOOKUP($G238, Factor!$C$4:$N$36, 8, 0)*INDEX(Factor!$C$41:$N$87, _xlfn.XMATCH($C238, Factor!$C$41:$C$87, -1), 8)</f>
        <v>1820</v>
      </c>
      <c r="Z238" s="18" cm="1">
        <f t="array" ref="Z238">O238*VLOOKUP($G238, Factor!$C$4:$N$36, 9, 0)*INDEX(Factor!$C$41:$N$87, _xlfn.XMATCH($C238, Factor!$C$41:$C$87, -1), 9)</f>
        <v>18.2</v>
      </c>
      <c r="AA238" s="18" cm="1">
        <f t="array" ref="AA238">P238*VLOOKUP($G238, Factor!$C$4:$N$36, 10, 0)*INDEX(Factor!$C$41:$N$87, _xlfn.XMATCH($C238, Factor!$C$41:$C$87, -1), 10)</f>
        <v>1820</v>
      </c>
      <c r="AB238" s="18" cm="1">
        <f t="array" ref="AB238">Q238*VLOOKUP($G238, Factor!$C$4:$N$36, 11, 0)*INDEX(Factor!$C$41:$N$87, _xlfn.XMATCH($C238, Factor!$C$41:$C$87, -1), 11)</f>
        <v>9</v>
      </c>
      <c r="AC238" s="18" cm="1">
        <f t="array" ref="AC238">R238*VLOOKUP($G238, Factor!$C$4:$N$36, 12, 0)*INDEX(Factor!$C$41:$N$87, _xlfn.XMATCH($C238, Factor!$C$41:$C$87, -1), 12)</f>
        <v>27</v>
      </c>
      <c r="AD238" s="18"/>
    </row>
    <row r="239" spans="1:30" ht="15.75" customHeight="1" x14ac:dyDescent="0.2">
      <c r="A239" s="15" t="str">
        <f>"locomotive_"&amp; VLOOKUP(F239, Factor!$BK$4:$BL$6, 2, 0) &amp;"_"&amp;Locomotive!D239&amp;"_"&amp;VLOOKUP(E239, Factor!$BM$4:$BN$36, 2, 0)</f>
        <v>locomotive_St_T9_007</v>
      </c>
      <c r="B239" s="15" t="str">
        <f t="shared" si="6"/>
        <v>T9 시운 증기기관차</v>
      </c>
      <c r="C239" s="15">
        <f>VLOOKUP(D239, Factor!$B$41:$C$50, 2, 0)</f>
        <v>90000</v>
      </c>
      <c r="D239" s="15" t="s">
        <v>327</v>
      </c>
      <c r="E239" s="41" t="s">
        <v>510</v>
      </c>
      <c r="F239" s="41" t="s">
        <v>505</v>
      </c>
      <c r="G239" s="41" t="str">
        <f t="shared" si="7"/>
        <v>시운 증기</v>
      </c>
      <c r="H239" s="41">
        <v>1</v>
      </c>
      <c r="I239" s="41">
        <v>1</v>
      </c>
      <c r="J239" s="41">
        <v>1</v>
      </c>
      <c r="K239" s="41">
        <v>1</v>
      </c>
      <c r="L239" s="41">
        <v>1</v>
      </c>
      <c r="M239" s="41">
        <v>1</v>
      </c>
      <c r="N239" s="41">
        <v>1</v>
      </c>
      <c r="O239" s="41">
        <v>1</v>
      </c>
      <c r="P239" s="41">
        <v>1</v>
      </c>
      <c r="Q239" s="41">
        <v>1</v>
      </c>
      <c r="R239" s="41">
        <v>1</v>
      </c>
      <c r="S239" s="41" cm="1">
        <f t="array" ref="S239">H239*VLOOKUP($G239, Factor!$C$4:$N$36, 2, 0)*INDEX(Factor!$C$41:$N$87, _xlfn.XMATCH($C239, Factor!$C$41:$C$87, -1), 2)</f>
        <v>260</v>
      </c>
      <c r="T239" s="41" cm="1">
        <f t="array" ref="T239">I239*VLOOKUP($G239, Factor!$C$4:$N$36, 3, 0)*INDEX(Factor!$C$41:$N$87, _xlfn.XMATCH($C239, Factor!$C$41:$C$87, -1), 3)</f>
        <v>2600</v>
      </c>
      <c r="U239" s="41" cm="1">
        <f t="array" ref="U239">J239*VLOOKUP($G239, Factor!$C$4:$N$36, 4, 0)*INDEX(Factor!$C$41:$N$87, _xlfn.XMATCH($C239, Factor!$C$41:$C$87, -1), 4)</f>
        <v>10</v>
      </c>
      <c r="V239" s="41" cm="1">
        <f t="array" ref="V239">K239*VLOOKUP($G239, Factor!$C$4:$N$36, 5, 0)*INDEX(Factor!$C$41:$N$87, _xlfn.XMATCH($C239, Factor!$C$41:$C$87, -1), 5)</f>
        <v>15.600000000000001</v>
      </c>
      <c r="W239" s="41" cm="1">
        <f t="array" ref="W239">L239*VLOOKUP($G239, Factor!$C$4:$N$36, 6, 0)*INDEX(Factor!$C$41:$N$87, _xlfn.XMATCH($C239, Factor!$C$41:$C$87, -1), 6)</f>
        <v>26</v>
      </c>
      <c r="X239" s="41" cm="1">
        <f t="array" ref="X239">M239*VLOOKUP($G239, Factor!$C$4:$N$36, 7, 0)*INDEX(Factor!$C$41:$N$87, _xlfn.XMATCH($C239, Factor!$C$41:$C$87, -1), 7)</f>
        <v>26000</v>
      </c>
      <c r="Y239" s="41" cm="1">
        <f t="array" ref="Y239">N239*VLOOKUP($G239, Factor!$C$4:$N$36, 8, 0)*INDEX(Factor!$C$41:$N$87, _xlfn.XMATCH($C239, Factor!$C$41:$C$87, -1), 8)</f>
        <v>1300</v>
      </c>
      <c r="Z239" s="41" cm="1">
        <f t="array" ref="Z239">O239*VLOOKUP($G239, Factor!$C$4:$N$36, 9, 0)*INDEX(Factor!$C$41:$N$87, _xlfn.XMATCH($C239, Factor!$C$41:$C$87, -1), 9)</f>
        <v>78</v>
      </c>
      <c r="AA239" s="41" cm="1">
        <f t="array" ref="AA239">P239*VLOOKUP($G239, Factor!$C$4:$N$36, 10, 0)*INDEX(Factor!$C$41:$N$87, _xlfn.XMATCH($C239, Factor!$C$41:$C$87, -1), 10)</f>
        <v>5200</v>
      </c>
      <c r="AB239" s="41" cm="1">
        <f t="array" ref="AB239">Q239*VLOOKUP($G239, Factor!$C$4:$N$36, 11, 0)*INDEX(Factor!$C$41:$N$87, _xlfn.XMATCH($C239, Factor!$C$41:$C$87, -1), 11)</f>
        <v>9</v>
      </c>
      <c r="AC239" s="41" cm="1">
        <f t="array" ref="AC239">R239*VLOOKUP($G239, Factor!$C$4:$N$36, 12, 0)*INDEX(Factor!$C$41:$N$87, _xlfn.XMATCH($C239, Factor!$C$41:$C$87, -1), 12)</f>
        <v>9</v>
      </c>
      <c r="AD239" s="41"/>
    </row>
    <row r="240" spans="1:30" ht="15.75" customHeight="1" x14ac:dyDescent="0.2">
      <c r="A240" s="18" t="str">
        <f>"locomotive_"&amp; VLOOKUP(F240, Factor!$BK$4:$BL$6, 2, 0) &amp;"_"&amp;Locomotive!D240&amp;"_"&amp;VLOOKUP(E240, Factor!$BM$4:$BN$36, 2, 0)</f>
        <v>locomotive_El_T9_007</v>
      </c>
      <c r="B240" s="18" t="str">
        <f t="shared" si="6"/>
        <v>T9 시운 전기기관차</v>
      </c>
      <c r="C240" s="18">
        <f>VLOOKUP(D240, Factor!$B$41:$C$50, 2, 0)</f>
        <v>90000</v>
      </c>
      <c r="D240" s="18" t="s">
        <v>327</v>
      </c>
      <c r="E240" s="18" t="s">
        <v>510</v>
      </c>
      <c r="F240" s="18" t="s">
        <v>502</v>
      </c>
      <c r="G240" s="18" t="str">
        <f t="shared" si="7"/>
        <v>시운 전기</v>
      </c>
      <c r="H240" s="18">
        <v>1</v>
      </c>
      <c r="I240" s="18">
        <v>1</v>
      </c>
      <c r="J240" s="18">
        <v>1</v>
      </c>
      <c r="K240" s="18">
        <v>1</v>
      </c>
      <c r="L240" s="18">
        <v>1</v>
      </c>
      <c r="M240" s="18">
        <v>1</v>
      </c>
      <c r="N240" s="18">
        <v>1</v>
      </c>
      <c r="O240" s="18">
        <v>1</v>
      </c>
      <c r="P240" s="18">
        <v>1</v>
      </c>
      <c r="Q240" s="18">
        <v>1</v>
      </c>
      <c r="R240" s="18">
        <v>1</v>
      </c>
      <c r="S240" s="18" cm="1">
        <f t="array" ref="S240">H240*VLOOKUP($G240, Factor!$C$4:$N$36, 2, 0)*INDEX(Factor!$C$41:$N$87, _xlfn.XMATCH($C240, Factor!$C$41:$C$87, -1), 2)</f>
        <v>520</v>
      </c>
      <c r="T240" s="18" cm="1">
        <f t="array" ref="T240">I240*VLOOKUP($G240, Factor!$C$4:$N$36, 3, 0)*INDEX(Factor!$C$41:$N$87, _xlfn.XMATCH($C240, Factor!$C$41:$C$87, -1), 3)</f>
        <v>2080</v>
      </c>
      <c r="U240" s="18" cm="1">
        <f t="array" ref="U240">J240*VLOOKUP($G240, Factor!$C$4:$N$36, 4, 0)*INDEX(Factor!$C$41:$N$87, _xlfn.XMATCH($C240, Factor!$C$41:$C$87, -1), 4)</f>
        <v>10</v>
      </c>
      <c r="V240" s="18" cm="1">
        <f t="array" ref="V240">K240*VLOOKUP($G240, Factor!$C$4:$N$36, 5, 0)*INDEX(Factor!$C$41:$N$87, _xlfn.XMATCH($C240, Factor!$C$41:$C$87, -1), 5)</f>
        <v>26</v>
      </c>
      <c r="W240" s="18" cm="1">
        <f t="array" ref="W240">L240*VLOOKUP($G240, Factor!$C$4:$N$36, 6, 0)*INDEX(Factor!$C$41:$N$87, _xlfn.XMATCH($C240, Factor!$C$41:$C$87, -1), 6)</f>
        <v>26</v>
      </c>
      <c r="X240" s="18" cm="1">
        <f t="array" ref="X240">M240*VLOOKUP($G240, Factor!$C$4:$N$36, 7, 0)*INDEX(Factor!$C$41:$N$87, _xlfn.XMATCH($C240, Factor!$C$41:$C$87, -1), 7)</f>
        <v>18200</v>
      </c>
      <c r="Y240" s="18" cm="1">
        <f t="array" ref="Y240">N240*VLOOKUP($G240, Factor!$C$4:$N$36, 8, 0)*INDEX(Factor!$C$41:$N$87, _xlfn.XMATCH($C240, Factor!$C$41:$C$87, -1), 8)</f>
        <v>780</v>
      </c>
      <c r="Z240" s="18" cm="1">
        <f t="array" ref="Z240">O240*VLOOKUP($G240, Factor!$C$4:$N$36, 9, 0)*INDEX(Factor!$C$41:$N$87, _xlfn.XMATCH($C240, Factor!$C$41:$C$87, -1), 9)</f>
        <v>13</v>
      </c>
      <c r="AA240" s="18" cm="1">
        <f t="array" ref="AA240">P240*VLOOKUP($G240, Factor!$C$4:$N$36, 10, 0)*INDEX(Factor!$C$41:$N$87, _xlfn.XMATCH($C240, Factor!$C$41:$C$87, -1), 10)</f>
        <v>2600</v>
      </c>
      <c r="AB240" s="18" cm="1">
        <f t="array" ref="AB240">Q240*VLOOKUP($G240, Factor!$C$4:$N$36, 11, 0)*INDEX(Factor!$C$41:$N$87, _xlfn.XMATCH($C240, Factor!$C$41:$C$87, -1), 11)</f>
        <v>9</v>
      </c>
      <c r="AC240" s="18" cm="1">
        <f t="array" ref="AC240">R240*VLOOKUP($G240, Factor!$C$4:$N$36, 12, 0)*INDEX(Factor!$C$41:$N$87, _xlfn.XMATCH($C240, Factor!$C$41:$C$87, -1), 12)</f>
        <v>9</v>
      </c>
      <c r="AD240" s="18"/>
    </row>
    <row r="241" spans="1:30" ht="15.75" customHeight="1" x14ac:dyDescent="0.2">
      <c r="A241" s="15" t="str">
        <f>"locomotive_"&amp; VLOOKUP(F241, Factor!$BK$4:$BL$6, 2, 0) &amp;"_"&amp;Locomotive!D241&amp;"_"&amp;VLOOKUP(E241, Factor!$BM$4:$BN$36, 2, 0)</f>
        <v>locomotive_Dz_T9_007</v>
      </c>
      <c r="B241" s="15" t="str">
        <f t="shared" si="6"/>
        <v>T9 시운 디젤기관차</v>
      </c>
      <c r="C241" s="15">
        <f>VLOOKUP(D241, Factor!$B$41:$C$50, 2, 0)</f>
        <v>90000</v>
      </c>
      <c r="D241" s="15" t="s">
        <v>327</v>
      </c>
      <c r="E241" s="41" t="s">
        <v>510</v>
      </c>
      <c r="F241" s="41" t="s">
        <v>503</v>
      </c>
      <c r="G241" s="41" t="str">
        <f t="shared" si="7"/>
        <v>시운 디젤</v>
      </c>
      <c r="H241" s="41">
        <v>1</v>
      </c>
      <c r="I241" s="41">
        <v>1</v>
      </c>
      <c r="J241" s="41">
        <v>1</v>
      </c>
      <c r="K241" s="41">
        <v>1</v>
      </c>
      <c r="L241" s="41">
        <v>1</v>
      </c>
      <c r="M241" s="41">
        <v>1</v>
      </c>
      <c r="N241" s="41">
        <v>1</v>
      </c>
      <c r="O241" s="41">
        <v>1</v>
      </c>
      <c r="P241" s="41">
        <v>1</v>
      </c>
      <c r="Q241" s="41">
        <v>1</v>
      </c>
      <c r="R241" s="41">
        <v>1</v>
      </c>
      <c r="S241" s="41" cm="1">
        <f t="array" ref="S241">H241*VLOOKUP($G241, Factor!$C$4:$N$36, 2, 0)*INDEX(Factor!$C$41:$N$87, _xlfn.XMATCH($C241, Factor!$C$41:$C$87, -1), 2)</f>
        <v>390</v>
      </c>
      <c r="T241" s="41" cm="1">
        <f t="array" ref="T241">I241*VLOOKUP($G241, Factor!$C$4:$N$36, 3, 0)*INDEX(Factor!$C$41:$N$87, _xlfn.XMATCH($C241, Factor!$C$41:$C$87, -1), 3)</f>
        <v>3120</v>
      </c>
      <c r="U241" s="41" cm="1">
        <f t="array" ref="U241">J241*VLOOKUP($G241, Factor!$C$4:$N$36, 4, 0)*INDEX(Factor!$C$41:$N$87, _xlfn.XMATCH($C241, Factor!$C$41:$C$87, -1), 4)</f>
        <v>10</v>
      </c>
      <c r="V241" s="41" cm="1">
        <f t="array" ref="V241">K241*VLOOKUP($G241, Factor!$C$4:$N$36, 5, 0)*INDEX(Factor!$C$41:$N$87, _xlfn.XMATCH($C241, Factor!$C$41:$C$87, -1), 5)</f>
        <v>20.8</v>
      </c>
      <c r="W241" s="41" cm="1">
        <f t="array" ref="W241">L241*VLOOKUP($G241, Factor!$C$4:$N$36, 6, 0)*INDEX(Factor!$C$41:$N$87, _xlfn.XMATCH($C241, Factor!$C$41:$C$87, -1), 6)</f>
        <v>26</v>
      </c>
      <c r="X241" s="41" cm="1">
        <f t="array" ref="X241">M241*VLOOKUP($G241, Factor!$C$4:$N$36, 7, 0)*INDEX(Factor!$C$41:$N$87, _xlfn.XMATCH($C241, Factor!$C$41:$C$87, -1), 7)</f>
        <v>39000</v>
      </c>
      <c r="Y241" s="41" cm="1">
        <f t="array" ref="Y241">N241*VLOOKUP($G241, Factor!$C$4:$N$36, 8, 0)*INDEX(Factor!$C$41:$N$87, _xlfn.XMATCH($C241, Factor!$C$41:$C$87, -1), 8)</f>
        <v>1040</v>
      </c>
      <c r="Z241" s="41" cm="1">
        <f t="array" ref="Z241">O241*VLOOKUP($G241, Factor!$C$4:$N$36, 9, 0)*INDEX(Factor!$C$41:$N$87, _xlfn.XMATCH($C241, Factor!$C$41:$C$87, -1), 9)</f>
        <v>26</v>
      </c>
      <c r="AA241" s="41" cm="1">
        <f t="array" ref="AA241">P241*VLOOKUP($G241, Factor!$C$4:$N$36, 10, 0)*INDEX(Factor!$C$41:$N$87, _xlfn.XMATCH($C241, Factor!$C$41:$C$87, -1), 10)</f>
        <v>3900</v>
      </c>
      <c r="AB241" s="41" cm="1">
        <f t="array" ref="AB241">Q241*VLOOKUP($G241, Factor!$C$4:$N$36, 11, 0)*INDEX(Factor!$C$41:$N$87, _xlfn.XMATCH($C241, Factor!$C$41:$C$87, -1), 11)</f>
        <v>9</v>
      </c>
      <c r="AC241" s="41" cm="1">
        <f t="array" ref="AC241">R241*VLOOKUP($G241, Factor!$C$4:$N$36, 12, 0)*INDEX(Factor!$C$41:$N$87, _xlfn.XMATCH($C241, Factor!$C$41:$C$87, -1), 12)</f>
        <v>9</v>
      </c>
      <c r="AD241" s="41"/>
    </row>
    <row r="242" spans="1:30" ht="15.75" customHeight="1" x14ac:dyDescent="0.2">
      <c r="A242" s="18" t="str">
        <f>"locomotive_"&amp; VLOOKUP(F242, Factor!$BK$4:$BL$6, 2, 0) &amp;"_"&amp;Locomotive!D242&amp;"_"&amp;VLOOKUP(E242, Factor!$BM$4:$BN$36, 2, 0)</f>
        <v>locomotive_St_T9_008</v>
      </c>
      <c r="B242" s="18" t="str">
        <f t="shared" si="6"/>
        <v>T9 경량 증기기관차</v>
      </c>
      <c r="C242" s="18">
        <f>VLOOKUP(D242, Factor!$B$41:$C$50, 2, 0)</f>
        <v>90000</v>
      </c>
      <c r="D242" s="18" t="s">
        <v>327</v>
      </c>
      <c r="E242" s="18" t="s">
        <v>511</v>
      </c>
      <c r="F242" s="18" t="s">
        <v>505</v>
      </c>
      <c r="G242" s="18" t="str">
        <f t="shared" si="7"/>
        <v>경량 증기</v>
      </c>
      <c r="H242" s="18">
        <v>1</v>
      </c>
      <c r="I242" s="18">
        <v>1</v>
      </c>
      <c r="J242" s="18">
        <v>1</v>
      </c>
      <c r="K242" s="18">
        <v>1</v>
      </c>
      <c r="L242" s="18">
        <v>1</v>
      </c>
      <c r="M242" s="18">
        <v>1</v>
      </c>
      <c r="N242" s="18">
        <v>1</v>
      </c>
      <c r="O242" s="18">
        <v>1</v>
      </c>
      <c r="P242" s="18">
        <v>1</v>
      </c>
      <c r="Q242" s="18">
        <v>1</v>
      </c>
      <c r="R242" s="18">
        <v>1</v>
      </c>
      <c r="S242" s="18" cm="1">
        <f t="array" ref="S242">H242*VLOOKUP($G242, Factor!$C$4:$N$36, 2, 0)*INDEX(Factor!$C$41:$N$87, _xlfn.XMATCH($C242, Factor!$C$41:$C$87, -1), 2)</f>
        <v>260</v>
      </c>
      <c r="T242" s="18" cm="1">
        <f t="array" ref="T242">I242*VLOOKUP($G242, Factor!$C$4:$N$36, 3, 0)*INDEX(Factor!$C$41:$N$87, _xlfn.XMATCH($C242, Factor!$C$41:$C$87, -1), 3)</f>
        <v>2340</v>
      </c>
      <c r="U242" s="18" cm="1">
        <f t="array" ref="U242">J242*VLOOKUP($G242, Factor!$C$4:$N$36, 4, 0)*INDEX(Factor!$C$41:$N$87, _xlfn.XMATCH($C242, Factor!$C$41:$C$87, -1), 4)</f>
        <v>10</v>
      </c>
      <c r="V242" s="18" cm="1">
        <f t="array" ref="V242">K242*VLOOKUP($G242, Factor!$C$4:$N$36, 5, 0)*INDEX(Factor!$C$41:$N$87, _xlfn.XMATCH($C242, Factor!$C$41:$C$87, -1), 5)</f>
        <v>13</v>
      </c>
      <c r="W242" s="18" cm="1">
        <f t="array" ref="W242">L242*VLOOKUP($G242, Factor!$C$4:$N$36, 6, 0)*INDEX(Factor!$C$41:$N$87, _xlfn.XMATCH($C242, Factor!$C$41:$C$87, -1), 6)</f>
        <v>26</v>
      </c>
      <c r="X242" s="18" cm="1">
        <f t="array" ref="X242">M242*VLOOKUP($G242, Factor!$C$4:$N$36, 7, 0)*INDEX(Factor!$C$41:$N$87, _xlfn.XMATCH($C242, Factor!$C$41:$C$87, -1), 7)</f>
        <v>20800</v>
      </c>
      <c r="Y242" s="18" cm="1">
        <f t="array" ref="Y242">N242*VLOOKUP($G242, Factor!$C$4:$N$36, 8, 0)*INDEX(Factor!$C$41:$N$87, _xlfn.XMATCH($C242, Factor!$C$41:$C$87, -1), 8)</f>
        <v>2600</v>
      </c>
      <c r="Z242" s="18" cm="1">
        <f t="array" ref="Z242">O242*VLOOKUP($G242, Factor!$C$4:$N$36, 9, 0)*INDEX(Factor!$C$41:$N$87, _xlfn.XMATCH($C242, Factor!$C$41:$C$87, -1), 9)</f>
        <v>78</v>
      </c>
      <c r="AA242" s="18" cm="1">
        <f t="array" ref="AA242">P242*VLOOKUP($G242, Factor!$C$4:$N$36, 10, 0)*INDEX(Factor!$C$41:$N$87, _xlfn.XMATCH($C242, Factor!$C$41:$C$87, -1), 10)</f>
        <v>2600</v>
      </c>
      <c r="AB242" s="18" cm="1">
        <f t="array" ref="AB242">Q242*VLOOKUP($G242, Factor!$C$4:$N$36, 11, 0)*INDEX(Factor!$C$41:$N$87, _xlfn.XMATCH($C242, Factor!$C$41:$C$87, -1), 11)</f>
        <v>9</v>
      </c>
      <c r="AC242" s="18" cm="1">
        <f t="array" ref="AC242">R242*VLOOKUP($G242, Factor!$C$4:$N$36, 12, 0)*INDEX(Factor!$C$41:$N$87, _xlfn.XMATCH($C242, Factor!$C$41:$C$87, -1), 12)</f>
        <v>9</v>
      </c>
      <c r="AD242" s="18"/>
    </row>
    <row r="243" spans="1:30" ht="15.75" customHeight="1" x14ac:dyDescent="0.2">
      <c r="A243" s="15" t="str">
        <f>"locomotive_"&amp; VLOOKUP(F243, Factor!$BK$4:$BL$6, 2, 0) &amp;"_"&amp;Locomotive!D243&amp;"_"&amp;VLOOKUP(E243, Factor!$BM$4:$BN$36, 2, 0)</f>
        <v>locomotive_El_T9_008</v>
      </c>
      <c r="B243" s="15" t="str">
        <f t="shared" si="6"/>
        <v>T9 경량 전기기관차</v>
      </c>
      <c r="C243" s="15">
        <f>VLOOKUP(D243, Factor!$B$41:$C$50, 2, 0)</f>
        <v>90000</v>
      </c>
      <c r="D243" s="15" t="s">
        <v>327</v>
      </c>
      <c r="E243" s="41" t="s">
        <v>511</v>
      </c>
      <c r="F243" s="41" t="s">
        <v>502</v>
      </c>
      <c r="G243" s="41" t="str">
        <f t="shared" si="7"/>
        <v>경량 전기</v>
      </c>
      <c r="H243" s="41">
        <v>1</v>
      </c>
      <c r="I243" s="41">
        <v>1</v>
      </c>
      <c r="J243" s="41">
        <v>1</v>
      </c>
      <c r="K243" s="41">
        <v>1</v>
      </c>
      <c r="L243" s="41">
        <v>1</v>
      </c>
      <c r="M243" s="41">
        <v>1</v>
      </c>
      <c r="N243" s="41">
        <v>1</v>
      </c>
      <c r="O243" s="41">
        <v>1</v>
      </c>
      <c r="P243" s="41">
        <v>1</v>
      </c>
      <c r="Q243" s="41">
        <v>1</v>
      </c>
      <c r="R243" s="41">
        <v>1</v>
      </c>
      <c r="S243" s="41" cm="1">
        <f t="array" ref="S243">H243*VLOOKUP($G243, Factor!$C$4:$N$36, 2, 0)*INDEX(Factor!$C$41:$N$87, _xlfn.XMATCH($C243, Factor!$C$41:$C$87, -1), 2)</f>
        <v>520</v>
      </c>
      <c r="T243" s="41" cm="1">
        <f t="array" ref="T243">I243*VLOOKUP($G243, Factor!$C$4:$N$36, 3, 0)*INDEX(Factor!$C$41:$N$87, _xlfn.XMATCH($C243, Factor!$C$41:$C$87, -1), 3)</f>
        <v>1820</v>
      </c>
      <c r="U243" s="41" cm="1">
        <f t="array" ref="U243">J243*VLOOKUP($G243, Factor!$C$4:$N$36, 4, 0)*INDEX(Factor!$C$41:$N$87, _xlfn.XMATCH($C243, Factor!$C$41:$C$87, -1), 4)</f>
        <v>10</v>
      </c>
      <c r="V243" s="41" cm="1">
        <f t="array" ref="V243">K243*VLOOKUP($G243, Factor!$C$4:$N$36, 5, 0)*INDEX(Factor!$C$41:$N$87, _xlfn.XMATCH($C243, Factor!$C$41:$C$87, -1), 5)</f>
        <v>23.400000000000002</v>
      </c>
      <c r="W243" s="41" cm="1">
        <f t="array" ref="W243">L243*VLOOKUP($G243, Factor!$C$4:$N$36, 6, 0)*INDEX(Factor!$C$41:$N$87, _xlfn.XMATCH($C243, Factor!$C$41:$C$87, -1), 6)</f>
        <v>26</v>
      </c>
      <c r="X243" s="41" cm="1">
        <f t="array" ref="X243">M243*VLOOKUP($G243, Factor!$C$4:$N$36, 7, 0)*INDEX(Factor!$C$41:$N$87, _xlfn.XMATCH($C243, Factor!$C$41:$C$87, -1), 7)</f>
        <v>13000</v>
      </c>
      <c r="Y243" s="41" cm="1">
        <f t="array" ref="Y243">N243*VLOOKUP($G243, Factor!$C$4:$N$36, 8, 0)*INDEX(Factor!$C$41:$N$87, _xlfn.XMATCH($C243, Factor!$C$41:$C$87, -1), 8)</f>
        <v>1820</v>
      </c>
      <c r="Z243" s="41" cm="1">
        <f t="array" ref="Z243">O243*VLOOKUP($G243, Factor!$C$4:$N$36, 9, 0)*INDEX(Factor!$C$41:$N$87, _xlfn.XMATCH($C243, Factor!$C$41:$C$87, -1), 9)</f>
        <v>13</v>
      </c>
      <c r="AA243" s="41" cm="1">
        <f t="array" ref="AA243">P243*VLOOKUP($G243, Factor!$C$4:$N$36, 10, 0)*INDEX(Factor!$C$41:$N$87, _xlfn.XMATCH($C243, Factor!$C$41:$C$87, -1), 10)</f>
        <v>1820</v>
      </c>
      <c r="AB243" s="41" cm="1">
        <f t="array" ref="AB243">Q243*VLOOKUP($G243, Factor!$C$4:$N$36, 11, 0)*INDEX(Factor!$C$41:$N$87, _xlfn.XMATCH($C243, Factor!$C$41:$C$87, -1), 11)</f>
        <v>9</v>
      </c>
      <c r="AC243" s="41" cm="1">
        <f t="array" ref="AC243">R243*VLOOKUP($G243, Factor!$C$4:$N$36, 12, 0)*INDEX(Factor!$C$41:$N$87, _xlfn.XMATCH($C243, Factor!$C$41:$C$87, -1), 12)</f>
        <v>9</v>
      </c>
      <c r="AD243" s="41"/>
    </row>
    <row r="244" spans="1:30" ht="15.75" customHeight="1" x14ac:dyDescent="0.2">
      <c r="A244" s="18" t="str">
        <f>"locomotive_"&amp; VLOOKUP(F244, Factor!$BK$4:$BL$6, 2, 0) &amp;"_"&amp;Locomotive!D244&amp;"_"&amp;VLOOKUP(E244, Factor!$BM$4:$BN$36, 2, 0)</f>
        <v>locomotive_Dz_T9_008</v>
      </c>
      <c r="B244" s="18" t="str">
        <f t="shared" si="6"/>
        <v>T9 경량 디젤기관차</v>
      </c>
      <c r="C244" s="18">
        <f>VLOOKUP(D244, Factor!$B$41:$C$50, 2, 0)</f>
        <v>90000</v>
      </c>
      <c r="D244" s="18" t="s">
        <v>327</v>
      </c>
      <c r="E244" s="18" t="s">
        <v>511</v>
      </c>
      <c r="F244" s="18" t="s">
        <v>503</v>
      </c>
      <c r="G244" s="18" t="str">
        <f t="shared" si="7"/>
        <v>경량 디젤</v>
      </c>
      <c r="H244" s="18">
        <v>1</v>
      </c>
      <c r="I244" s="18">
        <v>1</v>
      </c>
      <c r="J244" s="18">
        <v>1</v>
      </c>
      <c r="K244" s="18">
        <v>1</v>
      </c>
      <c r="L244" s="18">
        <v>1</v>
      </c>
      <c r="M244" s="18">
        <v>1</v>
      </c>
      <c r="N244" s="18">
        <v>1</v>
      </c>
      <c r="O244" s="18">
        <v>1</v>
      </c>
      <c r="P244" s="18">
        <v>1</v>
      </c>
      <c r="Q244" s="18">
        <v>1</v>
      </c>
      <c r="R244" s="18">
        <v>1</v>
      </c>
      <c r="S244" s="18" cm="1">
        <f t="array" ref="S244">H244*VLOOKUP($G244, Factor!$C$4:$N$36, 2, 0)*INDEX(Factor!$C$41:$N$87, _xlfn.XMATCH($C244, Factor!$C$41:$C$87, -1), 2)</f>
        <v>390</v>
      </c>
      <c r="T244" s="18" cm="1">
        <f t="array" ref="T244">I244*VLOOKUP($G244, Factor!$C$4:$N$36, 3, 0)*INDEX(Factor!$C$41:$N$87, _xlfn.XMATCH($C244, Factor!$C$41:$C$87, -1), 3)</f>
        <v>2860</v>
      </c>
      <c r="U244" s="18" cm="1">
        <f t="array" ref="U244">J244*VLOOKUP($G244, Factor!$C$4:$N$36, 4, 0)*INDEX(Factor!$C$41:$N$87, _xlfn.XMATCH($C244, Factor!$C$41:$C$87, -1), 4)</f>
        <v>10</v>
      </c>
      <c r="V244" s="18" cm="1">
        <f t="array" ref="V244">K244*VLOOKUP($G244, Factor!$C$4:$N$36, 5, 0)*INDEX(Factor!$C$41:$N$87, _xlfn.XMATCH($C244, Factor!$C$41:$C$87, -1), 5)</f>
        <v>18.2</v>
      </c>
      <c r="W244" s="18" cm="1">
        <f t="array" ref="W244">L244*VLOOKUP($G244, Factor!$C$4:$N$36, 6, 0)*INDEX(Factor!$C$41:$N$87, _xlfn.XMATCH($C244, Factor!$C$41:$C$87, -1), 6)</f>
        <v>26</v>
      </c>
      <c r="X244" s="18" cm="1">
        <f t="array" ref="X244">M244*VLOOKUP($G244, Factor!$C$4:$N$36, 7, 0)*INDEX(Factor!$C$41:$N$87, _xlfn.XMATCH($C244, Factor!$C$41:$C$87, -1), 7)</f>
        <v>31200</v>
      </c>
      <c r="Y244" s="18" cm="1">
        <f t="array" ref="Y244">N244*VLOOKUP($G244, Factor!$C$4:$N$36, 8, 0)*INDEX(Factor!$C$41:$N$87, _xlfn.XMATCH($C244, Factor!$C$41:$C$87, -1), 8)</f>
        <v>2080</v>
      </c>
      <c r="Z244" s="18" cm="1">
        <f t="array" ref="Z244">O244*VLOOKUP($G244, Factor!$C$4:$N$36, 9, 0)*INDEX(Factor!$C$41:$N$87, _xlfn.XMATCH($C244, Factor!$C$41:$C$87, -1), 9)</f>
        <v>26</v>
      </c>
      <c r="AA244" s="18" cm="1">
        <f t="array" ref="AA244">P244*VLOOKUP($G244, Factor!$C$4:$N$36, 10, 0)*INDEX(Factor!$C$41:$N$87, _xlfn.XMATCH($C244, Factor!$C$41:$C$87, -1), 10)</f>
        <v>2080</v>
      </c>
      <c r="AB244" s="18" cm="1">
        <f t="array" ref="AB244">Q244*VLOOKUP($G244, Factor!$C$4:$N$36, 11, 0)*INDEX(Factor!$C$41:$N$87, _xlfn.XMATCH($C244, Factor!$C$41:$C$87, -1), 11)</f>
        <v>9</v>
      </c>
      <c r="AC244" s="18" cm="1">
        <f t="array" ref="AC244">R244*VLOOKUP($G244, Factor!$C$4:$N$36, 12, 0)*INDEX(Factor!$C$41:$N$87, _xlfn.XMATCH($C244, Factor!$C$41:$C$87, -1), 12)</f>
        <v>9</v>
      </c>
      <c r="AD244" s="18"/>
    </row>
    <row r="245" spans="1:30" ht="15.75" customHeight="1" x14ac:dyDescent="0.2">
      <c r="A245" s="15" t="str">
        <f>"locomotive_"&amp; VLOOKUP(F245, Factor!$BK$4:$BL$6, 2, 0) &amp;"_"&amp;Locomotive!D245&amp;"_"&amp;VLOOKUP(E245, Factor!$BM$4:$BN$36, 2, 0)</f>
        <v>locomotive_St_T9_009</v>
      </c>
      <c r="B245" s="15" t="str">
        <f t="shared" si="6"/>
        <v>T9 견인 증기기관차</v>
      </c>
      <c r="C245" s="15">
        <f>VLOOKUP(D245, Factor!$B$41:$C$50, 2, 0)</f>
        <v>90000</v>
      </c>
      <c r="D245" s="15" t="s">
        <v>327</v>
      </c>
      <c r="E245" s="41" t="s">
        <v>512</v>
      </c>
      <c r="F245" s="41" t="s">
        <v>505</v>
      </c>
      <c r="G245" s="41" t="str">
        <f t="shared" si="7"/>
        <v>견인 증기</v>
      </c>
      <c r="H245" s="41">
        <v>1</v>
      </c>
      <c r="I245" s="41">
        <v>1</v>
      </c>
      <c r="J245" s="41">
        <v>1</v>
      </c>
      <c r="K245" s="41">
        <v>1</v>
      </c>
      <c r="L245" s="41">
        <v>1</v>
      </c>
      <c r="M245" s="41">
        <v>1</v>
      </c>
      <c r="N245" s="41">
        <v>1</v>
      </c>
      <c r="O245" s="41">
        <v>1</v>
      </c>
      <c r="P245" s="41">
        <v>1</v>
      </c>
      <c r="Q245" s="41">
        <v>1</v>
      </c>
      <c r="R245" s="41">
        <v>1</v>
      </c>
      <c r="S245" s="41" cm="1">
        <f t="array" ref="S245">H245*VLOOKUP($G245, Factor!$C$4:$N$36, 2, 0)*INDEX(Factor!$C$41:$N$87, _xlfn.XMATCH($C245, Factor!$C$41:$C$87, -1), 2)</f>
        <v>234</v>
      </c>
      <c r="T245" s="41" cm="1">
        <f t="array" ref="T245">I245*VLOOKUP($G245, Factor!$C$4:$N$36, 3, 0)*INDEX(Factor!$C$41:$N$87, _xlfn.XMATCH($C245, Factor!$C$41:$C$87, -1), 3)</f>
        <v>2600</v>
      </c>
      <c r="U245" s="41" cm="1">
        <f t="array" ref="U245">J245*VLOOKUP($G245, Factor!$C$4:$N$36, 4, 0)*INDEX(Factor!$C$41:$N$87, _xlfn.XMATCH($C245, Factor!$C$41:$C$87, -1), 4)</f>
        <v>10</v>
      </c>
      <c r="V245" s="41" cm="1">
        <f t="array" ref="V245">K245*VLOOKUP($G245, Factor!$C$4:$N$36, 5, 0)*INDEX(Factor!$C$41:$N$87, _xlfn.XMATCH($C245, Factor!$C$41:$C$87, -1), 5)</f>
        <v>7.8000000000000007</v>
      </c>
      <c r="W245" s="41" cm="1">
        <f t="array" ref="W245">L245*VLOOKUP($G245, Factor!$C$4:$N$36, 6, 0)*INDEX(Factor!$C$41:$N$87, _xlfn.XMATCH($C245, Factor!$C$41:$C$87, -1), 6)</f>
        <v>26</v>
      </c>
      <c r="X245" s="41" cm="1">
        <f t="array" ref="X245">M245*VLOOKUP($G245, Factor!$C$4:$N$36, 7, 0)*INDEX(Factor!$C$41:$N$87, _xlfn.XMATCH($C245, Factor!$C$41:$C$87, -1), 7)</f>
        <v>39000</v>
      </c>
      <c r="Y245" s="41" cm="1">
        <f t="array" ref="Y245">N245*VLOOKUP($G245, Factor!$C$4:$N$36, 8, 0)*INDEX(Factor!$C$41:$N$87, _xlfn.XMATCH($C245, Factor!$C$41:$C$87, -1), 8)</f>
        <v>2600</v>
      </c>
      <c r="Z245" s="41" cm="1">
        <f t="array" ref="Z245">O245*VLOOKUP($G245, Factor!$C$4:$N$36, 9, 0)*INDEX(Factor!$C$41:$N$87, _xlfn.XMATCH($C245, Factor!$C$41:$C$87, -1), 9)</f>
        <v>78</v>
      </c>
      <c r="AA245" s="41" cm="1">
        <f t="array" ref="AA245">P245*VLOOKUP($G245, Factor!$C$4:$N$36, 10, 0)*INDEX(Factor!$C$41:$N$87, _xlfn.XMATCH($C245, Factor!$C$41:$C$87, -1), 10)</f>
        <v>2600</v>
      </c>
      <c r="AB245" s="41" cm="1">
        <f t="array" ref="AB245">Q245*VLOOKUP($G245, Factor!$C$4:$N$36, 11, 0)*INDEX(Factor!$C$41:$N$87, _xlfn.XMATCH($C245, Factor!$C$41:$C$87, -1), 11)</f>
        <v>9</v>
      </c>
      <c r="AC245" s="41" cm="1">
        <f t="array" ref="AC245">R245*VLOOKUP($G245, Factor!$C$4:$N$36, 12, 0)*INDEX(Factor!$C$41:$N$87, _xlfn.XMATCH($C245, Factor!$C$41:$C$87, -1), 12)</f>
        <v>9</v>
      </c>
      <c r="AD245" s="41"/>
    </row>
    <row r="246" spans="1:30" ht="15.75" customHeight="1" x14ac:dyDescent="0.2">
      <c r="A246" s="18" t="str">
        <f>"locomotive_"&amp; VLOOKUP(F246, Factor!$BK$4:$BL$6, 2, 0) &amp;"_"&amp;Locomotive!D246&amp;"_"&amp;VLOOKUP(E246, Factor!$BM$4:$BN$36, 2, 0)</f>
        <v>locomotive_El_T9_009</v>
      </c>
      <c r="B246" s="18" t="str">
        <f t="shared" si="6"/>
        <v>T9 견인 전기기관차</v>
      </c>
      <c r="C246" s="18">
        <f>VLOOKUP(D246, Factor!$B$41:$C$50, 2, 0)</f>
        <v>90000</v>
      </c>
      <c r="D246" s="18" t="s">
        <v>327</v>
      </c>
      <c r="E246" s="18" t="s">
        <v>512</v>
      </c>
      <c r="F246" s="18" t="s">
        <v>502</v>
      </c>
      <c r="G246" s="18" t="str">
        <f t="shared" si="7"/>
        <v>견인 전기</v>
      </c>
      <c r="H246" s="18">
        <v>1</v>
      </c>
      <c r="I246" s="18">
        <v>1</v>
      </c>
      <c r="J246" s="18">
        <v>1</v>
      </c>
      <c r="K246" s="18">
        <v>1</v>
      </c>
      <c r="L246" s="18">
        <v>1</v>
      </c>
      <c r="M246" s="18">
        <v>1</v>
      </c>
      <c r="N246" s="18">
        <v>1</v>
      </c>
      <c r="O246" s="18">
        <v>1</v>
      </c>
      <c r="P246" s="18">
        <v>1</v>
      </c>
      <c r="Q246" s="18">
        <v>1</v>
      </c>
      <c r="R246" s="18">
        <v>1</v>
      </c>
      <c r="S246" s="18" cm="1">
        <f t="array" ref="S246">H246*VLOOKUP($G246, Factor!$C$4:$N$36, 2, 0)*INDEX(Factor!$C$41:$N$87, _xlfn.XMATCH($C246, Factor!$C$41:$C$87, -1), 2)</f>
        <v>468</v>
      </c>
      <c r="T246" s="18" cm="1">
        <f t="array" ref="T246">I246*VLOOKUP($G246, Factor!$C$4:$N$36, 3, 0)*INDEX(Factor!$C$41:$N$87, _xlfn.XMATCH($C246, Factor!$C$41:$C$87, -1), 3)</f>
        <v>2080</v>
      </c>
      <c r="U246" s="18" cm="1">
        <f t="array" ref="U246">J246*VLOOKUP($G246, Factor!$C$4:$N$36, 4, 0)*INDEX(Factor!$C$41:$N$87, _xlfn.XMATCH($C246, Factor!$C$41:$C$87, -1), 4)</f>
        <v>10</v>
      </c>
      <c r="V246" s="18" cm="1">
        <f t="array" ref="V246">K246*VLOOKUP($G246, Factor!$C$4:$N$36, 5, 0)*INDEX(Factor!$C$41:$N$87, _xlfn.XMATCH($C246, Factor!$C$41:$C$87, -1), 5)</f>
        <v>18.2</v>
      </c>
      <c r="W246" s="18" cm="1">
        <f t="array" ref="W246">L246*VLOOKUP($G246, Factor!$C$4:$N$36, 6, 0)*INDEX(Factor!$C$41:$N$87, _xlfn.XMATCH($C246, Factor!$C$41:$C$87, -1), 6)</f>
        <v>26</v>
      </c>
      <c r="X246" s="18" cm="1">
        <f t="array" ref="X246">M246*VLOOKUP($G246, Factor!$C$4:$N$36, 7, 0)*INDEX(Factor!$C$41:$N$87, _xlfn.XMATCH($C246, Factor!$C$41:$C$87, -1), 7)</f>
        <v>31200</v>
      </c>
      <c r="Y246" s="18" cm="1">
        <f t="array" ref="Y246">N246*VLOOKUP($G246, Factor!$C$4:$N$36, 8, 0)*INDEX(Factor!$C$41:$N$87, _xlfn.XMATCH($C246, Factor!$C$41:$C$87, -1), 8)</f>
        <v>1820</v>
      </c>
      <c r="Z246" s="18" cm="1">
        <f t="array" ref="Z246">O246*VLOOKUP($G246, Factor!$C$4:$N$36, 9, 0)*INDEX(Factor!$C$41:$N$87, _xlfn.XMATCH($C246, Factor!$C$41:$C$87, -1), 9)</f>
        <v>13</v>
      </c>
      <c r="AA246" s="18" cm="1">
        <f t="array" ref="AA246">P246*VLOOKUP($G246, Factor!$C$4:$N$36, 10, 0)*INDEX(Factor!$C$41:$N$87, _xlfn.XMATCH($C246, Factor!$C$41:$C$87, -1), 10)</f>
        <v>1820</v>
      </c>
      <c r="AB246" s="18" cm="1">
        <f t="array" ref="AB246">Q246*VLOOKUP($G246, Factor!$C$4:$N$36, 11, 0)*INDEX(Factor!$C$41:$N$87, _xlfn.XMATCH($C246, Factor!$C$41:$C$87, -1), 11)</f>
        <v>9</v>
      </c>
      <c r="AC246" s="18" cm="1">
        <f t="array" ref="AC246">R246*VLOOKUP($G246, Factor!$C$4:$N$36, 12, 0)*INDEX(Factor!$C$41:$N$87, _xlfn.XMATCH($C246, Factor!$C$41:$C$87, -1), 12)</f>
        <v>9</v>
      </c>
      <c r="AD246" s="18"/>
    </row>
    <row r="247" spans="1:30" ht="15.75" customHeight="1" x14ac:dyDescent="0.2">
      <c r="A247" s="15" t="str">
        <f>"locomotive_"&amp; VLOOKUP(F247, Factor!$BK$4:$BL$6, 2, 0) &amp;"_"&amp;Locomotive!D247&amp;"_"&amp;VLOOKUP(E247, Factor!$BM$4:$BN$36, 2, 0)</f>
        <v>locomotive_Dz_T9_009</v>
      </c>
      <c r="B247" s="15" t="str">
        <f t="shared" si="6"/>
        <v>T9 견인 디젤기관차</v>
      </c>
      <c r="C247" s="15">
        <f>VLOOKUP(D247, Factor!$B$41:$C$50, 2, 0)</f>
        <v>90000</v>
      </c>
      <c r="D247" s="15" t="s">
        <v>327</v>
      </c>
      <c r="E247" s="41" t="s">
        <v>512</v>
      </c>
      <c r="F247" s="41" t="s">
        <v>503</v>
      </c>
      <c r="G247" s="41" t="str">
        <f t="shared" si="7"/>
        <v>견인 디젤</v>
      </c>
      <c r="H247" s="41">
        <v>1</v>
      </c>
      <c r="I247" s="41">
        <v>1</v>
      </c>
      <c r="J247" s="41">
        <v>1</v>
      </c>
      <c r="K247" s="41">
        <v>1</v>
      </c>
      <c r="L247" s="41">
        <v>1</v>
      </c>
      <c r="M247" s="41">
        <v>1</v>
      </c>
      <c r="N247" s="41">
        <v>1</v>
      </c>
      <c r="O247" s="41">
        <v>1</v>
      </c>
      <c r="P247" s="41">
        <v>1</v>
      </c>
      <c r="Q247" s="41">
        <v>1</v>
      </c>
      <c r="R247" s="41">
        <v>1</v>
      </c>
      <c r="S247" s="41" cm="1">
        <f t="array" ref="S247">H247*VLOOKUP($G247, Factor!$C$4:$N$36, 2, 0)*INDEX(Factor!$C$41:$N$87, _xlfn.XMATCH($C247, Factor!$C$41:$C$87, -1), 2)</f>
        <v>312</v>
      </c>
      <c r="T247" s="41" cm="1">
        <f t="array" ref="T247">I247*VLOOKUP($G247, Factor!$C$4:$N$36, 3, 0)*INDEX(Factor!$C$41:$N$87, _xlfn.XMATCH($C247, Factor!$C$41:$C$87, -1), 3)</f>
        <v>3120</v>
      </c>
      <c r="U247" s="41" cm="1">
        <f t="array" ref="U247">J247*VLOOKUP($G247, Factor!$C$4:$N$36, 4, 0)*INDEX(Factor!$C$41:$N$87, _xlfn.XMATCH($C247, Factor!$C$41:$C$87, -1), 4)</f>
        <v>10</v>
      </c>
      <c r="V247" s="41" cm="1">
        <f t="array" ref="V247">K247*VLOOKUP($G247, Factor!$C$4:$N$36, 5, 0)*INDEX(Factor!$C$41:$N$87, _xlfn.XMATCH($C247, Factor!$C$41:$C$87, -1), 5)</f>
        <v>13</v>
      </c>
      <c r="W247" s="41" cm="1">
        <f t="array" ref="W247">L247*VLOOKUP($G247, Factor!$C$4:$N$36, 6, 0)*INDEX(Factor!$C$41:$N$87, _xlfn.XMATCH($C247, Factor!$C$41:$C$87, -1), 6)</f>
        <v>26</v>
      </c>
      <c r="X247" s="41" cm="1">
        <f t="array" ref="X247">M247*VLOOKUP($G247, Factor!$C$4:$N$36, 7, 0)*INDEX(Factor!$C$41:$N$87, _xlfn.XMATCH($C247, Factor!$C$41:$C$87, -1), 7)</f>
        <v>52000</v>
      </c>
      <c r="Y247" s="41" cm="1">
        <f t="array" ref="Y247">N247*VLOOKUP($G247, Factor!$C$4:$N$36, 8, 0)*INDEX(Factor!$C$41:$N$87, _xlfn.XMATCH($C247, Factor!$C$41:$C$87, -1), 8)</f>
        <v>2080</v>
      </c>
      <c r="Z247" s="41" cm="1">
        <f t="array" ref="Z247">O247*VLOOKUP($G247, Factor!$C$4:$N$36, 9, 0)*INDEX(Factor!$C$41:$N$87, _xlfn.XMATCH($C247, Factor!$C$41:$C$87, -1), 9)</f>
        <v>26</v>
      </c>
      <c r="AA247" s="41" cm="1">
        <f t="array" ref="AA247">P247*VLOOKUP($G247, Factor!$C$4:$N$36, 10, 0)*INDEX(Factor!$C$41:$N$87, _xlfn.XMATCH($C247, Factor!$C$41:$C$87, -1), 10)</f>
        <v>2080</v>
      </c>
      <c r="AB247" s="41" cm="1">
        <f t="array" ref="AB247">Q247*VLOOKUP($G247, Factor!$C$4:$N$36, 11, 0)*INDEX(Factor!$C$41:$N$87, _xlfn.XMATCH($C247, Factor!$C$41:$C$87, -1), 11)</f>
        <v>9</v>
      </c>
      <c r="AC247" s="41" cm="1">
        <f t="array" ref="AC247">R247*VLOOKUP($G247, Factor!$C$4:$N$36, 12, 0)*INDEX(Factor!$C$41:$N$87, _xlfn.XMATCH($C247, Factor!$C$41:$C$87, -1), 12)</f>
        <v>9</v>
      </c>
      <c r="AD247" s="41"/>
    </row>
    <row r="248" spans="1:30" ht="15.75" customHeight="1" x14ac:dyDescent="0.2">
      <c r="A248" s="18" t="str">
        <f>"locomotive_"&amp; VLOOKUP(F248, Factor!$BK$4:$BL$6, 2, 0) &amp;"_"&amp;Locomotive!D248&amp;"_"&amp;VLOOKUP(E248, Factor!$BM$4:$BN$36, 2, 0)</f>
        <v>locomotive_St_T10_001</v>
      </c>
      <c r="B248" s="18" t="str">
        <f t="shared" si="6"/>
        <v>T10 표준 증기기관차</v>
      </c>
      <c r="C248" s="18">
        <f>VLOOKUP(D248, Factor!$B$41:$C$50, 2, 0)</f>
        <v>100000</v>
      </c>
      <c r="D248" s="18" t="s">
        <v>328</v>
      </c>
      <c r="E248" s="18" t="s">
        <v>501</v>
      </c>
      <c r="F248" s="18" t="s">
        <v>505</v>
      </c>
      <c r="G248" s="18" t="str">
        <f t="shared" si="7"/>
        <v>표준 증기</v>
      </c>
      <c r="H248" s="18">
        <v>1</v>
      </c>
      <c r="I248" s="18">
        <v>1</v>
      </c>
      <c r="J248" s="18">
        <v>1</v>
      </c>
      <c r="K248" s="18">
        <v>1</v>
      </c>
      <c r="L248" s="18">
        <v>1</v>
      </c>
      <c r="M248" s="18">
        <v>1</v>
      </c>
      <c r="N248" s="18">
        <v>1</v>
      </c>
      <c r="O248" s="18">
        <v>1</v>
      </c>
      <c r="P248" s="18">
        <v>1</v>
      </c>
      <c r="Q248" s="18">
        <v>1</v>
      </c>
      <c r="R248" s="18">
        <v>1</v>
      </c>
      <c r="S248" s="18" cm="1">
        <f t="array" ref="S248">H248*VLOOKUP($G248, Factor!$C$4:$N$36, 2, 0)*INDEX(Factor!$C$41:$N$87, _xlfn.XMATCH($C248, Factor!$C$41:$C$87, -1), 2)</f>
        <v>280</v>
      </c>
      <c r="T248" s="18" cm="1">
        <f t="array" ref="T248">I248*VLOOKUP($G248, Factor!$C$4:$N$36, 3, 0)*INDEX(Factor!$C$41:$N$87, _xlfn.XMATCH($C248, Factor!$C$41:$C$87, -1), 3)</f>
        <v>2800</v>
      </c>
      <c r="U248" s="18" cm="1">
        <f t="array" ref="U248">J248*VLOOKUP($G248, Factor!$C$4:$N$36, 4, 0)*INDEX(Factor!$C$41:$N$87, _xlfn.XMATCH($C248, Factor!$C$41:$C$87, -1), 4)</f>
        <v>11</v>
      </c>
      <c r="V248" s="18" cm="1">
        <f t="array" ref="V248">K248*VLOOKUP($G248, Factor!$C$4:$N$36, 5, 0)*INDEX(Factor!$C$41:$N$87, _xlfn.XMATCH($C248, Factor!$C$41:$C$87, -1), 5)</f>
        <v>11.2</v>
      </c>
      <c r="W248" s="18" cm="1">
        <f t="array" ref="W248">L248*VLOOKUP($G248, Factor!$C$4:$N$36, 6, 0)*INDEX(Factor!$C$41:$N$87, _xlfn.XMATCH($C248, Factor!$C$41:$C$87, -1), 6)</f>
        <v>28</v>
      </c>
      <c r="X248" s="18" cm="1">
        <f t="array" ref="X248">M248*VLOOKUP($G248, Factor!$C$4:$N$36, 7, 0)*INDEX(Factor!$C$41:$N$87, _xlfn.XMATCH($C248, Factor!$C$41:$C$87, -1), 7)</f>
        <v>28000</v>
      </c>
      <c r="Y248" s="18" cm="1">
        <f t="array" ref="Y248">N248*VLOOKUP($G248, Factor!$C$4:$N$36, 8, 0)*INDEX(Factor!$C$41:$N$87, _xlfn.XMATCH($C248, Factor!$C$41:$C$87, -1), 8)</f>
        <v>2800</v>
      </c>
      <c r="Z248" s="18" cm="1">
        <f t="array" ref="Z248">O248*VLOOKUP($G248, Factor!$C$4:$N$36, 9, 0)*INDEX(Factor!$C$41:$N$87, _xlfn.XMATCH($C248, Factor!$C$41:$C$87, -1), 9)</f>
        <v>84</v>
      </c>
      <c r="AA248" s="18" cm="1">
        <f t="array" ref="AA248">P248*VLOOKUP($G248, Factor!$C$4:$N$36, 10, 0)*INDEX(Factor!$C$41:$N$87, _xlfn.XMATCH($C248, Factor!$C$41:$C$87, -1), 10)</f>
        <v>2800</v>
      </c>
      <c r="AB248" s="18" cm="1">
        <f t="array" ref="AB248">Q248*VLOOKUP($G248, Factor!$C$4:$N$36, 11, 0)*INDEX(Factor!$C$41:$N$87, _xlfn.XMATCH($C248, Factor!$C$41:$C$87, -1), 11)</f>
        <v>10</v>
      </c>
      <c r="AC248" s="18" cm="1">
        <f t="array" ref="AC248">R248*VLOOKUP($G248, Factor!$C$4:$N$36, 12, 0)*INDEX(Factor!$C$41:$N$87, _xlfn.XMATCH($C248, Factor!$C$41:$C$87, -1), 12)</f>
        <v>10</v>
      </c>
      <c r="AD248" s="18"/>
    </row>
    <row r="249" spans="1:30" ht="15.75" customHeight="1" x14ac:dyDescent="0.2">
      <c r="A249" s="15" t="str">
        <f>"locomotive_"&amp; VLOOKUP(F249, Factor!$BK$4:$BL$6, 2, 0) &amp;"_"&amp;Locomotive!D249&amp;"_"&amp;VLOOKUP(E249, Factor!$BM$4:$BN$36, 2, 0)</f>
        <v>locomotive_El_T10_001</v>
      </c>
      <c r="B249" s="15" t="str">
        <f t="shared" si="6"/>
        <v>T10 표준 전기기관차</v>
      </c>
      <c r="C249" s="15">
        <f>VLOOKUP(D249, Factor!$B$41:$C$50, 2, 0)</f>
        <v>100000</v>
      </c>
      <c r="D249" s="15" t="s">
        <v>328</v>
      </c>
      <c r="E249" s="41" t="s">
        <v>501</v>
      </c>
      <c r="F249" s="41" t="s">
        <v>502</v>
      </c>
      <c r="G249" s="41" t="str">
        <f t="shared" si="7"/>
        <v>표준 전기</v>
      </c>
      <c r="H249" s="41">
        <v>1</v>
      </c>
      <c r="I249" s="41">
        <v>1</v>
      </c>
      <c r="J249" s="41">
        <v>1</v>
      </c>
      <c r="K249" s="41">
        <v>1</v>
      </c>
      <c r="L249" s="41">
        <v>1</v>
      </c>
      <c r="M249" s="41">
        <v>1</v>
      </c>
      <c r="N249" s="41">
        <v>1</v>
      </c>
      <c r="O249" s="41">
        <v>1</v>
      </c>
      <c r="P249" s="41">
        <v>1</v>
      </c>
      <c r="Q249" s="41">
        <v>1</v>
      </c>
      <c r="R249" s="41">
        <v>1</v>
      </c>
      <c r="S249" s="41" cm="1">
        <f t="array" ref="S249">H249*VLOOKUP($G249, Factor!$C$4:$N$36, 2, 0)*INDEX(Factor!$C$41:$N$87, _xlfn.XMATCH($C249, Factor!$C$41:$C$87, -1), 2)</f>
        <v>560</v>
      </c>
      <c r="T249" s="41" cm="1">
        <f t="array" ref="T249">I249*VLOOKUP($G249, Factor!$C$4:$N$36, 3, 0)*INDEX(Factor!$C$41:$N$87, _xlfn.XMATCH($C249, Factor!$C$41:$C$87, -1), 3)</f>
        <v>2240</v>
      </c>
      <c r="U249" s="41" cm="1">
        <f t="array" ref="U249">J249*VLOOKUP($G249, Factor!$C$4:$N$36, 4, 0)*INDEX(Factor!$C$41:$N$87, _xlfn.XMATCH($C249, Factor!$C$41:$C$87, -1), 4)</f>
        <v>11</v>
      </c>
      <c r="V249" s="41" cm="1">
        <f t="array" ref="V249">K249*VLOOKUP($G249, Factor!$C$4:$N$36, 5, 0)*INDEX(Factor!$C$41:$N$87, _xlfn.XMATCH($C249, Factor!$C$41:$C$87, -1), 5)</f>
        <v>22.4</v>
      </c>
      <c r="W249" s="41" cm="1">
        <f t="array" ref="W249">L249*VLOOKUP($G249, Factor!$C$4:$N$36, 6, 0)*INDEX(Factor!$C$41:$N$87, _xlfn.XMATCH($C249, Factor!$C$41:$C$87, -1), 6)</f>
        <v>28</v>
      </c>
      <c r="X249" s="41" cm="1">
        <f t="array" ref="X249">M249*VLOOKUP($G249, Factor!$C$4:$N$36, 7, 0)*INDEX(Factor!$C$41:$N$87, _xlfn.XMATCH($C249, Factor!$C$41:$C$87, -1), 7)</f>
        <v>19600</v>
      </c>
      <c r="Y249" s="41" cm="1">
        <f t="array" ref="Y249">N249*VLOOKUP($G249, Factor!$C$4:$N$36, 8, 0)*INDEX(Factor!$C$41:$N$87, _xlfn.XMATCH($C249, Factor!$C$41:$C$87, -1), 8)</f>
        <v>1959.9999999999998</v>
      </c>
      <c r="Z249" s="41" cm="1">
        <f t="array" ref="Z249">O249*VLOOKUP($G249, Factor!$C$4:$N$36, 9, 0)*INDEX(Factor!$C$41:$N$87, _xlfn.XMATCH($C249, Factor!$C$41:$C$87, -1), 9)</f>
        <v>14</v>
      </c>
      <c r="AA249" s="41" cm="1">
        <f t="array" ref="AA249">P249*VLOOKUP($G249, Factor!$C$4:$N$36, 10, 0)*INDEX(Factor!$C$41:$N$87, _xlfn.XMATCH($C249, Factor!$C$41:$C$87, -1), 10)</f>
        <v>1959.9999999999998</v>
      </c>
      <c r="AB249" s="41" cm="1">
        <f t="array" ref="AB249">Q249*VLOOKUP($G249, Factor!$C$4:$N$36, 11, 0)*INDEX(Factor!$C$41:$N$87, _xlfn.XMATCH($C249, Factor!$C$41:$C$87, -1), 11)</f>
        <v>10</v>
      </c>
      <c r="AC249" s="41" cm="1">
        <f t="array" ref="AC249">R249*VLOOKUP($G249, Factor!$C$4:$N$36, 12, 0)*INDEX(Factor!$C$41:$N$87, _xlfn.XMATCH($C249, Factor!$C$41:$C$87, -1), 12)</f>
        <v>10</v>
      </c>
      <c r="AD249" s="41"/>
    </row>
    <row r="250" spans="1:30" ht="15.75" customHeight="1" x14ac:dyDescent="0.2">
      <c r="A250" s="18" t="str">
        <f>"locomotive_"&amp; VLOOKUP(F250, Factor!$BK$4:$BL$6, 2, 0) &amp;"_"&amp;Locomotive!D250&amp;"_"&amp;VLOOKUP(E250, Factor!$BM$4:$BN$36, 2, 0)</f>
        <v>locomotive_Dz_T10_001</v>
      </c>
      <c r="B250" s="18" t="str">
        <f t="shared" si="6"/>
        <v>T10 표준 디젤기관차</v>
      </c>
      <c r="C250" s="18">
        <f>VLOOKUP(D250, Factor!$B$41:$C$50, 2, 0)</f>
        <v>100000</v>
      </c>
      <c r="D250" s="18" t="s">
        <v>328</v>
      </c>
      <c r="E250" s="18" t="s">
        <v>501</v>
      </c>
      <c r="F250" s="18" t="s">
        <v>503</v>
      </c>
      <c r="G250" s="18" t="str">
        <f t="shared" si="7"/>
        <v>표준 디젤</v>
      </c>
      <c r="H250" s="18">
        <v>1</v>
      </c>
      <c r="I250" s="18">
        <v>1</v>
      </c>
      <c r="J250" s="18">
        <v>1</v>
      </c>
      <c r="K250" s="18">
        <v>1</v>
      </c>
      <c r="L250" s="18">
        <v>1</v>
      </c>
      <c r="M250" s="18">
        <v>1</v>
      </c>
      <c r="N250" s="18">
        <v>1</v>
      </c>
      <c r="O250" s="18">
        <v>1</v>
      </c>
      <c r="P250" s="18">
        <v>1</v>
      </c>
      <c r="Q250" s="18">
        <v>1</v>
      </c>
      <c r="R250" s="18">
        <v>1</v>
      </c>
      <c r="S250" s="18" cm="1">
        <f t="array" ref="S250">H250*VLOOKUP($G250, Factor!$C$4:$N$36, 2, 0)*INDEX(Factor!$C$41:$N$87, _xlfn.XMATCH($C250, Factor!$C$41:$C$87, -1), 2)</f>
        <v>420</v>
      </c>
      <c r="T250" s="18" cm="1">
        <f t="array" ref="T250">I250*VLOOKUP($G250, Factor!$C$4:$N$36, 3, 0)*INDEX(Factor!$C$41:$N$87, _xlfn.XMATCH($C250, Factor!$C$41:$C$87, -1), 3)</f>
        <v>3360</v>
      </c>
      <c r="U250" s="18" cm="1">
        <f t="array" ref="U250">J250*VLOOKUP($G250, Factor!$C$4:$N$36, 4, 0)*INDEX(Factor!$C$41:$N$87, _xlfn.XMATCH($C250, Factor!$C$41:$C$87, -1), 4)</f>
        <v>11</v>
      </c>
      <c r="V250" s="18" cm="1">
        <f t="array" ref="V250">K250*VLOOKUP($G250, Factor!$C$4:$N$36, 5, 0)*INDEX(Factor!$C$41:$N$87, _xlfn.XMATCH($C250, Factor!$C$41:$C$87, -1), 5)</f>
        <v>16.799999999999997</v>
      </c>
      <c r="W250" s="18" cm="1">
        <f t="array" ref="W250">L250*VLOOKUP($G250, Factor!$C$4:$N$36, 6, 0)*INDEX(Factor!$C$41:$N$87, _xlfn.XMATCH($C250, Factor!$C$41:$C$87, -1), 6)</f>
        <v>28</v>
      </c>
      <c r="X250" s="18" cm="1">
        <f t="array" ref="X250">M250*VLOOKUP($G250, Factor!$C$4:$N$36, 7, 0)*INDEX(Factor!$C$41:$N$87, _xlfn.XMATCH($C250, Factor!$C$41:$C$87, -1), 7)</f>
        <v>42000</v>
      </c>
      <c r="Y250" s="18" cm="1">
        <f t="array" ref="Y250">N250*VLOOKUP($G250, Factor!$C$4:$N$36, 8, 0)*INDEX(Factor!$C$41:$N$87, _xlfn.XMATCH($C250, Factor!$C$41:$C$87, -1), 8)</f>
        <v>2240</v>
      </c>
      <c r="Z250" s="18" cm="1">
        <f t="array" ref="Z250">O250*VLOOKUP($G250, Factor!$C$4:$N$36, 9, 0)*INDEX(Factor!$C$41:$N$87, _xlfn.XMATCH($C250, Factor!$C$41:$C$87, -1), 9)</f>
        <v>28</v>
      </c>
      <c r="AA250" s="18" cm="1">
        <f t="array" ref="AA250">P250*VLOOKUP($G250, Factor!$C$4:$N$36, 10, 0)*INDEX(Factor!$C$41:$N$87, _xlfn.XMATCH($C250, Factor!$C$41:$C$87, -1), 10)</f>
        <v>2240</v>
      </c>
      <c r="AB250" s="18" cm="1">
        <f t="array" ref="AB250">Q250*VLOOKUP($G250, Factor!$C$4:$N$36, 11, 0)*INDEX(Factor!$C$41:$N$87, _xlfn.XMATCH($C250, Factor!$C$41:$C$87, -1), 11)</f>
        <v>10</v>
      </c>
      <c r="AC250" s="18" cm="1">
        <f t="array" ref="AC250">R250*VLOOKUP($G250, Factor!$C$4:$N$36, 12, 0)*INDEX(Factor!$C$41:$N$87, _xlfn.XMATCH($C250, Factor!$C$41:$C$87, -1), 12)</f>
        <v>10</v>
      </c>
      <c r="AD250" s="18"/>
    </row>
    <row r="251" spans="1:30" ht="15.75" customHeight="1" x14ac:dyDescent="0.2">
      <c r="A251" s="15" t="str">
        <f>"locomotive_"&amp; VLOOKUP(F251, Factor!$BK$4:$BL$6, 2, 0) &amp;"_"&amp;Locomotive!D251&amp;"_"&amp;VLOOKUP(E251, Factor!$BM$4:$BN$36, 2, 0)</f>
        <v>locomotive_St_T10_002</v>
      </c>
      <c r="B251" s="15" t="str">
        <f t="shared" si="6"/>
        <v>T10 쾌속 증기기관차</v>
      </c>
      <c r="C251" s="15">
        <f>VLOOKUP(D251, Factor!$B$41:$C$50, 2, 0)</f>
        <v>100000</v>
      </c>
      <c r="D251" s="15" t="s">
        <v>328</v>
      </c>
      <c r="E251" s="41" t="s">
        <v>504</v>
      </c>
      <c r="F251" s="41" t="s">
        <v>505</v>
      </c>
      <c r="G251" s="41" t="str">
        <f t="shared" si="7"/>
        <v>쾌속 증기</v>
      </c>
      <c r="H251" s="41">
        <v>1</v>
      </c>
      <c r="I251" s="41">
        <v>1</v>
      </c>
      <c r="J251" s="41">
        <v>1</v>
      </c>
      <c r="K251" s="41">
        <v>1</v>
      </c>
      <c r="L251" s="41">
        <v>1</v>
      </c>
      <c r="M251" s="41">
        <v>1</v>
      </c>
      <c r="N251" s="41">
        <v>1</v>
      </c>
      <c r="O251" s="41">
        <v>1</v>
      </c>
      <c r="P251" s="41">
        <v>1</v>
      </c>
      <c r="Q251" s="41">
        <v>1</v>
      </c>
      <c r="R251" s="41">
        <v>1</v>
      </c>
      <c r="S251" s="41" cm="1">
        <f t="array" ref="S251">H251*VLOOKUP($G251, Factor!$C$4:$N$36, 2, 0)*INDEX(Factor!$C$41:$N$87, _xlfn.XMATCH($C251, Factor!$C$41:$C$87, -1), 2)</f>
        <v>308</v>
      </c>
      <c r="T251" s="41" cm="1">
        <f t="array" ref="T251">I251*VLOOKUP($G251, Factor!$C$4:$N$36, 3, 0)*INDEX(Factor!$C$41:$N$87, _xlfn.XMATCH($C251, Factor!$C$41:$C$87, -1), 3)</f>
        <v>2520</v>
      </c>
      <c r="U251" s="41" cm="1">
        <f t="array" ref="U251">J251*VLOOKUP($G251, Factor!$C$4:$N$36, 4, 0)*INDEX(Factor!$C$41:$N$87, _xlfn.XMATCH($C251, Factor!$C$41:$C$87, -1), 4)</f>
        <v>11</v>
      </c>
      <c r="V251" s="41" cm="1">
        <f t="array" ref="V251">K251*VLOOKUP($G251, Factor!$C$4:$N$36, 5, 0)*INDEX(Factor!$C$41:$N$87, _xlfn.XMATCH($C251, Factor!$C$41:$C$87, -1), 5)</f>
        <v>16.799999999999997</v>
      </c>
      <c r="W251" s="41" cm="1">
        <f t="array" ref="W251">L251*VLOOKUP($G251, Factor!$C$4:$N$36, 6, 0)*INDEX(Factor!$C$41:$N$87, _xlfn.XMATCH($C251, Factor!$C$41:$C$87, -1), 6)</f>
        <v>28</v>
      </c>
      <c r="X251" s="41" cm="1">
        <f t="array" ref="X251">M251*VLOOKUP($G251, Factor!$C$4:$N$36, 7, 0)*INDEX(Factor!$C$41:$N$87, _xlfn.XMATCH($C251, Factor!$C$41:$C$87, -1), 7)</f>
        <v>28000</v>
      </c>
      <c r="Y251" s="41" cm="1">
        <f t="array" ref="Y251">N251*VLOOKUP($G251, Factor!$C$4:$N$36, 8, 0)*INDEX(Factor!$C$41:$N$87, _xlfn.XMATCH($C251, Factor!$C$41:$C$87, -1), 8)</f>
        <v>2240</v>
      </c>
      <c r="Z251" s="41" cm="1">
        <f t="array" ref="Z251">O251*VLOOKUP($G251, Factor!$C$4:$N$36, 9, 0)*INDEX(Factor!$C$41:$N$87, _xlfn.XMATCH($C251, Factor!$C$41:$C$87, -1), 9)</f>
        <v>56</v>
      </c>
      <c r="AA251" s="41" cm="1">
        <f t="array" ref="AA251">P251*VLOOKUP($G251, Factor!$C$4:$N$36, 10, 0)*INDEX(Factor!$C$41:$N$87, _xlfn.XMATCH($C251, Factor!$C$41:$C$87, -1), 10)</f>
        <v>2240</v>
      </c>
      <c r="AB251" s="41" cm="1">
        <f t="array" ref="AB251">Q251*VLOOKUP($G251, Factor!$C$4:$N$36, 11, 0)*INDEX(Factor!$C$41:$N$87, _xlfn.XMATCH($C251, Factor!$C$41:$C$87, -1), 11)</f>
        <v>10</v>
      </c>
      <c r="AC251" s="41" cm="1">
        <f t="array" ref="AC251">R251*VLOOKUP($G251, Factor!$C$4:$N$36, 12, 0)*INDEX(Factor!$C$41:$N$87, _xlfn.XMATCH($C251, Factor!$C$41:$C$87, -1), 12)</f>
        <v>10</v>
      </c>
      <c r="AD251" s="41"/>
    </row>
    <row r="252" spans="1:30" ht="15.75" customHeight="1" x14ac:dyDescent="0.2">
      <c r="A252" s="18" t="str">
        <f>"locomotive_"&amp; VLOOKUP(F252, Factor!$BK$4:$BL$6, 2, 0) &amp;"_"&amp;Locomotive!D252&amp;"_"&amp;VLOOKUP(E252, Factor!$BM$4:$BN$36, 2, 0)</f>
        <v>locomotive_El_T10_002</v>
      </c>
      <c r="B252" s="18" t="str">
        <f t="shared" si="6"/>
        <v>T10 쾌속 전기기관차</v>
      </c>
      <c r="C252" s="18">
        <f>VLOOKUP(D252, Factor!$B$41:$C$50, 2, 0)</f>
        <v>100000</v>
      </c>
      <c r="D252" s="18" t="s">
        <v>328</v>
      </c>
      <c r="E252" s="18" t="s">
        <v>504</v>
      </c>
      <c r="F252" s="18" t="s">
        <v>502</v>
      </c>
      <c r="G252" s="18" t="str">
        <f t="shared" si="7"/>
        <v>쾌속 전기</v>
      </c>
      <c r="H252" s="18">
        <v>1</v>
      </c>
      <c r="I252" s="18">
        <v>1</v>
      </c>
      <c r="J252" s="18">
        <v>1</v>
      </c>
      <c r="K252" s="18">
        <v>1</v>
      </c>
      <c r="L252" s="18">
        <v>1</v>
      </c>
      <c r="M252" s="18">
        <v>1</v>
      </c>
      <c r="N252" s="18">
        <v>1</v>
      </c>
      <c r="O252" s="18">
        <v>1</v>
      </c>
      <c r="P252" s="18">
        <v>1</v>
      </c>
      <c r="Q252" s="18">
        <v>1</v>
      </c>
      <c r="R252" s="18">
        <v>1</v>
      </c>
      <c r="S252" s="18" cm="1">
        <f t="array" ref="S252">H252*VLOOKUP($G252, Factor!$C$4:$N$36, 2, 0)*INDEX(Factor!$C$41:$N$87, _xlfn.XMATCH($C252, Factor!$C$41:$C$87, -1), 2)</f>
        <v>616</v>
      </c>
      <c r="T252" s="18" cm="1">
        <f t="array" ref="T252">I252*VLOOKUP($G252, Factor!$C$4:$N$36, 3, 0)*INDEX(Factor!$C$41:$N$87, _xlfn.XMATCH($C252, Factor!$C$41:$C$87, -1), 3)</f>
        <v>1959.9999999999998</v>
      </c>
      <c r="U252" s="18" cm="1">
        <f t="array" ref="U252">J252*VLOOKUP($G252, Factor!$C$4:$N$36, 4, 0)*INDEX(Factor!$C$41:$N$87, _xlfn.XMATCH($C252, Factor!$C$41:$C$87, -1), 4)</f>
        <v>11</v>
      </c>
      <c r="V252" s="18" cm="1">
        <f t="array" ref="V252">K252*VLOOKUP($G252, Factor!$C$4:$N$36, 5, 0)*INDEX(Factor!$C$41:$N$87, _xlfn.XMATCH($C252, Factor!$C$41:$C$87, -1), 5)</f>
        <v>28</v>
      </c>
      <c r="W252" s="18" cm="1">
        <f t="array" ref="W252">L252*VLOOKUP($G252, Factor!$C$4:$N$36, 6, 0)*INDEX(Factor!$C$41:$N$87, _xlfn.XMATCH($C252, Factor!$C$41:$C$87, -1), 6)</f>
        <v>28</v>
      </c>
      <c r="X252" s="18" cm="1">
        <f t="array" ref="X252">M252*VLOOKUP($G252, Factor!$C$4:$N$36, 7, 0)*INDEX(Factor!$C$41:$N$87, _xlfn.XMATCH($C252, Factor!$C$41:$C$87, -1), 7)</f>
        <v>19600</v>
      </c>
      <c r="Y252" s="18" cm="1">
        <f t="array" ref="Y252">N252*VLOOKUP($G252, Factor!$C$4:$N$36, 8, 0)*INDEX(Factor!$C$41:$N$87, _xlfn.XMATCH($C252, Factor!$C$41:$C$87, -1), 8)</f>
        <v>1400</v>
      </c>
      <c r="Z252" s="18" cm="1">
        <f t="array" ref="Z252">O252*VLOOKUP($G252, Factor!$C$4:$N$36, 9, 0)*INDEX(Factor!$C$41:$N$87, _xlfn.XMATCH($C252, Factor!$C$41:$C$87, -1), 9)</f>
        <v>8.3999999999999986</v>
      </c>
      <c r="AA252" s="18" cm="1">
        <f t="array" ref="AA252">P252*VLOOKUP($G252, Factor!$C$4:$N$36, 10, 0)*INDEX(Factor!$C$41:$N$87, _xlfn.XMATCH($C252, Factor!$C$41:$C$87, -1), 10)</f>
        <v>1400</v>
      </c>
      <c r="AB252" s="18" cm="1">
        <f t="array" ref="AB252">Q252*VLOOKUP($G252, Factor!$C$4:$N$36, 11, 0)*INDEX(Factor!$C$41:$N$87, _xlfn.XMATCH($C252, Factor!$C$41:$C$87, -1), 11)</f>
        <v>10</v>
      </c>
      <c r="AC252" s="18" cm="1">
        <f t="array" ref="AC252">R252*VLOOKUP($G252, Factor!$C$4:$N$36, 12, 0)*INDEX(Factor!$C$41:$N$87, _xlfn.XMATCH($C252, Factor!$C$41:$C$87, -1), 12)</f>
        <v>10</v>
      </c>
      <c r="AD252" s="18"/>
    </row>
    <row r="253" spans="1:30" ht="15.75" customHeight="1" x14ac:dyDescent="0.2">
      <c r="A253" s="15" t="str">
        <f>"locomotive_"&amp; VLOOKUP(F253, Factor!$BK$4:$BL$6, 2, 0) &amp;"_"&amp;Locomotive!D253&amp;"_"&amp;VLOOKUP(E253, Factor!$BM$4:$BN$36, 2, 0)</f>
        <v>locomotive_Dz_T10_002</v>
      </c>
      <c r="B253" s="15" t="str">
        <f t="shared" si="6"/>
        <v>T10 쾌속 디젤기관차</v>
      </c>
      <c r="C253" s="15">
        <f>VLOOKUP(D253, Factor!$B$41:$C$50, 2, 0)</f>
        <v>100000</v>
      </c>
      <c r="D253" s="15" t="s">
        <v>328</v>
      </c>
      <c r="E253" s="41" t="s">
        <v>504</v>
      </c>
      <c r="F253" s="41" t="s">
        <v>503</v>
      </c>
      <c r="G253" s="41" t="str">
        <f t="shared" si="7"/>
        <v>쾌속 디젤</v>
      </c>
      <c r="H253" s="41">
        <v>1</v>
      </c>
      <c r="I253" s="41">
        <v>1</v>
      </c>
      <c r="J253" s="41">
        <v>1</v>
      </c>
      <c r="K253" s="41">
        <v>1</v>
      </c>
      <c r="L253" s="41">
        <v>1</v>
      </c>
      <c r="M253" s="41">
        <v>1</v>
      </c>
      <c r="N253" s="41">
        <v>1</v>
      </c>
      <c r="O253" s="41">
        <v>1</v>
      </c>
      <c r="P253" s="41">
        <v>1</v>
      </c>
      <c r="Q253" s="41">
        <v>1</v>
      </c>
      <c r="R253" s="41">
        <v>1</v>
      </c>
      <c r="S253" s="41" cm="1">
        <f t="array" ref="S253">H253*VLOOKUP($G253, Factor!$C$4:$N$36, 2, 0)*INDEX(Factor!$C$41:$N$87, _xlfn.XMATCH($C253, Factor!$C$41:$C$87, -1), 2)</f>
        <v>461.99999999999994</v>
      </c>
      <c r="T253" s="41" cm="1">
        <f t="array" ref="T253">I253*VLOOKUP($G253, Factor!$C$4:$N$36, 3, 0)*INDEX(Factor!$C$41:$N$87, _xlfn.XMATCH($C253, Factor!$C$41:$C$87, -1), 3)</f>
        <v>2800</v>
      </c>
      <c r="U253" s="41" cm="1">
        <f t="array" ref="U253">J253*VLOOKUP($G253, Factor!$C$4:$N$36, 4, 0)*INDEX(Factor!$C$41:$N$87, _xlfn.XMATCH($C253, Factor!$C$41:$C$87, -1), 4)</f>
        <v>11</v>
      </c>
      <c r="V253" s="41" cm="1">
        <f t="array" ref="V253">K253*VLOOKUP($G253, Factor!$C$4:$N$36, 5, 0)*INDEX(Factor!$C$41:$N$87, _xlfn.XMATCH($C253, Factor!$C$41:$C$87, -1), 5)</f>
        <v>22.4</v>
      </c>
      <c r="W253" s="41" cm="1">
        <f t="array" ref="W253">L253*VLOOKUP($G253, Factor!$C$4:$N$36, 6, 0)*INDEX(Factor!$C$41:$N$87, _xlfn.XMATCH($C253, Factor!$C$41:$C$87, -1), 6)</f>
        <v>28</v>
      </c>
      <c r="X253" s="41" cm="1">
        <f t="array" ref="X253">M253*VLOOKUP($G253, Factor!$C$4:$N$36, 7, 0)*INDEX(Factor!$C$41:$N$87, _xlfn.XMATCH($C253, Factor!$C$41:$C$87, -1), 7)</f>
        <v>42000</v>
      </c>
      <c r="Y253" s="41" cm="1">
        <f t="array" ref="Y253">N253*VLOOKUP($G253, Factor!$C$4:$N$36, 8, 0)*INDEX(Factor!$C$41:$N$87, _xlfn.XMATCH($C253, Factor!$C$41:$C$87, -1), 8)</f>
        <v>1819.9999999999998</v>
      </c>
      <c r="Z253" s="41" cm="1">
        <f t="array" ref="Z253">O253*VLOOKUP($G253, Factor!$C$4:$N$36, 9, 0)*INDEX(Factor!$C$41:$N$87, _xlfn.XMATCH($C253, Factor!$C$41:$C$87, -1), 9)</f>
        <v>14</v>
      </c>
      <c r="AA253" s="41" cm="1">
        <f t="array" ref="AA253">P253*VLOOKUP($G253, Factor!$C$4:$N$36, 10, 0)*INDEX(Factor!$C$41:$N$87, _xlfn.XMATCH($C253, Factor!$C$41:$C$87, -1), 10)</f>
        <v>1819.9999999999998</v>
      </c>
      <c r="AB253" s="41" cm="1">
        <f t="array" ref="AB253">Q253*VLOOKUP($G253, Factor!$C$4:$N$36, 11, 0)*INDEX(Factor!$C$41:$N$87, _xlfn.XMATCH($C253, Factor!$C$41:$C$87, -1), 11)</f>
        <v>10</v>
      </c>
      <c r="AC253" s="41" cm="1">
        <f t="array" ref="AC253">R253*VLOOKUP($G253, Factor!$C$4:$N$36, 12, 0)*INDEX(Factor!$C$41:$N$87, _xlfn.XMATCH($C253, Factor!$C$41:$C$87, -1), 12)</f>
        <v>10</v>
      </c>
      <c r="AD253" s="41"/>
    </row>
    <row r="254" spans="1:30" ht="15.75" customHeight="1" x14ac:dyDescent="0.2">
      <c r="A254" s="18" t="str">
        <f>"locomotive_"&amp; VLOOKUP(F254, Factor!$BK$4:$BL$6, 2, 0) &amp;"_"&amp;Locomotive!D254&amp;"_"&amp;VLOOKUP(E254, Factor!$BM$4:$BN$36, 2, 0)</f>
        <v>locomotive_St_T10_003</v>
      </c>
      <c r="B254" s="18" t="str">
        <f t="shared" si="6"/>
        <v>T10 중갑 증기기관차</v>
      </c>
      <c r="C254" s="18">
        <f>VLOOKUP(D254, Factor!$B$41:$C$50, 2, 0)</f>
        <v>100000</v>
      </c>
      <c r="D254" s="18" t="s">
        <v>328</v>
      </c>
      <c r="E254" s="18" t="s">
        <v>506</v>
      </c>
      <c r="F254" s="18" t="s">
        <v>505</v>
      </c>
      <c r="G254" s="18" t="str">
        <f t="shared" si="7"/>
        <v>중갑 증기</v>
      </c>
      <c r="H254" s="18">
        <v>1</v>
      </c>
      <c r="I254" s="18">
        <v>1</v>
      </c>
      <c r="J254" s="18">
        <v>1</v>
      </c>
      <c r="K254" s="18">
        <v>1</v>
      </c>
      <c r="L254" s="18">
        <v>1</v>
      </c>
      <c r="M254" s="18">
        <v>1</v>
      </c>
      <c r="N254" s="18">
        <v>1</v>
      </c>
      <c r="O254" s="18">
        <v>1</v>
      </c>
      <c r="P254" s="18">
        <v>1</v>
      </c>
      <c r="Q254" s="18">
        <v>1</v>
      </c>
      <c r="R254" s="18">
        <v>1</v>
      </c>
      <c r="S254" s="18" cm="1">
        <f t="array" ref="S254">H254*VLOOKUP($G254, Factor!$C$4:$N$36, 2, 0)*INDEX(Factor!$C$41:$N$87, _xlfn.XMATCH($C254, Factor!$C$41:$C$87, -1), 2)</f>
        <v>251.99999999999997</v>
      </c>
      <c r="T254" s="18" cm="1">
        <f t="array" ref="T254">I254*VLOOKUP($G254, Factor!$C$4:$N$36, 3, 0)*INDEX(Factor!$C$41:$N$87, _xlfn.XMATCH($C254, Factor!$C$41:$C$87, -1), 3)</f>
        <v>3360</v>
      </c>
      <c r="U254" s="18" cm="1">
        <f t="array" ref="U254">J254*VLOOKUP($G254, Factor!$C$4:$N$36, 4, 0)*INDEX(Factor!$C$41:$N$87, _xlfn.XMATCH($C254, Factor!$C$41:$C$87, -1), 4)</f>
        <v>11</v>
      </c>
      <c r="V254" s="18" cm="1">
        <f t="array" ref="V254">K254*VLOOKUP($G254, Factor!$C$4:$N$36, 5, 0)*INDEX(Factor!$C$41:$N$87, _xlfn.XMATCH($C254, Factor!$C$41:$C$87, -1), 5)</f>
        <v>11.2</v>
      </c>
      <c r="W254" s="18" cm="1">
        <f t="array" ref="W254">L254*VLOOKUP($G254, Factor!$C$4:$N$36, 6, 0)*INDEX(Factor!$C$41:$N$87, _xlfn.XMATCH($C254, Factor!$C$41:$C$87, -1), 6)</f>
        <v>28</v>
      </c>
      <c r="X254" s="18" cm="1">
        <f t="array" ref="X254">M254*VLOOKUP($G254, Factor!$C$4:$N$36, 7, 0)*INDEX(Factor!$C$41:$N$87, _xlfn.XMATCH($C254, Factor!$C$41:$C$87, -1), 7)</f>
        <v>22400</v>
      </c>
      <c r="Y254" s="18" cm="1">
        <f t="array" ref="Y254">N254*VLOOKUP($G254, Factor!$C$4:$N$36, 8, 0)*INDEX(Factor!$C$41:$N$87, _xlfn.XMATCH($C254, Factor!$C$41:$C$87, -1), 8)</f>
        <v>4200</v>
      </c>
      <c r="Z254" s="18" cm="1">
        <f t="array" ref="Z254">O254*VLOOKUP($G254, Factor!$C$4:$N$36, 9, 0)*INDEX(Factor!$C$41:$N$87, _xlfn.XMATCH($C254, Factor!$C$41:$C$87, -1), 9)</f>
        <v>140</v>
      </c>
      <c r="AA254" s="18" cm="1">
        <f t="array" ref="AA254">P254*VLOOKUP($G254, Factor!$C$4:$N$36, 10, 0)*INDEX(Factor!$C$41:$N$87, _xlfn.XMATCH($C254, Factor!$C$41:$C$87, -1), 10)</f>
        <v>4200</v>
      </c>
      <c r="AB254" s="18" cm="1">
        <f t="array" ref="AB254">Q254*VLOOKUP($G254, Factor!$C$4:$N$36, 11, 0)*INDEX(Factor!$C$41:$N$87, _xlfn.XMATCH($C254, Factor!$C$41:$C$87, -1), 11)</f>
        <v>10</v>
      </c>
      <c r="AC254" s="18" cm="1">
        <f t="array" ref="AC254">R254*VLOOKUP($G254, Factor!$C$4:$N$36, 12, 0)*INDEX(Factor!$C$41:$N$87, _xlfn.XMATCH($C254, Factor!$C$41:$C$87, -1), 12)</f>
        <v>10</v>
      </c>
      <c r="AD254" s="18"/>
    </row>
    <row r="255" spans="1:30" ht="15.75" customHeight="1" x14ac:dyDescent="0.2">
      <c r="A255" s="15" t="str">
        <f>"locomotive_"&amp; VLOOKUP(F255, Factor!$BK$4:$BL$6, 2, 0) &amp;"_"&amp;Locomotive!D255&amp;"_"&amp;VLOOKUP(E255, Factor!$BM$4:$BN$36, 2, 0)</f>
        <v>locomotive_El_T10_003</v>
      </c>
      <c r="B255" s="15" t="str">
        <f t="shared" si="6"/>
        <v>T10 중갑 전기기관차</v>
      </c>
      <c r="C255" s="15">
        <f>VLOOKUP(D255, Factor!$B$41:$C$50, 2, 0)</f>
        <v>100000</v>
      </c>
      <c r="D255" s="15" t="s">
        <v>328</v>
      </c>
      <c r="E255" s="41" t="s">
        <v>506</v>
      </c>
      <c r="F255" s="41" t="s">
        <v>502</v>
      </c>
      <c r="G255" s="41" t="str">
        <f t="shared" si="7"/>
        <v>중갑 전기</v>
      </c>
      <c r="H255" s="41">
        <v>1</v>
      </c>
      <c r="I255" s="41">
        <v>1</v>
      </c>
      <c r="J255" s="41">
        <v>1</v>
      </c>
      <c r="K255" s="41">
        <v>1</v>
      </c>
      <c r="L255" s="41">
        <v>1</v>
      </c>
      <c r="M255" s="41">
        <v>1</v>
      </c>
      <c r="N255" s="41">
        <v>1</v>
      </c>
      <c r="O255" s="41">
        <v>1</v>
      </c>
      <c r="P255" s="41">
        <v>1</v>
      </c>
      <c r="Q255" s="41">
        <v>1</v>
      </c>
      <c r="R255" s="41">
        <v>1</v>
      </c>
      <c r="S255" s="41" cm="1">
        <f t="array" ref="S255">H255*VLOOKUP($G255, Factor!$C$4:$N$36, 2, 0)*INDEX(Factor!$C$41:$N$87, _xlfn.XMATCH($C255, Factor!$C$41:$C$87, -1), 2)</f>
        <v>475.99999999999994</v>
      </c>
      <c r="T255" s="41" cm="1">
        <f t="array" ref="T255">I255*VLOOKUP($G255, Factor!$C$4:$N$36, 3, 0)*INDEX(Factor!$C$41:$N$87, _xlfn.XMATCH($C255, Factor!$C$41:$C$87, -1), 3)</f>
        <v>280</v>
      </c>
      <c r="U255" s="41" cm="1">
        <f t="array" ref="U255">J255*VLOOKUP($G255, Factor!$C$4:$N$36, 4, 0)*INDEX(Factor!$C$41:$N$87, _xlfn.XMATCH($C255, Factor!$C$41:$C$87, -1), 4)</f>
        <v>11</v>
      </c>
      <c r="V255" s="41" cm="1">
        <f t="array" ref="V255">K255*VLOOKUP($G255, Factor!$C$4:$N$36, 5, 0)*INDEX(Factor!$C$41:$N$87, _xlfn.XMATCH($C255, Factor!$C$41:$C$87, -1), 5)</f>
        <v>22.4</v>
      </c>
      <c r="W255" s="41" cm="1">
        <f t="array" ref="W255">L255*VLOOKUP($G255, Factor!$C$4:$N$36, 6, 0)*INDEX(Factor!$C$41:$N$87, _xlfn.XMATCH($C255, Factor!$C$41:$C$87, -1), 6)</f>
        <v>28</v>
      </c>
      <c r="X255" s="41" cm="1">
        <f t="array" ref="X255">M255*VLOOKUP($G255, Factor!$C$4:$N$36, 7, 0)*INDEX(Factor!$C$41:$N$87, _xlfn.XMATCH($C255, Factor!$C$41:$C$87, -1), 7)</f>
        <v>14000</v>
      </c>
      <c r="Y255" s="41" cm="1">
        <f t="array" ref="Y255">N255*VLOOKUP($G255, Factor!$C$4:$N$36, 8, 0)*INDEX(Factor!$C$41:$N$87, _xlfn.XMATCH($C255, Factor!$C$41:$C$87, -1), 8)</f>
        <v>2800</v>
      </c>
      <c r="Z255" s="41" cm="1">
        <f t="array" ref="Z255">O255*VLOOKUP($G255, Factor!$C$4:$N$36, 9, 0)*INDEX(Factor!$C$41:$N$87, _xlfn.XMATCH($C255, Factor!$C$41:$C$87, -1), 9)</f>
        <v>42</v>
      </c>
      <c r="AA255" s="41" cm="1">
        <f t="array" ref="AA255">P255*VLOOKUP($G255, Factor!$C$4:$N$36, 10, 0)*INDEX(Factor!$C$41:$N$87, _xlfn.XMATCH($C255, Factor!$C$41:$C$87, -1), 10)</f>
        <v>2800</v>
      </c>
      <c r="AB255" s="41" cm="1">
        <f t="array" ref="AB255">Q255*VLOOKUP($G255, Factor!$C$4:$N$36, 11, 0)*INDEX(Factor!$C$41:$N$87, _xlfn.XMATCH($C255, Factor!$C$41:$C$87, -1), 11)</f>
        <v>10</v>
      </c>
      <c r="AC255" s="41" cm="1">
        <f t="array" ref="AC255">R255*VLOOKUP($G255, Factor!$C$4:$N$36, 12, 0)*INDEX(Factor!$C$41:$N$87, _xlfn.XMATCH($C255, Factor!$C$41:$C$87, -1), 12)</f>
        <v>10</v>
      </c>
      <c r="AD255" s="41"/>
    </row>
    <row r="256" spans="1:30" ht="15.75" customHeight="1" x14ac:dyDescent="0.2">
      <c r="A256" s="18" t="str">
        <f>"locomotive_"&amp; VLOOKUP(F256, Factor!$BK$4:$BL$6, 2, 0) &amp;"_"&amp;Locomotive!D256&amp;"_"&amp;VLOOKUP(E256, Factor!$BM$4:$BN$36, 2, 0)</f>
        <v>locomotive_Dz_T10_003</v>
      </c>
      <c r="B256" s="18" t="str">
        <f t="shared" si="6"/>
        <v>T10 중갑 디젤기관차</v>
      </c>
      <c r="C256" s="18">
        <f>VLOOKUP(D256, Factor!$B$41:$C$50, 2, 0)</f>
        <v>100000</v>
      </c>
      <c r="D256" s="18" t="s">
        <v>328</v>
      </c>
      <c r="E256" s="18" t="s">
        <v>506</v>
      </c>
      <c r="F256" s="18" t="s">
        <v>503</v>
      </c>
      <c r="G256" s="18" t="str">
        <f t="shared" si="7"/>
        <v>중갑 디젤</v>
      </c>
      <c r="H256" s="18">
        <v>1</v>
      </c>
      <c r="I256" s="18">
        <v>1</v>
      </c>
      <c r="J256" s="18">
        <v>1</v>
      </c>
      <c r="K256" s="18">
        <v>1</v>
      </c>
      <c r="L256" s="18">
        <v>1</v>
      </c>
      <c r="M256" s="18">
        <v>1</v>
      </c>
      <c r="N256" s="18">
        <v>1</v>
      </c>
      <c r="O256" s="18">
        <v>1</v>
      </c>
      <c r="P256" s="18">
        <v>1</v>
      </c>
      <c r="Q256" s="18">
        <v>1</v>
      </c>
      <c r="R256" s="18">
        <v>1</v>
      </c>
      <c r="S256" s="18" cm="1">
        <f t="array" ref="S256">H256*VLOOKUP($G256, Factor!$C$4:$N$36, 2, 0)*INDEX(Factor!$C$41:$N$87, _xlfn.XMATCH($C256, Factor!$C$41:$C$87, -1), 2)</f>
        <v>308</v>
      </c>
      <c r="T256" s="18" cm="1">
        <f t="array" ref="T256">I256*VLOOKUP($G256, Factor!$C$4:$N$36, 3, 0)*INDEX(Factor!$C$41:$N$87, _xlfn.XMATCH($C256, Factor!$C$41:$C$87, -1), 3)</f>
        <v>4200</v>
      </c>
      <c r="U256" s="18" cm="1">
        <f t="array" ref="U256">J256*VLOOKUP($G256, Factor!$C$4:$N$36, 4, 0)*INDEX(Factor!$C$41:$N$87, _xlfn.XMATCH($C256, Factor!$C$41:$C$87, -1), 4)</f>
        <v>11</v>
      </c>
      <c r="V256" s="18" cm="1">
        <f t="array" ref="V256">K256*VLOOKUP($G256, Factor!$C$4:$N$36, 5, 0)*INDEX(Factor!$C$41:$N$87, _xlfn.XMATCH($C256, Factor!$C$41:$C$87, -1), 5)</f>
        <v>16.799999999999997</v>
      </c>
      <c r="W256" s="18" cm="1">
        <f t="array" ref="W256">L256*VLOOKUP($G256, Factor!$C$4:$N$36, 6, 0)*INDEX(Factor!$C$41:$N$87, _xlfn.XMATCH($C256, Factor!$C$41:$C$87, -1), 6)</f>
        <v>28</v>
      </c>
      <c r="X256" s="18" cm="1">
        <f t="array" ref="X256">M256*VLOOKUP($G256, Factor!$C$4:$N$36, 7, 0)*INDEX(Factor!$C$41:$N$87, _xlfn.XMATCH($C256, Factor!$C$41:$C$87, -1), 7)</f>
        <v>33600</v>
      </c>
      <c r="Y256" s="18" cm="1">
        <f t="array" ref="Y256">N256*VLOOKUP($G256, Factor!$C$4:$N$36, 8, 0)*INDEX(Factor!$C$41:$N$87, _xlfn.XMATCH($C256, Factor!$C$41:$C$87, -1), 8)</f>
        <v>3639.9999999999995</v>
      </c>
      <c r="Z256" s="18" cm="1">
        <f t="array" ref="Z256">O256*VLOOKUP($G256, Factor!$C$4:$N$36, 9, 0)*INDEX(Factor!$C$41:$N$87, _xlfn.XMATCH($C256, Factor!$C$41:$C$87, -1), 9)</f>
        <v>84</v>
      </c>
      <c r="AA256" s="18" cm="1">
        <f t="array" ref="AA256">P256*VLOOKUP($G256, Factor!$C$4:$N$36, 10, 0)*INDEX(Factor!$C$41:$N$87, _xlfn.XMATCH($C256, Factor!$C$41:$C$87, -1), 10)</f>
        <v>3639.9999999999995</v>
      </c>
      <c r="AB256" s="18" cm="1">
        <f t="array" ref="AB256">Q256*VLOOKUP($G256, Factor!$C$4:$N$36, 11, 0)*INDEX(Factor!$C$41:$N$87, _xlfn.XMATCH($C256, Factor!$C$41:$C$87, -1), 11)</f>
        <v>10</v>
      </c>
      <c r="AC256" s="18" cm="1">
        <f t="array" ref="AC256">R256*VLOOKUP($G256, Factor!$C$4:$N$36, 12, 0)*INDEX(Factor!$C$41:$N$87, _xlfn.XMATCH($C256, Factor!$C$41:$C$87, -1), 12)</f>
        <v>10</v>
      </c>
      <c r="AD256" s="18"/>
    </row>
    <row r="257" spans="1:30" ht="15.75" customHeight="1" x14ac:dyDescent="0.2">
      <c r="A257" s="15" t="str">
        <f>"locomotive_"&amp; VLOOKUP(F257, Factor!$BK$4:$BL$6, 2, 0) &amp;"_"&amp;Locomotive!D257&amp;"_"&amp;VLOOKUP(E257, Factor!$BM$4:$BN$36, 2, 0)</f>
        <v>locomotive_St_T10_004</v>
      </c>
      <c r="B257" s="15" t="str">
        <f t="shared" ref="B257:B274" si="8">D257&amp;" "&amp;G257&amp;"기관차"</f>
        <v>T10 화물 증기기관차</v>
      </c>
      <c r="C257" s="15">
        <f>VLOOKUP(D257, Factor!$B$41:$C$50, 2, 0)</f>
        <v>100000</v>
      </c>
      <c r="D257" s="15" t="s">
        <v>328</v>
      </c>
      <c r="E257" s="41" t="s">
        <v>507</v>
      </c>
      <c r="F257" s="41" t="s">
        <v>505</v>
      </c>
      <c r="G257" s="41" t="str">
        <f t="shared" ref="G257:G274" si="9">E257&amp;" "&amp;F257</f>
        <v>화물 증기</v>
      </c>
      <c r="H257" s="41">
        <v>1</v>
      </c>
      <c r="I257" s="41">
        <v>1</v>
      </c>
      <c r="J257" s="41">
        <v>1</v>
      </c>
      <c r="K257" s="41">
        <v>1</v>
      </c>
      <c r="L257" s="41">
        <v>1</v>
      </c>
      <c r="M257" s="41">
        <v>1</v>
      </c>
      <c r="N257" s="41">
        <v>1</v>
      </c>
      <c r="O257" s="41">
        <v>1</v>
      </c>
      <c r="P257" s="41">
        <v>1</v>
      </c>
      <c r="Q257" s="41">
        <v>1</v>
      </c>
      <c r="R257" s="41">
        <v>1</v>
      </c>
      <c r="S257" s="41" cm="1">
        <f t="array" ref="S257">H257*VLOOKUP($G257, Factor!$C$4:$N$36, 2, 0)*INDEX(Factor!$C$41:$N$87, _xlfn.XMATCH($C257, Factor!$C$41:$C$87, -1), 2)</f>
        <v>251.99999999999997</v>
      </c>
      <c r="T257" s="41" cm="1">
        <f t="array" ref="T257">I257*VLOOKUP($G257, Factor!$C$4:$N$36, 3, 0)*INDEX(Factor!$C$41:$N$87, _xlfn.XMATCH($C257, Factor!$C$41:$C$87, -1), 3)</f>
        <v>2800</v>
      </c>
      <c r="U257" s="41" cm="1">
        <f t="array" ref="U257">J257*VLOOKUP($G257, Factor!$C$4:$N$36, 4, 0)*INDEX(Factor!$C$41:$N$87, _xlfn.XMATCH($C257, Factor!$C$41:$C$87, -1), 4)</f>
        <v>11</v>
      </c>
      <c r="V257" s="41" cm="1">
        <f t="array" ref="V257">K257*VLOOKUP($G257, Factor!$C$4:$N$36, 5, 0)*INDEX(Factor!$C$41:$N$87, _xlfn.XMATCH($C257, Factor!$C$41:$C$87, -1), 5)</f>
        <v>11.2</v>
      </c>
      <c r="W257" s="41" cm="1">
        <f t="array" ref="W257">L257*VLOOKUP($G257, Factor!$C$4:$N$36, 6, 0)*INDEX(Factor!$C$41:$N$87, _xlfn.XMATCH($C257, Factor!$C$41:$C$87, -1), 6)</f>
        <v>28</v>
      </c>
      <c r="X257" s="41" cm="1">
        <f t="array" ref="X257">M257*VLOOKUP($G257, Factor!$C$4:$N$36, 7, 0)*INDEX(Factor!$C$41:$N$87, _xlfn.XMATCH($C257, Factor!$C$41:$C$87, -1), 7)</f>
        <v>28000</v>
      </c>
      <c r="Y257" s="41" cm="1">
        <f t="array" ref="Y257">N257*VLOOKUP($G257, Factor!$C$4:$N$36, 8, 0)*INDEX(Factor!$C$41:$N$87, _xlfn.XMATCH($C257, Factor!$C$41:$C$87, -1), 8)</f>
        <v>2800</v>
      </c>
      <c r="Z257" s="41" cm="1">
        <f t="array" ref="Z257">O257*VLOOKUP($G257, Factor!$C$4:$N$36, 9, 0)*INDEX(Factor!$C$41:$N$87, _xlfn.XMATCH($C257, Factor!$C$41:$C$87, -1), 9)</f>
        <v>84</v>
      </c>
      <c r="AA257" s="41" cm="1">
        <f t="array" ref="AA257">P257*VLOOKUP($G257, Factor!$C$4:$N$36, 10, 0)*INDEX(Factor!$C$41:$N$87, _xlfn.XMATCH($C257, Factor!$C$41:$C$87, -1), 10)</f>
        <v>2800</v>
      </c>
      <c r="AB257" s="41" cm="1">
        <f t="array" ref="AB257">Q257*VLOOKUP($G257, Factor!$C$4:$N$36, 11, 0)*INDEX(Factor!$C$41:$N$87, _xlfn.XMATCH($C257, Factor!$C$41:$C$87, -1), 11)</f>
        <v>30</v>
      </c>
      <c r="AC257" s="41" cm="1">
        <f t="array" ref="AC257">R257*VLOOKUP($G257, Factor!$C$4:$N$36, 12, 0)*INDEX(Factor!$C$41:$N$87, _xlfn.XMATCH($C257, Factor!$C$41:$C$87, -1), 12)</f>
        <v>10</v>
      </c>
      <c r="AD257" s="41"/>
    </row>
    <row r="258" spans="1:30" ht="15.75" customHeight="1" x14ac:dyDescent="0.2">
      <c r="A258" s="18" t="str">
        <f>"locomotive_"&amp; VLOOKUP(F258, Factor!$BK$4:$BL$6, 2, 0) &amp;"_"&amp;Locomotive!D258&amp;"_"&amp;VLOOKUP(E258, Factor!$BM$4:$BN$36, 2, 0)</f>
        <v>locomotive_El_T10_004</v>
      </c>
      <c r="B258" s="18" t="str">
        <f t="shared" si="8"/>
        <v>T10 화물 전기기관차</v>
      </c>
      <c r="C258" s="18">
        <f>VLOOKUP(D258, Factor!$B$41:$C$50, 2, 0)</f>
        <v>100000</v>
      </c>
      <c r="D258" s="18" t="s">
        <v>328</v>
      </c>
      <c r="E258" s="18" t="s">
        <v>507</v>
      </c>
      <c r="F258" s="18" t="s">
        <v>502</v>
      </c>
      <c r="G258" s="18" t="str">
        <f t="shared" si="9"/>
        <v>화물 전기</v>
      </c>
      <c r="H258" s="18">
        <v>1</v>
      </c>
      <c r="I258" s="18">
        <v>1</v>
      </c>
      <c r="J258" s="18">
        <v>1</v>
      </c>
      <c r="K258" s="18">
        <v>1</v>
      </c>
      <c r="L258" s="18">
        <v>1</v>
      </c>
      <c r="M258" s="18">
        <v>1</v>
      </c>
      <c r="N258" s="18">
        <v>1</v>
      </c>
      <c r="O258" s="18">
        <v>1</v>
      </c>
      <c r="P258" s="18">
        <v>1</v>
      </c>
      <c r="Q258" s="18">
        <v>1</v>
      </c>
      <c r="R258" s="18">
        <v>1</v>
      </c>
      <c r="S258" s="18" cm="1">
        <f t="array" ref="S258">H258*VLOOKUP($G258, Factor!$C$4:$N$36, 2, 0)*INDEX(Factor!$C$41:$N$87, _xlfn.XMATCH($C258, Factor!$C$41:$C$87, -1), 2)</f>
        <v>503.99999999999994</v>
      </c>
      <c r="T258" s="18" cm="1">
        <f t="array" ref="T258">I258*VLOOKUP($G258, Factor!$C$4:$N$36, 3, 0)*INDEX(Factor!$C$41:$N$87, _xlfn.XMATCH($C258, Factor!$C$41:$C$87, -1), 3)</f>
        <v>2240</v>
      </c>
      <c r="U258" s="18" cm="1">
        <f t="array" ref="U258">J258*VLOOKUP($G258, Factor!$C$4:$N$36, 4, 0)*INDEX(Factor!$C$41:$N$87, _xlfn.XMATCH($C258, Factor!$C$41:$C$87, -1), 4)</f>
        <v>11</v>
      </c>
      <c r="V258" s="18" cm="1">
        <f t="array" ref="V258">K258*VLOOKUP($G258, Factor!$C$4:$N$36, 5, 0)*INDEX(Factor!$C$41:$N$87, _xlfn.XMATCH($C258, Factor!$C$41:$C$87, -1), 5)</f>
        <v>22.4</v>
      </c>
      <c r="W258" s="18" cm="1">
        <f t="array" ref="W258">L258*VLOOKUP($G258, Factor!$C$4:$N$36, 6, 0)*INDEX(Factor!$C$41:$N$87, _xlfn.XMATCH($C258, Factor!$C$41:$C$87, -1), 6)</f>
        <v>28</v>
      </c>
      <c r="X258" s="18" cm="1">
        <f t="array" ref="X258">M258*VLOOKUP($G258, Factor!$C$4:$N$36, 7, 0)*INDEX(Factor!$C$41:$N$87, _xlfn.XMATCH($C258, Factor!$C$41:$C$87, -1), 7)</f>
        <v>19600</v>
      </c>
      <c r="Y258" s="18" cm="1">
        <f t="array" ref="Y258">N258*VLOOKUP($G258, Factor!$C$4:$N$36, 8, 0)*INDEX(Factor!$C$41:$N$87, _xlfn.XMATCH($C258, Factor!$C$41:$C$87, -1), 8)</f>
        <v>1959.9999999999998</v>
      </c>
      <c r="Z258" s="18" cm="1">
        <f t="array" ref="Z258">O258*VLOOKUP($G258, Factor!$C$4:$N$36, 9, 0)*INDEX(Factor!$C$41:$N$87, _xlfn.XMATCH($C258, Factor!$C$41:$C$87, -1), 9)</f>
        <v>14</v>
      </c>
      <c r="AA258" s="18" cm="1">
        <f t="array" ref="AA258">P258*VLOOKUP($G258, Factor!$C$4:$N$36, 10, 0)*INDEX(Factor!$C$41:$N$87, _xlfn.XMATCH($C258, Factor!$C$41:$C$87, -1), 10)</f>
        <v>1959.9999999999998</v>
      </c>
      <c r="AB258" s="18" cm="1">
        <f t="array" ref="AB258">Q258*VLOOKUP($G258, Factor!$C$4:$N$36, 11, 0)*INDEX(Factor!$C$41:$N$87, _xlfn.XMATCH($C258, Factor!$C$41:$C$87, -1), 11)</f>
        <v>30</v>
      </c>
      <c r="AC258" s="18" cm="1">
        <f t="array" ref="AC258">R258*VLOOKUP($G258, Factor!$C$4:$N$36, 12, 0)*INDEX(Factor!$C$41:$N$87, _xlfn.XMATCH($C258, Factor!$C$41:$C$87, -1), 12)</f>
        <v>10</v>
      </c>
      <c r="AD258" s="18"/>
    </row>
    <row r="259" spans="1:30" ht="15.75" customHeight="1" x14ac:dyDescent="0.2">
      <c r="A259" s="15" t="str">
        <f>"locomotive_"&amp; VLOOKUP(F259, Factor!$BK$4:$BL$6, 2, 0) &amp;"_"&amp;Locomotive!D259&amp;"_"&amp;VLOOKUP(E259, Factor!$BM$4:$BN$36, 2, 0)</f>
        <v>locomotive_Dz_T10_004</v>
      </c>
      <c r="B259" s="15" t="str">
        <f t="shared" si="8"/>
        <v>T10 화물 디젤기관차</v>
      </c>
      <c r="C259" s="15">
        <f>VLOOKUP(D259, Factor!$B$41:$C$50, 2, 0)</f>
        <v>100000</v>
      </c>
      <c r="D259" s="15" t="s">
        <v>328</v>
      </c>
      <c r="E259" s="41" t="s">
        <v>507</v>
      </c>
      <c r="F259" s="41" t="s">
        <v>503</v>
      </c>
      <c r="G259" s="41" t="str">
        <f t="shared" si="9"/>
        <v>화물 디젤</v>
      </c>
      <c r="H259" s="41">
        <v>1</v>
      </c>
      <c r="I259" s="41">
        <v>1</v>
      </c>
      <c r="J259" s="41">
        <v>1</v>
      </c>
      <c r="K259" s="41">
        <v>1</v>
      </c>
      <c r="L259" s="41">
        <v>1</v>
      </c>
      <c r="M259" s="41">
        <v>1</v>
      </c>
      <c r="N259" s="41">
        <v>1</v>
      </c>
      <c r="O259" s="41">
        <v>1</v>
      </c>
      <c r="P259" s="41">
        <v>1</v>
      </c>
      <c r="Q259" s="41">
        <v>1</v>
      </c>
      <c r="R259" s="41">
        <v>1</v>
      </c>
      <c r="S259" s="41" cm="1">
        <f t="array" ref="S259">H259*VLOOKUP($G259, Factor!$C$4:$N$36, 2, 0)*INDEX(Factor!$C$41:$N$87, _xlfn.XMATCH($C259, Factor!$C$41:$C$87, -1), 2)</f>
        <v>336</v>
      </c>
      <c r="T259" s="41" cm="1">
        <f t="array" ref="T259">I259*VLOOKUP($G259, Factor!$C$4:$N$36, 3, 0)*INDEX(Factor!$C$41:$N$87, _xlfn.XMATCH($C259, Factor!$C$41:$C$87, -1), 3)</f>
        <v>3360</v>
      </c>
      <c r="U259" s="41" cm="1">
        <f t="array" ref="U259">J259*VLOOKUP($G259, Factor!$C$4:$N$36, 4, 0)*INDEX(Factor!$C$41:$N$87, _xlfn.XMATCH($C259, Factor!$C$41:$C$87, -1), 4)</f>
        <v>11</v>
      </c>
      <c r="V259" s="41" cm="1">
        <f t="array" ref="V259">K259*VLOOKUP($G259, Factor!$C$4:$N$36, 5, 0)*INDEX(Factor!$C$41:$N$87, _xlfn.XMATCH($C259, Factor!$C$41:$C$87, -1), 5)</f>
        <v>16.799999999999997</v>
      </c>
      <c r="W259" s="41" cm="1">
        <f t="array" ref="W259">L259*VLOOKUP($G259, Factor!$C$4:$N$36, 6, 0)*INDEX(Factor!$C$41:$N$87, _xlfn.XMATCH($C259, Factor!$C$41:$C$87, -1), 6)</f>
        <v>28</v>
      </c>
      <c r="X259" s="41" cm="1">
        <f t="array" ref="X259">M259*VLOOKUP($G259, Factor!$C$4:$N$36, 7, 0)*INDEX(Factor!$C$41:$N$87, _xlfn.XMATCH($C259, Factor!$C$41:$C$87, -1), 7)</f>
        <v>42000</v>
      </c>
      <c r="Y259" s="41" cm="1">
        <f t="array" ref="Y259">N259*VLOOKUP($G259, Factor!$C$4:$N$36, 8, 0)*INDEX(Factor!$C$41:$N$87, _xlfn.XMATCH($C259, Factor!$C$41:$C$87, -1), 8)</f>
        <v>2240</v>
      </c>
      <c r="Z259" s="41" cm="1">
        <f t="array" ref="Z259">O259*VLOOKUP($G259, Factor!$C$4:$N$36, 9, 0)*INDEX(Factor!$C$41:$N$87, _xlfn.XMATCH($C259, Factor!$C$41:$C$87, -1), 9)</f>
        <v>28</v>
      </c>
      <c r="AA259" s="41" cm="1">
        <f t="array" ref="AA259">P259*VLOOKUP($G259, Factor!$C$4:$N$36, 10, 0)*INDEX(Factor!$C$41:$N$87, _xlfn.XMATCH($C259, Factor!$C$41:$C$87, -1), 10)</f>
        <v>2240</v>
      </c>
      <c r="AB259" s="41" cm="1">
        <f t="array" ref="AB259">Q259*VLOOKUP($G259, Factor!$C$4:$N$36, 11, 0)*INDEX(Factor!$C$41:$N$87, _xlfn.XMATCH($C259, Factor!$C$41:$C$87, -1), 11)</f>
        <v>30</v>
      </c>
      <c r="AC259" s="41" cm="1">
        <f t="array" ref="AC259">R259*VLOOKUP($G259, Factor!$C$4:$N$36, 12, 0)*INDEX(Factor!$C$41:$N$87, _xlfn.XMATCH($C259, Factor!$C$41:$C$87, -1), 12)</f>
        <v>10</v>
      </c>
      <c r="AD259" s="41"/>
    </row>
    <row r="260" spans="1:30" ht="15.75" customHeight="1" x14ac:dyDescent="0.2">
      <c r="A260" s="18" t="str">
        <f>"locomotive_"&amp; VLOOKUP(F260, Factor!$BK$4:$BL$6, 2, 0) &amp;"_"&amp;Locomotive!D260&amp;"_"&amp;VLOOKUP(E260, Factor!$BM$4:$BN$36, 2, 0)</f>
        <v>locomotive_St_T10_005</v>
      </c>
      <c r="B260" s="18" t="str">
        <f t="shared" si="8"/>
        <v>T10 군용 증기기관차</v>
      </c>
      <c r="C260" s="18">
        <f>VLOOKUP(D260, Factor!$B$41:$C$50, 2, 0)</f>
        <v>100000</v>
      </c>
      <c r="D260" s="18" t="s">
        <v>328</v>
      </c>
      <c r="E260" s="18" t="s">
        <v>508</v>
      </c>
      <c r="F260" s="18" t="s">
        <v>505</v>
      </c>
      <c r="G260" s="18" t="str">
        <f t="shared" si="9"/>
        <v>군용 증기</v>
      </c>
      <c r="H260" s="18">
        <v>1</v>
      </c>
      <c r="I260" s="18">
        <v>1</v>
      </c>
      <c r="J260" s="18">
        <v>1</v>
      </c>
      <c r="K260" s="18">
        <v>1</v>
      </c>
      <c r="L260" s="18">
        <v>1</v>
      </c>
      <c r="M260" s="18">
        <v>1</v>
      </c>
      <c r="N260" s="18">
        <v>1</v>
      </c>
      <c r="O260" s="18">
        <v>1</v>
      </c>
      <c r="P260" s="18">
        <v>1</v>
      </c>
      <c r="Q260" s="18">
        <v>1</v>
      </c>
      <c r="R260" s="18">
        <v>1</v>
      </c>
      <c r="S260" s="18" cm="1">
        <f t="array" ref="S260">H260*VLOOKUP($G260, Factor!$C$4:$N$36, 2, 0)*INDEX(Factor!$C$41:$N$87, _xlfn.XMATCH($C260, Factor!$C$41:$C$87, -1), 2)</f>
        <v>251.99999999999997</v>
      </c>
      <c r="T260" s="18" cm="1">
        <f t="array" ref="T260">I260*VLOOKUP($G260, Factor!$C$4:$N$36, 3, 0)*INDEX(Factor!$C$41:$N$87, _xlfn.XMATCH($C260, Factor!$C$41:$C$87, -1), 3)</f>
        <v>4480</v>
      </c>
      <c r="U260" s="18" cm="1">
        <f t="array" ref="U260">J260*VLOOKUP($G260, Factor!$C$4:$N$36, 4, 0)*INDEX(Factor!$C$41:$N$87, _xlfn.XMATCH($C260, Factor!$C$41:$C$87, -1), 4)</f>
        <v>11</v>
      </c>
      <c r="V260" s="18" cm="1">
        <f t="array" ref="V260">K260*VLOOKUP($G260, Factor!$C$4:$N$36, 5, 0)*INDEX(Factor!$C$41:$N$87, _xlfn.XMATCH($C260, Factor!$C$41:$C$87, -1), 5)</f>
        <v>5.6</v>
      </c>
      <c r="W260" s="18" cm="1">
        <f t="array" ref="W260">L260*VLOOKUP($G260, Factor!$C$4:$N$36, 6, 0)*INDEX(Factor!$C$41:$N$87, _xlfn.XMATCH($C260, Factor!$C$41:$C$87, -1), 6)</f>
        <v>50.4</v>
      </c>
      <c r="X260" s="18" cm="1">
        <f t="array" ref="X260">M260*VLOOKUP($G260, Factor!$C$4:$N$36, 7, 0)*INDEX(Factor!$C$41:$N$87, _xlfn.XMATCH($C260, Factor!$C$41:$C$87, -1), 7)</f>
        <v>28000</v>
      </c>
      <c r="Y260" s="18" cm="1">
        <f t="array" ref="Y260">N260*VLOOKUP($G260, Factor!$C$4:$N$36, 8, 0)*INDEX(Factor!$C$41:$N$87, _xlfn.XMATCH($C260, Factor!$C$41:$C$87, -1), 8)</f>
        <v>2800</v>
      </c>
      <c r="Z260" s="18" cm="1">
        <f t="array" ref="Z260">O260*VLOOKUP($G260, Factor!$C$4:$N$36, 9, 0)*INDEX(Factor!$C$41:$N$87, _xlfn.XMATCH($C260, Factor!$C$41:$C$87, -1), 9)</f>
        <v>84</v>
      </c>
      <c r="AA260" s="18" cm="1">
        <f t="array" ref="AA260">P260*VLOOKUP($G260, Factor!$C$4:$N$36, 10, 0)*INDEX(Factor!$C$41:$N$87, _xlfn.XMATCH($C260, Factor!$C$41:$C$87, -1), 10)</f>
        <v>2800</v>
      </c>
      <c r="AB260" s="18" cm="1">
        <f t="array" ref="AB260">Q260*VLOOKUP($G260, Factor!$C$4:$N$36, 11, 0)*INDEX(Factor!$C$41:$N$87, _xlfn.XMATCH($C260, Factor!$C$41:$C$87, -1), 11)</f>
        <v>10</v>
      </c>
      <c r="AC260" s="18" cm="1">
        <f t="array" ref="AC260">R260*VLOOKUP($G260, Factor!$C$4:$N$36, 12, 0)*INDEX(Factor!$C$41:$N$87, _xlfn.XMATCH($C260, Factor!$C$41:$C$87, -1), 12)</f>
        <v>10</v>
      </c>
      <c r="AD260" s="18"/>
    </row>
    <row r="261" spans="1:30" ht="15.75" customHeight="1" x14ac:dyDescent="0.2">
      <c r="A261" s="15" t="str">
        <f>"locomotive_"&amp; VLOOKUP(F261, Factor!$BK$4:$BL$6, 2, 0) &amp;"_"&amp;Locomotive!D261&amp;"_"&amp;VLOOKUP(E261, Factor!$BM$4:$BN$36, 2, 0)</f>
        <v>locomotive_El_T10_005</v>
      </c>
      <c r="B261" s="15" t="str">
        <f t="shared" si="8"/>
        <v>T10 군용 전기기관차</v>
      </c>
      <c r="C261" s="15">
        <f>VLOOKUP(D261, Factor!$B$41:$C$50, 2, 0)</f>
        <v>100000</v>
      </c>
      <c r="D261" s="15" t="s">
        <v>328</v>
      </c>
      <c r="E261" s="41" t="s">
        <v>508</v>
      </c>
      <c r="F261" s="41" t="s">
        <v>502</v>
      </c>
      <c r="G261" s="41" t="str">
        <f t="shared" si="9"/>
        <v>군용 전기</v>
      </c>
      <c r="H261" s="41">
        <v>1</v>
      </c>
      <c r="I261" s="41">
        <v>1</v>
      </c>
      <c r="J261" s="41">
        <v>1</v>
      </c>
      <c r="K261" s="41">
        <v>1</v>
      </c>
      <c r="L261" s="41">
        <v>1</v>
      </c>
      <c r="M261" s="41">
        <v>1</v>
      </c>
      <c r="N261" s="41">
        <v>1</v>
      </c>
      <c r="O261" s="41">
        <v>1</v>
      </c>
      <c r="P261" s="41">
        <v>1</v>
      </c>
      <c r="Q261" s="41">
        <v>1</v>
      </c>
      <c r="R261" s="41">
        <v>1</v>
      </c>
      <c r="S261" s="41" cm="1">
        <f t="array" ref="S261">H261*VLOOKUP($G261, Factor!$C$4:$N$36, 2, 0)*INDEX(Factor!$C$41:$N$87, _xlfn.XMATCH($C261, Factor!$C$41:$C$87, -1), 2)</f>
        <v>475.99999999999994</v>
      </c>
      <c r="T261" s="41" cm="1">
        <f t="array" ref="T261">I261*VLOOKUP($G261, Factor!$C$4:$N$36, 3, 0)*INDEX(Factor!$C$41:$N$87, _xlfn.XMATCH($C261, Factor!$C$41:$C$87, -1), 3)</f>
        <v>2800</v>
      </c>
      <c r="U261" s="41" cm="1">
        <f t="array" ref="U261">J261*VLOOKUP($G261, Factor!$C$4:$N$36, 4, 0)*INDEX(Factor!$C$41:$N$87, _xlfn.XMATCH($C261, Factor!$C$41:$C$87, -1), 4)</f>
        <v>11</v>
      </c>
      <c r="V261" s="41" cm="1">
        <f t="array" ref="V261">K261*VLOOKUP($G261, Factor!$C$4:$N$36, 5, 0)*INDEX(Factor!$C$41:$N$87, _xlfn.XMATCH($C261, Factor!$C$41:$C$87, -1), 5)</f>
        <v>14</v>
      </c>
      <c r="W261" s="41" cm="1">
        <f t="array" ref="W261">L261*VLOOKUP($G261, Factor!$C$4:$N$36, 6, 0)*INDEX(Factor!$C$41:$N$87, _xlfn.XMATCH($C261, Factor!$C$41:$C$87, -1), 6)</f>
        <v>50.4</v>
      </c>
      <c r="X261" s="41" cm="1">
        <f t="array" ref="X261">M261*VLOOKUP($G261, Factor!$C$4:$N$36, 7, 0)*INDEX(Factor!$C$41:$N$87, _xlfn.XMATCH($C261, Factor!$C$41:$C$87, -1), 7)</f>
        <v>19600</v>
      </c>
      <c r="Y261" s="41" cm="1">
        <f t="array" ref="Y261">N261*VLOOKUP($G261, Factor!$C$4:$N$36, 8, 0)*INDEX(Factor!$C$41:$N$87, _xlfn.XMATCH($C261, Factor!$C$41:$C$87, -1), 8)</f>
        <v>1959.9999999999998</v>
      </c>
      <c r="Z261" s="41" cm="1">
        <f t="array" ref="Z261">O261*VLOOKUP($G261, Factor!$C$4:$N$36, 9, 0)*INDEX(Factor!$C$41:$N$87, _xlfn.XMATCH($C261, Factor!$C$41:$C$87, -1), 9)</f>
        <v>14</v>
      </c>
      <c r="AA261" s="41" cm="1">
        <f t="array" ref="AA261">P261*VLOOKUP($G261, Factor!$C$4:$N$36, 10, 0)*INDEX(Factor!$C$41:$N$87, _xlfn.XMATCH($C261, Factor!$C$41:$C$87, -1), 10)</f>
        <v>1959.9999999999998</v>
      </c>
      <c r="AB261" s="41" cm="1">
        <f t="array" ref="AB261">Q261*VLOOKUP($G261, Factor!$C$4:$N$36, 11, 0)*INDEX(Factor!$C$41:$N$87, _xlfn.XMATCH($C261, Factor!$C$41:$C$87, -1), 11)</f>
        <v>10</v>
      </c>
      <c r="AC261" s="41" cm="1">
        <f t="array" ref="AC261">R261*VLOOKUP($G261, Factor!$C$4:$N$36, 12, 0)*INDEX(Factor!$C$41:$N$87, _xlfn.XMATCH($C261, Factor!$C$41:$C$87, -1), 12)</f>
        <v>10</v>
      </c>
      <c r="AD261" s="41"/>
    </row>
    <row r="262" spans="1:30" ht="15.75" customHeight="1" x14ac:dyDescent="0.2">
      <c r="A262" s="18" t="str">
        <f>"locomotive_"&amp; VLOOKUP(F262, Factor!$BK$4:$BL$6, 2, 0) &amp;"_"&amp;Locomotive!D262&amp;"_"&amp;VLOOKUP(E262, Factor!$BM$4:$BN$36, 2, 0)</f>
        <v>locomotive_Dz_T10_005</v>
      </c>
      <c r="B262" s="18" t="str">
        <f t="shared" si="8"/>
        <v>T10 군용 디젤기관차</v>
      </c>
      <c r="C262" s="18">
        <f>VLOOKUP(D262, Factor!$B$41:$C$50, 2, 0)</f>
        <v>100000</v>
      </c>
      <c r="D262" s="18" t="s">
        <v>328</v>
      </c>
      <c r="E262" s="18" t="s">
        <v>508</v>
      </c>
      <c r="F262" s="18" t="s">
        <v>503</v>
      </c>
      <c r="G262" s="18" t="str">
        <f t="shared" si="9"/>
        <v>군용 디젤</v>
      </c>
      <c r="H262" s="18">
        <v>1</v>
      </c>
      <c r="I262" s="18">
        <v>1</v>
      </c>
      <c r="J262" s="18">
        <v>1</v>
      </c>
      <c r="K262" s="18">
        <v>1</v>
      </c>
      <c r="L262" s="18">
        <v>1</v>
      </c>
      <c r="M262" s="18">
        <v>1</v>
      </c>
      <c r="N262" s="18">
        <v>1</v>
      </c>
      <c r="O262" s="18">
        <v>1</v>
      </c>
      <c r="P262" s="18">
        <v>1</v>
      </c>
      <c r="Q262" s="18">
        <v>1</v>
      </c>
      <c r="R262" s="18">
        <v>1</v>
      </c>
      <c r="S262" s="18" cm="1">
        <f t="array" ref="S262">H262*VLOOKUP($G262, Factor!$C$4:$N$36, 2, 0)*INDEX(Factor!$C$41:$N$87, _xlfn.XMATCH($C262, Factor!$C$41:$C$87, -1), 2)</f>
        <v>308</v>
      </c>
      <c r="T262" s="18" cm="1">
        <f t="array" ref="T262">I262*VLOOKUP($G262, Factor!$C$4:$N$36, 3, 0)*INDEX(Factor!$C$41:$N$87, _xlfn.XMATCH($C262, Factor!$C$41:$C$87, -1), 3)</f>
        <v>4480</v>
      </c>
      <c r="U262" s="18" cm="1">
        <f t="array" ref="U262">J262*VLOOKUP($G262, Factor!$C$4:$N$36, 4, 0)*INDEX(Factor!$C$41:$N$87, _xlfn.XMATCH($C262, Factor!$C$41:$C$87, -1), 4)</f>
        <v>11</v>
      </c>
      <c r="V262" s="18" cm="1">
        <f t="array" ref="V262">K262*VLOOKUP($G262, Factor!$C$4:$N$36, 5, 0)*INDEX(Factor!$C$41:$N$87, _xlfn.XMATCH($C262, Factor!$C$41:$C$87, -1), 5)</f>
        <v>8.3999999999999986</v>
      </c>
      <c r="W262" s="18" cm="1">
        <f t="array" ref="W262">L262*VLOOKUP($G262, Factor!$C$4:$N$36, 6, 0)*INDEX(Factor!$C$41:$N$87, _xlfn.XMATCH($C262, Factor!$C$41:$C$87, -1), 6)</f>
        <v>50.4</v>
      </c>
      <c r="X262" s="18" cm="1">
        <f t="array" ref="X262">M262*VLOOKUP($G262, Factor!$C$4:$N$36, 7, 0)*INDEX(Factor!$C$41:$N$87, _xlfn.XMATCH($C262, Factor!$C$41:$C$87, -1), 7)</f>
        <v>42000</v>
      </c>
      <c r="Y262" s="18" cm="1">
        <f t="array" ref="Y262">N262*VLOOKUP($G262, Factor!$C$4:$N$36, 8, 0)*INDEX(Factor!$C$41:$N$87, _xlfn.XMATCH($C262, Factor!$C$41:$C$87, -1), 8)</f>
        <v>2240</v>
      </c>
      <c r="Z262" s="18" cm="1">
        <f t="array" ref="Z262">O262*VLOOKUP($G262, Factor!$C$4:$N$36, 9, 0)*INDEX(Factor!$C$41:$N$87, _xlfn.XMATCH($C262, Factor!$C$41:$C$87, -1), 9)</f>
        <v>28</v>
      </c>
      <c r="AA262" s="18" cm="1">
        <f t="array" ref="AA262">P262*VLOOKUP($G262, Factor!$C$4:$N$36, 10, 0)*INDEX(Factor!$C$41:$N$87, _xlfn.XMATCH($C262, Factor!$C$41:$C$87, -1), 10)</f>
        <v>2240</v>
      </c>
      <c r="AB262" s="18" cm="1">
        <f t="array" ref="AB262">Q262*VLOOKUP($G262, Factor!$C$4:$N$36, 11, 0)*INDEX(Factor!$C$41:$N$87, _xlfn.XMATCH($C262, Factor!$C$41:$C$87, -1), 11)</f>
        <v>10</v>
      </c>
      <c r="AC262" s="18" cm="1">
        <f t="array" ref="AC262">R262*VLOOKUP($G262, Factor!$C$4:$N$36, 12, 0)*INDEX(Factor!$C$41:$N$87, _xlfn.XMATCH($C262, Factor!$C$41:$C$87, -1), 12)</f>
        <v>10</v>
      </c>
      <c r="AD262" s="18"/>
    </row>
    <row r="263" spans="1:30" ht="15.75" customHeight="1" x14ac:dyDescent="0.2">
      <c r="A263" s="15" t="str">
        <f>"locomotive_"&amp; VLOOKUP(F263, Factor!$BK$4:$BL$6, 2, 0) &amp;"_"&amp;Locomotive!D263&amp;"_"&amp;VLOOKUP(E263, Factor!$BM$4:$BN$36, 2, 0)</f>
        <v>locomotive_St_T10_006</v>
      </c>
      <c r="B263" s="15" t="str">
        <f t="shared" si="8"/>
        <v>T10 여객 증기기관차</v>
      </c>
      <c r="C263" s="15">
        <f>VLOOKUP(D263, Factor!$B$41:$C$50, 2, 0)</f>
        <v>100000</v>
      </c>
      <c r="D263" s="15" t="s">
        <v>328</v>
      </c>
      <c r="E263" s="41" t="s">
        <v>509</v>
      </c>
      <c r="F263" s="41" t="s">
        <v>505</v>
      </c>
      <c r="G263" s="41" t="str">
        <f t="shared" si="9"/>
        <v>여객 증기</v>
      </c>
      <c r="H263" s="41">
        <v>1</v>
      </c>
      <c r="I263" s="41">
        <v>1</v>
      </c>
      <c r="J263" s="41">
        <v>1</v>
      </c>
      <c r="K263" s="41">
        <v>1</v>
      </c>
      <c r="L263" s="41">
        <v>1</v>
      </c>
      <c r="M263" s="41">
        <v>1</v>
      </c>
      <c r="N263" s="41">
        <v>1</v>
      </c>
      <c r="O263" s="41">
        <v>1</v>
      </c>
      <c r="P263" s="41">
        <v>1</v>
      </c>
      <c r="Q263" s="41">
        <v>1</v>
      </c>
      <c r="R263" s="41">
        <v>1</v>
      </c>
      <c r="S263" s="41" cm="1">
        <f t="array" ref="S263">H263*VLOOKUP($G263, Factor!$C$4:$N$36, 2, 0)*INDEX(Factor!$C$41:$N$87, _xlfn.XMATCH($C263, Factor!$C$41:$C$87, -1), 2)</f>
        <v>280</v>
      </c>
      <c r="T263" s="41" cm="1">
        <f t="array" ref="T263">I263*VLOOKUP($G263, Factor!$C$4:$N$36, 3, 0)*INDEX(Factor!$C$41:$N$87, _xlfn.XMATCH($C263, Factor!$C$41:$C$87, -1), 3)</f>
        <v>2800</v>
      </c>
      <c r="U263" s="41" cm="1">
        <f t="array" ref="U263">J263*VLOOKUP($G263, Factor!$C$4:$N$36, 4, 0)*INDEX(Factor!$C$41:$N$87, _xlfn.XMATCH($C263, Factor!$C$41:$C$87, -1), 4)</f>
        <v>11</v>
      </c>
      <c r="V263" s="41" cm="1">
        <f t="array" ref="V263">K263*VLOOKUP($G263, Factor!$C$4:$N$36, 5, 0)*INDEX(Factor!$C$41:$N$87, _xlfn.XMATCH($C263, Factor!$C$41:$C$87, -1), 5)</f>
        <v>11.2</v>
      </c>
      <c r="W263" s="41" cm="1">
        <f t="array" ref="W263">L263*VLOOKUP($G263, Factor!$C$4:$N$36, 6, 0)*INDEX(Factor!$C$41:$N$87, _xlfn.XMATCH($C263, Factor!$C$41:$C$87, -1), 6)</f>
        <v>28</v>
      </c>
      <c r="X263" s="41" cm="1">
        <f t="array" ref="X263">M263*VLOOKUP($G263, Factor!$C$4:$N$36, 7, 0)*INDEX(Factor!$C$41:$N$87, _xlfn.XMATCH($C263, Factor!$C$41:$C$87, -1), 7)</f>
        <v>28000</v>
      </c>
      <c r="Y263" s="41" cm="1">
        <f t="array" ref="Y263">N263*VLOOKUP($G263, Factor!$C$4:$N$36, 8, 0)*INDEX(Factor!$C$41:$N$87, _xlfn.XMATCH($C263, Factor!$C$41:$C$87, -1), 8)</f>
        <v>2520</v>
      </c>
      <c r="Z263" s="41" cm="1">
        <f t="array" ref="Z263">O263*VLOOKUP($G263, Factor!$C$4:$N$36, 9, 0)*INDEX(Factor!$C$41:$N$87, _xlfn.XMATCH($C263, Factor!$C$41:$C$87, -1), 9)</f>
        <v>70</v>
      </c>
      <c r="AA263" s="41" cm="1">
        <f t="array" ref="AA263">P263*VLOOKUP($G263, Factor!$C$4:$N$36, 10, 0)*INDEX(Factor!$C$41:$N$87, _xlfn.XMATCH($C263, Factor!$C$41:$C$87, -1), 10)</f>
        <v>2520</v>
      </c>
      <c r="AB263" s="41" cm="1">
        <f t="array" ref="AB263">Q263*VLOOKUP($G263, Factor!$C$4:$N$36, 11, 0)*INDEX(Factor!$C$41:$N$87, _xlfn.XMATCH($C263, Factor!$C$41:$C$87, -1), 11)</f>
        <v>10</v>
      </c>
      <c r="AC263" s="41" cm="1">
        <f t="array" ref="AC263">R263*VLOOKUP($G263, Factor!$C$4:$N$36, 12, 0)*INDEX(Factor!$C$41:$N$87, _xlfn.XMATCH($C263, Factor!$C$41:$C$87, -1), 12)</f>
        <v>30</v>
      </c>
      <c r="AD263" s="41"/>
    </row>
    <row r="264" spans="1:30" ht="15.75" customHeight="1" x14ac:dyDescent="0.2">
      <c r="A264" s="18" t="str">
        <f>"locomotive_"&amp; VLOOKUP(F264, Factor!$BK$4:$BL$6, 2, 0) &amp;"_"&amp;Locomotive!D264&amp;"_"&amp;VLOOKUP(E264, Factor!$BM$4:$BN$36, 2, 0)</f>
        <v>locomotive_El_T10_006</v>
      </c>
      <c r="B264" s="18" t="str">
        <f t="shared" si="8"/>
        <v>T10 여객 전기기관차</v>
      </c>
      <c r="C264" s="18">
        <f>VLOOKUP(D264, Factor!$B$41:$C$50, 2, 0)</f>
        <v>100000</v>
      </c>
      <c r="D264" s="18" t="s">
        <v>328</v>
      </c>
      <c r="E264" s="18" t="s">
        <v>509</v>
      </c>
      <c r="F264" s="18" t="s">
        <v>502</v>
      </c>
      <c r="G264" s="18" t="str">
        <f t="shared" si="9"/>
        <v>여객 전기</v>
      </c>
      <c r="H264" s="18">
        <v>1</v>
      </c>
      <c r="I264" s="18">
        <v>1</v>
      </c>
      <c r="J264" s="18">
        <v>1</v>
      </c>
      <c r="K264" s="18">
        <v>1</v>
      </c>
      <c r="L264" s="18">
        <v>1</v>
      </c>
      <c r="M264" s="18">
        <v>1</v>
      </c>
      <c r="N264" s="18">
        <v>1</v>
      </c>
      <c r="O264" s="18">
        <v>1</v>
      </c>
      <c r="P264" s="18">
        <v>1</v>
      </c>
      <c r="Q264" s="18">
        <v>1</v>
      </c>
      <c r="R264" s="18">
        <v>1</v>
      </c>
      <c r="S264" s="18" cm="1">
        <f t="array" ref="S264">H264*VLOOKUP($G264, Factor!$C$4:$N$36, 2, 0)*INDEX(Factor!$C$41:$N$87, _xlfn.XMATCH($C264, Factor!$C$41:$C$87, -1), 2)</f>
        <v>560</v>
      </c>
      <c r="T264" s="18" cm="1">
        <f t="array" ref="T264">I264*VLOOKUP($G264, Factor!$C$4:$N$36, 3, 0)*INDEX(Factor!$C$41:$N$87, _xlfn.XMATCH($C264, Factor!$C$41:$C$87, -1), 3)</f>
        <v>2240</v>
      </c>
      <c r="U264" s="18" cm="1">
        <f t="array" ref="U264">J264*VLOOKUP($G264, Factor!$C$4:$N$36, 4, 0)*INDEX(Factor!$C$41:$N$87, _xlfn.XMATCH($C264, Factor!$C$41:$C$87, -1), 4)</f>
        <v>11</v>
      </c>
      <c r="V264" s="18" cm="1">
        <f t="array" ref="V264">K264*VLOOKUP($G264, Factor!$C$4:$N$36, 5, 0)*INDEX(Factor!$C$41:$N$87, _xlfn.XMATCH($C264, Factor!$C$41:$C$87, -1), 5)</f>
        <v>22.4</v>
      </c>
      <c r="W264" s="18" cm="1">
        <f t="array" ref="W264">L264*VLOOKUP($G264, Factor!$C$4:$N$36, 6, 0)*INDEX(Factor!$C$41:$N$87, _xlfn.XMATCH($C264, Factor!$C$41:$C$87, -1), 6)</f>
        <v>28</v>
      </c>
      <c r="X264" s="18" cm="1">
        <f t="array" ref="X264">M264*VLOOKUP($G264, Factor!$C$4:$N$36, 7, 0)*INDEX(Factor!$C$41:$N$87, _xlfn.XMATCH($C264, Factor!$C$41:$C$87, -1), 7)</f>
        <v>19600</v>
      </c>
      <c r="Y264" s="18" cm="1">
        <f t="array" ref="Y264">N264*VLOOKUP($G264, Factor!$C$4:$N$36, 8, 0)*INDEX(Factor!$C$41:$N$87, _xlfn.XMATCH($C264, Factor!$C$41:$C$87, -1), 8)</f>
        <v>1680</v>
      </c>
      <c r="Z264" s="18" cm="1">
        <f t="array" ref="Z264">O264*VLOOKUP($G264, Factor!$C$4:$N$36, 9, 0)*INDEX(Factor!$C$41:$N$87, _xlfn.XMATCH($C264, Factor!$C$41:$C$87, -1), 9)</f>
        <v>11.2</v>
      </c>
      <c r="AA264" s="18" cm="1">
        <f t="array" ref="AA264">P264*VLOOKUP($G264, Factor!$C$4:$N$36, 10, 0)*INDEX(Factor!$C$41:$N$87, _xlfn.XMATCH($C264, Factor!$C$41:$C$87, -1), 10)</f>
        <v>1680</v>
      </c>
      <c r="AB264" s="18" cm="1">
        <f t="array" ref="AB264">Q264*VLOOKUP($G264, Factor!$C$4:$N$36, 11, 0)*INDEX(Factor!$C$41:$N$87, _xlfn.XMATCH($C264, Factor!$C$41:$C$87, -1), 11)</f>
        <v>10</v>
      </c>
      <c r="AC264" s="18" cm="1">
        <f t="array" ref="AC264">R264*VLOOKUP($G264, Factor!$C$4:$N$36, 12, 0)*INDEX(Factor!$C$41:$N$87, _xlfn.XMATCH($C264, Factor!$C$41:$C$87, -1), 12)</f>
        <v>30</v>
      </c>
      <c r="AD264" s="18"/>
    </row>
    <row r="265" spans="1:30" ht="15.75" customHeight="1" x14ac:dyDescent="0.2">
      <c r="A265" s="15" t="str">
        <f>"locomotive_"&amp; VLOOKUP(F265, Factor!$BK$4:$BL$6, 2, 0) &amp;"_"&amp;Locomotive!D265&amp;"_"&amp;VLOOKUP(E265, Factor!$BM$4:$BN$36, 2, 0)</f>
        <v>locomotive_Dz_T10_006</v>
      </c>
      <c r="B265" s="15" t="str">
        <f t="shared" si="8"/>
        <v>T10 여객 디젤기관차</v>
      </c>
      <c r="C265" s="15">
        <f>VLOOKUP(D265, Factor!$B$41:$C$50, 2, 0)</f>
        <v>100000</v>
      </c>
      <c r="D265" s="15" t="s">
        <v>328</v>
      </c>
      <c r="E265" s="41" t="s">
        <v>509</v>
      </c>
      <c r="F265" s="41" t="s">
        <v>503</v>
      </c>
      <c r="G265" s="41" t="str">
        <f t="shared" si="9"/>
        <v>여객 디젤</v>
      </c>
      <c r="H265" s="41">
        <v>1</v>
      </c>
      <c r="I265" s="41">
        <v>1</v>
      </c>
      <c r="J265" s="41">
        <v>1</v>
      </c>
      <c r="K265" s="41">
        <v>1</v>
      </c>
      <c r="L265" s="41">
        <v>1</v>
      </c>
      <c r="M265" s="41">
        <v>1</v>
      </c>
      <c r="N265" s="41">
        <v>1</v>
      </c>
      <c r="O265" s="41">
        <v>1</v>
      </c>
      <c r="P265" s="41">
        <v>1</v>
      </c>
      <c r="Q265" s="41">
        <v>1</v>
      </c>
      <c r="R265" s="41">
        <v>1</v>
      </c>
      <c r="S265" s="41" cm="1">
        <f t="array" ref="S265">H265*VLOOKUP($G265, Factor!$C$4:$N$36, 2, 0)*INDEX(Factor!$C$41:$N$87, _xlfn.XMATCH($C265, Factor!$C$41:$C$87, -1), 2)</f>
        <v>420</v>
      </c>
      <c r="T265" s="41" cm="1">
        <f t="array" ref="T265">I265*VLOOKUP($G265, Factor!$C$4:$N$36, 3, 0)*INDEX(Factor!$C$41:$N$87, _xlfn.XMATCH($C265, Factor!$C$41:$C$87, -1), 3)</f>
        <v>3360</v>
      </c>
      <c r="U265" s="41" cm="1">
        <f t="array" ref="U265">J265*VLOOKUP($G265, Factor!$C$4:$N$36, 4, 0)*INDEX(Factor!$C$41:$N$87, _xlfn.XMATCH($C265, Factor!$C$41:$C$87, -1), 4)</f>
        <v>11</v>
      </c>
      <c r="V265" s="41" cm="1">
        <f t="array" ref="V265">K265*VLOOKUP($G265, Factor!$C$4:$N$36, 5, 0)*INDEX(Factor!$C$41:$N$87, _xlfn.XMATCH($C265, Factor!$C$41:$C$87, -1), 5)</f>
        <v>16.799999999999997</v>
      </c>
      <c r="W265" s="41" cm="1">
        <f t="array" ref="W265">L265*VLOOKUP($G265, Factor!$C$4:$N$36, 6, 0)*INDEX(Factor!$C$41:$N$87, _xlfn.XMATCH($C265, Factor!$C$41:$C$87, -1), 6)</f>
        <v>28</v>
      </c>
      <c r="X265" s="41" cm="1">
        <f t="array" ref="X265">M265*VLOOKUP($G265, Factor!$C$4:$N$36, 7, 0)*INDEX(Factor!$C$41:$N$87, _xlfn.XMATCH($C265, Factor!$C$41:$C$87, -1), 7)</f>
        <v>42000</v>
      </c>
      <c r="Y265" s="41" cm="1">
        <f t="array" ref="Y265">N265*VLOOKUP($G265, Factor!$C$4:$N$36, 8, 0)*INDEX(Factor!$C$41:$N$87, _xlfn.XMATCH($C265, Factor!$C$41:$C$87, -1), 8)</f>
        <v>1959.9999999999998</v>
      </c>
      <c r="Z265" s="41" cm="1">
        <f t="array" ref="Z265">O265*VLOOKUP($G265, Factor!$C$4:$N$36, 9, 0)*INDEX(Factor!$C$41:$N$87, _xlfn.XMATCH($C265, Factor!$C$41:$C$87, -1), 9)</f>
        <v>19.599999999999998</v>
      </c>
      <c r="AA265" s="41" cm="1">
        <f t="array" ref="AA265">P265*VLOOKUP($G265, Factor!$C$4:$N$36, 10, 0)*INDEX(Factor!$C$41:$N$87, _xlfn.XMATCH($C265, Factor!$C$41:$C$87, -1), 10)</f>
        <v>1959.9999999999998</v>
      </c>
      <c r="AB265" s="41" cm="1">
        <f t="array" ref="AB265">Q265*VLOOKUP($G265, Factor!$C$4:$N$36, 11, 0)*INDEX(Factor!$C$41:$N$87, _xlfn.XMATCH($C265, Factor!$C$41:$C$87, -1), 11)</f>
        <v>10</v>
      </c>
      <c r="AC265" s="41" cm="1">
        <f t="array" ref="AC265">R265*VLOOKUP($G265, Factor!$C$4:$N$36, 12, 0)*INDEX(Factor!$C$41:$N$87, _xlfn.XMATCH($C265, Factor!$C$41:$C$87, -1), 12)</f>
        <v>30</v>
      </c>
      <c r="AD265" s="41"/>
    </row>
    <row r="266" spans="1:30" ht="15.75" customHeight="1" x14ac:dyDescent="0.2">
      <c r="A266" s="18" t="str">
        <f>"locomotive_"&amp; VLOOKUP(F266, Factor!$BK$4:$BL$6, 2, 0) &amp;"_"&amp;Locomotive!D266&amp;"_"&amp;VLOOKUP(E266, Factor!$BM$4:$BN$36, 2, 0)</f>
        <v>locomotive_St_T10_007</v>
      </c>
      <c r="B266" s="18" t="str">
        <f t="shared" si="8"/>
        <v>T10 시운 증기기관차</v>
      </c>
      <c r="C266" s="18">
        <f>VLOOKUP(D266, Factor!$B$41:$C$50, 2, 0)</f>
        <v>100000</v>
      </c>
      <c r="D266" s="18" t="s">
        <v>328</v>
      </c>
      <c r="E266" s="18" t="s">
        <v>510</v>
      </c>
      <c r="F266" s="18" t="s">
        <v>505</v>
      </c>
      <c r="G266" s="18" t="str">
        <f t="shared" si="9"/>
        <v>시운 증기</v>
      </c>
      <c r="H266" s="18">
        <v>1</v>
      </c>
      <c r="I266" s="18">
        <v>1</v>
      </c>
      <c r="J266" s="18">
        <v>1</v>
      </c>
      <c r="K266" s="18">
        <v>1</v>
      </c>
      <c r="L266" s="18">
        <v>1</v>
      </c>
      <c r="M266" s="18">
        <v>1</v>
      </c>
      <c r="N266" s="18">
        <v>1</v>
      </c>
      <c r="O266" s="18">
        <v>1</v>
      </c>
      <c r="P266" s="18">
        <v>1</v>
      </c>
      <c r="Q266" s="18">
        <v>1</v>
      </c>
      <c r="R266" s="18">
        <v>1</v>
      </c>
      <c r="S266" s="18" cm="1">
        <f t="array" ref="S266">H266*VLOOKUP($G266, Factor!$C$4:$N$36, 2, 0)*INDEX(Factor!$C$41:$N$87, _xlfn.XMATCH($C266, Factor!$C$41:$C$87, -1), 2)</f>
        <v>280</v>
      </c>
      <c r="T266" s="18" cm="1">
        <f t="array" ref="T266">I266*VLOOKUP($G266, Factor!$C$4:$N$36, 3, 0)*INDEX(Factor!$C$41:$N$87, _xlfn.XMATCH($C266, Factor!$C$41:$C$87, -1), 3)</f>
        <v>2800</v>
      </c>
      <c r="U266" s="18" cm="1">
        <f t="array" ref="U266">J266*VLOOKUP($G266, Factor!$C$4:$N$36, 4, 0)*INDEX(Factor!$C$41:$N$87, _xlfn.XMATCH($C266, Factor!$C$41:$C$87, -1), 4)</f>
        <v>11</v>
      </c>
      <c r="V266" s="18" cm="1">
        <f t="array" ref="V266">K266*VLOOKUP($G266, Factor!$C$4:$N$36, 5, 0)*INDEX(Factor!$C$41:$N$87, _xlfn.XMATCH($C266, Factor!$C$41:$C$87, -1), 5)</f>
        <v>16.799999999999997</v>
      </c>
      <c r="W266" s="18" cm="1">
        <f t="array" ref="W266">L266*VLOOKUP($G266, Factor!$C$4:$N$36, 6, 0)*INDEX(Factor!$C$41:$N$87, _xlfn.XMATCH($C266, Factor!$C$41:$C$87, -1), 6)</f>
        <v>28</v>
      </c>
      <c r="X266" s="18" cm="1">
        <f t="array" ref="X266">M266*VLOOKUP($G266, Factor!$C$4:$N$36, 7, 0)*INDEX(Factor!$C$41:$N$87, _xlfn.XMATCH($C266, Factor!$C$41:$C$87, -1), 7)</f>
        <v>28000</v>
      </c>
      <c r="Y266" s="18" cm="1">
        <f t="array" ref="Y266">N266*VLOOKUP($G266, Factor!$C$4:$N$36, 8, 0)*INDEX(Factor!$C$41:$N$87, _xlfn.XMATCH($C266, Factor!$C$41:$C$87, -1), 8)</f>
        <v>1400</v>
      </c>
      <c r="Z266" s="18" cm="1">
        <f t="array" ref="Z266">O266*VLOOKUP($G266, Factor!$C$4:$N$36, 9, 0)*INDEX(Factor!$C$41:$N$87, _xlfn.XMATCH($C266, Factor!$C$41:$C$87, -1), 9)</f>
        <v>84</v>
      </c>
      <c r="AA266" s="18" cm="1">
        <f t="array" ref="AA266">P266*VLOOKUP($G266, Factor!$C$4:$N$36, 10, 0)*INDEX(Factor!$C$41:$N$87, _xlfn.XMATCH($C266, Factor!$C$41:$C$87, -1), 10)</f>
        <v>5600</v>
      </c>
      <c r="AB266" s="18" cm="1">
        <f t="array" ref="AB266">Q266*VLOOKUP($G266, Factor!$C$4:$N$36, 11, 0)*INDEX(Factor!$C$41:$N$87, _xlfn.XMATCH($C266, Factor!$C$41:$C$87, -1), 11)</f>
        <v>10</v>
      </c>
      <c r="AC266" s="18" cm="1">
        <f t="array" ref="AC266">R266*VLOOKUP($G266, Factor!$C$4:$N$36, 12, 0)*INDEX(Factor!$C$41:$N$87, _xlfn.XMATCH($C266, Factor!$C$41:$C$87, -1), 12)</f>
        <v>10</v>
      </c>
      <c r="AD266" s="18"/>
    </row>
    <row r="267" spans="1:30" ht="15.75" customHeight="1" x14ac:dyDescent="0.2">
      <c r="A267" s="15" t="str">
        <f>"locomotive_"&amp; VLOOKUP(F267, Factor!$BK$4:$BL$6, 2, 0) &amp;"_"&amp;Locomotive!D267&amp;"_"&amp;VLOOKUP(E267, Factor!$BM$4:$BN$36, 2, 0)</f>
        <v>locomotive_El_T10_007</v>
      </c>
      <c r="B267" s="15" t="str">
        <f t="shared" si="8"/>
        <v>T10 시운 전기기관차</v>
      </c>
      <c r="C267" s="15">
        <f>VLOOKUP(D267, Factor!$B$41:$C$50, 2, 0)</f>
        <v>100000</v>
      </c>
      <c r="D267" s="15" t="s">
        <v>328</v>
      </c>
      <c r="E267" s="41" t="s">
        <v>510</v>
      </c>
      <c r="F267" s="41" t="s">
        <v>502</v>
      </c>
      <c r="G267" s="41" t="str">
        <f t="shared" si="9"/>
        <v>시운 전기</v>
      </c>
      <c r="H267" s="41">
        <v>1</v>
      </c>
      <c r="I267" s="41">
        <v>1</v>
      </c>
      <c r="J267" s="41">
        <v>1</v>
      </c>
      <c r="K267" s="41">
        <v>1</v>
      </c>
      <c r="L267" s="41">
        <v>1</v>
      </c>
      <c r="M267" s="41">
        <v>1</v>
      </c>
      <c r="N267" s="41">
        <v>1</v>
      </c>
      <c r="O267" s="41">
        <v>1</v>
      </c>
      <c r="P267" s="41">
        <v>1</v>
      </c>
      <c r="Q267" s="41">
        <v>1</v>
      </c>
      <c r="R267" s="41">
        <v>1</v>
      </c>
      <c r="S267" s="41" cm="1">
        <f t="array" ref="S267">H267*VLOOKUP($G267, Factor!$C$4:$N$36, 2, 0)*INDEX(Factor!$C$41:$N$87, _xlfn.XMATCH($C267, Factor!$C$41:$C$87, -1), 2)</f>
        <v>560</v>
      </c>
      <c r="T267" s="41" cm="1">
        <f t="array" ref="T267">I267*VLOOKUP($G267, Factor!$C$4:$N$36, 3, 0)*INDEX(Factor!$C$41:$N$87, _xlfn.XMATCH($C267, Factor!$C$41:$C$87, -1), 3)</f>
        <v>2240</v>
      </c>
      <c r="U267" s="41" cm="1">
        <f t="array" ref="U267">J267*VLOOKUP($G267, Factor!$C$4:$N$36, 4, 0)*INDEX(Factor!$C$41:$N$87, _xlfn.XMATCH($C267, Factor!$C$41:$C$87, -1), 4)</f>
        <v>11</v>
      </c>
      <c r="V267" s="41" cm="1">
        <f t="array" ref="V267">K267*VLOOKUP($G267, Factor!$C$4:$N$36, 5, 0)*INDEX(Factor!$C$41:$N$87, _xlfn.XMATCH($C267, Factor!$C$41:$C$87, -1), 5)</f>
        <v>28</v>
      </c>
      <c r="W267" s="41" cm="1">
        <f t="array" ref="W267">L267*VLOOKUP($G267, Factor!$C$4:$N$36, 6, 0)*INDEX(Factor!$C$41:$N$87, _xlfn.XMATCH($C267, Factor!$C$41:$C$87, -1), 6)</f>
        <v>28</v>
      </c>
      <c r="X267" s="41" cm="1">
        <f t="array" ref="X267">M267*VLOOKUP($G267, Factor!$C$4:$N$36, 7, 0)*INDEX(Factor!$C$41:$N$87, _xlfn.XMATCH($C267, Factor!$C$41:$C$87, -1), 7)</f>
        <v>19600</v>
      </c>
      <c r="Y267" s="41" cm="1">
        <f t="array" ref="Y267">N267*VLOOKUP($G267, Factor!$C$4:$N$36, 8, 0)*INDEX(Factor!$C$41:$N$87, _xlfn.XMATCH($C267, Factor!$C$41:$C$87, -1), 8)</f>
        <v>840</v>
      </c>
      <c r="Z267" s="41" cm="1">
        <f t="array" ref="Z267">O267*VLOOKUP($G267, Factor!$C$4:$N$36, 9, 0)*INDEX(Factor!$C$41:$N$87, _xlfn.XMATCH($C267, Factor!$C$41:$C$87, -1), 9)</f>
        <v>14</v>
      </c>
      <c r="AA267" s="41" cm="1">
        <f t="array" ref="AA267">P267*VLOOKUP($G267, Factor!$C$4:$N$36, 10, 0)*INDEX(Factor!$C$41:$N$87, _xlfn.XMATCH($C267, Factor!$C$41:$C$87, -1), 10)</f>
        <v>2800</v>
      </c>
      <c r="AB267" s="41" cm="1">
        <f t="array" ref="AB267">Q267*VLOOKUP($G267, Factor!$C$4:$N$36, 11, 0)*INDEX(Factor!$C$41:$N$87, _xlfn.XMATCH($C267, Factor!$C$41:$C$87, -1), 11)</f>
        <v>10</v>
      </c>
      <c r="AC267" s="41" cm="1">
        <f t="array" ref="AC267">R267*VLOOKUP($G267, Factor!$C$4:$N$36, 12, 0)*INDEX(Factor!$C$41:$N$87, _xlfn.XMATCH($C267, Factor!$C$41:$C$87, -1), 12)</f>
        <v>10</v>
      </c>
      <c r="AD267" s="41"/>
    </row>
    <row r="268" spans="1:30" ht="15.75" customHeight="1" x14ac:dyDescent="0.2">
      <c r="A268" s="18" t="str">
        <f>"locomotive_"&amp; VLOOKUP(F268, Factor!$BK$4:$BL$6, 2, 0) &amp;"_"&amp;Locomotive!D268&amp;"_"&amp;VLOOKUP(E268, Factor!$BM$4:$BN$36, 2, 0)</f>
        <v>locomotive_Dz_T10_007</v>
      </c>
      <c r="B268" s="18" t="str">
        <f t="shared" si="8"/>
        <v>T10 시운 디젤기관차</v>
      </c>
      <c r="C268" s="18">
        <f>VLOOKUP(D268, Factor!$B$41:$C$50, 2, 0)</f>
        <v>100000</v>
      </c>
      <c r="D268" s="18" t="s">
        <v>328</v>
      </c>
      <c r="E268" s="18" t="s">
        <v>510</v>
      </c>
      <c r="F268" s="18" t="s">
        <v>503</v>
      </c>
      <c r="G268" s="18" t="str">
        <f t="shared" si="9"/>
        <v>시운 디젤</v>
      </c>
      <c r="H268" s="18">
        <v>1</v>
      </c>
      <c r="I268" s="18">
        <v>1</v>
      </c>
      <c r="J268" s="18">
        <v>1</v>
      </c>
      <c r="K268" s="18">
        <v>1</v>
      </c>
      <c r="L268" s="18">
        <v>1</v>
      </c>
      <c r="M268" s="18">
        <v>1</v>
      </c>
      <c r="N268" s="18">
        <v>1</v>
      </c>
      <c r="O268" s="18">
        <v>1</v>
      </c>
      <c r="P268" s="18">
        <v>1</v>
      </c>
      <c r="Q268" s="18">
        <v>1</v>
      </c>
      <c r="R268" s="18">
        <v>1</v>
      </c>
      <c r="S268" s="18" cm="1">
        <f t="array" ref="S268">H268*VLOOKUP($G268, Factor!$C$4:$N$36, 2, 0)*INDEX(Factor!$C$41:$N$87, _xlfn.XMATCH($C268, Factor!$C$41:$C$87, -1), 2)</f>
        <v>420</v>
      </c>
      <c r="T268" s="18" cm="1">
        <f t="array" ref="T268">I268*VLOOKUP($G268, Factor!$C$4:$N$36, 3, 0)*INDEX(Factor!$C$41:$N$87, _xlfn.XMATCH($C268, Factor!$C$41:$C$87, -1), 3)</f>
        <v>3360</v>
      </c>
      <c r="U268" s="18" cm="1">
        <f t="array" ref="U268">J268*VLOOKUP($G268, Factor!$C$4:$N$36, 4, 0)*INDEX(Factor!$C$41:$N$87, _xlfn.XMATCH($C268, Factor!$C$41:$C$87, -1), 4)</f>
        <v>11</v>
      </c>
      <c r="V268" s="18" cm="1">
        <f t="array" ref="V268">K268*VLOOKUP($G268, Factor!$C$4:$N$36, 5, 0)*INDEX(Factor!$C$41:$N$87, _xlfn.XMATCH($C268, Factor!$C$41:$C$87, -1), 5)</f>
        <v>22.4</v>
      </c>
      <c r="W268" s="18" cm="1">
        <f t="array" ref="W268">L268*VLOOKUP($G268, Factor!$C$4:$N$36, 6, 0)*INDEX(Factor!$C$41:$N$87, _xlfn.XMATCH($C268, Factor!$C$41:$C$87, -1), 6)</f>
        <v>28</v>
      </c>
      <c r="X268" s="18" cm="1">
        <f t="array" ref="X268">M268*VLOOKUP($G268, Factor!$C$4:$N$36, 7, 0)*INDEX(Factor!$C$41:$N$87, _xlfn.XMATCH($C268, Factor!$C$41:$C$87, -1), 7)</f>
        <v>42000</v>
      </c>
      <c r="Y268" s="18" cm="1">
        <f t="array" ref="Y268">N268*VLOOKUP($G268, Factor!$C$4:$N$36, 8, 0)*INDEX(Factor!$C$41:$N$87, _xlfn.XMATCH($C268, Factor!$C$41:$C$87, -1), 8)</f>
        <v>1120</v>
      </c>
      <c r="Z268" s="18" cm="1">
        <f t="array" ref="Z268">O268*VLOOKUP($G268, Factor!$C$4:$N$36, 9, 0)*INDEX(Factor!$C$41:$N$87, _xlfn.XMATCH($C268, Factor!$C$41:$C$87, -1), 9)</f>
        <v>28</v>
      </c>
      <c r="AA268" s="18" cm="1">
        <f t="array" ref="AA268">P268*VLOOKUP($G268, Factor!$C$4:$N$36, 10, 0)*INDEX(Factor!$C$41:$N$87, _xlfn.XMATCH($C268, Factor!$C$41:$C$87, -1), 10)</f>
        <v>4200</v>
      </c>
      <c r="AB268" s="18" cm="1">
        <f t="array" ref="AB268">Q268*VLOOKUP($G268, Factor!$C$4:$N$36, 11, 0)*INDEX(Factor!$C$41:$N$87, _xlfn.XMATCH($C268, Factor!$C$41:$C$87, -1), 11)</f>
        <v>10</v>
      </c>
      <c r="AC268" s="18" cm="1">
        <f t="array" ref="AC268">R268*VLOOKUP($G268, Factor!$C$4:$N$36, 12, 0)*INDEX(Factor!$C$41:$N$87, _xlfn.XMATCH($C268, Factor!$C$41:$C$87, -1), 12)</f>
        <v>10</v>
      </c>
      <c r="AD268" s="18"/>
    </row>
    <row r="269" spans="1:30" ht="15.75" customHeight="1" x14ac:dyDescent="0.2">
      <c r="A269" s="15" t="str">
        <f>"locomotive_"&amp; VLOOKUP(F269, Factor!$BK$4:$BL$6, 2, 0) &amp;"_"&amp;Locomotive!D269&amp;"_"&amp;VLOOKUP(E269, Factor!$BM$4:$BN$36, 2, 0)</f>
        <v>locomotive_St_T10_008</v>
      </c>
      <c r="B269" s="15" t="str">
        <f t="shared" si="8"/>
        <v>T10 경량 증기기관차</v>
      </c>
      <c r="C269" s="15">
        <f>VLOOKUP(D269, Factor!$B$41:$C$50, 2, 0)</f>
        <v>100000</v>
      </c>
      <c r="D269" s="15" t="s">
        <v>328</v>
      </c>
      <c r="E269" s="41" t="s">
        <v>511</v>
      </c>
      <c r="F269" s="41" t="s">
        <v>505</v>
      </c>
      <c r="G269" s="41" t="str">
        <f t="shared" si="9"/>
        <v>경량 증기</v>
      </c>
      <c r="H269" s="41">
        <v>1</v>
      </c>
      <c r="I269" s="41">
        <v>1</v>
      </c>
      <c r="J269" s="41">
        <v>1</v>
      </c>
      <c r="K269" s="41">
        <v>1</v>
      </c>
      <c r="L269" s="41">
        <v>1</v>
      </c>
      <c r="M269" s="41">
        <v>1</v>
      </c>
      <c r="N269" s="41">
        <v>1</v>
      </c>
      <c r="O269" s="41">
        <v>1</v>
      </c>
      <c r="P269" s="41">
        <v>1</v>
      </c>
      <c r="Q269" s="41">
        <v>1</v>
      </c>
      <c r="R269" s="41">
        <v>1</v>
      </c>
      <c r="S269" s="41" cm="1">
        <f t="array" ref="S269">H269*VLOOKUP($G269, Factor!$C$4:$N$36, 2, 0)*INDEX(Factor!$C$41:$N$87, _xlfn.XMATCH($C269, Factor!$C$41:$C$87, -1), 2)</f>
        <v>280</v>
      </c>
      <c r="T269" s="41" cm="1">
        <f t="array" ref="T269">I269*VLOOKUP($G269, Factor!$C$4:$N$36, 3, 0)*INDEX(Factor!$C$41:$N$87, _xlfn.XMATCH($C269, Factor!$C$41:$C$87, -1), 3)</f>
        <v>2520</v>
      </c>
      <c r="U269" s="41" cm="1">
        <f t="array" ref="U269">J269*VLOOKUP($G269, Factor!$C$4:$N$36, 4, 0)*INDEX(Factor!$C$41:$N$87, _xlfn.XMATCH($C269, Factor!$C$41:$C$87, -1), 4)</f>
        <v>11</v>
      </c>
      <c r="V269" s="41" cm="1">
        <f t="array" ref="V269">K269*VLOOKUP($G269, Factor!$C$4:$N$36, 5, 0)*INDEX(Factor!$C$41:$N$87, _xlfn.XMATCH($C269, Factor!$C$41:$C$87, -1), 5)</f>
        <v>14</v>
      </c>
      <c r="W269" s="41" cm="1">
        <f t="array" ref="W269">L269*VLOOKUP($G269, Factor!$C$4:$N$36, 6, 0)*INDEX(Factor!$C$41:$N$87, _xlfn.XMATCH($C269, Factor!$C$41:$C$87, -1), 6)</f>
        <v>28</v>
      </c>
      <c r="X269" s="41" cm="1">
        <f t="array" ref="X269">M269*VLOOKUP($G269, Factor!$C$4:$N$36, 7, 0)*INDEX(Factor!$C$41:$N$87, _xlfn.XMATCH($C269, Factor!$C$41:$C$87, -1), 7)</f>
        <v>22400</v>
      </c>
      <c r="Y269" s="41" cm="1">
        <f t="array" ref="Y269">N269*VLOOKUP($G269, Factor!$C$4:$N$36, 8, 0)*INDEX(Factor!$C$41:$N$87, _xlfn.XMATCH($C269, Factor!$C$41:$C$87, -1), 8)</f>
        <v>2800</v>
      </c>
      <c r="Z269" s="41" cm="1">
        <f t="array" ref="Z269">O269*VLOOKUP($G269, Factor!$C$4:$N$36, 9, 0)*INDEX(Factor!$C$41:$N$87, _xlfn.XMATCH($C269, Factor!$C$41:$C$87, -1), 9)</f>
        <v>84</v>
      </c>
      <c r="AA269" s="41" cm="1">
        <f t="array" ref="AA269">P269*VLOOKUP($G269, Factor!$C$4:$N$36, 10, 0)*INDEX(Factor!$C$41:$N$87, _xlfn.XMATCH($C269, Factor!$C$41:$C$87, -1), 10)</f>
        <v>2800</v>
      </c>
      <c r="AB269" s="41" cm="1">
        <f t="array" ref="AB269">Q269*VLOOKUP($G269, Factor!$C$4:$N$36, 11, 0)*INDEX(Factor!$C$41:$N$87, _xlfn.XMATCH($C269, Factor!$C$41:$C$87, -1), 11)</f>
        <v>10</v>
      </c>
      <c r="AC269" s="41" cm="1">
        <f t="array" ref="AC269">R269*VLOOKUP($G269, Factor!$C$4:$N$36, 12, 0)*INDEX(Factor!$C$41:$N$87, _xlfn.XMATCH($C269, Factor!$C$41:$C$87, -1), 12)</f>
        <v>10</v>
      </c>
      <c r="AD269" s="41"/>
    </row>
    <row r="270" spans="1:30" ht="15.75" customHeight="1" x14ac:dyDescent="0.2">
      <c r="A270" s="18" t="str">
        <f>"locomotive_"&amp; VLOOKUP(F270, Factor!$BK$4:$BL$6, 2, 0) &amp;"_"&amp;Locomotive!D270&amp;"_"&amp;VLOOKUP(E270, Factor!$BM$4:$BN$36, 2, 0)</f>
        <v>locomotive_El_T10_008</v>
      </c>
      <c r="B270" s="18" t="str">
        <f t="shared" si="8"/>
        <v>T10 경량 전기기관차</v>
      </c>
      <c r="C270" s="18">
        <f>VLOOKUP(D270, Factor!$B$41:$C$50, 2, 0)</f>
        <v>100000</v>
      </c>
      <c r="D270" s="18" t="s">
        <v>328</v>
      </c>
      <c r="E270" s="18" t="s">
        <v>511</v>
      </c>
      <c r="F270" s="18" t="s">
        <v>502</v>
      </c>
      <c r="G270" s="18" t="str">
        <f t="shared" si="9"/>
        <v>경량 전기</v>
      </c>
      <c r="H270" s="18">
        <v>1</v>
      </c>
      <c r="I270" s="18">
        <v>1</v>
      </c>
      <c r="J270" s="18">
        <v>1</v>
      </c>
      <c r="K270" s="18">
        <v>1</v>
      </c>
      <c r="L270" s="18">
        <v>1</v>
      </c>
      <c r="M270" s="18">
        <v>1</v>
      </c>
      <c r="N270" s="18">
        <v>1</v>
      </c>
      <c r="O270" s="18">
        <v>1</v>
      </c>
      <c r="P270" s="18">
        <v>1</v>
      </c>
      <c r="Q270" s="18">
        <v>1</v>
      </c>
      <c r="R270" s="18">
        <v>1</v>
      </c>
      <c r="S270" s="18" cm="1">
        <f t="array" ref="S270">H270*VLOOKUP($G270, Factor!$C$4:$N$36, 2, 0)*INDEX(Factor!$C$41:$N$87, _xlfn.XMATCH($C270, Factor!$C$41:$C$87, -1), 2)</f>
        <v>560</v>
      </c>
      <c r="T270" s="18" cm="1">
        <f t="array" ref="T270">I270*VLOOKUP($G270, Factor!$C$4:$N$36, 3, 0)*INDEX(Factor!$C$41:$N$87, _xlfn.XMATCH($C270, Factor!$C$41:$C$87, -1), 3)</f>
        <v>1959.9999999999998</v>
      </c>
      <c r="U270" s="18" cm="1">
        <f t="array" ref="U270">J270*VLOOKUP($G270, Factor!$C$4:$N$36, 4, 0)*INDEX(Factor!$C$41:$N$87, _xlfn.XMATCH($C270, Factor!$C$41:$C$87, -1), 4)</f>
        <v>11</v>
      </c>
      <c r="V270" s="18" cm="1">
        <f t="array" ref="V270">K270*VLOOKUP($G270, Factor!$C$4:$N$36, 5, 0)*INDEX(Factor!$C$41:$N$87, _xlfn.XMATCH($C270, Factor!$C$41:$C$87, -1), 5)</f>
        <v>25.2</v>
      </c>
      <c r="W270" s="18" cm="1">
        <f t="array" ref="W270">L270*VLOOKUP($G270, Factor!$C$4:$N$36, 6, 0)*INDEX(Factor!$C$41:$N$87, _xlfn.XMATCH($C270, Factor!$C$41:$C$87, -1), 6)</f>
        <v>28</v>
      </c>
      <c r="X270" s="18" cm="1">
        <f t="array" ref="X270">M270*VLOOKUP($G270, Factor!$C$4:$N$36, 7, 0)*INDEX(Factor!$C$41:$N$87, _xlfn.XMATCH($C270, Factor!$C$41:$C$87, -1), 7)</f>
        <v>14000</v>
      </c>
      <c r="Y270" s="18" cm="1">
        <f t="array" ref="Y270">N270*VLOOKUP($G270, Factor!$C$4:$N$36, 8, 0)*INDEX(Factor!$C$41:$N$87, _xlfn.XMATCH($C270, Factor!$C$41:$C$87, -1), 8)</f>
        <v>1959.9999999999998</v>
      </c>
      <c r="Z270" s="18" cm="1">
        <f t="array" ref="Z270">O270*VLOOKUP($G270, Factor!$C$4:$N$36, 9, 0)*INDEX(Factor!$C$41:$N$87, _xlfn.XMATCH($C270, Factor!$C$41:$C$87, -1), 9)</f>
        <v>14</v>
      </c>
      <c r="AA270" s="18" cm="1">
        <f t="array" ref="AA270">P270*VLOOKUP($G270, Factor!$C$4:$N$36, 10, 0)*INDEX(Factor!$C$41:$N$87, _xlfn.XMATCH($C270, Factor!$C$41:$C$87, -1), 10)</f>
        <v>1959.9999999999998</v>
      </c>
      <c r="AB270" s="18" cm="1">
        <f t="array" ref="AB270">Q270*VLOOKUP($G270, Factor!$C$4:$N$36, 11, 0)*INDEX(Factor!$C$41:$N$87, _xlfn.XMATCH($C270, Factor!$C$41:$C$87, -1), 11)</f>
        <v>10</v>
      </c>
      <c r="AC270" s="18" cm="1">
        <f t="array" ref="AC270">R270*VLOOKUP($G270, Factor!$C$4:$N$36, 12, 0)*INDEX(Factor!$C$41:$N$87, _xlfn.XMATCH($C270, Factor!$C$41:$C$87, -1), 12)</f>
        <v>10</v>
      </c>
      <c r="AD270" s="18"/>
    </row>
    <row r="271" spans="1:30" ht="15.75" customHeight="1" x14ac:dyDescent="0.2">
      <c r="A271" s="15" t="str">
        <f>"locomotive_"&amp; VLOOKUP(F271, Factor!$BK$4:$BL$6, 2, 0) &amp;"_"&amp;Locomotive!D271&amp;"_"&amp;VLOOKUP(E271, Factor!$BM$4:$BN$36, 2, 0)</f>
        <v>locomotive_Dz_T10_008</v>
      </c>
      <c r="B271" s="15" t="str">
        <f t="shared" si="8"/>
        <v>T10 경량 디젤기관차</v>
      </c>
      <c r="C271" s="15">
        <f>VLOOKUP(D271, Factor!$B$41:$C$50, 2, 0)</f>
        <v>100000</v>
      </c>
      <c r="D271" s="15" t="s">
        <v>328</v>
      </c>
      <c r="E271" s="41" t="s">
        <v>511</v>
      </c>
      <c r="F271" s="41" t="s">
        <v>503</v>
      </c>
      <c r="G271" s="41" t="str">
        <f t="shared" si="9"/>
        <v>경량 디젤</v>
      </c>
      <c r="H271" s="41">
        <v>1</v>
      </c>
      <c r="I271" s="41">
        <v>1</v>
      </c>
      <c r="J271" s="41">
        <v>1</v>
      </c>
      <c r="K271" s="41">
        <v>1</v>
      </c>
      <c r="L271" s="41">
        <v>1</v>
      </c>
      <c r="M271" s="41">
        <v>1</v>
      </c>
      <c r="N271" s="41">
        <v>1</v>
      </c>
      <c r="O271" s="41">
        <v>1</v>
      </c>
      <c r="P271" s="41">
        <v>1</v>
      </c>
      <c r="Q271" s="41">
        <v>1</v>
      </c>
      <c r="R271" s="41">
        <v>1</v>
      </c>
      <c r="S271" s="41" cm="1">
        <f t="array" ref="S271">H271*VLOOKUP($G271, Factor!$C$4:$N$36, 2, 0)*INDEX(Factor!$C$41:$N$87, _xlfn.XMATCH($C271, Factor!$C$41:$C$87, -1), 2)</f>
        <v>420</v>
      </c>
      <c r="T271" s="41" cm="1">
        <f t="array" ref="T271">I271*VLOOKUP($G271, Factor!$C$4:$N$36, 3, 0)*INDEX(Factor!$C$41:$N$87, _xlfn.XMATCH($C271, Factor!$C$41:$C$87, -1), 3)</f>
        <v>3080</v>
      </c>
      <c r="U271" s="41" cm="1">
        <f t="array" ref="U271">J271*VLOOKUP($G271, Factor!$C$4:$N$36, 4, 0)*INDEX(Factor!$C$41:$N$87, _xlfn.XMATCH($C271, Factor!$C$41:$C$87, -1), 4)</f>
        <v>11</v>
      </c>
      <c r="V271" s="41" cm="1">
        <f t="array" ref="V271">K271*VLOOKUP($G271, Factor!$C$4:$N$36, 5, 0)*INDEX(Factor!$C$41:$N$87, _xlfn.XMATCH($C271, Factor!$C$41:$C$87, -1), 5)</f>
        <v>19.599999999999998</v>
      </c>
      <c r="W271" s="41" cm="1">
        <f t="array" ref="W271">L271*VLOOKUP($G271, Factor!$C$4:$N$36, 6, 0)*INDEX(Factor!$C$41:$N$87, _xlfn.XMATCH($C271, Factor!$C$41:$C$87, -1), 6)</f>
        <v>28</v>
      </c>
      <c r="X271" s="41" cm="1">
        <f t="array" ref="X271">M271*VLOOKUP($G271, Factor!$C$4:$N$36, 7, 0)*INDEX(Factor!$C$41:$N$87, _xlfn.XMATCH($C271, Factor!$C$41:$C$87, -1), 7)</f>
        <v>33600</v>
      </c>
      <c r="Y271" s="41" cm="1">
        <f t="array" ref="Y271">N271*VLOOKUP($G271, Factor!$C$4:$N$36, 8, 0)*INDEX(Factor!$C$41:$N$87, _xlfn.XMATCH($C271, Factor!$C$41:$C$87, -1), 8)</f>
        <v>2240</v>
      </c>
      <c r="Z271" s="41" cm="1">
        <f t="array" ref="Z271">O271*VLOOKUP($G271, Factor!$C$4:$N$36, 9, 0)*INDEX(Factor!$C$41:$N$87, _xlfn.XMATCH($C271, Factor!$C$41:$C$87, -1), 9)</f>
        <v>28</v>
      </c>
      <c r="AA271" s="41" cm="1">
        <f t="array" ref="AA271">P271*VLOOKUP($G271, Factor!$C$4:$N$36, 10, 0)*INDEX(Factor!$C$41:$N$87, _xlfn.XMATCH($C271, Factor!$C$41:$C$87, -1), 10)</f>
        <v>2240</v>
      </c>
      <c r="AB271" s="41" cm="1">
        <f t="array" ref="AB271">Q271*VLOOKUP($G271, Factor!$C$4:$N$36, 11, 0)*INDEX(Factor!$C$41:$N$87, _xlfn.XMATCH($C271, Factor!$C$41:$C$87, -1), 11)</f>
        <v>10</v>
      </c>
      <c r="AC271" s="41" cm="1">
        <f t="array" ref="AC271">R271*VLOOKUP($G271, Factor!$C$4:$N$36, 12, 0)*INDEX(Factor!$C$41:$N$87, _xlfn.XMATCH($C271, Factor!$C$41:$C$87, -1), 12)</f>
        <v>10</v>
      </c>
      <c r="AD271" s="41"/>
    </row>
    <row r="272" spans="1:30" ht="15.75" customHeight="1" x14ac:dyDescent="0.2">
      <c r="A272" s="18" t="str">
        <f>"locomotive_"&amp; VLOOKUP(F272, Factor!$BK$4:$BL$6, 2, 0) &amp;"_"&amp;Locomotive!D272&amp;"_"&amp;VLOOKUP(E272, Factor!$BM$4:$BN$36, 2, 0)</f>
        <v>locomotive_St_T10_009</v>
      </c>
      <c r="B272" s="18" t="str">
        <f t="shared" si="8"/>
        <v>T10 견인 증기기관차</v>
      </c>
      <c r="C272" s="18">
        <f>VLOOKUP(D272, Factor!$B$41:$C$50, 2, 0)</f>
        <v>100000</v>
      </c>
      <c r="D272" s="18" t="s">
        <v>328</v>
      </c>
      <c r="E272" s="18" t="s">
        <v>512</v>
      </c>
      <c r="F272" s="18" t="s">
        <v>505</v>
      </c>
      <c r="G272" s="18" t="str">
        <f t="shared" si="9"/>
        <v>견인 증기</v>
      </c>
      <c r="H272" s="18">
        <v>1</v>
      </c>
      <c r="I272" s="18">
        <v>1</v>
      </c>
      <c r="J272" s="18">
        <v>1</v>
      </c>
      <c r="K272" s="18">
        <v>1</v>
      </c>
      <c r="L272" s="18">
        <v>1</v>
      </c>
      <c r="M272" s="18">
        <v>1</v>
      </c>
      <c r="N272" s="18">
        <v>1</v>
      </c>
      <c r="O272" s="18">
        <v>1</v>
      </c>
      <c r="P272" s="18">
        <v>1</v>
      </c>
      <c r="Q272" s="18">
        <v>1</v>
      </c>
      <c r="R272" s="18">
        <v>1</v>
      </c>
      <c r="S272" s="18" cm="1">
        <f t="array" ref="S272">H272*VLOOKUP($G272, Factor!$C$4:$N$36, 2, 0)*INDEX(Factor!$C$41:$N$87, _xlfn.XMATCH($C272, Factor!$C$41:$C$87, -1), 2)</f>
        <v>251.99999999999997</v>
      </c>
      <c r="T272" s="18" cm="1">
        <f t="array" ref="T272">I272*VLOOKUP($G272, Factor!$C$4:$N$36, 3, 0)*INDEX(Factor!$C$41:$N$87, _xlfn.XMATCH($C272, Factor!$C$41:$C$87, -1), 3)</f>
        <v>2800</v>
      </c>
      <c r="U272" s="18" cm="1">
        <f t="array" ref="U272">J272*VLOOKUP($G272, Factor!$C$4:$N$36, 4, 0)*INDEX(Factor!$C$41:$N$87, _xlfn.XMATCH($C272, Factor!$C$41:$C$87, -1), 4)</f>
        <v>11</v>
      </c>
      <c r="V272" s="18" cm="1">
        <f t="array" ref="V272">K272*VLOOKUP($G272, Factor!$C$4:$N$36, 5, 0)*INDEX(Factor!$C$41:$N$87, _xlfn.XMATCH($C272, Factor!$C$41:$C$87, -1), 5)</f>
        <v>8.3999999999999986</v>
      </c>
      <c r="W272" s="18" cm="1">
        <f t="array" ref="W272">L272*VLOOKUP($G272, Factor!$C$4:$N$36, 6, 0)*INDEX(Factor!$C$41:$N$87, _xlfn.XMATCH($C272, Factor!$C$41:$C$87, -1), 6)</f>
        <v>28</v>
      </c>
      <c r="X272" s="18" cm="1">
        <f t="array" ref="X272">M272*VLOOKUP($G272, Factor!$C$4:$N$36, 7, 0)*INDEX(Factor!$C$41:$N$87, _xlfn.XMATCH($C272, Factor!$C$41:$C$87, -1), 7)</f>
        <v>42000</v>
      </c>
      <c r="Y272" s="18" cm="1">
        <f t="array" ref="Y272">N272*VLOOKUP($G272, Factor!$C$4:$N$36, 8, 0)*INDEX(Factor!$C$41:$N$87, _xlfn.XMATCH($C272, Factor!$C$41:$C$87, -1), 8)</f>
        <v>2800</v>
      </c>
      <c r="Z272" s="18" cm="1">
        <f t="array" ref="Z272">O272*VLOOKUP($G272, Factor!$C$4:$N$36, 9, 0)*INDEX(Factor!$C$41:$N$87, _xlfn.XMATCH($C272, Factor!$C$41:$C$87, -1), 9)</f>
        <v>84</v>
      </c>
      <c r="AA272" s="18" cm="1">
        <f t="array" ref="AA272">P272*VLOOKUP($G272, Factor!$C$4:$N$36, 10, 0)*INDEX(Factor!$C$41:$N$87, _xlfn.XMATCH($C272, Factor!$C$41:$C$87, -1), 10)</f>
        <v>2800</v>
      </c>
      <c r="AB272" s="18" cm="1">
        <f t="array" ref="AB272">Q272*VLOOKUP($G272, Factor!$C$4:$N$36, 11, 0)*INDEX(Factor!$C$41:$N$87, _xlfn.XMATCH($C272, Factor!$C$41:$C$87, -1), 11)</f>
        <v>10</v>
      </c>
      <c r="AC272" s="18" cm="1">
        <f t="array" ref="AC272">R272*VLOOKUP($G272, Factor!$C$4:$N$36, 12, 0)*INDEX(Factor!$C$41:$N$87, _xlfn.XMATCH($C272, Factor!$C$41:$C$87, -1), 12)</f>
        <v>10</v>
      </c>
      <c r="AD272" s="18"/>
    </row>
    <row r="273" spans="1:30" ht="15.75" customHeight="1" x14ac:dyDescent="0.2">
      <c r="A273" s="15" t="str">
        <f>"locomotive_"&amp; VLOOKUP(F273, Factor!$BK$4:$BL$6, 2, 0) &amp;"_"&amp;Locomotive!D273&amp;"_"&amp;VLOOKUP(E273, Factor!$BM$4:$BN$36, 2, 0)</f>
        <v>locomotive_El_T10_009</v>
      </c>
      <c r="B273" s="15" t="str">
        <f t="shared" si="8"/>
        <v>T10 견인 전기기관차</v>
      </c>
      <c r="C273" s="15">
        <f>VLOOKUP(D273, Factor!$B$41:$C$50, 2, 0)</f>
        <v>100000</v>
      </c>
      <c r="D273" s="15" t="s">
        <v>328</v>
      </c>
      <c r="E273" s="41" t="s">
        <v>512</v>
      </c>
      <c r="F273" s="41" t="s">
        <v>502</v>
      </c>
      <c r="G273" s="41" t="str">
        <f t="shared" si="9"/>
        <v>견인 전기</v>
      </c>
      <c r="H273" s="41">
        <v>1</v>
      </c>
      <c r="I273" s="41">
        <v>1</v>
      </c>
      <c r="J273" s="41">
        <v>1</v>
      </c>
      <c r="K273" s="41">
        <v>1</v>
      </c>
      <c r="L273" s="41">
        <v>1</v>
      </c>
      <c r="M273" s="41">
        <v>1</v>
      </c>
      <c r="N273" s="41">
        <v>1</v>
      </c>
      <c r="O273" s="41">
        <v>1</v>
      </c>
      <c r="P273" s="41">
        <v>1</v>
      </c>
      <c r="Q273" s="41">
        <v>1</v>
      </c>
      <c r="R273" s="41">
        <v>1</v>
      </c>
      <c r="S273" s="41" cm="1">
        <f t="array" ref="S273">H273*VLOOKUP($G273, Factor!$C$4:$N$36, 2, 0)*INDEX(Factor!$C$41:$N$87, _xlfn.XMATCH($C273, Factor!$C$41:$C$87, -1), 2)</f>
        <v>503.99999999999994</v>
      </c>
      <c r="T273" s="41" cm="1">
        <f t="array" ref="T273">I273*VLOOKUP($G273, Factor!$C$4:$N$36, 3, 0)*INDEX(Factor!$C$41:$N$87, _xlfn.XMATCH($C273, Factor!$C$41:$C$87, -1), 3)</f>
        <v>2240</v>
      </c>
      <c r="U273" s="41" cm="1">
        <f t="array" ref="U273">J273*VLOOKUP($G273, Factor!$C$4:$N$36, 4, 0)*INDEX(Factor!$C$41:$N$87, _xlfn.XMATCH($C273, Factor!$C$41:$C$87, -1), 4)</f>
        <v>11</v>
      </c>
      <c r="V273" s="41" cm="1">
        <f t="array" ref="V273">K273*VLOOKUP($G273, Factor!$C$4:$N$36, 5, 0)*INDEX(Factor!$C$41:$N$87, _xlfn.XMATCH($C273, Factor!$C$41:$C$87, -1), 5)</f>
        <v>19.599999999999998</v>
      </c>
      <c r="W273" s="41" cm="1">
        <f t="array" ref="W273">L273*VLOOKUP($G273, Factor!$C$4:$N$36, 6, 0)*INDEX(Factor!$C$41:$N$87, _xlfn.XMATCH($C273, Factor!$C$41:$C$87, -1), 6)</f>
        <v>28</v>
      </c>
      <c r="X273" s="41" cm="1">
        <f t="array" ref="X273">M273*VLOOKUP($G273, Factor!$C$4:$N$36, 7, 0)*INDEX(Factor!$C$41:$N$87, _xlfn.XMATCH($C273, Factor!$C$41:$C$87, -1), 7)</f>
        <v>33600</v>
      </c>
      <c r="Y273" s="41" cm="1">
        <f t="array" ref="Y273">N273*VLOOKUP($G273, Factor!$C$4:$N$36, 8, 0)*INDEX(Factor!$C$41:$N$87, _xlfn.XMATCH($C273, Factor!$C$41:$C$87, -1), 8)</f>
        <v>1959.9999999999998</v>
      </c>
      <c r="Z273" s="41" cm="1">
        <f t="array" ref="Z273">O273*VLOOKUP($G273, Factor!$C$4:$N$36, 9, 0)*INDEX(Factor!$C$41:$N$87, _xlfn.XMATCH($C273, Factor!$C$41:$C$87, -1), 9)</f>
        <v>14</v>
      </c>
      <c r="AA273" s="41" cm="1">
        <f t="array" ref="AA273">P273*VLOOKUP($G273, Factor!$C$4:$N$36, 10, 0)*INDEX(Factor!$C$41:$N$87, _xlfn.XMATCH($C273, Factor!$C$41:$C$87, -1), 10)</f>
        <v>1959.9999999999998</v>
      </c>
      <c r="AB273" s="41" cm="1">
        <f t="array" ref="AB273">Q273*VLOOKUP($G273, Factor!$C$4:$N$36, 11, 0)*INDEX(Factor!$C$41:$N$87, _xlfn.XMATCH($C273, Factor!$C$41:$C$87, -1), 11)</f>
        <v>10</v>
      </c>
      <c r="AC273" s="41" cm="1">
        <f t="array" ref="AC273">R273*VLOOKUP($G273, Factor!$C$4:$N$36, 12, 0)*INDEX(Factor!$C$41:$N$87, _xlfn.XMATCH($C273, Factor!$C$41:$C$87, -1), 12)</f>
        <v>10</v>
      </c>
      <c r="AD273" s="41"/>
    </row>
    <row r="274" spans="1:30" ht="15.75" customHeight="1" x14ac:dyDescent="0.2">
      <c r="A274" s="18" t="str">
        <f>"locomotive_"&amp; VLOOKUP(F274, Factor!$BK$4:$BL$6, 2, 0) &amp;"_"&amp;Locomotive!D274&amp;"_"&amp;VLOOKUP(E274, Factor!$BM$4:$BN$36, 2, 0)</f>
        <v>locomotive_Dz_T10_009</v>
      </c>
      <c r="B274" s="18" t="str">
        <f t="shared" si="8"/>
        <v>T10 견인 디젤기관차</v>
      </c>
      <c r="C274" s="18">
        <f>VLOOKUP(D274, Factor!$B$41:$C$50, 2, 0)</f>
        <v>100000</v>
      </c>
      <c r="D274" s="18" t="s">
        <v>328</v>
      </c>
      <c r="E274" s="18" t="s">
        <v>512</v>
      </c>
      <c r="F274" s="18" t="s">
        <v>503</v>
      </c>
      <c r="G274" s="18" t="str">
        <f t="shared" si="9"/>
        <v>견인 디젤</v>
      </c>
      <c r="H274" s="18">
        <v>1</v>
      </c>
      <c r="I274" s="18">
        <v>1</v>
      </c>
      <c r="J274" s="18">
        <v>1</v>
      </c>
      <c r="K274" s="18">
        <v>1</v>
      </c>
      <c r="L274" s="18">
        <v>1</v>
      </c>
      <c r="M274" s="18">
        <v>1</v>
      </c>
      <c r="N274" s="18">
        <v>1</v>
      </c>
      <c r="O274" s="18">
        <v>1</v>
      </c>
      <c r="P274" s="18">
        <v>1</v>
      </c>
      <c r="Q274" s="18">
        <v>1</v>
      </c>
      <c r="R274" s="18">
        <v>1</v>
      </c>
      <c r="S274" s="18" cm="1">
        <f t="array" ref="S274">H274*VLOOKUP($G274, Factor!$C$4:$N$36, 2, 0)*INDEX(Factor!$C$41:$N$87, _xlfn.XMATCH($C274, Factor!$C$41:$C$87, -1), 2)</f>
        <v>336</v>
      </c>
      <c r="T274" s="18" cm="1">
        <f t="array" ref="T274">I274*VLOOKUP($G274, Factor!$C$4:$N$36, 3, 0)*INDEX(Factor!$C$41:$N$87, _xlfn.XMATCH($C274, Factor!$C$41:$C$87, -1), 3)</f>
        <v>3360</v>
      </c>
      <c r="U274" s="18" cm="1">
        <f t="array" ref="U274">J274*VLOOKUP($G274, Factor!$C$4:$N$36, 4, 0)*INDEX(Factor!$C$41:$N$87, _xlfn.XMATCH($C274, Factor!$C$41:$C$87, -1), 4)</f>
        <v>11</v>
      </c>
      <c r="V274" s="18" cm="1">
        <f t="array" ref="V274">K274*VLOOKUP($G274, Factor!$C$4:$N$36, 5, 0)*INDEX(Factor!$C$41:$N$87, _xlfn.XMATCH($C274, Factor!$C$41:$C$87, -1), 5)</f>
        <v>14</v>
      </c>
      <c r="W274" s="18" cm="1">
        <f t="array" ref="W274">L274*VLOOKUP($G274, Factor!$C$4:$N$36, 6, 0)*INDEX(Factor!$C$41:$N$87, _xlfn.XMATCH($C274, Factor!$C$41:$C$87, -1), 6)</f>
        <v>28</v>
      </c>
      <c r="X274" s="18" cm="1">
        <f t="array" ref="X274">M274*VLOOKUP($G274, Factor!$C$4:$N$36, 7, 0)*INDEX(Factor!$C$41:$N$87, _xlfn.XMATCH($C274, Factor!$C$41:$C$87, -1), 7)</f>
        <v>56000</v>
      </c>
      <c r="Y274" s="18" cm="1">
        <f t="array" ref="Y274">N274*VLOOKUP($G274, Factor!$C$4:$N$36, 8, 0)*INDEX(Factor!$C$41:$N$87, _xlfn.XMATCH($C274, Factor!$C$41:$C$87, -1), 8)</f>
        <v>2240</v>
      </c>
      <c r="Z274" s="18" cm="1">
        <f t="array" ref="Z274">O274*VLOOKUP($G274, Factor!$C$4:$N$36, 9, 0)*INDEX(Factor!$C$41:$N$87, _xlfn.XMATCH($C274, Factor!$C$41:$C$87, -1), 9)</f>
        <v>28</v>
      </c>
      <c r="AA274" s="18" cm="1">
        <f t="array" ref="AA274">P274*VLOOKUP($G274, Factor!$C$4:$N$36, 10, 0)*INDEX(Factor!$C$41:$N$87, _xlfn.XMATCH($C274, Factor!$C$41:$C$87, -1), 10)</f>
        <v>2240</v>
      </c>
      <c r="AB274" s="18" cm="1">
        <f t="array" ref="AB274">Q274*VLOOKUP($G274, Factor!$C$4:$N$36, 11, 0)*INDEX(Factor!$C$41:$N$87, _xlfn.XMATCH($C274, Factor!$C$41:$C$87, -1), 11)</f>
        <v>10</v>
      </c>
      <c r="AC274" s="18" cm="1">
        <f t="array" ref="AC274">R274*VLOOKUP($G274, Factor!$C$4:$N$36, 12, 0)*INDEX(Factor!$C$41:$N$87, _xlfn.XMATCH($C274, Factor!$C$41:$C$87, -1), 12)</f>
        <v>10</v>
      </c>
      <c r="AD274" s="18"/>
    </row>
  </sheetData>
  <mergeCells count="1">
    <mergeCell ref="A1:Q1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214"/>
  <sheetViews>
    <sheetView zoomScale="75" zoomScaleNormal="75" workbookViewId="0">
      <pane ySplit="4" topLeftCell="A5" activePane="bottomLeft" state="frozen"/>
      <selection pane="bottomLeft" activeCell="S89" sqref="S89"/>
    </sheetView>
  </sheetViews>
  <sheetFormatPr defaultColWidth="12.5703125" defaultRowHeight="15.75" customHeight="1" x14ac:dyDescent="0.2"/>
  <cols>
    <col min="1" max="17" width="22.7109375" style="13" customWidth="1"/>
    <col min="18" max="18" width="51.28515625" style="13" customWidth="1"/>
    <col min="19" max="16384" width="12.5703125" style="13"/>
  </cols>
  <sheetData>
    <row r="1" spans="1:18" ht="99.95" customHeight="1" x14ac:dyDescent="0.2">
      <c r="A1" s="67" t="s">
        <v>351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</row>
    <row r="2" spans="1:18" ht="15.75" customHeight="1" x14ac:dyDescent="0.2">
      <c r="A2" s="46" t="s">
        <v>513</v>
      </c>
      <c r="B2" s="46" t="s">
        <v>514</v>
      </c>
      <c r="C2" s="46" t="s">
        <v>515</v>
      </c>
      <c r="D2" s="46" t="s">
        <v>467</v>
      </c>
      <c r="E2" s="46" t="s">
        <v>516</v>
      </c>
      <c r="F2" s="46" t="s">
        <v>517</v>
      </c>
      <c r="G2" s="46" t="s">
        <v>518</v>
      </c>
      <c r="H2" s="46" t="s">
        <v>481</v>
      </c>
      <c r="I2" s="46" t="s">
        <v>482</v>
      </c>
      <c r="J2" s="46" t="s">
        <v>483</v>
      </c>
      <c r="K2" s="46" t="s">
        <v>519</v>
      </c>
      <c r="L2" s="46" t="s">
        <v>520</v>
      </c>
      <c r="M2" s="46" t="s">
        <v>493</v>
      </c>
      <c r="N2" s="46" t="s">
        <v>388</v>
      </c>
      <c r="O2" s="46" t="s">
        <v>494</v>
      </c>
      <c r="P2" s="46" t="s">
        <v>521</v>
      </c>
      <c r="Q2" s="46" t="s">
        <v>522</v>
      </c>
      <c r="R2" s="46" t="s">
        <v>523</v>
      </c>
    </row>
    <row r="3" spans="1:18" ht="12.75" x14ac:dyDescent="0.2">
      <c r="A3" s="25" t="s">
        <v>13</v>
      </c>
      <c r="B3" s="25" t="s">
        <v>13</v>
      </c>
      <c r="C3" s="25" t="s">
        <v>28</v>
      </c>
      <c r="D3" s="31" t="s">
        <v>201</v>
      </c>
      <c r="E3" s="31" t="s">
        <v>201</v>
      </c>
      <c r="F3" s="31" t="s">
        <v>201</v>
      </c>
      <c r="G3" s="44" t="s">
        <v>201</v>
      </c>
      <c r="H3" s="31" t="s">
        <v>498</v>
      </c>
      <c r="I3" s="31" t="s">
        <v>498</v>
      </c>
      <c r="J3" s="31" t="s">
        <v>498</v>
      </c>
      <c r="K3" s="31" t="s">
        <v>498</v>
      </c>
      <c r="L3" s="31" t="s">
        <v>498</v>
      </c>
      <c r="M3" s="25" t="s">
        <v>28</v>
      </c>
      <c r="N3" s="25" t="s">
        <v>28</v>
      </c>
      <c r="O3" s="25" t="s">
        <v>28</v>
      </c>
      <c r="P3" s="25" t="s">
        <v>24</v>
      </c>
      <c r="Q3" s="25" t="s">
        <v>28</v>
      </c>
      <c r="R3" s="25" t="s">
        <v>13</v>
      </c>
    </row>
    <row r="4" spans="1:18" ht="12.75" x14ac:dyDescent="0.2">
      <c r="A4" s="9" t="s">
        <v>62</v>
      </c>
      <c r="B4" s="9" t="s">
        <v>64</v>
      </c>
      <c r="C4" s="9" t="s">
        <v>76</v>
      </c>
      <c r="D4" s="9" t="s">
        <v>192</v>
      </c>
      <c r="E4" s="9" t="s">
        <v>192</v>
      </c>
      <c r="F4" s="9" t="s">
        <v>192</v>
      </c>
      <c r="G4" s="9" t="s">
        <v>192</v>
      </c>
      <c r="H4" s="9" t="s">
        <v>67</v>
      </c>
      <c r="I4" s="9" t="s">
        <v>69</v>
      </c>
      <c r="J4" s="9" t="s">
        <v>168</v>
      </c>
      <c r="K4" s="9" t="s">
        <v>73</v>
      </c>
      <c r="L4" s="9" t="s">
        <v>79</v>
      </c>
      <c r="M4" s="9" t="s">
        <v>67</v>
      </c>
      <c r="N4" s="9" t="s">
        <v>69</v>
      </c>
      <c r="O4" s="9" t="s">
        <v>168</v>
      </c>
      <c r="P4" s="9" t="s">
        <v>73</v>
      </c>
      <c r="Q4" s="9" t="s">
        <v>79</v>
      </c>
      <c r="R4" s="9" t="s">
        <v>82</v>
      </c>
    </row>
    <row r="5" spans="1:18" ht="15.75" customHeight="1" x14ac:dyDescent="0.2">
      <c r="A5" s="14" t="str">
        <f>"couch_"&amp;VLOOKUP(F5, Factor!$BQ$4:$BR$6, 2, 0)&amp;"_"&amp;Couch!D5&amp;"_"&amp;VLOOKUP(Couch!E5, Factor!$BS$4:$BT$13, 2, 0)</f>
        <v>couch_Wo_T1_001</v>
      </c>
      <c r="B5" s="15" t="str">
        <f>D5&amp;" "&amp;G5&amp;"객차"</f>
        <v>T1 표준 나무객차</v>
      </c>
      <c r="C5" s="15">
        <f>VLOOKUP(D5, Factor!$P$41:$Q$50, 2, 0)</f>
        <v>2000</v>
      </c>
      <c r="D5" s="15" t="s">
        <v>297</v>
      </c>
      <c r="E5" s="56" t="s">
        <v>582</v>
      </c>
      <c r="F5" s="56" t="s">
        <v>663</v>
      </c>
      <c r="G5" s="15" t="str">
        <f>E5&amp;" " &amp;F5</f>
        <v>표준 나무</v>
      </c>
      <c r="H5" s="15">
        <v>1</v>
      </c>
      <c r="I5" s="15">
        <v>1</v>
      </c>
      <c r="J5" s="15">
        <v>1</v>
      </c>
      <c r="K5" s="15">
        <v>1</v>
      </c>
      <c r="L5" s="15">
        <v>1</v>
      </c>
      <c r="M5" s="15" cm="1">
        <f t="array" ref="M5">H5*VLOOKUP($G5, Factor!$Q$4:$V$36, 2, 0)*INDEX(Factor!$Q$41:$V$87, _xlfn.XMATCH($C5, Factor!$Q$41:$Q$87, -1), 2)</f>
        <v>500</v>
      </c>
      <c r="N5" s="15" cm="1">
        <f t="array" ref="N5">I5*VLOOKUP($G5, Factor!$Q$4:$V$36, 3, 0)*INDEX(Factor!$Q$41:$V$87, _xlfn.XMATCH($C5, Factor!$Q$41:$Q$87, -1), 3)</f>
        <v>10</v>
      </c>
      <c r="O5" s="15" cm="1">
        <f t="array" ref="O5">J5*VLOOKUP($G5, Factor!$Q$4:$V$36, 4, 0)*INDEX(Factor!$Q$41:$V$87, _xlfn.XMATCH($C5, Factor!$Q$41:$Q$87, -1), 4)</f>
        <v>500</v>
      </c>
      <c r="P5" s="15" cm="1">
        <f t="array" ref="P5">K5*VLOOKUP($G5, Factor!$Q$4:$V$36, 5, 0)*INDEX(Factor!$Q$41:$V$87, _xlfn.XMATCH($C5, Factor!$Q$41:$Q$87, -1), 5)</f>
        <v>1</v>
      </c>
      <c r="Q5" s="15" cm="1">
        <f t="array" ref="Q5">L5*VLOOKUP($G5, Factor!$Q$4:$V$36, 6, 0)*INDEX(Factor!$Q$41:$V$87, _xlfn.XMATCH($C5, Factor!$Q$41:$Q$87, -1), 6)</f>
        <v>1000</v>
      </c>
      <c r="R5" s="16"/>
    </row>
    <row r="6" spans="1:18" ht="15.75" customHeight="1" x14ac:dyDescent="0.2">
      <c r="A6" s="17" t="str">
        <f>"couch_"&amp;VLOOKUP(F6, Factor!$BQ$4:$BR$6, 2, 0)&amp;"_"&amp;Couch!D6&amp;"_"&amp;VLOOKUP(Couch!E6, Factor!$BS$4:$BT$13, 2, 0)</f>
        <v>couch_Wo_T1_002</v>
      </c>
      <c r="B6" s="18" t="str">
        <f t="shared" ref="B6:B64" si="0">D6&amp;" "&amp;G6&amp;"객차"</f>
        <v>T1 중갑 나무객차</v>
      </c>
      <c r="C6" s="18">
        <f>VLOOKUP(D6, Factor!$P$41:$Q$50, 2, 0)</f>
        <v>2000</v>
      </c>
      <c r="D6" s="18" t="s">
        <v>297</v>
      </c>
      <c r="E6" s="55" t="s">
        <v>587</v>
      </c>
      <c r="F6" s="55" t="s">
        <v>663</v>
      </c>
      <c r="G6" s="18" t="str">
        <f t="shared" ref="G6:G64" si="1">E6&amp;" " &amp;F6</f>
        <v>중갑 나무</v>
      </c>
      <c r="H6" s="18">
        <v>1</v>
      </c>
      <c r="I6" s="18">
        <v>1</v>
      </c>
      <c r="J6" s="18">
        <v>1</v>
      </c>
      <c r="K6" s="18">
        <v>1</v>
      </c>
      <c r="L6" s="18">
        <v>1</v>
      </c>
      <c r="M6" s="18" cm="1">
        <f t="array" ref="M6">H6*VLOOKUP($G6, Factor!$Q$4:$V$36, 2, 0)*INDEX(Factor!$Q$41:$V$87, _xlfn.XMATCH($C6, Factor!$Q$41:$Q$87, -1), 2)</f>
        <v>500</v>
      </c>
      <c r="N6" s="18" cm="1">
        <f t="array" ref="N6">I6*VLOOKUP($G6, Factor!$Q$4:$V$36, 3, 0)*INDEX(Factor!$Q$41:$V$87, _xlfn.XMATCH($C6, Factor!$Q$41:$Q$87, -1), 3)</f>
        <v>20</v>
      </c>
      <c r="O6" s="18" cm="1">
        <f t="array" ref="O6">J6*VLOOKUP($G6, Factor!$Q$4:$V$36, 4, 0)*INDEX(Factor!$Q$41:$V$87, _xlfn.XMATCH($C6, Factor!$Q$41:$Q$87, -1), 4)</f>
        <v>500</v>
      </c>
      <c r="P6" s="18" cm="1">
        <f t="array" ref="P6">K6*VLOOKUP($G6, Factor!$Q$4:$V$36, 5, 0)*INDEX(Factor!$Q$41:$V$87, _xlfn.XMATCH($C6, Factor!$Q$41:$Q$87, -1), 5)</f>
        <v>1</v>
      </c>
      <c r="Q6" s="18" cm="1">
        <f t="array" ref="Q6">L6*VLOOKUP($G6, Factor!$Q$4:$V$36, 6, 0)*INDEX(Factor!$Q$41:$V$87, _xlfn.XMATCH($C6, Factor!$Q$41:$Q$87, -1), 6)</f>
        <v>2000</v>
      </c>
      <c r="R6" s="19"/>
    </row>
    <row r="7" spans="1:18" ht="15.75" customHeight="1" x14ac:dyDescent="0.2">
      <c r="A7" s="14" t="str">
        <f>"couch_"&amp;VLOOKUP(F7, Factor!$BQ$4:$BR$6, 2, 0)&amp;"_"&amp;Couch!D7&amp;"_"&amp;VLOOKUP(Couch!E7, Factor!$BS$4:$BT$13, 2, 0)</f>
        <v>couch_Wo_T1_003</v>
      </c>
      <c r="B7" s="15" t="str">
        <f t="shared" si="0"/>
        <v>T1 화물 나무객차</v>
      </c>
      <c r="C7" s="15">
        <f>VLOOKUP(D7, Factor!$P$41:$Q$50, 2, 0)</f>
        <v>2000</v>
      </c>
      <c r="D7" s="15" t="s">
        <v>296</v>
      </c>
      <c r="E7" s="56" t="s">
        <v>589</v>
      </c>
      <c r="F7" s="56" t="s">
        <v>663</v>
      </c>
      <c r="G7" s="15" t="str">
        <f t="shared" si="1"/>
        <v>화물 나무</v>
      </c>
      <c r="H7" s="15">
        <v>1</v>
      </c>
      <c r="I7" s="15">
        <v>1</v>
      </c>
      <c r="J7" s="15">
        <v>1</v>
      </c>
      <c r="K7" s="15">
        <v>1</v>
      </c>
      <c r="L7" s="15">
        <v>1</v>
      </c>
      <c r="M7" s="15" cm="1">
        <f t="array" ref="M7">H7*VLOOKUP($G7, Factor!$Q$4:$V$36, 2, 0)*INDEX(Factor!$Q$41:$V$87, _xlfn.XMATCH($C7, Factor!$Q$41:$Q$87, -1), 2)</f>
        <v>500</v>
      </c>
      <c r="N7" s="15" cm="1">
        <f t="array" ref="N7">I7*VLOOKUP($G7, Factor!$Q$4:$V$36, 3, 0)*INDEX(Factor!$Q$41:$V$87, _xlfn.XMATCH($C7, Factor!$Q$41:$Q$87, -1), 3)</f>
        <v>10</v>
      </c>
      <c r="O7" s="15" cm="1">
        <f t="array" ref="O7">J7*VLOOKUP($G7, Factor!$Q$4:$V$36, 4, 0)*INDEX(Factor!$Q$41:$V$87, _xlfn.XMATCH($C7, Factor!$Q$41:$Q$87, -1), 4)</f>
        <v>500</v>
      </c>
      <c r="P7" s="15" cm="1">
        <f t="array" ref="P7">K7*VLOOKUP($G7, Factor!$Q$4:$V$36, 5, 0)*INDEX(Factor!$Q$41:$V$87, _xlfn.XMATCH($C7, Factor!$Q$41:$Q$87, -1), 5)</f>
        <v>0.9</v>
      </c>
      <c r="Q7" s="15" cm="1">
        <f t="array" ref="Q7">L7*VLOOKUP($G7, Factor!$Q$4:$V$36, 6, 0)*INDEX(Factor!$Q$41:$V$87, _xlfn.XMATCH($C7, Factor!$Q$41:$Q$87, -1), 6)</f>
        <v>700</v>
      </c>
      <c r="R7" s="16"/>
    </row>
    <row r="8" spans="1:18" ht="15.75" customHeight="1" x14ac:dyDescent="0.2">
      <c r="A8" s="17" t="str">
        <f>"couch_"&amp;VLOOKUP(F8, Factor!$BQ$4:$BR$6, 2, 0)&amp;"_"&amp;Couch!D8&amp;"_"&amp;VLOOKUP(Couch!E8, Factor!$BS$4:$BT$13, 2, 0)</f>
        <v>couch_Wo_T1_004</v>
      </c>
      <c r="B8" s="18" t="str">
        <f t="shared" si="0"/>
        <v>T1 군용 나무객차</v>
      </c>
      <c r="C8" s="18">
        <f>VLOOKUP(D8, Factor!$P$41:$Q$50, 2, 0)</f>
        <v>2000</v>
      </c>
      <c r="D8" s="18" t="s">
        <v>296</v>
      </c>
      <c r="E8" s="55" t="s">
        <v>591</v>
      </c>
      <c r="F8" s="55" t="s">
        <v>663</v>
      </c>
      <c r="G8" s="18" t="str">
        <f t="shared" si="1"/>
        <v>군용 나무</v>
      </c>
      <c r="H8" s="18">
        <v>1</v>
      </c>
      <c r="I8" s="18">
        <v>1</v>
      </c>
      <c r="J8" s="18">
        <v>1</v>
      </c>
      <c r="K8" s="18">
        <v>1</v>
      </c>
      <c r="L8" s="18">
        <v>1</v>
      </c>
      <c r="M8" s="18" cm="1">
        <f t="array" ref="M8">H8*VLOOKUP($G8, Factor!$Q$4:$V$36, 2, 0)*INDEX(Factor!$Q$41:$V$87, _xlfn.XMATCH($C8, Factor!$Q$41:$Q$87, -1), 2)</f>
        <v>700</v>
      </c>
      <c r="N8" s="18" cm="1">
        <f t="array" ref="N8">I8*VLOOKUP($G8, Factor!$Q$4:$V$36, 3, 0)*INDEX(Factor!$Q$41:$V$87, _xlfn.XMATCH($C8, Factor!$Q$41:$Q$87, -1), 3)</f>
        <v>15</v>
      </c>
      <c r="O8" s="18" cm="1">
        <f t="array" ref="O8">J8*VLOOKUP($G8, Factor!$Q$4:$V$36, 4, 0)*INDEX(Factor!$Q$41:$V$87, _xlfn.XMATCH($C8, Factor!$Q$41:$Q$87, -1), 4)</f>
        <v>700</v>
      </c>
      <c r="P8" s="18" cm="1">
        <f t="array" ref="P8">K8*VLOOKUP($G8, Factor!$Q$4:$V$36, 5, 0)*INDEX(Factor!$Q$41:$V$87, _xlfn.XMATCH($C8, Factor!$Q$41:$Q$87, -1), 5)</f>
        <v>1.1000000000000001</v>
      </c>
      <c r="Q8" s="18" cm="1">
        <f t="array" ref="Q8">L8*VLOOKUP($G8, Factor!$Q$4:$V$36, 6, 0)*INDEX(Factor!$Q$41:$V$87, _xlfn.XMATCH($C8, Factor!$Q$41:$Q$87, -1), 6)</f>
        <v>3000</v>
      </c>
      <c r="R8" s="19"/>
    </row>
    <row r="9" spans="1:18" ht="15.75" customHeight="1" x14ac:dyDescent="0.2">
      <c r="A9" s="14" t="str">
        <f>"couch_"&amp;VLOOKUP(F9, Factor!$BQ$4:$BR$6, 2, 0)&amp;"_"&amp;Couch!D9&amp;"_"&amp;VLOOKUP(Couch!E9, Factor!$BS$4:$BT$13, 2, 0)</f>
        <v>couch_Wo_T1_005</v>
      </c>
      <c r="B9" s="15" t="str">
        <f t="shared" si="0"/>
        <v>T1 여객 나무객차</v>
      </c>
      <c r="C9" s="15">
        <f>VLOOKUP(D9, Factor!$P$41:$Q$50, 2, 0)</f>
        <v>2000</v>
      </c>
      <c r="D9" s="15" t="s">
        <v>296</v>
      </c>
      <c r="E9" s="56" t="s">
        <v>593</v>
      </c>
      <c r="F9" s="56" t="s">
        <v>663</v>
      </c>
      <c r="G9" s="15" t="str">
        <f t="shared" si="1"/>
        <v>여객 나무</v>
      </c>
      <c r="H9" s="15">
        <v>1</v>
      </c>
      <c r="I9" s="15">
        <v>1</v>
      </c>
      <c r="J9" s="15">
        <v>1</v>
      </c>
      <c r="K9" s="15">
        <v>1</v>
      </c>
      <c r="L9" s="15">
        <v>1</v>
      </c>
      <c r="M9" s="15" cm="1">
        <f t="array" ref="M9">H9*VLOOKUP($G9, Factor!$Q$4:$V$36, 2, 0)*INDEX(Factor!$Q$41:$V$87, _xlfn.XMATCH($C9, Factor!$Q$41:$Q$87, -1), 2)</f>
        <v>400</v>
      </c>
      <c r="N9" s="15" cm="1">
        <f t="array" ref="N9">I9*VLOOKUP($G9, Factor!$Q$4:$V$36, 3, 0)*INDEX(Factor!$Q$41:$V$87, _xlfn.XMATCH($C9, Factor!$Q$41:$Q$87, -1), 3)</f>
        <v>8</v>
      </c>
      <c r="O9" s="15" cm="1">
        <f t="array" ref="O9">J9*VLOOKUP($G9, Factor!$Q$4:$V$36, 4, 0)*INDEX(Factor!$Q$41:$V$87, _xlfn.XMATCH($C9, Factor!$Q$41:$Q$87, -1), 4)</f>
        <v>400</v>
      </c>
      <c r="P9" s="15" cm="1">
        <f t="array" ref="P9">K9*VLOOKUP($G9, Factor!$Q$4:$V$36, 5, 0)*INDEX(Factor!$Q$41:$V$87, _xlfn.XMATCH($C9, Factor!$Q$41:$Q$87, -1), 5)</f>
        <v>1.2</v>
      </c>
      <c r="Q9" s="15" cm="1">
        <f t="array" ref="Q9">L9*VLOOKUP($G9, Factor!$Q$4:$V$36, 6, 0)*INDEX(Factor!$Q$41:$V$87, _xlfn.XMATCH($C9, Factor!$Q$41:$Q$87, -1), 6)</f>
        <v>1000</v>
      </c>
      <c r="R9" s="16"/>
    </row>
    <row r="10" spans="1:18" ht="15.75" customHeight="1" x14ac:dyDescent="0.2">
      <c r="A10" s="17" t="str">
        <f>"couch_"&amp;VLOOKUP(F10, Factor!$BQ$4:$BR$6, 2, 0)&amp;"_"&amp;Couch!D10&amp;"_"&amp;VLOOKUP(Couch!E10, Factor!$BS$4:$BT$13, 2, 0)</f>
        <v>couch_Wo_T1_006</v>
      </c>
      <c r="B10" s="18" t="str">
        <f t="shared" si="0"/>
        <v>T1 시운 나무객차</v>
      </c>
      <c r="C10" s="18">
        <f>VLOOKUP(D10, Factor!$P$41:$Q$50, 2, 0)</f>
        <v>2000</v>
      </c>
      <c r="D10" s="18" t="s">
        <v>296</v>
      </c>
      <c r="E10" s="55" t="s">
        <v>595</v>
      </c>
      <c r="F10" s="55" t="s">
        <v>663</v>
      </c>
      <c r="G10" s="18" t="str">
        <f t="shared" si="1"/>
        <v>시운 나무</v>
      </c>
      <c r="H10" s="18">
        <v>1</v>
      </c>
      <c r="I10" s="18">
        <v>1</v>
      </c>
      <c r="J10" s="18">
        <v>1</v>
      </c>
      <c r="K10" s="18">
        <v>1</v>
      </c>
      <c r="L10" s="18">
        <v>1</v>
      </c>
      <c r="M10" s="18" cm="1">
        <f t="array" ref="M10">H10*VLOOKUP($G10, Factor!$Q$4:$V$36, 2, 0)*INDEX(Factor!$Q$41:$V$87, _xlfn.XMATCH($C10, Factor!$Q$41:$Q$87, -1), 2)</f>
        <v>200</v>
      </c>
      <c r="N10" s="18" cm="1">
        <f t="array" ref="N10">I10*VLOOKUP($G10, Factor!$Q$4:$V$36, 3, 0)*INDEX(Factor!$Q$41:$V$87, _xlfn.XMATCH($C10, Factor!$Q$41:$Q$87, -1), 3)</f>
        <v>10</v>
      </c>
      <c r="O10" s="18" cm="1">
        <f t="array" ref="O10">J10*VLOOKUP($G10, Factor!$Q$4:$V$36, 4, 0)*INDEX(Factor!$Q$41:$V$87, _xlfn.XMATCH($C10, Factor!$Q$41:$Q$87, -1), 4)</f>
        <v>800</v>
      </c>
      <c r="P10" s="18" cm="1">
        <f t="array" ref="P10">K10*VLOOKUP($G10, Factor!$Q$4:$V$36, 5, 0)*INDEX(Factor!$Q$41:$V$87, _xlfn.XMATCH($C10, Factor!$Q$41:$Q$87, -1), 5)</f>
        <v>1</v>
      </c>
      <c r="Q10" s="18" cm="1">
        <f t="array" ref="Q10">L10*VLOOKUP($G10, Factor!$Q$4:$V$36, 6, 0)*INDEX(Factor!$Q$41:$V$87, _xlfn.XMATCH($C10, Factor!$Q$41:$Q$87, -1), 6)</f>
        <v>1000</v>
      </c>
      <c r="R10" s="19"/>
    </row>
    <row r="11" spans="1:18" ht="15.75" customHeight="1" x14ac:dyDescent="0.2">
      <c r="A11" s="14" t="str">
        <f>"couch_"&amp;VLOOKUP(F11, Factor!$BQ$4:$BR$6, 2, 0)&amp;"_"&amp;Couch!D11&amp;"_"&amp;VLOOKUP(Couch!E11, Factor!$BS$4:$BT$13, 2, 0)</f>
        <v>couch_Wo_T1_007</v>
      </c>
      <c r="B11" s="15" t="str">
        <f t="shared" si="0"/>
        <v>T1 경량 나무객차</v>
      </c>
      <c r="C11" s="15">
        <f>VLOOKUP(D11, Factor!$P$41:$Q$50, 2, 0)</f>
        <v>2000</v>
      </c>
      <c r="D11" s="15" t="s">
        <v>296</v>
      </c>
      <c r="E11" s="56" t="s">
        <v>585</v>
      </c>
      <c r="F11" s="56" t="s">
        <v>663</v>
      </c>
      <c r="G11" s="15" t="str">
        <f t="shared" si="1"/>
        <v>경량 나무</v>
      </c>
      <c r="H11" s="15">
        <v>1</v>
      </c>
      <c r="I11" s="15">
        <v>1</v>
      </c>
      <c r="J11" s="15">
        <v>1</v>
      </c>
      <c r="K11" s="15">
        <v>1</v>
      </c>
      <c r="L11" s="15">
        <v>1</v>
      </c>
      <c r="M11" s="15" cm="1">
        <f t="array" ref="M11">H11*VLOOKUP($G11, Factor!$Q$4:$V$36, 2, 0)*INDEX(Factor!$Q$41:$V$87, _xlfn.XMATCH($C11, Factor!$Q$41:$Q$87, -1), 2)</f>
        <v>300</v>
      </c>
      <c r="N11" s="15" cm="1">
        <f t="array" ref="N11">I11*VLOOKUP($G11, Factor!$Q$4:$V$36, 3, 0)*INDEX(Factor!$Q$41:$V$87, _xlfn.XMATCH($C11, Factor!$Q$41:$Q$87, -1), 3)</f>
        <v>8</v>
      </c>
      <c r="O11" s="15" cm="1">
        <f t="array" ref="O11">J11*VLOOKUP($G11, Factor!$Q$4:$V$36, 4, 0)*INDEX(Factor!$Q$41:$V$87, _xlfn.XMATCH($C11, Factor!$Q$41:$Q$87, -1), 4)</f>
        <v>300</v>
      </c>
      <c r="P11" s="15" cm="1">
        <f t="array" ref="P11">K11*VLOOKUP($G11, Factor!$Q$4:$V$36, 5, 0)*INDEX(Factor!$Q$41:$V$87, _xlfn.XMATCH($C11, Factor!$Q$41:$Q$87, -1), 5)</f>
        <v>1</v>
      </c>
      <c r="Q11" s="15" cm="1">
        <f t="array" ref="Q11">L11*VLOOKUP($G11, Factor!$Q$4:$V$36, 6, 0)*INDEX(Factor!$Q$41:$V$87, _xlfn.XMATCH($C11, Factor!$Q$41:$Q$87, -1), 6)</f>
        <v>500</v>
      </c>
      <c r="R11" s="16"/>
    </row>
    <row r="12" spans="1:18" ht="15.75" customHeight="1" x14ac:dyDescent="0.2">
      <c r="A12" s="17" t="str">
        <f>"couch_"&amp;VLOOKUP(F12, Factor!$BQ$4:$BR$6, 2, 0)&amp;"_"&amp;Couch!D12&amp;"_"&amp;VLOOKUP(Couch!E12, Factor!$BS$4:$BT$13, 2, 0)</f>
        <v>couch_St_T1_001</v>
      </c>
      <c r="B12" s="18" t="str">
        <f t="shared" si="0"/>
        <v>T1 표준 강철객차</v>
      </c>
      <c r="C12" s="18">
        <f>VLOOKUP(D12, Factor!$P$41:$Q$50, 2, 0)</f>
        <v>2000</v>
      </c>
      <c r="D12" s="18" t="s">
        <v>296</v>
      </c>
      <c r="E12" s="55" t="s">
        <v>582</v>
      </c>
      <c r="F12" s="55" t="s">
        <v>597</v>
      </c>
      <c r="G12" s="18" t="str">
        <f t="shared" si="1"/>
        <v>표준 강철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 cm="1">
        <f t="array" ref="M12">H12*VLOOKUP($G12, Factor!$Q$4:$V$36, 2, 0)*INDEX(Factor!$Q$41:$V$87, _xlfn.XMATCH($C12, Factor!$Q$41:$Q$87, -1), 2)</f>
        <v>700</v>
      </c>
      <c r="N12" s="18" cm="1">
        <f t="array" ref="N12">I12*VLOOKUP($G12, Factor!$Q$4:$V$36, 3, 0)*INDEX(Factor!$Q$41:$V$87, _xlfn.XMATCH($C12, Factor!$Q$41:$Q$87, -1), 3)</f>
        <v>20</v>
      </c>
      <c r="O12" s="18" cm="1">
        <f t="array" ref="O12">J12*VLOOKUP($G12, Factor!$Q$4:$V$36, 4, 0)*INDEX(Factor!$Q$41:$V$87, _xlfn.XMATCH($C12, Factor!$Q$41:$Q$87, -1), 4)</f>
        <v>700</v>
      </c>
      <c r="P12" s="18" cm="1">
        <f t="array" ref="P12">K12*VLOOKUP($G12, Factor!$Q$4:$V$36, 5, 0)*INDEX(Factor!$Q$41:$V$87, _xlfn.XMATCH($C12, Factor!$Q$41:$Q$87, -1), 5)</f>
        <v>1.2</v>
      </c>
      <c r="Q12" s="18" cm="1">
        <f t="array" ref="Q12">L12*VLOOKUP($G12, Factor!$Q$4:$V$36, 6, 0)*INDEX(Factor!$Q$41:$V$87, _xlfn.XMATCH($C12, Factor!$Q$41:$Q$87, -1), 6)</f>
        <v>1500</v>
      </c>
      <c r="R12" s="19"/>
    </row>
    <row r="13" spans="1:18" ht="15.75" customHeight="1" x14ac:dyDescent="0.2">
      <c r="A13" s="14" t="str">
        <f>"couch_"&amp;VLOOKUP(F13, Factor!$BQ$4:$BR$6, 2, 0)&amp;"_"&amp;Couch!D13&amp;"_"&amp;VLOOKUP(Couch!E13, Factor!$BS$4:$BT$13, 2, 0)</f>
        <v>couch_St_T1_002</v>
      </c>
      <c r="B13" s="15" t="str">
        <f t="shared" si="0"/>
        <v>T1 중갑 강철객차</v>
      </c>
      <c r="C13" s="15">
        <f>VLOOKUP(D13, Factor!$P$41:$Q$50, 2, 0)</f>
        <v>2000</v>
      </c>
      <c r="D13" s="15" t="s">
        <v>296</v>
      </c>
      <c r="E13" s="56" t="s">
        <v>587</v>
      </c>
      <c r="F13" s="56" t="s">
        <v>597</v>
      </c>
      <c r="G13" s="15" t="str">
        <f t="shared" si="1"/>
        <v>중갑 강철</v>
      </c>
      <c r="H13" s="15">
        <v>1</v>
      </c>
      <c r="I13" s="15">
        <v>1</v>
      </c>
      <c r="J13" s="15">
        <v>1</v>
      </c>
      <c r="K13" s="15">
        <v>1</v>
      </c>
      <c r="L13" s="15">
        <v>1</v>
      </c>
      <c r="M13" s="15" cm="1">
        <f t="array" ref="M13">H13*VLOOKUP($G13, Factor!$Q$4:$V$36, 2, 0)*INDEX(Factor!$Q$41:$V$87, _xlfn.XMATCH($C13, Factor!$Q$41:$Q$87, -1), 2)</f>
        <v>700</v>
      </c>
      <c r="N13" s="15" cm="1">
        <f t="array" ref="N13">I13*VLOOKUP($G13, Factor!$Q$4:$V$36, 3, 0)*INDEX(Factor!$Q$41:$V$87, _xlfn.XMATCH($C13, Factor!$Q$41:$Q$87, -1), 3)</f>
        <v>35</v>
      </c>
      <c r="O13" s="15" cm="1">
        <f t="array" ref="O13">J13*VLOOKUP($G13, Factor!$Q$4:$V$36, 4, 0)*INDEX(Factor!$Q$41:$V$87, _xlfn.XMATCH($C13, Factor!$Q$41:$Q$87, -1), 4)</f>
        <v>700</v>
      </c>
      <c r="P13" s="15" cm="1">
        <f t="array" ref="P13">K13*VLOOKUP($G13, Factor!$Q$4:$V$36, 5, 0)*INDEX(Factor!$Q$41:$V$87, _xlfn.XMATCH($C13, Factor!$Q$41:$Q$87, -1), 5)</f>
        <v>1.2</v>
      </c>
      <c r="Q13" s="15" cm="1">
        <f t="array" ref="Q13">L13*VLOOKUP($G13, Factor!$Q$4:$V$36, 6, 0)*INDEX(Factor!$Q$41:$V$87, _xlfn.XMATCH($C13, Factor!$Q$41:$Q$87, -1), 6)</f>
        <v>3000</v>
      </c>
      <c r="R13" s="16"/>
    </row>
    <row r="14" spans="1:18" ht="15.75" customHeight="1" x14ac:dyDescent="0.2">
      <c r="A14" s="17" t="str">
        <f>"couch_"&amp;VLOOKUP(F14, Factor!$BQ$4:$BR$6, 2, 0)&amp;"_"&amp;Couch!D14&amp;"_"&amp;VLOOKUP(Couch!E14, Factor!$BS$4:$BT$13, 2, 0)</f>
        <v>couch_St_T1_003</v>
      </c>
      <c r="B14" s="18" t="str">
        <f t="shared" si="0"/>
        <v>T1 화물 강철객차</v>
      </c>
      <c r="C14" s="18">
        <f>VLOOKUP(D14, Factor!$P$41:$Q$50, 2, 0)</f>
        <v>2000</v>
      </c>
      <c r="D14" s="18" t="s">
        <v>296</v>
      </c>
      <c r="E14" s="55" t="s">
        <v>589</v>
      </c>
      <c r="F14" s="55" t="s">
        <v>597</v>
      </c>
      <c r="G14" s="18" t="str">
        <f t="shared" si="1"/>
        <v>화물 강철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 cm="1">
        <f t="array" ref="M14">H14*VLOOKUP($G14, Factor!$Q$4:$V$36, 2, 0)*INDEX(Factor!$Q$41:$V$87, _xlfn.XMATCH($C14, Factor!$Q$41:$Q$87, -1), 2)</f>
        <v>700</v>
      </c>
      <c r="N14" s="18" cm="1">
        <f t="array" ref="N14">I14*VLOOKUP($G14, Factor!$Q$4:$V$36, 3, 0)*INDEX(Factor!$Q$41:$V$87, _xlfn.XMATCH($C14, Factor!$Q$41:$Q$87, -1), 3)</f>
        <v>20</v>
      </c>
      <c r="O14" s="18" cm="1">
        <f t="array" ref="O14">J14*VLOOKUP($G14, Factor!$Q$4:$V$36, 4, 0)*INDEX(Factor!$Q$41:$V$87, _xlfn.XMATCH($C14, Factor!$Q$41:$Q$87, -1), 4)</f>
        <v>700</v>
      </c>
      <c r="P14" s="18" cm="1">
        <f t="array" ref="P14">K14*VLOOKUP($G14, Factor!$Q$4:$V$36, 5, 0)*INDEX(Factor!$Q$41:$V$87, _xlfn.XMATCH($C14, Factor!$Q$41:$Q$87, -1), 5)</f>
        <v>1.1000000000000001</v>
      </c>
      <c r="Q14" s="18" cm="1">
        <f t="array" ref="Q14">L14*VLOOKUP($G14, Factor!$Q$4:$V$36, 6, 0)*INDEX(Factor!$Q$41:$V$87, _xlfn.XMATCH($C14, Factor!$Q$41:$Q$87, -1), 6)</f>
        <v>1000</v>
      </c>
      <c r="R14" s="19"/>
    </row>
    <row r="15" spans="1:18" ht="15.75" customHeight="1" x14ac:dyDescent="0.2">
      <c r="A15" s="14" t="str">
        <f>"couch_"&amp;VLOOKUP(F15, Factor!$BQ$4:$BR$6, 2, 0)&amp;"_"&amp;Couch!D15&amp;"_"&amp;VLOOKUP(Couch!E15, Factor!$BS$4:$BT$13, 2, 0)</f>
        <v>couch_St_T1_004</v>
      </c>
      <c r="B15" s="15" t="str">
        <f t="shared" si="0"/>
        <v>T1 군용 강철객차</v>
      </c>
      <c r="C15" s="15">
        <f>VLOOKUP(D15, Factor!$P$41:$Q$50, 2, 0)</f>
        <v>2000</v>
      </c>
      <c r="D15" s="15" t="s">
        <v>296</v>
      </c>
      <c r="E15" s="56" t="s">
        <v>591</v>
      </c>
      <c r="F15" s="56" t="s">
        <v>597</v>
      </c>
      <c r="G15" s="15" t="str">
        <f t="shared" si="1"/>
        <v>군용 강철</v>
      </c>
      <c r="H15" s="15">
        <v>1</v>
      </c>
      <c r="I15" s="15">
        <v>1</v>
      </c>
      <c r="J15" s="15">
        <v>1</v>
      </c>
      <c r="K15" s="15">
        <v>1</v>
      </c>
      <c r="L15" s="15">
        <v>1</v>
      </c>
      <c r="M15" s="15" cm="1">
        <f t="array" ref="M15">H15*VLOOKUP($G15, Factor!$Q$4:$V$36, 2, 0)*INDEX(Factor!$Q$41:$V$87, _xlfn.XMATCH($C15, Factor!$Q$41:$Q$87, -1), 2)</f>
        <v>900</v>
      </c>
      <c r="N15" s="15" cm="1">
        <f t="array" ref="N15">I15*VLOOKUP($G15, Factor!$Q$4:$V$36, 3, 0)*INDEX(Factor!$Q$41:$V$87, _xlfn.XMATCH($C15, Factor!$Q$41:$Q$87, -1), 3)</f>
        <v>30</v>
      </c>
      <c r="O15" s="15" cm="1">
        <f t="array" ref="O15">J15*VLOOKUP($G15, Factor!$Q$4:$V$36, 4, 0)*INDEX(Factor!$Q$41:$V$87, _xlfn.XMATCH($C15, Factor!$Q$41:$Q$87, -1), 4)</f>
        <v>900</v>
      </c>
      <c r="P15" s="15" cm="1">
        <f t="array" ref="P15">K15*VLOOKUP($G15, Factor!$Q$4:$V$36, 5, 0)*INDEX(Factor!$Q$41:$V$87, _xlfn.XMATCH($C15, Factor!$Q$41:$Q$87, -1), 5)</f>
        <v>1.3</v>
      </c>
      <c r="Q15" s="15" cm="1">
        <f t="array" ref="Q15">L15*VLOOKUP($G15, Factor!$Q$4:$V$36, 6, 0)*INDEX(Factor!$Q$41:$V$87, _xlfn.XMATCH($C15, Factor!$Q$41:$Q$87, -1), 6)</f>
        <v>4500</v>
      </c>
      <c r="R15" s="16"/>
    </row>
    <row r="16" spans="1:18" ht="15.75" customHeight="1" x14ac:dyDescent="0.2">
      <c r="A16" s="17" t="str">
        <f>"couch_"&amp;VLOOKUP(F16, Factor!$BQ$4:$BR$6, 2, 0)&amp;"_"&amp;Couch!D16&amp;"_"&amp;VLOOKUP(Couch!E16, Factor!$BS$4:$BT$13, 2, 0)</f>
        <v>couch_St_T1_005</v>
      </c>
      <c r="B16" s="18" t="str">
        <f t="shared" si="0"/>
        <v>T1 여객 강철객차</v>
      </c>
      <c r="C16" s="18">
        <f>VLOOKUP(D16, Factor!$P$41:$Q$50, 2, 0)</f>
        <v>2000</v>
      </c>
      <c r="D16" s="18" t="s">
        <v>296</v>
      </c>
      <c r="E16" s="55" t="s">
        <v>593</v>
      </c>
      <c r="F16" s="55" t="s">
        <v>597</v>
      </c>
      <c r="G16" s="18" t="str">
        <f t="shared" si="1"/>
        <v>여객 강철</v>
      </c>
      <c r="H16" s="18">
        <v>1</v>
      </c>
      <c r="I16" s="18">
        <v>1</v>
      </c>
      <c r="J16" s="18">
        <v>1</v>
      </c>
      <c r="K16" s="18">
        <v>1</v>
      </c>
      <c r="L16" s="18">
        <v>1</v>
      </c>
      <c r="M16" s="18" cm="1">
        <f t="array" ref="M16">H16*VLOOKUP($G16, Factor!$Q$4:$V$36, 2, 0)*INDEX(Factor!$Q$41:$V$87, _xlfn.XMATCH($C16, Factor!$Q$41:$Q$87, -1), 2)</f>
        <v>600</v>
      </c>
      <c r="N16" s="18" cm="1">
        <f t="array" ref="N16">I16*VLOOKUP($G16, Factor!$Q$4:$V$36, 3, 0)*INDEX(Factor!$Q$41:$V$87, _xlfn.XMATCH($C16, Factor!$Q$41:$Q$87, -1), 3)</f>
        <v>20</v>
      </c>
      <c r="O16" s="18" cm="1">
        <f t="array" ref="O16">J16*VLOOKUP($G16, Factor!$Q$4:$V$36, 4, 0)*INDEX(Factor!$Q$41:$V$87, _xlfn.XMATCH($C16, Factor!$Q$41:$Q$87, -1), 4)</f>
        <v>600</v>
      </c>
      <c r="P16" s="18" cm="1">
        <f t="array" ref="P16">K16*VLOOKUP($G16, Factor!$Q$4:$V$36, 5, 0)*INDEX(Factor!$Q$41:$V$87, _xlfn.XMATCH($C16, Factor!$Q$41:$Q$87, -1), 5)</f>
        <v>1.4</v>
      </c>
      <c r="Q16" s="18" cm="1">
        <f t="array" ref="Q16">L16*VLOOKUP($G16, Factor!$Q$4:$V$36, 6, 0)*INDEX(Factor!$Q$41:$V$87, _xlfn.XMATCH($C16, Factor!$Q$41:$Q$87, -1), 6)</f>
        <v>1500</v>
      </c>
      <c r="R16" s="19"/>
    </row>
    <row r="17" spans="1:18" ht="15.75" customHeight="1" x14ac:dyDescent="0.2">
      <c r="A17" s="14" t="str">
        <f>"couch_"&amp;VLOOKUP(F17, Factor!$BQ$4:$BR$6, 2, 0)&amp;"_"&amp;Couch!D17&amp;"_"&amp;VLOOKUP(Couch!E17, Factor!$BS$4:$BT$13, 2, 0)</f>
        <v>couch_St_T1_006</v>
      </c>
      <c r="B17" s="15" t="str">
        <f t="shared" si="0"/>
        <v>T1 시운 강철객차</v>
      </c>
      <c r="C17" s="15">
        <f>VLOOKUP(D17, Factor!$P$41:$Q$50, 2, 0)</f>
        <v>2000</v>
      </c>
      <c r="D17" s="15" t="s">
        <v>296</v>
      </c>
      <c r="E17" s="56" t="s">
        <v>595</v>
      </c>
      <c r="F17" s="56" t="s">
        <v>597</v>
      </c>
      <c r="G17" s="15" t="str">
        <f t="shared" si="1"/>
        <v>시운 강철</v>
      </c>
      <c r="H17" s="15">
        <v>1</v>
      </c>
      <c r="I17" s="15">
        <v>1</v>
      </c>
      <c r="J17" s="15">
        <v>1</v>
      </c>
      <c r="K17" s="15">
        <v>1</v>
      </c>
      <c r="L17" s="15">
        <v>1</v>
      </c>
      <c r="M17" s="15" cm="1">
        <f t="array" ref="M17">H17*VLOOKUP($G17, Factor!$Q$4:$V$36, 2, 0)*INDEX(Factor!$Q$41:$V$87, _xlfn.XMATCH($C17, Factor!$Q$41:$Q$87, -1), 2)</f>
        <v>300</v>
      </c>
      <c r="N17" s="15" cm="1">
        <f t="array" ref="N17">I17*VLOOKUP($G17, Factor!$Q$4:$V$36, 3, 0)*INDEX(Factor!$Q$41:$V$87, _xlfn.XMATCH($C17, Factor!$Q$41:$Q$87, -1), 3)</f>
        <v>20</v>
      </c>
      <c r="O17" s="15" cm="1">
        <f t="array" ref="O17">J17*VLOOKUP($G17, Factor!$Q$4:$V$36, 4, 0)*INDEX(Factor!$Q$41:$V$87, _xlfn.XMATCH($C17, Factor!$Q$41:$Q$87, -1), 4)</f>
        <v>1100</v>
      </c>
      <c r="P17" s="15" cm="1">
        <f t="array" ref="P17">K17*VLOOKUP($G17, Factor!$Q$4:$V$36, 5, 0)*INDEX(Factor!$Q$41:$V$87, _xlfn.XMATCH($C17, Factor!$Q$41:$Q$87, -1), 5)</f>
        <v>1.2</v>
      </c>
      <c r="Q17" s="15" cm="1">
        <f t="array" ref="Q17">L17*VLOOKUP($G17, Factor!$Q$4:$V$36, 6, 0)*INDEX(Factor!$Q$41:$V$87, _xlfn.XMATCH($C17, Factor!$Q$41:$Q$87, -1), 6)</f>
        <v>1500</v>
      </c>
      <c r="R17" s="16"/>
    </row>
    <row r="18" spans="1:18" ht="15.75" customHeight="1" x14ac:dyDescent="0.2">
      <c r="A18" s="17" t="str">
        <f>"couch_"&amp;VLOOKUP(F18, Factor!$BQ$4:$BR$6, 2, 0)&amp;"_"&amp;Couch!D18&amp;"_"&amp;VLOOKUP(Couch!E18, Factor!$BS$4:$BT$13, 2, 0)</f>
        <v>couch_St_T1_007</v>
      </c>
      <c r="B18" s="18" t="str">
        <f t="shared" si="0"/>
        <v>T1 경량 강철객차</v>
      </c>
      <c r="C18" s="18">
        <f>VLOOKUP(D18, Factor!$P$41:$Q$50, 2, 0)</f>
        <v>2000</v>
      </c>
      <c r="D18" s="18" t="s">
        <v>296</v>
      </c>
      <c r="E18" s="55" t="s">
        <v>585</v>
      </c>
      <c r="F18" s="55" t="s">
        <v>597</v>
      </c>
      <c r="G18" s="18" t="str">
        <f t="shared" si="1"/>
        <v>경량 강철</v>
      </c>
      <c r="H18" s="18">
        <v>1</v>
      </c>
      <c r="I18" s="18">
        <v>1</v>
      </c>
      <c r="J18" s="18">
        <v>1</v>
      </c>
      <c r="K18" s="18">
        <v>1</v>
      </c>
      <c r="L18" s="18">
        <v>1</v>
      </c>
      <c r="M18" s="18" cm="1">
        <f t="array" ref="M18">H18*VLOOKUP($G18, Factor!$Q$4:$V$36, 2, 0)*INDEX(Factor!$Q$41:$V$87, _xlfn.XMATCH($C18, Factor!$Q$41:$Q$87, -1), 2)</f>
        <v>400</v>
      </c>
      <c r="N18" s="18" cm="1">
        <f t="array" ref="N18">I18*VLOOKUP($G18, Factor!$Q$4:$V$36, 3, 0)*INDEX(Factor!$Q$41:$V$87, _xlfn.XMATCH($C18, Factor!$Q$41:$Q$87, -1), 3)</f>
        <v>15</v>
      </c>
      <c r="O18" s="18" cm="1">
        <f t="array" ref="O18">J18*VLOOKUP($G18, Factor!$Q$4:$V$36, 4, 0)*INDEX(Factor!$Q$41:$V$87, _xlfn.XMATCH($C18, Factor!$Q$41:$Q$87, -1), 4)</f>
        <v>400</v>
      </c>
      <c r="P18" s="18" cm="1">
        <f t="array" ref="P18">K18*VLOOKUP($G18, Factor!$Q$4:$V$36, 5, 0)*INDEX(Factor!$Q$41:$V$87, _xlfn.XMATCH($C18, Factor!$Q$41:$Q$87, -1), 5)</f>
        <v>1.2</v>
      </c>
      <c r="Q18" s="18" cm="1">
        <f t="array" ref="Q18">L18*VLOOKUP($G18, Factor!$Q$4:$V$36, 6, 0)*INDEX(Factor!$Q$41:$V$87, _xlfn.XMATCH($C18, Factor!$Q$41:$Q$87, -1), 6)</f>
        <v>700</v>
      </c>
      <c r="R18" s="19"/>
    </row>
    <row r="19" spans="1:18" ht="15.75" customHeight="1" x14ac:dyDescent="0.2">
      <c r="A19" s="14" t="str">
        <f>"couch_"&amp;VLOOKUP(F19, Factor!$BQ$4:$BR$6, 2, 0)&amp;"_"&amp;Couch!D19&amp;"_"&amp;VLOOKUP(Couch!E19, Factor!$BS$4:$BT$13, 2, 0)</f>
        <v>couch_Ti_T1_001</v>
      </c>
      <c r="B19" s="15" t="str">
        <f t="shared" si="0"/>
        <v>T1 표준 티타늄객차</v>
      </c>
      <c r="C19" s="15">
        <f>VLOOKUP(D19, Factor!$P$41:$Q$50, 2, 0)</f>
        <v>2000</v>
      </c>
      <c r="D19" s="15" t="s">
        <v>296</v>
      </c>
      <c r="E19" s="56" t="s">
        <v>582</v>
      </c>
      <c r="F19" s="56" t="s">
        <v>598</v>
      </c>
      <c r="G19" s="15" t="str">
        <f t="shared" si="1"/>
        <v>표준 티타늄</v>
      </c>
      <c r="H19" s="15">
        <v>1</v>
      </c>
      <c r="I19" s="15">
        <v>1</v>
      </c>
      <c r="J19" s="15">
        <v>1</v>
      </c>
      <c r="K19" s="15">
        <v>1</v>
      </c>
      <c r="L19" s="15">
        <v>1</v>
      </c>
      <c r="M19" s="15" cm="1">
        <f t="array" ref="M19">H19*VLOOKUP($G19, Factor!$Q$4:$V$36, 2, 0)*INDEX(Factor!$Q$41:$V$87, _xlfn.XMATCH($C19, Factor!$Q$41:$Q$87, -1), 2)</f>
        <v>1000</v>
      </c>
      <c r="N19" s="15" cm="1">
        <f t="array" ref="N19">I19*VLOOKUP($G19, Factor!$Q$4:$V$36, 3, 0)*INDEX(Factor!$Q$41:$V$87, _xlfn.XMATCH($C19, Factor!$Q$41:$Q$87, -1), 3)</f>
        <v>30</v>
      </c>
      <c r="O19" s="15" cm="1">
        <f t="array" ref="O19">J19*VLOOKUP($G19, Factor!$Q$4:$V$36, 4, 0)*INDEX(Factor!$Q$41:$V$87, _xlfn.XMATCH($C19, Factor!$Q$41:$Q$87, -1), 4)</f>
        <v>1000</v>
      </c>
      <c r="P19" s="15" cm="1">
        <f t="array" ref="P19">K19*VLOOKUP($G19, Factor!$Q$4:$V$36, 5, 0)*INDEX(Factor!$Q$41:$V$87, _xlfn.XMATCH($C19, Factor!$Q$41:$Q$87, -1), 5)</f>
        <v>1.4</v>
      </c>
      <c r="Q19" s="15" cm="1">
        <f t="array" ref="Q19">L19*VLOOKUP($G19, Factor!$Q$4:$V$36, 6, 0)*INDEX(Factor!$Q$41:$V$87, _xlfn.XMATCH($C19, Factor!$Q$41:$Q$87, -1), 6)</f>
        <v>2000</v>
      </c>
      <c r="R19" s="16"/>
    </row>
    <row r="20" spans="1:18" ht="15.75" customHeight="1" x14ac:dyDescent="0.2">
      <c r="A20" s="17" t="str">
        <f>"couch_"&amp;VLOOKUP(F20, Factor!$BQ$4:$BR$6, 2, 0)&amp;"_"&amp;Couch!D20&amp;"_"&amp;VLOOKUP(Couch!E20, Factor!$BS$4:$BT$13, 2, 0)</f>
        <v>couch_Ti_T1_002</v>
      </c>
      <c r="B20" s="18" t="str">
        <f t="shared" si="0"/>
        <v>T1 중갑 티타늄객차</v>
      </c>
      <c r="C20" s="18">
        <f>VLOOKUP(D20, Factor!$P$41:$Q$50, 2, 0)</f>
        <v>2000</v>
      </c>
      <c r="D20" s="18" t="s">
        <v>296</v>
      </c>
      <c r="E20" s="55" t="s">
        <v>587</v>
      </c>
      <c r="F20" s="55" t="s">
        <v>598</v>
      </c>
      <c r="G20" s="18" t="str">
        <f t="shared" si="1"/>
        <v>중갑 티타늄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 cm="1">
        <f t="array" ref="M20">H20*VLOOKUP($G20, Factor!$Q$4:$V$36, 2, 0)*INDEX(Factor!$Q$41:$V$87, _xlfn.XMATCH($C20, Factor!$Q$41:$Q$87, -1), 2)</f>
        <v>1000</v>
      </c>
      <c r="N20" s="18" cm="1">
        <f t="array" ref="N20">I20*VLOOKUP($G20, Factor!$Q$4:$V$36, 3, 0)*INDEX(Factor!$Q$41:$V$87, _xlfn.XMATCH($C20, Factor!$Q$41:$Q$87, -1), 3)</f>
        <v>55</v>
      </c>
      <c r="O20" s="18" cm="1">
        <f t="array" ref="O20">J20*VLOOKUP($G20, Factor!$Q$4:$V$36, 4, 0)*INDEX(Factor!$Q$41:$V$87, _xlfn.XMATCH($C20, Factor!$Q$41:$Q$87, -1), 4)</f>
        <v>1000</v>
      </c>
      <c r="P20" s="18" cm="1">
        <f t="array" ref="P20">K20*VLOOKUP($G20, Factor!$Q$4:$V$36, 5, 0)*INDEX(Factor!$Q$41:$V$87, _xlfn.XMATCH($C20, Factor!$Q$41:$Q$87, -1), 5)</f>
        <v>1.4</v>
      </c>
      <c r="Q20" s="18" cm="1">
        <f t="array" ref="Q20">L20*VLOOKUP($G20, Factor!$Q$4:$V$36, 6, 0)*INDEX(Factor!$Q$41:$V$87, _xlfn.XMATCH($C20, Factor!$Q$41:$Q$87, -1), 6)</f>
        <v>4000</v>
      </c>
      <c r="R20" s="19"/>
    </row>
    <row r="21" spans="1:18" ht="15.75" customHeight="1" x14ac:dyDescent="0.2">
      <c r="A21" s="14" t="str">
        <f>"couch_"&amp;VLOOKUP(F21, Factor!$BQ$4:$BR$6, 2, 0)&amp;"_"&amp;Couch!D21&amp;"_"&amp;VLOOKUP(Couch!E21, Factor!$BS$4:$BT$13, 2, 0)</f>
        <v>couch_Ti_T1_003</v>
      </c>
      <c r="B21" s="15" t="str">
        <f t="shared" si="0"/>
        <v>T1 화물 티타늄객차</v>
      </c>
      <c r="C21" s="15">
        <f>VLOOKUP(D21, Factor!$P$41:$Q$50, 2, 0)</f>
        <v>2000</v>
      </c>
      <c r="D21" s="15" t="s">
        <v>296</v>
      </c>
      <c r="E21" s="56" t="s">
        <v>589</v>
      </c>
      <c r="F21" s="56" t="s">
        <v>598</v>
      </c>
      <c r="G21" s="15" t="str">
        <f t="shared" si="1"/>
        <v>화물 티타늄</v>
      </c>
      <c r="H21" s="15">
        <v>1</v>
      </c>
      <c r="I21" s="15">
        <v>1</v>
      </c>
      <c r="J21" s="15">
        <v>1</v>
      </c>
      <c r="K21" s="15">
        <v>1</v>
      </c>
      <c r="L21" s="15">
        <v>1</v>
      </c>
      <c r="M21" s="15" cm="1">
        <f t="array" ref="M21">H21*VLOOKUP($G21, Factor!$Q$4:$V$36, 2, 0)*INDEX(Factor!$Q$41:$V$87, _xlfn.XMATCH($C21, Factor!$Q$41:$Q$87, -1), 2)</f>
        <v>1000</v>
      </c>
      <c r="N21" s="15" cm="1">
        <f t="array" ref="N21">I21*VLOOKUP($G21, Factor!$Q$4:$V$36, 3, 0)*INDEX(Factor!$Q$41:$V$87, _xlfn.XMATCH($C21, Factor!$Q$41:$Q$87, -1), 3)</f>
        <v>30</v>
      </c>
      <c r="O21" s="15" cm="1">
        <f t="array" ref="O21">J21*VLOOKUP($G21, Factor!$Q$4:$V$36, 4, 0)*INDEX(Factor!$Q$41:$V$87, _xlfn.XMATCH($C21, Factor!$Q$41:$Q$87, -1), 4)</f>
        <v>1000</v>
      </c>
      <c r="P21" s="15" cm="1">
        <f t="array" ref="P21">K21*VLOOKUP($G21, Factor!$Q$4:$V$36, 5, 0)*INDEX(Factor!$Q$41:$V$87, _xlfn.XMATCH($C21, Factor!$Q$41:$Q$87, -1), 5)</f>
        <v>1.2</v>
      </c>
      <c r="Q21" s="15" cm="1">
        <f t="array" ref="Q21">L21*VLOOKUP($G21, Factor!$Q$4:$V$36, 6, 0)*INDEX(Factor!$Q$41:$V$87, _xlfn.XMATCH($C21, Factor!$Q$41:$Q$87, -1), 6)</f>
        <v>1200</v>
      </c>
      <c r="R21" s="16"/>
    </row>
    <row r="22" spans="1:18" ht="15.75" customHeight="1" x14ac:dyDescent="0.2">
      <c r="A22" s="17" t="str">
        <f>"couch_"&amp;VLOOKUP(F22, Factor!$BQ$4:$BR$6, 2, 0)&amp;"_"&amp;Couch!D22&amp;"_"&amp;VLOOKUP(Couch!E22, Factor!$BS$4:$BT$13, 2, 0)</f>
        <v>couch_Ti_T1_004</v>
      </c>
      <c r="B22" s="18" t="str">
        <f t="shared" si="0"/>
        <v>T1 군용 티타늄객차</v>
      </c>
      <c r="C22" s="18">
        <f>VLOOKUP(D22, Factor!$P$41:$Q$50, 2, 0)</f>
        <v>2000</v>
      </c>
      <c r="D22" s="18" t="s">
        <v>296</v>
      </c>
      <c r="E22" s="55" t="s">
        <v>591</v>
      </c>
      <c r="F22" s="55" t="s">
        <v>598</v>
      </c>
      <c r="G22" s="18" t="str">
        <f t="shared" si="1"/>
        <v>군용 티타늄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 cm="1">
        <f t="array" ref="M22">H22*VLOOKUP($G22, Factor!$Q$4:$V$36, 2, 0)*INDEX(Factor!$Q$41:$V$87, _xlfn.XMATCH($C22, Factor!$Q$41:$Q$87, -1), 2)</f>
        <v>1400</v>
      </c>
      <c r="N22" s="18" cm="1">
        <f t="array" ref="N22">I22*VLOOKUP($G22, Factor!$Q$4:$V$36, 3, 0)*INDEX(Factor!$Q$41:$V$87, _xlfn.XMATCH($C22, Factor!$Q$41:$Q$87, -1), 3)</f>
        <v>50</v>
      </c>
      <c r="O22" s="18" cm="1">
        <f t="array" ref="O22">J22*VLOOKUP($G22, Factor!$Q$4:$V$36, 4, 0)*INDEX(Factor!$Q$41:$V$87, _xlfn.XMATCH($C22, Factor!$Q$41:$Q$87, -1), 4)</f>
        <v>1400</v>
      </c>
      <c r="P22" s="18" cm="1">
        <f t="array" ref="P22">K22*VLOOKUP($G22, Factor!$Q$4:$V$36, 5, 0)*INDEX(Factor!$Q$41:$V$87, _xlfn.XMATCH($C22, Factor!$Q$41:$Q$87, -1), 5)</f>
        <v>1.5</v>
      </c>
      <c r="Q22" s="18" cm="1">
        <f t="array" ref="Q22">L22*VLOOKUP($G22, Factor!$Q$4:$V$36, 6, 0)*INDEX(Factor!$Q$41:$V$87, _xlfn.XMATCH($C22, Factor!$Q$41:$Q$87, -1), 6)</f>
        <v>6000</v>
      </c>
      <c r="R22" s="19"/>
    </row>
    <row r="23" spans="1:18" ht="15.75" customHeight="1" x14ac:dyDescent="0.2">
      <c r="A23" s="14" t="str">
        <f>"couch_"&amp;VLOOKUP(F23, Factor!$BQ$4:$BR$6, 2, 0)&amp;"_"&amp;Couch!D23&amp;"_"&amp;VLOOKUP(Couch!E23, Factor!$BS$4:$BT$13, 2, 0)</f>
        <v>couch_Ti_T1_005</v>
      </c>
      <c r="B23" s="15" t="str">
        <f t="shared" si="0"/>
        <v>T1 여객 티타늄객차</v>
      </c>
      <c r="C23" s="15">
        <f>VLOOKUP(D23, Factor!$P$41:$Q$50, 2, 0)</f>
        <v>2000</v>
      </c>
      <c r="D23" s="15" t="s">
        <v>296</v>
      </c>
      <c r="E23" s="56" t="s">
        <v>593</v>
      </c>
      <c r="F23" s="56" t="s">
        <v>598</v>
      </c>
      <c r="G23" s="15" t="str">
        <f t="shared" si="1"/>
        <v>여객 티타늄</v>
      </c>
      <c r="H23" s="15">
        <v>1</v>
      </c>
      <c r="I23" s="15">
        <v>1</v>
      </c>
      <c r="J23" s="15">
        <v>1</v>
      </c>
      <c r="K23" s="15">
        <v>1</v>
      </c>
      <c r="L23" s="15">
        <v>1</v>
      </c>
      <c r="M23" s="15" cm="1">
        <f t="array" ref="M23">H23*VLOOKUP($G23, Factor!$Q$4:$V$36, 2, 0)*INDEX(Factor!$Q$41:$V$87, _xlfn.XMATCH($C23, Factor!$Q$41:$Q$87, -1), 2)</f>
        <v>800</v>
      </c>
      <c r="N23" s="15" cm="1">
        <f t="array" ref="N23">I23*VLOOKUP($G23, Factor!$Q$4:$V$36, 3, 0)*INDEX(Factor!$Q$41:$V$87, _xlfn.XMATCH($C23, Factor!$Q$41:$Q$87, -1), 3)</f>
        <v>15</v>
      </c>
      <c r="O23" s="15" cm="1">
        <f t="array" ref="O23">J23*VLOOKUP($G23, Factor!$Q$4:$V$36, 4, 0)*INDEX(Factor!$Q$41:$V$87, _xlfn.XMATCH($C23, Factor!$Q$41:$Q$87, -1), 4)</f>
        <v>8000</v>
      </c>
      <c r="P23" s="15" cm="1">
        <f t="array" ref="P23">K23*VLOOKUP($G23, Factor!$Q$4:$V$36, 5, 0)*INDEX(Factor!$Q$41:$V$87, _xlfn.XMATCH($C23, Factor!$Q$41:$Q$87, -1), 5)</f>
        <v>1.7</v>
      </c>
      <c r="Q23" s="15" cm="1">
        <f t="array" ref="Q23">L23*VLOOKUP($G23, Factor!$Q$4:$V$36, 6, 0)*INDEX(Factor!$Q$41:$V$87, _xlfn.XMATCH($C23, Factor!$Q$41:$Q$87, -1), 6)</f>
        <v>2000</v>
      </c>
      <c r="R23" s="16"/>
    </row>
    <row r="24" spans="1:18" ht="15.75" customHeight="1" x14ac:dyDescent="0.2">
      <c r="A24" s="17" t="str">
        <f>"couch_"&amp;VLOOKUP(F24, Factor!$BQ$4:$BR$6, 2, 0)&amp;"_"&amp;Couch!D24&amp;"_"&amp;VLOOKUP(Couch!E24, Factor!$BS$4:$BT$13, 2, 0)</f>
        <v>couch_Ti_T1_006</v>
      </c>
      <c r="B24" s="18" t="str">
        <f t="shared" si="0"/>
        <v>T1 시운 티타늄객차</v>
      </c>
      <c r="C24" s="18">
        <f>VLOOKUP(D24, Factor!$P$41:$Q$50, 2, 0)</f>
        <v>2000</v>
      </c>
      <c r="D24" s="18" t="s">
        <v>296</v>
      </c>
      <c r="E24" s="55" t="s">
        <v>595</v>
      </c>
      <c r="F24" s="55" t="s">
        <v>598</v>
      </c>
      <c r="G24" s="18" t="str">
        <f t="shared" si="1"/>
        <v>시운 티타늄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 cm="1">
        <f t="array" ref="M24">H24*VLOOKUP($G24, Factor!$Q$4:$V$36, 2, 0)*INDEX(Factor!$Q$41:$V$87, _xlfn.XMATCH($C24, Factor!$Q$41:$Q$87, -1), 2)</f>
        <v>500</v>
      </c>
      <c r="N24" s="18" cm="1">
        <f t="array" ref="N24">I24*VLOOKUP($G24, Factor!$Q$4:$V$36, 3, 0)*INDEX(Factor!$Q$41:$V$87, _xlfn.XMATCH($C24, Factor!$Q$41:$Q$87, -1), 3)</f>
        <v>30</v>
      </c>
      <c r="O24" s="18" cm="1">
        <f t="array" ref="O24">J24*VLOOKUP($G24, Factor!$Q$4:$V$36, 4, 0)*INDEX(Factor!$Q$41:$V$87, _xlfn.XMATCH($C24, Factor!$Q$41:$Q$87, -1), 4)</f>
        <v>1500</v>
      </c>
      <c r="P24" s="18" cm="1">
        <f t="array" ref="P24">K24*VLOOKUP($G24, Factor!$Q$4:$V$36, 5, 0)*INDEX(Factor!$Q$41:$V$87, _xlfn.XMATCH($C24, Factor!$Q$41:$Q$87, -1), 5)</f>
        <v>1.4</v>
      </c>
      <c r="Q24" s="18" cm="1">
        <f t="array" ref="Q24">L24*VLOOKUP($G24, Factor!$Q$4:$V$36, 6, 0)*INDEX(Factor!$Q$41:$V$87, _xlfn.XMATCH($C24, Factor!$Q$41:$Q$87, -1), 6)</f>
        <v>2000</v>
      </c>
      <c r="R24" s="19"/>
    </row>
    <row r="25" spans="1:18" ht="15.75" customHeight="1" x14ac:dyDescent="0.2">
      <c r="A25" s="14" t="str">
        <f>"couch_"&amp;VLOOKUP(F25, Factor!$BQ$4:$BR$6, 2, 0)&amp;"_"&amp;Couch!D25&amp;"_"&amp;VLOOKUP(Couch!E25, Factor!$BS$4:$BT$13, 2, 0)</f>
        <v>couch_Ti_T1_007</v>
      </c>
      <c r="B25" s="15" t="str">
        <f t="shared" si="0"/>
        <v>T1 경량 티타늄객차</v>
      </c>
      <c r="C25" s="15">
        <f>VLOOKUP(D25, Factor!$P$41:$Q$50, 2, 0)</f>
        <v>2000</v>
      </c>
      <c r="D25" s="15" t="s">
        <v>296</v>
      </c>
      <c r="E25" s="56" t="s">
        <v>585</v>
      </c>
      <c r="F25" s="56" t="s">
        <v>598</v>
      </c>
      <c r="G25" s="15" t="str">
        <f t="shared" si="1"/>
        <v>경량 티타늄</v>
      </c>
      <c r="H25" s="15">
        <v>1</v>
      </c>
      <c r="I25" s="15">
        <v>1</v>
      </c>
      <c r="J25" s="15">
        <v>1</v>
      </c>
      <c r="K25" s="15">
        <v>1</v>
      </c>
      <c r="L25" s="15">
        <v>1</v>
      </c>
      <c r="M25" s="15" cm="1">
        <f t="array" ref="M25">H25*VLOOKUP($G25, Factor!$Q$4:$V$36, 2, 0)*INDEX(Factor!$Q$41:$V$87, _xlfn.XMATCH($C25, Factor!$Q$41:$Q$87, -1), 2)</f>
        <v>600</v>
      </c>
      <c r="N25" s="15" cm="1">
        <f t="array" ref="N25">I25*VLOOKUP($G25, Factor!$Q$4:$V$36, 3, 0)*INDEX(Factor!$Q$41:$V$87, _xlfn.XMATCH($C25, Factor!$Q$41:$Q$87, -1), 3)</f>
        <v>20</v>
      </c>
      <c r="O25" s="15" cm="1">
        <f t="array" ref="O25">J25*VLOOKUP($G25, Factor!$Q$4:$V$36, 4, 0)*INDEX(Factor!$Q$41:$V$87, _xlfn.XMATCH($C25, Factor!$Q$41:$Q$87, -1), 4)</f>
        <v>600</v>
      </c>
      <c r="P25" s="15" cm="1">
        <f t="array" ref="P25">K25*VLOOKUP($G25, Factor!$Q$4:$V$36, 5, 0)*INDEX(Factor!$Q$41:$V$87, _xlfn.XMATCH($C25, Factor!$Q$41:$Q$87, -1), 5)</f>
        <v>1.4</v>
      </c>
      <c r="Q25" s="15" cm="1">
        <f t="array" ref="Q25">L25*VLOOKUP($G25, Factor!$Q$4:$V$36, 6, 0)*INDEX(Factor!$Q$41:$V$87, _xlfn.XMATCH($C25, Factor!$Q$41:$Q$87, -1), 6)</f>
        <v>1000</v>
      </c>
      <c r="R25" s="16"/>
    </row>
    <row r="26" spans="1:18" ht="15.75" customHeight="1" x14ac:dyDescent="0.2">
      <c r="A26" s="17" t="str">
        <f>"couch_"&amp;VLOOKUP(F26, Factor!$BQ$4:$BR$6, 2, 0)&amp;"_"&amp;Couch!D26&amp;"_"&amp;VLOOKUP(Couch!E26, Factor!$BS$4:$BT$13, 2, 0)</f>
        <v>couch_Wo_T2_001</v>
      </c>
      <c r="B26" s="18" t="str">
        <f t="shared" si="0"/>
        <v>T2 표준 나무객차</v>
      </c>
      <c r="C26" s="18">
        <f>VLOOKUP(D26, Factor!$P$41:$Q$50, 2, 0)</f>
        <v>4000</v>
      </c>
      <c r="D26" s="18" t="s">
        <v>320</v>
      </c>
      <c r="E26" s="55" t="s">
        <v>582</v>
      </c>
      <c r="F26" s="55" t="s">
        <v>663</v>
      </c>
      <c r="G26" s="18" t="str">
        <f t="shared" si="1"/>
        <v>표준 나무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 cm="1">
        <f t="array" ref="M26">H26*VLOOKUP($G26, Factor!$Q$4:$V$36, 2, 0)*INDEX(Factor!$Q$41:$V$87, _xlfn.XMATCH($C26, Factor!$Q$41:$Q$87, -1), 2)</f>
        <v>600</v>
      </c>
      <c r="N26" s="18" cm="1">
        <f t="array" ref="N26">I26*VLOOKUP($G26, Factor!$Q$4:$V$36, 3, 0)*INDEX(Factor!$Q$41:$V$87, _xlfn.XMATCH($C26, Factor!$Q$41:$Q$87, -1), 3)</f>
        <v>12</v>
      </c>
      <c r="O26" s="18" cm="1">
        <f t="array" ref="O26">J26*VLOOKUP($G26, Factor!$Q$4:$V$36, 4, 0)*INDEX(Factor!$Q$41:$V$87, _xlfn.XMATCH($C26, Factor!$Q$41:$Q$87, -1), 4)</f>
        <v>600</v>
      </c>
      <c r="P26" s="18" cm="1">
        <f t="array" ref="P26">K26*VLOOKUP($G26, Factor!$Q$4:$V$36, 5, 0)*INDEX(Factor!$Q$41:$V$87, _xlfn.XMATCH($C26, Factor!$Q$41:$Q$87, -1), 5)</f>
        <v>1.2</v>
      </c>
      <c r="Q26" s="18" cm="1">
        <f t="array" ref="Q26">L26*VLOOKUP($G26, Factor!$Q$4:$V$36, 6, 0)*INDEX(Factor!$Q$41:$V$87, _xlfn.XMATCH($C26, Factor!$Q$41:$Q$87, -1), 6)</f>
        <v>1200</v>
      </c>
      <c r="R26" s="19"/>
    </row>
    <row r="27" spans="1:18" ht="15.75" customHeight="1" x14ac:dyDescent="0.2">
      <c r="A27" s="14" t="str">
        <f>"couch_"&amp;VLOOKUP(F27, Factor!$BQ$4:$BR$6, 2, 0)&amp;"_"&amp;Couch!D27&amp;"_"&amp;VLOOKUP(Couch!E27, Factor!$BS$4:$BT$13, 2, 0)</f>
        <v>couch_Wo_T2_002</v>
      </c>
      <c r="B27" s="15" t="str">
        <f t="shared" si="0"/>
        <v>T2 중갑 나무객차</v>
      </c>
      <c r="C27" s="15">
        <f>VLOOKUP(D27, Factor!$P$41:$Q$50, 2, 0)</f>
        <v>4000</v>
      </c>
      <c r="D27" s="15" t="s">
        <v>320</v>
      </c>
      <c r="E27" s="56" t="s">
        <v>587</v>
      </c>
      <c r="F27" s="56" t="s">
        <v>663</v>
      </c>
      <c r="G27" s="15" t="str">
        <f t="shared" si="1"/>
        <v>중갑 나무</v>
      </c>
      <c r="H27" s="15">
        <v>1</v>
      </c>
      <c r="I27" s="15">
        <v>1</v>
      </c>
      <c r="J27" s="15">
        <v>1</v>
      </c>
      <c r="K27" s="15">
        <v>1</v>
      </c>
      <c r="L27" s="15">
        <v>1</v>
      </c>
      <c r="M27" s="15" cm="1">
        <f t="array" ref="M27">H27*VLOOKUP($G27, Factor!$Q$4:$V$36, 2, 0)*INDEX(Factor!$Q$41:$V$87, _xlfn.XMATCH($C27, Factor!$Q$41:$Q$87, -1), 2)</f>
        <v>600</v>
      </c>
      <c r="N27" s="15" cm="1">
        <f t="array" ref="N27">I27*VLOOKUP($G27, Factor!$Q$4:$V$36, 3, 0)*INDEX(Factor!$Q$41:$V$87, _xlfn.XMATCH($C27, Factor!$Q$41:$Q$87, -1), 3)</f>
        <v>24</v>
      </c>
      <c r="O27" s="15" cm="1">
        <f t="array" ref="O27">J27*VLOOKUP($G27, Factor!$Q$4:$V$36, 4, 0)*INDEX(Factor!$Q$41:$V$87, _xlfn.XMATCH($C27, Factor!$Q$41:$Q$87, -1), 4)</f>
        <v>600</v>
      </c>
      <c r="P27" s="15" cm="1">
        <f t="array" ref="P27">K27*VLOOKUP($G27, Factor!$Q$4:$V$36, 5, 0)*INDEX(Factor!$Q$41:$V$87, _xlfn.XMATCH($C27, Factor!$Q$41:$Q$87, -1), 5)</f>
        <v>1.2</v>
      </c>
      <c r="Q27" s="15" cm="1">
        <f t="array" ref="Q27">L27*VLOOKUP($G27, Factor!$Q$4:$V$36, 6, 0)*INDEX(Factor!$Q$41:$V$87, _xlfn.XMATCH($C27, Factor!$Q$41:$Q$87, -1), 6)</f>
        <v>2400</v>
      </c>
      <c r="R27" s="16"/>
    </row>
    <row r="28" spans="1:18" ht="15.75" customHeight="1" x14ac:dyDescent="0.2">
      <c r="A28" s="17" t="str">
        <f>"couch_"&amp;VLOOKUP(F28, Factor!$BQ$4:$BR$6, 2, 0)&amp;"_"&amp;Couch!D28&amp;"_"&amp;VLOOKUP(Couch!E28, Factor!$BS$4:$BT$13, 2, 0)</f>
        <v>couch_Wo_T2_003</v>
      </c>
      <c r="B28" s="18" t="str">
        <f t="shared" si="0"/>
        <v>T2 화물 나무객차</v>
      </c>
      <c r="C28" s="18">
        <f>VLOOKUP(D28, Factor!$P$41:$Q$50, 2, 0)</f>
        <v>4000</v>
      </c>
      <c r="D28" s="18" t="s">
        <v>298</v>
      </c>
      <c r="E28" s="55" t="s">
        <v>589</v>
      </c>
      <c r="F28" s="55" t="s">
        <v>663</v>
      </c>
      <c r="G28" s="18" t="str">
        <f t="shared" si="1"/>
        <v>화물 나무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 cm="1">
        <f t="array" ref="M28">H28*VLOOKUP($G28, Factor!$Q$4:$V$36, 2, 0)*INDEX(Factor!$Q$41:$V$87, _xlfn.XMATCH($C28, Factor!$Q$41:$Q$87, -1), 2)</f>
        <v>600</v>
      </c>
      <c r="N28" s="18" cm="1">
        <f t="array" ref="N28">I28*VLOOKUP($G28, Factor!$Q$4:$V$36, 3, 0)*INDEX(Factor!$Q$41:$V$87, _xlfn.XMATCH($C28, Factor!$Q$41:$Q$87, -1), 3)</f>
        <v>12</v>
      </c>
      <c r="O28" s="18" cm="1">
        <f t="array" ref="O28">J28*VLOOKUP($G28, Factor!$Q$4:$V$36, 4, 0)*INDEX(Factor!$Q$41:$V$87, _xlfn.XMATCH($C28, Factor!$Q$41:$Q$87, -1), 4)</f>
        <v>600</v>
      </c>
      <c r="P28" s="18" cm="1">
        <f t="array" ref="P28">K28*VLOOKUP($G28, Factor!$Q$4:$V$36, 5, 0)*INDEX(Factor!$Q$41:$V$87, _xlfn.XMATCH($C28, Factor!$Q$41:$Q$87, -1), 5)</f>
        <v>1.08</v>
      </c>
      <c r="Q28" s="18" cm="1">
        <f t="array" ref="Q28">L28*VLOOKUP($G28, Factor!$Q$4:$V$36, 6, 0)*INDEX(Factor!$Q$41:$V$87, _xlfn.XMATCH($C28, Factor!$Q$41:$Q$87, -1), 6)</f>
        <v>840</v>
      </c>
      <c r="R28" s="19"/>
    </row>
    <row r="29" spans="1:18" ht="15.75" customHeight="1" x14ac:dyDescent="0.2">
      <c r="A29" s="14" t="str">
        <f>"couch_"&amp;VLOOKUP(F29, Factor!$BQ$4:$BR$6, 2, 0)&amp;"_"&amp;Couch!D29&amp;"_"&amp;VLOOKUP(Couch!E29, Factor!$BS$4:$BT$13, 2, 0)</f>
        <v>couch_Wo_T2_004</v>
      </c>
      <c r="B29" s="15" t="str">
        <f t="shared" si="0"/>
        <v>T2 군용 나무객차</v>
      </c>
      <c r="C29" s="15">
        <f>VLOOKUP(D29, Factor!$P$41:$Q$50, 2, 0)</f>
        <v>4000</v>
      </c>
      <c r="D29" s="15" t="s">
        <v>298</v>
      </c>
      <c r="E29" s="56" t="s">
        <v>591</v>
      </c>
      <c r="F29" s="56" t="s">
        <v>663</v>
      </c>
      <c r="G29" s="15" t="str">
        <f t="shared" si="1"/>
        <v>군용 나무</v>
      </c>
      <c r="H29" s="15">
        <v>1</v>
      </c>
      <c r="I29" s="15">
        <v>1</v>
      </c>
      <c r="J29" s="15">
        <v>1</v>
      </c>
      <c r="K29" s="15">
        <v>1</v>
      </c>
      <c r="L29" s="15">
        <v>1</v>
      </c>
      <c r="M29" s="15" cm="1">
        <f t="array" ref="M29">H29*VLOOKUP($G29, Factor!$Q$4:$V$36, 2, 0)*INDEX(Factor!$Q$41:$V$87, _xlfn.XMATCH($C29, Factor!$Q$41:$Q$87, -1), 2)</f>
        <v>840</v>
      </c>
      <c r="N29" s="15" cm="1">
        <f t="array" ref="N29">I29*VLOOKUP($G29, Factor!$Q$4:$V$36, 3, 0)*INDEX(Factor!$Q$41:$V$87, _xlfn.XMATCH($C29, Factor!$Q$41:$Q$87, -1), 3)</f>
        <v>18</v>
      </c>
      <c r="O29" s="15" cm="1">
        <f t="array" ref="O29">J29*VLOOKUP($G29, Factor!$Q$4:$V$36, 4, 0)*INDEX(Factor!$Q$41:$V$87, _xlfn.XMATCH($C29, Factor!$Q$41:$Q$87, -1), 4)</f>
        <v>840</v>
      </c>
      <c r="P29" s="15" cm="1">
        <f t="array" ref="P29">K29*VLOOKUP($G29, Factor!$Q$4:$V$36, 5, 0)*INDEX(Factor!$Q$41:$V$87, _xlfn.XMATCH($C29, Factor!$Q$41:$Q$87, -1), 5)</f>
        <v>1.32</v>
      </c>
      <c r="Q29" s="15" cm="1">
        <f t="array" ref="Q29">L29*VLOOKUP($G29, Factor!$Q$4:$V$36, 6, 0)*INDEX(Factor!$Q$41:$V$87, _xlfn.XMATCH($C29, Factor!$Q$41:$Q$87, -1), 6)</f>
        <v>3600</v>
      </c>
      <c r="R29" s="16"/>
    </row>
    <row r="30" spans="1:18" ht="15.75" customHeight="1" x14ac:dyDescent="0.2">
      <c r="A30" s="17" t="str">
        <f>"couch_"&amp;VLOOKUP(F30, Factor!$BQ$4:$BR$6, 2, 0)&amp;"_"&amp;Couch!D30&amp;"_"&amp;VLOOKUP(Couch!E30, Factor!$BS$4:$BT$13, 2, 0)</f>
        <v>couch_Wo_T2_005</v>
      </c>
      <c r="B30" s="18" t="str">
        <f t="shared" si="0"/>
        <v>T2 여객 나무객차</v>
      </c>
      <c r="C30" s="18">
        <f>VLOOKUP(D30, Factor!$P$41:$Q$50, 2, 0)</f>
        <v>4000</v>
      </c>
      <c r="D30" s="18" t="s">
        <v>298</v>
      </c>
      <c r="E30" s="55" t="s">
        <v>593</v>
      </c>
      <c r="F30" s="55" t="s">
        <v>663</v>
      </c>
      <c r="G30" s="18" t="str">
        <f t="shared" si="1"/>
        <v>여객 나무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 cm="1">
        <f t="array" ref="M30">H30*VLOOKUP($G30, Factor!$Q$4:$V$36, 2, 0)*INDEX(Factor!$Q$41:$V$87, _xlfn.XMATCH($C30, Factor!$Q$41:$Q$87, -1), 2)</f>
        <v>480</v>
      </c>
      <c r="N30" s="18" cm="1">
        <f t="array" ref="N30">I30*VLOOKUP($G30, Factor!$Q$4:$V$36, 3, 0)*INDEX(Factor!$Q$41:$V$87, _xlfn.XMATCH($C30, Factor!$Q$41:$Q$87, -1), 3)</f>
        <v>9.6</v>
      </c>
      <c r="O30" s="18" cm="1">
        <f t="array" ref="O30">J30*VLOOKUP($G30, Factor!$Q$4:$V$36, 4, 0)*INDEX(Factor!$Q$41:$V$87, _xlfn.XMATCH($C30, Factor!$Q$41:$Q$87, -1), 4)</f>
        <v>480</v>
      </c>
      <c r="P30" s="18" cm="1">
        <f t="array" ref="P30">K30*VLOOKUP($G30, Factor!$Q$4:$V$36, 5, 0)*INDEX(Factor!$Q$41:$V$87, _xlfn.XMATCH($C30, Factor!$Q$41:$Q$87, -1), 5)</f>
        <v>1.44</v>
      </c>
      <c r="Q30" s="18" cm="1">
        <f t="array" ref="Q30">L30*VLOOKUP($G30, Factor!$Q$4:$V$36, 6, 0)*INDEX(Factor!$Q$41:$V$87, _xlfn.XMATCH($C30, Factor!$Q$41:$Q$87, -1), 6)</f>
        <v>1200</v>
      </c>
      <c r="R30" s="19"/>
    </row>
    <row r="31" spans="1:18" ht="15.75" customHeight="1" x14ac:dyDescent="0.2">
      <c r="A31" s="14" t="str">
        <f>"couch_"&amp;VLOOKUP(F31, Factor!$BQ$4:$BR$6, 2, 0)&amp;"_"&amp;Couch!D31&amp;"_"&amp;VLOOKUP(Couch!E31, Factor!$BS$4:$BT$13, 2, 0)</f>
        <v>couch_Wo_T2_006</v>
      </c>
      <c r="B31" s="15" t="str">
        <f t="shared" si="0"/>
        <v>T2 시운 나무객차</v>
      </c>
      <c r="C31" s="15">
        <f>VLOOKUP(D31, Factor!$P$41:$Q$50, 2, 0)</f>
        <v>4000</v>
      </c>
      <c r="D31" s="15" t="s">
        <v>298</v>
      </c>
      <c r="E31" s="56" t="s">
        <v>595</v>
      </c>
      <c r="F31" s="56" t="s">
        <v>663</v>
      </c>
      <c r="G31" s="15" t="str">
        <f t="shared" si="1"/>
        <v>시운 나무</v>
      </c>
      <c r="H31" s="15">
        <v>1</v>
      </c>
      <c r="I31" s="15">
        <v>1</v>
      </c>
      <c r="J31" s="15">
        <v>1</v>
      </c>
      <c r="K31" s="15">
        <v>1</v>
      </c>
      <c r="L31" s="15">
        <v>1</v>
      </c>
      <c r="M31" s="15" cm="1">
        <f t="array" ref="M31">H31*VLOOKUP($G31, Factor!$Q$4:$V$36, 2, 0)*INDEX(Factor!$Q$41:$V$87, _xlfn.XMATCH($C31, Factor!$Q$41:$Q$87, -1), 2)</f>
        <v>240</v>
      </c>
      <c r="N31" s="15" cm="1">
        <f t="array" ref="N31">I31*VLOOKUP($G31, Factor!$Q$4:$V$36, 3, 0)*INDEX(Factor!$Q$41:$V$87, _xlfn.XMATCH($C31, Factor!$Q$41:$Q$87, -1), 3)</f>
        <v>12</v>
      </c>
      <c r="O31" s="15" cm="1">
        <f t="array" ref="O31">J31*VLOOKUP($G31, Factor!$Q$4:$V$36, 4, 0)*INDEX(Factor!$Q$41:$V$87, _xlfn.XMATCH($C31, Factor!$Q$41:$Q$87, -1), 4)</f>
        <v>960</v>
      </c>
      <c r="P31" s="15" cm="1">
        <f t="array" ref="P31">K31*VLOOKUP($G31, Factor!$Q$4:$V$36, 5, 0)*INDEX(Factor!$Q$41:$V$87, _xlfn.XMATCH($C31, Factor!$Q$41:$Q$87, -1), 5)</f>
        <v>1.2</v>
      </c>
      <c r="Q31" s="15" cm="1">
        <f t="array" ref="Q31">L31*VLOOKUP($G31, Factor!$Q$4:$V$36, 6, 0)*INDEX(Factor!$Q$41:$V$87, _xlfn.XMATCH($C31, Factor!$Q$41:$Q$87, -1), 6)</f>
        <v>1200</v>
      </c>
      <c r="R31" s="16"/>
    </row>
    <row r="32" spans="1:18" ht="15.75" customHeight="1" x14ac:dyDescent="0.2">
      <c r="A32" s="17" t="str">
        <f>"couch_"&amp;VLOOKUP(F32, Factor!$BQ$4:$BR$6, 2, 0)&amp;"_"&amp;Couch!D32&amp;"_"&amp;VLOOKUP(Couch!E32, Factor!$BS$4:$BT$13, 2, 0)</f>
        <v>couch_Wo_T2_007</v>
      </c>
      <c r="B32" s="18" t="str">
        <f t="shared" si="0"/>
        <v>T2 경량 나무객차</v>
      </c>
      <c r="C32" s="18">
        <f>VLOOKUP(D32, Factor!$P$41:$Q$50, 2, 0)</f>
        <v>4000</v>
      </c>
      <c r="D32" s="18" t="s">
        <v>298</v>
      </c>
      <c r="E32" s="55" t="s">
        <v>585</v>
      </c>
      <c r="F32" s="55" t="s">
        <v>663</v>
      </c>
      <c r="G32" s="18" t="str">
        <f t="shared" si="1"/>
        <v>경량 나무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 cm="1">
        <f t="array" ref="M32">H32*VLOOKUP($G32, Factor!$Q$4:$V$36, 2, 0)*INDEX(Factor!$Q$41:$V$87, _xlfn.XMATCH($C32, Factor!$Q$41:$Q$87, -1), 2)</f>
        <v>360</v>
      </c>
      <c r="N32" s="18" cm="1">
        <f t="array" ref="N32">I32*VLOOKUP($G32, Factor!$Q$4:$V$36, 3, 0)*INDEX(Factor!$Q$41:$V$87, _xlfn.XMATCH($C32, Factor!$Q$41:$Q$87, -1), 3)</f>
        <v>9.6</v>
      </c>
      <c r="O32" s="18" cm="1">
        <f t="array" ref="O32">J32*VLOOKUP($G32, Factor!$Q$4:$V$36, 4, 0)*INDEX(Factor!$Q$41:$V$87, _xlfn.XMATCH($C32, Factor!$Q$41:$Q$87, -1), 4)</f>
        <v>360</v>
      </c>
      <c r="P32" s="18" cm="1">
        <f t="array" ref="P32">K32*VLOOKUP($G32, Factor!$Q$4:$V$36, 5, 0)*INDEX(Factor!$Q$41:$V$87, _xlfn.XMATCH($C32, Factor!$Q$41:$Q$87, -1), 5)</f>
        <v>1.2</v>
      </c>
      <c r="Q32" s="18" cm="1">
        <f t="array" ref="Q32">L32*VLOOKUP($G32, Factor!$Q$4:$V$36, 6, 0)*INDEX(Factor!$Q$41:$V$87, _xlfn.XMATCH($C32, Factor!$Q$41:$Q$87, -1), 6)</f>
        <v>600</v>
      </c>
      <c r="R32" s="19"/>
    </row>
    <row r="33" spans="1:18" ht="15.75" customHeight="1" x14ac:dyDescent="0.2">
      <c r="A33" s="14" t="str">
        <f>"couch_"&amp;VLOOKUP(F33, Factor!$BQ$4:$BR$6, 2, 0)&amp;"_"&amp;Couch!D33&amp;"_"&amp;VLOOKUP(Couch!E33, Factor!$BS$4:$BT$13, 2, 0)</f>
        <v>couch_St_T2_001</v>
      </c>
      <c r="B33" s="15" t="str">
        <f t="shared" si="0"/>
        <v>T2 표준 강철객차</v>
      </c>
      <c r="C33" s="15">
        <f>VLOOKUP(D33, Factor!$P$41:$Q$50, 2, 0)</f>
        <v>4000</v>
      </c>
      <c r="D33" s="15" t="s">
        <v>298</v>
      </c>
      <c r="E33" s="56" t="s">
        <v>582</v>
      </c>
      <c r="F33" s="56" t="s">
        <v>597</v>
      </c>
      <c r="G33" s="15" t="str">
        <f t="shared" si="1"/>
        <v>표준 강철</v>
      </c>
      <c r="H33" s="15">
        <v>1</v>
      </c>
      <c r="I33" s="15">
        <v>1</v>
      </c>
      <c r="J33" s="15">
        <v>1</v>
      </c>
      <c r="K33" s="15">
        <v>1</v>
      </c>
      <c r="L33" s="15">
        <v>1</v>
      </c>
      <c r="M33" s="15" cm="1">
        <f t="array" ref="M33">H33*VLOOKUP($G33, Factor!$Q$4:$V$36, 2, 0)*INDEX(Factor!$Q$41:$V$87, _xlfn.XMATCH($C33, Factor!$Q$41:$Q$87, -1), 2)</f>
        <v>840</v>
      </c>
      <c r="N33" s="15" cm="1">
        <f t="array" ref="N33">I33*VLOOKUP($G33, Factor!$Q$4:$V$36, 3, 0)*INDEX(Factor!$Q$41:$V$87, _xlfn.XMATCH($C33, Factor!$Q$41:$Q$87, -1), 3)</f>
        <v>24</v>
      </c>
      <c r="O33" s="15" cm="1">
        <f t="array" ref="O33">J33*VLOOKUP($G33, Factor!$Q$4:$V$36, 4, 0)*INDEX(Factor!$Q$41:$V$87, _xlfn.XMATCH($C33, Factor!$Q$41:$Q$87, -1), 4)</f>
        <v>840</v>
      </c>
      <c r="P33" s="15" cm="1">
        <f t="array" ref="P33">K33*VLOOKUP($G33, Factor!$Q$4:$V$36, 5, 0)*INDEX(Factor!$Q$41:$V$87, _xlfn.XMATCH($C33, Factor!$Q$41:$Q$87, -1), 5)</f>
        <v>1.44</v>
      </c>
      <c r="Q33" s="15" cm="1">
        <f t="array" ref="Q33">L33*VLOOKUP($G33, Factor!$Q$4:$V$36, 6, 0)*INDEX(Factor!$Q$41:$V$87, _xlfn.XMATCH($C33, Factor!$Q$41:$Q$87, -1), 6)</f>
        <v>1800</v>
      </c>
      <c r="R33" s="16"/>
    </row>
    <row r="34" spans="1:18" ht="15.75" customHeight="1" x14ac:dyDescent="0.2">
      <c r="A34" s="17" t="str">
        <f>"couch_"&amp;VLOOKUP(F34, Factor!$BQ$4:$BR$6, 2, 0)&amp;"_"&amp;Couch!D34&amp;"_"&amp;VLOOKUP(Couch!E34, Factor!$BS$4:$BT$13, 2, 0)</f>
        <v>couch_St_T2_002</v>
      </c>
      <c r="B34" s="18" t="str">
        <f t="shared" si="0"/>
        <v>T2 중갑 강철객차</v>
      </c>
      <c r="C34" s="18">
        <f>VLOOKUP(D34, Factor!$P$41:$Q$50, 2, 0)</f>
        <v>4000</v>
      </c>
      <c r="D34" s="18" t="s">
        <v>298</v>
      </c>
      <c r="E34" s="55" t="s">
        <v>587</v>
      </c>
      <c r="F34" s="55" t="s">
        <v>597</v>
      </c>
      <c r="G34" s="18" t="str">
        <f t="shared" si="1"/>
        <v>중갑 강철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 cm="1">
        <f t="array" ref="M34">H34*VLOOKUP($G34, Factor!$Q$4:$V$36, 2, 0)*INDEX(Factor!$Q$41:$V$87, _xlfn.XMATCH($C34, Factor!$Q$41:$Q$87, -1), 2)</f>
        <v>840</v>
      </c>
      <c r="N34" s="18" cm="1">
        <f t="array" ref="N34">I34*VLOOKUP($G34, Factor!$Q$4:$V$36, 3, 0)*INDEX(Factor!$Q$41:$V$87, _xlfn.XMATCH($C34, Factor!$Q$41:$Q$87, -1), 3)</f>
        <v>42</v>
      </c>
      <c r="O34" s="18" cm="1">
        <f t="array" ref="O34">J34*VLOOKUP($G34, Factor!$Q$4:$V$36, 4, 0)*INDEX(Factor!$Q$41:$V$87, _xlfn.XMATCH($C34, Factor!$Q$41:$Q$87, -1), 4)</f>
        <v>840</v>
      </c>
      <c r="P34" s="18" cm="1">
        <f t="array" ref="P34">K34*VLOOKUP($G34, Factor!$Q$4:$V$36, 5, 0)*INDEX(Factor!$Q$41:$V$87, _xlfn.XMATCH($C34, Factor!$Q$41:$Q$87, -1), 5)</f>
        <v>1.44</v>
      </c>
      <c r="Q34" s="18" cm="1">
        <f t="array" ref="Q34">L34*VLOOKUP($G34, Factor!$Q$4:$V$36, 6, 0)*INDEX(Factor!$Q$41:$V$87, _xlfn.XMATCH($C34, Factor!$Q$41:$Q$87, -1), 6)</f>
        <v>3600</v>
      </c>
      <c r="R34" s="19"/>
    </row>
    <row r="35" spans="1:18" ht="15.75" customHeight="1" x14ac:dyDescent="0.2">
      <c r="A35" s="14" t="str">
        <f>"couch_"&amp;VLOOKUP(F35, Factor!$BQ$4:$BR$6, 2, 0)&amp;"_"&amp;Couch!D35&amp;"_"&amp;VLOOKUP(Couch!E35, Factor!$BS$4:$BT$13, 2, 0)</f>
        <v>couch_St_T2_003</v>
      </c>
      <c r="B35" s="15" t="str">
        <f t="shared" si="0"/>
        <v>T2 화물 강철객차</v>
      </c>
      <c r="C35" s="15">
        <f>VLOOKUP(D35, Factor!$P$41:$Q$50, 2, 0)</f>
        <v>4000</v>
      </c>
      <c r="D35" s="15" t="s">
        <v>298</v>
      </c>
      <c r="E35" s="56" t="s">
        <v>589</v>
      </c>
      <c r="F35" s="56" t="s">
        <v>597</v>
      </c>
      <c r="G35" s="15" t="str">
        <f t="shared" si="1"/>
        <v>화물 강철</v>
      </c>
      <c r="H35" s="15">
        <v>1</v>
      </c>
      <c r="I35" s="15">
        <v>1</v>
      </c>
      <c r="J35" s="15">
        <v>1</v>
      </c>
      <c r="K35" s="15">
        <v>1</v>
      </c>
      <c r="L35" s="15">
        <v>1</v>
      </c>
      <c r="M35" s="15" cm="1">
        <f t="array" ref="M35">H35*VLOOKUP($G35, Factor!$Q$4:$V$36, 2, 0)*INDEX(Factor!$Q$41:$V$87, _xlfn.XMATCH($C35, Factor!$Q$41:$Q$87, -1), 2)</f>
        <v>840</v>
      </c>
      <c r="N35" s="15" cm="1">
        <f t="array" ref="N35">I35*VLOOKUP($G35, Factor!$Q$4:$V$36, 3, 0)*INDEX(Factor!$Q$41:$V$87, _xlfn.XMATCH($C35, Factor!$Q$41:$Q$87, -1), 3)</f>
        <v>24</v>
      </c>
      <c r="O35" s="15" cm="1">
        <f t="array" ref="O35">J35*VLOOKUP($G35, Factor!$Q$4:$V$36, 4, 0)*INDEX(Factor!$Q$41:$V$87, _xlfn.XMATCH($C35, Factor!$Q$41:$Q$87, -1), 4)</f>
        <v>840</v>
      </c>
      <c r="P35" s="15" cm="1">
        <f t="array" ref="P35">K35*VLOOKUP($G35, Factor!$Q$4:$V$36, 5, 0)*INDEX(Factor!$Q$41:$V$87, _xlfn.XMATCH($C35, Factor!$Q$41:$Q$87, -1), 5)</f>
        <v>1.32</v>
      </c>
      <c r="Q35" s="15" cm="1">
        <f t="array" ref="Q35">L35*VLOOKUP($G35, Factor!$Q$4:$V$36, 6, 0)*INDEX(Factor!$Q$41:$V$87, _xlfn.XMATCH($C35, Factor!$Q$41:$Q$87, -1), 6)</f>
        <v>1200</v>
      </c>
      <c r="R35" s="16"/>
    </row>
    <row r="36" spans="1:18" ht="15.75" customHeight="1" x14ac:dyDescent="0.2">
      <c r="A36" s="17" t="str">
        <f>"couch_"&amp;VLOOKUP(F36, Factor!$BQ$4:$BR$6, 2, 0)&amp;"_"&amp;Couch!D36&amp;"_"&amp;VLOOKUP(Couch!E36, Factor!$BS$4:$BT$13, 2, 0)</f>
        <v>couch_St_T2_004</v>
      </c>
      <c r="B36" s="18" t="str">
        <f t="shared" si="0"/>
        <v>T2 군용 강철객차</v>
      </c>
      <c r="C36" s="18">
        <f>VLOOKUP(D36, Factor!$P$41:$Q$50, 2, 0)</f>
        <v>4000</v>
      </c>
      <c r="D36" s="18" t="s">
        <v>298</v>
      </c>
      <c r="E36" s="55" t="s">
        <v>591</v>
      </c>
      <c r="F36" s="55" t="s">
        <v>597</v>
      </c>
      <c r="G36" s="18" t="str">
        <f t="shared" si="1"/>
        <v>군용 강철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 cm="1">
        <f t="array" ref="M36">H36*VLOOKUP($G36, Factor!$Q$4:$V$36, 2, 0)*INDEX(Factor!$Q$41:$V$87, _xlfn.XMATCH($C36, Factor!$Q$41:$Q$87, -1), 2)</f>
        <v>1080</v>
      </c>
      <c r="N36" s="18" cm="1">
        <f t="array" ref="N36">I36*VLOOKUP($G36, Factor!$Q$4:$V$36, 3, 0)*INDEX(Factor!$Q$41:$V$87, _xlfn.XMATCH($C36, Factor!$Q$41:$Q$87, -1), 3)</f>
        <v>36</v>
      </c>
      <c r="O36" s="18" cm="1">
        <f t="array" ref="O36">J36*VLOOKUP($G36, Factor!$Q$4:$V$36, 4, 0)*INDEX(Factor!$Q$41:$V$87, _xlfn.XMATCH($C36, Factor!$Q$41:$Q$87, -1), 4)</f>
        <v>1080</v>
      </c>
      <c r="P36" s="18" cm="1">
        <f t="array" ref="P36">K36*VLOOKUP($G36, Factor!$Q$4:$V$36, 5, 0)*INDEX(Factor!$Q$41:$V$87, _xlfn.XMATCH($C36, Factor!$Q$41:$Q$87, -1), 5)</f>
        <v>1.56</v>
      </c>
      <c r="Q36" s="18" cm="1">
        <f t="array" ref="Q36">L36*VLOOKUP($G36, Factor!$Q$4:$V$36, 6, 0)*INDEX(Factor!$Q$41:$V$87, _xlfn.XMATCH($C36, Factor!$Q$41:$Q$87, -1), 6)</f>
        <v>5400</v>
      </c>
      <c r="R36" s="19"/>
    </row>
    <row r="37" spans="1:18" ht="15.75" customHeight="1" x14ac:dyDescent="0.2">
      <c r="A37" s="14" t="str">
        <f>"couch_"&amp;VLOOKUP(F37, Factor!$BQ$4:$BR$6, 2, 0)&amp;"_"&amp;Couch!D37&amp;"_"&amp;VLOOKUP(Couch!E37, Factor!$BS$4:$BT$13, 2, 0)</f>
        <v>couch_St_T2_005</v>
      </c>
      <c r="B37" s="15" t="str">
        <f t="shared" si="0"/>
        <v>T2 여객 강철객차</v>
      </c>
      <c r="C37" s="15">
        <f>VLOOKUP(D37, Factor!$P$41:$Q$50, 2, 0)</f>
        <v>4000</v>
      </c>
      <c r="D37" s="15" t="s">
        <v>298</v>
      </c>
      <c r="E37" s="56" t="s">
        <v>593</v>
      </c>
      <c r="F37" s="56" t="s">
        <v>597</v>
      </c>
      <c r="G37" s="15" t="str">
        <f t="shared" si="1"/>
        <v>여객 강철</v>
      </c>
      <c r="H37" s="15">
        <v>1</v>
      </c>
      <c r="I37" s="15">
        <v>1</v>
      </c>
      <c r="J37" s="15">
        <v>1</v>
      </c>
      <c r="K37" s="15">
        <v>1</v>
      </c>
      <c r="L37" s="15">
        <v>1</v>
      </c>
      <c r="M37" s="15" cm="1">
        <f t="array" ref="M37">H37*VLOOKUP($G37, Factor!$Q$4:$V$36, 2, 0)*INDEX(Factor!$Q$41:$V$87, _xlfn.XMATCH($C37, Factor!$Q$41:$Q$87, -1), 2)</f>
        <v>720</v>
      </c>
      <c r="N37" s="15" cm="1">
        <f t="array" ref="N37">I37*VLOOKUP($G37, Factor!$Q$4:$V$36, 3, 0)*INDEX(Factor!$Q$41:$V$87, _xlfn.XMATCH($C37, Factor!$Q$41:$Q$87, -1), 3)</f>
        <v>24</v>
      </c>
      <c r="O37" s="15" cm="1">
        <f t="array" ref="O37">J37*VLOOKUP($G37, Factor!$Q$4:$V$36, 4, 0)*INDEX(Factor!$Q$41:$V$87, _xlfn.XMATCH($C37, Factor!$Q$41:$Q$87, -1), 4)</f>
        <v>720</v>
      </c>
      <c r="P37" s="15" cm="1">
        <f t="array" ref="P37">K37*VLOOKUP($G37, Factor!$Q$4:$V$36, 5, 0)*INDEX(Factor!$Q$41:$V$87, _xlfn.XMATCH($C37, Factor!$Q$41:$Q$87, -1), 5)</f>
        <v>1.68</v>
      </c>
      <c r="Q37" s="15" cm="1">
        <f t="array" ref="Q37">L37*VLOOKUP($G37, Factor!$Q$4:$V$36, 6, 0)*INDEX(Factor!$Q$41:$V$87, _xlfn.XMATCH($C37, Factor!$Q$41:$Q$87, -1), 6)</f>
        <v>1800</v>
      </c>
      <c r="R37" s="16"/>
    </row>
    <row r="38" spans="1:18" ht="15.75" customHeight="1" x14ac:dyDescent="0.2">
      <c r="A38" s="17" t="str">
        <f>"couch_"&amp;VLOOKUP(F38, Factor!$BQ$4:$BR$6, 2, 0)&amp;"_"&amp;Couch!D38&amp;"_"&amp;VLOOKUP(Couch!E38, Factor!$BS$4:$BT$13, 2, 0)</f>
        <v>couch_St_T2_006</v>
      </c>
      <c r="B38" s="18" t="str">
        <f t="shared" si="0"/>
        <v>T2 시운 강철객차</v>
      </c>
      <c r="C38" s="18">
        <f>VLOOKUP(D38, Factor!$P$41:$Q$50, 2, 0)</f>
        <v>4000</v>
      </c>
      <c r="D38" s="18" t="s">
        <v>298</v>
      </c>
      <c r="E38" s="55" t="s">
        <v>595</v>
      </c>
      <c r="F38" s="55" t="s">
        <v>597</v>
      </c>
      <c r="G38" s="18" t="str">
        <f t="shared" si="1"/>
        <v>시운 강철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 cm="1">
        <f t="array" ref="M38">H38*VLOOKUP($G38, Factor!$Q$4:$V$36, 2, 0)*INDEX(Factor!$Q$41:$V$87, _xlfn.XMATCH($C38, Factor!$Q$41:$Q$87, -1), 2)</f>
        <v>360</v>
      </c>
      <c r="N38" s="18" cm="1">
        <f t="array" ref="N38">I38*VLOOKUP($G38, Factor!$Q$4:$V$36, 3, 0)*INDEX(Factor!$Q$41:$V$87, _xlfn.XMATCH($C38, Factor!$Q$41:$Q$87, -1), 3)</f>
        <v>24</v>
      </c>
      <c r="O38" s="18" cm="1">
        <f t="array" ref="O38">J38*VLOOKUP($G38, Factor!$Q$4:$V$36, 4, 0)*INDEX(Factor!$Q$41:$V$87, _xlfn.XMATCH($C38, Factor!$Q$41:$Q$87, -1), 4)</f>
        <v>1320</v>
      </c>
      <c r="P38" s="18" cm="1">
        <f t="array" ref="P38">K38*VLOOKUP($G38, Factor!$Q$4:$V$36, 5, 0)*INDEX(Factor!$Q$41:$V$87, _xlfn.XMATCH($C38, Factor!$Q$41:$Q$87, -1), 5)</f>
        <v>1.44</v>
      </c>
      <c r="Q38" s="18" cm="1">
        <f t="array" ref="Q38">L38*VLOOKUP($G38, Factor!$Q$4:$V$36, 6, 0)*INDEX(Factor!$Q$41:$V$87, _xlfn.XMATCH($C38, Factor!$Q$41:$Q$87, -1), 6)</f>
        <v>1800</v>
      </c>
      <c r="R38" s="19"/>
    </row>
    <row r="39" spans="1:18" ht="15.75" customHeight="1" x14ac:dyDescent="0.2">
      <c r="A39" s="14" t="str">
        <f>"couch_"&amp;VLOOKUP(F39, Factor!$BQ$4:$BR$6, 2, 0)&amp;"_"&amp;Couch!D39&amp;"_"&amp;VLOOKUP(Couch!E39, Factor!$BS$4:$BT$13, 2, 0)</f>
        <v>couch_St_T2_007</v>
      </c>
      <c r="B39" s="15" t="str">
        <f t="shared" si="0"/>
        <v>T2 경량 강철객차</v>
      </c>
      <c r="C39" s="15">
        <f>VLOOKUP(D39, Factor!$P$41:$Q$50, 2, 0)</f>
        <v>4000</v>
      </c>
      <c r="D39" s="15" t="s">
        <v>298</v>
      </c>
      <c r="E39" s="56" t="s">
        <v>585</v>
      </c>
      <c r="F39" s="56" t="s">
        <v>597</v>
      </c>
      <c r="G39" s="15" t="str">
        <f t="shared" si="1"/>
        <v>경량 강철</v>
      </c>
      <c r="H39" s="15">
        <v>1</v>
      </c>
      <c r="I39" s="15">
        <v>1</v>
      </c>
      <c r="J39" s="15">
        <v>1</v>
      </c>
      <c r="K39" s="15">
        <v>1</v>
      </c>
      <c r="L39" s="15">
        <v>1</v>
      </c>
      <c r="M39" s="15" cm="1">
        <f t="array" ref="M39">H39*VLOOKUP($G39, Factor!$Q$4:$V$36, 2, 0)*INDEX(Factor!$Q$41:$V$87, _xlfn.XMATCH($C39, Factor!$Q$41:$Q$87, -1), 2)</f>
        <v>480</v>
      </c>
      <c r="N39" s="15" cm="1">
        <f t="array" ref="N39">I39*VLOOKUP($G39, Factor!$Q$4:$V$36, 3, 0)*INDEX(Factor!$Q$41:$V$87, _xlfn.XMATCH($C39, Factor!$Q$41:$Q$87, -1), 3)</f>
        <v>18</v>
      </c>
      <c r="O39" s="15" cm="1">
        <f t="array" ref="O39">J39*VLOOKUP($G39, Factor!$Q$4:$V$36, 4, 0)*INDEX(Factor!$Q$41:$V$87, _xlfn.XMATCH($C39, Factor!$Q$41:$Q$87, -1), 4)</f>
        <v>480</v>
      </c>
      <c r="P39" s="15" cm="1">
        <f t="array" ref="P39">K39*VLOOKUP($G39, Factor!$Q$4:$V$36, 5, 0)*INDEX(Factor!$Q$41:$V$87, _xlfn.XMATCH($C39, Factor!$Q$41:$Q$87, -1), 5)</f>
        <v>1.44</v>
      </c>
      <c r="Q39" s="15" cm="1">
        <f t="array" ref="Q39">L39*VLOOKUP($G39, Factor!$Q$4:$V$36, 6, 0)*INDEX(Factor!$Q$41:$V$87, _xlfn.XMATCH($C39, Factor!$Q$41:$Q$87, -1), 6)</f>
        <v>840</v>
      </c>
      <c r="R39" s="16"/>
    </row>
    <row r="40" spans="1:18" ht="15.75" customHeight="1" x14ac:dyDescent="0.2">
      <c r="A40" s="17" t="str">
        <f>"couch_"&amp;VLOOKUP(F40, Factor!$BQ$4:$BR$6, 2, 0)&amp;"_"&amp;Couch!D40&amp;"_"&amp;VLOOKUP(Couch!E40, Factor!$BS$4:$BT$13, 2, 0)</f>
        <v>couch_Ti_T2_001</v>
      </c>
      <c r="B40" s="18" t="str">
        <f t="shared" si="0"/>
        <v>T2 표준 티타늄객차</v>
      </c>
      <c r="C40" s="18">
        <f>VLOOKUP(D40, Factor!$P$41:$Q$50, 2, 0)</f>
        <v>4000</v>
      </c>
      <c r="D40" s="18" t="s">
        <v>298</v>
      </c>
      <c r="E40" s="55" t="s">
        <v>582</v>
      </c>
      <c r="F40" s="55" t="s">
        <v>598</v>
      </c>
      <c r="G40" s="18" t="str">
        <f t="shared" si="1"/>
        <v>표준 티타늄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 cm="1">
        <f t="array" ref="M40">H40*VLOOKUP($G40, Factor!$Q$4:$V$36, 2, 0)*INDEX(Factor!$Q$41:$V$87, _xlfn.XMATCH($C40, Factor!$Q$41:$Q$87, -1), 2)</f>
        <v>1200</v>
      </c>
      <c r="N40" s="18" cm="1">
        <f t="array" ref="N40">I40*VLOOKUP($G40, Factor!$Q$4:$V$36, 3, 0)*INDEX(Factor!$Q$41:$V$87, _xlfn.XMATCH($C40, Factor!$Q$41:$Q$87, -1), 3)</f>
        <v>36</v>
      </c>
      <c r="O40" s="18" cm="1">
        <f t="array" ref="O40">J40*VLOOKUP($G40, Factor!$Q$4:$V$36, 4, 0)*INDEX(Factor!$Q$41:$V$87, _xlfn.XMATCH($C40, Factor!$Q$41:$Q$87, -1), 4)</f>
        <v>1200</v>
      </c>
      <c r="P40" s="18" cm="1">
        <f t="array" ref="P40">K40*VLOOKUP($G40, Factor!$Q$4:$V$36, 5, 0)*INDEX(Factor!$Q$41:$V$87, _xlfn.XMATCH($C40, Factor!$Q$41:$Q$87, -1), 5)</f>
        <v>1.68</v>
      </c>
      <c r="Q40" s="18" cm="1">
        <f t="array" ref="Q40">L40*VLOOKUP($G40, Factor!$Q$4:$V$36, 6, 0)*INDEX(Factor!$Q$41:$V$87, _xlfn.XMATCH($C40, Factor!$Q$41:$Q$87, -1), 6)</f>
        <v>2400</v>
      </c>
      <c r="R40" s="19"/>
    </row>
    <row r="41" spans="1:18" ht="15.75" customHeight="1" x14ac:dyDescent="0.2">
      <c r="A41" s="14" t="str">
        <f>"couch_"&amp;VLOOKUP(F41, Factor!$BQ$4:$BR$6, 2, 0)&amp;"_"&amp;Couch!D41&amp;"_"&amp;VLOOKUP(Couch!E41, Factor!$BS$4:$BT$13, 2, 0)</f>
        <v>couch_Ti_T2_002</v>
      </c>
      <c r="B41" s="15" t="str">
        <f t="shared" si="0"/>
        <v>T2 중갑 티타늄객차</v>
      </c>
      <c r="C41" s="15">
        <f>VLOOKUP(D41, Factor!$P$41:$Q$50, 2, 0)</f>
        <v>4000</v>
      </c>
      <c r="D41" s="15" t="s">
        <v>298</v>
      </c>
      <c r="E41" s="56" t="s">
        <v>587</v>
      </c>
      <c r="F41" s="56" t="s">
        <v>598</v>
      </c>
      <c r="G41" s="15" t="str">
        <f t="shared" si="1"/>
        <v>중갑 티타늄</v>
      </c>
      <c r="H41" s="15">
        <v>1</v>
      </c>
      <c r="I41" s="15">
        <v>1</v>
      </c>
      <c r="J41" s="15">
        <v>1</v>
      </c>
      <c r="K41" s="15">
        <v>1</v>
      </c>
      <c r="L41" s="15">
        <v>1</v>
      </c>
      <c r="M41" s="15" cm="1">
        <f t="array" ref="M41">H41*VLOOKUP($G41, Factor!$Q$4:$V$36, 2, 0)*INDEX(Factor!$Q$41:$V$87, _xlfn.XMATCH($C41, Factor!$Q$41:$Q$87, -1), 2)</f>
        <v>1200</v>
      </c>
      <c r="N41" s="15" cm="1">
        <f t="array" ref="N41">I41*VLOOKUP($G41, Factor!$Q$4:$V$36, 3, 0)*INDEX(Factor!$Q$41:$V$87, _xlfn.XMATCH($C41, Factor!$Q$41:$Q$87, -1), 3)</f>
        <v>66</v>
      </c>
      <c r="O41" s="15" cm="1">
        <f t="array" ref="O41">J41*VLOOKUP($G41, Factor!$Q$4:$V$36, 4, 0)*INDEX(Factor!$Q$41:$V$87, _xlfn.XMATCH($C41, Factor!$Q$41:$Q$87, -1), 4)</f>
        <v>1200</v>
      </c>
      <c r="P41" s="15" cm="1">
        <f t="array" ref="P41">K41*VLOOKUP($G41, Factor!$Q$4:$V$36, 5, 0)*INDEX(Factor!$Q$41:$V$87, _xlfn.XMATCH($C41, Factor!$Q$41:$Q$87, -1), 5)</f>
        <v>1.68</v>
      </c>
      <c r="Q41" s="15" cm="1">
        <f t="array" ref="Q41">L41*VLOOKUP($G41, Factor!$Q$4:$V$36, 6, 0)*INDEX(Factor!$Q$41:$V$87, _xlfn.XMATCH($C41, Factor!$Q$41:$Q$87, -1), 6)</f>
        <v>4800</v>
      </c>
      <c r="R41" s="16"/>
    </row>
    <row r="42" spans="1:18" ht="15.75" customHeight="1" x14ac:dyDescent="0.2">
      <c r="A42" s="17" t="str">
        <f>"couch_"&amp;VLOOKUP(F42, Factor!$BQ$4:$BR$6, 2, 0)&amp;"_"&amp;Couch!D42&amp;"_"&amp;VLOOKUP(Couch!E42, Factor!$BS$4:$BT$13, 2, 0)</f>
        <v>couch_Ti_T2_003</v>
      </c>
      <c r="B42" s="18" t="str">
        <f t="shared" si="0"/>
        <v>T2 화물 티타늄객차</v>
      </c>
      <c r="C42" s="18">
        <f>VLOOKUP(D42, Factor!$P$41:$Q$50, 2, 0)</f>
        <v>4000</v>
      </c>
      <c r="D42" s="18" t="s">
        <v>298</v>
      </c>
      <c r="E42" s="55" t="s">
        <v>589</v>
      </c>
      <c r="F42" s="55" t="s">
        <v>598</v>
      </c>
      <c r="G42" s="18" t="str">
        <f t="shared" si="1"/>
        <v>화물 티타늄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 cm="1">
        <f t="array" ref="M42">H42*VLOOKUP($G42, Factor!$Q$4:$V$36, 2, 0)*INDEX(Factor!$Q$41:$V$87, _xlfn.XMATCH($C42, Factor!$Q$41:$Q$87, -1), 2)</f>
        <v>1200</v>
      </c>
      <c r="N42" s="18" cm="1">
        <f t="array" ref="N42">I42*VLOOKUP($G42, Factor!$Q$4:$V$36, 3, 0)*INDEX(Factor!$Q$41:$V$87, _xlfn.XMATCH($C42, Factor!$Q$41:$Q$87, -1), 3)</f>
        <v>36</v>
      </c>
      <c r="O42" s="18" cm="1">
        <f t="array" ref="O42">J42*VLOOKUP($G42, Factor!$Q$4:$V$36, 4, 0)*INDEX(Factor!$Q$41:$V$87, _xlfn.XMATCH($C42, Factor!$Q$41:$Q$87, -1), 4)</f>
        <v>1200</v>
      </c>
      <c r="P42" s="18" cm="1">
        <f t="array" ref="P42">K42*VLOOKUP($G42, Factor!$Q$4:$V$36, 5, 0)*INDEX(Factor!$Q$41:$V$87, _xlfn.XMATCH($C42, Factor!$Q$41:$Q$87, -1), 5)</f>
        <v>1.44</v>
      </c>
      <c r="Q42" s="18" cm="1">
        <f t="array" ref="Q42">L42*VLOOKUP($G42, Factor!$Q$4:$V$36, 6, 0)*INDEX(Factor!$Q$41:$V$87, _xlfn.XMATCH($C42, Factor!$Q$41:$Q$87, -1), 6)</f>
        <v>1440</v>
      </c>
      <c r="R42" s="19"/>
    </row>
    <row r="43" spans="1:18" ht="15.75" customHeight="1" x14ac:dyDescent="0.2">
      <c r="A43" s="14" t="str">
        <f>"couch_"&amp;VLOOKUP(F43, Factor!$BQ$4:$BR$6, 2, 0)&amp;"_"&amp;Couch!D43&amp;"_"&amp;VLOOKUP(Couch!E43, Factor!$BS$4:$BT$13, 2, 0)</f>
        <v>couch_Ti_T2_004</v>
      </c>
      <c r="B43" s="15" t="str">
        <f t="shared" si="0"/>
        <v>T2 군용 티타늄객차</v>
      </c>
      <c r="C43" s="15">
        <f>VLOOKUP(D43, Factor!$P$41:$Q$50, 2, 0)</f>
        <v>4000</v>
      </c>
      <c r="D43" s="15" t="s">
        <v>298</v>
      </c>
      <c r="E43" s="56" t="s">
        <v>591</v>
      </c>
      <c r="F43" s="56" t="s">
        <v>598</v>
      </c>
      <c r="G43" s="15" t="str">
        <f t="shared" si="1"/>
        <v>군용 티타늄</v>
      </c>
      <c r="H43" s="15">
        <v>1</v>
      </c>
      <c r="I43" s="15">
        <v>1</v>
      </c>
      <c r="J43" s="15">
        <v>1</v>
      </c>
      <c r="K43" s="15">
        <v>1</v>
      </c>
      <c r="L43" s="15">
        <v>1</v>
      </c>
      <c r="M43" s="15" cm="1">
        <f t="array" ref="M43">H43*VLOOKUP($G43, Factor!$Q$4:$V$36, 2, 0)*INDEX(Factor!$Q$41:$V$87, _xlfn.XMATCH($C43, Factor!$Q$41:$Q$87, -1), 2)</f>
        <v>1680</v>
      </c>
      <c r="N43" s="15" cm="1">
        <f t="array" ref="N43">I43*VLOOKUP($G43, Factor!$Q$4:$V$36, 3, 0)*INDEX(Factor!$Q$41:$V$87, _xlfn.XMATCH($C43, Factor!$Q$41:$Q$87, -1), 3)</f>
        <v>60</v>
      </c>
      <c r="O43" s="15" cm="1">
        <f t="array" ref="O43">J43*VLOOKUP($G43, Factor!$Q$4:$V$36, 4, 0)*INDEX(Factor!$Q$41:$V$87, _xlfn.XMATCH($C43, Factor!$Q$41:$Q$87, -1), 4)</f>
        <v>1680</v>
      </c>
      <c r="P43" s="15" cm="1">
        <f t="array" ref="P43">K43*VLOOKUP($G43, Factor!$Q$4:$V$36, 5, 0)*INDEX(Factor!$Q$41:$V$87, _xlfn.XMATCH($C43, Factor!$Q$41:$Q$87, -1), 5)</f>
        <v>1.7999999999999998</v>
      </c>
      <c r="Q43" s="15" cm="1">
        <f t="array" ref="Q43">L43*VLOOKUP($G43, Factor!$Q$4:$V$36, 6, 0)*INDEX(Factor!$Q$41:$V$87, _xlfn.XMATCH($C43, Factor!$Q$41:$Q$87, -1), 6)</f>
        <v>7200</v>
      </c>
      <c r="R43" s="16"/>
    </row>
    <row r="44" spans="1:18" ht="15.75" customHeight="1" x14ac:dyDescent="0.2">
      <c r="A44" s="17" t="str">
        <f>"couch_"&amp;VLOOKUP(F44, Factor!$BQ$4:$BR$6, 2, 0)&amp;"_"&amp;Couch!D44&amp;"_"&amp;VLOOKUP(Couch!E44, Factor!$BS$4:$BT$13, 2, 0)</f>
        <v>couch_Ti_T2_005</v>
      </c>
      <c r="B44" s="18" t="str">
        <f t="shared" si="0"/>
        <v>T2 여객 티타늄객차</v>
      </c>
      <c r="C44" s="18">
        <f>VLOOKUP(D44, Factor!$P$41:$Q$50, 2, 0)</f>
        <v>4000</v>
      </c>
      <c r="D44" s="18" t="s">
        <v>298</v>
      </c>
      <c r="E44" s="55" t="s">
        <v>593</v>
      </c>
      <c r="F44" s="55" t="s">
        <v>598</v>
      </c>
      <c r="G44" s="18" t="str">
        <f t="shared" si="1"/>
        <v>여객 티타늄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 cm="1">
        <f t="array" ref="M44">H44*VLOOKUP($G44, Factor!$Q$4:$V$36, 2, 0)*INDEX(Factor!$Q$41:$V$87, _xlfn.XMATCH($C44, Factor!$Q$41:$Q$87, -1), 2)</f>
        <v>960</v>
      </c>
      <c r="N44" s="18" cm="1">
        <f t="array" ref="N44">I44*VLOOKUP($G44, Factor!$Q$4:$V$36, 3, 0)*INDEX(Factor!$Q$41:$V$87, _xlfn.XMATCH($C44, Factor!$Q$41:$Q$87, -1), 3)</f>
        <v>18</v>
      </c>
      <c r="O44" s="18" cm="1">
        <f t="array" ref="O44">J44*VLOOKUP($G44, Factor!$Q$4:$V$36, 4, 0)*INDEX(Factor!$Q$41:$V$87, _xlfn.XMATCH($C44, Factor!$Q$41:$Q$87, -1), 4)</f>
        <v>9600</v>
      </c>
      <c r="P44" s="18" cm="1">
        <f t="array" ref="P44">K44*VLOOKUP($G44, Factor!$Q$4:$V$36, 5, 0)*INDEX(Factor!$Q$41:$V$87, _xlfn.XMATCH($C44, Factor!$Q$41:$Q$87, -1), 5)</f>
        <v>2.04</v>
      </c>
      <c r="Q44" s="18" cm="1">
        <f t="array" ref="Q44">L44*VLOOKUP($G44, Factor!$Q$4:$V$36, 6, 0)*INDEX(Factor!$Q$41:$V$87, _xlfn.XMATCH($C44, Factor!$Q$41:$Q$87, -1), 6)</f>
        <v>2400</v>
      </c>
      <c r="R44" s="19"/>
    </row>
    <row r="45" spans="1:18" ht="15.75" customHeight="1" x14ac:dyDescent="0.2">
      <c r="A45" s="14" t="str">
        <f>"couch_"&amp;VLOOKUP(F45, Factor!$BQ$4:$BR$6, 2, 0)&amp;"_"&amp;Couch!D45&amp;"_"&amp;VLOOKUP(Couch!E45, Factor!$BS$4:$BT$13, 2, 0)</f>
        <v>couch_Ti_T2_006</v>
      </c>
      <c r="B45" s="15" t="str">
        <f t="shared" si="0"/>
        <v>T2 시운 티타늄객차</v>
      </c>
      <c r="C45" s="15">
        <f>VLOOKUP(D45, Factor!$P$41:$Q$50, 2, 0)</f>
        <v>4000</v>
      </c>
      <c r="D45" s="15" t="s">
        <v>298</v>
      </c>
      <c r="E45" s="56" t="s">
        <v>595</v>
      </c>
      <c r="F45" s="56" t="s">
        <v>598</v>
      </c>
      <c r="G45" s="15" t="str">
        <f t="shared" si="1"/>
        <v>시운 티타늄</v>
      </c>
      <c r="H45" s="15">
        <v>1</v>
      </c>
      <c r="I45" s="15">
        <v>1</v>
      </c>
      <c r="J45" s="15">
        <v>1</v>
      </c>
      <c r="K45" s="15">
        <v>1</v>
      </c>
      <c r="L45" s="15">
        <v>1</v>
      </c>
      <c r="M45" s="15" cm="1">
        <f t="array" ref="M45">H45*VLOOKUP($G45, Factor!$Q$4:$V$36, 2, 0)*INDEX(Factor!$Q$41:$V$87, _xlfn.XMATCH($C45, Factor!$Q$41:$Q$87, -1), 2)</f>
        <v>600</v>
      </c>
      <c r="N45" s="15" cm="1">
        <f t="array" ref="N45">I45*VLOOKUP($G45, Factor!$Q$4:$V$36, 3, 0)*INDEX(Factor!$Q$41:$V$87, _xlfn.XMATCH($C45, Factor!$Q$41:$Q$87, -1), 3)</f>
        <v>36</v>
      </c>
      <c r="O45" s="15" cm="1">
        <f t="array" ref="O45">J45*VLOOKUP($G45, Factor!$Q$4:$V$36, 4, 0)*INDEX(Factor!$Q$41:$V$87, _xlfn.XMATCH($C45, Factor!$Q$41:$Q$87, -1), 4)</f>
        <v>1800</v>
      </c>
      <c r="P45" s="15" cm="1">
        <f t="array" ref="P45">K45*VLOOKUP($G45, Factor!$Q$4:$V$36, 5, 0)*INDEX(Factor!$Q$41:$V$87, _xlfn.XMATCH($C45, Factor!$Q$41:$Q$87, -1), 5)</f>
        <v>1.68</v>
      </c>
      <c r="Q45" s="15" cm="1">
        <f t="array" ref="Q45">L45*VLOOKUP($G45, Factor!$Q$4:$V$36, 6, 0)*INDEX(Factor!$Q$41:$V$87, _xlfn.XMATCH($C45, Factor!$Q$41:$Q$87, -1), 6)</f>
        <v>2400</v>
      </c>
      <c r="R45" s="16"/>
    </row>
    <row r="46" spans="1:18" ht="15.75" customHeight="1" x14ac:dyDescent="0.2">
      <c r="A46" s="17" t="str">
        <f>"couch_"&amp;VLOOKUP(F46, Factor!$BQ$4:$BR$6, 2, 0)&amp;"_"&amp;Couch!D46&amp;"_"&amp;VLOOKUP(Couch!E46, Factor!$BS$4:$BT$13, 2, 0)</f>
        <v>couch_Ti_T2_007</v>
      </c>
      <c r="B46" s="18" t="str">
        <f t="shared" si="0"/>
        <v>T2 경량 티타늄객차</v>
      </c>
      <c r="C46" s="18">
        <f>VLOOKUP(D46, Factor!$P$41:$Q$50, 2, 0)</f>
        <v>4000</v>
      </c>
      <c r="D46" s="18" t="s">
        <v>298</v>
      </c>
      <c r="E46" s="55" t="s">
        <v>585</v>
      </c>
      <c r="F46" s="55" t="s">
        <v>598</v>
      </c>
      <c r="G46" s="18" t="str">
        <f t="shared" si="1"/>
        <v>경량 티타늄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 cm="1">
        <f t="array" ref="M46">H46*VLOOKUP($G46, Factor!$Q$4:$V$36, 2, 0)*INDEX(Factor!$Q$41:$V$87, _xlfn.XMATCH($C46, Factor!$Q$41:$Q$87, -1), 2)</f>
        <v>720</v>
      </c>
      <c r="N46" s="18" cm="1">
        <f t="array" ref="N46">I46*VLOOKUP($G46, Factor!$Q$4:$V$36, 3, 0)*INDEX(Factor!$Q$41:$V$87, _xlfn.XMATCH($C46, Factor!$Q$41:$Q$87, -1), 3)</f>
        <v>24</v>
      </c>
      <c r="O46" s="18" cm="1">
        <f t="array" ref="O46">J46*VLOOKUP($G46, Factor!$Q$4:$V$36, 4, 0)*INDEX(Factor!$Q$41:$V$87, _xlfn.XMATCH($C46, Factor!$Q$41:$Q$87, -1), 4)</f>
        <v>720</v>
      </c>
      <c r="P46" s="18" cm="1">
        <f t="array" ref="P46">K46*VLOOKUP($G46, Factor!$Q$4:$V$36, 5, 0)*INDEX(Factor!$Q$41:$V$87, _xlfn.XMATCH($C46, Factor!$Q$41:$Q$87, -1), 5)</f>
        <v>1.68</v>
      </c>
      <c r="Q46" s="18" cm="1">
        <f t="array" ref="Q46">L46*VLOOKUP($G46, Factor!$Q$4:$V$36, 6, 0)*INDEX(Factor!$Q$41:$V$87, _xlfn.XMATCH($C46, Factor!$Q$41:$Q$87, -1), 6)</f>
        <v>1200</v>
      </c>
      <c r="R46" s="19"/>
    </row>
    <row r="47" spans="1:18" ht="15.75" customHeight="1" x14ac:dyDescent="0.2">
      <c r="A47" s="14" t="str">
        <f>"couch_"&amp;VLOOKUP(F47, Factor!$BQ$4:$BR$6, 2, 0)&amp;"_"&amp;Couch!D47&amp;"_"&amp;VLOOKUP(Couch!E47, Factor!$BS$4:$BT$13, 2, 0)</f>
        <v>couch_Wo_T3_001</v>
      </c>
      <c r="B47" s="15" t="str">
        <f t="shared" si="0"/>
        <v>T3 표준 나무객차</v>
      </c>
      <c r="C47" s="15">
        <f>VLOOKUP(D47, Factor!$P$41:$Q$50, 2, 0)</f>
        <v>6000</v>
      </c>
      <c r="D47" s="15" t="s">
        <v>321</v>
      </c>
      <c r="E47" s="56" t="s">
        <v>582</v>
      </c>
      <c r="F47" s="56" t="s">
        <v>663</v>
      </c>
      <c r="G47" s="15" t="str">
        <f t="shared" si="1"/>
        <v>표준 나무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 cm="1">
        <f t="array" ref="M47">H47*VLOOKUP($G47, Factor!$Q$4:$V$36, 2, 0)*INDEX(Factor!$Q$41:$V$87, _xlfn.XMATCH($C47, Factor!$Q$41:$Q$87, -1), 2)</f>
        <v>700</v>
      </c>
      <c r="N47" s="15" cm="1">
        <f t="array" ref="N47">I47*VLOOKUP($G47, Factor!$Q$4:$V$36, 3, 0)*INDEX(Factor!$Q$41:$V$87, _xlfn.XMATCH($C47, Factor!$Q$41:$Q$87, -1), 3)</f>
        <v>14</v>
      </c>
      <c r="O47" s="15" cm="1">
        <f t="array" ref="O47">J47*VLOOKUP($G47, Factor!$Q$4:$V$36, 4, 0)*INDEX(Factor!$Q$41:$V$87, _xlfn.XMATCH($C47, Factor!$Q$41:$Q$87, -1), 4)</f>
        <v>700</v>
      </c>
      <c r="P47" s="15" cm="1">
        <f t="array" ref="P47">K47*VLOOKUP($G47, Factor!$Q$4:$V$36, 5, 0)*INDEX(Factor!$Q$41:$V$87, _xlfn.XMATCH($C47, Factor!$Q$41:$Q$87, -1), 5)</f>
        <v>1.4</v>
      </c>
      <c r="Q47" s="15" cm="1">
        <f t="array" ref="Q47">L47*VLOOKUP($G47, Factor!$Q$4:$V$36, 6, 0)*INDEX(Factor!$Q$41:$V$87, _xlfn.XMATCH($C47, Factor!$Q$41:$Q$87, -1), 6)</f>
        <v>1400</v>
      </c>
      <c r="R47" s="16"/>
    </row>
    <row r="48" spans="1:18" ht="15.75" customHeight="1" x14ac:dyDescent="0.2">
      <c r="A48" s="17" t="str">
        <f>"couch_"&amp;VLOOKUP(F48, Factor!$BQ$4:$BR$6, 2, 0)&amp;"_"&amp;Couch!D48&amp;"_"&amp;VLOOKUP(Couch!E48, Factor!$BS$4:$BT$13, 2, 0)</f>
        <v>couch_Wo_T3_002</v>
      </c>
      <c r="B48" s="18" t="str">
        <f t="shared" si="0"/>
        <v>T3 중갑 나무객차</v>
      </c>
      <c r="C48" s="18">
        <f>VLOOKUP(D48, Factor!$P$41:$Q$50, 2, 0)</f>
        <v>6000</v>
      </c>
      <c r="D48" s="18" t="s">
        <v>321</v>
      </c>
      <c r="E48" s="55" t="s">
        <v>587</v>
      </c>
      <c r="F48" s="55" t="s">
        <v>663</v>
      </c>
      <c r="G48" s="18" t="str">
        <f t="shared" si="1"/>
        <v>중갑 나무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 cm="1">
        <f t="array" ref="M48">H48*VLOOKUP($G48, Factor!$Q$4:$V$36, 2, 0)*INDEX(Factor!$Q$41:$V$87, _xlfn.XMATCH($C48, Factor!$Q$41:$Q$87, -1), 2)</f>
        <v>700</v>
      </c>
      <c r="N48" s="18" cm="1">
        <f t="array" ref="N48">I48*VLOOKUP($G48, Factor!$Q$4:$V$36, 3, 0)*INDEX(Factor!$Q$41:$V$87, _xlfn.XMATCH($C48, Factor!$Q$41:$Q$87, -1), 3)</f>
        <v>28</v>
      </c>
      <c r="O48" s="18" cm="1">
        <f t="array" ref="O48">J48*VLOOKUP($G48, Factor!$Q$4:$V$36, 4, 0)*INDEX(Factor!$Q$41:$V$87, _xlfn.XMATCH($C48, Factor!$Q$41:$Q$87, -1), 4)</f>
        <v>700</v>
      </c>
      <c r="P48" s="18" cm="1">
        <f t="array" ref="P48">K48*VLOOKUP($G48, Factor!$Q$4:$V$36, 5, 0)*INDEX(Factor!$Q$41:$V$87, _xlfn.XMATCH($C48, Factor!$Q$41:$Q$87, -1), 5)</f>
        <v>1.4</v>
      </c>
      <c r="Q48" s="18" cm="1">
        <f t="array" ref="Q48">L48*VLOOKUP($G48, Factor!$Q$4:$V$36, 6, 0)*INDEX(Factor!$Q$41:$V$87, _xlfn.XMATCH($C48, Factor!$Q$41:$Q$87, -1), 6)</f>
        <v>2800</v>
      </c>
      <c r="R48" s="19"/>
    </row>
    <row r="49" spans="1:18" ht="15.75" customHeight="1" x14ac:dyDescent="0.2">
      <c r="A49" s="14" t="str">
        <f>"couch_"&amp;VLOOKUP(F49, Factor!$BQ$4:$BR$6, 2, 0)&amp;"_"&amp;Couch!D49&amp;"_"&amp;VLOOKUP(Couch!E49, Factor!$BS$4:$BT$13, 2, 0)</f>
        <v>couch_Wo_T3_003</v>
      </c>
      <c r="B49" s="15" t="str">
        <f t="shared" si="0"/>
        <v>T3 화물 나무객차</v>
      </c>
      <c r="C49" s="15">
        <f>VLOOKUP(D49, Factor!$P$41:$Q$50, 2, 0)</f>
        <v>6000</v>
      </c>
      <c r="D49" s="15" t="s">
        <v>299</v>
      </c>
      <c r="E49" s="56" t="s">
        <v>589</v>
      </c>
      <c r="F49" s="56" t="s">
        <v>663</v>
      </c>
      <c r="G49" s="15" t="str">
        <f t="shared" si="1"/>
        <v>화물 나무</v>
      </c>
      <c r="H49" s="15">
        <v>1</v>
      </c>
      <c r="I49" s="15">
        <v>1</v>
      </c>
      <c r="J49" s="15">
        <v>1</v>
      </c>
      <c r="K49" s="15">
        <v>1</v>
      </c>
      <c r="L49" s="15">
        <v>1</v>
      </c>
      <c r="M49" s="15" cm="1">
        <f t="array" ref="M49">H49*VLOOKUP($G49, Factor!$Q$4:$V$36, 2, 0)*INDEX(Factor!$Q$41:$V$87, _xlfn.XMATCH($C49, Factor!$Q$41:$Q$87, -1), 2)</f>
        <v>700</v>
      </c>
      <c r="N49" s="15" cm="1">
        <f t="array" ref="N49">I49*VLOOKUP($G49, Factor!$Q$4:$V$36, 3, 0)*INDEX(Factor!$Q$41:$V$87, _xlfn.XMATCH($C49, Factor!$Q$41:$Q$87, -1), 3)</f>
        <v>14</v>
      </c>
      <c r="O49" s="15" cm="1">
        <f t="array" ref="O49">J49*VLOOKUP($G49, Factor!$Q$4:$V$36, 4, 0)*INDEX(Factor!$Q$41:$V$87, _xlfn.XMATCH($C49, Factor!$Q$41:$Q$87, -1), 4)</f>
        <v>700</v>
      </c>
      <c r="P49" s="15" cm="1">
        <f t="array" ref="P49">K49*VLOOKUP($G49, Factor!$Q$4:$V$36, 5, 0)*INDEX(Factor!$Q$41:$V$87, _xlfn.XMATCH($C49, Factor!$Q$41:$Q$87, -1), 5)</f>
        <v>1.26</v>
      </c>
      <c r="Q49" s="15" cm="1">
        <f t="array" ref="Q49">L49*VLOOKUP($G49, Factor!$Q$4:$V$36, 6, 0)*INDEX(Factor!$Q$41:$V$87, _xlfn.XMATCH($C49, Factor!$Q$41:$Q$87, -1), 6)</f>
        <v>979.99999999999989</v>
      </c>
      <c r="R49" s="16"/>
    </row>
    <row r="50" spans="1:18" ht="15.75" customHeight="1" x14ac:dyDescent="0.2">
      <c r="A50" s="17" t="str">
        <f>"couch_"&amp;VLOOKUP(F50, Factor!$BQ$4:$BR$6, 2, 0)&amp;"_"&amp;Couch!D50&amp;"_"&amp;VLOOKUP(Couch!E50, Factor!$BS$4:$BT$13, 2, 0)</f>
        <v>couch_Wo_T3_004</v>
      </c>
      <c r="B50" s="18" t="str">
        <f t="shared" si="0"/>
        <v>T3 군용 나무객차</v>
      </c>
      <c r="C50" s="18">
        <f>VLOOKUP(D50, Factor!$P$41:$Q$50, 2, 0)</f>
        <v>6000</v>
      </c>
      <c r="D50" s="18" t="s">
        <v>299</v>
      </c>
      <c r="E50" s="55" t="s">
        <v>591</v>
      </c>
      <c r="F50" s="55" t="s">
        <v>663</v>
      </c>
      <c r="G50" s="18" t="str">
        <f t="shared" si="1"/>
        <v>군용 나무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 cm="1">
        <f t="array" ref="M50">H50*VLOOKUP($G50, Factor!$Q$4:$V$36, 2, 0)*INDEX(Factor!$Q$41:$V$87, _xlfn.XMATCH($C50, Factor!$Q$41:$Q$87, -1), 2)</f>
        <v>979.99999999999989</v>
      </c>
      <c r="N50" s="18" cm="1">
        <f t="array" ref="N50">I50*VLOOKUP($G50, Factor!$Q$4:$V$36, 3, 0)*INDEX(Factor!$Q$41:$V$87, _xlfn.XMATCH($C50, Factor!$Q$41:$Q$87, -1), 3)</f>
        <v>21</v>
      </c>
      <c r="O50" s="18" cm="1">
        <f t="array" ref="O50">J50*VLOOKUP($G50, Factor!$Q$4:$V$36, 4, 0)*INDEX(Factor!$Q$41:$V$87, _xlfn.XMATCH($C50, Factor!$Q$41:$Q$87, -1), 4)</f>
        <v>979.99999999999989</v>
      </c>
      <c r="P50" s="18" cm="1">
        <f t="array" ref="P50">K50*VLOOKUP($G50, Factor!$Q$4:$V$36, 5, 0)*INDEX(Factor!$Q$41:$V$87, _xlfn.XMATCH($C50, Factor!$Q$41:$Q$87, -1), 5)</f>
        <v>1.54</v>
      </c>
      <c r="Q50" s="18" cm="1">
        <f t="array" ref="Q50">L50*VLOOKUP($G50, Factor!$Q$4:$V$36, 6, 0)*INDEX(Factor!$Q$41:$V$87, _xlfn.XMATCH($C50, Factor!$Q$41:$Q$87, -1), 6)</f>
        <v>4200</v>
      </c>
      <c r="R50" s="19"/>
    </row>
    <row r="51" spans="1:18" ht="15.75" customHeight="1" x14ac:dyDescent="0.2">
      <c r="A51" s="14" t="str">
        <f>"couch_"&amp;VLOOKUP(F51, Factor!$BQ$4:$BR$6, 2, 0)&amp;"_"&amp;Couch!D51&amp;"_"&amp;VLOOKUP(Couch!E51, Factor!$BS$4:$BT$13, 2, 0)</f>
        <v>couch_Wo_T3_005</v>
      </c>
      <c r="B51" s="15" t="str">
        <f t="shared" si="0"/>
        <v>T3 여객 나무객차</v>
      </c>
      <c r="C51" s="15">
        <f>VLOOKUP(D51, Factor!$P$41:$Q$50, 2, 0)</f>
        <v>6000</v>
      </c>
      <c r="D51" s="15" t="s">
        <v>299</v>
      </c>
      <c r="E51" s="56" t="s">
        <v>593</v>
      </c>
      <c r="F51" s="56" t="s">
        <v>663</v>
      </c>
      <c r="G51" s="15" t="str">
        <f t="shared" si="1"/>
        <v>여객 나무</v>
      </c>
      <c r="H51" s="15">
        <v>1</v>
      </c>
      <c r="I51" s="15">
        <v>1</v>
      </c>
      <c r="J51" s="15">
        <v>1</v>
      </c>
      <c r="K51" s="15">
        <v>1</v>
      </c>
      <c r="L51" s="15">
        <v>1</v>
      </c>
      <c r="M51" s="15" cm="1">
        <f t="array" ref="M51">H51*VLOOKUP($G51, Factor!$Q$4:$V$36, 2, 0)*INDEX(Factor!$Q$41:$V$87, _xlfn.XMATCH($C51, Factor!$Q$41:$Q$87, -1), 2)</f>
        <v>560</v>
      </c>
      <c r="N51" s="15" cm="1">
        <f t="array" ref="N51">I51*VLOOKUP($G51, Factor!$Q$4:$V$36, 3, 0)*INDEX(Factor!$Q$41:$V$87, _xlfn.XMATCH($C51, Factor!$Q$41:$Q$87, -1), 3)</f>
        <v>11.2</v>
      </c>
      <c r="O51" s="15" cm="1">
        <f t="array" ref="O51">J51*VLOOKUP($G51, Factor!$Q$4:$V$36, 4, 0)*INDEX(Factor!$Q$41:$V$87, _xlfn.XMATCH($C51, Factor!$Q$41:$Q$87, -1), 4)</f>
        <v>560</v>
      </c>
      <c r="P51" s="15" cm="1">
        <f t="array" ref="P51">K51*VLOOKUP($G51, Factor!$Q$4:$V$36, 5, 0)*INDEX(Factor!$Q$41:$V$87, _xlfn.XMATCH($C51, Factor!$Q$41:$Q$87, -1), 5)</f>
        <v>1.68</v>
      </c>
      <c r="Q51" s="15" cm="1">
        <f t="array" ref="Q51">L51*VLOOKUP($G51, Factor!$Q$4:$V$36, 6, 0)*INDEX(Factor!$Q$41:$V$87, _xlfn.XMATCH($C51, Factor!$Q$41:$Q$87, -1), 6)</f>
        <v>1400</v>
      </c>
      <c r="R51" s="16"/>
    </row>
    <row r="52" spans="1:18" ht="15.75" customHeight="1" x14ac:dyDescent="0.2">
      <c r="A52" s="17" t="str">
        <f>"couch_"&amp;VLOOKUP(F52, Factor!$BQ$4:$BR$6, 2, 0)&amp;"_"&amp;Couch!D52&amp;"_"&amp;VLOOKUP(Couch!E52, Factor!$BS$4:$BT$13, 2, 0)</f>
        <v>couch_Wo_T3_006</v>
      </c>
      <c r="B52" s="18" t="str">
        <f t="shared" si="0"/>
        <v>T3 시운 나무객차</v>
      </c>
      <c r="C52" s="18">
        <f>VLOOKUP(D52, Factor!$P$41:$Q$50, 2, 0)</f>
        <v>6000</v>
      </c>
      <c r="D52" s="18" t="s">
        <v>299</v>
      </c>
      <c r="E52" s="55" t="s">
        <v>595</v>
      </c>
      <c r="F52" s="55" t="s">
        <v>663</v>
      </c>
      <c r="G52" s="18" t="str">
        <f t="shared" si="1"/>
        <v>시운 나무</v>
      </c>
      <c r="H52" s="18">
        <v>1</v>
      </c>
      <c r="I52" s="18">
        <v>1</v>
      </c>
      <c r="J52" s="18">
        <v>1</v>
      </c>
      <c r="K52" s="18">
        <v>1</v>
      </c>
      <c r="L52" s="18">
        <v>1</v>
      </c>
      <c r="M52" s="18" cm="1">
        <f t="array" ref="M52">H52*VLOOKUP($G52, Factor!$Q$4:$V$36, 2, 0)*INDEX(Factor!$Q$41:$V$87, _xlfn.XMATCH($C52, Factor!$Q$41:$Q$87, -1), 2)</f>
        <v>280</v>
      </c>
      <c r="N52" s="18" cm="1">
        <f t="array" ref="N52">I52*VLOOKUP($G52, Factor!$Q$4:$V$36, 3, 0)*INDEX(Factor!$Q$41:$V$87, _xlfn.XMATCH($C52, Factor!$Q$41:$Q$87, -1), 3)</f>
        <v>14</v>
      </c>
      <c r="O52" s="18" cm="1">
        <f t="array" ref="O52">J52*VLOOKUP($G52, Factor!$Q$4:$V$36, 4, 0)*INDEX(Factor!$Q$41:$V$87, _xlfn.XMATCH($C52, Factor!$Q$41:$Q$87, -1), 4)</f>
        <v>1120</v>
      </c>
      <c r="P52" s="18" cm="1">
        <f t="array" ref="P52">K52*VLOOKUP($G52, Factor!$Q$4:$V$36, 5, 0)*INDEX(Factor!$Q$41:$V$87, _xlfn.XMATCH($C52, Factor!$Q$41:$Q$87, -1), 5)</f>
        <v>1.4</v>
      </c>
      <c r="Q52" s="18" cm="1">
        <f t="array" ref="Q52">L52*VLOOKUP($G52, Factor!$Q$4:$V$36, 6, 0)*INDEX(Factor!$Q$41:$V$87, _xlfn.XMATCH($C52, Factor!$Q$41:$Q$87, -1), 6)</f>
        <v>1400</v>
      </c>
      <c r="R52" s="19"/>
    </row>
    <row r="53" spans="1:18" ht="15.75" customHeight="1" x14ac:dyDescent="0.2">
      <c r="A53" s="14" t="str">
        <f>"couch_"&amp;VLOOKUP(F53, Factor!$BQ$4:$BR$6, 2, 0)&amp;"_"&amp;Couch!D53&amp;"_"&amp;VLOOKUP(Couch!E53, Factor!$BS$4:$BT$13, 2, 0)</f>
        <v>couch_Wo_T3_007</v>
      </c>
      <c r="B53" s="15" t="str">
        <f t="shared" si="0"/>
        <v>T3 경량 나무객차</v>
      </c>
      <c r="C53" s="15">
        <f>VLOOKUP(D53, Factor!$P$41:$Q$50, 2, 0)</f>
        <v>6000</v>
      </c>
      <c r="D53" s="15" t="s">
        <v>299</v>
      </c>
      <c r="E53" s="56" t="s">
        <v>585</v>
      </c>
      <c r="F53" s="56" t="s">
        <v>663</v>
      </c>
      <c r="G53" s="15" t="str">
        <f t="shared" si="1"/>
        <v>경량 나무</v>
      </c>
      <c r="H53" s="15">
        <v>1</v>
      </c>
      <c r="I53" s="15">
        <v>1</v>
      </c>
      <c r="J53" s="15">
        <v>1</v>
      </c>
      <c r="K53" s="15">
        <v>1</v>
      </c>
      <c r="L53" s="15">
        <v>1</v>
      </c>
      <c r="M53" s="15" cm="1">
        <f t="array" ref="M53">H53*VLOOKUP($G53, Factor!$Q$4:$V$36, 2, 0)*INDEX(Factor!$Q$41:$V$87, _xlfn.XMATCH($C53, Factor!$Q$41:$Q$87, -1), 2)</f>
        <v>420</v>
      </c>
      <c r="N53" s="15" cm="1">
        <f t="array" ref="N53">I53*VLOOKUP($G53, Factor!$Q$4:$V$36, 3, 0)*INDEX(Factor!$Q$41:$V$87, _xlfn.XMATCH($C53, Factor!$Q$41:$Q$87, -1), 3)</f>
        <v>11.2</v>
      </c>
      <c r="O53" s="15" cm="1">
        <f t="array" ref="O53">J53*VLOOKUP($G53, Factor!$Q$4:$V$36, 4, 0)*INDEX(Factor!$Q$41:$V$87, _xlfn.XMATCH($C53, Factor!$Q$41:$Q$87, -1), 4)</f>
        <v>420</v>
      </c>
      <c r="P53" s="15" cm="1">
        <f t="array" ref="P53">K53*VLOOKUP($G53, Factor!$Q$4:$V$36, 5, 0)*INDEX(Factor!$Q$41:$V$87, _xlfn.XMATCH($C53, Factor!$Q$41:$Q$87, -1), 5)</f>
        <v>1.4</v>
      </c>
      <c r="Q53" s="15" cm="1">
        <f t="array" ref="Q53">L53*VLOOKUP($G53, Factor!$Q$4:$V$36, 6, 0)*INDEX(Factor!$Q$41:$V$87, _xlfn.XMATCH($C53, Factor!$Q$41:$Q$87, -1), 6)</f>
        <v>700</v>
      </c>
      <c r="R53" s="16"/>
    </row>
    <row r="54" spans="1:18" ht="15.75" customHeight="1" x14ac:dyDescent="0.2">
      <c r="A54" s="17" t="str">
        <f>"couch_"&amp;VLOOKUP(F54, Factor!$BQ$4:$BR$6, 2, 0)&amp;"_"&amp;Couch!D54&amp;"_"&amp;VLOOKUP(Couch!E54, Factor!$BS$4:$BT$13, 2, 0)</f>
        <v>couch_St_T3_001</v>
      </c>
      <c r="B54" s="18" t="str">
        <f t="shared" si="0"/>
        <v>T3 표준 강철객차</v>
      </c>
      <c r="C54" s="18">
        <f>VLOOKUP(D54, Factor!$P$41:$Q$50, 2, 0)</f>
        <v>6000</v>
      </c>
      <c r="D54" s="18" t="s">
        <v>299</v>
      </c>
      <c r="E54" s="55" t="s">
        <v>582</v>
      </c>
      <c r="F54" s="55" t="s">
        <v>597</v>
      </c>
      <c r="G54" s="18" t="str">
        <f t="shared" si="1"/>
        <v>표준 강철</v>
      </c>
      <c r="H54" s="18">
        <v>1</v>
      </c>
      <c r="I54" s="18">
        <v>1</v>
      </c>
      <c r="J54" s="18">
        <v>1</v>
      </c>
      <c r="K54" s="18">
        <v>1</v>
      </c>
      <c r="L54" s="18">
        <v>1</v>
      </c>
      <c r="M54" s="18" cm="1">
        <f t="array" ref="M54">H54*VLOOKUP($G54, Factor!$Q$4:$V$36, 2, 0)*INDEX(Factor!$Q$41:$V$87, _xlfn.XMATCH($C54, Factor!$Q$41:$Q$87, -1), 2)</f>
        <v>979.99999999999989</v>
      </c>
      <c r="N54" s="18" cm="1">
        <f t="array" ref="N54">I54*VLOOKUP($G54, Factor!$Q$4:$V$36, 3, 0)*INDEX(Factor!$Q$41:$V$87, _xlfn.XMATCH($C54, Factor!$Q$41:$Q$87, -1), 3)</f>
        <v>28</v>
      </c>
      <c r="O54" s="18" cm="1">
        <f t="array" ref="O54">J54*VLOOKUP($G54, Factor!$Q$4:$V$36, 4, 0)*INDEX(Factor!$Q$41:$V$87, _xlfn.XMATCH($C54, Factor!$Q$41:$Q$87, -1), 4)</f>
        <v>979.99999999999989</v>
      </c>
      <c r="P54" s="18" cm="1">
        <f t="array" ref="P54">K54*VLOOKUP($G54, Factor!$Q$4:$V$36, 5, 0)*INDEX(Factor!$Q$41:$V$87, _xlfn.XMATCH($C54, Factor!$Q$41:$Q$87, -1), 5)</f>
        <v>1.68</v>
      </c>
      <c r="Q54" s="18" cm="1">
        <f t="array" ref="Q54">L54*VLOOKUP($G54, Factor!$Q$4:$V$36, 6, 0)*INDEX(Factor!$Q$41:$V$87, _xlfn.XMATCH($C54, Factor!$Q$41:$Q$87, -1), 6)</f>
        <v>2100</v>
      </c>
      <c r="R54" s="19"/>
    </row>
    <row r="55" spans="1:18" ht="15.75" customHeight="1" x14ac:dyDescent="0.2">
      <c r="A55" s="14" t="str">
        <f>"couch_"&amp;VLOOKUP(F55, Factor!$BQ$4:$BR$6, 2, 0)&amp;"_"&amp;Couch!D55&amp;"_"&amp;VLOOKUP(Couch!E55, Factor!$BS$4:$BT$13, 2, 0)</f>
        <v>couch_St_T3_002</v>
      </c>
      <c r="B55" s="15" t="str">
        <f t="shared" si="0"/>
        <v>T3 중갑 강철객차</v>
      </c>
      <c r="C55" s="15">
        <f>VLOOKUP(D55, Factor!$P$41:$Q$50, 2, 0)</f>
        <v>6000</v>
      </c>
      <c r="D55" s="15" t="s">
        <v>299</v>
      </c>
      <c r="E55" s="56" t="s">
        <v>587</v>
      </c>
      <c r="F55" s="56" t="s">
        <v>597</v>
      </c>
      <c r="G55" s="15" t="str">
        <f t="shared" si="1"/>
        <v>중갑 강철</v>
      </c>
      <c r="H55" s="15">
        <v>1</v>
      </c>
      <c r="I55" s="15">
        <v>1</v>
      </c>
      <c r="J55" s="15">
        <v>1</v>
      </c>
      <c r="K55" s="15">
        <v>1</v>
      </c>
      <c r="L55" s="15">
        <v>1</v>
      </c>
      <c r="M55" s="15" cm="1">
        <f t="array" ref="M55">H55*VLOOKUP($G55, Factor!$Q$4:$V$36, 2, 0)*INDEX(Factor!$Q$41:$V$87, _xlfn.XMATCH($C55, Factor!$Q$41:$Q$87, -1), 2)</f>
        <v>979.99999999999989</v>
      </c>
      <c r="N55" s="15" cm="1">
        <f t="array" ref="N55">I55*VLOOKUP($G55, Factor!$Q$4:$V$36, 3, 0)*INDEX(Factor!$Q$41:$V$87, _xlfn.XMATCH($C55, Factor!$Q$41:$Q$87, -1), 3)</f>
        <v>49</v>
      </c>
      <c r="O55" s="15" cm="1">
        <f t="array" ref="O55">J55*VLOOKUP($G55, Factor!$Q$4:$V$36, 4, 0)*INDEX(Factor!$Q$41:$V$87, _xlfn.XMATCH($C55, Factor!$Q$41:$Q$87, -1), 4)</f>
        <v>979.99999999999989</v>
      </c>
      <c r="P55" s="15" cm="1">
        <f t="array" ref="P55">K55*VLOOKUP($G55, Factor!$Q$4:$V$36, 5, 0)*INDEX(Factor!$Q$41:$V$87, _xlfn.XMATCH($C55, Factor!$Q$41:$Q$87, -1), 5)</f>
        <v>1.68</v>
      </c>
      <c r="Q55" s="15" cm="1">
        <f t="array" ref="Q55">L55*VLOOKUP($G55, Factor!$Q$4:$V$36, 6, 0)*INDEX(Factor!$Q$41:$V$87, _xlfn.XMATCH($C55, Factor!$Q$41:$Q$87, -1), 6)</f>
        <v>4200</v>
      </c>
      <c r="R55" s="16"/>
    </row>
    <row r="56" spans="1:18" ht="15.75" customHeight="1" x14ac:dyDescent="0.2">
      <c r="A56" s="17" t="str">
        <f>"couch_"&amp;VLOOKUP(F56, Factor!$BQ$4:$BR$6, 2, 0)&amp;"_"&amp;Couch!D56&amp;"_"&amp;VLOOKUP(Couch!E56, Factor!$BS$4:$BT$13, 2, 0)</f>
        <v>couch_St_T3_003</v>
      </c>
      <c r="B56" s="18" t="str">
        <f t="shared" si="0"/>
        <v>T3 화물 강철객차</v>
      </c>
      <c r="C56" s="18">
        <f>VLOOKUP(D56, Factor!$P$41:$Q$50, 2, 0)</f>
        <v>6000</v>
      </c>
      <c r="D56" s="18" t="s">
        <v>299</v>
      </c>
      <c r="E56" s="55" t="s">
        <v>589</v>
      </c>
      <c r="F56" s="55" t="s">
        <v>597</v>
      </c>
      <c r="G56" s="18" t="str">
        <f t="shared" si="1"/>
        <v>화물 강철</v>
      </c>
      <c r="H56" s="18">
        <v>1</v>
      </c>
      <c r="I56" s="18">
        <v>1</v>
      </c>
      <c r="J56" s="18">
        <v>1</v>
      </c>
      <c r="K56" s="18">
        <v>1</v>
      </c>
      <c r="L56" s="18">
        <v>1</v>
      </c>
      <c r="M56" s="18" cm="1">
        <f t="array" ref="M56">H56*VLOOKUP($G56, Factor!$Q$4:$V$36, 2, 0)*INDEX(Factor!$Q$41:$V$87, _xlfn.XMATCH($C56, Factor!$Q$41:$Q$87, -1), 2)</f>
        <v>979.99999999999989</v>
      </c>
      <c r="N56" s="18" cm="1">
        <f t="array" ref="N56">I56*VLOOKUP($G56, Factor!$Q$4:$V$36, 3, 0)*INDEX(Factor!$Q$41:$V$87, _xlfn.XMATCH($C56, Factor!$Q$41:$Q$87, -1), 3)</f>
        <v>28</v>
      </c>
      <c r="O56" s="18" cm="1">
        <f t="array" ref="O56">J56*VLOOKUP($G56, Factor!$Q$4:$V$36, 4, 0)*INDEX(Factor!$Q$41:$V$87, _xlfn.XMATCH($C56, Factor!$Q$41:$Q$87, -1), 4)</f>
        <v>979.99999999999989</v>
      </c>
      <c r="P56" s="18" cm="1">
        <f t="array" ref="P56">K56*VLOOKUP($G56, Factor!$Q$4:$V$36, 5, 0)*INDEX(Factor!$Q$41:$V$87, _xlfn.XMATCH($C56, Factor!$Q$41:$Q$87, -1), 5)</f>
        <v>1.54</v>
      </c>
      <c r="Q56" s="18" cm="1">
        <f t="array" ref="Q56">L56*VLOOKUP($G56, Factor!$Q$4:$V$36, 6, 0)*INDEX(Factor!$Q$41:$V$87, _xlfn.XMATCH($C56, Factor!$Q$41:$Q$87, -1), 6)</f>
        <v>1400</v>
      </c>
      <c r="R56" s="19"/>
    </row>
    <row r="57" spans="1:18" ht="15.75" customHeight="1" x14ac:dyDescent="0.2">
      <c r="A57" s="14" t="str">
        <f>"couch_"&amp;VLOOKUP(F57, Factor!$BQ$4:$BR$6, 2, 0)&amp;"_"&amp;Couch!D57&amp;"_"&amp;VLOOKUP(Couch!E57, Factor!$BS$4:$BT$13, 2, 0)</f>
        <v>couch_St_T3_004</v>
      </c>
      <c r="B57" s="15" t="str">
        <f t="shared" si="0"/>
        <v>T3 군용 강철객차</v>
      </c>
      <c r="C57" s="15">
        <f>VLOOKUP(D57, Factor!$P$41:$Q$50, 2, 0)</f>
        <v>6000</v>
      </c>
      <c r="D57" s="15" t="s">
        <v>299</v>
      </c>
      <c r="E57" s="56" t="s">
        <v>591</v>
      </c>
      <c r="F57" s="56" t="s">
        <v>597</v>
      </c>
      <c r="G57" s="15" t="str">
        <f t="shared" si="1"/>
        <v>군용 강철</v>
      </c>
      <c r="H57" s="15">
        <v>1</v>
      </c>
      <c r="I57" s="15">
        <v>1</v>
      </c>
      <c r="J57" s="15">
        <v>1</v>
      </c>
      <c r="K57" s="15">
        <v>1</v>
      </c>
      <c r="L57" s="15">
        <v>1</v>
      </c>
      <c r="M57" s="15" cm="1">
        <f t="array" ref="M57">H57*VLOOKUP($G57, Factor!$Q$4:$V$36, 2, 0)*INDEX(Factor!$Q$41:$V$87, _xlfn.XMATCH($C57, Factor!$Q$41:$Q$87, -1), 2)</f>
        <v>1260</v>
      </c>
      <c r="N57" s="15" cm="1">
        <f t="array" ref="N57">I57*VLOOKUP($G57, Factor!$Q$4:$V$36, 3, 0)*INDEX(Factor!$Q$41:$V$87, _xlfn.XMATCH($C57, Factor!$Q$41:$Q$87, -1), 3)</f>
        <v>42</v>
      </c>
      <c r="O57" s="15" cm="1">
        <f t="array" ref="O57">J57*VLOOKUP($G57, Factor!$Q$4:$V$36, 4, 0)*INDEX(Factor!$Q$41:$V$87, _xlfn.XMATCH($C57, Factor!$Q$41:$Q$87, -1), 4)</f>
        <v>1260</v>
      </c>
      <c r="P57" s="15" cm="1">
        <f t="array" ref="P57">K57*VLOOKUP($G57, Factor!$Q$4:$V$36, 5, 0)*INDEX(Factor!$Q$41:$V$87, _xlfn.XMATCH($C57, Factor!$Q$41:$Q$87, -1), 5)</f>
        <v>1.8199999999999998</v>
      </c>
      <c r="Q57" s="15" cm="1">
        <f t="array" ref="Q57">L57*VLOOKUP($G57, Factor!$Q$4:$V$36, 6, 0)*INDEX(Factor!$Q$41:$V$87, _xlfn.XMATCH($C57, Factor!$Q$41:$Q$87, -1), 6)</f>
        <v>6300</v>
      </c>
      <c r="R57" s="16"/>
    </row>
    <row r="58" spans="1:18" ht="15.75" customHeight="1" x14ac:dyDescent="0.2">
      <c r="A58" s="17" t="str">
        <f>"couch_"&amp;VLOOKUP(F58, Factor!$BQ$4:$BR$6, 2, 0)&amp;"_"&amp;Couch!D58&amp;"_"&amp;VLOOKUP(Couch!E58, Factor!$BS$4:$BT$13, 2, 0)</f>
        <v>couch_St_T3_005</v>
      </c>
      <c r="B58" s="18" t="str">
        <f t="shared" si="0"/>
        <v>T3 여객 강철객차</v>
      </c>
      <c r="C58" s="18">
        <f>VLOOKUP(D58, Factor!$P$41:$Q$50, 2, 0)</f>
        <v>6000</v>
      </c>
      <c r="D58" s="18" t="s">
        <v>299</v>
      </c>
      <c r="E58" s="55" t="s">
        <v>593</v>
      </c>
      <c r="F58" s="55" t="s">
        <v>597</v>
      </c>
      <c r="G58" s="18" t="str">
        <f t="shared" si="1"/>
        <v>여객 강철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 cm="1">
        <f t="array" ref="M58">H58*VLOOKUP($G58, Factor!$Q$4:$V$36, 2, 0)*INDEX(Factor!$Q$41:$V$87, _xlfn.XMATCH($C58, Factor!$Q$41:$Q$87, -1), 2)</f>
        <v>840</v>
      </c>
      <c r="N58" s="18" cm="1">
        <f t="array" ref="N58">I58*VLOOKUP($G58, Factor!$Q$4:$V$36, 3, 0)*INDEX(Factor!$Q$41:$V$87, _xlfn.XMATCH($C58, Factor!$Q$41:$Q$87, -1), 3)</f>
        <v>28</v>
      </c>
      <c r="O58" s="18" cm="1">
        <f t="array" ref="O58">J58*VLOOKUP($G58, Factor!$Q$4:$V$36, 4, 0)*INDEX(Factor!$Q$41:$V$87, _xlfn.XMATCH($C58, Factor!$Q$41:$Q$87, -1), 4)</f>
        <v>840</v>
      </c>
      <c r="P58" s="18" cm="1">
        <f t="array" ref="P58">K58*VLOOKUP($G58, Factor!$Q$4:$V$36, 5, 0)*INDEX(Factor!$Q$41:$V$87, _xlfn.XMATCH($C58, Factor!$Q$41:$Q$87, -1), 5)</f>
        <v>1.9599999999999997</v>
      </c>
      <c r="Q58" s="18" cm="1">
        <f t="array" ref="Q58">L58*VLOOKUP($G58, Factor!$Q$4:$V$36, 6, 0)*INDEX(Factor!$Q$41:$V$87, _xlfn.XMATCH($C58, Factor!$Q$41:$Q$87, -1), 6)</f>
        <v>2100</v>
      </c>
      <c r="R58" s="19"/>
    </row>
    <row r="59" spans="1:18" ht="15.75" customHeight="1" x14ac:dyDescent="0.2">
      <c r="A59" s="14" t="str">
        <f>"couch_"&amp;VLOOKUP(F59, Factor!$BQ$4:$BR$6, 2, 0)&amp;"_"&amp;Couch!D59&amp;"_"&amp;VLOOKUP(Couch!E59, Factor!$BS$4:$BT$13, 2, 0)</f>
        <v>couch_St_T3_006</v>
      </c>
      <c r="B59" s="15" t="str">
        <f t="shared" si="0"/>
        <v>T3 시운 강철객차</v>
      </c>
      <c r="C59" s="15">
        <f>VLOOKUP(D59, Factor!$P$41:$Q$50, 2, 0)</f>
        <v>6000</v>
      </c>
      <c r="D59" s="15" t="s">
        <v>299</v>
      </c>
      <c r="E59" s="56" t="s">
        <v>595</v>
      </c>
      <c r="F59" s="56" t="s">
        <v>597</v>
      </c>
      <c r="G59" s="15" t="str">
        <f t="shared" si="1"/>
        <v>시운 강철</v>
      </c>
      <c r="H59" s="15">
        <v>1</v>
      </c>
      <c r="I59" s="15">
        <v>1</v>
      </c>
      <c r="J59" s="15">
        <v>1</v>
      </c>
      <c r="K59" s="15">
        <v>1</v>
      </c>
      <c r="L59" s="15">
        <v>1</v>
      </c>
      <c r="M59" s="15" cm="1">
        <f t="array" ref="M59">H59*VLOOKUP($G59, Factor!$Q$4:$V$36, 2, 0)*INDEX(Factor!$Q$41:$V$87, _xlfn.XMATCH($C59, Factor!$Q$41:$Q$87, -1), 2)</f>
        <v>420</v>
      </c>
      <c r="N59" s="15" cm="1">
        <f t="array" ref="N59">I59*VLOOKUP($G59, Factor!$Q$4:$V$36, 3, 0)*INDEX(Factor!$Q$41:$V$87, _xlfn.XMATCH($C59, Factor!$Q$41:$Q$87, -1), 3)</f>
        <v>28</v>
      </c>
      <c r="O59" s="15" cm="1">
        <f t="array" ref="O59">J59*VLOOKUP($G59, Factor!$Q$4:$V$36, 4, 0)*INDEX(Factor!$Q$41:$V$87, _xlfn.XMATCH($C59, Factor!$Q$41:$Q$87, -1), 4)</f>
        <v>1540</v>
      </c>
      <c r="P59" s="15" cm="1">
        <f t="array" ref="P59">K59*VLOOKUP($G59, Factor!$Q$4:$V$36, 5, 0)*INDEX(Factor!$Q$41:$V$87, _xlfn.XMATCH($C59, Factor!$Q$41:$Q$87, -1), 5)</f>
        <v>1.68</v>
      </c>
      <c r="Q59" s="15" cm="1">
        <f t="array" ref="Q59">L59*VLOOKUP($G59, Factor!$Q$4:$V$36, 6, 0)*INDEX(Factor!$Q$41:$V$87, _xlfn.XMATCH($C59, Factor!$Q$41:$Q$87, -1), 6)</f>
        <v>2100</v>
      </c>
      <c r="R59" s="16"/>
    </row>
    <row r="60" spans="1:18" ht="15.75" customHeight="1" x14ac:dyDescent="0.2">
      <c r="A60" s="17" t="str">
        <f>"couch_"&amp;VLOOKUP(F60, Factor!$BQ$4:$BR$6, 2, 0)&amp;"_"&amp;Couch!D60&amp;"_"&amp;VLOOKUP(Couch!E60, Factor!$BS$4:$BT$13, 2, 0)</f>
        <v>couch_St_T3_007</v>
      </c>
      <c r="B60" s="18" t="str">
        <f t="shared" si="0"/>
        <v>T3 경량 강철객차</v>
      </c>
      <c r="C60" s="18">
        <f>VLOOKUP(D60, Factor!$P$41:$Q$50, 2, 0)</f>
        <v>6000</v>
      </c>
      <c r="D60" s="18" t="s">
        <v>299</v>
      </c>
      <c r="E60" s="55" t="s">
        <v>585</v>
      </c>
      <c r="F60" s="55" t="s">
        <v>597</v>
      </c>
      <c r="G60" s="18" t="str">
        <f t="shared" si="1"/>
        <v>경량 강철</v>
      </c>
      <c r="H60" s="18">
        <v>1</v>
      </c>
      <c r="I60" s="18">
        <v>1</v>
      </c>
      <c r="J60" s="18">
        <v>1</v>
      </c>
      <c r="K60" s="18">
        <v>1</v>
      </c>
      <c r="L60" s="18">
        <v>1</v>
      </c>
      <c r="M60" s="18" cm="1">
        <f t="array" ref="M60">H60*VLOOKUP($G60, Factor!$Q$4:$V$36, 2, 0)*INDEX(Factor!$Q$41:$V$87, _xlfn.XMATCH($C60, Factor!$Q$41:$Q$87, -1), 2)</f>
        <v>560</v>
      </c>
      <c r="N60" s="18" cm="1">
        <f t="array" ref="N60">I60*VLOOKUP($G60, Factor!$Q$4:$V$36, 3, 0)*INDEX(Factor!$Q$41:$V$87, _xlfn.XMATCH($C60, Factor!$Q$41:$Q$87, -1), 3)</f>
        <v>21</v>
      </c>
      <c r="O60" s="18" cm="1">
        <f t="array" ref="O60">J60*VLOOKUP($G60, Factor!$Q$4:$V$36, 4, 0)*INDEX(Factor!$Q$41:$V$87, _xlfn.XMATCH($C60, Factor!$Q$41:$Q$87, -1), 4)</f>
        <v>560</v>
      </c>
      <c r="P60" s="18" cm="1">
        <f t="array" ref="P60">K60*VLOOKUP($G60, Factor!$Q$4:$V$36, 5, 0)*INDEX(Factor!$Q$41:$V$87, _xlfn.XMATCH($C60, Factor!$Q$41:$Q$87, -1), 5)</f>
        <v>1.68</v>
      </c>
      <c r="Q60" s="18" cm="1">
        <f t="array" ref="Q60">L60*VLOOKUP($G60, Factor!$Q$4:$V$36, 6, 0)*INDEX(Factor!$Q$41:$V$87, _xlfn.XMATCH($C60, Factor!$Q$41:$Q$87, -1), 6)</f>
        <v>979.99999999999989</v>
      </c>
      <c r="R60" s="19"/>
    </row>
    <row r="61" spans="1:18" ht="15.75" customHeight="1" x14ac:dyDescent="0.2">
      <c r="A61" s="14" t="str">
        <f>"couch_"&amp;VLOOKUP(F61, Factor!$BQ$4:$BR$6, 2, 0)&amp;"_"&amp;Couch!D61&amp;"_"&amp;VLOOKUP(Couch!E61, Factor!$BS$4:$BT$13, 2, 0)</f>
        <v>couch_Ti_T3_001</v>
      </c>
      <c r="B61" s="15" t="str">
        <f t="shared" si="0"/>
        <v>T3 표준 티타늄객차</v>
      </c>
      <c r="C61" s="15">
        <f>VLOOKUP(D61, Factor!$P$41:$Q$50, 2, 0)</f>
        <v>6000</v>
      </c>
      <c r="D61" s="15" t="s">
        <v>299</v>
      </c>
      <c r="E61" s="56" t="s">
        <v>582</v>
      </c>
      <c r="F61" s="56" t="s">
        <v>598</v>
      </c>
      <c r="G61" s="15" t="str">
        <f t="shared" si="1"/>
        <v>표준 티타늄</v>
      </c>
      <c r="H61" s="15">
        <v>1</v>
      </c>
      <c r="I61" s="15">
        <v>1</v>
      </c>
      <c r="J61" s="15">
        <v>1</v>
      </c>
      <c r="K61" s="15">
        <v>1</v>
      </c>
      <c r="L61" s="15">
        <v>1</v>
      </c>
      <c r="M61" s="15" cm="1">
        <f t="array" ref="M61">H61*VLOOKUP($G61, Factor!$Q$4:$V$36, 2, 0)*INDEX(Factor!$Q$41:$V$87, _xlfn.XMATCH($C61, Factor!$Q$41:$Q$87, -1), 2)</f>
        <v>1400</v>
      </c>
      <c r="N61" s="15" cm="1">
        <f t="array" ref="N61">I61*VLOOKUP($G61, Factor!$Q$4:$V$36, 3, 0)*INDEX(Factor!$Q$41:$V$87, _xlfn.XMATCH($C61, Factor!$Q$41:$Q$87, -1), 3)</f>
        <v>42</v>
      </c>
      <c r="O61" s="15" cm="1">
        <f t="array" ref="O61">J61*VLOOKUP($G61, Factor!$Q$4:$V$36, 4, 0)*INDEX(Factor!$Q$41:$V$87, _xlfn.XMATCH($C61, Factor!$Q$41:$Q$87, -1), 4)</f>
        <v>1400</v>
      </c>
      <c r="P61" s="15" cm="1">
        <f t="array" ref="P61">K61*VLOOKUP($G61, Factor!$Q$4:$V$36, 5, 0)*INDEX(Factor!$Q$41:$V$87, _xlfn.XMATCH($C61, Factor!$Q$41:$Q$87, -1), 5)</f>
        <v>1.9599999999999997</v>
      </c>
      <c r="Q61" s="15" cm="1">
        <f t="array" ref="Q61">L61*VLOOKUP($G61, Factor!$Q$4:$V$36, 6, 0)*INDEX(Factor!$Q$41:$V$87, _xlfn.XMATCH($C61, Factor!$Q$41:$Q$87, -1), 6)</f>
        <v>2800</v>
      </c>
      <c r="R61" s="16"/>
    </row>
    <row r="62" spans="1:18" ht="15.75" customHeight="1" x14ac:dyDescent="0.2">
      <c r="A62" s="17" t="str">
        <f>"couch_"&amp;VLOOKUP(F62, Factor!$BQ$4:$BR$6, 2, 0)&amp;"_"&amp;Couch!D62&amp;"_"&amp;VLOOKUP(Couch!E62, Factor!$BS$4:$BT$13, 2, 0)</f>
        <v>couch_Ti_T3_002</v>
      </c>
      <c r="B62" s="18" t="str">
        <f t="shared" si="0"/>
        <v>T3 중갑 티타늄객차</v>
      </c>
      <c r="C62" s="18">
        <f>VLOOKUP(D62, Factor!$P$41:$Q$50, 2, 0)</f>
        <v>6000</v>
      </c>
      <c r="D62" s="18" t="s">
        <v>299</v>
      </c>
      <c r="E62" s="55" t="s">
        <v>587</v>
      </c>
      <c r="F62" s="55" t="s">
        <v>598</v>
      </c>
      <c r="G62" s="18" t="str">
        <f t="shared" si="1"/>
        <v>중갑 티타늄</v>
      </c>
      <c r="H62" s="18">
        <v>1</v>
      </c>
      <c r="I62" s="18">
        <v>1</v>
      </c>
      <c r="J62" s="18">
        <v>1</v>
      </c>
      <c r="K62" s="18">
        <v>1</v>
      </c>
      <c r="L62" s="18">
        <v>1</v>
      </c>
      <c r="M62" s="18" cm="1">
        <f t="array" ref="M62">H62*VLOOKUP($G62, Factor!$Q$4:$V$36, 2, 0)*INDEX(Factor!$Q$41:$V$87, _xlfn.XMATCH($C62, Factor!$Q$41:$Q$87, -1), 2)</f>
        <v>1400</v>
      </c>
      <c r="N62" s="18" cm="1">
        <f t="array" ref="N62">I62*VLOOKUP($G62, Factor!$Q$4:$V$36, 3, 0)*INDEX(Factor!$Q$41:$V$87, _xlfn.XMATCH($C62, Factor!$Q$41:$Q$87, -1), 3)</f>
        <v>77</v>
      </c>
      <c r="O62" s="18" cm="1">
        <f t="array" ref="O62">J62*VLOOKUP($G62, Factor!$Q$4:$V$36, 4, 0)*INDEX(Factor!$Q$41:$V$87, _xlfn.XMATCH($C62, Factor!$Q$41:$Q$87, -1), 4)</f>
        <v>1400</v>
      </c>
      <c r="P62" s="18" cm="1">
        <f t="array" ref="P62">K62*VLOOKUP($G62, Factor!$Q$4:$V$36, 5, 0)*INDEX(Factor!$Q$41:$V$87, _xlfn.XMATCH($C62, Factor!$Q$41:$Q$87, -1), 5)</f>
        <v>1.9599999999999997</v>
      </c>
      <c r="Q62" s="18" cm="1">
        <f t="array" ref="Q62">L62*VLOOKUP($G62, Factor!$Q$4:$V$36, 6, 0)*INDEX(Factor!$Q$41:$V$87, _xlfn.XMATCH($C62, Factor!$Q$41:$Q$87, -1), 6)</f>
        <v>5600</v>
      </c>
      <c r="R62" s="19"/>
    </row>
    <row r="63" spans="1:18" ht="15.75" customHeight="1" x14ac:dyDescent="0.2">
      <c r="A63" s="14" t="str">
        <f>"couch_"&amp;VLOOKUP(F63, Factor!$BQ$4:$BR$6, 2, 0)&amp;"_"&amp;Couch!D63&amp;"_"&amp;VLOOKUP(Couch!E63, Factor!$BS$4:$BT$13, 2, 0)</f>
        <v>couch_Ti_T3_003</v>
      </c>
      <c r="B63" s="15" t="str">
        <f t="shared" si="0"/>
        <v>T3 화물 티타늄객차</v>
      </c>
      <c r="C63" s="15">
        <f>VLOOKUP(D63, Factor!$P$41:$Q$50, 2, 0)</f>
        <v>6000</v>
      </c>
      <c r="D63" s="15" t="s">
        <v>299</v>
      </c>
      <c r="E63" s="56" t="s">
        <v>589</v>
      </c>
      <c r="F63" s="56" t="s">
        <v>598</v>
      </c>
      <c r="G63" s="15" t="str">
        <f t="shared" si="1"/>
        <v>화물 티타늄</v>
      </c>
      <c r="H63" s="15">
        <v>1</v>
      </c>
      <c r="I63" s="15">
        <v>1</v>
      </c>
      <c r="J63" s="15">
        <v>1</v>
      </c>
      <c r="K63" s="15">
        <v>1</v>
      </c>
      <c r="L63" s="15">
        <v>1</v>
      </c>
      <c r="M63" s="15" cm="1">
        <f t="array" ref="M63">H63*VLOOKUP($G63, Factor!$Q$4:$V$36, 2, 0)*INDEX(Factor!$Q$41:$V$87, _xlfn.XMATCH($C63, Factor!$Q$41:$Q$87, -1), 2)</f>
        <v>1400</v>
      </c>
      <c r="N63" s="15" cm="1">
        <f t="array" ref="N63">I63*VLOOKUP($G63, Factor!$Q$4:$V$36, 3, 0)*INDEX(Factor!$Q$41:$V$87, _xlfn.XMATCH($C63, Factor!$Q$41:$Q$87, -1), 3)</f>
        <v>42</v>
      </c>
      <c r="O63" s="15" cm="1">
        <f t="array" ref="O63">J63*VLOOKUP($G63, Factor!$Q$4:$V$36, 4, 0)*INDEX(Factor!$Q$41:$V$87, _xlfn.XMATCH($C63, Factor!$Q$41:$Q$87, -1), 4)</f>
        <v>1400</v>
      </c>
      <c r="P63" s="15" cm="1">
        <f t="array" ref="P63">K63*VLOOKUP($G63, Factor!$Q$4:$V$36, 5, 0)*INDEX(Factor!$Q$41:$V$87, _xlfn.XMATCH($C63, Factor!$Q$41:$Q$87, -1), 5)</f>
        <v>1.68</v>
      </c>
      <c r="Q63" s="15" cm="1">
        <f t="array" ref="Q63">L63*VLOOKUP($G63, Factor!$Q$4:$V$36, 6, 0)*INDEX(Factor!$Q$41:$V$87, _xlfn.XMATCH($C63, Factor!$Q$41:$Q$87, -1), 6)</f>
        <v>1680</v>
      </c>
      <c r="R63" s="16"/>
    </row>
    <row r="64" spans="1:18" ht="15.75" customHeight="1" x14ac:dyDescent="0.2">
      <c r="A64" s="17" t="str">
        <f>"couch_"&amp;VLOOKUP(F64, Factor!$BQ$4:$BR$6, 2, 0)&amp;"_"&amp;Couch!D64&amp;"_"&amp;VLOOKUP(Couch!E64, Factor!$BS$4:$BT$13, 2, 0)</f>
        <v>couch_Ti_T3_004</v>
      </c>
      <c r="B64" s="18" t="str">
        <f t="shared" si="0"/>
        <v>T3 군용 티타늄객차</v>
      </c>
      <c r="C64" s="18">
        <f>VLOOKUP(D64, Factor!$P$41:$Q$50, 2, 0)</f>
        <v>6000</v>
      </c>
      <c r="D64" s="18" t="s">
        <v>299</v>
      </c>
      <c r="E64" s="55" t="s">
        <v>591</v>
      </c>
      <c r="F64" s="55" t="s">
        <v>598</v>
      </c>
      <c r="G64" s="18" t="str">
        <f t="shared" si="1"/>
        <v>군용 티타늄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 cm="1">
        <f t="array" ref="M64">H64*VLOOKUP($G64, Factor!$Q$4:$V$36, 2, 0)*INDEX(Factor!$Q$41:$V$87, _xlfn.XMATCH($C64, Factor!$Q$41:$Q$87, -1), 2)</f>
        <v>1959.9999999999998</v>
      </c>
      <c r="N64" s="18" cm="1">
        <f t="array" ref="N64">I64*VLOOKUP($G64, Factor!$Q$4:$V$36, 3, 0)*INDEX(Factor!$Q$41:$V$87, _xlfn.XMATCH($C64, Factor!$Q$41:$Q$87, -1), 3)</f>
        <v>70</v>
      </c>
      <c r="O64" s="18" cm="1">
        <f t="array" ref="O64">J64*VLOOKUP($G64, Factor!$Q$4:$V$36, 4, 0)*INDEX(Factor!$Q$41:$V$87, _xlfn.XMATCH($C64, Factor!$Q$41:$Q$87, -1), 4)</f>
        <v>1959.9999999999998</v>
      </c>
      <c r="P64" s="18" cm="1">
        <f t="array" ref="P64">K64*VLOOKUP($G64, Factor!$Q$4:$V$36, 5, 0)*INDEX(Factor!$Q$41:$V$87, _xlfn.XMATCH($C64, Factor!$Q$41:$Q$87, -1), 5)</f>
        <v>2.0999999999999996</v>
      </c>
      <c r="Q64" s="18" cm="1">
        <f t="array" ref="Q64">L64*VLOOKUP($G64, Factor!$Q$4:$V$36, 6, 0)*INDEX(Factor!$Q$41:$V$87, _xlfn.XMATCH($C64, Factor!$Q$41:$Q$87, -1), 6)</f>
        <v>8400</v>
      </c>
      <c r="R64" s="19"/>
    </row>
    <row r="65" spans="1:18" ht="15.75" customHeight="1" x14ac:dyDescent="0.2">
      <c r="A65" s="14" t="str">
        <f>"couch_"&amp;VLOOKUP(F65, Factor!$BQ$4:$BR$6, 2, 0)&amp;"_"&amp;Couch!D65&amp;"_"&amp;VLOOKUP(Couch!E65, Factor!$BS$4:$BT$13, 2, 0)</f>
        <v>couch_Ti_T3_005</v>
      </c>
      <c r="B65" s="15" t="str">
        <f t="shared" ref="B65:B128" si="2">D65&amp;" "&amp;G65&amp;"객차"</f>
        <v>T3 여객 티타늄객차</v>
      </c>
      <c r="C65" s="15">
        <f>VLOOKUP(D65, Factor!$P$41:$Q$50, 2, 0)</f>
        <v>6000</v>
      </c>
      <c r="D65" s="15" t="s">
        <v>299</v>
      </c>
      <c r="E65" s="56" t="s">
        <v>593</v>
      </c>
      <c r="F65" s="56" t="s">
        <v>598</v>
      </c>
      <c r="G65" s="15" t="str">
        <f t="shared" ref="G65:G128" si="3">E65&amp;" " &amp;F65</f>
        <v>여객 티타늄</v>
      </c>
      <c r="H65" s="15">
        <v>1</v>
      </c>
      <c r="I65" s="15">
        <v>1</v>
      </c>
      <c r="J65" s="15">
        <v>1</v>
      </c>
      <c r="K65" s="15">
        <v>1</v>
      </c>
      <c r="L65" s="15">
        <v>1</v>
      </c>
      <c r="M65" s="15" cm="1">
        <f t="array" ref="M65">H65*VLOOKUP($G65, Factor!$Q$4:$V$36, 2, 0)*INDEX(Factor!$Q$41:$V$87, _xlfn.XMATCH($C65, Factor!$Q$41:$Q$87, -1), 2)</f>
        <v>1120</v>
      </c>
      <c r="N65" s="15" cm="1">
        <f t="array" ref="N65">I65*VLOOKUP($G65, Factor!$Q$4:$V$36, 3, 0)*INDEX(Factor!$Q$41:$V$87, _xlfn.XMATCH($C65, Factor!$Q$41:$Q$87, -1), 3)</f>
        <v>21</v>
      </c>
      <c r="O65" s="15" cm="1">
        <f t="array" ref="O65">J65*VLOOKUP($G65, Factor!$Q$4:$V$36, 4, 0)*INDEX(Factor!$Q$41:$V$87, _xlfn.XMATCH($C65, Factor!$Q$41:$Q$87, -1), 4)</f>
        <v>11200</v>
      </c>
      <c r="P65" s="15" cm="1">
        <f t="array" ref="P65">K65*VLOOKUP($G65, Factor!$Q$4:$V$36, 5, 0)*INDEX(Factor!$Q$41:$V$87, _xlfn.XMATCH($C65, Factor!$Q$41:$Q$87, -1), 5)</f>
        <v>2.38</v>
      </c>
      <c r="Q65" s="15" cm="1">
        <f t="array" ref="Q65">L65*VLOOKUP($G65, Factor!$Q$4:$V$36, 6, 0)*INDEX(Factor!$Q$41:$V$87, _xlfn.XMATCH($C65, Factor!$Q$41:$Q$87, -1), 6)</f>
        <v>2800</v>
      </c>
      <c r="R65" s="16"/>
    </row>
    <row r="66" spans="1:18" ht="15.75" customHeight="1" x14ac:dyDescent="0.2">
      <c r="A66" s="17" t="str">
        <f>"couch_"&amp;VLOOKUP(F66, Factor!$BQ$4:$BR$6, 2, 0)&amp;"_"&amp;Couch!D66&amp;"_"&amp;VLOOKUP(Couch!E66, Factor!$BS$4:$BT$13, 2, 0)</f>
        <v>couch_Ti_T3_006</v>
      </c>
      <c r="B66" s="18" t="str">
        <f t="shared" si="2"/>
        <v>T3 시운 티타늄객차</v>
      </c>
      <c r="C66" s="18">
        <f>VLOOKUP(D66, Factor!$P$41:$Q$50, 2, 0)</f>
        <v>6000</v>
      </c>
      <c r="D66" s="18" t="s">
        <v>299</v>
      </c>
      <c r="E66" s="55" t="s">
        <v>595</v>
      </c>
      <c r="F66" s="55" t="s">
        <v>598</v>
      </c>
      <c r="G66" s="18" t="str">
        <f t="shared" si="3"/>
        <v>시운 티타늄</v>
      </c>
      <c r="H66" s="18">
        <v>1</v>
      </c>
      <c r="I66" s="18">
        <v>1</v>
      </c>
      <c r="J66" s="18">
        <v>1</v>
      </c>
      <c r="K66" s="18">
        <v>1</v>
      </c>
      <c r="L66" s="18">
        <v>1</v>
      </c>
      <c r="M66" s="18" cm="1">
        <f t="array" ref="M66">H66*VLOOKUP($G66, Factor!$Q$4:$V$36, 2, 0)*INDEX(Factor!$Q$41:$V$87, _xlfn.XMATCH($C66, Factor!$Q$41:$Q$87, -1), 2)</f>
        <v>700</v>
      </c>
      <c r="N66" s="18" cm="1">
        <f t="array" ref="N66">I66*VLOOKUP($G66, Factor!$Q$4:$V$36, 3, 0)*INDEX(Factor!$Q$41:$V$87, _xlfn.XMATCH($C66, Factor!$Q$41:$Q$87, -1), 3)</f>
        <v>42</v>
      </c>
      <c r="O66" s="18" cm="1">
        <f t="array" ref="O66">J66*VLOOKUP($G66, Factor!$Q$4:$V$36, 4, 0)*INDEX(Factor!$Q$41:$V$87, _xlfn.XMATCH($C66, Factor!$Q$41:$Q$87, -1), 4)</f>
        <v>2100</v>
      </c>
      <c r="P66" s="18" cm="1">
        <f t="array" ref="P66">K66*VLOOKUP($G66, Factor!$Q$4:$V$36, 5, 0)*INDEX(Factor!$Q$41:$V$87, _xlfn.XMATCH($C66, Factor!$Q$41:$Q$87, -1), 5)</f>
        <v>1.9599999999999997</v>
      </c>
      <c r="Q66" s="18" cm="1">
        <f t="array" ref="Q66">L66*VLOOKUP($G66, Factor!$Q$4:$V$36, 6, 0)*INDEX(Factor!$Q$41:$V$87, _xlfn.XMATCH($C66, Factor!$Q$41:$Q$87, -1), 6)</f>
        <v>2800</v>
      </c>
      <c r="R66" s="19"/>
    </row>
    <row r="67" spans="1:18" ht="15.75" customHeight="1" x14ac:dyDescent="0.2">
      <c r="A67" s="14" t="str">
        <f>"couch_"&amp;VLOOKUP(F67, Factor!$BQ$4:$BR$6, 2, 0)&amp;"_"&amp;Couch!D67&amp;"_"&amp;VLOOKUP(Couch!E67, Factor!$BS$4:$BT$13, 2, 0)</f>
        <v>couch_Ti_T3_007</v>
      </c>
      <c r="B67" s="15" t="str">
        <f t="shared" si="2"/>
        <v>T3 경량 티타늄객차</v>
      </c>
      <c r="C67" s="15">
        <f>VLOOKUP(D67, Factor!$P$41:$Q$50, 2, 0)</f>
        <v>6000</v>
      </c>
      <c r="D67" s="15" t="s">
        <v>299</v>
      </c>
      <c r="E67" s="56" t="s">
        <v>585</v>
      </c>
      <c r="F67" s="56" t="s">
        <v>598</v>
      </c>
      <c r="G67" s="15" t="str">
        <f t="shared" si="3"/>
        <v>경량 티타늄</v>
      </c>
      <c r="H67" s="15">
        <v>1</v>
      </c>
      <c r="I67" s="15">
        <v>1</v>
      </c>
      <c r="J67" s="15">
        <v>1</v>
      </c>
      <c r="K67" s="15">
        <v>1</v>
      </c>
      <c r="L67" s="15">
        <v>1</v>
      </c>
      <c r="M67" s="15" cm="1">
        <f t="array" ref="M67">H67*VLOOKUP($G67, Factor!$Q$4:$V$36, 2, 0)*INDEX(Factor!$Q$41:$V$87, _xlfn.XMATCH($C67, Factor!$Q$41:$Q$87, -1), 2)</f>
        <v>840</v>
      </c>
      <c r="N67" s="15" cm="1">
        <f t="array" ref="N67">I67*VLOOKUP($G67, Factor!$Q$4:$V$36, 3, 0)*INDEX(Factor!$Q$41:$V$87, _xlfn.XMATCH($C67, Factor!$Q$41:$Q$87, -1), 3)</f>
        <v>28</v>
      </c>
      <c r="O67" s="15" cm="1">
        <f t="array" ref="O67">J67*VLOOKUP($G67, Factor!$Q$4:$V$36, 4, 0)*INDEX(Factor!$Q$41:$V$87, _xlfn.XMATCH($C67, Factor!$Q$41:$Q$87, -1), 4)</f>
        <v>840</v>
      </c>
      <c r="P67" s="15" cm="1">
        <f t="array" ref="P67">K67*VLOOKUP($G67, Factor!$Q$4:$V$36, 5, 0)*INDEX(Factor!$Q$41:$V$87, _xlfn.XMATCH($C67, Factor!$Q$41:$Q$87, -1), 5)</f>
        <v>1.9599999999999997</v>
      </c>
      <c r="Q67" s="15" cm="1">
        <f t="array" ref="Q67">L67*VLOOKUP($G67, Factor!$Q$4:$V$36, 6, 0)*INDEX(Factor!$Q$41:$V$87, _xlfn.XMATCH($C67, Factor!$Q$41:$Q$87, -1), 6)</f>
        <v>1400</v>
      </c>
      <c r="R67" s="16"/>
    </row>
    <row r="68" spans="1:18" ht="15.75" customHeight="1" x14ac:dyDescent="0.2">
      <c r="A68" s="17" t="str">
        <f>"couch_"&amp;VLOOKUP(F68, Factor!$BQ$4:$BR$6, 2, 0)&amp;"_"&amp;Couch!D68&amp;"_"&amp;VLOOKUP(Couch!E68, Factor!$BS$4:$BT$13, 2, 0)</f>
        <v>couch_Wo_T4_001</v>
      </c>
      <c r="B68" s="18" t="str">
        <f t="shared" si="2"/>
        <v>T4 표준 나무객차</v>
      </c>
      <c r="C68" s="18">
        <f>VLOOKUP(D68, Factor!$P$41:$Q$50, 2, 0)</f>
        <v>8000</v>
      </c>
      <c r="D68" s="18" t="s">
        <v>323</v>
      </c>
      <c r="E68" s="55" t="s">
        <v>582</v>
      </c>
      <c r="F68" s="55" t="s">
        <v>663</v>
      </c>
      <c r="G68" s="18" t="str">
        <f t="shared" si="3"/>
        <v>표준 나무</v>
      </c>
      <c r="H68" s="18">
        <v>1</v>
      </c>
      <c r="I68" s="18">
        <v>1</v>
      </c>
      <c r="J68" s="18">
        <v>1</v>
      </c>
      <c r="K68" s="18">
        <v>1</v>
      </c>
      <c r="L68" s="18">
        <v>1</v>
      </c>
      <c r="M68" s="18" cm="1">
        <f t="array" ref="M68">H68*VLOOKUP($G68, Factor!$Q$4:$V$36, 2, 0)*INDEX(Factor!$Q$41:$V$87, _xlfn.XMATCH($C68, Factor!$Q$41:$Q$87, -1), 2)</f>
        <v>800</v>
      </c>
      <c r="N68" s="18" cm="1">
        <f t="array" ref="N68">I68*VLOOKUP($G68, Factor!$Q$4:$V$36, 3, 0)*INDEX(Factor!$Q$41:$V$87, _xlfn.XMATCH($C68, Factor!$Q$41:$Q$87, -1), 3)</f>
        <v>16</v>
      </c>
      <c r="O68" s="18" cm="1">
        <f t="array" ref="O68">J68*VLOOKUP($G68, Factor!$Q$4:$V$36, 4, 0)*INDEX(Factor!$Q$41:$V$87, _xlfn.XMATCH($C68, Factor!$Q$41:$Q$87, -1), 4)</f>
        <v>800</v>
      </c>
      <c r="P68" s="18" cm="1">
        <f t="array" ref="P68">K68*VLOOKUP($G68, Factor!$Q$4:$V$36, 5, 0)*INDEX(Factor!$Q$41:$V$87, _xlfn.XMATCH($C68, Factor!$Q$41:$Q$87, -1), 5)</f>
        <v>1.6</v>
      </c>
      <c r="Q68" s="18" cm="1">
        <f t="array" ref="Q68">L68*VLOOKUP($G68, Factor!$Q$4:$V$36, 6, 0)*INDEX(Factor!$Q$41:$V$87, _xlfn.XMATCH($C68, Factor!$Q$41:$Q$87, -1), 6)</f>
        <v>1600</v>
      </c>
      <c r="R68" s="19"/>
    </row>
    <row r="69" spans="1:18" ht="15.75" customHeight="1" x14ac:dyDescent="0.2">
      <c r="A69" s="14" t="str">
        <f>"couch_"&amp;VLOOKUP(F69, Factor!$BQ$4:$BR$6, 2, 0)&amp;"_"&amp;Couch!D69&amp;"_"&amp;VLOOKUP(Couch!E69, Factor!$BS$4:$BT$13, 2, 0)</f>
        <v>couch_Wo_T4_002</v>
      </c>
      <c r="B69" s="15" t="str">
        <f t="shared" si="2"/>
        <v>T4 중갑 나무객차</v>
      </c>
      <c r="C69" s="15">
        <f>VLOOKUP(D69, Factor!$P$41:$Q$50, 2, 0)</f>
        <v>8000</v>
      </c>
      <c r="D69" s="15" t="s">
        <v>323</v>
      </c>
      <c r="E69" s="56" t="s">
        <v>587</v>
      </c>
      <c r="F69" s="56" t="s">
        <v>663</v>
      </c>
      <c r="G69" s="15" t="str">
        <f t="shared" si="3"/>
        <v>중갑 나무</v>
      </c>
      <c r="H69" s="15">
        <v>1</v>
      </c>
      <c r="I69" s="15">
        <v>1</v>
      </c>
      <c r="J69" s="15">
        <v>1</v>
      </c>
      <c r="K69" s="15">
        <v>1</v>
      </c>
      <c r="L69" s="15">
        <v>1</v>
      </c>
      <c r="M69" s="15" cm="1">
        <f t="array" ref="M69">H69*VLOOKUP($G69, Factor!$Q$4:$V$36, 2, 0)*INDEX(Factor!$Q$41:$V$87, _xlfn.XMATCH($C69, Factor!$Q$41:$Q$87, -1), 2)</f>
        <v>800</v>
      </c>
      <c r="N69" s="15" cm="1">
        <f t="array" ref="N69">I69*VLOOKUP($G69, Factor!$Q$4:$V$36, 3, 0)*INDEX(Factor!$Q$41:$V$87, _xlfn.XMATCH($C69, Factor!$Q$41:$Q$87, -1), 3)</f>
        <v>32</v>
      </c>
      <c r="O69" s="15" cm="1">
        <f t="array" ref="O69">J69*VLOOKUP($G69, Factor!$Q$4:$V$36, 4, 0)*INDEX(Factor!$Q$41:$V$87, _xlfn.XMATCH($C69, Factor!$Q$41:$Q$87, -1), 4)</f>
        <v>800</v>
      </c>
      <c r="P69" s="15" cm="1">
        <f t="array" ref="P69">K69*VLOOKUP($G69, Factor!$Q$4:$V$36, 5, 0)*INDEX(Factor!$Q$41:$V$87, _xlfn.XMATCH($C69, Factor!$Q$41:$Q$87, -1), 5)</f>
        <v>1.6</v>
      </c>
      <c r="Q69" s="15" cm="1">
        <f t="array" ref="Q69">L69*VLOOKUP($G69, Factor!$Q$4:$V$36, 6, 0)*INDEX(Factor!$Q$41:$V$87, _xlfn.XMATCH($C69, Factor!$Q$41:$Q$87, -1), 6)</f>
        <v>3200</v>
      </c>
      <c r="R69" s="16"/>
    </row>
    <row r="70" spans="1:18" ht="15.75" customHeight="1" x14ac:dyDescent="0.2">
      <c r="A70" s="17" t="str">
        <f>"couch_"&amp;VLOOKUP(F70, Factor!$BQ$4:$BR$6, 2, 0)&amp;"_"&amp;Couch!D70&amp;"_"&amp;VLOOKUP(Couch!E70, Factor!$BS$4:$BT$13, 2, 0)</f>
        <v>couch_Wo_T4_003</v>
      </c>
      <c r="B70" s="18" t="str">
        <f t="shared" si="2"/>
        <v>T4 화물 나무객차</v>
      </c>
      <c r="C70" s="18">
        <f>VLOOKUP(D70, Factor!$P$41:$Q$50, 2, 0)</f>
        <v>8000</v>
      </c>
      <c r="D70" s="18" t="s">
        <v>300</v>
      </c>
      <c r="E70" s="55" t="s">
        <v>589</v>
      </c>
      <c r="F70" s="55" t="s">
        <v>663</v>
      </c>
      <c r="G70" s="18" t="str">
        <f t="shared" si="3"/>
        <v>화물 나무</v>
      </c>
      <c r="H70" s="18">
        <v>1</v>
      </c>
      <c r="I70" s="18">
        <v>1</v>
      </c>
      <c r="J70" s="18">
        <v>1</v>
      </c>
      <c r="K70" s="18">
        <v>1</v>
      </c>
      <c r="L70" s="18">
        <v>1</v>
      </c>
      <c r="M70" s="18" cm="1">
        <f t="array" ref="M70">H70*VLOOKUP($G70, Factor!$Q$4:$V$36, 2, 0)*INDEX(Factor!$Q$41:$V$87, _xlfn.XMATCH($C70, Factor!$Q$41:$Q$87, -1), 2)</f>
        <v>800</v>
      </c>
      <c r="N70" s="18" cm="1">
        <f t="array" ref="N70">I70*VLOOKUP($G70, Factor!$Q$4:$V$36, 3, 0)*INDEX(Factor!$Q$41:$V$87, _xlfn.XMATCH($C70, Factor!$Q$41:$Q$87, -1), 3)</f>
        <v>16</v>
      </c>
      <c r="O70" s="18" cm="1">
        <f t="array" ref="O70">J70*VLOOKUP($G70, Factor!$Q$4:$V$36, 4, 0)*INDEX(Factor!$Q$41:$V$87, _xlfn.XMATCH($C70, Factor!$Q$41:$Q$87, -1), 4)</f>
        <v>800</v>
      </c>
      <c r="P70" s="18" cm="1">
        <f t="array" ref="P70">K70*VLOOKUP($G70, Factor!$Q$4:$V$36, 5, 0)*INDEX(Factor!$Q$41:$V$87, _xlfn.XMATCH($C70, Factor!$Q$41:$Q$87, -1), 5)</f>
        <v>1.4400000000000002</v>
      </c>
      <c r="Q70" s="18" cm="1">
        <f t="array" ref="Q70">L70*VLOOKUP($G70, Factor!$Q$4:$V$36, 6, 0)*INDEX(Factor!$Q$41:$V$87, _xlfn.XMATCH($C70, Factor!$Q$41:$Q$87, -1), 6)</f>
        <v>1120</v>
      </c>
      <c r="R70" s="19"/>
    </row>
    <row r="71" spans="1:18" ht="15.75" customHeight="1" x14ac:dyDescent="0.2">
      <c r="A71" s="14" t="str">
        <f>"couch_"&amp;VLOOKUP(F71, Factor!$BQ$4:$BR$6, 2, 0)&amp;"_"&amp;Couch!D71&amp;"_"&amp;VLOOKUP(Couch!E71, Factor!$BS$4:$BT$13, 2, 0)</f>
        <v>couch_Wo_T4_004</v>
      </c>
      <c r="B71" s="15" t="str">
        <f t="shared" si="2"/>
        <v>T4 군용 나무객차</v>
      </c>
      <c r="C71" s="15">
        <f>VLOOKUP(D71, Factor!$P$41:$Q$50, 2, 0)</f>
        <v>8000</v>
      </c>
      <c r="D71" s="15" t="s">
        <v>300</v>
      </c>
      <c r="E71" s="56" t="s">
        <v>591</v>
      </c>
      <c r="F71" s="56" t="s">
        <v>663</v>
      </c>
      <c r="G71" s="15" t="str">
        <f t="shared" si="3"/>
        <v>군용 나무</v>
      </c>
      <c r="H71" s="15">
        <v>1</v>
      </c>
      <c r="I71" s="15">
        <v>1</v>
      </c>
      <c r="J71" s="15">
        <v>1</v>
      </c>
      <c r="K71" s="15">
        <v>1</v>
      </c>
      <c r="L71" s="15">
        <v>1</v>
      </c>
      <c r="M71" s="15" cm="1">
        <f t="array" ref="M71">H71*VLOOKUP($G71, Factor!$Q$4:$V$36, 2, 0)*INDEX(Factor!$Q$41:$V$87, _xlfn.XMATCH($C71, Factor!$Q$41:$Q$87, -1), 2)</f>
        <v>1120</v>
      </c>
      <c r="N71" s="15" cm="1">
        <f t="array" ref="N71">I71*VLOOKUP($G71, Factor!$Q$4:$V$36, 3, 0)*INDEX(Factor!$Q$41:$V$87, _xlfn.XMATCH($C71, Factor!$Q$41:$Q$87, -1), 3)</f>
        <v>24</v>
      </c>
      <c r="O71" s="15" cm="1">
        <f t="array" ref="O71">J71*VLOOKUP($G71, Factor!$Q$4:$V$36, 4, 0)*INDEX(Factor!$Q$41:$V$87, _xlfn.XMATCH($C71, Factor!$Q$41:$Q$87, -1), 4)</f>
        <v>1120</v>
      </c>
      <c r="P71" s="15" cm="1">
        <f t="array" ref="P71">K71*VLOOKUP($G71, Factor!$Q$4:$V$36, 5, 0)*INDEX(Factor!$Q$41:$V$87, _xlfn.XMATCH($C71, Factor!$Q$41:$Q$87, -1), 5)</f>
        <v>1.7600000000000002</v>
      </c>
      <c r="Q71" s="15" cm="1">
        <f t="array" ref="Q71">L71*VLOOKUP($G71, Factor!$Q$4:$V$36, 6, 0)*INDEX(Factor!$Q$41:$V$87, _xlfn.XMATCH($C71, Factor!$Q$41:$Q$87, -1), 6)</f>
        <v>4800</v>
      </c>
      <c r="R71" s="16"/>
    </row>
    <row r="72" spans="1:18" ht="15.75" customHeight="1" x14ac:dyDescent="0.2">
      <c r="A72" s="17" t="str">
        <f>"couch_"&amp;VLOOKUP(F72, Factor!$BQ$4:$BR$6, 2, 0)&amp;"_"&amp;Couch!D72&amp;"_"&amp;VLOOKUP(Couch!E72, Factor!$BS$4:$BT$13, 2, 0)</f>
        <v>couch_Wo_T4_005</v>
      </c>
      <c r="B72" s="18" t="str">
        <f t="shared" si="2"/>
        <v>T4 여객 나무객차</v>
      </c>
      <c r="C72" s="18">
        <f>VLOOKUP(D72, Factor!$P$41:$Q$50, 2, 0)</f>
        <v>8000</v>
      </c>
      <c r="D72" s="18" t="s">
        <v>300</v>
      </c>
      <c r="E72" s="55" t="s">
        <v>593</v>
      </c>
      <c r="F72" s="55" t="s">
        <v>663</v>
      </c>
      <c r="G72" s="18" t="str">
        <f t="shared" si="3"/>
        <v>여객 나무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 cm="1">
        <f t="array" ref="M72">H72*VLOOKUP($G72, Factor!$Q$4:$V$36, 2, 0)*INDEX(Factor!$Q$41:$V$87, _xlfn.XMATCH($C72, Factor!$Q$41:$Q$87, -1), 2)</f>
        <v>640</v>
      </c>
      <c r="N72" s="18" cm="1">
        <f t="array" ref="N72">I72*VLOOKUP($G72, Factor!$Q$4:$V$36, 3, 0)*INDEX(Factor!$Q$41:$V$87, _xlfn.XMATCH($C72, Factor!$Q$41:$Q$87, -1), 3)</f>
        <v>12.8</v>
      </c>
      <c r="O72" s="18" cm="1">
        <f t="array" ref="O72">J72*VLOOKUP($G72, Factor!$Q$4:$V$36, 4, 0)*INDEX(Factor!$Q$41:$V$87, _xlfn.XMATCH($C72, Factor!$Q$41:$Q$87, -1), 4)</f>
        <v>640</v>
      </c>
      <c r="P72" s="18" cm="1">
        <f t="array" ref="P72">K72*VLOOKUP($G72, Factor!$Q$4:$V$36, 5, 0)*INDEX(Factor!$Q$41:$V$87, _xlfn.XMATCH($C72, Factor!$Q$41:$Q$87, -1), 5)</f>
        <v>1.92</v>
      </c>
      <c r="Q72" s="18" cm="1">
        <f t="array" ref="Q72">L72*VLOOKUP($G72, Factor!$Q$4:$V$36, 6, 0)*INDEX(Factor!$Q$41:$V$87, _xlfn.XMATCH($C72, Factor!$Q$41:$Q$87, -1), 6)</f>
        <v>1600</v>
      </c>
      <c r="R72" s="19"/>
    </row>
    <row r="73" spans="1:18" ht="15.75" customHeight="1" x14ac:dyDescent="0.2">
      <c r="A73" s="14" t="str">
        <f>"couch_"&amp;VLOOKUP(F73, Factor!$BQ$4:$BR$6, 2, 0)&amp;"_"&amp;Couch!D73&amp;"_"&amp;VLOOKUP(Couch!E73, Factor!$BS$4:$BT$13, 2, 0)</f>
        <v>couch_Wo_T4_006</v>
      </c>
      <c r="B73" s="15" t="str">
        <f t="shared" si="2"/>
        <v>T4 시운 나무객차</v>
      </c>
      <c r="C73" s="15">
        <f>VLOOKUP(D73, Factor!$P$41:$Q$50, 2, 0)</f>
        <v>8000</v>
      </c>
      <c r="D73" s="15" t="s">
        <v>300</v>
      </c>
      <c r="E73" s="56" t="s">
        <v>595</v>
      </c>
      <c r="F73" s="56" t="s">
        <v>663</v>
      </c>
      <c r="G73" s="15" t="str">
        <f t="shared" si="3"/>
        <v>시운 나무</v>
      </c>
      <c r="H73" s="15">
        <v>1</v>
      </c>
      <c r="I73" s="15">
        <v>1</v>
      </c>
      <c r="J73" s="15">
        <v>1</v>
      </c>
      <c r="K73" s="15">
        <v>1</v>
      </c>
      <c r="L73" s="15">
        <v>1</v>
      </c>
      <c r="M73" s="15" cm="1">
        <f t="array" ref="M73">H73*VLOOKUP($G73, Factor!$Q$4:$V$36, 2, 0)*INDEX(Factor!$Q$41:$V$87, _xlfn.XMATCH($C73, Factor!$Q$41:$Q$87, -1), 2)</f>
        <v>320</v>
      </c>
      <c r="N73" s="15" cm="1">
        <f t="array" ref="N73">I73*VLOOKUP($G73, Factor!$Q$4:$V$36, 3, 0)*INDEX(Factor!$Q$41:$V$87, _xlfn.XMATCH($C73, Factor!$Q$41:$Q$87, -1), 3)</f>
        <v>16</v>
      </c>
      <c r="O73" s="15" cm="1">
        <f t="array" ref="O73">J73*VLOOKUP($G73, Factor!$Q$4:$V$36, 4, 0)*INDEX(Factor!$Q$41:$V$87, _xlfn.XMATCH($C73, Factor!$Q$41:$Q$87, -1), 4)</f>
        <v>1280</v>
      </c>
      <c r="P73" s="15" cm="1">
        <f t="array" ref="P73">K73*VLOOKUP($G73, Factor!$Q$4:$V$36, 5, 0)*INDEX(Factor!$Q$41:$V$87, _xlfn.XMATCH($C73, Factor!$Q$41:$Q$87, -1), 5)</f>
        <v>1.6</v>
      </c>
      <c r="Q73" s="15" cm="1">
        <f t="array" ref="Q73">L73*VLOOKUP($G73, Factor!$Q$4:$V$36, 6, 0)*INDEX(Factor!$Q$41:$V$87, _xlfn.XMATCH($C73, Factor!$Q$41:$Q$87, -1), 6)</f>
        <v>1600</v>
      </c>
      <c r="R73" s="16"/>
    </row>
    <row r="74" spans="1:18" ht="15.75" customHeight="1" x14ac:dyDescent="0.2">
      <c r="A74" s="17" t="str">
        <f>"couch_"&amp;VLOOKUP(F74, Factor!$BQ$4:$BR$6, 2, 0)&amp;"_"&amp;Couch!D74&amp;"_"&amp;VLOOKUP(Couch!E74, Factor!$BS$4:$BT$13, 2, 0)</f>
        <v>couch_Wo_T4_007</v>
      </c>
      <c r="B74" s="18" t="str">
        <f t="shared" si="2"/>
        <v>T4 경량 나무객차</v>
      </c>
      <c r="C74" s="18">
        <f>VLOOKUP(D74, Factor!$P$41:$Q$50, 2, 0)</f>
        <v>8000</v>
      </c>
      <c r="D74" s="18" t="s">
        <v>300</v>
      </c>
      <c r="E74" s="55" t="s">
        <v>585</v>
      </c>
      <c r="F74" s="55" t="s">
        <v>663</v>
      </c>
      <c r="G74" s="18" t="str">
        <f t="shared" si="3"/>
        <v>경량 나무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 cm="1">
        <f t="array" ref="M74">H74*VLOOKUP($G74, Factor!$Q$4:$V$36, 2, 0)*INDEX(Factor!$Q$41:$V$87, _xlfn.XMATCH($C74, Factor!$Q$41:$Q$87, -1), 2)</f>
        <v>480</v>
      </c>
      <c r="N74" s="18" cm="1">
        <f t="array" ref="N74">I74*VLOOKUP($G74, Factor!$Q$4:$V$36, 3, 0)*INDEX(Factor!$Q$41:$V$87, _xlfn.XMATCH($C74, Factor!$Q$41:$Q$87, -1), 3)</f>
        <v>12.8</v>
      </c>
      <c r="O74" s="18" cm="1">
        <f t="array" ref="O74">J74*VLOOKUP($G74, Factor!$Q$4:$V$36, 4, 0)*INDEX(Factor!$Q$41:$V$87, _xlfn.XMATCH($C74, Factor!$Q$41:$Q$87, -1), 4)</f>
        <v>480</v>
      </c>
      <c r="P74" s="18" cm="1">
        <f t="array" ref="P74">K74*VLOOKUP($G74, Factor!$Q$4:$V$36, 5, 0)*INDEX(Factor!$Q$41:$V$87, _xlfn.XMATCH($C74, Factor!$Q$41:$Q$87, -1), 5)</f>
        <v>1.6</v>
      </c>
      <c r="Q74" s="18" cm="1">
        <f t="array" ref="Q74">L74*VLOOKUP($G74, Factor!$Q$4:$V$36, 6, 0)*INDEX(Factor!$Q$41:$V$87, _xlfn.XMATCH($C74, Factor!$Q$41:$Q$87, -1), 6)</f>
        <v>800</v>
      </c>
      <c r="R74" s="19"/>
    </row>
    <row r="75" spans="1:18" ht="15.75" customHeight="1" x14ac:dyDescent="0.2">
      <c r="A75" s="14" t="str">
        <f>"couch_"&amp;VLOOKUP(F75, Factor!$BQ$4:$BR$6, 2, 0)&amp;"_"&amp;Couch!D75&amp;"_"&amp;VLOOKUP(Couch!E75, Factor!$BS$4:$BT$13, 2, 0)</f>
        <v>couch_St_T4_001</v>
      </c>
      <c r="B75" s="15" t="str">
        <f t="shared" si="2"/>
        <v>T4 표준 강철객차</v>
      </c>
      <c r="C75" s="15">
        <f>VLOOKUP(D75, Factor!$P$41:$Q$50, 2, 0)</f>
        <v>8000</v>
      </c>
      <c r="D75" s="15" t="s">
        <v>300</v>
      </c>
      <c r="E75" s="56" t="s">
        <v>582</v>
      </c>
      <c r="F75" s="56" t="s">
        <v>597</v>
      </c>
      <c r="G75" s="15" t="str">
        <f t="shared" si="3"/>
        <v>표준 강철</v>
      </c>
      <c r="H75" s="15">
        <v>1</v>
      </c>
      <c r="I75" s="15">
        <v>1</v>
      </c>
      <c r="J75" s="15">
        <v>1</v>
      </c>
      <c r="K75" s="15">
        <v>1</v>
      </c>
      <c r="L75" s="15">
        <v>1</v>
      </c>
      <c r="M75" s="15" cm="1">
        <f t="array" ref="M75">H75*VLOOKUP($G75, Factor!$Q$4:$V$36, 2, 0)*INDEX(Factor!$Q$41:$V$87, _xlfn.XMATCH($C75, Factor!$Q$41:$Q$87, -1), 2)</f>
        <v>1120</v>
      </c>
      <c r="N75" s="15" cm="1">
        <f t="array" ref="N75">I75*VLOOKUP($G75, Factor!$Q$4:$V$36, 3, 0)*INDEX(Factor!$Q$41:$V$87, _xlfn.XMATCH($C75, Factor!$Q$41:$Q$87, -1), 3)</f>
        <v>32</v>
      </c>
      <c r="O75" s="15" cm="1">
        <f t="array" ref="O75">J75*VLOOKUP($G75, Factor!$Q$4:$V$36, 4, 0)*INDEX(Factor!$Q$41:$V$87, _xlfn.XMATCH($C75, Factor!$Q$41:$Q$87, -1), 4)</f>
        <v>1120</v>
      </c>
      <c r="P75" s="15" cm="1">
        <f t="array" ref="P75">K75*VLOOKUP($G75, Factor!$Q$4:$V$36, 5, 0)*INDEX(Factor!$Q$41:$V$87, _xlfn.XMATCH($C75, Factor!$Q$41:$Q$87, -1), 5)</f>
        <v>1.92</v>
      </c>
      <c r="Q75" s="15" cm="1">
        <f t="array" ref="Q75">L75*VLOOKUP($G75, Factor!$Q$4:$V$36, 6, 0)*INDEX(Factor!$Q$41:$V$87, _xlfn.XMATCH($C75, Factor!$Q$41:$Q$87, -1), 6)</f>
        <v>2400</v>
      </c>
      <c r="R75" s="16"/>
    </row>
    <row r="76" spans="1:18" ht="15.75" customHeight="1" x14ac:dyDescent="0.2">
      <c r="A76" s="17" t="str">
        <f>"couch_"&amp;VLOOKUP(F76, Factor!$BQ$4:$BR$6, 2, 0)&amp;"_"&amp;Couch!D76&amp;"_"&amp;VLOOKUP(Couch!E76, Factor!$BS$4:$BT$13, 2, 0)</f>
        <v>couch_St_T4_002</v>
      </c>
      <c r="B76" s="18" t="str">
        <f t="shared" si="2"/>
        <v>T4 중갑 강철객차</v>
      </c>
      <c r="C76" s="18">
        <f>VLOOKUP(D76, Factor!$P$41:$Q$50, 2, 0)</f>
        <v>8000</v>
      </c>
      <c r="D76" s="18" t="s">
        <v>300</v>
      </c>
      <c r="E76" s="55" t="s">
        <v>587</v>
      </c>
      <c r="F76" s="55" t="s">
        <v>597</v>
      </c>
      <c r="G76" s="18" t="str">
        <f t="shared" si="3"/>
        <v>중갑 강철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 cm="1">
        <f t="array" ref="M76">H76*VLOOKUP($G76, Factor!$Q$4:$V$36, 2, 0)*INDEX(Factor!$Q$41:$V$87, _xlfn.XMATCH($C76, Factor!$Q$41:$Q$87, -1), 2)</f>
        <v>1120</v>
      </c>
      <c r="N76" s="18" cm="1">
        <f t="array" ref="N76">I76*VLOOKUP($G76, Factor!$Q$4:$V$36, 3, 0)*INDEX(Factor!$Q$41:$V$87, _xlfn.XMATCH($C76, Factor!$Q$41:$Q$87, -1), 3)</f>
        <v>56</v>
      </c>
      <c r="O76" s="18" cm="1">
        <f t="array" ref="O76">J76*VLOOKUP($G76, Factor!$Q$4:$V$36, 4, 0)*INDEX(Factor!$Q$41:$V$87, _xlfn.XMATCH($C76, Factor!$Q$41:$Q$87, -1), 4)</f>
        <v>1120</v>
      </c>
      <c r="P76" s="18" cm="1">
        <f t="array" ref="P76">K76*VLOOKUP($G76, Factor!$Q$4:$V$36, 5, 0)*INDEX(Factor!$Q$41:$V$87, _xlfn.XMATCH($C76, Factor!$Q$41:$Q$87, -1), 5)</f>
        <v>1.92</v>
      </c>
      <c r="Q76" s="18" cm="1">
        <f t="array" ref="Q76">L76*VLOOKUP($G76, Factor!$Q$4:$V$36, 6, 0)*INDEX(Factor!$Q$41:$V$87, _xlfn.XMATCH($C76, Factor!$Q$41:$Q$87, -1), 6)</f>
        <v>4800</v>
      </c>
      <c r="R76" s="19"/>
    </row>
    <row r="77" spans="1:18" ht="15.75" customHeight="1" x14ac:dyDescent="0.2">
      <c r="A77" s="14" t="str">
        <f>"couch_"&amp;VLOOKUP(F77, Factor!$BQ$4:$BR$6, 2, 0)&amp;"_"&amp;Couch!D77&amp;"_"&amp;VLOOKUP(Couch!E77, Factor!$BS$4:$BT$13, 2, 0)</f>
        <v>couch_St_T4_003</v>
      </c>
      <c r="B77" s="15" t="str">
        <f t="shared" si="2"/>
        <v>T4 화물 강철객차</v>
      </c>
      <c r="C77" s="15">
        <f>VLOOKUP(D77, Factor!$P$41:$Q$50, 2, 0)</f>
        <v>8000</v>
      </c>
      <c r="D77" s="15" t="s">
        <v>300</v>
      </c>
      <c r="E77" s="56" t="s">
        <v>589</v>
      </c>
      <c r="F77" s="56" t="s">
        <v>597</v>
      </c>
      <c r="G77" s="15" t="str">
        <f t="shared" si="3"/>
        <v>화물 강철</v>
      </c>
      <c r="H77" s="15">
        <v>1</v>
      </c>
      <c r="I77" s="15">
        <v>1</v>
      </c>
      <c r="J77" s="15">
        <v>1</v>
      </c>
      <c r="K77" s="15">
        <v>1</v>
      </c>
      <c r="L77" s="15">
        <v>1</v>
      </c>
      <c r="M77" s="15" cm="1">
        <f t="array" ref="M77">H77*VLOOKUP($G77, Factor!$Q$4:$V$36, 2, 0)*INDEX(Factor!$Q$41:$V$87, _xlfn.XMATCH($C77, Factor!$Q$41:$Q$87, -1), 2)</f>
        <v>1120</v>
      </c>
      <c r="N77" s="15" cm="1">
        <f t="array" ref="N77">I77*VLOOKUP($G77, Factor!$Q$4:$V$36, 3, 0)*INDEX(Factor!$Q$41:$V$87, _xlfn.XMATCH($C77, Factor!$Q$41:$Q$87, -1), 3)</f>
        <v>32</v>
      </c>
      <c r="O77" s="15" cm="1">
        <f t="array" ref="O77">J77*VLOOKUP($G77, Factor!$Q$4:$V$36, 4, 0)*INDEX(Factor!$Q$41:$V$87, _xlfn.XMATCH($C77, Factor!$Q$41:$Q$87, -1), 4)</f>
        <v>1120</v>
      </c>
      <c r="P77" s="15" cm="1">
        <f t="array" ref="P77">K77*VLOOKUP($G77, Factor!$Q$4:$V$36, 5, 0)*INDEX(Factor!$Q$41:$V$87, _xlfn.XMATCH($C77, Factor!$Q$41:$Q$87, -1), 5)</f>
        <v>1.7600000000000002</v>
      </c>
      <c r="Q77" s="15" cm="1">
        <f t="array" ref="Q77">L77*VLOOKUP($G77, Factor!$Q$4:$V$36, 6, 0)*INDEX(Factor!$Q$41:$V$87, _xlfn.XMATCH($C77, Factor!$Q$41:$Q$87, -1), 6)</f>
        <v>1600</v>
      </c>
      <c r="R77" s="16"/>
    </row>
    <row r="78" spans="1:18" ht="15.75" customHeight="1" x14ac:dyDescent="0.2">
      <c r="A78" s="17" t="str">
        <f>"couch_"&amp;VLOOKUP(F78, Factor!$BQ$4:$BR$6, 2, 0)&amp;"_"&amp;Couch!D78&amp;"_"&amp;VLOOKUP(Couch!E78, Factor!$BS$4:$BT$13, 2, 0)</f>
        <v>couch_St_T4_004</v>
      </c>
      <c r="B78" s="18" t="str">
        <f t="shared" si="2"/>
        <v>T4 군용 강철객차</v>
      </c>
      <c r="C78" s="18">
        <f>VLOOKUP(D78, Factor!$P$41:$Q$50, 2, 0)</f>
        <v>8000</v>
      </c>
      <c r="D78" s="18" t="s">
        <v>300</v>
      </c>
      <c r="E78" s="55" t="s">
        <v>591</v>
      </c>
      <c r="F78" s="55" t="s">
        <v>597</v>
      </c>
      <c r="G78" s="18" t="str">
        <f t="shared" si="3"/>
        <v>군용 강철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 cm="1">
        <f t="array" ref="M78">H78*VLOOKUP($G78, Factor!$Q$4:$V$36, 2, 0)*INDEX(Factor!$Q$41:$V$87, _xlfn.XMATCH($C78, Factor!$Q$41:$Q$87, -1), 2)</f>
        <v>1440</v>
      </c>
      <c r="N78" s="18" cm="1">
        <f t="array" ref="N78">I78*VLOOKUP($G78, Factor!$Q$4:$V$36, 3, 0)*INDEX(Factor!$Q$41:$V$87, _xlfn.XMATCH($C78, Factor!$Q$41:$Q$87, -1), 3)</f>
        <v>48</v>
      </c>
      <c r="O78" s="18" cm="1">
        <f t="array" ref="O78">J78*VLOOKUP($G78, Factor!$Q$4:$V$36, 4, 0)*INDEX(Factor!$Q$41:$V$87, _xlfn.XMATCH($C78, Factor!$Q$41:$Q$87, -1), 4)</f>
        <v>1440</v>
      </c>
      <c r="P78" s="18" cm="1">
        <f t="array" ref="P78">K78*VLOOKUP($G78, Factor!$Q$4:$V$36, 5, 0)*INDEX(Factor!$Q$41:$V$87, _xlfn.XMATCH($C78, Factor!$Q$41:$Q$87, -1), 5)</f>
        <v>2.08</v>
      </c>
      <c r="Q78" s="18" cm="1">
        <f t="array" ref="Q78">L78*VLOOKUP($G78, Factor!$Q$4:$V$36, 6, 0)*INDEX(Factor!$Q$41:$V$87, _xlfn.XMATCH($C78, Factor!$Q$41:$Q$87, -1), 6)</f>
        <v>7200</v>
      </c>
      <c r="R78" s="19"/>
    </row>
    <row r="79" spans="1:18" ht="15.75" customHeight="1" x14ac:dyDescent="0.2">
      <c r="A79" s="14" t="str">
        <f>"couch_"&amp;VLOOKUP(F79, Factor!$BQ$4:$BR$6, 2, 0)&amp;"_"&amp;Couch!D79&amp;"_"&amp;VLOOKUP(Couch!E79, Factor!$BS$4:$BT$13, 2, 0)</f>
        <v>couch_St_T4_005</v>
      </c>
      <c r="B79" s="15" t="str">
        <f t="shared" si="2"/>
        <v>T4 여객 강철객차</v>
      </c>
      <c r="C79" s="15">
        <f>VLOOKUP(D79, Factor!$P$41:$Q$50, 2, 0)</f>
        <v>8000</v>
      </c>
      <c r="D79" s="15" t="s">
        <v>300</v>
      </c>
      <c r="E79" s="56" t="s">
        <v>593</v>
      </c>
      <c r="F79" s="56" t="s">
        <v>597</v>
      </c>
      <c r="G79" s="15" t="str">
        <f t="shared" si="3"/>
        <v>여객 강철</v>
      </c>
      <c r="H79" s="15">
        <v>1</v>
      </c>
      <c r="I79" s="15">
        <v>1</v>
      </c>
      <c r="J79" s="15">
        <v>1</v>
      </c>
      <c r="K79" s="15">
        <v>1</v>
      </c>
      <c r="L79" s="15">
        <v>1</v>
      </c>
      <c r="M79" s="15" cm="1">
        <f t="array" ref="M79">H79*VLOOKUP($G79, Factor!$Q$4:$V$36, 2, 0)*INDEX(Factor!$Q$41:$V$87, _xlfn.XMATCH($C79, Factor!$Q$41:$Q$87, -1), 2)</f>
        <v>960</v>
      </c>
      <c r="N79" s="15" cm="1">
        <f t="array" ref="N79">I79*VLOOKUP($G79, Factor!$Q$4:$V$36, 3, 0)*INDEX(Factor!$Q$41:$V$87, _xlfn.XMATCH($C79, Factor!$Q$41:$Q$87, -1), 3)</f>
        <v>32</v>
      </c>
      <c r="O79" s="15" cm="1">
        <f t="array" ref="O79">J79*VLOOKUP($G79, Factor!$Q$4:$V$36, 4, 0)*INDEX(Factor!$Q$41:$V$87, _xlfn.XMATCH($C79, Factor!$Q$41:$Q$87, -1), 4)</f>
        <v>960</v>
      </c>
      <c r="P79" s="15" cm="1">
        <f t="array" ref="P79">K79*VLOOKUP($G79, Factor!$Q$4:$V$36, 5, 0)*INDEX(Factor!$Q$41:$V$87, _xlfn.XMATCH($C79, Factor!$Q$41:$Q$87, -1), 5)</f>
        <v>2.2399999999999998</v>
      </c>
      <c r="Q79" s="15" cm="1">
        <f t="array" ref="Q79">L79*VLOOKUP($G79, Factor!$Q$4:$V$36, 6, 0)*INDEX(Factor!$Q$41:$V$87, _xlfn.XMATCH($C79, Factor!$Q$41:$Q$87, -1), 6)</f>
        <v>2400</v>
      </c>
      <c r="R79" s="16"/>
    </row>
    <row r="80" spans="1:18" ht="15.75" customHeight="1" x14ac:dyDescent="0.2">
      <c r="A80" s="17" t="str">
        <f>"couch_"&amp;VLOOKUP(F80, Factor!$BQ$4:$BR$6, 2, 0)&amp;"_"&amp;Couch!D80&amp;"_"&amp;VLOOKUP(Couch!E80, Factor!$BS$4:$BT$13, 2, 0)</f>
        <v>couch_St_T4_006</v>
      </c>
      <c r="B80" s="18" t="str">
        <f t="shared" si="2"/>
        <v>T4 시운 강철객차</v>
      </c>
      <c r="C80" s="18">
        <f>VLOOKUP(D80, Factor!$P$41:$Q$50, 2, 0)</f>
        <v>8000</v>
      </c>
      <c r="D80" s="18" t="s">
        <v>300</v>
      </c>
      <c r="E80" s="55" t="s">
        <v>595</v>
      </c>
      <c r="F80" s="55" t="s">
        <v>597</v>
      </c>
      <c r="G80" s="18" t="str">
        <f t="shared" si="3"/>
        <v>시운 강철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 cm="1">
        <f t="array" ref="M80">H80*VLOOKUP($G80, Factor!$Q$4:$V$36, 2, 0)*INDEX(Factor!$Q$41:$V$87, _xlfn.XMATCH($C80, Factor!$Q$41:$Q$87, -1), 2)</f>
        <v>480</v>
      </c>
      <c r="N80" s="18" cm="1">
        <f t="array" ref="N80">I80*VLOOKUP($G80, Factor!$Q$4:$V$36, 3, 0)*INDEX(Factor!$Q$41:$V$87, _xlfn.XMATCH($C80, Factor!$Q$41:$Q$87, -1), 3)</f>
        <v>32</v>
      </c>
      <c r="O80" s="18" cm="1">
        <f t="array" ref="O80">J80*VLOOKUP($G80, Factor!$Q$4:$V$36, 4, 0)*INDEX(Factor!$Q$41:$V$87, _xlfn.XMATCH($C80, Factor!$Q$41:$Q$87, -1), 4)</f>
        <v>1760</v>
      </c>
      <c r="P80" s="18" cm="1">
        <f t="array" ref="P80">K80*VLOOKUP($G80, Factor!$Q$4:$V$36, 5, 0)*INDEX(Factor!$Q$41:$V$87, _xlfn.XMATCH($C80, Factor!$Q$41:$Q$87, -1), 5)</f>
        <v>1.92</v>
      </c>
      <c r="Q80" s="18" cm="1">
        <f t="array" ref="Q80">L80*VLOOKUP($G80, Factor!$Q$4:$V$36, 6, 0)*INDEX(Factor!$Q$41:$V$87, _xlfn.XMATCH($C80, Factor!$Q$41:$Q$87, -1), 6)</f>
        <v>2400</v>
      </c>
      <c r="R80" s="19"/>
    </row>
    <row r="81" spans="1:18" ht="15.75" customHeight="1" x14ac:dyDescent="0.2">
      <c r="A81" s="14" t="str">
        <f>"couch_"&amp;VLOOKUP(F81, Factor!$BQ$4:$BR$6, 2, 0)&amp;"_"&amp;Couch!D81&amp;"_"&amp;VLOOKUP(Couch!E81, Factor!$BS$4:$BT$13, 2, 0)</f>
        <v>couch_St_T4_007</v>
      </c>
      <c r="B81" s="15" t="str">
        <f t="shared" si="2"/>
        <v>T4 경량 강철객차</v>
      </c>
      <c r="C81" s="15">
        <f>VLOOKUP(D81, Factor!$P$41:$Q$50, 2, 0)</f>
        <v>8000</v>
      </c>
      <c r="D81" s="15" t="s">
        <v>300</v>
      </c>
      <c r="E81" s="56" t="s">
        <v>585</v>
      </c>
      <c r="F81" s="56" t="s">
        <v>597</v>
      </c>
      <c r="G81" s="15" t="str">
        <f t="shared" si="3"/>
        <v>경량 강철</v>
      </c>
      <c r="H81" s="15">
        <v>1</v>
      </c>
      <c r="I81" s="15">
        <v>1</v>
      </c>
      <c r="J81" s="15">
        <v>1</v>
      </c>
      <c r="K81" s="15">
        <v>1</v>
      </c>
      <c r="L81" s="15">
        <v>1</v>
      </c>
      <c r="M81" s="15" cm="1">
        <f t="array" ref="M81">H81*VLOOKUP($G81, Factor!$Q$4:$V$36, 2, 0)*INDEX(Factor!$Q$41:$V$87, _xlfn.XMATCH($C81, Factor!$Q$41:$Q$87, -1), 2)</f>
        <v>640</v>
      </c>
      <c r="N81" s="15" cm="1">
        <f t="array" ref="N81">I81*VLOOKUP($G81, Factor!$Q$4:$V$36, 3, 0)*INDEX(Factor!$Q$41:$V$87, _xlfn.XMATCH($C81, Factor!$Q$41:$Q$87, -1), 3)</f>
        <v>24</v>
      </c>
      <c r="O81" s="15" cm="1">
        <f t="array" ref="O81">J81*VLOOKUP($G81, Factor!$Q$4:$V$36, 4, 0)*INDEX(Factor!$Q$41:$V$87, _xlfn.XMATCH($C81, Factor!$Q$41:$Q$87, -1), 4)</f>
        <v>640</v>
      </c>
      <c r="P81" s="15" cm="1">
        <f t="array" ref="P81">K81*VLOOKUP($G81, Factor!$Q$4:$V$36, 5, 0)*INDEX(Factor!$Q$41:$V$87, _xlfn.XMATCH($C81, Factor!$Q$41:$Q$87, -1), 5)</f>
        <v>1.92</v>
      </c>
      <c r="Q81" s="15" cm="1">
        <f t="array" ref="Q81">L81*VLOOKUP($G81, Factor!$Q$4:$V$36, 6, 0)*INDEX(Factor!$Q$41:$V$87, _xlfn.XMATCH($C81, Factor!$Q$41:$Q$87, -1), 6)</f>
        <v>1120</v>
      </c>
      <c r="R81" s="16"/>
    </row>
    <row r="82" spans="1:18" ht="15.75" customHeight="1" x14ac:dyDescent="0.2">
      <c r="A82" s="17" t="str">
        <f>"couch_"&amp;VLOOKUP(F82, Factor!$BQ$4:$BR$6, 2, 0)&amp;"_"&amp;Couch!D82&amp;"_"&amp;VLOOKUP(Couch!E82, Factor!$BS$4:$BT$13, 2, 0)</f>
        <v>couch_Ti_T4_001</v>
      </c>
      <c r="B82" s="18" t="str">
        <f t="shared" si="2"/>
        <v>T4 표준 티타늄객차</v>
      </c>
      <c r="C82" s="18">
        <f>VLOOKUP(D82, Factor!$P$41:$Q$50, 2, 0)</f>
        <v>8000</v>
      </c>
      <c r="D82" s="18" t="s">
        <v>300</v>
      </c>
      <c r="E82" s="55" t="s">
        <v>582</v>
      </c>
      <c r="F82" s="55" t="s">
        <v>598</v>
      </c>
      <c r="G82" s="18" t="str">
        <f t="shared" si="3"/>
        <v>표준 티타늄</v>
      </c>
      <c r="H82" s="18">
        <v>1</v>
      </c>
      <c r="I82" s="18">
        <v>1</v>
      </c>
      <c r="J82" s="18">
        <v>1</v>
      </c>
      <c r="K82" s="18">
        <v>1</v>
      </c>
      <c r="L82" s="18">
        <v>1</v>
      </c>
      <c r="M82" s="18" cm="1">
        <f t="array" ref="M82">H82*VLOOKUP($G82, Factor!$Q$4:$V$36, 2, 0)*INDEX(Factor!$Q$41:$V$87, _xlfn.XMATCH($C82, Factor!$Q$41:$Q$87, -1), 2)</f>
        <v>1600</v>
      </c>
      <c r="N82" s="18" cm="1">
        <f t="array" ref="N82">I82*VLOOKUP($G82, Factor!$Q$4:$V$36, 3, 0)*INDEX(Factor!$Q$41:$V$87, _xlfn.XMATCH($C82, Factor!$Q$41:$Q$87, -1), 3)</f>
        <v>48</v>
      </c>
      <c r="O82" s="18" cm="1">
        <f t="array" ref="O82">J82*VLOOKUP($G82, Factor!$Q$4:$V$36, 4, 0)*INDEX(Factor!$Q$41:$V$87, _xlfn.XMATCH($C82, Factor!$Q$41:$Q$87, -1), 4)</f>
        <v>1600</v>
      </c>
      <c r="P82" s="18" cm="1">
        <f t="array" ref="P82">K82*VLOOKUP($G82, Factor!$Q$4:$V$36, 5, 0)*INDEX(Factor!$Q$41:$V$87, _xlfn.XMATCH($C82, Factor!$Q$41:$Q$87, -1), 5)</f>
        <v>2.2399999999999998</v>
      </c>
      <c r="Q82" s="18" cm="1">
        <f t="array" ref="Q82">L82*VLOOKUP($G82, Factor!$Q$4:$V$36, 6, 0)*INDEX(Factor!$Q$41:$V$87, _xlfn.XMATCH($C82, Factor!$Q$41:$Q$87, -1), 6)</f>
        <v>3200</v>
      </c>
      <c r="R82" s="19"/>
    </row>
    <row r="83" spans="1:18" ht="15.75" customHeight="1" x14ac:dyDescent="0.2">
      <c r="A83" s="14" t="str">
        <f>"couch_"&amp;VLOOKUP(F83, Factor!$BQ$4:$BR$6, 2, 0)&amp;"_"&amp;Couch!D83&amp;"_"&amp;VLOOKUP(Couch!E83, Factor!$BS$4:$BT$13, 2, 0)</f>
        <v>couch_Ti_T4_002</v>
      </c>
      <c r="B83" s="15" t="str">
        <f t="shared" si="2"/>
        <v>T4 중갑 티타늄객차</v>
      </c>
      <c r="C83" s="15">
        <f>VLOOKUP(D83, Factor!$P$41:$Q$50, 2, 0)</f>
        <v>8000</v>
      </c>
      <c r="D83" s="15" t="s">
        <v>300</v>
      </c>
      <c r="E83" s="56" t="s">
        <v>587</v>
      </c>
      <c r="F83" s="56" t="s">
        <v>598</v>
      </c>
      <c r="G83" s="15" t="str">
        <f t="shared" si="3"/>
        <v>중갑 티타늄</v>
      </c>
      <c r="H83" s="15">
        <v>1</v>
      </c>
      <c r="I83" s="15">
        <v>1</v>
      </c>
      <c r="J83" s="15">
        <v>1</v>
      </c>
      <c r="K83" s="15">
        <v>1</v>
      </c>
      <c r="L83" s="15">
        <v>1</v>
      </c>
      <c r="M83" s="15" cm="1">
        <f t="array" ref="M83">H83*VLOOKUP($G83, Factor!$Q$4:$V$36, 2, 0)*INDEX(Factor!$Q$41:$V$87, _xlfn.XMATCH($C83, Factor!$Q$41:$Q$87, -1), 2)</f>
        <v>1600</v>
      </c>
      <c r="N83" s="15" cm="1">
        <f t="array" ref="N83">I83*VLOOKUP($G83, Factor!$Q$4:$V$36, 3, 0)*INDEX(Factor!$Q$41:$V$87, _xlfn.XMATCH($C83, Factor!$Q$41:$Q$87, -1), 3)</f>
        <v>88</v>
      </c>
      <c r="O83" s="15" cm="1">
        <f t="array" ref="O83">J83*VLOOKUP($G83, Factor!$Q$4:$V$36, 4, 0)*INDEX(Factor!$Q$41:$V$87, _xlfn.XMATCH($C83, Factor!$Q$41:$Q$87, -1), 4)</f>
        <v>1600</v>
      </c>
      <c r="P83" s="15" cm="1">
        <f t="array" ref="P83">K83*VLOOKUP($G83, Factor!$Q$4:$V$36, 5, 0)*INDEX(Factor!$Q$41:$V$87, _xlfn.XMATCH($C83, Factor!$Q$41:$Q$87, -1), 5)</f>
        <v>2.2399999999999998</v>
      </c>
      <c r="Q83" s="15" cm="1">
        <f t="array" ref="Q83">L83*VLOOKUP($G83, Factor!$Q$4:$V$36, 6, 0)*INDEX(Factor!$Q$41:$V$87, _xlfn.XMATCH($C83, Factor!$Q$41:$Q$87, -1), 6)</f>
        <v>6400</v>
      </c>
      <c r="R83" s="16"/>
    </row>
    <row r="84" spans="1:18" ht="15.75" customHeight="1" x14ac:dyDescent="0.2">
      <c r="A84" s="17" t="str">
        <f>"couch_"&amp;VLOOKUP(F84, Factor!$BQ$4:$BR$6, 2, 0)&amp;"_"&amp;Couch!D84&amp;"_"&amp;VLOOKUP(Couch!E84, Factor!$BS$4:$BT$13, 2, 0)</f>
        <v>couch_Ti_T4_003</v>
      </c>
      <c r="B84" s="18" t="str">
        <f t="shared" si="2"/>
        <v>T4 화물 티타늄객차</v>
      </c>
      <c r="C84" s="18">
        <f>VLOOKUP(D84, Factor!$P$41:$Q$50, 2, 0)</f>
        <v>8000</v>
      </c>
      <c r="D84" s="18" t="s">
        <v>300</v>
      </c>
      <c r="E84" s="55" t="s">
        <v>589</v>
      </c>
      <c r="F84" s="55" t="s">
        <v>598</v>
      </c>
      <c r="G84" s="18" t="str">
        <f t="shared" si="3"/>
        <v>화물 티타늄</v>
      </c>
      <c r="H84" s="18">
        <v>1</v>
      </c>
      <c r="I84" s="18">
        <v>1</v>
      </c>
      <c r="J84" s="18">
        <v>1</v>
      </c>
      <c r="K84" s="18">
        <v>1</v>
      </c>
      <c r="L84" s="18">
        <v>1</v>
      </c>
      <c r="M84" s="18" cm="1">
        <f t="array" ref="M84">H84*VLOOKUP($G84, Factor!$Q$4:$V$36, 2, 0)*INDEX(Factor!$Q$41:$V$87, _xlfn.XMATCH($C84, Factor!$Q$41:$Q$87, -1), 2)</f>
        <v>1600</v>
      </c>
      <c r="N84" s="18" cm="1">
        <f t="array" ref="N84">I84*VLOOKUP($G84, Factor!$Q$4:$V$36, 3, 0)*INDEX(Factor!$Q$41:$V$87, _xlfn.XMATCH($C84, Factor!$Q$41:$Q$87, -1), 3)</f>
        <v>48</v>
      </c>
      <c r="O84" s="18" cm="1">
        <f t="array" ref="O84">J84*VLOOKUP($G84, Factor!$Q$4:$V$36, 4, 0)*INDEX(Factor!$Q$41:$V$87, _xlfn.XMATCH($C84, Factor!$Q$41:$Q$87, -1), 4)</f>
        <v>1600</v>
      </c>
      <c r="P84" s="18" cm="1">
        <f t="array" ref="P84">K84*VLOOKUP($G84, Factor!$Q$4:$V$36, 5, 0)*INDEX(Factor!$Q$41:$V$87, _xlfn.XMATCH($C84, Factor!$Q$41:$Q$87, -1), 5)</f>
        <v>1.92</v>
      </c>
      <c r="Q84" s="18" cm="1">
        <f t="array" ref="Q84">L84*VLOOKUP($G84, Factor!$Q$4:$V$36, 6, 0)*INDEX(Factor!$Q$41:$V$87, _xlfn.XMATCH($C84, Factor!$Q$41:$Q$87, -1), 6)</f>
        <v>1920</v>
      </c>
      <c r="R84" s="19"/>
    </row>
    <row r="85" spans="1:18" ht="15.75" customHeight="1" x14ac:dyDescent="0.2">
      <c r="A85" s="14" t="str">
        <f>"couch_"&amp;VLOOKUP(F85, Factor!$BQ$4:$BR$6, 2, 0)&amp;"_"&amp;Couch!D85&amp;"_"&amp;VLOOKUP(Couch!E85, Factor!$BS$4:$BT$13, 2, 0)</f>
        <v>couch_Ti_T4_004</v>
      </c>
      <c r="B85" s="15" t="str">
        <f t="shared" si="2"/>
        <v>T4 군용 티타늄객차</v>
      </c>
      <c r="C85" s="15">
        <f>VLOOKUP(D85, Factor!$P$41:$Q$50, 2, 0)</f>
        <v>8000</v>
      </c>
      <c r="D85" s="15" t="s">
        <v>300</v>
      </c>
      <c r="E85" s="56" t="s">
        <v>591</v>
      </c>
      <c r="F85" s="56" t="s">
        <v>598</v>
      </c>
      <c r="G85" s="15" t="str">
        <f t="shared" si="3"/>
        <v>군용 티타늄</v>
      </c>
      <c r="H85" s="15">
        <v>1</v>
      </c>
      <c r="I85" s="15">
        <v>1</v>
      </c>
      <c r="J85" s="15">
        <v>1</v>
      </c>
      <c r="K85" s="15">
        <v>1</v>
      </c>
      <c r="L85" s="15">
        <v>1</v>
      </c>
      <c r="M85" s="15" cm="1">
        <f t="array" ref="M85">H85*VLOOKUP($G85, Factor!$Q$4:$V$36, 2, 0)*INDEX(Factor!$Q$41:$V$87, _xlfn.XMATCH($C85, Factor!$Q$41:$Q$87, -1), 2)</f>
        <v>2240</v>
      </c>
      <c r="N85" s="15" cm="1">
        <f t="array" ref="N85">I85*VLOOKUP($G85, Factor!$Q$4:$V$36, 3, 0)*INDEX(Factor!$Q$41:$V$87, _xlfn.XMATCH($C85, Factor!$Q$41:$Q$87, -1), 3)</f>
        <v>80</v>
      </c>
      <c r="O85" s="15" cm="1">
        <f t="array" ref="O85">J85*VLOOKUP($G85, Factor!$Q$4:$V$36, 4, 0)*INDEX(Factor!$Q$41:$V$87, _xlfn.XMATCH($C85, Factor!$Q$41:$Q$87, -1), 4)</f>
        <v>2240</v>
      </c>
      <c r="P85" s="15" cm="1">
        <f t="array" ref="P85">K85*VLOOKUP($G85, Factor!$Q$4:$V$36, 5, 0)*INDEX(Factor!$Q$41:$V$87, _xlfn.XMATCH($C85, Factor!$Q$41:$Q$87, -1), 5)</f>
        <v>2.4000000000000004</v>
      </c>
      <c r="Q85" s="15" cm="1">
        <f t="array" ref="Q85">L85*VLOOKUP($G85, Factor!$Q$4:$V$36, 6, 0)*INDEX(Factor!$Q$41:$V$87, _xlfn.XMATCH($C85, Factor!$Q$41:$Q$87, -1), 6)</f>
        <v>9600</v>
      </c>
      <c r="R85" s="16"/>
    </row>
    <row r="86" spans="1:18" ht="15.75" customHeight="1" x14ac:dyDescent="0.2">
      <c r="A86" s="17" t="str">
        <f>"couch_"&amp;VLOOKUP(F86, Factor!$BQ$4:$BR$6, 2, 0)&amp;"_"&amp;Couch!D86&amp;"_"&amp;VLOOKUP(Couch!E86, Factor!$BS$4:$BT$13, 2, 0)</f>
        <v>couch_Ti_T4_005</v>
      </c>
      <c r="B86" s="18" t="str">
        <f t="shared" si="2"/>
        <v>T4 여객 티타늄객차</v>
      </c>
      <c r="C86" s="18">
        <f>VLOOKUP(D86, Factor!$P$41:$Q$50, 2, 0)</f>
        <v>8000</v>
      </c>
      <c r="D86" s="18" t="s">
        <v>300</v>
      </c>
      <c r="E86" s="55" t="s">
        <v>593</v>
      </c>
      <c r="F86" s="55" t="s">
        <v>598</v>
      </c>
      <c r="G86" s="18" t="str">
        <f t="shared" si="3"/>
        <v>여객 티타늄</v>
      </c>
      <c r="H86" s="18">
        <v>1</v>
      </c>
      <c r="I86" s="18">
        <v>1</v>
      </c>
      <c r="J86" s="18">
        <v>1</v>
      </c>
      <c r="K86" s="18">
        <v>1</v>
      </c>
      <c r="L86" s="18">
        <v>1</v>
      </c>
      <c r="M86" s="18" cm="1">
        <f t="array" ref="M86">H86*VLOOKUP($G86, Factor!$Q$4:$V$36, 2, 0)*INDEX(Factor!$Q$41:$V$87, _xlfn.XMATCH($C86, Factor!$Q$41:$Q$87, -1), 2)</f>
        <v>1280</v>
      </c>
      <c r="N86" s="18" cm="1">
        <f t="array" ref="N86">I86*VLOOKUP($G86, Factor!$Q$4:$V$36, 3, 0)*INDEX(Factor!$Q$41:$V$87, _xlfn.XMATCH($C86, Factor!$Q$41:$Q$87, -1), 3)</f>
        <v>24</v>
      </c>
      <c r="O86" s="18" cm="1">
        <f t="array" ref="O86">J86*VLOOKUP($G86, Factor!$Q$4:$V$36, 4, 0)*INDEX(Factor!$Q$41:$V$87, _xlfn.XMATCH($C86, Factor!$Q$41:$Q$87, -1), 4)</f>
        <v>12800</v>
      </c>
      <c r="P86" s="18" cm="1">
        <f t="array" ref="P86">K86*VLOOKUP($G86, Factor!$Q$4:$V$36, 5, 0)*INDEX(Factor!$Q$41:$V$87, _xlfn.XMATCH($C86, Factor!$Q$41:$Q$87, -1), 5)</f>
        <v>2.72</v>
      </c>
      <c r="Q86" s="18" cm="1">
        <f t="array" ref="Q86">L86*VLOOKUP($G86, Factor!$Q$4:$V$36, 6, 0)*INDEX(Factor!$Q$41:$V$87, _xlfn.XMATCH($C86, Factor!$Q$41:$Q$87, -1), 6)</f>
        <v>3200</v>
      </c>
      <c r="R86" s="19"/>
    </row>
    <row r="87" spans="1:18" ht="15.75" customHeight="1" x14ac:dyDescent="0.2">
      <c r="A87" s="14" t="str">
        <f>"couch_"&amp;VLOOKUP(F87, Factor!$BQ$4:$BR$6, 2, 0)&amp;"_"&amp;Couch!D87&amp;"_"&amp;VLOOKUP(Couch!E87, Factor!$BS$4:$BT$13, 2, 0)</f>
        <v>couch_Ti_T4_006</v>
      </c>
      <c r="B87" s="15" t="str">
        <f t="shared" si="2"/>
        <v>T4 시운 티타늄객차</v>
      </c>
      <c r="C87" s="15">
        <f>VLOOKUP(D87, Factor!$P$41:$Q$50, 2, 0)</f>
        <v>8000</v>
      </c>
      <c r="D87" s="15" t="s">
        <v>300</v>
      </c>
      <c r="E87" s="56" t="s">
        <v>595</v>
      </c>
      <c r="F87" s="56" t="s">
        <v>598</v>
      </c>
      <c r="G87" s="15" t="str">
        <f t="shared" si="3"/>
        <v>시운 티타늄</v>
      </c>
      <c r="H87" s="15">
        <v>1</v>
      </c>
      <c r="I87" s="15">
        <v>1</v>
      </c>
      <c r="J87" s="15">
        <v>1</v>
      </c>
      <c r="K87" s="15">
        <v>1</v>
      </c>
      <c r="L87" s="15">
        <v>1</v>
      </c>
      <c r="M87" s="15" cm="1">
        <f t="array" ref="M87">H87*VLOOKUP($G87, Factor!$Q$4:$V$36, 2, 0)*INDEX(Factor!$Q$41:$V$87, _xlfn.XMATCH($C87, Factor!$Q$41:$Q$87, -1), 2)</f>
        <v>800</v>
      </c>
      <c r="N87" s="15" cm="1">
        <f t="array" ref="N87">I87*VLOOKUP($G87, Factor!$Q$4:$V$36, 3, 0)*INDEX(Factor!$Q$41:$V$87, _xlfn.XMATCH($C87, Factor!$Q$41:$Q$87, -1), 3)</f>
        <v>48</v>
      </c>
      <c r="O87" s="15" cm="1">
        <f t="array" ref="O87">J87*VLOOKUP($G87, Factor!$Q$4:$V$36, 4, 0)*INDEX(Factor!$Q$41:$V$87, _xlfn.XMATCH($C87, Factor!$Q$41:$Q$87, -1), 4)</f>
        <v>2400</v>
      </c>
      <c r="P87" s="15" cm="1">
        <f t="array" ref="P87">K87*VLOOKUP($G87, Factor!$Q$4:$V$36, 5, 0)*INDEX(Factor!$Q$41:$V$87, _xlfn.XMATCH($C87, Factor!$Q$41:$Q$87, -1), 5)</f>
        <v>2.2399999999999998</v>
      </c>
      <c r="Q87" s="15" cm="1">
        <f t="array" ref="Q87">L87*VLOOKUP($G87, Factor!$Q$4:$V$36, 6, 0)*INDEX(Factor!$Q$41:$V$87, _xlfn.XMATCH($C87, Factor!$Q$41:$Q$87, -1), 6)</f>
        <v>3200</v>
      </c>
      <c r="R87" s="16"/>
    </row>
    <row r="88" spans="1:18" ht="15.75" customHeight="1" x14ac:dyDescent="0.2">
      <c r="A88" s="17" t="str">
        <f>"couch_"&amp;VLOOKUP(F88, Factor!$BQ$4:$BR$6, 2, 0)&amp;"_"&amp;Couch!D88&amp;"_"&amp;VLOOKUP(Couch!E88, Factor!$BS$4:$BT$13, 2, 0)</f>
        <v>couch_Ti_T4_007</v>
      </c>
      <c r="B88" s="18" t="str">
        <f t="shared" si="2"/>
        <v>T4 경량 티타늄객차</v>
      </c>
      <c r="C88" s="18">
        <f>VLOOKUP(D88, Factor!$P$41:$Q$50, 2, 0)</f>
        <v>8000</v>
      </c>
      <c r="D88" s="18" t="s">
        <v>300</v>
      </c>
      <c r="E88" s="55" t="s">
        <v>585</v>
      </c>
      <c r="F88" s="55" t="s">
        <v>598</v>
      </c>
      <c r="G88" s="18" t="str">
        <f t="shared" si="3"/>
        <v>경량 티타늄</v>
      </c>
      <c r="H88" s="18">
        <v>1</v>
      </c>
      <c r="I88" s="18">
        <v>1</v>
      </c>
      <c r="J88" s="18">
        <v>1</v>
      </c>
      <c r="K88" s="18">
        <v>1</v>
      </c>
      <c r="L88" s="18">
        <v>1</v>
      </c>
      <c r="M88" s="18" cm="1">
        <f t="array" ref="M88">H88*VLOOKUP($G88, Factor!$Q$4:$V$36, 2, 0)*INDEX(Factor!$Q$41:$V$87, _xlfn.XMATCH($C88, Factor!$Q$41:$Q$87, -1), 2)</f>
        <v>960</v>
      </c>
      <c r="N88" s="18" cm="1">
        <f t="array" ref="N88">I88*VLOOKUP($G88, Factor!$Q$4:$V$36, 3, 0)*INDEX(Factor!$Q$41:$V$87, _xlfn.XMATCH($C88, Factor!$Q$41:$Q$87, -1), 3)</f>
        <v>32</v>
      </c>
      <c r="O88" s="18" cm="1">
        <f t="array" ref="O88">J88*VLOOKUP($G88, Factor!$Q$4:$V$36, 4, 0)*INDEX(Factor!$Q$41:$V$87, _xlfn.XMATCH($C88, Factor!$Q$41:$Q$87, -1), 4)</f>
        <v>960</v>
      </c>
      <c r="P88" s="18" cm="1">
        <f t="array" ref="P88">K88*VLOOKUP($G88, Factor!$Q$4:$V$36, 5, 0)*INDEX(Factor!$Q$41:$V$87, _xlfn.XMATCH($C88, Factor!$Q$41:$Q$87, -1), 5)</f>
        <v>2.2399999999999998</v>
      </c>
      <c r="Q88" s="18" cm="1">
        <f t="array" ref="Q88">L88*VLOOKUP($G88, Factor!$Q$4:$V$36, 6, 0)*INDEX(Factor!$Q$41:$V$87, _xlfn.XMATCH($C88, Factor!$Q$41:$Q$87, -1), 6)</f>
        <v>1600</v>
      </c>
      <c r="R88" s="19"/>
    </row>
    <row r="89" spans="1:18" ht="15.75" customHeight="1" x14ac:dyDescent="0.2">
      <c r="A89" s="14" t="str">
        <f>"couch_"&amp;VLOOKUP(F89, Factor!$BQ$4:$BR$6, 2, 0)&amp;"_"&amp;Couch!D89&amp;"_"&amp;VLOOKUP(Couch!E89, Factor!$BS$4:$BT$13, 2, 0)</f>
        <v>couch_Wo_T5_001</v>
      </c>
      <c r="B89" s="15" t="str">
        <f t="shared" si="2"/>
        <v>T5 표준 나무객차</v>
      </c>
      <c r="C89" s="15">
        <f>VLOOKUP(D89, Factor!$P$41:$Q$50, 2, 0)</f>
        <v>10000</v>
      </c>
      <c r="D89" s="15" t="s">
        <v>324</v>
      </c>
      <c r="E89" s="56" t="s">
        <v>582</v>
      </c>
      <c r="F89" s="56" t="s">
        <v>663</v>
      </c>
      <c r="G89" s="15" t="str">
        <f t="shared" si="3"/>
        <v>표준 나무</v>
      </c>
      <c r="H89" s="15">
        <v>1</v>
      </c>
      <c r="I89" s="15">
        <v>1</v>
      </c>
      <c r="J89" s="15">
        <v>1</v>
      </c>
      <c r="K89" s="15">
        <v>1</v>
      </c>
      <c r="L89" s="15">
        <v>1</v>
      </c>
      <c r="M89" s="15" cm="1">
        <f t="array" ref="M89">H89*VLOOKUP($G89, Factor!$Q$4:$V$36, 2, 0)*INDEX(Factor!$Q$41:$V$87, _xlfn.XMATCH($C89, Factor!$Q$41:$Q$87, -1), 2)</f>
        <v>900</v>
      </c>
      <c r="N89" s="15" cm="1">
        <f t="array" ref="N89">I89*VLOOKUP($G89, Factor!$Q$4:$V$36, 3, 0)*INDEX(Factor!$Q$41:$V$87, _xlfn.XMATCH($C89, Factor!$Q$41:$Q$87, -1), 3)</f>
        <v>18</v>
      </c>
      <c r="O89" s="15" cm="1">
        <f t="array" ref="O89">J89*VLOOKUP($G89, Factor!$Q$4:$V$36, 4, 0)*INDEX(Factor!$Q$41:$V$87, _xlfn.XMATCH($C89, Factor!$Q$41:$Q$87, -1), 4)</f>
        <v>900</v>
      </c>
      <c r="P89" s="15" cm="1">
        <f t="array" ref="P89">K89*VLOOKUP($G89, Factor!$Q$4:$V$36, 5, 0)*INDEX(Factor!$Q$41:$V$87, _xlfn.XMATCH($C89, Factor!$Q$41:$Q$87, -1), 5)</f>
        <v>1.8</v>
      </c>
      <c r="Q89" s="15" cm="1">
        <f t="array" ref="Q89">L89*VLOOKUP($G89, Factor!$Q$4:$V$36, 6, 0)*INDEX(Factor!$Q$41:$V$87, _xlfn.XMATCH($C89, Factor!$Q$41:$Q$87, -1), 6)</f>
        <v>1800</v>
      </c>
      <c r="R89" s="16"/>
    </row>
    <row r="90" spans="1:18" ht="15.75" customHeight="1" x14ac:dyDescent="0.2">
      <c r="A90" s="17" t="str">
        <f>"couch_"&amp;VLOOKUP(F90, Factor!$BQ$4:$BR$6, 2, 0)&amp;"_"&amp;Couch!D90&amp;"_"&amp;VLOOKUP(Couch!E90, Factor!$BS$4:$BT$13, 2, 0)</f>
        <v>couch_Wo_T5_002</v>
      </c>
      <c r="B90" s="18" t="str">
        <f t="shared" si="2"/>
        <v>T5 중갑 나무객차</v>
      </c>
      <c r="C90" s="18">
        <f>VLOOKUP(D90, Factor!$P$41:$Q$50, 2, 0)</f>
        <v>10000</v>
      </c>
      <c r="D90" s="18" t="s">
        <v>324</v>
      </c>
      <c r="E90" s="55" t="s">
        <v>587</v>
      </c>
      <c r="F90" s="55" t="s">
        <v>663</v>
      </c>
      <c r="G90" s="18" t="str">
        <f t="shared" si="3"/>
        <v>중갑 나무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 cm="1">
        <f t="array" ref="M90">H90*VLOOKUP($G90, Factor!$Q$4:$V$36, 2, 0)*INDEX(Factor!$Q$41:$V$87, _xlfn.XMATCH($C90, Factor!$Q$41:$Q$87, -1), 2)</f>
        <v>900</v>
      </c>
      <c r="N90" s="18" cm="1">
        <f t="array" ref="N90">I90*VLOOKUP($G90, Factor!$Q$4:$V$36, 3, 0)*INDEX(Factor!$Q$41:$V$87, _xlfn.XMATCH($C90, Factor!$Q$41:$Q$87, -1), 3)</f>
        <v>36</v>
      </c>
      <c r="O90" s="18" cm="1">
        <f t="array" ref="O90">J90*VLOOKUP($G90, Factor!$Q$4:$V$36, 4, 0)*INDEX(Factor!$Q$41:$V$87, _xlfn.XMATCH($C90, Factor!$Q$41:$Q$87, -1), 4)</f>
        <v>900</v>
      </c>
      <c r="P90" s="18" cm="1">
        <f t="array" ref="P90">K90*VLOOKUP($G90, Factor!$Q$4:$V$36, 5, 0)*INDEX(Factor!$Q$41:$V$87, _xlfn.XMATCH($C90, Factor!$Q$41:$Q$87, -1), 5)</f>
        <v>1.8</v>
      </c>
      <c r="Q90" s="18" cm="1">
        <f t="array" ref="Q90">L90*VLOOKUP($G90, Factor!$Q$4:$V$36, 6, 0)*INDEX(Factor!$Q$41:$V$87, _xlfn.XMATCH($C90, Factor!$Q$41:$Q$87, -1), 6)</f>
        <v>3600</v>
      </c>
      <c r="R90" s="19"/>
    </row>
    <row r="91" spans="1:18" ht="15.75" customHeight="1" x14ac:dyDescent="0.2">
      <c r="A91" s="14" t="str">
        <f>"couch_"&amp;VLOOKUP(F91, Factor!$BQ$4:$BR$6, 2, 0)&amp;"_"&amp;Couch!D91&amp;"_"&amp;VLOOKUP(Couch!E91, Factor!$BS$4:$BT$13, 2, 0)</f>
        <v>couch_Wo_T5_003</v>
      </c>
      <c r="B91" s="15" t="str">
        <f t="shared" si="2"/>
        <v>T5 화물 나무객차</v>
      </c>
      <c r="C91" s="15">
        <f>VLOOKUP(D91, Factor!$P$41:$Q$50, 2, 0)</f>
        <v>10000</v>
      </c>
      <c r="D91" s="15" t="s">
        <v>301</v>
      </c>
      <c r="E91" s="56" t="s">
        <v>589</v>
      </c>
      <c r="F91" s="56" t="s">
        <v>663</v>
      </c>
      <c r="G91" s="15" t="str">
        <f t="shared" si="3"/>
        <v>화물 나무</v>
      </c>
      <c r="H91" s="15">
        <v>1</v>
      </c>
      <c r="I91" s="15">
        <v>1</v>
      </c>
      <c r="J91" s="15">
        <v>1</v>
      </c>
      <c r="K91" s="15">
        <v>1</v>
      </c>
      <c r="L91" s="15">
        <v>1</v>
      </c>
      <c r="M91" s="15" cm="1">
        <f t="array" ref="M91">H91*VLOOKUP($G91, Factor!$Q$4:$V$36, 2, 0)*INDEX(Factor!$Q$41:$V$87, _xlfn.XMATCH($C91, Factor!$Q$41:$Q$87, -1), 2)</f>
        <v>900</v>
      </c>
      <c r="N91" s="15" cm="1">
        <f t="array" ref="N91">I91*VLOOKUP($G91, Factor!$Q$4:$V$36, 3, 0)*INDEX(Factor!$Q$41:$V$87, _xlfn.XMATCH($C91, Factor!$Q$41:$Q$87, -1), 3)</f>
        <v>18</v>
      </c>
      <c r="O91" s="15" cm="1">
        <f t="array" ref="O91">J91*VLOOKUP($G91, Factor!$Q$4:$V$36, 4, 0)*INDEX(Factor!$Q$41:$V$87, _xlfn.XMATCH($C91, Factor!$Q$41:$Q$87, -1), 4)</f>
        <v>900</v>
      </c>
      <c r="P91" s="15" cm="1">
        <f t="array" ref="P91">K91*VLOOKUP($G91, Factor!$Q$4:$V$36, 5, 0)*INDEX(Factor!$Q$41:$V$87, _xlfn.XMATCH($C91, Factor!$Q$41:$Q$87, -1), 5)</f>
        <v>1.62</v>
      </c>
      <c r="Q91" s="15" cm="1">
        <f t="array" ref="Q91">L91*VLOOKUP($G91, Factor!$Q$4:$V$36, 6, 0)*INDEX(Factor!$Q$41:$V$87, _xlfn.XMATCH($C91, Factor!$Q$41:$Q$87, -1), 6)</f>
        <v>1260</v>
      </c>
      <c r="R91" s="16"/>
    </row>
    <row r="92" spans="1:18" ht="15.75" customHeight="1" x14ac:dyDescent="0.2">
      <c r="A92" s="17" t="str">
        <f>"couch_"&amp;VLOOKUP(F92, Factor!$BQ$4:$BR$6, 2, 0)&amp;"_"&amp;Couch!D92&amp;"_"&amp;VLOOKUP(Couch!E92, Factor!$BS$4:$BT$13, 2, 0)</f>
        <v>couch_Wo_T5_004</v>
      </c>
      <c r="B92" s="18" t="str">
        <f t="shared" si="2"/>
        <v>T5 군용 나무객차</v>
      </c>
      <c r="C92" s="18">
        <f>VLOOKUP(D92, Factor!$P$41:$Q$50, 2, 0)</f>
        <v>10000</v>
      </c>
      <c r="D92" s="18" t="s">
        <v>301</v>
      </c>
      <c r="E92" s="55" t="s">
        <v>591</v>
      </c>
      <c r="F92" s="55" t="s">
        <v>663</v>
      </c>
      <c r="G92" s="18" t="str">
        <f t="shared" si="3"/>
        <v>군용 나무</v>
      </c>
      <c r="H92" s="18">
        <v>1</v>
      </c>
      <c r="I92" s="18">
        <v>1</v>
      </c>
      <c r="J92" s="18">
        <v>1</v>
      </c>
      <c r="K92" s="18">
        <v>1</v>
      </c>
      <c r="L92" s="18">
        <v>1</v>
      </c>
      <c r="M92" s="18" cm="1">
        <f t="array" ref="M92">H92*VLOOKUP($G92, Factor!$Q$4:$V$36, 2, 0)*INDEX(Factor!$Q$41:$V$87, _xlfn.XMATCH($C92, Factor!$Q$41:$Q$87, -1), 2)</f>
        <v>1260</v>
      </c>
      <c r="N92" s="18" cm="1">
        <f t="array" ref="N92">I92*VLOOKUP($G92, Factor!$Q$4:$V$36, 3, 0)*INDEX(Factor!$Q$41:$V$87, _xlfn.XMATCH($C92, Factor!$Q$41:$Q$87, -1), 3)</f>
        <v>27</v>
      </c>
      <c r="O92" s="18" cm="1">
        <f t="array" ref="O92">J92*VLOOKUP($G92, Factor!$Q$4:$V$36, 4, 0)*INDEX(Factor!$Q$41:$V$87, _xlfn.XMATCH($C92, Factor!$Q$41:$Q$87, -1), 4)</f>
        <v>1260</v>
      </c>
      <c r="P92" s="18" cm="1">
        <f t="array" ref="P92">K92*VLOOKUP($G92, Factor!$Q$4:$V$36, 5, 0)*INDEX(Factor!$Q$41:$V$87, _xlfn.XMATCH($C92, Factor!$Q$41:$Q$87, -1), 5)</f>
        <v>1.9800000000000002</v>
      </c>
      <c r="Q92" s="18" cm="1">
        <f t="array" ref="Q92">L92*VLOOKUP($G92, Factor!$Q$4:$V$36, 6, 0)*INDEX(Factor!$Q$41:$V$87, _xlfn.XMATCH($C92, Factor!$Q$41:$Q$87, -1), 6)</f>
        <v>5400</v>
      </c>
      <c r="R92" s="19"/>
    </row>
    <row r="93" spans="1:18" ht="15.75" customHeight="1" x14ac:dyDescent="0.2">
      <c r="A93" s="14" t="str">
        <f>"couch_"&amp;VLOOKUP(F93, Factor!$BQ$4:$BR$6, 2, 0)&amp;"_"&amp;Couch!D93&amp;"_"&amp;VLOOKUP(Couch!E93, Factor!$BS$4:$BT$13, 2, 0)</f>
        <v>couch_Wo_T5_005</v>
      </c>
      <c r="B93" s="15" t="str">
        <f t="shared" si="2"/>
        <v>T5 여객 나무객차</v>
      </c>
      <c r="C93" s="15">
        <f>VLOOKUP(D93, Factor!$P$41:$Q$50, 2, 0)</f>
        <v>10000</v>
      </c>
      <c r="D93" s="15" t="s">
        <v>301</v>
      </c>
      <c r="E93" s="56" t="s">
        <v>593</v>
      </c>
      <c r="F93" s="56" t="s">
        <v>663</v>
      </c>
      <c r="G93" s="15" t="str">
        <f t="shared" si="3"/>
        <v>여객 나무</v>
      </c>
      <c r="H93" s="15">
        <v>1</v>
      </c>
      <c r="I93" s="15">
        <v>1</v>
      </c>
      <c r="J93" s="15">
        <v>1</v>
      </c>
      <c r="K93" s="15">
        <v>1</v>
      </c>
      <c r="L93" s="15">
        <v>1</v>
      </c>
      <c r="M93" s="15" cm="1">
        <f t="array" ref="M93">H93*VLOOKUP($G93, Factor!$Q$4:$V$36, 2, 0)*INDEX(Factor!$Q$41:$V$87, _xlfn.XMATCH($C93, Factor!$Q$41:$Q$87, -1), 2)</f>
        <v>720</v>
      </c>
      <c r="N93" s="15" cm="1">
        <f t="array" ref="N93">I93*VLOOKUP($G93, Factor!$Q$4:$V$36, 3, 0)*INDEX(Factor!$Q$41:$V$87, _xlfn.XMATCH($C93, Factor!$Q$41:$Q$87, -1), 3)</f>
        <v>14.4</v>
      </c>
      <c r="O93" s="15" cm="1">
        <f t="array" ref="O93">J93*VLOOKUP($G93, Factor!$Q$4:$V$36, 4, 0)*INDEX(Factor!$Q$41:$V$87, _xlfn.XMATCH($C93, Factor!$Q$41:$Q$87, -1), 4)</f>
        <v>720</v>
      </c>
      <c r="P93" s="15" cm="1">
        <f t="array" ref="P93">K93*VLOOKUP($G93, Factor!$Q$4:$V$36, 5, 0)*INDEX(Factor!$Q$41:$V$87, _xlfn.XMATCH($C93, Factor!$Q$41:$Q$87, -1), 5)</f>
        <v>2.16</v>
      </c>
      <c r="Q93" s="15" cm="1">
        <f t="array" ref="Q93">L93*VLOOKUP($G93, Factor!$Q$4:$V$36, 6, 0)*INDEX(Factor!$Q$41:$V$87, _xlfn.XMATCH($C93, Factor!$Q$41:$Q$87, -1), 6)</f>
        <v>1800</v>
      </c>
      <c r="R93" s="16"/>
    </row>
    <row r="94" spans="1:18" ht="15.75" customHeight="1" x14ac:dyDescent="0.2">
      <c r="A94" s="17" t="str">
        <f>"couch_"&amp;VLOOKUP(F94, Factor!$BQ$4:$BR$6, 2, 0)&amp;"_"&amp;Couch!D94&amp;"_"&amp;VLOOKUP(Couch!E94, Factor!$BS$4:$BT$13, 2, 0)</f>
        <v>couch_Wo_T5_006</v>
      </c>
      <c r="B94" s="18" t="str">
        <f t="shared" si="2"/>
        <v>T5 시운 나무객차</v>
      </c>
      <c r="C94" s="18">
        <f>VLOOKUP(D94, Factor!$P$41:$Q$50, 2, 0)</f>
        <v>10000</v>
      </c>
      <c r="D94" s="18" t="s">
        <v>301</v>
      </c>
      <c r="E94" s="55" t="s">
        <v>595</v>
      </c>
      <c r="F94" s="55" t="s">
        <v>663</v>
      </c>
      <c r="G94" s="18" t="str">
        <f t="shared" si="3"/>
        <v>시운 나무</v>
      </c>
      <c r="H94" s="18">
        <v>1</v>
      </c>
      <c r="I94" s="18">
        <v>1</v>
      </c>
      <c r="J94" s="18">
        <v>1</v>
      </c>
      <c r="K94" s="18">
        <v>1</v>
      </c>
      <c r="L94" s="18">
        <v>1</v>
      </c>
      <c r="M94" s="18" cm="1">
        <f t="array" ref="M94">H94*VLOOKUP($G94, Factor!$Q$4:$V$36, 2, 0)*INDEX(Factor!$Q$41:$V$87, _xlfn.XMATCH($C94, Factor!$Q$41:$Q$87, -1), 2)</f>
        <v>360</v>
      </c>
      <c r="N94" s="18" cm="1">
        <f t="array" ref="N94">I94*VLOOKUP($G94, Factor!$Q$4:$V$36, 3, 0)*INDEX(Factor!$Q$41:$V$87, _xlfn.XMATCH($C94, Factor!$Q$41:$Q$87, -1), 3)</f>
        <v>18</v>
      </c>
      <c r="O94" s="18" cm="1">
        <f t="array" ref="O94">J94*VLOOKUP($G94, Factor!$Q$4:$V$36, 4, 0)*INDEX(Factor!$Q$41:$V$87, _xlfn.XMATCH($C94, Factor!$Q$41:$Q$87, -1), 4)</f>
        <v>1440</v>
      </c>
      <c r="P94" s="18" cm="1">
        <f t="array" ref="P94">K94*VLOOKUP($G94, Factor!$Q$4:$V$36, 5, 0)*INDEX(Factor!$Q$41:$V$87, _xlfn.XMATCH($C94, Factor!$Q$41:$Q$87, -1), 5)</f>
        <v>1.8</v>
      </c>
      <c r="Q94" s="18" cm="1">
        <f t="array" ref="Q94">L94*VLOOKUP($G94, Factor!$Q$4:$V$36, 6, 0)*INDEX(Factor!$Q$41:$V$87, _xlfn.XMATCH($C94, Factor!$Q$41:$Q$87, -1), 6)</f>
        <v>1800</v>
      </c>
      <c r="R94" s="19"/>
    </row>
    <row r="95" spans="1:18" ht="15.75" customHeight="1" x14ac:dyDescent="0.2">
      <c r="A95" s="14" t="str">
        <f>"couch_"&amp;VLOOKUP(F95, Factor!$BQ$4:$BR$6, 2, 0)&amp;"_"&amp;Couch!D95&amp;"_"&amp;VLOOKUP(Couch!E95, Factor!$BS$4:$BT$13, 2, 0)</f>
        <v>couch_Wo_T5_007</v>
      </c>
      <c r="B95" s="15" t="str">
        <f t="shared" si="2"/>
        <v>T5 경량 나무객차</v>
      </c>
      <c r="C95" s="15">
        <f>VLOOKUP(D95, Factor!$P$41:$Q$50, 2, 0)</f>
        <v>10000</v>
      </c>
      <c r="D95" s="15" t="s">
        <v>301</v>
      </c>
      <c r="E95" s="56" t="s">
        <v>585</v>
      </c>
      <c r="F95" s="56" t="s">
        <v>663</v>
      </c>
      <c r="G95" s="15" t="str">
        <f t="shared" si="3"/>
        <v>경량 나무</v>
      </c>
      <c r="H95" s="15">
        <v>1</v>
      </c>
      <c r="I95" s="15">
        <v>1</v>
      </c>
      <c r="J95" s="15">
        <v>1</v>
      </c>
      <c r="K95" s="15">
        <v>1</v>
      </c>
      <c r="L95" s="15">
        <v>1</v>
      </c>
      <c r="M95" s="15" cm="1">
        <f t="array" ref="M95">H95*VLOOKUP($G95, Factor!$Q$4:$V$36, 2, 0)*INDEX(Factor!$Q$41:$V$87, _xlfn.XMATCH($C95, Factor!$Q$41:$Q$87, -1), 2)</f>
        <v>540</v>
      </c>
      <c r="N95" s="15" cm="1">
        <f t="array" ref="N95">I95*VLOOKUP($G95, Factor!$Q$4:$V$36, 3, 0)*INDEX(Factor!$Q$41:$V$87, _xlfn.XMATCH($C95, Factor!$Q$41:$Q$87, -1), 3)</f>
        <v>14.4</v>
      </c>
      <c r="O95" s="15" cm="1">
        <f t="array" ref="O95">J95*VLOOKUP($G95, Factor!$Q$4:$V$36, 4, 0)*INDEX(Factor!$Q$41:$V$87, _xlfn.XMATCH($C95, Factor!$Q$41:$Q$87, -1), 4)</f>
        <v>540</v>
      </c>
      <c r="P95" s="15" cm="1">
        <f t="array" ref="P95">K95*VLOOKUP($G95, Factor!$Q$4:$V$36, 5, 0)*INDEX(Factor!$Q$41:$V$87, _xlfn.XMATCH($C95, Factor!$Q$41:$Q$87, -1), 5)</f>
        <v>1.8</v>
      </c>
      <c r="Q95" s="15" cm="1">
        <f t="array" ref="Q95">L95*VLOOKUP($G95, Factor!$Q$4:$V$36, 6, 0)*INDEX(Factor!$Q$41:$V$87, _xlfn.XMATCH($C95, Factor!$Q$41:$Q$87, -1), 6)</f>
        <v>900</v>
      </c>
      <c r="R95" s="16"/>
    </row>
    <row r="96" spans="1:18" ht="15.75" customHeight="1" x14ac:dyDescent="0.2">
      <c r="A96" s="17" t="str">
        <f>"couch_"&amp;VLOOKUP(F96, Factor!$BQ$4:$BR$6, 2, 0)&amp;"_"&amp;Couch!D96&amp;"_"&amp;VLOOKUP(Couch!E96, Factor!$BS$4:$BT$13, 2, 0)</f>
        <v>couch_St_T5_001</v>
      </c>
      <c r="B96" s="18" t="str">
        <f t="shared" si="2"/>
        <v>T5 표준 강철객차</v>
      </c>
      <c r="C96" s="18">
        <f>VLOOKUP(D96, Factor!$P$41:$Q$50, 2, 0)</f>
        <v>10000</v>
      </c>
      <c r="D96" s="18" t="s">
        <v>301</v>
      </c>
      <c r="E96" s="55" t="s">
        <v>582</v>
      </c>
      <c r="F96" s="55" t="s">
        <v>597</v>
      </c>
      <c r="G96" s="18" t="str">
        <f t="shared" si="3"/>
        <v>표준 강철</v>
      </c>
      <c r="H96" s="18">
        <v>1</v>
      </c>
      <c r="I96" s="18">
        <v>1</v>
      </c>
      <c r="J96" s="18">
        <v>1</v>
      </c>
      <c r="K96" s="18">
        <v>1</v>
      </c>
      <c r="L96" s="18">
        <v>1</v>
      </c>
      <c r="M96" s="18" cm="1">
        <f t="array" ref="M96">H96*VLOOKUP($G96, Factor!$Q$4:$V$36, 2, 0)*INDEX(Factor!$Q$41:$V$87, _xlfn.XMATCH($C96, Factor!$Q$41:$Q$87, -1), 2)</f>
        <v>1260</v>
      </c>
      <c r="N96" s="18" cm="1">
        <f t="array" ref="N96">I96*VLOOKUP($G96, Factor!$Q$4:$V$36, 3, 0)*INDEX(Factor!$Q$41:$V$87, _xlfn.XMATCH($C96, Factor!$Q$41:$Q$87, -1), 3)</f>
        <v>36</v>
      </c>
      <c r="O96" s="18" cm="1">
        <f t="array" ref="O96">J96*VLOOKUP($G96, Factor!$Q$4:$V$36, 4, 0)*INDEX(Factor!$Q$41:$V$87, _xlfn.XMATCH($C96, Factor!$Q$41:$Q$87, -1), 4)</f>
        <v>1260</v>
      </c>
      <c r="P96" s="18" cm="1">
        <f t="array" ref="P96">K96*VLOOKUP($G96, Factor!$Q$4:$V$36, 5, 0)*INDEX(Factor!$Q$41:$V$87, _xlfn.XMATCH($C96, Factor!$Q$41:$Q$87, -1), 5)</f>
        <v>2.16</v>
      </c>
      <c r="Q96" s="18" cm="1">
        <f t="array" ref="Q96">L96*VLOOKUP($G96, Factor!$Q$4:$V$36, 6, 0)*INDEX(Factor!$Q$41:$V$87, _xlfn.XMATCH($C96, Factor!$Q$41:$Q$87, -1), 6)</f>
        <v>2700</v>
      </c>
      <c r="R96" s="19"/>
    </row>
    <row r="97" spans="1:18" ht="15.75" customHeight="1" x14ac:dyDescent="0.2">
      <c r="A97" s="14" t="str">
        <f>"couch_"&amp;VLOOKUP(F97, Factor!$BQ$4:$BR$6, 2, 0)&amp;"_"&amp;Couch!D97&amp;"_"&amp;VLOOKUP(Couch!E97, Factor!$BS$4:$BT$13, 2, 0)</f>
        <v>couch_St_T5_002</v>
      </c>
      <c r="B97" s="15" t="str">
        <f t="shared" si="2"/>
        <v>T5 중갑 강철객차</v>
      </c>
      <c r="C97" s="15">
        <f>VLOOKUP(D97, Factor!$P$41:$Q$50, 2, 0)</f>
        <v>10000</v>
      </c>
      <c r="D97" s="15" t="s">
        <v>301</v>
      </c>
      <c r="E97" s="56" t="s">
        <v>587</v>
      </c>
      <c r="F97" s="56" t="s">
        <v>597</v>
      </c>
      <c r="G97" s="15" t="str">
        <f t="shared" si="3"/>
        <v>중갑 강철</v>
      </c>
      <c r="H97" s="15">
        <v>1</v>
      </c>
      <c r="I97" s="15">
        <v>1</v>
      </c>
      <c r="J97" s="15">
        <v>1</v>
      </c>
      <c r="K97" s="15">
        <v>1</v>
      </c>
      <c r="L97" s="15">
        <v>1</v>
      </c>
      <c r="M97" s="15" cm="1">
        <f t="array" ref="M97">H97*VLOOKUP($G97, Factor!$Q$4:$V$36, 2, 0)*INDEX(Factor!$Q$41:$V$87, _xlfn.XMATCH($C97, Factor!$Q$41:$Q$87, -1), 2)</f>
        <v>1260</v>
      </c>
      <c r="N97" s="15" cm="1">
        <f t="array" ref="N97">I97*VLOOKUP($G97, Factor!$Q$4:$V$36, 3, 0)*INDEX(Factor!$Q$41:$V$87, _xlfn.XMATCH($C97, Factor!$Q$41:$Q$87, -1), 3)</f>
        <v>63</v>
      </c>
      <c r="O97" s="15" cm="1">
        <f t="array" ref="O97">J97*VLOOKUP($G97, Factor!$Q$4:$V$36, 4, 0)*INDEX(Factor!$Q$41:$V$87, _xlfn.XMATCH($C97, Factor!$Q$41:$Q$87, -1), 4)</f>
        <v>1260</v>
      </c>
      <c r="P97" s="15" cm="1">
        <f t="array" ref="P97">K97*VLOOKUP($G97, Factor!$Q$4:$V$36, 5, 0)*INDEX(Factor!$Q$41:$V$87, _xlfn.XMATCH($C97, Factor!$Q$41:$Q$87, -1), 5)</f>
        <v>2.16</v>
      </c>
      <c r="Q97" s="15" cm="1">
        <f t="array" ref="Q97">L97*VLOOKUP($G97, Factor!$Q$4:$V$36, 6, 0)*INDEX(Factor!$Q$41:$V$87, _xlfn.XMATCH($C97, Factor!$Q$41:$Q$87, -1), 6)</f>
        <v>5400</v>
      </c>
      <c r="R97" s="16"/>
    </row>
    <row r="98" spans="1:18" ht="15.75" customHeight="1" x14ac:dyDescent="0.2">
      <c r="A98" s="17" t="str">
        <f>"couch_"&amp;VLOOKUP(F98, Factor!$BQ$4:$BR$6, 2, 0)&amp;"_"&amp;Couch!D98&amp;"_"&amp;VLOOKUP(Couch!E98, Factor!$BS$4:$BT$13, 2, 0)</f>
        <v>couch_St_T5_003</v>
      </c>
      <c r="B98" s="18" t="str">
        <f t="shared" si="2"/>
        <v>T5 화물 강철객차</v>
      </c>
      <c r="C98" s="18">
        <f>VLOOKUP(D98, Factor!$P$41:$Q$50, 2, 0)</f>
        <v>10000</v>
      </c>
      <c r="D98" s="18" t="s">
        <v>301</v>
      </c>
      <c r="E98" s="55" t="s">
        <v>589</v>
      </c>
      <c r="F98" s="55" t="s">
        <v>597</v>
      </c>
      <c r="G98" s="18" t="str">
        <f t="shared" si="3"/>
        <v>화물 강철</v>
      </c>
      <c r="H98" s="18">
        <v>1</v>
      </c>
      <c r="I98" s="18">
        <v>1</v>
      </c>
      <c r="J98" s="18">
        <v>1</v>
      </c>
      <c r="K98" s="18">
        <v>1</v>
      </c>
      <c r="L98" s="18">
        <v>1</v>
      </c>
      <c r="M98" s="18" cm="1">
        <f t="array" ref="M98">H98*VLOOKUP($G98, Factor!$Q$4:$V$36, 2, 0)*INDEX(Factor!$Q$41:$V$87, _xlfn.XMATCH($C98, Factor!$Q$41:$Q$87, -1), 2)</f>
        <v>1260</v>
      </c>
      <c r="N98" s="18" cm="1">
        <f t="array" ref="N98">I98*VLOOKUP($G98, Factor!$Q$4:$V$36, 3, 0)*INDEX(Factor!$Q$41:$V$87, _xlfn.XMATCH($C98, Factor!$Q$41:$Q$87, -1), 3)</f>
        <v>36</v>
      </c>
      <c r="O98" s="18" cm="1">
        <f t="array" ref="O98">J98*VLOOKUP($G98, Factor!$Q$4:$V$36, 4, 0)*INDEX(Factor!$Q$41:$V$87, _xlfn.XMATCH($C98, Factor!$Q$41:$Q$87, -1), 4)</f>
        <v>1260</v>
      </c>
      <c r="P98" s="18" cm="1">
        <f t="array" ref="P98">K98*VLOOKUP($G98, Factor!$Q$4:$V$36, 5, 0)*INDEX(Factor!$Q$41:$V$87, _xlfn.XMATCH($C98, Factor!$Q$41:$Q$87, -1), 5)</f>
        <v>1.9800000000000002</v>
      </c>
      <c r="Q98" s="18" cm="1">
        <f t="array" ref="Q98">L98*VLOOKUP($G98, Factor!$Q$4:$V$36, 6, 0)*INDEX(Factor!$Q$41:$V$87, _xlfn.XMATCH($C98, Factor!$Q$41:$Q$87, -1), 6)</f>
        <v>1800</v>
      </c>
      <c r="R98" s="19"/>
    </row>
    <row r="99" spans="1:18" ht="15.75" customHeight="1" x14ac:dyDescent="0.2">
      <c r="A99" s="14" t="str">
        <f>"couch_"&amp;VLOOKUP(F99, Factor!$BQ$4:$BR$6, 2, 0)&amp;"_"&amp;Couch!D99&amp;"_"&amp;VLOOKUP(Couch!E99, Factor!$BS$4:$BT$13, 2, 0)</f>
        <v>couch_St_T5_004</v>
      </c>
      <c r="B99" s="15" t="str">
        <f t="shared" si="2"/>
        <v>T5 군용 강철객차</v>
      </c>
      <c r="C99" s="15">
        <f>VLOOKUP(D99, Factor!$P$41:$Q$50, 2, 0)</f>
        <v>10000</v>
      </c>
      <c r="D99" s="15" t="s">
        <v>301</v>
      </c>
      <c r="E99" s="56" t="s">
        <v>591</v>
      </c>
      <c r="F99" s="56" t="s">
        <v>597</v>
      </c>
      <c r="G99" s="15" t="str">
        <f t="shared" si="3"/>
        <v>군용 강철</v>
      </c>
      <c r="H99" s="15">
        <v>1</v>
      </c>
      <c r="I99" s="15">
        <v>1</v>
      </c>
      <c r="J99" s="15">
        <v>1</v>
      </c>
      <c r="K99" s="15">
        <v>1</v>
      </c>
      <c r="L99" s="15">
        <v>1</v>
      </c>
      <c r="M99" s="15" cm="1">
        <f t="array" ref="M99">H99*VLOOKUP($G99, Factor!$Q$4:$V$36, 2, 0)*INDEX(Factor!$Q$41:$V$87, _xlfn.XMATCH($C99, Factor!$Q$41:$Q$87, -1), 2)</f>
        <v>1620</v>
      </c>
      <c r="N99" s="15" cm="1">
        <f t="array" ref="N99">I99*VLOOKUP($G99, Factor!$Q$4:$V$36, 3, 0)*INDEX(Factor!$Q$41:$V$87, _xlfn.XMATCH($C99, Factor!$Q$41:$Q$87, -1), 3)</f>
        <v>54</v>
      </c>
      <c r="O99" s="15" cm="1">
        <f t="array" ref="O99">J99*VLOOKUP($G99, Factor!$Q$4:$V$36, 4, 0)*INDEX(Factor!$Q$41:$V$87, _xlfn.XMATCH($C99, Factor!$Q$41:$Q$87, -1), 4)</f>
        <v>1620</v>
      </c>
      <c r="P99" s="15" cm="1">
        <f t="array" ref="P99">K99*VLOOKUP($G99, Factor!$Q$4:$V$36, 5, 0)*INDEX(Factor!$Q$41:$V$87, _xlfn.XMATCH($C99, Factor!$Q$41:$Q$87, -1), 5)</f>
        <v>2.3400000000000003</v>
      </c>
      <c r="Q99" s="15" cm="1">
        <f t="array" ref="Q99">L99*VLOOKUP($G99, Factor!$Q$4:$V$36, 6, 0)*INDEX(Factor!$Q$41:$V$87, _xlfn.XMATCH($C99, Factor!$Q$41:$Q$87, -1), 6)</f>
        <v>8100</v>
      </c>
      <c r="R99" s="16"/>
    </row>
    <row r="100" spans="1:18" ht="15.75" customHeight="1" x14ac:dyDescent="0.2">
      <c r="A100" s="17" t="str">
        <f>"couch_"&amp;VLOOKUP(F100, Factor!$BQ$4:$BR$6, 2, 0)&amp;"_"&amp;Couch!D100&amp;"_"&amp;VLOOKUP(Couch!E100, Factor!$BS$4:$BT$13, 2, 0)</f>
        <v>couch_St_T5_005</v>
      </c>
      <c r="B100" s="18" t="str">
        <f t="shared" si="2"/>
        <v>T5 여객 강철객차</v>
      </c>
      <c r="C100" s="18">
        <f>VLOOKUP(D100, Factor!$P$41:$Q$50, 2, 0)</f>
        <v>10000</v>
      </c>
      <c r="D100" s="18" t="s">
        <v>301</v>
      </c>
      <c r="E100" s="55" t="s">
        <v>593</v>
      </c>
      <c r="F100" s="55" t="s">
        <v>597</v>
      </c>
      <c r="G100" s="18" t="str">
        <f t="shared" si="3"/>
        <v>여객 강철</v>
      </c>
      <c r="H100" s="18">
        <v>1</v>
      </c>
      <c r="I100" s="18">
        <v>1</v>
      </c>
      <c r="J100" s="18">
        <v>1</v>
      </c>
      <c r="K100" s="18">
        <v>1</v>
      </c>
      <c r="L100" s="18">
        <v>1</v>
      </c>
      <c r="M100" s="18" cm="1">
        <f t="array" ref="M100">H100*VLOOKUP($G100, Factor!$Q$4:$V$36, 2, 0)*INDEX(Factor!$Q$41:$V$87, _xlfn.XMATCH($C100, Factor!$Q$41:$Q$87, -1), 2)</f>
        <v>1080</v>
      </c>
      <c r="N100" s="18" cm="1">
        <f t="array" ref="N100">I100*VLOOKUP($G100, Factor!$Q$4:$V$36, 3, 0)*INDEX(Factor!$Q$41:$V$87, _xlfn.XMATCH($C100, Factor!$Q$41:$Q$87, -1), 3)</f>
        <v>36</v>
      </c>
      <c r="O100" s="18" cm="1">
        <f t="array" ref="O100">J100*VLOOKUP($G100, Factor!$Q$4:$V$36, 4, 0)*INDEX(Factor!$Q$41:$V$87, _xlfn.XMATCH($C100, Factor!$Q$41:$Q$87, -1), 4)</f>
        <v>1080</v>
      </c>
      <c r="P100" s="18" cm="1">
        <f t="array" ref="P100">K100*VLOOKUP($G100, Factor!$Q$4:$V$36, 5, 0)*INDEX(Factor!$Q$41:$V$87, _xlfn.XMATCH($C100, Factor!$Q$41:$Q$87, -1), 5)</f>
        <v>2.52</v>
      </c>
      <c r="Q100" s="18" cm="1">
        <f t="array" ref="Q100">L100*VLOOKUP($G100, Factor!$Q$4:$V$36, 6, 0)*INDEX(Factor!$Q$41:$V$87, _xlfn.XMATCH($C100, Factor!$Q$41:$Q$87, -1), 6)</f>
        <v>2700</v>
      </c>
      <c r="R100" s="19"/>
    </row>
    <row r="101" spans="1:18" ht="15.75" customHeight="1" x14ac:dyDescent="0.2">
      <c r="A101" s="14" t="str">
        <f>"couch_"&amp;VLOOKUP(F101, Factor!$BQ$4:$BR$6, 2, 0)&amp;"_"&amp;Couch!D101&amp;"_"&amp;VLOOKUP(Couch!E101, Factor!$BS$4:$BT$13, 2, 0)</f>
        <v>couch_St_T5_006</v>
      </c>
      <c r="B101" s="15" t="str">
        <f t="shared" si="2"/>
        <v>T5 시운 강철객차</v>
      </c>
      <c r="C101" s="15">
        <f>VLOOKUP(D101, Factor!$P$41:$Q$50, 2, 0)</f>
        <v>10000</v>
      </c>
      <c r="D101" s="15" t="s">
        <v>301</v>
      </c>
      <c r="E101" s="56" t="s">
        <v>595</v>
      </c>
      <c r="F101" s="56" t="s">
        <v>597</v>
      </c>
      <c r="G101" s="15" t="str">
        <f t="shared" si="3"/>
        <v>시운 강철</v>
      </c>
      <c r="H101" s="15">
        <v>1</v>
      </c>
      <c r="I101" s="15">
        <v>1</v>
      </c>
      <c r="J101" s="15">
        <v>1</v>
      </c>
      <c r="K101" s="15">
        <v>1</v>
      </c>
      <c r="L101" s="15">
        <v>1</v>
      </c>
      <c r="M101" s="15" cm="1">
        <f t="array" ref="M101">H101*VLOOKUP($G101, Factor!$Q$4:$V$36, 2, 0)*INDEX(Factor!$Q$41:$V$87, _xlfn.XMATCH($C101, Factor!$Q$41:$Q$87, -1), 2)</f>
        <v>540</v>
      </c>
      <c r="N101" s="15" cm="1">
        <f t="array" ref="N101">I101*VLOOKUP($G101, Factor!$Q$4:$V$36, 3, 0)*INDEX(Factor!$Q$41:$V$87, _xlfn.XMATCH($C101, Factor!$Q$41:$Q$87, -1), 3)</f>
        <v>36</v>
      </c>
      <c r="O101" s="15" cm="1">
        <f t="array" ref="O101">J101*VLOOKUP($G101, Factor!$Q$4:$V$36, 4, 0)*INDEX(Factor!$Q$41:$V$87, _xlfn.XMATCH($C101, Factor!$Q$41:$Q$87, -1), 4)</f>
        <v>1980</v>
      </c>
      <c r="P101" s="15" cm="1">
        <f t="array" ref="P101">K101*VLOOKUP($G101, Factor!$Q$4:$V$36, 5, 0)*INDEX(Factor!$Q$41:$V$87, _xlfn.XMATCH($C101, Factor!$Q$41:$Q$87, -1), 5)</f>
        <v>2.16</v>
      </c>
      <c r="Q101" s="15" cm="1">
        <f t="array" ref="Q101">L101*VLOOKUP($G101, Factor!$Q$4:$V$36, 6, 0)*INDEX(Factor!$Q$41:$V$87, _xlfn.XMATCH($C101, Factor!$Q$41:$Q$87, -1), 6)</f>
        <v>2700</v>
      </c>
      <c r="R101" s="16"/>
    </row>
    <row r="102" spans="1:18" ht="15.75" customHeight="1" x14ac:dyDescent="0.2">
      <c r="A102" s="17" t="str">
        <f>"couch_"&amp;VLOOKUP(F102, Factor!$BQ$4:$BR$6, 2, 0)&amp;"_"&amp;Couch!D102&amp;"_"&amp;VLOOKUP(Couch!E102, Factor!$BS$4:$BT$13, 2, 0)</f>
        <v>couch_St_T5_007</v>
      </c>
      <c r="B102" s="18" t="str">
        <f t="shared" si="2"/>
        <v>T5 경량 강철객차</v>
      </c>
      <c r="C102" s="18">
        <f>VLOOKUP(D102, Factor!$P$41:$Q$50, 2, 0)</f>
        <v>10000</v>
      </c>
      <c r="D102" s="18" t="s">
        <v>301</v>
      </c>
      <c r="E102" s="55" t="s">
        <v>585</v>
      </c>
      <c r="F102" s="55" t="s">
        <v>597</v>
      </c>
      <c r="G102" s="18" t="str">
        <f t="shared" si="3"/>
        <v>경량 강철</v>
      </c>
      <c r="H102" s="18">
        <v>1</v>
      </c>
      <c r="I102" s="18">
        <v>1</v>
      </c>
      <c r="J102" s="18">
        <v>1</v>
      </c>
      <c r="K102" s="18">
        <v>1</v>
      </c>
      <c r="L102" s="18">
        <v>1</v>
      </c>
      <c r="M102" s="18" cm="1">
        <f t="array" ref="M102">H102*VLOOKUP($G102, Factor!$Q$4:$V$36, 2, 0)*INDEX(Factor!$Q$41:$V$87, _xlfn.XMATCH($C102, Factor!$Q$41:$Q$87, -1), 2)</f>
        <v>720</v>
      </c>
      <c r="N102" s="18" cm="1">
        <f t="array" ref="N102">I102*VLOOKUP($G102, Factor!$Q$4:$V$36, 3, 0)*INDEX(Factor!$Q$41:$V$87, _xlfn.XMATCH($C102, Factor!$Q$41:$Q$87, -1), 3)</f>
        <v>27</v>
      </c>
      <c r="O102" s="18" cm="1">
        <f t="array" ref="O102">J102*VLOOKUP($G102, Factor!$Q$4:$V$36, 4, 0)*INDEX(Factor!$Q$41:$V$87, _xlfn.XMATCH($C102, Factor!$Q$41:$Q$87, -1), 4)</f>
        <v>720</v>
      </c>
      <c r="P102" s="18" cm="1">
        <f t="array" ref="P102">K102*VLOOKUP($G102, Factor!$Q$4:$V$36, 5, 0)*INDEX(Factor!$Q$41:$V$87, _xlfn.XMATCH($C102, Factor!$Q$41:$Q$87, -1), 5)</f>
        <v>2.16</v>
      </c>
      <c r="Q102" s="18" cm="1">
        <f t="array" ref="Q102">L102*VLOOKUP($G102, Factor!$Q$4:$V$36, 6, 0)*INDEX(Factor!$Q$41:$V$87, _xlfn.XMATCH($C102, Factor!$Q$41:$Q$87, -1), 6)</f>
        <v>1260</v>
      </c>
      <c r="R102" s="19"/>
    </row>
    <row r="103" spans="1:18" ht="15.75" customHeight="1" x14ac:dyDescent="0.2">
      <c r="A103" s="14" t="str">
        <f>"couch_"&amp;VLOOKUP(F103, Factor!$BQ$4:$BR$6, 2, 0)&amp;"_"&amp;Couch!D103&amp;"_"&amp;VLOOKUP(Couch!E103, Factor!$BS$4:$BT$13, 2, 0)</f>
        <v>couch_Ti_T5_001</v>
      </c>
      <c r="B103" s="15" t="str">
        <f t="shared" si="2"/>
        <v>T5 표준 티타늄객차</v>
      </c>
      <c r="C103" s="15">
        <f>VLOOKUP(D103, Factor!$P$41:$Q$50, 2, 0)</f>
        <v>10000</v>
      </c>
      <c r="D103" s="15" t="s">
        <v>301</v>
      </c>
      <c r="E103" s="56" t="s">
        <v>582</v>
      </c>
      <c r="F103" s="56" t="s">
        <v>598</v>
      </c>
      <c r="G103" s="15" t="str">
        <f t="shared" si="3"/>
        <v>표준 티타늄</v>
      </c>
      <c r="H103" s="15">
        <v>1</v>
      </c>
      <c r="I103" s="15">
        <v>1</v>
      </c>
      <c r="J103" s="15">
        <v>1</v>
      </c>
      <c r="K103" s="15">
        <v>1</v>
      </c>
      <c r="L103" s="15">
        <v>1</v>
      </c>
      <c r="M103" s="15" cm="1">
        <f t="array" ref="M103">H103*VLOOKUP($G103, Factor!$Q$4:$V$36, 2, 0)*INDEX(Factor!$Q$41:$V$87, _xlfn.XMATCH($C103, Factor!$Q$41:$Q$87, -1), 2)</f>
        <v>1800</v>
      </c>
      <c r="N103" s="15" cm="1">
        <f t="array" ref="N103">I103*VLOOKUP($G103, Factor!$Q$4:$V$36, 3, 0)*INDEX(Factor!$Q$41:$V$87, _xlfn.XMATCH($C103, Factor!$Q$41:$Q$87, -1), 3)</f>
        <v>54</v>
      </c>
      <c r="O103" s="15" cm="1">
        <f t="array" ref="O103">J103*VLOOKUP($G103, Factor!$Q$4:$V$36, 4, 0)*INDEX(Factor!$Q$41:$V$87, _xlfn.XMATCH($C103, Factor!$Q$41:$Q$87, -1), 4)</f>
        <v>1800</v>
      </c>
      <c r="P103" s="15" cm="1">
        <f t="array" ref="P103">K103*VLOOKUP($G103, Factor!$Q$4:$V$36, 5, 0)*INDEX(Factor!$Q$41:$V$87, _xlfn.XMATCH($C103, Factor!$Q$41:$Q$87, -1), 5)</f>
        <v>2.52</v>
      </c>
      <c r="Q103" s="15" cm="1">
        <f t="array" ref="Q103">L103*VLOOKUP($G103, Factor!$Q$4:$V$36, 6, 0)*INDEX(Factor!$Q$41:$V$87, _xlfn.XMATCH($C103, Factor!$Q$41:$Q$87, -1), 6)</f>
        <v>3600</v>
      </c>
      <c r="R103" s="16"/>
    </row>
    <row r="104" spans="1:18" ht="15.75" customHeight="1" x14ac:dyDescent="0.2">
      <c r="A104" s="17" t="str">
        <f>"couch_"&amp;VLOOKUP(F104, Factor!$BQ$4:$BR$6, 2, 0)&amp;"_"&amp;Couch!D104&amp;"_"&amp;VLOOKUP(Couch!E104, Factor!$BS$4:$BT$13, 2, 0)</f>
        <v>couch_Ti_T5_002</v>
      </c>
      <c r="B104" s="18" t="str">
        <f t="shared" si="2"/>
        <v>T5 중갑 티타늄객차</v>
      </c>
      <c r="C104" s="18">
        <f>VLOOKUP(D104, Factor!$P$41:$Q$50, 2, 0)</f>
        <v>10000</v>
      </c>
      <c r="D104" s="18" t="s">
        <v>301</v>
      </c>
      <c r="E104" s="55" t="s">
        <v>587</v>
      </c>
      <c r="F104" s="55" t="s">
        <v>598</v>
      </c>
      <c r="G104" s="18" t="str">
        <f t="shared" si="3"/>
        <v>중갑 티타늄</v>
      </c>
      <c r="H104" s="18">
        <v>1</v>
      </c>
      <c r="I104" s="18">
        <v>1</v>
      </c>
      <c r="J104" s="18">
        <v>1</v>
      </c>
      <c r="K104" s="18">
        <v>1</v>
      </c>
      <c r="L104" s="18">
        <v>1</v>
      </c>
      <c r="M104" s="18" cm="1">
        <f t="array" ref="M104">H104*VLOOKUP($G104, Factor!$Q$4:$V$36, 2, 0)*INDEX(Factor!$Q$41:$V$87, _xlfn.XMATCH($C104, Factor!$Q$41:$Q$87, -1), 2)</f>
        <v>1800</v>
      </c>
      <c r="N104" s="18" cm="1">
        <f t="array" ref="N104">I104*VLOOKUP($G104, Factor!$Q$4:$V$36, 3, 0)*INDEX(Factor!$Q$41:$V$87, _xlfn.XMATCH($C104, Factor!$Q$41:$Q$87, -1), 3)</f>
        <v>99</v>
      </c>
      <c r="O104" s="18" cm="1">
        <f t="array" ref="O104">J104*VLOOKUP($G104, Factor!$Q$4:$V$36, 4, 0)*INDEX(Factor!$Q$41:$V$87, _xlfn.XMATCH($C104, Factor!$Q$41:$Q$87, -1), 4)</f>
        <v>1800</v>
      </c>
      <c r="P104" s="18" cm="1">
        <f t="array" ref="P104">K104*VLOOKUP($G104, Factor!$Q$4:$V$36, 5, 0)*INDEX(Factor!$Q$41:$V$87, _xlfn.XMATCH($C104, Factor!$Q$41:$Q$87, -1), 5)</f>
        <v>2.52</v>
      </c>
      <c r="Q104" s="18" cm="1">
        <f t="array" ref="Q104">L104*VLOOKUP($G104, Factor!$Q$4:$V$36, 6, 0)*INDEX(Factor!$Q$41:$V$87, _xlfn.XMATCH($C104, Factor!$Q$41:$Q$87, -1), 6)</f>
        <v>7200</v>
      </c>
      <c r="R104" s="19"/>
    </row>
    <row r="105" spans="1:18" ht="15.75" customHeight="1" x14ac:dyDescent="0.2">
      <c r="A105" s="14" t="str">
        <f>"couch_"&amp;VLOOKUP(F105, Factor!$BQ$4:$BR$6, 2, 0)&amp;"_"&amp;Couch!D105&amp;"_"&amp;VLOOKUP(Couch!E105, Factor!$BS$4:$BT$13, 2, 0)</f>
        <v>couch_Ti_T5_003</v>
      </c>
      <c r="B105" s="15" t="str">
        <f t="shared" si="2"/>
        <v>T5 화물 티타늄객차</v>
      </c>
      <c r="C105" s="15">
        <f>VLOOKUP(D105, Factor!$P$41:$Q$50, 2, 0)</f>
        <v>10000</v>
      </c>
      <c r="D105" s="15" t="s">
        <v>301</v>
      </c>
      <c r="E105" s="56" t="s">
        <v>589</v>
      </c>
      <c r="F105" s="56" t="s">
        <v>598</v>
      </c>
      <c r="G105" s="15" t="str">
        <f t="shared" si="3"/>
        <v>화물 티타늄</v>
      </c>
      <c r="H105" s="15">
        <v>1</v>
      </c>
      <c r="I105" s="15">
        <v>1</v>
      </c>
      <c r="J105" s="15">
        <v>1</v>
      </c>
      <c r="K105" s="15">
        <v>1</v>
      </c>
      <c r="L105" s="15">
        <v>1</v>
      </c>
      <c r="M105" s="15" cm="1">
        <f t="array" ref="M105">H105*VLOOKUP($G105, Factor!$Q$4:$V$36, 2, 0)*INDEX(Factor!$Q$41:$V$87, _xlfn.XMATCH($C105, Factor!$Q$41:$Q$87, -1), 2)</f>
        <v>1800</v>
      </c>
      <c r="N105" s="15" cm="1">
        <f t="array" ref="N105">I105*VLOOKUP($G105, Factor!$Q$4:$V$36, 3, 0)*INDEX(Factor!$Q$41:$V$87, _xlfn.XMATCH($C105, Factor!$Q$41:$Q$87, -1), 3)</f>
        <v>54</v>
      </c>
      <c r="O105" s="15" cm="1">
        <f t="array" ref="O105">J105*VLOOKUP($G105, Factor!$Q$4:$V$36, 4, 0)*INDEX(Factor!$Q$41:$V$87, _xlfn.XMATCH($C105, Factor!$Q$41:$Q$87, -1), 4)</f>
        <v>1800</v>
      </c>
      <c r="P105" s="15" cm="1">
        <f t="array" ref="P105">K105*VLOOKUP($G105, Factor!$Q$4:$V$36, 5, 0)*INDEX(Factor!$Q$41:$V$87, _xlfn.XMATCH($C105, Factor!$Q$41:$Q$87, -1), 5)</f>
        <v>2.16</v>
      </c>
      <c r="Q105" s="15" cm="1">
        <f t="array" ref="Q105">L105*VLOOKUP($G105, Factor!$Q$4:$V$36, 6, 0)*INDEX(Factor!$Q$41:$V$87, _xlfn.XMATCH($C105, Factor!$Q$41:$Q$87, -1), 6)</f>
        <v>2160</v>
      </c>
      <c r="R105" s="16"/>
    </row>
    <row r="106" spans="1:18" ht="15.75" customHeight="1" x14ac:dyDescent="0.2">
      <c r="A106" s="17" t="str">
        <f>"couch_"&amp;VLOOKUP(F106, Factor!$BQ$4:$BR$6, 2, 0)&amp;"_"&amp;Couch!D106&amp;"_"&amp;VLOOKUP(Couch!E106, Factor!$BS$4:$BT$13, 2, 0)</f>
        <v>couch_Ti_T5_004</v>
      </c>
      <c r="B106" s="18" t="str">
        <f t="shared" si="2"/>
        <v>T5 군용 티타늄객차</v>
      </c>
      <c r="C106" s="18">
        <f>VLOOKUP(D106, Factor!$P$41:$Q$50, 2, 0)</f>
        <v>10000</v>
      </c>
      <c r="D106" s="18" t="s">
        <v>301</v>
      </c>
      <c r="E106" s="55" t="s">
        <v>591</v>
      </c>
      <c r="F106" s="55" t="s">
        <v>598</v>
      </c>
      <c r="G106" s="18" t="str">
        <f t="shared" si="3"/>
        <v>군용 티타늄</v>
      </c>
      <c r="H106" s="18">
        <v>1</v>
      </c>
      <c r="I106" s="18">
        <v>1</v>
      </c>
      <c r="J106" s="18">
        <v>1</v>
      </c>
      <c r="K106" s="18">
        <v>1</v>
      </c>
      <c r="L106" s="18">
        <v>1</v>
      </c>
      <c r="M106" s="18" cm="1">
        <f t="array" ref="M106">H106*VLOOKUP($G106, Factor!$Q$4:$V$36, 2, 0)*INDEX(Factor!$Q$41:$V$87, _xlfn.XMATCH($C106, Factor!$Q$41:$Q$87, -1), 2)</f>
        <v>2520</v>
      </c>
      <c r="N106" s="18" cm="1">
        <f t="array" ref="N106">I106*VLOOKUP($G106, Factor!$Q$4:$V$36, 3, 0)*INDEX(Factor!$Q$41:$V$87, _xlfn.XMATCH($C106, Factor!$Q$41:$Q$87, -1), 3)</f>
        <v>90</v>
      </c>
      <c r="O106" s="18" cm="1">
        <f t="array" ref="O106">J106*VLOOKUP($G106, Factor!$Q$4:$V$36, 4, 0)*INDEX(Factor!$Q$41:$V$87, _xlfn.XMATCH($C106, Factor!$Q$41:$Q$87, -1), 4)</f>
        <v>2520</v>
      </c>
      <c r="P106" s="18" cm="1">
        <f t="array" ref="P106">K106*VLOOKUP($G106, Factor!$Q$4:$V$36, 5, 0)*INDEX(Factor!$Q$41:$V$87, _xlfn.XMATCH($C106, Factor!$Q$41:$Q$87, -1), 5)</f>
        <v>2.7</v>
      </c>
      <c r="Q106" s="18" cm="1">
        <f t="array" ref="Q106">L106*VLOOKUP($G106, Factor!$Q$4:$V$36, 6, 0)*INDEX(Factor!$Q$41:$V$87, _xlfn.XMATCH($C106, Factor!$Q$41:$Q$87, -1), 6)</f>
        <v>10800</v>
      </c>
      <c r="R106" s="19"/>
    </row>
    <row r="107" spans="1:18" ht="15.75" customHeight="1" x14ac:dyDescent="0.2">
      <c r="A107" s="14" t="str">
        <f>"couch_"&amp;VLOOKUP(F107, Factor!$BQ$4:$BR$6, 2, 0)&amp;"_"&amp;Couch!D107&amp;"_"&amp;VLOOKUP(Couch!E107, Factor!$BS$4:$BT$13, 2, 0)</f>
        <v>couch_Ti_T5_005</v>
      </c>
      <c r="B107" s="15" t="str">
        <f t="shared" si="2"/>
        <v>T5 여객 티타늄객차</v>
      </c>
      <c r="C107" s="15">
        <f>VLOOKUP(D107, Factor!$P$41:$Q$50, 2, 0)</f>
        <v>10000</v>
      </c>
      <c r="D107" s="15" t="s">
        <v>301</v>
      </c>
      <c r="E107" s="56" t="s">
        <v>593</v>
      </c>
      <c r="F107" s="56" t="s">
        <v>598</v>
      </c>
      <c r="G107" s="15" t="str">
        <f t="shared" si="3"/>
        <v>여객 티타늄</v>
      </c>
      <c r="H107" s="15">
        <v>1</v>
      </c>
      <c r="I107" s="15">
        <v>1</v>
      </c>
      <c r="J107" s="15">
        <v>1</v>
      </c>
      <c r="K107" s="15">
        <v>1</v>
      </c>
      <c r="L107" s="15">
        <v>1</v>
      </c>
      <c r="M107" s="15" cm="1">
        <f t="array" ref="M107">H107*VLOOKUP($G107, Factor!$Q$4:$V$36, 2, 0)*INDEX(Factor!$Q$41:$V$87, _xlfn.XMATCH($C107, Factor!$Q$41:$Q$87, -1), 2)</f>
        <v>1440</v>
      </c>
      <c r="N107" s="15" cm="1">
        <f t="array" ref="N107">I107*VLOOKUP($G107, Factor!$Q$4:$V$36, 3, 0)*INDEX(Factor!$Q$41:$V$87, _xlfn.XMATCH($C107, Factor!$Q$41:$Q$87, -1), 3)</f>
        <v>27</v>
      </c>
      <c r="O107" s="15" cm="1">
        <f t="array" ref="O107">J107*VLOOKUP($G107, Factor!$Q$4:$V$36, 4, 0)*INDEX(Factor!$Q$41:$V$87, _xlfn.XMATCH($C107, Factor!$Q$41:$Q$87, -1), 4)</f>
        <v>14400</v>
      </c>
      <c r="P107" s="15" cm="1">
        <f t="array" ref="P107">K107*VLOOKUP($G107, Factor!$Q$4:$V$36, 5, 0)*INDEX(Factor!$Q$41:$V$87, _xlfn.XMATCH($C107, Factor!$Q$41:$Q$87, -1), 5)</f>
        <v>3.06</v>
      </c>
      <c r="Q107" s="15" cm="1">
        <f t="array" ref="Q107">L107*VLOOKUP($G107, Factor!$Q$4:$V$36, 6, 0)*INDEX(Factor!$Q$41:$V$87, _xlfn.XMATCH($C107, Factor!$Q$41:$Q$87, -1), 6)</f>
        <v>3600</v>
      </c>
      <c r="R107" s="16"/>
    </row>
    <row r="108" spans="1:18" ht="15.75" customHeight="1" x14ac:dyDescent="0.2">
      <c r="A108" s="17" t="str">
        <f>"couch_"&amp;VLOOKUP(F108, Factor!$BQ$4:$BR$6, 2, 0)&amp;"_"&amp;Couch!D108&amp;"_"&amp;VLOOKUP(Couch!E108, Factor!$BS$4:$BT$13, 2, 0)</f>
        <v>couch_Ti_T5_006</v>
      </c>
      <c r="B108" s="18" t="str">
        <f t="shared" si="2"/>
        <v>T5 시운 티타늄객차</v>
      </c>
      <c r="C108" s="18">
        <f>VLOOKUP(D108, Factor!$P$41:$Q$50, 2, 0)</f>
        <v>10000</v>
      </c>
      <c r="D108" s="18" t="s">
        <v>301</v>
      </c>
      <c r="E108" s="55" t="s">
        <v>595</v>
      </c>
      <c r="F108" s="55" t="s">
        <v>598</v>
      </c>
      <c r="G108" s="18" t="str">
        <f t="shared" si="3"/>
        <v>시운 티타늄</v>
      </c>
      <c r="H108" s="18">
        <v>1</v>
      </c>
      <c r="I108" s="18">
        <v>1</v>
      </c>
      <c r="J108" s="18">
        <v>1</v>
      </c>
      <c r="K108" s="18">
        <v>1</v>
      </c>
      <c r="L108" s="18">
        <v>1</v>
      </c>
      <c r="M108" s="18" cm="1">
        <f t="array" ref="M108">H108*VLOOKUP($G108, Factor!$Q$4:$V$36, 2, 0)*INDEX(Factor!$Q$41:$V$87, _xlfn.XMATCH($C108, Factor!$Q$41:$Q$87, -1), 2)</f>
        <v>900</v>
      </c>
      <c r="N108" s="18" cm="1">
        <f t="array" ref="N108">I108*VLOOKUP($G108, Factor!$Q$4:$V$36, 3, 0)*INDEX(Factor!$Q$41:$V$87, _xlfn.XMATCH($C108, Factor!$Q$41:$Q$87, -1), 3)</f>
        <v>54</v>
      </c>
      <c r="O108" s="18" cm="1">
        <f t="array" ref="O108">J108*VLOOKUP($G108, Factor!$Q$4:$V$36, 4, 0)*INDEX(Factor!$Q$41:$V$87, _xlfn.XMATCH($C108, Factor!$Q$41:$Q$87, -1), 4)</f>
        <v>2700</v>
      </c>
      <c r="P108" s="18" cm="1">
        <f t="array" ref="P108">K108*VLOOKUP($G108, Factor!$Q$4:$V$36, 5, 0)*INDEX(Factor!$Q$41:$V$87, _xlfn.XMATCH($C108, Factor!$Q$41:$Q$87, -1), 5)</f>
        <v>2.52</v>
      </c>
      <c r="Q108" s="18" cm="1">
        <f t="array" ref="Q108">L108*VLOOKUP($G108, Factor!$Q$4:$V$36, 6, 0)*INDEX(Factor!$Q$41:$V$87, _xlfn.XMATCH($C108, Factor!$Q$41:$Q$87, -1), 6)</f>
        <v>3600</v>
      </c>
      <c r="R108" s="19"/>
    </row>
    <row r="109" spans="1:18" ht="15.75" customHeight="1" x14ac:dyDescent="0.2">
      <c r="A109" s="14" t="str">
        <f>"couch_"&amp;VLOOKUP(F109, Factor!$BQ$4:$BR$6, 2, 0)&amp;"_"&amp;Couch!D109&amp;"_"&amp;VLOOKUP(Couch!E109, Factor!$BS$4:$BT$13, 2, 0)</f>
        <v>couch_Ti_T5_007</v>
      </c>
      <c r="B109" s="15" t="str">
        <f t="shared" si="2"/>
        <v>T5 경량 티타늄객차</v>
      </c>
      <c r="C109" s="15">
        <f>VLOOKUP(D109, Factor!$P$41:$Q$50, 2, 0)</f>
        <v>10000</v>
      </c>
      <c r="D109" s="15" t="s">
        <v>301</v>
      </c>
      <c r="E109" s="56" t="s">
        <v>585</v>
      </c>
      <c r="F109" s="56" t="s">
        <v>598</v>
      </c>
      <c r="G109" s="15" t="str">
        <f t="shared" si="3"/>
        <v>경량 티타늄</v>
      </c>
      <c r="H109" s="15">
        <v>1</v>
      </c>
      <c r="I109" s="15">
        <v>1</v>
      </c>
      <c r="J109" s="15">
        <v>1</v>
      </c>
      <c r="K109" s="15">
        <v>1</v>
      </c>
      <c r="L109" s="15">
        <v>1</v>
      </c>
      <c r="M109" s="15" cm="1">
        <f t="array" ref="M109">H109*VLOOKUP($G109, Factor!$Q$4:$V$36, 2, 0)*INDEX(Factor!$Q$41:$V$87, _xlfn.XMATCH($C109, Factor!$Q$41:$Q$87, -1), 2)</f>
        <v>1080</v>
      </c>
      <c r="N109" s="15" cm="1">
        <f t="array" ref="N109">I109*VLOOKUP($G109, Factor!$Q$4:$V$36, 3, 0)*INDEX(Factor!$Q$41:$V$87, _xlfn.XMATCH($C109, Factor!$Q$41:$Q$87, -1), 3)</f>
        <v>36</v>
      </c>
      <c r="O109" s="15" cm="1">
        <f t="array" ref="O109">J109*VLOOKUP($G109, Factor!$Q$4:$V$36, 4, 0)*INDEX(Factor!$Q$41:$V$87, _xlfn.XMATCH($C109, Factor!$Q$41:$Q$87, -1), 4)</f>
        <v>1080</v>
      </c>
      <c r="P109" s="15" cm="1">
        <f t="array" ref="P109">K109*VLOOKUP($G109, Factor!$Q$4:$V$36, 5, 0)*INDEX(Factor!$Q$41:$V$87, _xlfn.XMATCH($C109, Factor!$Q$41:$Q$87, -1), 5)</f>
        <v>2.52</v>
      </c>
      <c r="Q109" s="15" cm="1">
        <f t="array" ref="Q109">L109*VLOOKUP($G109, Factor!$Q$4:$V$36, 6, 0)*INDEX(Factor!$Q$41:$V$87, _xlfn.XMATCH($C109, Factor!$Q$41:$Q$87, -1), 6)</f>
        <v>1800</v>
      </c>
      <c r="R109" s="16"/>
    </row>
    <row r="110" spans="1:18" ht="15.75" customHeight="1" x14ac:dyDescent="0.2">
      <c r="A110" s="17" t="str">
        <f>"couch_"&amp;VLOOKUP(F110, Factor!$BQ$4:$BR$6, 2, 0)&amp;"_"&amp;Couch!D110&amp;"_"&amp;VLOOKUP(Couch!E110, Factor!$BS$4:$BT$13, 2, 0)</f>
        <v>couch_Wo_T6_001</v>
      </c>
      <c r="B110" s="18" t="str">
        <f t="shared" si="2"/>
        <v>T6 표준 나무객차</v>
      </c>
      <c r="C110" s="18">
        <f>VLOOKUP(D110, Factor!$P$41:$Q$50, 2, 0)</f>
        <v>12000</v>
      </c>
      <c r="D110" s="18" t="s">
        <v>322</v>
      </c>
      <c r="E110" s="55" t="s">
        <v>582</v>
      </c>
      <c r="F110" s="55" t="s">
        <v>663</v>
      </c>
      <c r="G110" s="18" t="str">
        <f t="shared" si="3"/>
        <v>표준 나무</v>
      </c>
      <c r="H110" s="18">
        <v>1</v>
      </c>
      <c r="I110" s="18">
        <v>1</v>
      </c>
      <c r="J110" s="18">
        <v>1</v>
      </c>
      <c r="K110" s="18">
        <v>1</v>
      </c>
      <c r="L110" s="18">
        <v>1</v>
      </c>
      <c r="M110" s="18" cm="1">
        <f t="array" ref="M110">H110*VLOOKUP($G110, Factor!$Q$4:$V$36, 2, 0)*INDEX(Factor!$Q$41:$V$87, _xlfn.XMATCH($C110, Factor!$Q$41:$Q$87, -1), 2)</f>
        <v>1000</v>
      </c>
      <c r="N110" s="18" cm="1">
        <f t="array" ref="N110">I110*VLOOKUP($G110, Factor!$Q$4:$V$36, 3, 0)*INDEX(Factor!$Q$41:$V$87, _xlfn.XMATCH($C110, Factor!$Q$41:$Q$87, -1), 3)</f>
        <v>20</v>
      </c>
      <c r="O110" s="18" cm="1">
        <f t="array" ref="O110">J110*VLOOKUP($G110, Factor!$Q$4:$V$36, 4, 0)*INDEX(Factor!$Q$41:$V$87, _xlfn.XMATCH($C110, Factor!$Q$41:$Q$87, -1), 4)</f>
        <v>1000</v>
      </c>
      <c r="P110" s="18" cm="1">
        <f t="array" ref="P110">K110*VLOOKUP($G110, Factor!$Q$4:$V$36, 5, 0)*INDEX(Factor!$Q$41:$V$87, _xlfn.XMATCH($C110, Factor!$Q$41:$Q$87, -1), 5)</f>
        <v>2</v>
      </c>
      <c r="Q110" s="18" cm="1">
        <f t="array" ref="Q110">L110*VLOOKUP($G110, Factor!$Q$4:$V$36, 6, 0)*INDEX(Factor!$Q$41:$V$87, _xlfn.XMATCH($C110, Factor!$Q$41:$Q$87, -1), 6)</f>
        <v>2000</v>
      </c>
      <c r="R110" s="19"/>
    </row>
    <row r="111" spans="1:18" ht="15.75" customHeight="1" x14ac:dyDescent="0.2">
      <c r="A111" s="14" t="str">
        <f>"couch_"&amp;VLOOKUP(F111, Factor!$BQ$4:$BR$6, 2, 0)&amp;"_"&amp;Couch!D111&amp;"_"&amp;VLOOKUP(Couch!E111, Factor!$BS$4:$BT$13, 2, 0)</f>
        <v>couch_Wo_T6_002</v>
      </c>
      <c r="B111" s="15" t="str">
        <f t="shared" si="2"/>
        <v>T6 중갑 나무객차</v>
      </c>
      <c r="C111" s="15">
        <f>VLOOKUP(D111, Factor!$P$41:$Q$50, 2, 0)</f>
        <v>12000</v>
      </c>
      <c r="D111" s="15" t="s">
        <v>322</v>
      </c>
      <c r="E111" s="56" t="s">
        <v>587</v>
      </c>
      <c r="F111" s="56" t="s">
        <v>663</v>
      </c>
      <c r="G111" s="15" t="str">
        <f t="shared" si="3"/>
        <v>중갑 나무</v>
      </c>
      <c r="H111" s="15">
        <v>1</v>
      </c>
      <c r="I111" s="15">
        <v>1</v>
      </c>
      <c r="J111" s="15">
        <v>1</v>
      </c>
      <c r="K111" s="15">
        <v>1</v>
      </c>
      <c r="L111" s="15">
        <v>1</v>
      </c>
      <c r="M111" s="15" cm="1">
        <f t="array" ref="M111">H111*VLOOKUP($G111, Factor!$Q$4:$V$36, 2, 0)*INDEX(Factor!$Q$41:$V$87, _xlfn.XMATCH($C111, Factor!$Q$41:$Q$87, -1), 2)</f>
        <v>1000</v>
      </c>
      <c r="N111" s="15" cm="1">
        <f t="array" ref="N111">I111*VLOOKUP($G111, Factor!$Q$4:$V$36, 3, 0)*INDEX(Factor!$Q$41:$V$87, _xlfn.XMATCH($C111, Factor!$Q$41:$Q$87, -1), 3)</f>
        <v>40</v>
      </c>
      <c r="O111" s="15" cm="1">
        <f t="array" ref="O111">J111*VLOOKUP($G111, Factor!$Q$4:$V$36, 4, 0)*INDEX(Factor!$Q$41:$V$87, _xlfn.XMATCH($C111, Factor!$Q$41:$Q$87, -1), 4)</f>
        <v>1000</v>
      </c>
      <c r="P111" s="15" cm="1">
        <f t="array" ref="P111">K111*VLOOKUP($G111, Factor!$Q$4:$V$36, 5, 0)*INDEX(Factor!$Q$41:$V$87, _xlfn.XMATCH($C111, Factor!$Q$41:$Q$87, -1), 5)</f>
        <v>2</v>
      </c>
      <c r="Q111" s="15" cm="1">
        <f t="array" ref="Q111">L111*VLOOKUP($G111, Factor!$Q$4:$V$36, 6, 0)*INDEX(Factor!$Q$41:$V$87, _xlfn.XMATCH($C111, Factor!$Q$41:$Q$87, -1), 6)</f>
        <v>4000</v>
      </c>
      <c r="R111" s="16"/>
    </row>
    <row r="112" spans="1:18" ht="15.75" customHeight="1" x14ac:dyDescent="0.2">
      <c r="A112" s="17" t="str">
        <f>"couch_"&amp;VLOOKUP(F112, Factor!$BQ$4:$BR$6, 2, 0)&amp;"_"&amp;Couch!D112&amp;"_"&amp;VLOOKUP(Couch!E112, Factor!$BS$4:$BT$13, 2, 0)</f>
        <v>couch_Wo_T6_003</v>
      </c>
      <c r="B112" s="18" t="str">
        <f t="shared" si="2"/>
        <v>T6 화물 나무객차</v>
      </c>
      <c r="C112" s="18">
        <f>VLOOKUP(D112, Factor!$P$41:$Q$50, 2, 0)</f>
        <v>12000</v>
      </c>
      <c r="D112" s="18" t="s">
        <v>302</v>
      </c>
      <c r="E112" s="55" t="s">
        <v>589</v>
      </c>
      <c r="F112" s="55" t="s">
        <v>663</v>
      </c>
      <c r="G112" s="18" t="str">
        <f t="shared" si="3"/>
        <v>화물 나무</v>
      </c>
      <c r="H112" s="18">
        <v>1</v>
      </c>
      <c r="I112" s="18">
        <v>1</v>
      </c>
      <c r="J112" s="18">
        <v>1</v>
      </c>
      <c r="K112" s="18">
        <v>1</v>
      </c>
      <c r="L112" s="18">
        <v>1</v>
      </c>
      <c r="M112" s="18" cm="1">
        <f t="array" ref="M112">H112*VLOOKUP($G112, Factor!$Q$4:$V$36, 2, 0)*INDEX(Factor!$Q$41:$V$87, _xlfn.XMATCH($C112, Factor!$Q$41:$Q$87, -1), 2)</f>
        <v>1000</v>
      </c>
      <c r="N112" s="18" cm="1">
        <f t="array" ref="N112">I112*VLOOKUP($G112, Factor!$Q$4:$V$36, 3, 0)*INDEX(Factor!$Q$41:$V$87, _xlfn.XMATCH($C112, Factor!$Q$41:$Q$87, -1), 3)</f>
        <v>20</v>
      </c>
      <c r="O112" s="18" cm="1">
        <f t="array" ref="O112">J112*VLOOKUP($G112, Factor!$Q$4:$V$36, 4, 0)*INDEX(Factor!$Q$41:$V$87, _xlfn.XMATCH($C112, Factor!$Q$41:$Q$87, -1), 4)</f>
        <v>1000</v>
      </c>
      <c r="P112" s="18" cm="1">
        <f t="array" ref="P112">K112*VLOOKUP($G112, Factor!$Q$4:$V$36, 5, 0)*INDEX(Factor!$Q$41:$V$87, _xlfn.XMATCH($C112, Factor!$Q$41:$Q$87, -1), 5)</f>
        <v>1.8</v>
      </c>
      <c r="Q112" s="18" cm="1">
        <f t="array" ref="Q112">L112*VLOOKUP($G112, Factor!$Q$4:$V$36, 6, 0)*INDEX(Factor!$Q$41:$V$87, _xlfn.XMATCH($C112, Factor!$Q$41:$Q$87, -1), 6)</f>
        <v>1400</v>
      </c>
      <c r="R112" s="19"/>
    </row>
    <row r="113" spans="1:18" ht="15.75" customHeight="1" x14ac:dyDescent="0.2">
      <c r="A113" s="14" t="str">
        <f>"couch_"&amp;VLOOKUP(F113, Factor!$BQ$4:$BR$6, 2, 0)&amp;"_"&amp;Couch!D113&amp;"_"&amp;VLOOKUP(Couch!E113, Factor!$BS$4:$BT$13, 2, 0)</f>
        <v>couch_Wo_T6_004</v>
      </c>
      <c r="B113" s="15" t="str">
        <f t="shared" si="2"/>
        <v>T6 군용 나무객차</v>
      </c>
      <c r="C113" s="15">
        <f>VLOOKUP(D113, Factor!$P$41:$Q$50, 2, 0)</f>
        <v>12000</v>
      </c>
      <c r="D113" s="15" t="s">
        <v>302</v>
      </c>
      <c r="E113" s="56" t="s">
        <v>591</v>
      </c>
      <c r="F113" s="56" t="s">
        <v>663</v>
      </c>
      <c r="G113" s="15" t="str">
        <f t="shared" si="3"/>
        <v>군용 나무</v>
      </c>
      <c r="H113" s="15">
        <v>1</v>
      </c>
      <c r="I113" s="15">
        <v>1</v>
      </c>
      <c r="J113" s="15">
        <v>1</v>
      </c>
      <c r="K113" s="15">
        <v>1</v>
      </c>
      <c r="L113" s="15">
        <v>1</v>
      </c>
      <c r="M113" s="15" cm="1">
        <f t="array" ref="M113">H113*VLOOKUP($G113, Factor!$Q$4:$V$36, 2, 0)*INDEX(Factor!$Q$41:$V$87, _xlfn.XMATCH($C113, Factor!$Q$41:$Q$87, -1), 2)</f>
        <v>1400</v>
      </c>
      <c r="N113" s="15" cm="1">
        <f t="array" ref="N113">I113*VLOOKUP($G113, Factor!$Q$4:$V$36, 3, 0)*INDEX(Factor!$Q$41:$V$87, _xlfn.XMATCH($C113, Factor!$Q$41:$Q$87, -1), 3)</f>
        <v>30</v>
      </c>
      <c r="O113" s="15" cm="1">
        <f t="array" ref="O113">J113*VLOOKUP($G113, Factor!$Q$4:$V$36, 4, 0)*INDEX(Factor!$Q$41:$V$87, _xlfn.XMATCH($C113, Factor!$Q$41:$Q$87, -1), 4)</f>
        <v>1400</v>
      </c>
      <c r="P113" s="15" cm="1">
        <f t="array" ref="P113">K113*VLOOKUP($G113, Factor!$Q$4:$V$36, 5, 0)*INDEX(Factor!$Q$41:$V$87, _xlfn.XMATCH($C113, Factor!$Q$41:$Q$87, -1), 5)</f>
        <v>2.2000000000000002</v>
      </c>
      <c r="Q113" s="15" cm="1">
        <f t="array" ref="Q113">L113*VLOOKUP($G113, Factor!$Q$4:$V$36, 6, 0)*INDEX(Factor!$Q$41:$V$87, _xlfn.XMATCH($C113, Factor!$Q$41:$Q$87, -1), 6)</f>
        <v>6000</v>
      </c>
      <c r="R113" s="16"/>
    </row>
    <row r="114" spans="1:18" ht="15.75" customHeight="1" x14ac:dyDescent="0.2">
      <c r="A114" s="17" t="str">
        <f>"couch_"&amp;VLOOKUP(F114, Factor!$BQ$4:$BR$6, 2, 0)&amp;"_"&amp;Couch!D114&amp;"_"&amp;VLOOKUP(Couch!E114, Factor!$BS$4:$BT$13, 2, 0)</f>
        <v>couch_Wo_T6_005</v>
      </c>
      <c r="B114" s="18" t="str">
        <f t="shared" si="2"/>
        <v>T6 여객 나무객차</v>
      </c>
      <c r="C114" s="18">
        <f>VLOOKUP(D114, Factor!$P$41:$Q$50, 2, 0)</f>
        <v>12000</v>
      </c>
      <c r="D114" s="18" t="s">
        <v>302</v>
      </c>
      <c r="E114" s="55" t="s">
        <v>593</v>
      </c>
      <c r="F114" s="55" t="s">
        <v>663</v>
      </c>
      <c r="G114" s="18" t="str">
        <f t="shared" si="3"/>
        <v>여객 나무</v>
      </c>
      <c r="H114" s="18">
        <v>1</v>
      </c>
      <c r="I114" s="18">
        <v>1</v>
      </c>
      <c r="J114" s="18">
        <v>1</v>
      </c>
      <c r="K114" s="18">
        <v>1</v>
      </c>
      <c r="L114" s="18">
        <v>1</v>
      </c>
      <c r="M114" s="18" cm="1">
        <f t="array" ref="M114">H114*VLOOKUP($G114, Factor!$Q$4:$V$36, 2, 0)*INDEX(Factor!$Q$41:$V$87, _xlfn.XMATCH($C114, Factor!$Q$41:$Q$87, -1), 2)</f>
        <v>800</v>
      </c>
      <c r="N114" s="18" cm="1">
        <f t="array" ref="N114">I114*VLOOKUP($G114, Factor!$Q$4:$V$36, 3, 0)*INDEX(Factor!$Q$41:$V$87, _xlfn.XMATCH($C114, Factor!$Q$41:$Q$87, -1), 3)</f>
        <v>16</v>
      </c>
      <c r="O114" s="18" cm="1">
        <f t="array" ref="O114">J114*VLOOKUP($G114, Factor!$Q$4:$V$36, 4, 0)*INDEX(Factor!$Q$41:$V$87, _xlfn.XMATCH($C114, Factor!$Q$41:$Q$87, -1), 4)</f>
        <v>800</v>
      </c>
      <c r="P114" s="18" cm="1">
        <f t="array" ref="P114">K114*VLOOKUP($G114, Factor!$Q$4:$V$36, 5, 0)*INDEX(Factor!$Q$41:$V$87, _xlfn.XMATCH($C114, Factor!$Q$41:$Q$87, -1), 5)</f>
        <v>2.4</v>
      </c>
      <c r="Q114" s="18" cm="1">
        <f t="array" ref="Q114">L114*VLOOKUP($G114, Factor!$Q$4:$V$36, 6, 0)*INDEX(Factor!$Q$41:$V$87, _xlfn.XMATCH($C114, Factor!$Q$41:$Q$87, -1), 6)</f>
        <v>2000</v>
      </c>
      <c r="R114" s="19"/>
    </row>
    <row r="115" spans="1:18" ht="15.75" customHeight="1" x14ac:dyDescent="0.2">
      <c r="A115" s="14" t="str">
        <f>"couch_"&amp;VLOOKUP(F115, Factor!$BQ$4:$BR$6, 2, 0)&amp;"_"&amp;Couch!D115&amp;"_"&amp;VLOOKUP(Couch!E115, Factor!$BS$4:$BT$13, 2, 0)</f>
        <v>couch_Wo_T6_006</v>
      </c>
      <c r="B115" s="15" t="str">
        <f t="shared" si="2"/>
        <v>T6 시운 나무객차</v>
      </c>
      <c r="C115" s="15">
        <f>VLOOKUP(D115, Factor!$P$41:$Q$50, 2, 0)</f>
        <v>12000</v>
      </c>
      <c r="D115" s="15" t="s">
        <v>302</v>
      </c>
      <c r="E115" s="56" t="s">
        <v>595</v>
      </c>
      <c r="F115" s="56" t="s">
        <v>663</v>
      </c>
      <c r="G115" s="15" t="str">
        <f t="shared" si="3"/>
        <v>시운 나무</v>
      </c>
      <c r="H115" s="15">
        <v>1</v>
      </c>
      <c r="I115" s="15">
        <v>1</v>
      </c>
      <c r="J115" s="15">
        <v>1</v>
      </c>
      <c r="K115" s="15">
        <v>1</v>
      </c>
      <c r="L115" s="15">
        <v>1</v>
      </c>
      <c r="M115" s="15" cm="1">
        <f t="array" ref="M115">H115*VLOOKUP($G115, Factor!$Q$4:$V$36, 2, 0)*INDEX(Factor!$Q$41:$V$87, _xlfn.XMATCH($C115, Factor!$Q$41:$Q$87, -1), 2)</f>
        <v>400</v>
      </c>
      <c r="N115" s="15" cm="1">
        <f t="array" ref="N115">I115*VLOOKUP($G115, Factor!$Q$4:$V$36, 3, 0)*INDEX(Factor!$Q$41:$V$87, _xlfn.XMATCH($C115, Factor!$Q$41:$Q$87, -1), 3)</f>
        <v>20</v>
      </c>
      <c r="O115" s="15" cm="1">
        <f t="array" ref="O115">J115*VLOOKUP($G115, Factor!$Q$4:$V$36, 4, 0)*INDEX(Factor!$Q$41:$V$87, _xlfn.XMATCH($C115, Factor!$Q$41:$Q$87, -1), 4)</f>
        <v>1600</v>
      </c>
      <c r="P115" s="15" cm="1">
        <f t="array" ref="P115">K115*VLOOKUP($G115, Factor!$Q$4:$V$36, 5, 0)*INDEX(Factor!$Q$41:$V$87, _xlfn.XMATCH($C115, Factor!$Q$41:$Q$87, -1), 5)</f>
        <v>2</v>
      </c>
      <c r="Q115" s="15" cm="1">
        <f t="array" ref="Q115">L115*VLOOKUP($G115, Factor!$Q$4:$V$36, 6, 0)*INDEX(Factor!$Q$41:$V$87, _xlfn.XMATCH($C115, Factor!$Q$41:$Q$87, -1), 6)</f>
        <v>2000</v>
      </c>
      <c r="R115" s="16"/>
    </row>
    <row r="116" spans="1:18" ht="15.75" customHeight="1" x14ac:dyDescent="0.2">
      <c r="A116" s="17" t="str">
        <f>"couch_"&amp;VLOOKUP(F116, Factor!$BQ$4:$BR$6, 2, 0)&amp;"_"&amp;Couch!D116&amp;"_"&amp;VLOOKUP(Couch!E116, Factor!$BS$4:$BT$13, 2, 0)</f>
        <v>couch_Wo_T6_007</v>
      </c>
      <c r="B116" s="18" t="str">
        <f t="shared" si="2"/>
        <v>T6 경량 나무객차</v>
      </c>
      <c r="C116" s="18">
        <f>VLOOKUP(D116, Factor!$P$41:$Q$50, 2, 0)</f>
        <v>12000</v>
      </c>
      <c r="D116" s="18" t="s">
        <v>302</v>
      </c>
      <c r="E116" s="55" t="s">
        <v>585</v>
      </c>
      <c r="F116" s="55" t="s">
        <v>663</v>
      </c>
      <c r="G116" s="18" t="str">
        <f t="shared" si="3"/>
        <v>경량 나무</v>
      </c>
      <c r="H116" s="18">
        <v>1</v>
      </c>
      <c r="I116" s="18">
        <v>1</v>
      </c>
      <c r="J116" s="18">
        <v>1</v>
      </c>
      <c r="K116" s="18">
        <v>1</v>
      </c>
      <c r="L116" s="18">
        <v>1</v>
      </c>
      <c r="M116" s="18" cm="1">
        <f t="array" ref="M116">H116*VLOOKUP($G116, Factor!$Q$4:$V$36, 2, 0)*INDEX(Factor!$Q$41:$V$87, _xlfn.XMATCH($C116, Factor!$Q$41:$Q$87, -1), 2)</f>
        <v>600</v>
      </c>
      <c r="N116" s="18" cm="1">
        <f t="array" ref="N116">I116*VLOOKUP($G116, Factor!$Q$4:$V$36, 3, 0)*INDEX(Factor!$Q$41:$V$87, _xlfn.XMATCH($C116, Factor!$Q$41:$Q$87, -1), 3)</f>
        <v>16</v>
      </c>
      <c r="O116" s="18" cm="1">
        <f t="array" ref="O116">J116*VLOOKUP($G116, Factor!$Q$4:$V$36, 4, 0)*INDEX(Factor!$Q$41:$V$87, _xlfn.XMATCH($C116, Factor!$Q$41:$Q$87, -1), 4)</f>
        <v>600</v>
      </c>
      <c r="P116" s="18" cm="1">
        <f t="array" ref="P116">K116*VLOOKUP($G116, Factor!$Q$4:$V$36, 5, 0)*INDEX(Factor!$Q$41:$V$87, _xlfn.XMATCH($C116, Factor!$Q$41:$Q$87, -1), 5)</f>
        <v>2</v>
      </c>
      <c r="Q116" s="18" cm="1">
        <f t="array" ref="Q116">L116*VLOOKUP($G116, Factor!$Q$4:$V$36, 6, 0)*INDEX(Factor!$Q$41:$V$87, _xlfn.XMATCH($C116, Factor!$Q$41:$Q$87, -1), 6)</f>
        <v>1000</v>
      </c>
      <c r="R116" s="19"/>
    </row>
    <row r="117" spans="1:18" ht="15.75" customHeight="1" x14ac:dyDescent="0.2">
      <c r="A117" s="14" t="str">
        <f>"couch_"&amp;VLOOKUP(F117, Factor!$BQ$4:$BR$6, 2, 0)&amp;"_"&amp;Couch!D117&amp;"_"&amp;VLOOKUP(Couch!E117, Factor!$BS$4:$BT$13, 2, 0)</f>
        <v>couch_St_T6_001</v>
      </c>
      <c r="B117" s="15" t="str">
        <f t="shared" si="2"/>
        <v>T6 표준 강철객차</v>
      </c>
      <c r="C117" s="15">
        <f>VLOOKUP(D117, Factor!$P$41:$Q$50, 2, 0)</f>
        <v>12000</v>
      </c>
      <c r="D117" s="15" t="s">
        <v>302</v>
      </c>
      <c r="E117" s="56" t="s">
        <v>582</v>
      </c>
      <c r="F117" s="56" t="s">
        <v>597</v>
      </c>
      <c r="G117" s="15" t="str">
        <f t="shared" si="3"/>
        <v>표준 강철</v>
      </c>
      <c r="H117" s="15">
        <v>1</v>
      </c>
      <c r="I117" s="15">
        <v>1</v>
      </c>
      <c r="J117" s="15">
        <v>1</v>
      </c>
      <c r="K117" s="15">
        <v>1</v>
      </c>
      <c r="L117" s="15">
        <v>1</v>
      </c>
      <c r="M117" s="15" cm="1">
        <f t="array" ref="M117">H117*VLOOKUP($G117, Factor!$Q$4:$V$36, 2, 0)*INDEX(Factor!$Q$41:$V$87, _xlfn.XMATCH($C117, Factor!$Q$41:$Q$87, -1), 2)</f>
        <v>1400</v>
      </c>
      <c r="N117" s="15" cm="1">
        <f t="array" ref="N117">I117*VLOOKUP($G117, Factor!$Q$4:$V$36, 3, 0)*INDEX(Factor!$Q$41:$V$87, _xlfn.XMATCH($C117, Factor!$Q$41:$Q$87, -1), 3)</f>
        <v>40</v>
      </c>
      <c r="O117" s="15" cm="1">
        <f t="array" ref="O117">J117*VLOOKUP($G117, Factor!$Q$4:$V$36, 4, 0)*INDEX(Factor!$Q$41:$V$87, _xlfn.XMATCH($C117, Factor!$Q$41:$Q$87, -1), 4)</f>
        <v>1400</v>
      </c>
      <c r="P117" s="15" cm="1">
        <f t="array" ref="P117">K117*VLOOKUP($G117, Factor!$Q$4:$V$36, 5, 0)*INDEX(Factor!$Q$41:$V$87, _xlfn.XMATCH($C117, Factor!$Q$41:$Q$87, -1), 5)</f>
        <v>2.4</v>
      </c>
      <c r="Q117" s="15" cm="1">
        <f t="array" ref="Q117">L117*VLOOKUP($G117, Factor!$Q$4:$V$36, 6, 0)*INDEX(Factor!$Q$41:$V$87, _xlfn.XMATCH($C117, Factor!$Q$41:$Q$87, -1), 6)</f>
        <v>3000</v>
      </c>
      <c r="R117" s="16"/>
    </row>
    <row r="118" spans="1:18" ht="15.75" customHeight="1" x14ac:dyDescent="0.2">
      <c r="A118" s="17" t="str">
        <f>"couch_"&amp;VLOOKUP(F118, Factor!$BQ$4:$BR$6, 2, 0)&amp;"_"&amp;Couch!D118&amp;"_"&amp;VLOOKUP(Couch!E118, Factor!$BS$4:$BT$13, 2, 0)</f>
        <v>couch_St_T6_002</v>
      </c>
      <c r="B118" s="18" t="str">
        <f t="shared" si="2"/>
        <v>T6 중갑 강철객차</v>
      </c>
      <c r="C118" s="18">
        <f>VLOOKUP(D118, Factor!$P$41:$Q$50, 2, 0)</f>
        <v>12000</v>
      </c>
      <c r="D118" s="18" t="s">
        <v>302</v>
      </c>
      <c r="E118" s="55" t="s">
        <v>587</v>
      </c>
      <c r="F118" s="55" t="s">
        <v>597</v>
      </c>
      <c r="G118" s="18" t="str">
        <f t="shared" si="3"/>
        <v>중갑 강철</v>
      </c>
      <c r="H118" s="18">
        <v>1</v>
      </c>
      <c r="I118" s="18">
        <v>1</v>
      </c>
      <c r="J118" s="18">
        <v>1</v>
      </c>
      <c r="K118" s="18">
        <v>1</v>
      </c>
      <c r="L118" s="18">
        <v>1</v>
      </c>
      <c r="M118" s="18" cm="1">
        <f t="array" ref="M118">H118*VLOOKUP($G118, Factor!$Q$4:$V$36, 2, 0)*INDEX(Factor!$Q$41:$V$87, _xlfn.XMATCH($C118, Factor!$Q$41:$Q$87, -1), 2)</f>
        <v>1400</v>
      </c>
      <c r="N118" s="18" cm="1">
        <f t="array" ref="N118">I118*VLOOKUP($G118, Factor!$Q$4:$V$36, 3, 0)*INDEX(Factor!$Q$41:$V$87, _xlfn.XMATCH($C118, Factor!$Q$41:$Q$87, -1), 3)</f>
        <v>70</v>
      </c>
      <c r="O118" s="18" cm="1">
        <f t="array" ref="O118">J118*VLOOKUP($G118, Factor!$Q$4:$V$36, 4, 0)*INDEX(Factor!$Q$41:$V$87, _xlfn.XMATCH($C118, Factor!$Q$41:$Q$87, -1), 4)</f>
        <v>1400</v>
      </c>
      <c r="P118" s="18" cm="1">
        <f t="array" ref="P118">K118*VLOOKUP($G118, Factor!$Q$4:$V$36, 5, 0)*INDEX(Factor!$Q$41:$V$87, _xlfn.XMATCH($C118, Factor!$Q$41:$Q$87, -1), 5)</f>
        <v>2.4</v>
      </c>
      <c r="Q118" s="18" cm="1">
        <f t="array" ref="Q118">L118*VLOOKUP($G118, Factor!$Q$4:$V$36, 6, 0)*INDEX(Factor!$Q$41:$V$87, _xlfn.XMATCH($C118, Factor!$Q$41:$Q$87, -1), 6)</f>
        <v>6000</v>
      </c>
      <c r="R118" s="19"/>
    </row>
    <row r="119" spans="1:18" ht="15.75" customHeight="1" x14ac:dyDescent="0.2">
      <c r="A119" s="14" t="str">
        <f>"couch_"&amp;VLOOKUP(F119, Factor!$BQ$4:$BR$6, 2, 0)&amp;"_"&amp;Couch!D119&amp;"_"&amp;VLOOKUP(Couch!E119, Factor!$BS$4:$BT$13, 2, 0)</f>
        <v>couch_St_T6_003</v>
      </c>
      <c r="B119" s="15" t="str">
        <f t="shared" si="2"/>
        <v>T6 화물 강철객차</v>
      </c>
      <c r="C119" s="15">
        <f>VLOOKUP(D119, Factor!$P$41:$Q$50, 2, 0)</f>
        <v>12000</v>
      </c>
      <c r="D119" s="15" t="s">
        <v>302</v>
      </c>
      <c r="E119" s="56" t="s">
        <v>589</v>
      </c>
      <c r="F119" s="56" t="s">
        <v>597</v>
      </c>
      <c r="G119" s="15" t="str">
        <f t="shared" si="3"/>
        <v>화물 강철</v>
      </c>
      <c r="H119" s="15">
        <v>1</v>
      </c>
      <c r="I119" s="15">
        <v>1</v>
      </c>
      <c r="J119" s="15">
        <v>1</v>
      </c>
      <c r="K119" s="15">
        <v>1</v>
      </c>
      <c r="L119" s="15">
        <v>1</v>
      </c>
      <c r="M119" s="15" cm="1">
        <f t="array" ref="M119">H119*VLOOKUP($G119, Factor!$Q$4:$V$36, 2, 0)*INDEX(Factor!$Q$41:$V$87, _xlfn.XMATCH($C119, Factor!$Q$41:$Q$87, -1), 2)</f>
        <v>1400</v>
      </c>
      <c r="N119" s="15" cm="1">
        <f t="array" ref="N119">I119*VLOOKUP($G119, Factor!$Q$4:$V$36, 3, 0)*INDEX(Factor!$Q$41:$V$87, _xlfn.XMATCH($C119, Factor!$Q$41:$Q$87, -1), 3)</f>
        <v>40</v>
      </c>
      <c r="O119" s="15" cm="1">
        <f t="array" ref="O119">J119*VLOOKUP($G119, Factor!$Q$4:$V$36, 4, 0)*INDEX(Factor!$Q$41:$V$87, _xlfn.XMATCH($C119, Factor!$Q$41:$Q$87, -1), 4)</f>
        <v>1400</v>
      </c>
      <c r="P119" s="15" cm="1">
        <f t="array" ref="P119">K119*VLOOKUP($G119, Factor!$Q$4:$V$36, 5, 0)*INDEX(Factor!$Q$41:$V$87, _xlfn.XMATCH($C119, Factor!$Q$41:$Q$87, -1), 5)</f>
        <v>2.2000000000000002</v>
      </c>
      <c r="Q119" s="15" cm="1">
        <f t="array" ref="Q119">L119*VLOOKUP($G119, Factor!$Q$4:$V$36, 6, 0)*INDEX(Factor!$Q$41:$V$87, _xlfn.XMATCH($C119, Factor!$Q$41:$Q$87, -1), 6)</f>
        <v>2000</v>
      </c>
      <c r="R119" s="16"/>
    </row>
    <row r="120" spans="1:18" ht="15.75" customHeight="1" x14ac:dyDescent="0.2">
      <c r="A120" s="17" t="str">
        <f>"couch_"&amp;VLOOKUP(F120, Factor!$BQ$4:$BR$6, 2, 0)&amp;"_"&amp;Couch!D120&amp;"_"&amp;VLOOKUP(Couch!E120, Factor!$BS$4:$BT$13, 2, 0)</f>
        <v>couch_St_T6_004</v>
      </c>
      <c r="B120" s="18" t="str">
        <f t="shared" si="2"/>
        <v>T6 군용 강철객차</v>
      </c>
      <c r="C120" s="18">
        <f>VLOOKUP(D120, Factor!$P$41:$Q$50, 2, 0)</f>
        <v>12000</v>
      </c>
      <c r="D120" s="18" t="s">
        <v>302</v>
      </c>
      <c r="E120" s="55" t="s">
        <v>591</v>
      </c>
      <c r="F120" s="55" t="s">
        <v>597</v>
      </c>
      <c r="G120" s="18" t="str">
        <f t="shared" si="3"/>
        <v>군용 강철</v>
      </c>
      <c r="H120" s="18">
        <v>1</v>
      </c>
      <c r="I120" s="18">
        <v>1</v>
      </c>
      <c r="J120" s="18">
        <v>1</v>
      </c>
      <c r="K120" s="18">
        <v>1</v>
      </c>
      <c r="L120" s="18">
        <v>1</v>
      </c>
      <c r="M120" s="18" cm="1">
        <f t="array" ref="M120">H120*VLOOKUP($G120, Factor!$Q$4:$V$36, 2, 0)*INDEX(Factor!$Q$41:$V$87, _xlfn.XMATCH($C120, Factor!$Q$41:$Q$87, -1), 2)</f>
        <v>1800</v>
      </c>
      <c r="N120" s="18" cm="1">
        <f t="array" ref="N120">I120*VLOOKUP($G120, Factor!$Q$4:$V$36, 3, 0)*INDEX(Factor!$Q$41:$V$87, _xlfn.XMATCH($C120, Factor!$Q$41:$Q$87, -1), 3)</f>
        <v>60</v>
      </c>
      <c r="O120" s="18" cm="1">
        <f t="array" ref="O120">J120*VLOOKUP($G120, Factor!$Q$4:$V$36, 4, 0)*INDEX(Factor!$Q$41:$V$87, _xlfn.XMATCH($C120, Factor!$Q$41:$Q$87, -1), 4)</f>
        <v>1800</v>
      </c>
      <c r="P120" s="18" cm="1">
        <f t="array" ref="P120">K120*VLOOKUP($G120, Factor!$Q$4:$V$36, 5, 0)*INDEX(Factor!$Q$41:$V$87, _xlfn.XMATCH($C120, Factor!$Q$41:$Q$87, -1), 5)</f>
        <v>2.6</v>
      </c>
      <c r="Q120" s="18" cm="1">
        <f t="array" ref="Q120">L120*VLOOKUP($G120, Factor!$Q$4:$V$36, 6, 0)*INDEX(Factor!$Q$41:$V$87, _xlfn.XMATCH($C120, Factor!$Q$41:$Q$87, -1), 6)</f>
        <v>9000</v>
      </c>
      <c r="R120" s="19"/>
    </row>
    <row r="121" spans="1:18" ht="15.75" customHeight="1" x14ac:dyDescent="0.2">
      <c r="A121" s="14" t="str">
        <f>"couch_"&amp;VLOOKUP(F121, Factor!$BQ$4:$BR$6, 2, 0)&amp;"_"&amp;Couch!D121&amp;"_"&amp;VLOOKUP(Couch!E121, Factor!$BS$4:$BT$13, 2, 0)</f>
        <v>couch_St_T6_005</v>
      </c>
      <c r="B121" s="15" t="str">
        <f t="shared" si="2"/>
        <v>T6 여객 강철객차</v>
      </c>
      <c r="C121" s="15">
        <f>VLOOKUP(D121, Factor!$P$41:$Q$50, 2, 0)</f>
        <v>12000</v>
      </c>
      <c r="D121" s="15" t="s">
        <v>302</v>
      </c>
      <c r="E121" s="56" t="s">
        <v>593</v>
      </c>
      <c r="F121" s="56" t="s">
        <v>597</v>
      </c>
      <c r="G121" s="15" t="str">
        <f t="shared" si="3"/>
        <v>여객 강철</v>
      </c>
      <c r="H121" s="15">
        <v>1</v>
      </c>
      <c r="I121" s="15">
        <v>1</v>
      </c>
      <c r="J121" s="15">
        <v>1</v>
      </c>
      <c r="K121" s="15">
        <v>1</v>
      </c>
      <c r="L121" s="15">
        <v>1</v>
      </c>
      <c r="M121" s="15" cm="1">
        <f t="array" ref="M121">H121*VLOOKUP($G121, Factor!$Q$4:$V$36, 2, 0)*INDEX(Factor!$Q$41:$V$87, _xlfn.XMATCH($C121, Factor!$Q$41:$Q$87, -1), 2)</f>
        <v>1200</v>
      </c>
      <c r="N121" s="15" cm="1">
        <f t="array" ref="N121">I121*VLOOKUP($G121, Factor!$Q$4:$V$36, 3, 0)*INDEX(Factor!$Q$41:$V$87, _xlfn.XMATCH($C121, Factor!$Q$41:$Q$87, -1), 3)</f>
        <v>40</v>
      </c>
      <c r="O121" s="15" cm="1">
        <f t="array" ref="O121">J121*VLOOKUP($G121, Factor!$Q$4:$V$36, 4, 0)*INDEX(Factor!$Q$41:$V$87, _xlfn.XMATCH($C121, Factor!$Q$41:$Q$87, -1), 4)</f>
        <v>1200</v>
      </c>
      <c r="P121" s="15" cm="1">
        <f t="array" ref="P121">K121*VLOOKUP($G121, Factor!$Q$4:$V$36, 5, 0)*INDEX(Factor!$Q$41:$V$87, _xlfn.XMATCH($C121, Factor!$Q$41:$Q$87, -1), 5)</f>
        <v>2.8</v>
      </c>
      <c r="Q121" s="15" cm="1">
        <f t="array" ref="Q121">L121*VLOOKUP($G121, Factor!$Q$4:$V$36, 6, 0)*INDEX(Factor!$Q$41:$V$87, _xlfn.XMATCH($C121, Factor!$Q$41:$Q$87, -1), 6)</f>
        <v>3000</v>
      </c>
      <c r="R121" s="16"/>
    </row>
    <row r="122" spans="1:18" ht="15.75" customHeight="1" x14ac:dyDescent="0.2">
      <c r="A122" s="17" t="str">
        <f>"couch_"&amp;VLOOKUP(F122, Factor!$BQ$4:$BR$6, 2, 0)&amp;"_"&amp;Couch!D122&amp;"_"&amp;VLOOKUP(Couch!E122, Factor!$BS$4:$BT$13, 2, 0)</f>
        <v>couch_St_T6_006</v>
      </c>
      <c r="B122" s="18" t="str">
        <f t="shared" si="2"/>
        <v>T6 시운 강철객차</v>
      </c>
      <c r="C122" s="18">
        <f>VLOOKUP(D122, Factor!$P$41:$Q$50, 2, 0)</f>
        <v>12000</v>
      </c>
      <c r="D122" s="18" t="s">
        <v>302</v>
      </c>
      <c r="E122" s="55" t="s">
        <v>595</v>
      </c>
      <c r="F122" s="55" t="s">
        <v>597</v>
      </c>
      <c r="G122" s="18" t="str">
        <f t="shared" si="3"/>
        <v>시운 강철</v>
      </c>
      <c r="H122" s="18">
        <v>1</v>
      </c>
      <c r="I122" s="18">
        <v>1</v>
      </c>
      <c r="J122" s="18">
        <v>1</v>
      </c>
      <c r="K122" s="18">
        <v>1</v>
      </c>
      <c r="L122" s="18">
        <v>1</v>
      </c>
      <c r="M122" s="18" cm="1">
        <f t="array" ref="M122">H122*VLOOKUP($G122, Factor!$Q$4:$V$36, 2, 0)*INDEX(Factor!$Q$41:$V$87, _xlfn.XMATCH($C122, Factor!$Q$41:$Q$87, -1), 2)</f>
        <v>600</v>
      </c>
      <c r="N122" s="18" cm="1">
        <f t="array" ref="N122">I122*VLOOKUP($G122, Factor!$Q$4:$V$36, 3, 0)*INDEX(Factor!$Q$41:$V$87, _xlfn.XMATCH($C122, Factor!$Q$41:$Q$87, -1), 3)</f>
        <v>40</v>
      </c>
      <c r="O122" s="18" cm="1">
        <f t="array" ref="O122">J122*VLOOKUP($G122, Factor!$Q$4:$V$36, 4, 0)*INDEX(Factor!$Q$41:$V$87, _xlfn.XMATCH($C122, Factor!$Q$41:$Q$87, -1), 4)</f>
        <v>2200</v>
      </c>
      <c r="P122" s="18" cm="1">
        <f t="array" ref="P122">K122*VLOOKUP($G122, Factor!$Q$4:$V$36, 5, 0)*INDEX(Factor!$Q$41:$V$87, _xlfn.XMATCH($C122, Factor!$Q$41:$Q$87, -1), 5)</f>
        <v>2.4</v>
      </c>
      <c r="Q122" s="18" cm="1">
        <f t="array" ref="Q122">L122*VLOOKUP($G122, Factor!$Q$4:$V$36, 6, 0)*INDEX(Factor!$Q$41:$V$87, _xlfn.XMATCH($C122, Factor!$Q$41:$Q$87, -1), 6)</f>
        <v>3000</v>
      </c>
      <c r="R122" s="19"/>
    </row>
    <row r="123" spans="1:18" ht="15.75" customHeight="1" x14ac:dyDescent="0.2">
      <c r="A123" s="14" t="str">
        <f>"couch_"&amp;VLOOKUP(F123, Factor!$BQ$4:$BR$6, 2, 0)&amp;"_"&amp;Couch!D123&amp;"_"&amp;VLOOKUP(Couch!E123, Factor!$BS$4:$BT$13, 2, 0)</f>
        <v>couch_St_T6_007</v>
      </c>
      <c r="B123" s="15" t="str">
        <f t="shared" si="2"/>
        <v>T6 경량 강철객차</v>
      </c>
      <c r="C123" s="15">
        <f>VLOOKUP(D123, Factor!$P$41:$Q$50, 2, 0)</f>
        <v>12000</v>
      </c>
      <c r="D123" s="15" t="s">
        <v>302</v>
      </c>
      <c r="E123" s="56" t="s">
        <v>585</v>
      </c>
      <c r="F123" s="56" t="s">
        <v>597</v>
      </c>
      <c r="G123" s="15" t="str">
        <f t="shared" si="3"/>
        <v>경량 강철</v>
      </c>
      <c r="H123" s="15">
        <v>1</v>
      </c>
      <c r="I123" s="15">
        <v>1</v>
      </c>
      <c r="J123" s="15">
        <v>1</v>
      </c>
      <c r="K123" s="15">
        <v>1</v>
      </c>
      <c r="L123" s="15">
        <v>1</v>
      </c>
      <c r="M123" s="15" cm="1">
        <f t="array" ref="M123">H123*VLOOKUP($G123, Factor!$Q$4:$V$36, 2, 0)*INDEX(Factor!$Q$41:$V$87, _xlfn.XMATCH($C123, Factor!$Q$41:$Q$87, -1), 2)</f>
        <v>800</v>
      </c>
      <c r="N123" s="15" cm="1">
        <f t="array" ref="N123">I123*VLOOKUP($G123, Factor!$Q$4:$V$36, 3, 0)*INDEX(Factor!$Q$41:$V$87, _xlfn.XMATCH($C123, Factor!$Q$41:$Q$87, -1), 3)</f>
        <v>30</v>
      </c>
      <c r="O123" s="15" cm="1">
        <f t="array" ref="O123">J123*VLOOKUP($G123, Factor!$Q$4:$V$36, 4, 0)*INDEX(Factor!$Q$41:$V$87, _xlfn.XMATCH($C123, Factor!$Q$41:$Q$87, -1), 4)</f>
        <v>800</v>
      </c>
      <c r="P123" s="15" cm="1">
        <f t="array" ref="P123">K123*VLOOKUP($G123, Factor!$Q$4:$V$36, 5, 0)*INDEX(Factor!$Q$41:$V$87, _xlfn.XMATCH($C123, Factor!$Q$41:$Q$87, -1), 5)</f>
        <v>2.4</v>
      </c>
      <c r="Q123" s="15" cm="1">
        <f t="array" ref="Q123">L123*VLOOKUP($G123, Factor!$Q$4:$V$36, 6, 0)*INDEX(Factor!$Q$41:$V$87, _xlfn.XMATCH($C123, Factor!$Q$41:$Q$87, -1), 6)</f>
        <v>1400</v>
      </c>
      <c r="R123" s="16"/>
    </row>
    <row r="124" spans="1:18" ht="15.75" customHeight="1" x14ac:dyDescent="0.2">
      <c r="A124" s="17" t="str">
        <f>"couch_"&amp;VLOOKUP(F124, Factor!$BQ$4:$BR$6, 2, 0)&amp;"_"&amp;Couch!D124&amp;"_"&amp;VLOOKUP(Couch!E124, Factor!$BS$4:$BT$13, 2, 0)</f>
        <v>couch_Ti_T6_001</v>
      </c>
      <c r="B124" s="18" t="str">
        <f t="shared" si="2"/>
        <v>T6 표준 티타늄객차</v>
      </c>
      <c r="C124" s="18">
        <f>VLOOKUP(D124, Factor!$P$41:$Q$50, 2, 0)</f>
        <v>12000</v>
      </c>
      <c r="D124" s="18" t="s">
        <v>302</v>
      </c>
      <c r="E124" s="55" t="s">
        <v>582</v>
      </c>
      <c r="F124" s="55" t="s">
        <v>598</v>
      </c>
      <c r="G124" s="18" t="str">
        <f t="shared" si="3"/>
        <v>표준 티타늄</v>
      </c>
      <c r="H124" s="18">
        <v>1</v>
      </c>
      <c r="I124" s="18">
        <v>1</v>
      </c>
      <c r="J124" s="18">
        <v>1</v>
      </c>
      <c r="K124" s="18">
        <v>1</v>
      </c>
      <c r="L124" s="18">
        <v>1</v>
      </c>
      <c r="M124" s="18" cm="1">
        <f t="array" ref="M124">H124*VLOOKUP($G124, Factor!$Q$4:$V$36, 2, 0)*INDEX(Factor!$Q$41:$V$87, _xlfn.XMATCH($C124, Factor!$Q$41:$Q$87, -1), 2)</f>
        <v>2000</v>
      </c>
      <c r="N124" s="18" cm="1">
        <f t="array" ref="N124">I124*VLOOKUP($G124, Factor!$Q$4:$V$36, 3, 0)*INDEX(Factor!$Q$41:$V$87, _xlfn.XMATCH($C124, Factor!$Q$41:$Q$87, -1), 3)</f>
        <v>60</v>
      </c>
      <c r="O124" s="18" cm="1">
        <f t="array" ref="O124">J124*VLOOKUP($G124, Factor!$Q$4:$V$36, 4, 0)*INDEX(Factor!$Q$41:$V$87, _xlfn.XMATCH($C124, Factor!$Q$41:$Q$87, -1), 4)</f>
        <v>2000</v>
      </c>
      <c r="P124" s="18" cm="1">
        <f t="array" ref="P124">K124*VLOOKUP($G124, Factor!$Q$4:$V$36, 5, 0)*INDEX(Factor!$Q$41:$V$87, _xlfn.XMATCH($C124, Factor!$Q$41:$Q$87, -1), 5)</f>
        <v>2.8</v>
      </c>
      <c r="Q124" s="18" cm="1">
        <f t="array" ref="Q124">L124*VLOOKUP($G124, Factor!$Q$4:$V$36, 6, 0)*INDEX(Factor!$Q$41:$V$87, _xlfn.XMATCH($C124, Factor!$Q$41:$Q$87, -1), 6)</f>
        <v>4000</v>
      </c>
      <c r="R124" s="19"/>
    </row>
    <row r="125" spans="1:18" ht="15.75" customHeight="1" x14ac:dyDescent="0.2">
      <c r="A125" s="14" t="str">
        <f>"couch_"&amp;VLOOKUP(F125, Factor!$BQ$4:$BR$6, 2, 0)&amp;"_"&amp;Couch!D125&amp;"_"&amp;VLOOKUP(Couch!E125, Factor!$BS$4:$BT$13, 2, 0)</f>
        <v>couch_Ti_T6_002</v>
      </c>
      <c r="B125" s="15" t="str">
        <f t="shared" si="2"/>
        <v>T6 중갑 티타늄객차</v>
      </c>
      <c r="C125" s="15">
        <f>VLOOKUP(D125, Factor!$P$41:$Q$50, 2, 0)</f>
        <v>12000</v>
      </c>
      <c r="D125" s="15" t="s">
        <v>302</v>
      </c>
      <c r="E125" s="56" t="s">
        <v>587</v>
      </c>
      <c r="F125" s="56" t="s">
        <v>598</v>
      </c>
      <c r="G125" s="15" t="str">
        <f t="shared" si="3"/>
        <v>중갑 티타늄</v>
      </c>
      <c r="H125" s="15">
        <v>1</v>
      </c>
      <c r="I125" s="15">
        <v>1</v>
      </c>
      <c r="J125" s="15">
        <v>1</v>
      </c>
      <c r="K125" s="15">
        <v>1</v>
      </c>
      <c r="L125" s="15">
        <v>1</v>
      </c>
      <c r="M125" s="15" cm="1">
        <f t="array" ref="M125">H125*VLOOKUP($G125, Factor!$Q$4:$V$36, 2, 0)*INDEX(Factor!$Q$41:$V$87, _xlfn.XMATCH($C125, Factor!$Q$41:$Q$87, -1), 2)</f>
        <v>2000</v>
      </c>
      <c r="N125" s="15" cm="1">
        <f t="array" ref="N125">I125*VLOOKUP($G125, Factor!$Q$4:$V$36, 3, 0)*INDEX(Factor!$Q$41:$V$87, _xlfn.XMATCH($C125, Factor!$Q$41:$Q$87, -1), 3)</f>
        <v>110</v>
      </c>
      <c r="O125" s="15" cm="1">
        <f t="array" ref="O125">J125*VLOOKUP($G125, Factor!$Q$4:$V$36, 4, 0)*INDEX(Factor!$Q$41:$V$87, _xlfn.XMATCH($C125, Factor!$Q$41:$Q$87, -1), 4)</f>
        <v>2000</v>
      </c>
      <c r="P125" s="15" cm="1">
        <f t="array" ref="P125">K125*VLOOKUP($G125, Factor!$Q$4:$V$36, 5, 0)*INDEX(Factor!$Q$41:$V$87, _xlfn.XMATCH($C125, Factor!$Q$41:$Q$87, -1), 5)</f>
        <v>2.8</v>
      </c>
      <c r="Q125" s="15" cm="1">
        <f t="array" ref="Q125">L125*VLOOKUP($G125, Factor!$Q$4:$V$36, 6, 0)*INDEX(Factor!$Q$41:$V$87, _xlfn.XMATCH($C125, Factor!$Q$41:$Q$87, -1), 6)</f>
        <v>8000</v>
      </c>
      <c r="R125" s="16"/>
    </row>
    <row r="126" spans="1:18" ht="15.75" customHeight="1" x14ac:dyDescent="0.2">
      <c r="A126" s="17" t="str">
        <f>"couch_"&amp;VLOOKUP(F126, Factor!$BQ$4:$BR$6, 2, 0)&amp;"_"&amp;Couch!D126&amp;"_"&amp;VLOOKUP(Couch!E126, Factor!$BS$4:$BT$13, 2, 0)</f>
        <v>couch_Ti_T6_003</v>
      </c>
      <c r="B126" s="18" t="str">
        <f t="shared" si="2"/>
        <v>T6 화물 티타늄객차</v>
      </c>
      <c r="C126" s="18">
        <f>VLOOKUP(D126, Factor!$P$41:$Q$50, 2, 0)</f>
        <v>12000</v>
      </c>
      <c r="D126" s="18" t="s">
        <v>302</v>
      </c>
      <c r="E126" s="55" t="s">
        <v>589</v>
      </c>
      <c r="F126" s="55" t="s">
        <v>598</v>
      </c>
      <c r="G126" s="18" t="str">
        <f t="shared" si="3"/>
        <v>화물 티타늄</v>
      </c>
      <c r="H126" s="18">
        <v>1</v>
      </c>
      <c r="I126" s="18">
        <v>1</v>
      </c>
      <c r="J126" s="18">
        <v>1</v>
      </c>
      <c r="K126" s="18">
        <v>1</v>
      </c>
      <c r="L126" s="18">
        <v>1</v>
      </c>
      <c r="M126" s="18" cm="1">
        <f t="array" ref="M126">H126*VLOOKUP($G126, Factor!$Q$4:$V$36, 2, 0)*INDEX(Factor!$Q$41:$V$87, _xlfn.XMATCH($C126, Factor!$Q$41:$Q$87, -1), 2)</f>
        <v>2000</v>
      </c>
      <c r="N126" s="18" cm="1">
        <f t="array" ref="N126">I126*VLOOKUP($G126, Factor!$Q$4:$V$36, 3, 0)*INDEX(Factor!$Q$41:$V$87, _xlfn.XMATCH($C126, Factor!$Q$41:$Q$87, -1), 3)</f>
        <v>60</v>
      </c>
      <c r="O126" s="18" cm="1">
        <f t="array" ref="O126">J126*VLOOKUP($G126, Factor!$Q$4:$V$36, 4, 0)*INDEX(Factor!$Q$41:$V$87, _xlfn.XMATCH($C126, Factor!$Q$41:$Q$87, -1), 4)</f>
        <v>2000</v>
      </c>
      <c r="P126" s="18" cm="1">
        <f t="array" ref="P126">K126*VLOOKUP($G126, Factor!$Q$4:$V$36, 5, 0)*INDEX(Factor!$Q$41:$V$87, _xlfn.XMATCH($C126, Factor!$Q$41:$Q$87, -1), 5)</f>
        <v>2.4</v>
      </c>
      <c r="Q126" s="18" cm="1">
        <f t="array" ref="Q126">L126*VLOOKUP($G126, Factor!$Q$4:$V$36, 6, 0)*INDEX(Factor!$Q$41:$V$87, _xlfn.XMATCH($C126, Factor!$Q$41:$Q$87, -1), 6)</f>
        <v>2400</v>
      </c>
      <c r="R126" s="19"/>
    </row>
    <row r="127" spans="1:18" ht="15.75" customHeight="1" x14ac:dyDescent="0.2">
      <c r="A127" s="14" t="str">
        <f>"couch_"&amp;VLOOKUP(F127, Factor!$BQ$4:$BR$6, 2, 0)&amp;"_"&amp;Couch!D127&amp;"_"&amp;VLOOKUP(Couch!E127, Factor!$BS$4:$BT$13, 2, 0)</f>
        <v>couch_Ti_T6_004</v>
      </c>
      <c r="B127" s="15" t="str">
        <f t="shared" si="2"/>
        <v>T6 군용 티타늄객차</v>
      </c>
      <c r="C127" s="15">
        <f>VLOOKUP(D127, Factor!$P$41:$Q$50, 2, 0)</f>
        <v>12000</v>
      </c>
      <c r="D127" s="15" t="s">
        <v>302</v>
      </c>
      <c r="E127" s="56" t="s">
        <v>591</v>
      </c>
      <c r="F127" s="56" t="s">
        <v>598</v>
      </c>
      <c r="G127" s="15" t="str">
        <f t="shared" si="3"/>
        <v>군용 티타늄</v>
      </c>
      <c r="H127" s="15">
        <v>1</v>
      </c>
      <c r="I127" s="15">
        <v>1</v>
      </c>
      <c r="J127" s="15">
        <v>1</v>
      </c>
      <c r="K127" s="15">
        <v>1</v>
      </c>
      <c r="L127" s="15">
        <v>1</v>
      </c>
      <c r="M127" s="15" cm="1">
        <f t="array" ref="M127">H127*VLOOKUP($G127, Factor!$Q$4:$V$36, 2, 0)*INDEX(Factor!$Q$41:$V$87, _xlfn.XMATCH($C127, Factor!$Q$41:$Q$87, -1), 2)</f>
        <v>2800</v>
      </c>
      <c r="N127" s="15" cm="1">
        <f t="array" ref="N127">I127*VLOOKUP($G127, Factor!$Q$4:$V$36, 3, 0)*INDEX(Factor!$Q$41:$V$87, _xlfn.XMATCH($C127, Factor!$Q$41:$Q$87, -1), 3)</f>
        <v>100</v>
      </c>
      <c r="O127" s="15" cm="1">
        <f t="array" ref="O127">J127*VLOOKUP($G127, Factor!$Q$4:$V$36, 4, 0)*INDEX(Factor!$Q$41:$V$87, _xlfn.XMATCH($C127, Factor!$Q$41:$Q$87, -1), 4)</f>
        <v>2800</v>
      </c>
      <c r="P127" s="15" cm="1">
        <f t="array" ref="P127">K127*VLOOKUP($G127, Factor!$Q$4:$V$36, 5, 0)*INDEX(Factor!$Q$41:$V$87, _xlfn.XMATCH($C127, Factor!$Q$41:$Q$87, -1), 5)</f>
        <v>3</v>
      </c>
      <c r="Q127" s="15" cm="1">
        <f t="array" ref="Q127">L127*VLOOKUP($G127, Factor!$Q$4:$V$36, 6, 0)*INDEX(Factor!$Q$41:$V$87, _xlfn.XMATCH($C127, Factor!$Q$41:$Q$87, -1), 6)</f>
        <v>12000</v>
      </c>
      <c r="R127" s="16"/>
    </row>
    <row r="128" spans="1:18" ht="15.75" customHeight="1" x14ac:dyDescent="0.2">
      <c r="A128" s="17" t="str">
        <f>"couch_"&amp;VLOOKUP(F128, Factor!$BQ$4:$BR$6, 2, 0)&amp;"_"&amp;Couch!D128&amp;"_"&amp;VLOOKUP(Couch!E128, Factor!$BS$4:$BT$13, 2, 0)</f>
        <v>couch_Ti_T6_005</v>
      </c>
      <c r="B128" s="18" t="str">
        <f t="shared" si="2"/>
        <v>T6 여객 티타늄객차</v>
      </c>
      <c r="C128" s="18">
        <f>VLOOKUP(D128, Factor!$P$41:$Q$50, 2, 0)</f>
        <v>12000</v>
      </c>
      <c r="D128" s="18" t="s">
        <v>302</v>
      </c>
      <c r="E128" s="55" t="s">
        <v>593</v>
      </c>
      <c r="F128" s="55" t="s">
        <v>598</v>
      </c>
      <c r="G128" s="18" t="str">
        <f t="shared" si="3"/>
        <v>여객 티타늄</v>
      </c>
      <c r="H128" s="18">
        <v>1</v>
      </c>
      <c r="I128" s="18">
        <v>1</v>
      </c>
      <c r="J128" s="18">
        <v>1</v>
      </c>
      <c r="K128" s="18">
        <v>1</v>
      </c>
      <c r="L128" s="18">
        <v>1</v>
      </c>
      <c r="M128" s="18" cm="1">
        <f t="array" ref="M128">H128*VLOOKUP($G128, Factor!$Q$4:$V$36, 2, 0)*INDEX(Factor!$Q$41:$V$87, _xlfn.XMATCH($C128, Factor!$Q$41:$Q$87, -1), 2)</f>
        <v>1600</v>
      </c>
      <c r="N128" s="18" cm="1">
        <f t="array" ref="N128">I128*VLOOKUP($G128, Factor!$Q$4:$V$36, 3, 0)*INDEX(Factor!$Q$41:$V$87, _xlfn.XMATCH($C128, Factor!$Q$41:$Q$87, -1), 3)</f>
        <v>30</v>
      </c>
      <c r="O128" s="18" cm="1">
        <f t="array" ref="O128">J128*VLOOKUP($G128, Factor!$Q$4:$V$36, 4, 0)*INDEX(Factor!$Q$41:$V$87, _xlfn.XMATCH($C128, Factor!$Q$41:$Q$87, -1), 4)</f>
        <v>16000</v>
      </c>
      <c r="P128" s="18" cm="1">
        <f t="array" ref="P128">K128*VLOOKUP($G128, Factor!$Q$4:$V$36, 5, 0)*INDEX(Factor!$Q$41:$V$87, _xlfn.XMATCH($C128, Factor!$Q$41:$Q$87, -1), 5)</f>
        <v>3.4</v>
      </c>
      <c r="Q128" s="18" cm="1">
        <f t="array" ref="Q128">L128*VLOOKUP($G128, Factor!$Q$4:$V$36, 6, 0)*INDEX(Factor!$Q$41:$V$87, _xlfn.XMATCH($C128, Factor!$Q$41:$Q$87, -1), 6)</f>
        <v>4000</v>
      </c>
      <c r="R128" s="19"/>
    </row>
    <row r="129" spans="1:18" ht="15.75" customHeight="1" x14ac:dyDescent="0.2">
      <c r="A129" s="14" t="str">
        <f>"couch_"&amp;VLOOKUP(F129, Factor!$BQ$4:$BR$6, 2, 0)&amp;"_"&amp;Couch!D129&amp;"_"&amp;VLOOKUP(Couch!E129, Factor!$BS$4:$BT$13, 2, 0)</f>
        <v>couch_Ti_T6_006</v>
      </c>
      <c r="B129" s="15" t="str">
        <f t="shared" ref="B129:B192" si="4">D129&amp;" "&amp;G129&amp;"객차"</f>
        <v>T6 시운 티타늄객차</v>
      </c>
      <c r="C129" s="15">
        <f>VLOOKUP(D129, Factor!$P$41:$Q$50, 2, 0)</f>
        <v>12000</v>
      </c>
      <c r="D129" s="15" t="s">
        <v>302</v>
      </c>
      <c r="E129" s="56" t="s">
        <v>595</v>
      </c>
      <c r="F129" s="56" t="s">
        <v>598</v>
      </c>
      <c r="G129" s="15" t="str">
        <f t="shared" ref="G129:G192" si="5">E129&amp;" " &amp;F129</f>
        <v>시운 티타늄</v>
      </c>
      <c r="H129" s="15">
        <v>1</v>
      </c>
      <c r="I129" s="15">
        <v>1</v>
      </c>
      <c r="J129" s="15">
        <v>1</v>
      </c>
      <c r="K129" s="15">
        <v>1</v>
      </c>
      <c r="L129" s="15">
        <v>1</v>
      </c>
      <c r="M129" s="15" cm="1">
        <f t="array" ref="M129">H129*VLOOKUP($G129, Factor!$Q$4:$V$36, 2, 0)*INDEX(Factor!$Q$41:$V$87, _xlfn.XMATCH($C129, Factor!$Q$41:$Q$87, -1), 2)</f>
        <v>1000</v>
      </c>
      <c r="N129" s="15" cm="1">
        <f t="array" ref="N129">I129*VLOOKUP($G129, Factor!$Q$4:$V$36, 3, 0)*INDEX(Factor!$Q$41:$V$87, _xlfn.XMATCH($C129, Factor!$Q$41:$Q$87, -1), 3)</f>
        <v>60</v>
      </c>
      <c r="O129" s="15" cm="1">
        <f t="array" ref="O129">J129*VLOOKUP($G129, Factor!$Q$4:$V$36, 4, 0)*INDEX(Factor!$Q$41:$V$87, _xlfn.XMATCH($C129, Factor!$Q$41:$Q$87, -1), 4)</f>
        <v>3000</v>
      </c>
      <c r="P129" s="15" cm="1">
        <f t="array" ref="P129">K129*VLOOKUP($G129, Factor!$Q$4:$V$36, 5, 0)*INDEX(Factor!$Q$41:$V$87, _xlfn.XMATCH($C129, Factor!$Q$41:$Q$87, -1), 5)</f>
        <v>2.8</v>
      </c>
      <c r="Q129" s="15" cm="1">
        <f t="array" ref="Q129">L129*VLOOKUP($G129, Factor!$Q$4:$V$36, 6, 0)*INDEX(Factor!$Q$41:$V$87, _xlfn.XMATCH($C129, Factor!$Q$41:$Q$87, -1), 6)</f>
        <v>4000</v>
      </c>
      <c r="R129" s="16"/>
    </row>
    <row r="130" spans="1:18" ht="15.75" customHeight="1" x14ac:dyDescent="0.2">
      <c r="A130" s="17" t="str">
        <f>"couch_"&amp;VLOOKUP(F130, Factor!$BQ$4:$BR$6, 2, 0)&amp;"_"&amp;Couch!D130&amp;"_"&amp;VLOOKUP(Couch!E130, Factor!$BS$4:$BT$13, 2, 0)</f>
        <v>couch_Ti_T6_007</v>
      </c>
      <c r="B130" s="18" t="str">
        <f t="shared" si="4"/>
        <v>T6 경량 티타늄객차</v>
      </c>
      <c r="C130" s="18">
        <f>VLOOKUP(D130, Factor!$P$41:$Q$50, 2, 0)</f>
        <v>12000</v>
      </c>
      <c r="D130" s="18" t="s">
        <v>302</v>
      </c>
      <c r="E130" s="55" t="s">
        <v>585</v>
      </c>
      <c r="F130" s="55" t="s">
        <v>598</v>
      </c>
      <c r="G130" s="18" t="str">
        <f t="shared" si="5"/>
        <v>경량 티타늄</v>
      </c>
      <c r="H130" s="18">
        <v>1</v>
      </c>
      <c r="I130" s="18">
        <v>1</v>
      </c>
      <c r="J130" s="18">
        <v>1</v>
      </c>
      <c r="K130" s="18">
        <v>1</v>
      </c>
      <c r="L130" s="18">
        <v>1</v>
      </c>
      <c r="M130" s="18" cm="1">
        <f t="array" ref="M130">H130*VLOOKUP($G130, Factor!$Q$4:$V$36, 2, 0)*INDEX(Factor!$Q$41:$V$87, _xlfn.XMATCH($C130, Factor!$Q$41:$Q$87, -1), 2)</f>
        <v>1200</v>
      </c>
      <c r="N130" s="18" cm="1">
        <f t="array" ref="N130">I130*VLOOKUP($G130, Factor!$Q$4:$V$36, 3, 0)*INDEX(Factor!$Q$41:$V$87, _xlfn.XMATCH($C130, Factor!$Q$41:$Q$87, -1), 3)</f>
        <v>40</v>
      </c>
      <c r="O130" s="18" cm="1">
        <f t="array" ref="O130">J130*VLOOKUP($G130, Factor!$Q$4:$V$36, 4, 0)*INDEX(Factor!$Q$41:$V$87, _xlfn.XMATCH($C130, Factor!$Q$41:$Q$87, -1), 4)</f>
        <v>1200</v>
      </c>
      <c r="P130" s="18" cm="1">
        <f t="array" ref="P130">K130*VLOOKUP($G130, Factor!$Q$4:$V$36, 5, 0)*INDEX(Factor!$Q$41:$V$87, _xlfn.XMATCH($C130, Factor!$Q$41:$Q$87, -1), 5)</f>
        <v>2.8</v>
      </c>
      <c r="Q130" s="18" cm="1">
        <f t="array" ref="Q130">L130*VLOOKUP($G130, Factor!$Q$4:$V$36, 6, 0)*INDEX(Factor!$Q$41:$V$87, _xlfn.XMATCH($C130, Factor!$Q$41:$Q$87, -1), 6)</f>
        <v>2000</v>
      </c>
      <c r="R130" s="19"/>
    </row>
    <row r="131" spans="1:18" ht="15.75" customHeight="1" x14ac:dyDescent="0.2">
      <c r="A131" s="14" t="str">
        <f>"couch_"&amp;VLOOKUP(F131, Factor!$BQ$4:$BR$6, 2, 0)&amp;"_"&amp;Couch!D131&amp;"_"&amp;VLOOKUP(Couch!E131, Factor!$BS$4:$BT$13, 2, 0)</f>
        <v>couch_Wo_T7_001</v>
      </c>
      <c r="B131" s="15" t="str">
        <f t="shared" si="4"/>
        <v>T7 표준 나무객차</v>
      </c>
      <c r="C131" s="15">
        <f>VLOOKUP(D131, Factor!$P$41:$Q$50, 2, 0)</f>
        <v>14000</v>
      </c>
      <c r="D131" s="15" t="s">
        <v>325</v>
      </c>
      <c r="E131" s="56" t="s">
        <v>582</v>
      </c>
      <c r="F131" s="56" t="s">
        <v>663</v>
      </c>
      <c r="G131" s="15" t="str">
        <f t="shared" si="5"/>
        <v>표준 나무</v>
      </c>
      <c r="H131" s="15">
        <v>1</v>
      </c>
      <c r="I131" s="15">
        <v>1</v>
      </c>
      <c r="J131" s="15">
        <v>1</v>
      </c>
      <c r="K131" s="15">
        <v>1</v>
      </c>
      <c r="L131" s="15">
        <v>1</v>
      </c>
      <c r="M131" s="15" cm="1">
        <f t="array" ref="M131">H131*VLOOKUP($G131, Factor!$Q$4:$V$36, 2, 0)*INDEX(Factor!$Q$41:$V$87, _xlfn.XMATCH($C131, Factor!$Q$41:$Q$87, -1), 2)</f>
        <v>1100</v>
      </c>
      <c r="N131" s="15" cm="1">
        <f t="array" ref="N131">I131*VLOOKUP($G131, Factor!$Q$4:$V$36, 3, 0)*INDEX(Factor!$Q$41:$V$87, _xlfn.XMATCH($C131, Factor!$Q$41:$Q$87, -1), 3)</f>
        <v>22</v>
      </c>
      <c r="O131" s="15" cm="1">
        <f t="array" ref="O131">J131*VLOOKUP($G131, Factor!$Q$4:$V$36, 4, 0)*INDEX(Factor!$Q$41:$V$87, _xlfn.XMATCH($C131, Factor!$Q$41:$Q$87, -1), 4)</f>
        <v>1100</v>
      </c>
      <c r="P131" s="15" cm="1">
        <f t="array" ref="P131">K131*VLOOKUP($G131, Factor!$Q$4:$V$36, 5, 0)*INDEX(Factor!$Q$41:$V$87, _xlfn.XMATCH($C131, Factor!$Q$41:$Q$87, -1), 5)</f>
        <v>2.2000000000000002</v>
      </c>
      <c r="Q131" s="15" cm="1">
        <f t="array" ref="Q131">L131*VLOOKUP($G131, Factor!$Q$4:$V$36, 6, 0)*INDEX(Factor!$Q$41:$V$87, _xlfn.XMATCH($C131, Factor!$Q$41:$Q$87, -1), 6)</f>
        <v>2200</v>
      </c>
      <c r="R131" s="16"/>
    </row>
    <row r="132" spans="1:18" ht="15.75" customHeight="1" x14ac:dyDescent="0.2">
      <c r="A132" s="17" t="str">
        <f>"couch_"&amp;VLOOKUP(F132, Factor!$BQ$4:$BR$6, 2, 0)&amp;"_"&amp;Couch!D132&amp;"_"&amp;VLOOKUP(Couch!E132, Factor!$BS$4:$BT$13, 2, 0)</f>
        <v>couch_Wo_T7_002</v>
      </c>
      <c r="B132" s="18" t="str">
        <f t="shared" si="4"/>
        <v>T7 중갑 나무객차</v>
      </c>
      <c r="C132" s="18">
        <f>VLOOKUP(D132, Factor!$P$41:$Q$50, 2, 0)</f>
        <v>14000</v>
      </c>
      <c r="D132" s="18" t="s">
        <v>325</v>
      </c>
      <c r="E132" s="55" t="s">
        <v>587</v>
      </c>
      <c r="F132" s="55" t="s">
        <v>663</v>
      </c>
      <c r="G132" s="18" t="str">
        <f t="shared" si="5"/>
        <v>중갑 나무</v>
      </c>
      <c r="H132" s="18">
        <v>1</v>
      </c>
      <c r="I132" s="18">
        <v>1</v>
      </c>
      <c r="J132" s="18">
        <v>1</v>
      </c>
      <c r="K132" s="18">
        <v>1</v>
      </c>
      <c r="L132" s="18">
        <v>1</v>
      </c>
      <c r="M132" s="18" cm="1">
        <f t="array" ref="M132">H132*VLOOKUP($G132, Factor!$Q$4:$V$36, 2, 0)*INDEX(Factor!$Q$41:$V$87, _xlfn.XMATCH($C132, Factor!$Q$41:$Q$87, -1), 2)</f>
        <v>1100</v>
      </c>
      <c r="N132" s="18" cm="1">
        <f t="array" ref="N132">I132*VLOOKUP($G132, Factor!$Q$4:$V$36, 3, 0)*INDEX(Factor!$Q$41:$V$87, _xlfn.XMATCH($C132, Factor!$Q$41:$Q$87, -1), 3)</f>
        <v>44</v>
      </c>
      <c r="O132" s="18" cm="1">
        <f t="array" ref="O132">J132*VLOOKUP($G132, Factor!$Q$4:$V$36, 4, 0)*INDEX(Factor!$Q$41:$V$87, _xlfn.XMATCH($C132, Factor!$Q$41:$Q$87, -1), 4)</f>
        <v>1100</v>
      </c>
      <c r="P132" s="18" cm="1">
        <f t="array" ref="P132">K132*VLOOKUP($G132, Factor!$Q$4:$V$36, 5, 0)*INDEX(Factor!$Q$41:$V$87, _xlfn.XMATCH($C132, Factor!$Q$41:$Q$87, -1), 5)</f>
        <v>2.2000000000000002</v>
      </c>
      <c r="Q132" s="18" cm="1">
        <f t="array" ref="Q132">L132*VLOOKUP($G132, Factor!$Q$4:$V$36, 6, 0)*INDEX(Factor!$Q$41:$V$87, _xlfn.XMATCH($C132, Factor!$Q$41:$Q$87, -1), 6)</f>
        <v>4400</v>
      </c>
      <c r="R132" s="19"/>
    </row>
    <row r="133" spans="1:18" ht="15.75" customHeight="1" x14ac:dyDescent="0.2">
      <c r="A133" s="14" t="str">
        <f>"couch_"&amp;VLOOKUP(F133, Factor!$BQ$4:$BR$6, 2, 0)&amp;"_"&amp;Couch!D133&amp;"_"&amp;VLOOKUP(Couch!E133, Factor!$BS$4:$BT$13, 2, 0)</f>
        <v>couch_Wo_T7_003</v>
      </c>
      <c r="B133" s="15" t="str">
        <f t="shared" si="4"/>
        <v>T7 화물 나무객차</v>
      </c>
      <c r="C133" s="15">
        <f>VLOOKUP(D133, Factor!$P$41:$Q$50, 2, 0)</f>
        <v>14000</v>
      </c>
      <c r="D133" s="15" t="s">
        <v>303</v>
      </c>
      <c r="E133" s="56" t="s">
        <v>589</v>
      </c>
      <c r="F133" s="56" t="s">
        <v>663</v>
      </c>
      <c r="G133" s="15" t="str">
        <f t="shared" si="5"/>
        <v>화물 나무</v>
      </c>
      <c r="H133" s="15">
        <v>1</v>
      </c>
      <c r="I133" s="15">
        <v>1</v>
      </c>
      <c r="J133" s="15">
        <v>1</v>
      </c>
      <c r="K133" s="15">
        <v>1</v>
      </c>
      <c r="L133" s="15">
        <v>1</v>
      </c>
      <c r="M133" s="15" cm="1">
        <f t="array" ref="M133">H133*VLOOKUP($G133, Factor!$Q$4:$V$36, 2, 0)*INDEX(Factor!$Q$41:$V$87, _xlfn.XMATCH($C133, Factor!$Q$41:$Q$87, -1), 2)</f>
        <v>1100</v>
      </c>
      <c r="N133" s="15" cm="1">
        <f t="array" ref="N133">I133*VLOOKUP($G133, Factor!$Q$4:$V$36, 3, 0)*INDEX(Factor!$Q$41:$V$87, _xlfn.XMATCH($C133, Factor!$Q$41:$Q$87, -1), 3)</f>
        <v>22</v>
      </c>
      <c r="O133" s="15" cm="1">
        <f t="array" ref="O133">J133*VLOOKUP($G133, Factor!$Q$4:$V$36, 4, 0)*INDEX(Factor!$Q$41:$V$87, _xlfn.XMATCH($C133, Factor!$Q$41:$Q$87, -1), 4)</f>
        <v>1100</v>
      </c>
      <c r="P133" s="15" cm="1">
        <f t="array" ref="P133">K133*VLOOKUP($G133, Factor!$Q$4:$V$36, 5, 0)*INDEX(Factor!$Q$41:$V$87, _xlfn.XMATCH($C133, Factor!$Q$41:$Q$87, -1), 5)</f>
        <v>1.9800000000000002</v>
      </c>
      <c r="Q133" s="15" cm="1">
        <f t="array" ref="Q133">L133*VLOOKUP($G133, Factor!$Q$4:$V$36, 6, 0)*INDEX(Factor!$Q$41:$V$87, _xlfn.XMATCH($C133, Factor!$Q$41:$Q$87, -1), 6)</f>
        <v>1540.0000000000002</v>
      </c>
      <c r="R133" s="16"/>
    </row>
    <row r="134" spans="1:18" ht="15.75" customHeight="1" x14ac:dyDescent="0.2">
      <c r="A134" s="17" t="str">
        <f>"couch_"&amp;VLOOKUP(F134, Factor!$BQ$4:$BR$6, 2, 0)&amp;"_"&amp;Couch!D134&amp;"_"&amp;VLOOKUP(Couch!E134, Factor!$BS$4:$BT$13, 2, 0)</f>
        <v>couch_Wo_T7_004</v>
      </c>
      <c r="B134" s="18" t="str">
        <f t="shared" si="4"/>
        <v>T7 군용 나무객차</v>
      </c>
      <c r="C134" s="18">
        <f>VLOOKUP(D134, Factor!$P$41:$Q$50, 2, 0)</f>
        <v>14000</v>
      </c>
      <c r="D134" s="18" t="s">
        <v>303</v>
      </c>
      <c r="E134" s="55" t="s">
        <v>591</v>
      </c>
      <c r="F134" s="55" t="s">
        <v>663</v>
      </c>
      <c r="G134" s="18" t="str">
        <f t="shared" si="5"/>
        <v>군용 나무</v>
      </c>
      <c r="H134" s="18">
        <v>1</v>
      </c>
      <c r="I134" s="18">
        <v>1</v>
      </c>
      <c r="J134" s="18">
        <v>1</v>
      </c>
      <c r="K134" s="18">
        <v>1</v>
      </c>
      <c r="L134" s="18">
        <v>1</v>
      </c>
      <c r="M134" s="18" cm="1">
        <f t="array" ref="M134">H134*VLOOKUP($G134, Factor!$Q$4:$V$36, 2, 0)*INDEX(Factor!$Q$41:$V$87, _xlfn.XMATCH($C134, Factor!$Q$41:$Q$87, -1), 2)</f>
        <v>1540.0000000000002</v>
      </c>
      <c r="N134" s="18" cm="1">
        <f t="array" ref="N134">I134*VLOOKUP($G134, Factor!$Q$4:$V$36, 3, 0)*INDEX(Factor!$Q$41:$V$87, _xlfn.XMATCH($C134, Factor!$Q$41:$Q$87, -1), 3)</f>
        <v>33</v>
      </c>
      <c r="O134" s="18" cm="1">
        <f t="array" ref="O134">J134*VLOOKUP($G134, Factor!$Q$4:$V$36, 4, 0)*INDEX(Factor!$Q$41:$V$87, _xlfn.XMATCH($C134, Factor!$Q$41:$Q$87, -1), 4)</f>
        <v>1540.0000000000002</v>
      </c>
      <c r="P134" s="18" cm="1">
        <f t="array" ref="P134">K134*VLOOKUP($G134, Factor!$Q$4:$V$36, 5, 0)*INDEX(Factor!$Q$41:$V$87, _xlfn.XMATCH($C134, Factor!$Q$41:$Q$87, -1), 5)</f>
        <v>2.4200000000000004</v>
      </c>
      <c r="Q134" s="18" cm="1">
        <f t="array" ref="Q134">L134*VLOOKUP($G134, Factor!$Q$4:$V$36, 6, 0)*INDEX(Factor!$Q$41:$V$87, _xlfn.XMATCH($C134, Factor!$Q$41:$Q$87, -1), 6)</f>
        <v>6600.0000000000009</v>
      </c>
      <c r="R134" s="19"/>
    </row>
    <row r="135" spans="1:18" ht="15.75" customHeight="1" x14ac:dyDescent="0.2">
      <c r="A135" s="14" t="str">
        <f>"couch_"&amp;VLOOKUP(F135, Factor!$BQ$4:$BR$6, 2, 0)&amp;"_"&amp;Couch!D135&amp;"_"&amp;VLOOKUP(Couch!E135, Factor!$BS$4:$BT$13, 2, 0)</f>
        <v>couch_Wo_T7_005</v>
      </c>
      <c r="B135" s="15" t="str">
        <f t="shared" si="4"/>
        <v>T7 여객 나무객차</v>
      </c>
      <c r="C135" s="15">
        <f>VLOOKUP(D135, Factor!$P$41:$Q$50, 2, 0)</f>
        <v>14000</v>
      </c>
      <c r="D135" s="15" t="s">
        <v>303</v>
      </c>
      <c r="E135" s="56" t="s">
        <v>593</v>
      </c>
      <c r="F135" s="56" t="s">
        <v>663</v>
      </c>
      <c r="G135" s="15" t="str">
        <f t="shared" si="5"/>
        <v>여객 나무</v>
      </c>
      <c r="H135" s="15">
        <v>1</v>
      </c>
      <c r="I135" s="15">
        <v>1</v>
      </c>
      <c r="J135" s="15">
        <v>1</v>
      </c>
      <c r="K135" s="15">
        <v>1</v>
      </c>
      <c r="L135" s="15">
        <v>1</v>
      </c>
      <c r="M135" s="15" cm="1">
        <f t="array" ref="M135">H135*VLOOKUP($G135, Factor!$Q$4:$V$36, 2, 0)*INDEX(Factor!$Q$41:$V$87, _xlfn.XMATCH($C135, Factor!$Q$41:$Q$87, -1), 2)</f>
        <v>880.00000000000011</v>
      </c>
      <c r="N135" s="15" cm="1">
        <f t="array" ref="N135">I135*VLOOKUP($G135, Factor!$Q$4:$V$36, 3, 0)*INDEX(Factor!$Q$41:$V$87, _xlfn.XMATCH($C135, Factor!$Q$41:$Q$87, -1), 3)</f>
        <v>17.600000000000001</v>
      </c>
      <c r="O135" s="15" cm="1">
        <f t="array" ref="O135">J135*VLOOKUP($G135, Factor!$Q$4:$V$36, 4, 0)*INDEX(Factor!$Q$41:$V$87, _xlfn.XMATCH($C135, Factor!$Q$41:$Q$87, -1), 4)</f>
        <v>880.00000000000011</v>
      </c>
      <c r="P135" s="15" cm="1">
        <f t="array" ref="P135">K135*VLOOKUP($G135, Factor!$Q$4:$V$36, 5, 0)*INDEX(Factor!$Q$41:$V$87, _xlfn.XMATCH($C135, Factor!$Q$41:$Q$87, -1), 5)</f>
        <v>2.64</v>
      </c>
      <c r="Q135" s="15" cm="1">
        <f t="array" ref="Q135">L135*VLOOKUP($G135, Factor!$Q$4:$V$36, 6, 0)*INDEX(Factor!$Q$41:$V$87, _xlfn.XMATCH($C135, Factor!$Q$41:$Q$87, -1), 6)</f>
        <v>2200</v>
      </c>
      <c r="R135" s="16"/>
    </row>
    <row r="136" spans="1:18" ht="15.75" customHeight="1" x14ac:dyDescent="0.2">
      <c r="A136" s="17" t="str">
        <f>"couch_"&amp;VLOOKUP(F136, Factor!$BQ$4:$BR$6, 2, 0)&amp;"_"&amp;Couch!D136&amp;"_"&amp;VLOOKUP(Couch!E136, Factor!$BS$4:$BT$13, 2, 0)</f>
        <v>couch_Wo_T7_006</v>
      </c>
      <c r="B136" s="18" t="str">
        <f t="shared" si="4"/>
        <v>T7 시운 나무객차</v>
      </c>
      <c r="C136" s="18">
        <f>VLOOKUP(D136, Factor!$P$41:$Q$50, 2, 0)</f>
        <v>14000</v>
      </c>
      <c r="D136" s="18" t="s">
        <v>303</v>
      </c>
      <c r="E136" s="55" t="s">
        <v>595</v>
      </c>
      <c r="F136" s="55" t="s">
        <v>663</v>
      </c>
      <c r="G136" s="18" t="str">
        <f t="shared" si="5"/>
        <v>시운 나무</v>
      </c>
      <c r="H136" s="18">
        <v>1</v>
      </c>
      <c r="I136" s="18">
        <v>1</v>
      </c>
      <c r="J136" s="18">
        <v>1</v>
      </c>
      <c r="K136" s="18">
        <v>1</v>
      </c>
      <c r="L136" s="18">
        <v>1</v>
      </c>
      <c r="M136" s="18" cm="1">
        <f t="array" ref="M136">H136*VLOOKUP($G136, Factor!$Q$4:$V$36, 2, 0)*INDEX(Factor!$Q$41:$V$87, _xlfn.XMATCH($C136, Factor!$Q$41:$Q$87, -1), 2)</f>
        <v>440.00000000000006</v>
      </c>
      <c r="N136" s="18" cm="1">
        <f t="array" ref="N136">I136*VLOOKUP($G136, Factor!$Q$4:$V$36, 3, 0)*INDEX(Factor!$Q$41:$V$87, _xlfn.XMATCH($C136, Factor!$Q$41:$Q$87, -1), 3)</f>
        <v>22</v>
      </c>
      <c r="O136" s="18" cm="1">
        <f t="array" ref="O136">J136*VLOOKUP($G136, Factor!$Q$4:$V$36, 4, 0)*INDEX(Factor!$Q$41:$V$87, _xlfn.XMATCH($C136, Factor!$Q$41:$Q$87, -1), 4)</f>
        <v>1760.0000000000002</v>
      </c>
      <c r="P136" s="18" cm="1">
        <f t="array" ref="P136">K136*VLOOKUP($G136, Factor!$Q$4:$V$36, 5, 0)*INDEX(Factor!$Q$41:$V$87, _xlfn.XMATCH($C136, Factor!$Q$41:$Q$87, -1), 5)</f>
        <v>2.2000000000000002</v>
      </c>
      <c r="Q136" s="18" cm="1">
        <f t="array" ref="Q136">L136*VLOOKUP($G136, Factor!$Q$4:$V$36, 6, 0)*INDEX(Factor!$Q$41:$V$87, _xlfn.XMATCH($C136, Factor!$Q$41:$Q$87, -1), 6)</f>
        <v>2200</v>
      </c>
      <c r="R136" s="19"/>
    </row>
    <row r="137" spans="1:18" ht="15.75" customHeight="1" x14ac:dyDescent="0.2">
      <c r="A137" s="14" t="str">
        <f>"couch_"&amp;VLOOKUP(F137, Factor!$BQ$4:$BR$6, 2, 0)&amp;"_"&amp;Couch!D137&amp;"_"&amp;VLOOKUP(Couch!E137, Factor!$BS$4:$BT$13, 2, 0)</f>
        <v>couch_Wo_T7_007</v>
      </c>
      <c r="B137" s="15" t="str">
        <f t="shared" si="4"/>
        <v>T7 경량 나무객차</v>
      </c>
      <c r="C137" s="15">
        <f>VLOOKUP(D137, Factor!$P$41:$Q$50, 2, 0)</f>
        <v>14000</v>
      </c>
      <c r="D137" s="15" t="s">
        <v>303</v>
      </c>
      <c r="E137" s="56" t="s">
        <v>585</v>
      </c>
      <c r="F137" s="56" t="s">
        <v>663</v>
      </c>
      <c r="G137" s="15" t="str">
        <f t="shared" si="5"/>
        <v>경량 나무</v>
      </c>
      <c r="H137" s="15">
        <v>1</v>
      </c>
      <c r="I137" s="15">
        <v>1</v>
      </c>
      <c r="J137" s="15">
        <v>1</v>
      </c>
      <c r="K137" s="15">
        <v>1</v>
      </c>
      <c r="L137" s="15">
        <v>1</v>
      </c>
      <c r="M137" s="15" cm="1">
        <f t="array" ref="M137">H137*VLOOKUP($G137, Factor!$Q$4:$V$36, 2, 0)*INDEX(Factor!$Q$41:$V$87, _xlfn.XMATCH($C137, Factor!$Q$41:$Q$87, -1), 2)</f>
        <v>660</v>
      </c>
      <c r="N137" s="15" cm="1">
        <f t="array" ref="N137">I137*VLOOKUP($G137, Factor!$Q$4:$V$36, 3, 0)*INDEX(Factor!$Q$41:$V$87, _xlfn.XMATCH($C137, Factor!$Q$41:$Q$87, -1), 3)</f>
        <v>17.600000000000001</v>
      </c>
      <c r="O137" s="15" cm="1">
        <f t="array" ref="O137">J137*VLOOKUP($G137, Factor!$Q$4:$V$36, 4, 0)*INDEX(Factor!$Q$41:$V$87, _xlfn.XMATCH($C137, Factor!$Q$41:$Q$87, -1), 4)</f>
        <v>660</v>
      </c>
      <c r="P137" s="15" cm="1">
        <f t="array" ref="P137">K137*VLOOKUP($G137, Factor!$Q$4:$V$36, 5, 0)*INDEX(Factor!$Q$41:$V$87, _xlfn.XMATCH($C137, Factor!$Q$41:$Q$87, -1), 5)</f>
        <v>2.2000000000000002</v>
      </c>
      <c r="Q137" s="15" cm="1">
        <f t="array" ref="Q137">L137*VLOOKUP($G137, Factor!$Q$4:$V$36, 6, 0)*INDEX(Factor!$Q$41:$V$87, _xlfn.XMATCH($C137, Factor!$Q$41:$Q$87, -1), 6)</f>
        <v>1100</v>
      </c>
      <c r="R137" s="16"/>
    </row>
    <row r="138" spans="1:18" ht="15.75" customHeight="1" x14ac:dyDescent="0.2">
      <c r="A138" s="17" t="str">
        <f>"couch_"&amp;VLOOKUP(F138, Factor!$BQ$4:$BR$6, 2, 0)&amp;"_"&amp;Couch!D138&amp;"_"&amp;VLOOKUP(Couch!E138, Factor!$BS$4:$BT$13, 2, 0)</f>
        <v>couch_St_T7_001</v>
      </c>
      <c r="B138" s="18" t="str">
        <f t="shared" si="4"/>
        <v>T7 표준 강철객차</v>
      </c>
      <c r="C138" s="18">
        <f>VLOOKUP(D138, Factor!$P$41:$Q$50, 2, 0)</f>
        <v>14000</v>
      </c>
      <c r="D138" s="18" t="s">
        <v>303</v>
      </c>
      <c r="E138" s="55" t="s">
        <v>582</v>
      </c>
      <c r="F138" s="55" t="s">
        <v>597</v>
      </c>
      <c r="G138" s="18" t="str">
        <f t="shared" si="5"/>
        <v>표준 강철</v>
      </c>
      <c r="H138" s="18">
        <v>1</v>
      </c>
      <c r="I138" s="18">
        <v>1</v>
      </c>
      <c r="J138" s="18">
        <v>1</v>
      </c>
      <c r="K138" s="18">
        <v>1</v>
      </c>
      <c r="L138" s="18">
        <v>1</v>
      </c>
      <c r="M138" s="18" cm="1">
        <f t="array" ref="M138">H138*VLOOKUP($G138, Factor!$Q$4:$V$36, 2, 0)*INDEX(Factor!$Q$41:$V$87, _xlfn.XMATCH($C138, Factor!$Q$41:$Q$87, -1), 2)</f>
        <v>1540.0000000000002</v>
      </c>
      <c r="N138" s="18" cm="1">
        <f t="array" ref="N138">I138*VLOOKUP($G138, Factor!$Q$4:$V$36, 3, 0)*INDEX(Factor!$Q$41:$V$87, _xlfn.XMATCH($C138, Factor!$Q$41:$Q$87, -1), 3)</f>
        <v>44</v>
      </c>
      <c r="O138" s="18" cm="1">
        <f t="array" ref="O138">J138*VLOOKUP($G138, Factor!$Q$4:$V$36, 4, 0)*INDEX(Factor!$Q$41:$V$87, _xlfn.XMATCH($C138, Factor!$Q$41:$Q$87, -1), 4)</f>
        <v>1540.0000000000002</v>
      </c>
      <c r="P138" s="18" cm="1">
        <f t="array" ref="P138">K138*VLOOKUP($G138, Factor!$Q$4:$V$36, 5, 0)*INDEX(Factor!$Q$41:$V$87, _xlfn.XMATCH($C138, Factor!$Q$41:$Q$87, -1), 5)</f>
        <v>2.64</v>
      </c>
      <c r="Q138" s="18" cm="1">
        <f t="array" ref="Q138">L138*VLOOKUP($G138, Factor!$Q$4:$V$36, 6, 0)*INDEX(Factor!$Q$41:$V$87, _xlfn.XMATCH($C138, Factor!$Q$41:$Q$87, -1), 6)</f>
        <v>3300.0000000000005</v>
      </c>
      <c r="R138" s="19"/>
    </row>
    <row r="139" spans="1:18" ht="15.75" customHeight="1" x14ac:dyDescent="0.2">
      <c r="A139" s="14" t="str">
        <f>"couch_"&amp;VLOOKUP(F139, Factor!$BQ$4:$BR$6, 2, 0)&amp;"_"&amp;Couch!D139&amp;"_"&amp;VLOOKUP(Couch!E139, Factor!$BS$4:$BT$13, 2, 0)</f>
        <v>couch_St_T7_002</v>
      </c>
      <c r="B139" s="15" t="str">
        <f t="shared" si="4"/>
        <v>T7 중갑 강철객차</v>
      </c>
      <c r="C139" s="15">
        <f>VLOOKUP(D139, Factor!$P$41:$Q$50, 2, 0)</f>
        <v>14000</v>
      </c>
      <c r="D139" s="15" t="s">
        <v>303</v>
      </c>
      <c r="E139" s="56" t="s">
        <v>587</v>
      </c>
      <c r="F139" s="56" t="s">
        <v>597</v>
      </c>
      <c r="G139" s="15" t="str">
        <f t="shared" si="5"/>
        <v>중갑 강철</v>
      </c>
      <c r="H139" s="15">
        <v>1</v>
      </c>
      <c r="I139" s="15">
        <v>1</v>
      </c>
      <c r="J139" s="15">
        <v>1</v>
      </c>
      <c r="K139" s="15">
        <v>1</v>
      </c>
      <c r="L139" s="15">
        <v>1</v>
      </c>
      <c r="M139" s="15" cm="1">
        <f t="array" ref="M139">H139*VLOOKUP($G139, Factor!$Q$4:$V$36, 2, 0)*INDEX(Factor!$Q$41:$V$87, _xlfn.XMATCH($C139, Factor!$Q$41:$Q$87, -1), 2)</f>
        <v>1540.0000000000002</v>
      </c>
      <c r="N139" s="15" cm="1">
        <f t="array" ref="N139">I139*VLOOKUP($G139, Factor!$Q$4:$V$36, 3, 0)*INDEX(Factor!$Q$41:$V$87, _xlfn.XMATCH($C139, Factor!$Q$41:$Q$87, -1), 3)</f>
        <v>77</v>
      </c>
      <c r="O139" s="15" cm="1">
        <f t="array" ref="O139">J139*VLOOKUP($G139, Factor!$Q$4:$V$36, 4, 0)*INDEX(Factor!$Q$41:$V$87, _xlfn.XMATCH($C139, Factor!$Q$41:$Q$87, -1), 4)</f>
        <v>1540.0000000000002</v>
      </c>
      <c r="P139" s="15" cm="1">
        <f t="array" ref="P139">K139*VLOOKUP($G139, Factor!$Q$4:$V$36, 5, 0)*INDEX(Factor!$Q$41:$V$87, _xlfn.XMATCH($C139, Factor!$Q$41:$Q$87, -1), 5)</f>
        <v>2.64</v>
      </c>
      <c r="Q139" s="15" cm="1">
        <f t="array" ref="Q139">L139*VLOOKUP($G139, Factor!$Q$4:$V$36, 6, 0)*INDEX(Factor!$Q$41:$V$87, _xlfn.XMATCH($C139, Factor!$Q$41:$Q$87, -1), 6)</f>
        <v>6600.0000000000009</v>
      </c>
      <c r="R139" s="16"/>
    </row>
    <row r="140" spans="1:18" ht="15.75" customHeight="1" x14ac:dyDescent="0.2">
      <c r="A140" s="17" t="str">
        <f>"couch_"&amp;VLOOKUP(F140, Factor!$BQ$4:$BR$6, 2, 0)&amp;"_"&amp;Couch!D140&amp;"_"&amp;VLOOKUP(Couch!E140, Factor!$BS$4:$BT$13, 2, 0)</f>
        <v>couch_St_T7_003</v>
      </c>
      <c r="B140" s="18" t="str">
        <f t="shared" si="4"/>
        <v>T7 화물 강철객차</v>
      </c>
      <c r="C140" s="18">
        <f>VLOOKUP(D140, Factor!$P$41:$Q$50, 2, 0)</f>
        <v>14000</v>
      </c>
      <c r="D140" s="18" t="s">
        <v>303</v>
      </c>
      <c r="E140" s="55" t="s">
        <v>589</v>
      </c>
      <c r="F140" s="55" t="s">
        <v>597</v>
      </c>
      <c r="G140" s="18" t="str">
        <f t="shared" si="5"/>
        <v>화물 강철</v>
      </c>
      <c r="H140" s="18">
        <v>1</v>
      </c>
      <c r="I140" s="18">
        <v>1</v>
      </c>
      <c r="J140" s="18">
        <v>1</v>
      </c>
      <c r="K140" s="18">
        <v>1</v>
      </c>
      <c r="L140" s="18">
        <v>1</v>
      </c>
      <c r="M140" s="18" cm="1">
        <f t="array" ref="M140">H140*VLOOKUP($G140, Factor!$Q$4:$V$36, 2, 0)*INDEX(Factor!$Q$41:$V$87, _xlfn.XMATCH($C140, Factor!$Q$41:$Q$87, -1), 2)</f>
        <v>1540.0000000000002</v>
      </c>
      <c r="N140" s="18" cm="1">
        <f t="array" ref="N140">I140*VLOOKUP($G140, Factor!$Q$4:$V$36, 3, 0)*INDEX(Factor!$Q$41:$V$87, _xlfn.XMATCH($C140, Factor!$Q$41:$Q$87, -1), 3)</f>
        <v>44</v>
      </c>
      <c r="O140" s="18" cm="1">
        <f t="array" ref="O140">J140*VLOOKUP($G140, Factor!$Q$4:$V$36, 4, 0)*INDEX(Factor!$Q$41:$V$87, _xlfn.XMATCH($C140, Factor!$Q$41:$Q$87, -1), 4)</f>
        <v>1540.0000000000002</v>
      </c>
      <c r="P140" s="18" cm="1">
        <f t="array" ref="P140">K140*VLOOKUP($G140, Factor!$Q$4:$V$36, 5, 0)*INDEX(Factor!$Q$41:$V$87, _xlfn.XMATCH($C140, Factor!$Q$41:$Q$87, -1), 5)</f>
        <v>2.4200000000000004</v>
      </c>
      <c r="Q140" s="18" cm="1">
        <f t="array" ref="Q140">L140*VLOOKUP($G140, Factor!$Q$4:$V$36, 6, 0)*INDEX(Factor!$Q$41:$V$87, _xlfn.XMATCH($C140, Factor!$Q$41:$Q$87, -1), 6)</f>
        <v>2200</v>
      </c>
      <c r="R140" s="19"/>
    </row>
    <row r="141" spans="1:18" ht="15.75" customHeight="1" x14ac:dyDescent="0.2">
      <c r="A141" s="14" t="str">
        <f>"couch_"&amp;VLOOKUP(F141, Factor!$BQ$4:$BR$6, 2, 0)&amp;"_"&amp;Couch!D141&amp;"_"&amp;VLOOKUP(Couch!E141, Factor!$BS$4:$BT$13, 2, 0)</f>
        <v>couch_St_T7_004</v>
      </c>
      <c r="B141" s="15" t="str">
        <f t="shared" si="4"/>
        <v>T7 군용 강철객차</v>
      </c>
      <c r="C141" s="15">
        <f>VLOOKUP(D141, Factor!$P$41:$Q$50, 2, 0)</f>
        <v>14000</v>
      </c>
      <c r="D141" s="15" t="s">
        <v>303</v>
      </c>
      <c r="E141" s="56" t="s">
        <v>591</v>
      </c>
      <c r="F141" s="56" t="s">
        <v>597</v>
      </c>
      <c r="G141" s="15" t="str">
        <f t="shared" si="5"/>
        <v>군용 강철</v>
      </c>
      <c r="H141" s="15">
        <v>1</v>
      </c>
      <c r="I141" s="15">
        <v>1</v>
      </c>
      <c r="J141" s="15">
        <v>1</v>
      </c>
      <c r="K141" s="15">
        <v>1</v>
      </c>
      <c r="L141" s="15">
        <v>1</v>
      </c>
      <c r="M141" s="15" cm="1">
        <f t="array" ref="M141">H141*VLOOKUP($G141, Factor!$Q$4:$V$36, 2, 0)*INDEX(Factor!$Q$41:$V$87, _xlfn.XMATCH($C141, Factor!$Q$41:$Q$87, -1), 2)</f>
        <v>1980.0000000000002</v>
      </c>
      <c r="N141" s="15" cm="1">
        <f t="array" ref="N141">I141*VLOOKUP($G141, Factor!$Q$4:$V$36, 3, 0)*INDEX(Factor!$Q$41:$V$87, _xlfn.XMATCH($C141, Factor!$Q$41:$Q$87, -1), 3)</f>
        <v>66</v>
      </c>
      <c r="O141" s="15" cm="1">
        <f t="array" ref="O141">J141*VLOOKUP($G141, Factor!$Q$4:$V$36, 4, 0)*INDEX(Factor!$Q$41:$V$87, _xlfn.XMATCH($C141, Factor!$Q$41:$Q$87, -1), 4)</f>
        <v>1980.0000000000002</v>
      </c>
      <c r="P141" s="15" cm="1">
        <f t="array" ref="P141">K141*VLOOKUP($G141, Factor!$Q$4:$V$36, 5, 0)*INDEX(Factor!$Q$41:$V$87, _xlfn.XMATCH($C141, Factor!$Q$41:$Q$87, -1), 5)</f>
        <v>2.8600000000000003</v>
      </c>
      <c r="Q141" s="15" cm="1">
        <f t="array" ref="Q141">L141*VLOOKUP($G141, Factor!$Q$4:$V$36, 6, 0)*INDEX(Factor!$Q$41:$V$87, _xlfn.XMATCH($C141, Factor!$Q$41:$Q$87, -1), 6)</f>
        <v>9900</v>
      </c>
      <c r="R141" s="16"/>
    </row>
    <row r="142" spans="1:18" ht="15.75" customHeight="1" x14ac:dyDescent="0.2">
      <c r="A142" s="17" t="str">
        <f>"couch_"&amp;VLOOKUP(F142, Factor!$BQ$4:$BR$6, 2, 0)&amp;"_"&amp;Couch!D142&amp;"_"&amp;VLOOKUP(Couch!E142, Factor!$BS$4:$BT$13, 2, 0)</f>
        <v>couch_St_T7_005</v>
      </c>
      <c r="B142" s="18" t="str">
        <f t="shared" si="4"/>
        <v>T7 여객 강철객차</v>
      </c>
      <c r="C142" s="18">
        <f>VLOOKUP(D142, Factor!$P$41:$Q$50, 2, 0)</f>
        <v>14000</v>
      </c>
      <c r="D142" s="18" t="s">
        <v>303</v>
      </c>
      <c r="E142" s="55" t="s">
        <v>593</v>
      </c>
      <c r="F142" s="55" t="s">
        <v>597</v>
      </c>
      <c r="G142" s="18" t="str">
        <f t="shared" si="5"/>
        <v>여객 강철</v>
      </c>
      <c r="H142" s="18">
        <v>1</v>
      </c>
      <c r="I142" s="18">
        <v>1</v>
      </c>
      <c r="J142" s="18">
        <v>1</v>
      </c>
      <c r="K142" s="18">
        <v>1</v>
      </c>
      <c r="L142" s="18">
        <v>1</v>
      </c>
      <c r="M142" s="18" cm="1">
        <f t="array" ref="M142">H142*VLOOKUP($G142, Factor!$Q$4:$V$36, 2, 0)*INDEX(Factor!$Q$41:$V$87, _xlfn.XMATCH($C142, Factor!$Q$41:$Q$87, -1), 2)</f>
        <v>1320</v>
      </c>
      <c r="N142" s="18" cm="1">
        <f t="array" ref="N142">I142*VLOOKUP($G142, Factor!$Q$4:$V$36, 3, 0)*INDEX(Factor!$Q$41:$V$87, _xlfn.XMATCH($C142, Factor!$Q$41:$Q$87, -1), 3)</f>
        <v>44</v>
      </c>
      <c r="O142" s="18" cm="1">
        <f t="array" ref="O142">J142*VLOOKUP($G142, Factor!$Q$4:$V$36, 4, 0)*INDEX(Factor!$Q$41:$V$87, _xlfn.XMATCH($C142, Factor!$Q$41:$Q$87, -1), 4)</f>
        <v>1320</v>
      </c>
      <c r="P142" s="18" cm="1">
        <f t="array" ref="P142">K142*VLOOKUP($G142, Factor!$Q$4:$V$36, 5, 0)*INDEX(Factor!$Q$41:$V$87, _xlfn.XMATCH($C142, Factor!$Q$41:$Q$87, -1), 5)</f>
        <v>3.08</v>
      </c>
      <c r="Q142" s="18" cm="1">
        <f t="array" ref="Q142">L142*VLOOKUP($G142, Factor!$Q$4:$V$36, 6, 0)*INDEX(Factor!$Q$41:$V$87, _xlfn.XMATCH($C142, Factor!$Q$41:$Q$87, -1), 6)</f>
        <v>3300.0000000000005</v>
      </c>
      <c r="R142" s="19"/>
    </row>
    <row r="143" spans="1:18" ht="15.75" customHeight="1" x14ac:dyDescent="0.2">
      <c r="A143" s="14" t="str">
        <f>"couch_"&amp;VLOOKUP(F143, Factor!$BQ$4:$BR$6, 2, 0)&amp;"_"&amp;Couch!D143&amp;"_"&amp;VLOOKUP(Couch!E143, Factor!$BS$4:$BT$13, 2, 0)</f>
        <v>couch_St_T7_006</v>
      </c>
      <c r="B143" s="15" t="str">
        <f t="shared" si="4"/>
        <v>T7 시운 강철객차</v>
      </c>
      <c r="C143" s="15">
        <f>VLOOKUP(D143, Factor!$P$41:$Q$50, 2, 0)</f>
        <v>14000</v>
      </c>
      <c r="D143" s="15" t="s">
        <v>303</v>
      </c>
      <c r="E143" s="56" t="s">
        <v>595</v>
      </c>
      <c r="F143" s="56" t="s">
        <v>597</v>
      </c>
      <c r="G143" s="15" t="str">
        <f t="shared" si="5"/>
        <v>시운 강철</v>
      </c>
      <c r="H143" s="15">
        <v>1</v>
      </c>
      <c r="I143" s="15">
        <v>1</v>
      </c>
      <c r="J143" s="15">
        <v>1</v>
      </c>
      <c r="K143" s="15">
        <v>1</v>
      </c>
      <c r="L143" s="15">
        <v>1</v>
      </c>
      <c r="M143" s="15" cm="1">
        <f t="array" ref="M143">H143*VLOOKUP($G143, Factor!$Q$4:$V$36, 2, 0)*INDEX(Factor!$Q$41:$V$87, _xlfn.XMATCH($C143, Factor!$Q$41:$Q$87, -1), 2)</f>
        <v>660</v>
      </c>
      <c r="N143" s="15" cm="1">
        <f t="array" ref="N143">I143*VLOOKUP($G143, Factor!$Q$4:$V$36, 3, 0)*INDEX(Factor!$Q$41:$V$87, _xlfn.XMATCH($C143, Factor!$Q$41:$Q$87, -1), 3)</f>
        <v>44</v>
      </c>
      <c r="O143" s="15" cm="1">
        <f t="array" ref="O143">J143*VLOOKUP($G143, Factor!$Q$4:$V$36, 4, 0)*INDEX(Factor!$Q$41:$V$87, _xlfn.XMATCH($C143, Factor!$Q$41:$Q$87, -1), 4)</f>
        <v>2420</v>
      </c>
      <c r="P143" s="15" cm="1">
        <f t="array" ref="P143">K143*VLOOKUP($G143, Factor!$Q$4:$V$36, 5, 0)*INDEX(Factor!$Q$41:$V$87, _xlfn.XMATCH($C143, Factor!$Q$41:$Q$87, -1), 5)</f>
        <v>2.64</v>
      </c>
      <c r="Q143" s="15" cm="1">
        <f t="array" ref="Q143">L143*VLOOKUP($G143, Factor!$Q$4:$V$36, 6, 0)*INDEX(Factor!$Q$41:$V$87, _xlfn.XMATCH($C143, Factor!$Q$41:$Q$87, -1), 6)</f>
        <v>3300.0000000000005</v>
      </c>
      <c r="R143" s="16"/>
    </row>
    <row r="144" spans="1:18" ht="15.75" customHeight="1" x14ac:dyDescent="0.2">
      <c r="A144" s="17" t="str">
        <f>"couch_"&amp;VLOOKUP(F144, Factor!$BQ$4:$BR$6, 2, 0)&amp;"_"&amp;Couch!D144&amp;"_"&amp;VLOOKUP(Couch!E144, Factor!$BS$4:$BT$13, 2, 0)</f>
        <v>couch_St_T7_007</v>
      </c>
      <c r="B144" s="18" t="str">
        <f t="shared" si="4"/>
        <v>T7 경량 강철객차</v>
      </c>
      <c r="C144" s="18">
        <f>VLOOKUP(D144, Factor!$P$41:$Q$50, 2, 0)</f>
        <v>14000</v>
      </c>
      <c r="D144" s="18" t="s">
        <v>303</v>
      </c>
      <c r="E144" s="55" t="s">
        <v>585</v>
      </c>
      <c r="F144" s="55" t="s">
        <v>597</v>
      </c>
      <c r="G144" s="18" t="str">
        <f t="shared" si="5"/>
        <v>경량 강철</v>
      </c>
      <c r="H144" s="18">
        <v>1</v>
      </c>
      <c r="I144" s="18">
        <v>1</v>
      </c>
      <c r="J144" s="18">
        <v>1</v>
      </c>
      <c r="K144" s="18">
        <v>1</v>
      </c>
      <c r="L144" s="18">
        <v>1</v>
      </c>
      <c r="M144" s="18" cm="1">
        <f t="array" ref="M144">H144*VLOOKUP($G144, Factor!$Q$4:$V$36, 2, 0)*INDEX(Factor!$Q$41:$V$87, _xlfn.XMATCH($C144, Factor!$Q$41:$Q$87, -1), 2)</f>
        <v>880.00000000000011</v>
      </c>
      <c r="N144" s="18" cm="1">
        <f t="array" ref="N144">I144*VLOOKUP($G144, Factor!$Q$4:$V$36, 3, 0)*INDEX(Factor!$Q$41:$V$87, _xlfn.XMATCH($C144, Factor!$Q$41:$Q$87, -1), 3)</f>
        <v>33</v>
      </c>
      <c r="O144" s="18" cm="1">
        <f t="array" ref="O144">J144*VLOOKUP($G144, Factor!$Q$4:$V$36, 4, 0)*INDEX(Factor!$Q$41:$V$87, _xlfn.XMATCH($C144, Factor!$Q$41:$Q$87, -1), 4)</f>
        <v>880.00000000000011</v>
      </c>
      <c r="P144" s="18" cm="1">
        <f t="array" ref="P144">K144*VLOOKUP($G144, Factor!$Q$4:$V$36, 5, 0)*INDEX(Factor!$Q$41:$V$87, _xlfn.XMATCH($C144, Factor!$Q$41:$Q$87, -1), 5)</f>
        <v>2.64</v>
      </c>
      <c r="Q144" s="18" cm="1">
        <f t="array" ref="Q144">L144*VLOOKUP($G144, Factor!$Q$4:$V$36, 6, 0)*INDEX(Factor!$Q$41:$V$87, _xlfn.XMATCH($C144, Factor!$Q$41:$Q$87, -1), 6)</f>
        <v>1540.0000000000002</v>
      </c>
      <c r="R144" s="19"/>
    </row>
    <row r="145" spans="1:18" ht="15.75" customHeight="1" x14ac:dyDescent="0.2">
      <c r="A145" s="14" t="str">
        <f>"couch_"&amp;VLOOKUP(F145, Factor!$BQ$4:$BR$6, 2, 0)&amp;"_"&amp;Couch!D145&amp;"_"&amp;VLOOKUP(Couch!E145, Factor!$BS$4:$BT$13, 2, 0)</f>
        <v>couch_Ti_T7_001</v>
      </c>
      <c r="B145" s="15" t="str">
        <f t="shared" si="4"/>
        <v>T7 표준 티타늄객차</v>
      </c>
      <c r="C145" s="15">
        <f>VLOOKUP(D145, Factor!$P$41:$Q$50, 2, 0)</f>
        <v>14000</v>
      </c>
      <c r="D145" s="15" t="s">
        <v>303</v>
      </c>
      <c r="E145" s="56" t="s">
        <v>582</v>
      </c>
      <c r="F145" s="56" t="s">
        <v>598</v>
      </c>
      <c r="G145" s="15" t="str">
        <f t="shared" si="5"/>
        <v>표준 티타늄</v>
      </c>
      <c r="H145" s="15">
        <v>1</v>
      </c>
      <c r="I145" s="15">
        <v>1</v>
      </c>
      <c r="J145" s="15">
        <v>1</v>
      </c>
      <c r="K145" s="15">
        <v>1</v>
      </c>
      <c r="L145" s="15">
        <v>1</v>
      </c>
      <c r="M145" s="15" cm="1">
        <f t="array" ref="M145">H145*VLOOKUP($G145, Factor!$Q$4:$V$36, 2, 0)*INDEX(Factor!$Q$41:$V$87, _xlfn.XMATCH($C145, Factor!$Q$41:$Q$87, -1), 2)</f>
        <v>2200</v>
      </c>
      <c r="N145" s="15" cm="1">
        <f t="array" ref="N145">I145*VLOOKUP($G145, Factor!$Q$4:$V$36, 3, 0)*INDEX(Factor!$Q$41:$V$87, _xlfn.XMATCH($C145, Factor!$Q$41:$Q$87, -1), 3)</f>
        <v>66</v>
      </c>
      <c r="O145" s="15" cm="1">
        <f t="array" ref="O145">J145*VLOOKUP($G145, Factor!$Q$4:$V$36, 4, 0)*INDEX(Factor!$Q$41:$V$87, _xlfn.XMATCH($C145, Factor!$Q$41:$Q$87, -1), 4)</f>
        <v>2200</v>
      </c>
      <c r="P145" s="15" cm="1">
        <f t="array" ref="P145">K145*VLOOKUP($G145, Factor!$Q$4:$V$36, 5, 0)*INDEX(Factor!$Q$41:$V$87, _xlfn.XMATCH($C145, Factor!$Q$41:$Q$87, -1), 5)</f>
        <v>3.08</v>
      </c>
      <c r="Q145" s="15" cm="1">
        <f t="array" ref="Q145">L145*VLOOKUP($G145, Factor!$Q$4:$V$36, 6, 0)*INDEX(Factor!$Q$41:$V$87, _xlfn.XMATCH($C145, Factor!$Q$41:$Q$87, -1), 6)</f>
        <v>4400</v>
      </c>
      <c r="R145" s="16"/>
    </row>
    <row r="146" spans="1:18" ht="15.75" customHeight="1" x14ac:dyDescent="0.2">
      <c r="A146" s="17" t="str">
        <f>"couch_"&amp;VLOOKUP(F146, Factor!$BQ$4:$BR$6, 2, 0)&amp;"_"&amp;Couch!D146&amp;"_"&amp;VLOOKUP(Couch!E146, Factor!$BS$4:$BT$13, 2, 0)</f>
        <v>couch_Ti_T7_002</v>
      </c>
      <c r="B146" s="18" t="str">
        <f t="shared" si="4"/>
        <v>T7 중갑 티타늄객차</v>
      </c>
      <c r="C146" s="18">
        <f>VLOOKUP(D146, Factor!$P$41:$Q$50, 2, 0)</f>
        <v>14000</v>
      </c>
      <c r="D146" s="18" t="s">
        <v>303</v>
      </c>
      <c r="E146" s="55" t="s">
        <v>587</v>
      </c>
      <c r="F146" s="55" t="s">
        <v>598</v>
      </c>
      <c r="G146" s="18" t="str">
        <f t="shared" si="5"/>
        <v>중갑 티타늄</v>
      </c>
      <c r="H146" s="18">
        <v>1</v>
      </c>
      <c r="I146" s="18">
        <v>1</v>
      </c>
      <c r="J146" s="18">
        <v>1</v>
      </c>
      <c r="K146" s="18">
        <v>1</v>
      </c>
      <c r="L146" s="18">
        <v>1</v>
      </c>
      <c r="M146" s="18" cm="1">
        <f t="array" ref="M146">H146*VLOOKUP($G146, Factor!$Q$4:$V$36, 2, 0)*INDEX(Factor!$Q$41:$V$87, _xlfn.XMATCH($C146, Factor!$Q$41:$Q$87, -1), 2)</f>
        <v>2200</v>
      </c>
      <c r="N146" s="18" cm="1">
        <f t="array" ref="N146">I146*VLOOKUP($G146, Factor!$Q$4:$V$36, 3, 0)*INDEX(Factor!$Q$41:$V$87, _xlfn.XMATCH($C146, Factor!$Q$41:$Q$87, -1), 3)</f>
        <v>121.00000000000001</v>
      </c>
      <c r="O146" s="18" cm="1">
        <f t="array" ref="O146">J146*VLOOKUP($G146, Factor!$Q$4:$V$36, 4, 0)*INDEX(Factor!$Q$41:$V$87, _xlfn.XMATCH($C146, Factor!$Q$41:$Q$87, -1), 4)</f>
        <v>2200</v>
      </c>
      <c r="P146" s="18" cm="1">
        <f t="array" ref="P146">K146*VLOOKUP($G146, Factor!$Q$4:$V$36, 5, 0)*INDEX(Factor!$Q$41:$V$87, _xlfn.XMATCH($C146, Factor!$Q$41:$Q$87, -1), 5)</f>
        <v>3.08</v>
      </c>
      <c r="Q146" s="18" cm="1">
        <f t="array" ref="Q146">L146*VLOOKUP($G146, Factor!$Q$4:$V$36, 6, 0)*INDEX(Factor!$Q$41:$V$87, _xlfn.XMATCH($C146, Factor!$Q$41:$Q$87, -1), 6)</f>
        <v>8800</v>
      </c>
      <c r="R146" s="19"/>
    </row>
    <row r="147" spans="1:18" ht="15.75" customHeight="1" x14ac:dyDescent="0.2">
      <c r="A147" s="14" t="str">
        <f>"couch_"&amp;VLOOKUP(F147, Factor!$BQ$4:$BR$6, 2, 0)&amp;"_"&amp;Couch!D147&amp;"_"&amp;VLOOKUP(Couch!E147, Factor!$BS$4:$BT$13, 2, 0)</f>
        <v>couch_Ti_T7_003</v>
      </c>
      <c r="B147" s="15" t="str">
        <f t="shared" si="4"/>
        <v>T7 화물 티타늄객차</v>
      </c>
      <c r="C147" s="15">
        <f>VLOOKUP(D147, Factor!$P$41:$Q$50, 2, 0)</f>
        <v>14000</v>
      </c>
      <c r="D147" s="15" t="s">
        <v>303</v>
      </c>
      <c r="E147" s="56" t="s">
        <v>589</v>
      </c>
      <c r="F147" s="56" t="s">
        <v>598</v>
      </c>
      <c r="G147" s="15" t="str">
        <f t="shared" si="5"/>
        <v>화물 티타늄</v>
      </c>
      <c r="H147" s="15">
        <v>1</v>
      </c>
      <c r="I147" s="15">
        <v>1</v>
      </c>
      <c r="J147" s="15">
        <v>1</v>
      </c>
      <c r="K147" s="15">
        <v>1</v>
      </c>
      <c r="L147" s="15">
        <v>1</v>
      </c>
      <c r="M147" s="15" cm="1">
        <f t="array" ref="M147">H147*VLOOKUP($G147, Factor!$Q$4:$V$36, 2, 0)*INDEX(Factor!$Q$41:$V$87, _xlfn.XMATCH($C147, Factor!$Q$41:$Q$87, -1), 2)</f>
        <v>2200</v>
      </c>
      <c r="N147" s="15" cm="1">
        <f t="array" ref="N147">I147*VLOOKUP($G147, Factor!$Q$4:$V$36, 3, 0)*INDEX(Factor!$Q$41:$V$87, _xlfn.XMATCH($C147, Factor!$Q$41:$Q$87, -1), 3)</f>
        <v>66</v>
      </c>
      <c r="O147" s="15" cm="1">
        <f t="array" ref="O147">J147*VLOOKUP($G147, Factor!$Q$4:$V$36, 4, 0)*INDEX(Factor!$Q$41:$V$87, _xlfn.XMATCH($C147, Factor!$Q$41:$Q$87, -1), 4)</f>
        <v>2200</v>
      </c>
      <c r="P147" s="15" cm="1">
        <f t="array" ref="P147">K147*VLOOKUP($G147, Factor!$Q$4:$V$36, 5, 0)*INDEX(Factor!$Q$41:$V$87, _xlfn.XMATCH($C147, Factor!$Q$41:$Q$87, -1), 5)</f>
        <v>2.64</v>
      </c>
      <c r="Q147" s="15" cm="1">
        <f t="array" ref="Q147">L147*VLOOKUP($G147, Factor!$Q$4:$V$36, 6, 0)*INDEX(Factor!$Q$41:$V$87, _xlfn.XMATCH($C147, Factor!$Q$41:$Q$87, -1), 6)</f>
        <v>2640</v>
      </c>
      <c r="R147" s="16"/>
    </row>
    <row r="148" spans="1:18" ht="15.75" customHeight="1" x14ac:dyDescent="0.2">
      <c r="A148" s="17" t="str">
        <f>"couch_"&amp;VLOOKUP(F148, Factor!$BQ$4:$BR$6, 2, 0)&amp;"_"&amp;Couch!D148&amp;"_"&amp;VLOOKUP(Couch!E148, Factor!$BS$4:$BT$13, 2, 0)</f>
        <v>couch_Ti_T7_004</v>
      </c>
      <c r="B148" s="18" t="str">
        <f t="shared" si="4"/>
        <v>T7 군용 티타늄객차</v>
      </c>
      <c r="C148" s="18">
        <f>VLOOKUP(D148, Factor!$P$41:$Q$50, 2, 0)</f>
        <v>14000</v>
      </c>
      <c r="D148" s="18" t="s">
        <v>303</v>
      </c>
      <c r="E148" s="55" t="s">
        <v>591</v>
      </c>
      <c r="F148" s="55" t="s">
        <v>598</v>
      </c>
      <c r="G148" s="18" t="str">
        <f t="shared" si="5"/>
        <v>군용 티타늄</v>
      </c>
      <c r="H148" s="18">
        <v>1</v>
      </c>
      <c r="I148" s="18">
        <v>1</v>
      </c>
      <c r="J148" s="18">
        <v>1</v>
      </c>
      <c r="K148" s="18">
        <v>1</v>
      </c>
      <c r="L148" s="18">
        <v>1</v>
      </c>
      <c r="M148" s="18" cm="1">
        <f t="array" ref="M148">H148*VLOOKUP($G148, Factor!$Q$4:$V$36, 2, 0)*INDEX(Factor!$Q$41:$V$87, _xlfn.XMATCH($C148, Factor!$Q$41:$Q$87, -1), 2)</f>
        <v>3080.0000000000005</v>
      </c>
      <c r="N148" s="18" cm="1">
        <f t="array" ref="N148">I148*VLOOKUP($G148, Factor!$Q$4:$V$36, 3, 0)*INDEX(Factor!$Q$41:$V$87, _xlfn.XMATCH($C148, Factor!$Q$41:$Q$87, -1), 3)</f>
        <v>110.00000000000001</v>
      </c>
      <c r="O148" s="18" cm="1">
        <f t="array" ref="O148">J148*VLOOKUP($G148, Factor!$Q$4:$V$36, 4, 0)*INDEX(Factor!$Q$41:$V$87, _xlfn.XMATCH($C148, Factor!$Q$41:$Q$87, -1), 4)</f>
        <v>3080.0000000000005</v>
      </c>
      <c r="P148" s="18" cm="1">
        <f t="array" ref="P148">K148*VLOOKUP($G148, Factor!$Q$4:$V$36, 5, 0)*INDEX(Factor!$Q$41:$V$87, _xlfn.XMATCH($C148, Factor!$Q$41:$Q$87, -1), 5)</f>
        <v>3.3000000000000003</v>
      </c>
      <c r="Q148" s="18" cm="1">
        <f t="array" ref="Q148">L148*VLOOKUP($G148, Factor!$Q$4:$V$36, 6, 0)*INDEX(Factor!$Q$41:$V$87, _xlfn.XMATCH($C148, Factor!$Q$41:$Q$87, -1), 6)</f>
        <v>13200.000000000002</v>
      </c>
      <c r="R148" s="19"/>
    </row>
    <row r="149" spans="1:18" ht="15.75" customHeight="1" x14ac:dyDescent="0.2">
      <c r="A149" s="14" t="str">
        <f>"couch_"&amp;VLOOKUP(F149, Factor!$BQ$4:$BR$6, 2, 0)&amp;"_"&amp;Couch!D149&amp;"_"&amp;VLOOKUP(Couch!E149, Factor!$BS$4:$BT$13, 2, 0)</f>
        <v>couch_Ti_T7_005</v>
      </c>
      <c r="B149" s="15" t="str">
        <f t="shared" si="4"/>
        <v>T7 여객 티타늄객차</v>
      </c>
      <c r="C149" s="15">
        <f>VLOOKUP(D149, Factor!$P$41:$Q$50, 2, 0)</f>
        <v>14000</v>
      </c>
      <c r="D149" s="15" t="s">
        <v>303</v>
      </c>
      <c r="E149" s="56" t="s">
        <v>593</v>
      </c>
      <c r="F149" s="56" t="s">
        <v>598</v>
      </c>
      <c r="G149" s="15" t="str">
        <f t="shared" si="5"/>
        <v>여객 티타늄</v>
      </c>
      <c r="H149" s="15">
        <v>1</v>
      </c>
      <c r="I149" s="15">
        <v>1</v>
      </c>
      <c r="J149" s="15">
        <v>1</v>
      </c>
      <c r="K149" s="15">
        <v>1</v>
      </c>
      <c r="L149" s="15">
        <v>1</v>
      </c>
      <c r="M149" s="15" cm="1">
        <f t="array" ref="M149">H149*VLOOKUP($G149, Factor!$Q$4:$V$36, 2, 0)*INDEX(Factor!$Q$41:$V$87, _xlfn.XMATCH($C149, Factor!$Q$41:$Q$87, -1), 2)</f>
        <v>1760.0000000000002</v>
      </c>
      <c r="N149" s="15" cm="1">
        <f t="array" ref="N149">I149*VLOOKUP($G149, Factor!$Q$4:$V$36, 3, 0)*INDEX(Factor!$Q$41:$V$87, _xlfn.XMATCH($C149, Factor!$Q$41:$Q$87, -1), 3)</f>
        <v>33</v>
      </c>
      <c r="O149" s="15" cm="1">
        <f t="array" ref="O149">J149*VLOOKUP($G149, Factor!$Q$4:$V$36, 4, 0)*INDEX(Factor!$Q$41:$V$87, _xlfn.XMATCH($C149, Factor!$Q$41:$Q$87, -1), 4)</f>
        <v>17600</v>
      </c>
      <c r="P149" s="15" cm="1">
        <f t="array" ref="P149">K149*VLOOKUP($G149, Factor!$Q$4:$V$36, 5, 0)*INDEX(Factor!$Q$41:$V$87, _xlfn.XMATCH($C149, Factor!$Q$41:$Q$87, -1), 5)</f>
        <v>3.74</v>
      </c>
      <c r="Q149" s="15" cm="1">
        <f t="array" ref="Q149">L149*VLOOKUP($G149, Factor!$Q$4:$V$36, 6, 0)*INDEX(Factor!$Q$41:$V$87, _xlfn.XMATCH($C149, Factor!$Q$41:$Q$87, -1), 6)</f>
        <v>4400</v>
      </c>
      <c r="R149" s="16"/>
    </row>
    <row r="150" spans="1:18" ht="15.75" customHeight="1" x14ac:dyDescent="0.2">
      <c r="A150" s="17" t="str">
        <f>"couch_"&amp;VLOOKUP(F150, Factor!$BQ$4:$BR$6, 2, 0)&amp;"_"&amp;Couch!D150&amp;"_"&amp;VLOOKUP(Couch!E150, Factor!$BS$4:$BT$13, 2, 0)</f>
        <v>couch_Ti_T7_006</v>
      </c>
      <c r="B150" s="18" t="str">
        <f t="shared" si="4"/>
        <v>T7 시운 티타늄객차</v>
      </c>
      <c r="C150" s="18">
        <f>VLOOKUP(D150, Factor!$P$41:$Q$50, 2, 0)</f>
        <v>14000</v>
      </c>
      <c r="D150" s="18" t="s">
        <v>303</v>
      </c>
      <c r="E150" s="55" t="s">
        <v>595</v>
      </c>
      <c r="F150" s="55" t="s">
        <v>598</v>
      </c>
      <c r="G150" s="18" t="str">
        <f t="shared" si="5"/>
        <v>시운 티타늄</v>
      </c>
      <c r="H150" s="18">
        <v>1</v>
      </c>
      <c r="I150" s="18">
        <v>1</v>
      </c>
      <c r="J150" s="18">
        <v>1</v>
      </c>
      <c r="K150" s="18">
        <v>1</v>
      </c>
      <c r="L150" s="18">
        <v>1</v>
      </c>
      <c r="M150" s="18" cm="1">
        <f t="array" ref="M150">H150*VLOOKUP($G150, Factor!$Q$4:$V$36, 2, 0)*INDEX(Factor!$Q$41:$V$87, _xlfn.XMATCH($C150, Factor!$Q$41:$Q$87, -1), 2)</f>
        <v>1100</v>
      </c>
      <c r="N150" s="18" cm="1">
        <f t="array" ref="N150">I150*VLOOKUP($G150, Factor!$Q$4:$V$36, 3, 0)*INDEX(Factor!$Q$41:$V$87, _xlfn.XMATCH($C150, Factor!$Q$41:$Q$87, -1), 3)</f>
        <v>66</v>
      </c>
      <c r="O150" s="18" cm="1">
        <f t="array" ref="O150">J150*VLOOKUP($G150, Factor!$Q$4:$V$36, 4, 0)*INDEX(Factor!$Q$41:$V$87, _xlfn.XMATCH($C150, Factor!$Q$41:$Q$87, -1), 4)</f>
        <v>3300.0000000000005</v>
      </c>
      <c r="P150" s="18" cm="1">
        <f t="array" ref="P150">K150*VLOOKUP($G150, Factor!$Q$4:$V$36, 5, 0)*INDEX(Factor!$Q$41:$V$87, _xlfn.XMATCH($C150, Factor!$Q$41:$Q$87, -1), 5)</f>
        <v>3.08</v>
      </c>
      <c r="Q150" s="18" cm="1">
        <f t="array" ref="Q150">L150*VLOOKUP($G150, Factor!$Q$4:$V$36, 6, 0)*INDEX(Factor!$Q$41:$V$87, _xlfn.XMATCH($C150, Factor!$Q$41:$Q$87, -1), 6)</f>
        <v>4400</v>
      </c>
      <c r="R150" s="19"/>
    </row>
    <row r="151" spans="1:18" ht="15.75" customHeight="1" x14ac:dyDescent="0.2">
      <c r="A151" s="14" t="str">
        <f>"couch_"&amp;VLOOKUP(F151, Factor!$BQ$4:$BR$6, 2, 0)&amp;"_"&amp;Couch!D151&amp;"_"&amp;VLOOKUP(Couch!E151, Factor!$BS$4:$BT$13, 2, 0)</f>
        <v>couch_Ti_T7_007</v>
      </c>
      <c r="B151" s="15" t="str">
        <f t="shared" si="4"/>
        <v>T7 경량 티타늄객차</v>
      </c>
      <c r="C151" s="15">
        <f>VLOOKUP(D151, Factor!$P$41:$Q$50, 2, 0)</f>
        <v>14000</v>
      </c>
      <c r="D151" s="15" t="s">
        <v>303</v>
      </c>
      <c r="E151" s="56" t="s">
        <v>585</v>
      </c>
      <c r="F151" s="56" t="s">
        <v>598</v>
      </c>
      <c r="G151" s="15" t="str">
        <f t="shared" si="5"/>
        <v>경량 티타늄</v>
      </c>
      <c r="H151" s="15">
        <v>1</v>
      </c>
      <c r="I151" s="15">
        <v>1</v>
      </c>
      <c r="J151" s="15">
        <v>1</v>
      </c>
      <c r="K151" s="15">
        <v>1</v>
      </c>
      <c r="L151" s="15">
        <v>1</v>
      </c>
      <c r="M151" s="15" cm="1">
        <f t="array" ref="M151">H151*VLOOKUP($G151, Factor!$Q$4:$V$36, 2, 0)*INDEX(Factor!$Q$41:$V$87, _xlfn.XMATCH($C151, Factor!$Q$41:$Q$87, -1), 2)</f>
        <v>1320</v>
      </c>
      <c r="N151" s="15" cm="1">
        <f t="array" ref="N151">I151*VLOOKUP($G151, Factor!$Q$4:$V$36, 3, 0)*INDEX(Factor!$Q$41:$V$87, _xlfn.XMATCH($C151, Factor!$Q$41:$Q$87, -1), 3)</f>
        <v>44</v>
      </c>
      <c r="O151" s="15" cm="1">
        <f t="array" ref="O151">J151*VLOOKUP($G151, Factor!$Q$4:$V$36, 4, 0)*INDEX(Factor!$Q$41:$V$87, _xlfn.XMATCH($C151, Factor!$Q$41:$Q$87, -1), 4)</f>
        <v>1320</v>
      </c>
      <c r="P151" s="15" cm="1">
        <f t="array" ref="P151">K151*VLOOKUP($G151, Factor!$Q$4:$V$36, 5, 0)*INDEX(Factor!$Q$41:$V$87, _xlfn.XMATCH($C151, Factor!$Q$41:$Q$87, -1), 5)</f>
        <v>3.08</v>
      </c>
      <c r="Q151" s="15" cm="1">
        <f t="array" ref="Q151">L151*VLOOKUP($G151, Factor!$Q$4:$V$36, 6, 0)*INDEX(Factor!$Q$41:$V$87, _xlfn.XMATCH($C151, Factor!$Q$41:$Q$87, -1), 6)</f>
        <v>2200</v>
      </c>
      <c r="R151" s="16"/>
    </row>
    <row r="152" spans="1:18" ht="15.75" customHeight="1" x14ac:dyDescent="0.2">
      <c r="A152" s="17" t="str">
        <f>"couch_"&amp;VLOOKUP(F152, Factor!$BQ$4:$BR$6, 2, 0)&amp;"_"&amp;Couch!D152&amp;"_"&amp;VLOOKUP(Couch!E152, Factor!$BS$4:$BT$13, 2, 0)</f>
        <v>couch_Wo_T8_001</v>
      </c>
      <c r="B152" s="18" t="str">
        <f t="shared" si="4"/>
        <v>T8 표준 나무객차</v>
      </c>
      <c r="C152" s="18">
        <f>VLOOKUP(D152, Factor!$P$41:$Q$50, 2, 0)</f>
        <v>16000</v>
      </c>
      <c r="D152" s="18" t="s">
        <v>326</v>
      </c>
      <c r="E152" s="55" t="s">
        <v>582</v>
      </c>
      <c r="F152" s="55" t="s">
        <v>663</v>
      </c>
      <c r="G152" s="18" t="str">
        <f t="shared" si="5"/>
        <v>표준 나무</v>
      </c>
      <c r="H152" s="18">
        <v>1</v>
      </c>
      <c r="I152" s="18">
        <v>1</v>
      </c>
      <c r="J152" s="18">
        <v>1</v>
      </c>
      <c r="K152" s="18">
        <v>1</v>
      </c>
      <c r="L152" s="18">
        <v>1</v>
      </c>
      <c r="M152" s="18" cm="1">
        <f t="array" ref="M152">H152*VLOOKUP($G152, Factor!$Q$4:$V$36, 2, 0)*INDEX(Factor!$Q$41:$V$87, _xlfn.XMATCH($C152, Factor!$Q$41:$Q$87, -1), 2)</f>
        <v>1200</v>
      </c>
      <c r="N152" s="18" cm="1">
        <f t="array" ref="N152">I152*VLOOKUP($G152, Factor!$Q$4:$V$36, 3, 0)*INDEX(Factor!$Q$41:$V$87, _xlfn.XMATCH($C152, Factor!$Q$41:$Q$87, -1), 3)</f>
        <v>24</v>
      </c>
      <c r="O152" s="18" cm="1">
        <f t="array" ref="O152">J152*VLOOKUP($G152, Factor!$Q$4:$V$36, 4, 0)*INDEX(Factor!$Q$41:$V$87, _xlfn.XMATCH($C152, Factor!$Q$41:$Q$87, -1), 4)</f>
        <v>1200</v>
      </c>
      <c r="P152" s="18" cm="1">
        <f t="array" ref="P152">K152*VLOOKUP($G152, Factor!$Q$4:$V$36, 5, 0)*INDEX(Factor!$Q$41:$V$87, _xlfn.XMATCH($C152, Factor!$Q$41:$Q$87, -1), 5)</f>
        <v>2.4</v>
      </c>
      <c r="Q152" s="18" cm="1">
        <f t="array" ref="Q152">L152*VLOOKUP($G152, Factor!$Q$4:$V$36, 6, 0)*INDEX(Factor!$Q$41:$V$87, _xlfn.XMATCH($C152, Factor!$Q$41:$Q$87, -1), 6)</f>
        <v>2400</v>
      </c>
      <c r="R152" s="19"/>
    </row>
    <row r="153" spans="1:18" ht="15.75" customHeight="1" x14ac:dyDescent="0.2">
      <c r="A153" s="14" t="str">
        <f>"couch_"&amp;VLOOKUP(F153, Factor!$BQ$4:$BR$6, 2, 0)&amp;"_"&amp;Couch!D153&amp;"_"&amp;VLOOKUP(Couch!E153, Factor!$BS$4:$BT$13, 2, 0)</f>
        <v>couch_Wo_T8_002</v>
      </c>
      <c r="B153" s="15" t="str">
        <f t="shared" si="4"/>
        <v>T8 중갑 나무객차</v>
      </c>
      <c r="C153" s="15">
        <f>VLOOKUP(D153, Factor!$P$41:$Q$50, 2, 0)</f>
        <v>16000</v>
      </c>
      <c r="D153" s="15" t="s">
        <v>326</v>
      </c>
      <c r="E153" s="56" t="s">
        <v>587</v>
      </c>
      <c r="F153" s="56" t="s">
        <v>663</v>
      </c>
      <c r="G153" s="15" t="str">
        <f t="shared" si="5"/>
        <v>중갑 나무</v>
      </c>
      <c r="H153" s="15">
        <v>1</v>
      </c>
      <c r="I153" s="15">
        <v>1</v>
      </c>
      <c r="J153" s="15">
        <v>1</v>
      </c>
      <c r="K153" s="15">
        <v>1</v>
      </c>
      <c r="L153" s="15">
        <v>1</v>
      </c>
      <c r="M153" s="15" cm="1">
        <f t="array" ref="M153">H153*VLOOKUP($G153, Factor!$Q$4:$V$36, 2, 0)*INDEX(Factor!$Q$41:$V$87, _xlfn.XMATCH($C153, Factor!$Q$41:$Q$87, -1), 2)</f>
        <v>1200</v>
      </c>
      <c r="N153" s="15" cm="1">
        <f t="array" ref="N153">I153*VLOOKUP($G153, Factor!$Q$4:$V$36, 3, 0)*INDEX(Factor!$Q$41:$V$87, _xlfn.XMATCH($C153, Factor!$Q$41:$Q$87, -1), 3)</f>
        <v>48</v>
      </c>
      <c r="O153" s="15" cm="1">
        <f t="array" ref="O153">J153*VLOOKUP($G153, Factor!$Q$4:$V$36, 4, 0)*INDEX(Factor!$Q$41:$V$87, _xlfn.XMATCH($C153, Factor!$Q$41:$Q$87, -1), 4)</f>
        <v>1200</v>
      </c>
      <c r="P153" s="15" cm="1">
        <f t="array" ref="P153">K153*VLOOKUP($G153, Factor!$Q$4:$V$36, 5, 0)*INDEX(Factor!$Q$41:$V$87, _xlfn.XMATCH($C153, Factor!$Q$41:$Q$87, -1), 5)</f>
        <v>2.4</v>
      </c>
      <c r="Q153" s="15" cm="1">
        <f t="array" ref="Q153">L153*VLOOKUP($G153, Factor!$Q$4:$V$36, 6, 0)*INDEX(Factor!$Q$41:$V$87, _xlfn.XMATCH($C153, Factor!$Q$41:$Q$87, -1), 6)</f>
        <v>4800</v>
      </c>
      <c r="R153" s="16"/>
    </row>
    <row r="154" spans="1:18" ht="15.75" customHeight="1" x14ac:dyDescent="0.2">
      <c r="A154" s="17" t="str">
        <f>"couch_"&amp;VLOOKUP(F154, Factor!$BQ$4:$BR$6, 2, 0)&amp;"_"&amp;Couch!D154&amp;"_"&amp;VLOOKUP(Couch!E154, Factor!$BS$4:$BT$13, 2, 0)</f>
        <v>couch_Wo_T8_003</v>
      </c>
      <c r="B154" s="18" t="str">
        <f t="shared" si="4"/>
        <v>T8 화물 나무객차</v>
      </c>
      <c r="C154" s="18">
        <f>VLOOKUP(D154, Factor!$P$41:$Q$50, 2, 0)</f>
        <v>16000</v>
      </c>
      <c r="D154" s="18" t="s">
        <v>304</v>
      </c>
      <c r="E154" s="55" t="s">
        <v>589</v>
      </c>
      <c r="F154" s="55" t="s">
        <v>663</v>
      </c>
      <c r="G154" s="18" t="str">
        <f t="shared" si="5"/>
        <v>화물 나무</v>
      </c>
      <c r="H154" s="18">
        <v>1</v>
      </c>
      <c r="I154" s="18">
        <v>1</v>
      </c>
      <c r="J154" s="18">
        <v>1</v>
      </c>
      <c r="K154" s="18">
        <v>1</v>
      </c>
      <c r="L154" s="18">
        <v>1</v>
      </c>
      <c r="M154" s="18" cm="1">
        <f t="array" ref="M154">H154*VLOOKUP($G154, Factor!$Q$4:$V$36, 2, 0)*INDEX(Factor!$Q$41:$V$87, _xlfn.XMATCH($C154, Factor!$Q$41:$Q$87, -1), 2)</f>
        <v>1200</v>
      </c>
      <c r="N154" s="18" cm="1">
        <f t="array" ref="N154">I154*VLOOKUP($G154, Factor!$Q$4:$V$36, 3, 0)*INDEX(Factor!$Q$41:$V$87, _xlfn.XMATCH($C154, Factor!$Q$41:$Q$87, -1), 3)</f>
        <v>24</v>
      </c>
      <c r="O154" s="18" cm="1">
        <f t="array" ref="O154">J154*VLOOKUP($G154, Factor!$Q$4:$V$36, 4, 0)*INDEX(Factor!$Q$41:$V$87, _xlfn.XMATCH($C154, Factor!$Q$41:$Q$87, -1), 4)</f>
        <v>1200</v>
      </c>
      <c r="P154" s="18" cm="1">
        <f t="array" ref="P154">K154*VLOOKUP($G154, Factor!$Q$4:$V$36, 5, 0)*INDEX(Factor!$Q$41:$V$87, _xlfn.XMATCH($C154, Factor!$Q$41:$Q$87, -1), 5)</f>
        <v>2.16</v>
      </c>
      <c r="Q154" s="18" cm="1">
        <f t="array" ref="Q154">L154*VLOOKUP($G154, Factor!$Q$4:$V$36, 6, 0)*INDEX(Factor!$Q$41:$V$87, _xlfn.XMATCH($C154, Factor!$Q$41:$Q$87, -1), 6)</f>
        <v>1680</v>
      </c>
      <c r="R154" s="19"/>
    </row>
    <row r="155" spans="1:18" ht="15.75" customHeight="1" x14ac:dyDescent="0.2">
      <c r="A155" s="14" t="str">
        <f>"couch_"&amp;VLOOKUP(F155, Factor!$BQ$4:$BR$6, 2, 0)&amp;"_"&amp;Couch!D155&amp;"_"&amp;VLOOKUP(Couch!E155, Factor!$BS$4:$BT$13, 2, 0)</f>
        <v>couch_Wo_T8_004</v>
      </c>
      <c r="B155" s="15" t="str">
        <f t="shared" si="4"/>
        <v>T8 군용 나무객차</v>
      </c>
      <c r="C155" s="15">
        <f>VLOOKUP(D155, Factor!$P$41:$Q$50, 2, 0)</f>
        <v>16000</v>
      </c>
      <c r="D155" s="15" t="s">
        <v>304</v>
      </c>
      <c r="E155" s="56" t="s">
        <v>591</v>
      </c>
      <c r="F155" s="56" t="s">
        <v>663</v>
      </c>
      <c r="G155" s="15" t="str">
        <f t="shared" si="5"/>
        <v>군용 나무</v>
      </c>
      <c r="H155" s="15">
        <v>1</v>
      </c>
      <c r="I155" s="15">
        <v>1</v>
      </c>
      <c r="J155" s="15">
        <v>1</v>
      </c>
      <c r="K155" s="15">
        <v>1</v>
      </c>
      <c r="L155" s="15">
        <v>1</v>
      </c>
      <c r="M155" s="15" cm="1">
        <f t="array" ref="M155">H155*VLOOKUP($G155, Factor!$Q$4:$V$36, 2, 0)*INDEX(Factor!$Q$41:$V$87, _xlfn.XMATCH($C155, Factor!$Q$41:$Q$87, -1), 2)</f>
        <v>1680</v>
      </c>
      <c r="N155" s="15" cm="1">
        <f t="array" ref="N155">I155*VLOOKUP($G155, Factor!$Q$4:$V$36, 3, 0)*INDEX(Factor!$Q$41:$V$87, _xlfn.XMATCH($C155, Factor!$Q$41:$Q$87, -1), 3)</f>
        <v>36</v>
      </c>
      <c r="O155" s="15" cm="1">
        <f t="array" ref="O155">J155*VLOOKUP($G155, Factor!$Q$4:$V$36, 4, 0)*INDEX(Factor!$Q$41:$V$87, _xlfn.XMATCH($C155, Factor!$Q$41:$Q$87, -1), 4)</f>
        <v>1680</v>
      </c>
      <c r="P155" s="15" cm="1">
        <f t="array" ref="P155">K155*VLOOKUP($G155, Factor!$Q$4:$V$36, 5, 0)*INDEX(Factor!$Q$41:$V$87, _xlfn.XMATCH($C155, Factor!$Q$41:$Q$87, -1), 5)</f>
        <v>2.64</v>
      </c>
      <c r="Q155" s="15" cm="1">
        <f t="array" ref="Q155">L155*VLOOKUP($G155, Factor!$Q$4:$V$36, 6, 0)*INDEX(Factor!$Q$41:$V$87, _xlfn.XMATCH($C155, Factor!$Q$41:$Q$87, -1), 6)</f>
        <v>7200</v>
      </c>
      <c r="R155" s="16"/>
    </row>
    <row r="156" spans="1:18" ht="15.75" customHeight="1" x14ac:dyDescent="0.2">
      <c r="A156" s="17" t="str">
        <f>"couch_"&amp;VLOOKUP(F156, Factor!$BQ$4:$BR$6, 2, 0)&amp;"_"&amp;Couch!D156&amp;"_"&amp;VLOOKUP(Couch!E156, Factor!$BS$4:$BT$13, 2, 0)</f>
        <v>couch_Wo_T8_005</v>
      </c>
      <c r="B156" s="18" t="str">
        <f t="shared" si="4"/>
        <v>T8 여객 나무객차</v>
      </c>
      <c r="C156" s="18">
        <f>VLOOKUP(D156, Factor!$P$41:$Q$50, 2, 0)</f>
        <v>16000</v>
      </c>
      <c r="D156" s="18" t="s">
        <v>304</v>
      </c>
      <c r="E156" s="55" t="s">
        <v>593</v>
      </c>
      <c r="F156" s="55" t="s">
        <v>663</v>
      </c>
      <c r="G156" s="18" t="str">
        <f t="shared" si="5"/>
        <v>여객 나무</v>
      </c>
      <c r="H156" s="18">
        <v>1</v>
      </c>
      <c r="I156" s="18">
        <v>1</v>
      </c>
      <c r="J156" s="18">
        <v>1</v>
      </c>
      <c r="K156" s="18">
        <v>1</v>
      </c>
      <c r="L156" s="18">
        <v>1</v>
      </c>
      <c r="M156" s="18" cm="1">
        <f t="array" ref="M156">H156*VLOOKUP($G156, Factor!$Q$4:$V$36, 2, 0)*INDEX(Factor!$Q$41:$V$87, _xlfn.XMATCH($C156, Factor!$Q$41:$Q$87, -1), 2)</f>
        <v>960</v>
      </c>
      <c r="N156" s="18" cm="1">
        <f t="array" ref="N156">I156*VLOOKUP($G156, Factor!$Q$4:$V$36, 3, 0)*INDEX(Factor!$Q$41:$V$87, _xlfn.XMATCH($C156, Factor!$Q$41:$Q$87, -1), 3)</f>
        <v>19.2</v>
      </c>
      <c r="O156" s="18" cm="1">
        <f t="array" ref="O156">J156*VLOOKUP($G156, Factor!$Q$4:$V$36, 4, 0)*INDEX(Factor!$Q$41:$V$87, _xlfn.XMATCH($C156, Factor!$Q$41:$Q$87, -1), 4)</f>
        <v>960</v>
      </c>
      <c r="P156" s="18" cm="1">
        <f t="array" ref="P156">K156*VLOOKUP($G156, Factor!$Q$4:$V$36, 5, 0)*INDEX(Factor!$Q$41:$V$87, _xlfn.XMATCH($C156, Factor!$Q$41:$Q$87, -1), 5)</f>
        <v>2.88</v>
      </c>
      <c r="Q156" s="18" cm="1">
        <f t="array" ref="Q156">L156*VLOOKUP($G156, Factor!$Q$4:$V$36, 6, 0)*INDEX(Factor!$Q$41:$V$87, _xlfn.XMATCH($C156, Factor!$Q$41:$Q$87, -1), 6)</f>
        <v>2400</v>
      </c>
      <c r="R156" s="19"/>
    </row>
    <row r="157" spans="1:18" ht="15.75" customHeight="1" x14ac:dyDescent="0.2">
      <c r="A157" s="14" t="str">
        <f>"couch_"&amp;VLOOKUP(F157, Factor!$BQ$4:$BR$6, 2, 0)&amp;"_"&amp;Couch!D157&amp;"_"&amp;VLOOKUP(Couch!E157, Factor!$BS$4:$BT$13, 2, 0)</f>
        <v>couch_Wo_T8_006</v>
      </c>
      <c r="B157" s="15" t="str">
        <f t="shared" si="4"/>
        <v>T8 시운 나무객차</v>
      </c>
      <c r="C157" s="15">
        <f>VLOOKUP(D157, Factor!$P$41:$Q$50, 2, 0)</f>
        <v>16000</v>
      </c>
      <c r="D157" s="15" t="s">
        <v>304</v>
      </c>
      <c r="E157" s="56" t="s">
        <v>595</v>
      </c>
      <c r="F157" s="56" t="s">
        <v>663</v>
      </c>
      <c r="G157" s="15" t="str">
        <f t="shared" si="5"/>
        <v>시운 나무</v>
      </c>
      <c r="H157" s="15">
        <v>1</v>
      </c>
      <c r="I157" s="15">
        <v>1</v>
      </c>
      <c r="J157" s="15">
        <v>1</v>
      </c>
      <c r="K157" s="15">
        <v>1</v>
      </c>
      <c r="L157" s="15">
        <v>1</v>
      </c>
      <c r="M157" s="15" cm="1">
        <f t="array" ref="M157">H157*VLOOKUP($G157, Factor!$Q$4:$V$36, 2, 0)*INDEX(Factor!$Q$41:$V$87, _xlfn.XMATCH($C157, Factor!$Q$41:$Q$87, -1), 2)</f>
        <v>480</v>
      </c>
      <c r="N157" s="15" cm="1">
        <f t="array" ref="N157">I157*VLOOKUP($G157, Factor!$Q$4:$V$36, 3, 0)*INDEX(Factor!$Q$41:$V$87, _xlfn.XMATCH($C157, Factor!$Q$41:$Q$87, -1), 3)</f>
        <v>24</v>
      </c>
      <c r="O157" s="15" cm="1">
        <f t="array" ref="O157">J157*VLOOKUP($G157, Factor!$Q$4:$V$36, 4, 0)*INDEX(Factor!$Q$41:$V$87, _xlfn.XMATCH($C157, Factor!$Q$41:$Q$87, -1), 4)</f>
        <v>1920</v>
      </c>
      <c r="P157" s="15" cm="1">
        <f t="array" ref="P157">K157*VLOOKUP($G157, Factor!$Q$4:$V$36, 5, 0)*INDEX(Factor!$Q$41:$V$87, _xlfn.XMATCH($C157, Factor!$Q$41:$Q$87, -1), 5)</f>
        <v>2.4</v>
      </c>
      <c r="Q157" s="15" cm="1">
        <f t="array" ref="Q157">L157*VLOOKUP($G157, Factor!$Q$4:$V$36, 6, 0)*INDEX(Factor!$Q$41:$V$87, _xlfn.XMATCH($C157, Factor!$Q$41:$Q$87, -1), 6)</f>
        <v>2400</v>
      </c>
      <c r="R157" s="16"/>
    </row>
    <row r="158" spans="1:18" ht="15.75" customHeight="1" x14ac:dyDescent="0.2">
      <c r="A158" s="17" t="str">
        <f>"couch_"&amp;VLOOKUP(F158, Factor!$BQ$4:$BR$6, 2, 0)&amp;"_"&amp;Couch!D158&amp;"_"&amp;VLOOKUP(Couch!E158, Factor!$BS$4:$BT$13, 2, 0)</f>
        <v>couch_Wo_T8_007</v>
      </c>
      <c r="B158" s="18" t="str">
        <f t="shared" si="4"/>
        <v>T8 경량 나무객차</v>
      </c>
      <c r="C158" s="18">
        <f>VLOOKUP(D158, Factor!$P$41:$Q$50, 2, 0)</f>
        <v>16000</v>
      </c>
      <c r="D158" s="18" t="s">
        <v>304</v>
      </c>
      <c r="E158" s="55" t="s">
        <v>585</v>
      </c>
      <c r="F158" s="55" t="s">
        <v>663</v>
      </c>
      <c r="G158" s="18" t="str">
        <f t="shared" si="5"/>
        <v>경량 나무</v>
      </c>
      <c r="H158" s="18">
        <v>1</v>
      </c>
      <c r="I158" s="18">
        <v>1</v>
      </c>
      <c r="J158" s="18">
        <v>1</v>
      </c>
      <c r="K158" s="18">
        <v>1</v>
      </c>
      <c r="L158" s="18">
        <v>1</v>
      </c>
      <c r="M158" s="18" cm="1">
        <f t="array" ref="M158">H158*VLOOKUP($G158, Factor!$Q$4:$V$36, 2, 0)*INDEX(Factor!$Q$41:$V$87, _xlfn.XMATCH($C158, Factor!$Q$41:$Q$87, -1), 2)</f>
        <v>720</v>
      </c>
      <c r="N158" s="18" cm="1">
        <f t="array" ref="N158">I158*VLOOKUP($G158, Factor!$Q$4:$V$36, 3, 0)*INDEX(Factor!$Q$41:$V$87, _xlfn.XMATCH($C158, Factor!$Q$41:$Q$87, -1), 3)</f>
        <v>19.2</v>
      </c>
      <c r="O158" s="18" cm="1">
        <f t="array" ref="O158">J158*VLOOKUP($G158, Factor!$Q$4:$V$36, 4, 0)*INDEX(Factor!$Q$41:$V$87, _xlfn.XMATCH($C158, Factor!$Q$41:$Q$87, -1), 4)</f>
        <v>720</v>
      </c>
      <c r="P158" s="18" cm="1">
        <f t="array" ref="P158">K158*VLOOKUP($G158, Factor!$Q$4:$V$36, 5, 0)*INDEX(Factor!$Q$41:$V$87, _xlfn.XMATCH($C158, Factor!$Q$41:$Q$87, -1), 5)</f>
        <v>2.4</v>
      </c>
      <c r="Q158" s="18" cm="1">
        <f t="array" ref="Q158">L158*VLOOKUP($G158, Factor!$Q$4:$V$36, 6, 0)*INDEX(Factor!$Q$41:$V$87, _xlfn.XMATCH($C158, Factor!$Q$41:$Q$87, -1), 6)</f>
        <v>1200</v>
      </c>
      <c r="R158" s="19"/>
    </row>
    <row r="159" spans="1:18" ht="15.75" customHeight="1" x14ac:dyDescent="0.2">
      <c r="A159" s="14" t="str">
        <f>"couch_"&amp;VLOOKUP(F159, Factor!$BQ$4:$BR$6, 2, 0)&amp;"_"&amp;Couch!D159&amp;"_"&amp;VLOOKUP(Couch!E159, Factor!$BS$4:$BT$13, 2, 0)</f>
        <v>couch_St_T8_001</v>
      </c>
      <c r="B159" s="15" t="str">
        <f t="shared" si="4"/>
        <v>T8 표준 강철객차</v>
      </c>
      <c r="C159" s="15">
        <f>VLOOKUP(D159, Factor!$P$41:$Q$50, 2, 0)</f>
        <v>16000</v>
      </c>
      <c r="D159" s="15" t="s">
        <v>304</v>
      </c>
      <c r="E159" s="56" t="s">
        <v>582</v>
      </c>
      <c r="F159" s="56" t="s">
        <v>597</v>
      </c>
      <c r="G159" s="15" t="str">
        <f t="shared" si="5"/>
        <v>표준 강철</v>
      </c>
      <c r="H159" s="15">
        <v>1</v>
      </c>
      <c r="I159" s="15">
        <v>1</v>
      </c>
      <c r="J159" s="15">
        <v>1</v>
      </c>
      <c r="K159" s="15">
        <v>1</v>
      </c>
      <c r="L159" s="15">
        <v>1</v>
      </c>
      <c r="M159" s="15" cm="1">
        <f t="array" ref="M159">H159*VLOOKUP($G159, Factor!$Q$4:$V$36, 2, 0)*INDEX(Factor!$Q$41:$V$87, _xlfn.XMATCH($C159, Factor!$Q$41:$Q$87, -1), 2)</f>
        <v>1680</v>
      </c>
      <c r="N159" s="15" cm="1">
        <f t="array" ref="N159">I159*VLOOKUP($G159, Factor!$Q$4:$V$36, 3, 0)*INDEX(Factor!$Q$41:$V$87, _xlfn.XMATCH($C159, Factor!$Q$41:$Q$87, -1), 3)</f>
        <v>48</v>
      </c>
      <c r="O159" s="15" cm="1">
        <f t="array" ref="O159">J159*VLOOKUP($G159, Factor!$Q$4:$V$36, 4, 0)*INDEX(Factor!$Q$41:$V$87, _xlfn.XMATCH($C159, Factor!$Q$41:$Q$87, -1), 4)</f>
        <v>1680</v>
      </c>
      <c r="P159" s="15" cm="1">
        <f t="array" ref="P159">K159*VLOOKUP($G159, Factor!$Q$4:$V$36, 5, 0)*INDEX(Factor!$Q$41:$V$87, _xlfn.XMATCH($C159, Factor!$Q$41:$Q$87, -1), 5)</f>
        <v>2.88</v>
      </c>
      <c r="Q159" s="15" cm="1">
        <f t="array" ref="Q159">L159*VLOOKUP($G159, Factor!$Q$4:$V$36, 6, 0)*INDEX(Factor!$Q$41:$V$87, _xlfn.XMATCH($C159, Factor!$Q$41:$Q$87, -1), 6)</f>
        <v>3600</v>
      </c>
      <c r="R159" s="16"/>
    </row>
    <row r="160" spans="1:18" ht="15.75" customHeight="1" x14ac:dyDescent="0.2">
      <c r="A160" s="17" t="str">
        <f>"couch_"&amp;VLOOKUP(F160, Factor!$BQ$4:$BR$6, 2, 0)&amp;"_"&amp;Couch!D160&amp;"_"&amp;VLOOKUP(Couch!E160, Factor!$BS$4:$BT$13, 2, 0)</f>
        <v>couch_St_T8_002</v>
      </c>
      <c r="B160" s="18" t="str">
        <f t="shared" si="4"/>
        <v>T8 중갑 강철객차</v>
      </c>
      <c r="C160" s="18">
        <f>VLOOKUP(D160, Factor!$P$41:$Q$50, 2, 0)</f>
        <v>16000</v>
      </c>
      <c r="D160" s="18" t="s">
        <v>304</v>
      </c>
      <c r="E160" s="55" t="s">
        <v>587</v>
      </c>
      <c r="F160" s="55" t="s">
        <v>597</v>
      </c>
      <c r="G160" s="18" t="str">
        <f t="shared" si="5"/>
        <v>중갑 강철</v>
      </c>
      <c r="H160" s="18">
        <v>1</v>
      </c>
      <c r="I160" s="18">
        <v>1</v>
      </c>
      <c r="J160" s="18">
        <v>1</v>
      </c>
      <c r="K160" s="18">
        <v>1</v>
      </c>
      <c r="L160" s="18">
        <v>1</v>
      </c>
      <c r="M160" s="18" cm="1">
        <f t="array" ref="M160">H160*VLOOKUP($G160, Factor!$Q$4:$V$36, 2, 0)*INDEX(Factor!$Q$41:$V$87, _xlfn.XMATCH($C160, Factor!$Q$41:$Q$87, -1), 2)</f>
        <v>1680</v>
      </c>
      <c r="N160" s="18" cm="1">
        <f t="array" ref="N160">I160*VLOOKUP($G160, Factor!$Q$4:$V$36, 3, 0)*INDEX(Factor!$Q$41:$V$87, _xlfn.XMATCH($C160, Factor!$Q$41:$Q$87, -1), 3)</f>
        <v>84</v>
      </c>
      <c r="O160" s="18" cm="1">
        <f t="array" ref="O160">J160*VLOOKUP($G160, Factor!$Q$4:$V$36, 4, 0)*INDEX(Factor!$Q$41:$V$87, _xlfn.XMATCH($C160, Factor!$Q$41:$Q$87, -1), 4)</f>
        <v>1680</v>
      </c>
      <c r="P160" s="18" cm="1">
        <f t="array" ref="P160">K160*VLOOKUP($G160, Factor!$Q$4:$V$36, 5, 0)*INDEX(Factor!$Q$41:$V$87, _xlfn.XMATCH($C160, Factor!$Q$41:$Q$87, -1), 5)</f>
        <v>2.88</v>
      </c>
      <c r="Q160" s="18" cm="1">
        <f t="array" ref="Q160">L160*VLOOKUP($G160, Factor!$Q$4:$V$36, 6, 0)*INDEX(Factor!$Q$41:$V$87, _xlfn.XMATCH($C160, Factor!$Q$41:$Q$87, -1), 6)</f>
        <v>7200</v>
      </c>
      <c r="R160" s="19"/>
    </row>
    <row r="161" spans="1:18" ht="15.75" customHeight="1" x14ac:dyDescent="0.2">
      <c r="A161" s="14" t="str">
        <f>"couch_"&amp;VLOOKUP(F161, Factor!$BQ$4:$BR$6, 2, 0)&amp;"_"&amp;Couch!D161&amp;"_"&amp;VLOOKUP(Couch!E161, Factor!$BS$4:$BT$13, 2, 0)</f>
        <v>couch_St_T8_003</v>
      </c>
      <c r="B161" s="15" t="str">
        <f t="shared" si="4"/>
        <v>T8 화물 강철객차</v>
      </c>
      <c r="C161" s="15">
        <f>VLOOKUP(D161, Factor!$P$41:$Q$50, 2, 0)</f>
        <v>16000</v>
      </c>
      <c r="D161" s="15" t="s">
        <v>304</v>
      </c>
      <c r="E161" s="56" t="s">
        <v>589</v>
      </c>
      <c r="F161" s="56" t="s">
        <v>597</v>
      </c>
      <c r="G161" s="15" t="str">
        <f t="shared" si="5"/>
        <v>화물 강철</v>
      </c>
      <c r="H161" s="15">
        <v>1</v>
      </c>
      <c r="I161" s="15">
        <v>1</v>
      </c>
      <c r="J161" s="15">
        <v>1</v>
      </c>
      <c r="K161" s="15">
        <v>1</v>
      </c>
      <c r="L161" s="15">
        <v>1</v>
      </c>
      <c r="M161" s="15" cm="1">
        <f t="array" ref="M161">H161*VLOOKUP($G161, Factor!$Q$4:$V$36, 2, 0)*INDEX(Factor!$Q$41:$V$87, _xlfn.XMATCH($C161, Factor!$Q$41:$Q$87, -1), 2)</f>
        <v>1680</v>
      </c>
      <c r="N161" s="15" cm="1">
        <f t="array" ref="N161">I161*VLOOKUP($G161, Factor!$Q$4:$V$36, 3, 0)*INDEX(Factor!$Q$41:$V$87, _xlfn.XMATCH($C161, Factor!$Q$41:$Q$87, -1), 3)</f>
        <v>48</v>
      </c>
      <c r="O161" s="15" cm="1">
        <f t="array" ref="O161">J161*VLOOKUP($G161, Factor!$Q$4:$V$36, 4, 0)*INDEX(Factor!$Q$41:$V$87, _xlfn.XMATCH($C161, Factor!$Q$41:$Q$87, -1), 4)</f>
        <v>1680</v>
      </c>
      <c r="P161" s="15" cm="1">
        <f t="array" ref="P161">K161*VLOOKUP($G161, Factor!$Q$4:$V$36, 5, 0)*INDEX(Factor!$Q$41:$V$87, _xlfn.XMATCH($C161, Factor!$Q$41:$Q$87, -1), 5)</f>
        <v>2.64</v>
      </c>
      <c r="Q161" s="15" cm="1">
        <f t="array" ref="Q161">L161*VLOOKUP($G161, Factor!$Q$4:$V$36, 6, 0)*INDEX(Factor!$Q$41:$V$87, _xlfn.XMATCH($C161, Factor!$Q$41:$Q$87, -1), 6)</f>
        <v>2400</v>
      </c>
      <c r="R161" s="16"/>
    </row>
    <row r="162" spans="1:18" ht="15.75" customHeight="1" x14ac:dyDescent="0.2">
      <c r="A162" s="17" t="str">
        <f>"couch_"&amp;VLOOKUP(F162, Factor!$BQ$4:$BR$6, 2, 0)&amp;"_"&amp;Couch!D162&amp;"_"&amp;VLOOKUP(Couch!E162, Factor!$BS$4:$BT$13, 2, 0)</f>
        <v>couch_St_T8_004</v>
      </c>
      <c r="B162" s="18" t="str">
        <f t="shared" si="4"/>
        <v>T8 군용 강철객차</v>
      </c>
      <c r="C162" s="18">
        <f>VLOOKUP(D162, Factor!$P$41:$Q$50, 2, 0)</f>
        <v>16000</v>
      </c>
      <c r="D162" s="18" t="s">
        <v>304</v>
      </c>
      <c r="E162" s="55" t="s">
        <v>591</v>
      </c>
      <c r="F162" s="55" t="s">
        <v>597</v>
      </c>
      <c r="G162" s="18" t="str">
        <f t="shared" si="5"/>
        <v>군용 강철</v>
      </c>
      <c r="H162" s="18">
        <v>1</v>
      </c>
      <c r="I162" s="18">
        <v>1</v>
      </c>
      <c r="J162" s="18">
        <v>1</v>
      </c>
      <c r="K162" s="18">
        <v>1</v>
      </c>
      <c r="L162" s="18">
        <v>1</v>
      </c>
      <c r="M162" s="18" cm="1">
        <f t="array" ref="M162">H162*VLOOKUP($G162, Factor!$Q$4:$V$36, 2, 0)*INDEX(Factor!$Q$41:$V$87, _xlfn.XMATCH($C162, Factor!$Q$41:$Q$87, -1), 2)</f>
        <v>2160</v>
      </c>
      <c r="N162" s="18" cm="1">
        <f t="array" ref="N162">I162*VLOOKUP($G162, Factor!$Q$4:$V$36, 3, 0)*INDEX(Factor!$Q$41:$V$87, _xlfn.XMATCH($C162, Factor!$Q$41:$Q$87, -1), 3)</f>
        <v>72</v>
      </c>
      <c r="O162" s="18" cm="1">
        <f t="array" ref="O162">J162*VLOOKUP($G162, Factor!$Q$4:$V$36, 4, 0)*INDEX(Factor!$Q$41:$V$87, _xlfn.XMATCH($C162, Factor!$Q$41:$Q$87, -1), 4)</f>
        <v>2160</v>
      </c>
      <c r="P162" s="18" cm="1">
        <f t="array" ref="P162">K162*VLOOKUP($G162, Factor!$Q$4:$V$36, 5, 0)*INDEX(Factor!$Q$41:$V$87, _xlfn.XMATCH($C162, Factor!$Q$41:$Q$87, -1), 5)</f>
        <v>3.12</v>
      </c>
      <c r="Q162" s="18" cm="1">
        <f t="array" ref="Q162">L162*VLOOKUP($G162, Factor!$Q$4:$V$36, 6, 0)*INDEX(Factor!$Q$41:$V$87, _xlfn.XMATCH($C162, Factor!$Q$41:$Q$87, -1), 6)</f>
        <v>10800</v>
      </c>
      <c r="R162" s="19"/>
    </row>
    <row r="163" spans="1:18" ht="15.75" customHeight="1" x14ac:dyDescent="0.2">
      <c r="A163" s="14" t="str">
        <f>"couch_"&amp;VLOOKUP(F163, Factor!$BQ$4:$BR$6, 2, 0)&amp;"_"&amp;Couch!D163&amp;"_"&amp;VLOOKUP(Couch!E163, Factor!$BS$4:$BT$13, 2, 0)</f>
        <v>couch_St_T8_005</v>
      </c>
      <c r="B163" s="15" t="str">
        <f t="shared" si="4"/>
        <v>T8 여객 강철객차</v>
      </c>
      <c r="C163" s="15">
        <f>VLOOKUP(D163, Factor!$P$41:$Q$50, 2, 0)</f>
        <v>16000</v>
      </c>
      <c r="D163" s="15" t="s">
        <v>304</v>
      </c>
      <c r="E163" s="56" t="s">
        <v>593</v>
      </c>
      <c r="F163" s="56" t="s">
        <v>597</v>
      </c>
      <c r="G163" s="15" t="str">
        <f t="shared" si="5"/>
        <v>여객 강철</v>
      </c>
      <c r="H163" s="15">
        <v>1</v>
      </c>
      <c r="I163" s="15">
        <v>1</v>
      </c>
      <c r="J163" s="15">
        <v>1</v>
      </c>
      <c r="K163" s="15">
        <v>1</v>
      </c>
      <c r="L163" s="15">
        <v>1</v>
      </c>
      <c r="M163" s="15" cm="1">
        <f t="array" ref="M163">H163*VLOOKUP($G163, Factor!$Q$4:$V$36, 2, 0)*INDEX(Factor!$Q$41:$V$87, _xlfn.XMATCH($C163, Factor!$Q$41:$Q$87, -1), 2)</f>
        <v>1440</v>
      </c>
      <c r="N163" s="15" cm="1">
        <f t="array" ref="N163">I163*VLOOKUP($G163, Factor!$Q$4:$V$36, 3, 0)*INDEX(Factor!$Q$41:$V$87, _xlfn.XMATCH($C163, Factor!$Q$41:$Q$87, -1), 3)</f>
        <v>48</v>
      </c>
      <c r="O163" s="15" cm="1">
        <f t="array" ref="O163">J163*VLOOKUP($G163, Factor!$Q$4:$V$36, 4, 0)*INDEX(Factor!$Q$41:$V$87, _xlfn.XMATCH($C163, Factor!$Q$41:$Q$87, -1), 4)</f>
        <v>1440</v>
      </c>
      <c r="P163" s="15" cm="1">
        <f t="array" ref="P163">K163*VLOOKUP($G163, Factor!$Q$4:$V$36, 5, 0)*INDEX(Factor!$Q$41:$V$87, _xlfn.XMATCH($C163, Factor!$Q$41:$Q$87, -1), 5)</f>
        <v>3.36</v>
      </c>
      <c r="Q163" s="15" cm="1">
        <f t="array" ref="Q163">L163*VLOOKUP($G163, Factor!$Q$4:$V$36, 6, 0)*INDEX(Factor!$Q$41:$V$87, _xlfn.XMATCH($C163, Factor!$Q$41:$Q$87, -1), 6)</f>
        <v>3600</v>
      </c>
      <c r="R163" s="16"/>
    </row>
    <row r="164" spans="1:18" ht="15.75" customHeight="1" x14ac:dyDescent="0.2">
      <c r="A164" s="17" t="str">
        <f>"couch_"&amp;VLOOKUP(F164, Factor!$BQ$4:$BR$6, 2, 0)&amp;"_"&amp;Couch!D164&amp;"_"&amp;VLOOKUP(Couch!E164, Factor!$BS$4:$BT$13, 2, 0)</f>
        <v>couch_St_T8_006</v>
      </c>
      <c r="B164" s="18" t="str">
        <f t="shared" si="4"/>
        <v>T8 시운 강철객차</v>
      </c>
      <c r="C164" s="18">
        <f>VLOOKUP(D164, Factor!$P$41:$Q$50, 2, 0)</f>
        <v>16000</v>
      </c>
      <c r="D164" s="18" t="s">
        <v>304</v>
      </c>
      <c r="E164" s="55" t="s">
        <v>595</v>
      </c>
      <c r="F164" s="55" t="s">
        <v>597</v>
      </c>
      <c r="G164" s="18" t="str">
        <f t="shared" si="5"/>
        <v>시운 강철</v>
      </c>
      <c r="H164" s="18">
        <v>1</v>
      </c>
      <c r="I164" s="18">
        <v>1</v>
      </c>
      <c r="J164" s="18">
        <v>1</v>
      </c>
      <c r="K164" s="18">
        <v>1</v>
      </c>
      <c r="L164" s="18">
        <v>1</v>
      </c>
      <c r="M164" s="18" cm="1">
        <f t="array" ref="M164">H164*VLOOKUP($G164, Factor!$Q$4:$V$36, 2, 0)*INDEX(Factor!$Q$41:$V$87, _xlfn.XMATCH($C164, Factor!$Q$41:$Q$87, -1), 2)</f>
        <v>720</v>
      </c>
      <c r="N164" s="18" cm="1">
        <f t="array" ref="N164">I164*VLOOKUP($G164, Factor!$Q$4:$V$36, 3, 0)*INDEX(Factor!$Q$41:$V$87, _xlfn.XMATCH($C164, Factor!$Q$41:$Q$87, -1), 3)</f>
        <v>48</v>
      </c>
      <c r="O164" s="18" cm="1">
        <f t="array" ref="O164">J164*VLOOKUP($G164, Factor!$Q$4:$V$36, 4, 0)*INDEX(Factor!$Q$41:$V$87, _xlfn.XMATCH($C164, Factor!$Q$41:$Q$87, -1), 4)</f>
        <v>2640</v>
      </c>
      <c r="P164" s="18" cm="1">
        <f t="array" ref="P164">K164*VLOOKUP($G164, Factor!$Q$4:$V$36, 5, 0)*INDEX(Factor!$Q$41:$V$87, _xlfn.XMATCH($C164, Factor!$Q$41:$Q$87, -1), 5)</f>
        <v>2.88</v>
      </c>
      <c r="Q164" s="18" cm="1">
        <f t="array" ref="Q164">L164*VLOOKUP($G164, Factor!$Q$4:$V$36, 6, 0)*INDEX(Factor!$Q$41:$V$87, _xlfn.XMATCH($C164, Factor!$Q$41:$Q$87, -1), 6)</f>
        <v>3600</v>
      </c>
      <c r="R164" s="19"/>
    </row>
    <row r="165" spans="1:18" ht="15.75" customHeight="1" x14ac:dyDescent="0.2">
      <c r="A165" s="14" t="str">
        <f>"couch_"&amp;VLOOKUP(F165, Factor!$BQ$4:$BR$6, 2, 0)&amp;"_"&amp;Couch!D165&amp;"_"&amp;VLOOKUP(Couch!E165, Factor!$BS$4:$BT$13, 2, 0)</f>
        <v>couch_St_T8_007</v>
      </c>
      <c r="B165" s="15" t="str">
        <f t="shared" si="4"/>
        <v>T8 경량 강철객차</v>
      </c>
      <c r="C165" s="15">
        <f>VLOOKUP(D165, Factor!$P$41:$Q$50, 2, 0)</f>
        <v>16000</v>
      </c>
      <c r="D165" s="15" t="s">
        <v>304</v>
      </c>
      <c r="E165" s="56" t="s">
        <v>585</v>
      </c>
      <c r="F165" s="56" t="s">
        <v>597</v>
      </c>
      <c r="G165" s="15" t="str">
        <f t="shared" si="5"/>
        <v>경량 강철</v>
      </c>
      <c r="H165" s="15">
        <v>1</v>
      </c>
      <c r="I165" s="15">
        <v>1</v>
      </c>
      <c r="J165" s="15">
        <v>1</v>
      </c>
      <c r="K165" s="15">
        <v>1</v>
      </c>
      <c r="L165" s="15">
        <v>1</v>
      </c>
      <c r="M165" s="15" cm="1">
        <f t="array" ref="M165">H165*VLOOKUP($G165, Factor!$Q$4:$V$36, 2, 0)*INDEX(Factor!$Q$41:$V$87, _xlfn.XMATCH($C165, Factor!$Q$41:$Q$87, -1), 2)</f>
        <v>960</v>
      </c>
      <c r="N165" s="15" cm="1">
        <f t="array" ref="N165">I165*VLOOKUP($G165, Factor!$Q$4:$V$36, 3, 0)*INDEX(Factor!$Q$41:$V$87, _xlfn.XMATCH($C165, Factor!$Q$41:$Q$87, -1), 3)</f>
        <v>36</v>
      </c>
      <c r="O165" s="15" cm="1">
        <f t="array" ref="O165">J165*VLOOKUP($G165, Factor!$Q$4:$V$36, 4, 0)*INDEX(Factor!$Q$41:$V$87, _xlfn.XMATCH($C165, Factor!$Q$41:$Q$87, -1), 4)</f>
        <v>960</v>
      </c>
      <c r="P165" s="15" cm="1">
        <f t="array" ref="P165">K165*VLOOKUP($G165, Factor!$Q$4:$V$36, 5, 0)*INDEX(Factor!$Q$41:$V$87, _xlfn.XMATCH($C165, Factor!$Q$41:$Q$87, -1), 5)</f>
        <v>2.88</v>
      </c>
      <c r="Q165" s="15" cm="1">
        <f t="array" ref="Q165">L165*VLOOKUP($G165, Factor!$Q$4:$V$36, 6, 0)*INDEX(Factor!$Q$41:$V$87, _xlfn.XMATCH($C165, Factor!$Q$41:$Q$87, -1), 6)</f>
        <v>1680</v>
      </c>
      <c r="R165" s="16"/>
    </row>
    <row r="166" spans="1:18" ht="15.75" customHeight="1" x14ac:dyDescent="0.2">
      <c r="A166" s="17" t="str">
        <f>"couch_"&amp;VLOOKUP(F166, Factor!$BQ$4:$BR$6, 2, 0)&amp;"_"&amp;Couch!D166&amp;"_"&amp;VLOOKUP(Couch!E166, Factor!$BS$4:$BT$13, 2, 0)</f>
        <v>couch_Ti_T8_001</v>
      </c>
      <c r="B166" s="18" t="str">
        <f t="shared" si="4"/>
        <v>T8 표준 티타늄객차</v>
      </c>
      <c r="C166" s="18">
        <f>VLOOKUP(D166, Factor!$P$41:$Q$50, 2, 0)</f>
        <v>16000</v>
      </c>
      <c r="D166" s="18" t="s">
        <v>304</v>
      </c>
      <c r="E166" s="55" t="s">
        <v>582</v>
      </c>
      <c r="F166" s="55" t="s">
        <v>598</v>
      </c>
      <c r="G166" s="18" t="str">
        <f t="shared" si="5"/>
        <v>표준 티타늄</v>
      </c>
      <c r="H166" s="18">
        <v>1</v>
      </c>
      <c r="I166" s="18">
        <v>1</v>
      </c>
      <c r="J166" s="18">
        <v>1</v>
      </c>
      <c r="K166" s="18">
        <v>1</v>
      </c>
      <c r="L166" s="18">
        <v>1</v>
      </c>
      <c r="M166" s="18" cm="1">
        <f t="array" ref="M166">H166*VLOOKUP($G166, Factor!$Q$4:$V$36, 2, 0)*INDEX(Factor!$Q$41:$V$87, _xlfn.XMATCH($C166, Factor!$Q$41:$Q$87, -1), 2)</f>
        <v>2400</v>
      </c>
      <c r="N166" s="18" cm="1">
        <f t="array" ref="N166">I166*VLOOKUP($G166, Factor!$Q$4:$V$36, 3, 0)*INDEX(Factor!$Q$41:$V$87, _xlfn.XMATCH($C166, Factor!$Q$41:$Q$87, -1), 3)</f>
        <v>72</v>
      </c>
      <c r="O166" s="18" cm="1">
        <f t="array" ref="O166">J166*VLOOKUP($G166, Factor!$Q$4:$V$36, 4, 0)*INDEX(Factor!$Q$41:$V$87, _xlfn.XMATCH($C166, Factor!$Q$41:$Q$87, -1), 4)</f>
        <v>2400</v>
      </c>
      <c r="P166" s="18" cm="1">
        <f t="array" ref="P166">K166*VLOOKUP($G166, Factor!$Q$4:$V$36, 5, 0)*INDEX(Factor!$Q$41:$V$87, _xlfn.XMATCH($C166, Factor!$Q$41:$Q$87, -1), 5)</f>
        <v>3.36</v>
      </c>
      <c r="Q166" s="18" cm="1">
        <f t="array" ref="Q166">L166*VLOOKUP($G166, Factor!$Q$4:$V$36, 6, 0)*INDEX(Factor!$Q$41:$V$87, _xlfn.XMATCH($C166, Factor!$Q$41:$Q$87, -1), 6)</f>
        <v>4800</v>
      </c>
      <c r="R166" s="19"/>
    </row>
    <row r="167" spans="1:18" ht="15.75" customHeight="1" x14ac:dyDescent="0.2">
      <c r="A167" s="14" t="str">
        <f>"couch_"&amp;VLOOKUP(F167, Factor!$BQ$4:$BR$6, 2, 0)&amp;"_"&amp;Couch!D167&amp;"_"&amp;VLOOKUP(Couch!E167, Factor!$BS$4:$BT$13, 2, 0)</f>
        <v>couch_Ti_T8_002</v>
      </c>
      <c r="B167" s="15" t="str">
        <f t="shared" si="4"/>
        <v>T8 중갑 티타늄객차</v>
      </c>
      <c r="C167" s="15">
        <f>VLOOKUP(D167, Factor!$P$41:$Q$50, 2, 0)</f>
        <v>16000</v>
      </c>
      <c r="D167" s="15" t="s">
        <v>304</v>
      </c>
      <c r="E167" s="56" t="s">
        <v>587</v>
      </c>
      <c r="F167" s="56" t="s">
        <v>598</v>
      </c>
      <c r="G167" s="15" t="str">
        <f t="shared" si="5"/>
        <v>중갑 티타늄</v>
      </c>
      <c r="H167" s="15">
        <v>1</v>
      </c>
      <c r="I167" s="15">
        <v>1</v>
      </c>
      <c r="J167" s="15">
        <v>1</v>
      </c>
      <c r="K167" s="15">
        <v>1</v>
      </c>
      <c r="L167" s="15">
        <v>1</v>
      </c>
      <c r="M167" s="15" cm="1">
        <f t="array" ref="M167">H167*VLOOKUP($G167, Factor!$Q$4:$V$36, 2, 0)*INDEX(Factor!$Q$41:$V$87, _xlfn.XMATCH($C167, Factor!$Q$41:$Q$87, -1), 2)</f>
        <v>2400</v>
      </c>
      <c r="N167" s="15" cm="1">
        <f t="array" ref="N167">I167*VLOOKUP($G167, Factor!$Q$4:$V$36, 3, 0)*INDEX(Factor!$Q$41:$V$87, _xlfn.XMATCH($C167, Factor!$Q$41:$Q$87, -1), 3)</f>
        <v>132</v>
      </c>
      <c r="O167" s="15" cm="1">
        <f t="array" ref="O167">J167*VLOOKUP($G167, Factor!$Q$4:$V$36, 4, 0)*INDEX(Factor!$Q$41:$V$87, _xlfn.XMATCH($C167, Factor!$Q$41:$Q$87, -1), 4)</f>
        <v>2400</v>
      </c>
      <c r="P167" s="15" cm="1">
        <f t="array" ref="P167">K167*VLOOKUP($G167, Factor!$Q$4:$V$36, 5, 0)*INDEX(Factor!$Q$41:$V$87, _xlfn.XMATCH($C167, Factor!$Q$41:$Q$87, -1), 5)</f>
        <v>3.36</v>
      </c>
      <c r="Q167" s="15" cm="1">
        <f t="array" ref="Q167">L167*VLOOKUP($G167, Factor!$Q$4:$V$36, 6, 0)*INDEX(Factor!$Q$41:$V$87, _xlfn.XMATCH($C167, Factor!$Q$41:$Q$87, -1), 6)</f>
        <v>9600</v>
      </c>
      <c r="R167" s="16"/>
    </row>
    <row r="168" spans="1:18" ht="15.75" customHeight="1" x14ac:dyDescent="0.2">
      <c r="A168" s="17" t="str">
        <f>"couch_"&amp;VLOOKUP(F168, Factor!$BQ$4:$BR$6, 2, 0)&amp;"_"&amp;Couch!D168&amp;"_"&amp;VLOOKUP(Couch!E168, Factor!$BS$4:$BT$13, 2, 0)</f>
        <v>couch_Ti_T8_003</v>
      </c>
      <c r="B168" s="18" t="str">
        <f t="shared" si="4"/>
        <v>T8 화물 티타늄객차</v>
      </c>
      <c r="C168" s="18">
        <f>VLOOKUP(D168, Factor!$P$41:$Q$50, 2, 0)</f>
        <v>16000</v>
      </c>
      <c r="D168" s="18" t="s">
        <v>304</v>
      </c>
      <c r="E168" s="55" t="s">
        <v>589</v>
      </c>
      <c r="F168" s="55" t="s">
        <v>598</v>
      </c>
      <c r="G168" s="18" t="str">
        <f t="shared" si="5"/>
        <v>화물 티타늄</v>
      </c>
      <c r="H168" s="18">
        <v>1</v>
      </c>
      <c r="I168" s="18">
        <v>1</v>
      </c>
      <c r="J168" s="18">
        <v>1</v>
      </c>
      <c r="K168" s="18">
        <v>1</v>
      </c>
      <c r="L168" s="18">
        <v>1</v>
      </c>
      <c r="M168" s="18" cm="1">
        <f t="array" ref="M168">H168*VLOOKUP($G168, Factor!$Q$4:$V$36, 2, 0)*INDEX(Factor!$Q$41:$V$87, _xlfn.XMATCH($C168, Factor!$Q$41:$Q$87, -1), 2)</f>
        <v>2400</v>
      </c>
      <c r="N168" s="18" cm="1">
        <f t="array" ref="N168">I168*VLOOKUP($G168, Factor!$Q$4:$V$36, 3, 0)*INDEX(Factor!$Q$41:$V$87, _xlfn.XMATCH($C168, Factor!$Q$41:$Q$87, -1), 3)</f>
        <v>72</v>
      </c>
      <c r="O168" s="18" cm="1">
        <f t="array" ref="O168">J168*VLOOKUP($G168, Factor!$Q$4:$V$36, 4, 0)*INDEX(Factor!$Q$41:$V$87, _xlfn.XMATCH($C168, Factor!$Q$41:$Q$87, -1), 4)</f>
        <v>2400</v>
      </c>
      <c r="P168" s="18" cm="1">
        <f t="array" ref="P168">K168*VLOOKUP($G168, Factor!$Q$4:$V$36, 5, 0)*INDEX(Factor!$Q$41:$V$87, _xlfn.XMATCH($C168, Factor!$Q$41:$Q$87, -1), 5)</f>
        <v>2.88</v>
      </c>
      <c r="Q168" s="18" cm="1">
        <f t="array" ref="Q168">L168*VLOOKUP($G168, Factor!$Q$4:$V$36, 6, 0)*INDEX(Factor!$Q$41:$V$87, _xlfn.XMATCH($C168, Factor!$Q$41:$Q$87, -1), 6)</f>
        <v>2880</v>
      </c>
      <c r="R168" s="19"/>
    </row>
    <row r="169" spans="1:18" ht="15.75" customHeight="1" x14ac:dyDescent="0.2">
      <c r="A169" s="14" t="str">
        <f>"couch_"&amp;VLOOKUP(F169, Factor!$BQ$4:$BR$6, 2, 0)&amp;"_"&amp;Couch!D169&amp;"_"&amp;VLOOKUP(Couch!E169, Factor!$BS$4:$BT$13, 2, 0)</f>
        <v>couch_Ti_T8_004</v>
      </c>
      <c r="B169" s="15" t="str">
        <f t="shared" si="4"/>
        <v>T8 군용 티타늄객차</v>
      </c>
      <c r="C169" s="15">
        <f>VLOOKUP(D169, Factor!$P$41:$Q$50, 2, 0)</f>
        <v>16000</v>
      </c>
      <c r="D169" s="15" t="s">
        <v>304</v>
      </c>
      <c r="E169" s="56" t="s">
        <v>591</v>
      </c>
      <c r="F169" s="56" t="s">
        <v>598</v>
      </c>
      <c r="G169" s="15" t="str">
        <f t="shared" si="5"/>
        <v>군용 티타늄</v>
      </c>
      <c r="H169" s="15">
        <v>1</v>
      </c>
      <c r="I169" s="15">
        <v>1</v>
      </c>
      <c r="J169" s="15">
        <v>1</v>
      </c>
      <c r="K169" s="15">
        <v>1</v>
      </c>
      <c r="L169" s="15">
        <v>1</v>
      </c>
      <c r="M169" s="15" cm="1">
        <f t="array" ref="M169">H169*VLOOKUP($G169, Factor!$Q$4:$V$36, 2, 0)*INDEX(Factor!$Q$41:$V$87, _xlfn.XMATCH($C169, Factor!$Q$41:$Q$87, -1), 2)</f>
        <v>3360</v>
      </c>
      <c r="N169" s="15" cm="1">
        <f t="array" ref="N169">I169*VLOOKUP($G169, Factor!$Q$4:$V$36, 3, 0)*INDEX(Factor!$Q$41:$V$87, _xlfn.XMATCH($C169, Factor!$Q$41:$Q$87, -1), 3)</f>
        <v>120</v>
      </c>
      <c r="O169" s="15" cm="1">
        <f t="array" ref="O169">J169*VLOOKUP($G169, Factor!$Q$4:$V$36, 4, 0)*INDEX(Factor!$Q$41:$V$87, _xlfn.XMATCH($C169, Factor!$Q$41:$Q$87, -1), 4)</f>
        <v>3360</v>
      </c>
      <c r="P169" s="15" cm="1">
        <f t="array" ref="P169">K169*VLOOKUP($G169, Factor!$Q$4:$V$36, 5, 0)*INDEX(Factor!$Q$41:$V$87, _xlfn.XMATCH($C169, Factor!$Q$41:$Q$87, -1), 5)</f>
        <v>3.5999999999999996</v>
      </c>
      <c r="Q169" s="15" cm="1">
        <f t="array" ref="Q169">L169*VLOOKUP($G169, Factor!$Q$4:$V$36, 6, 0)*INDEX(Factor!$Q$41:$V$87, _xlfn.XMATCH($C169, Factor!$Q$41:$Q$87, -1), 6)</f>
        <v>14400</v>
      </c>
      <c r="R169" s="16"/>
    </row>
    <row r="170" spans="1:18" ht="15.75" customHeight="1" x14ac:dyDescent="0.2">
      <c r="A170" s="17" t="str">
        <f>"couch_"&amp;VLOOKUP(F170, Factor!$BQ$4:$BR$6, 2, 0)&amp;"_"&amp;Couch!D170&amp;"_"&amp;VLOOKUP(Couch!E170, Factor!$BS$4:$BT$13, 2, 0)</f>
        <v>couch_Ti_T8_005</v>
      </c>
      <c r="B170" s="18" t="str">
        <f t="shared" si="4"/>
        <v>T8 여객 티타늄객차</v>
      </c>
      <c r="C170" s="18">
        <f>VLOOKUP(D170, Factor!$P$41:$Q$50, 2, 0)</f>
        <v>16000</v>
      </c>
      <c r="D170" s="18" t="s">
        <v>304</v>
      </c>
      <c r="E170" s="55" t="s">
        <v>593</v>
      </c>
      <c r="F170" s="55" t="s">
        <v>598</v>
      </c>
      <c r="G170" s="18" t="str">
        <f t="shared" si="5"/>
        <v>여객 티타늄</v>
      </c>
      <c r="H170" s="18">
        <v>1</v>
      </c>
      <c r="I170" s="18">
        <v>1</v>
      </c>
      <c r="J170" s="18">
        <v>1</v>
      </c>
      <c r="K170" s="18">
        <v>1</v>
      </c>
      <c r="L170" s="18">
        <v>1</v>
      </c>
      <c r="M170" s="18" cm="1">
        <f t="array" ref="M170">H170*VLOOKUP($G170, Factor!$Q$4:$V$36, 2, 0)*INDEX(Factor!$Q$41:$V$87, _xlfn.XMATCH($C170, Factor!$Q$41:$Q$87, -1), 2)</f>
        <v>1920</v>
      </c>
      <c r="N170" s="18" cm="1">
        <f t="array" ref="N170">I170*VLOOKUP($G170, Factor!$Q$4:$V$36, 3, 0)*INDEX(Factor!$Q$41:$V$87, _xlfn.XMATCH($C170, Factor!$Q$41:$Q$87, -1), 3)</f>
        <v>36</v>
      </c>
      <c r="O170" s="18" cm="1">
        <f t="array" ref="O170">J170*VLOOKUP($G170, Factor!$Q$4:$V$36, 4, 0)*INDEX(Factor!$Q$41:$V$87, _xlfn.XMATCH($C170, Factor!$Q$41:$Q$87, -1), 4)</f>
        <v>19200</v>
      </c>
      <c r="P170" s="18" cm="1">
        <f t="array" ref="P170">K170*VLOOKUP($G170, Factor!$Q$4:$V$36, 5, 0)*INDEX(Factor!$Q$41:$V$87, _xlfn.XMATCH($C170, Factor!$Q$41:$Q$87, -1), 5)</f>
        <v>4.08</v>
      </c>
      <c r="Q170" s="18" cm="1">
        <f t="array" ref="Q170">L170*VLOOKUP($G170, Factor!$Q$4:$V$36, 6, 0)*INDEX(Factor!$Q$41:$V$87, _xlfn.XMATCH($C170, Factor!$Q$41:$Q$87, -1), 6)</f>
        <v>4800</v>
      </c>
      <c r="R170" s="19"/>
    </row>
    <row r="171" spans="1:18" ht="15.75" customHeight="1" x14ac:dyDescent="0.2">
      <c r="A171" s="14" t="str">
        <f>"couch_"&amp;VLOOKUP(F171, Factor!$BQ$4:$BR$6, 2, 0)&amp;"_"&amp;Couch!D171&amp;"_"&amp;VLOOKUP(Couch!E171, Factor!$BS$4:$BT$13, 2, 0)</f>
        <v>couch_Ti_T8_006</v>
      </c>
      <c r="B171" s="15" t="str">
        <f t="shared" si="4"/>
        <v>T8 시운 티타늄객차</v>
      </c>
      <c r="C171" s="15">
        <f>VLOOKUP(D171, Factor!$P$41:$Q$50, 2, 0)</f>
        <v>16000</v>
      </c>
      <c r="D171" s="15" t="s">
        <v>304</v>
      </c>
      <c r="E171" s="56" t="s">
        <v>595</v>
      </c>
      <c r="F171" s="56" t="s">
        <v>598</v>
      </c>
      <c r="G171" s="15" t="str">
        <f t="shared" si="5"/>
        <v>시운 티타늄</v>
      </c>
      <c r="H171" s="15">
        <v>1</v>
      </c>
      <c r="I171" s="15">
        <v>1</v>
      </c>
      <c r="J171" s="15">
        <v>1</v>
      </c>
      <c r="K171" s="15">
        <v>1</v>
      </c>
      <c r="L171" s="15">
        <v>1</v>
      </c>
      <c r="M171" s="15" cm="1">
        <f t="array" ref="M171">H171*VLOOKUP($G171, Factor!$Q$4:$V$36, 2, 0)*INDEX(Factor!$Q$41:$V$87, _xlfn.XMATCH($C171, Factor!$Q$41:$Q$87, -1), 2)</f>
        <v>1200</v>
      </c>
      <c r="N171" s="15" cm="1">
        <f t="array" ref="N171">I171*VLOOKUP($G171, Factor!$Q$4:$V$36, 3, 0)*INDEX(Factor!$Q$41:$V$87, _xlfn.XMATCH($C171, Factor!$Q$41:$Q$87, -1), 3)</f>
        <v>72</v>
      </c>
      <c r="O171" s="15" cm="1">
        <f t="array" ref="O171">J171*VLOOKUP($G171, Factor!$Q$4:$V$36, 4, 0)*INDEX(Factor!$Q$41:$V$87, _xlfn.XMATCH($C171, Factor!$Q$41:$Q$87, -1), 4)</f>
        <v>3600</v>
      </c>
      <c r="P171" s="15" cm="1">
        <f t="array" ref="P171">K171*VLOOKUP($G171, Factor!$Q$4:$V$36, 5, 0)*INDEX(Factor!$Q$41:$V$87, _xlfn.XMATCH($C171, Factor!$Q$41:$Q$87, -1), 5)</f>
        <v>3.36</v>
      </c>
      <c r="Q171" s="15" cm="1">
        <f t="array" ref="Q171">L171*VLOOKUP($G171, Factor!$Q$4:$V$36, 6, 0)*INDEX(Factor!$Q$41:$V$87, _xlfn.XMATCH($C171, Factor!$Q$41:$Q$87, -1), 6)</f>
        <v>4800</v>
      </c>
      <c r="R171" s="16"/>
    </row>
    <row r="172" spans="1:18" ht="15.75" customHeight="1" x14ac:dyDescent="0.2">
      <c r="A172" s="17" t="str">
        <f>"couch_"&amp;VLOOKUP(F172, Factor!$BQ$4:$BR$6, 2, 0)&amp;"_"&amp;Couch!D172&amp;"_"&amp;VLOOKUP(Couch!E172, Factor!$BS$4:$BT$13, 2, 0)</f>
        <v>couch_Ti_T8_007</v>
      </c>
      <c r="B172" s="18" t="str">
        <f t="shared" si="4"/>
        <v>T8 경량 티타늄객차</v>
      </c>
      <c r="C172" s="18">
        <f>VLOOKUP(D172, Factor!$P$41:$Q$50, 2, 0)</f>
        <v>16000</v>
      </c>
      <c r="D172" s="18" t="s">
        <v>304</v>
      </c>
      <c r="E172" s="55" t="s">
        <v>585</v>
      </c>
      <c r="F172" s="55" t="s">
        <v>598</v>
      </c>
      <c r="G172" s="18" t="str">
        <f t="shared" si="5"/>
        <v>경량 티타늄</v>
      </c>
      <c r="H172" s="18">
        <v>1</v>
      </c>
      <c r="I172" s="18">
        <v>1</v>
      </c>
      <c r="J172" s="18">
        <v>1</v>
      </c>
      <c r="K172" s="18">
        <v>1</v>
      </c>
      <c r="L172" s="18">
        <v>1</v>
      </c>
      <c r="M172" s="18" cm="1">
        <f t="array" ref="M172">H172*VLOOKUP($G172, Factor!$Q$4:$V$36, 2, 0)*INDEX(Factor!$Q$41:$V$87, _xlfn.XMATCH($C172, Factor!$Q$41:$Q$87, -1), 2)</f>
        <v>1440</v>
      </c>
      <c r="N172" s="18" cm="1">
        <f t="array" ref="N172">I172*VLOOKUP($G172, Factor!$Q$4:$V$36, 3, 0)*INDEX(Factor!$Q$41:$V$87, _xlfn.XMATCH($C172, Factor!$Q$41:$Q$87, -1), 3)</f>
        <v>48</v>
      </c>
      <c r="O172" s="18" cm="1">
        <f t="array" ref="O172">J172*VLOOKUP($G172, Factor!$Q$4:$V$36, 4, 0)*INDEX(Factor!$Q$41:$V$87, _xlfn.XMATCH($C172, Factor!$Q$41:$Q$87, -1), 4)</f>
        <v>1440</v>
      </c>
      <c r="P172" s="18" cm="1">
        <f t="array" ref="P172">K172*VLOOKUP($G172, Factor!$Q$4:$V$36, 5, 0)*INDEX(Factor!$Q$41:$V$87, _xlfn.XMATCH($C172, Factor!$Q$41:$Q$87, -1), 5)</f>
        <v>3.36</v>
      </c>
      <c r="Q172" s="18" cm="1">
        <f t="array" ref="Q172">L172*VLOOKUP($G172, Factor!$Q$4:$V$36, 6, 0)*INDEX(Factor!$Q$41:$V$87, _xlfn.XMATCH($C172, Factor!$Q$41:$Q$87, -1), 6)</f>
        <v>2400</v>
      </c>
      <c r="R172" s="19"/>
    </row>
    <row r="173" spans="1:18" ht="15.75" customHeight="1" x14ac:dyDescent="0.2">
      <c r="A173" s="14" t="str">
        <f>"couch_"&amp;VLOOKUP(F173, Factor!$BQ$4:$BR$6, 2, 0)&amp;"_"&amp;Couch!D173&amp;"_"&amp;VLOOKUP(Couch!E173, Factor!$BS$4:$BT$13, 2, 0)</f>
        <v>couch_Wo_T9_001</v>
      </c>
      <c r="B173" s="15" t="str">
        <f t="shared" si="4"/>
        <v>T9 표준 나무객차</v>
      </c>
      <c r="C173" s="15">
        <f>VLOOKUP(D173, Factor!$P$41:$Q$50, 2, 0)</f>
        <v>18000</v>
      </c>
      <c r="D173" s="15" t="s">
        <v>327</v>
      </c>
      <c r="E173" s="56" t="s">
        <v>582</v>
      </c>
      <c r="F173" s="56" t="s">
        <v>663</v>
      </c>
      <c r="G173" s="15" t="str">
        <f t="shared" si="5"/>
        <v>표준 나무</v>
      </c>
      <c r="H173" s="15">
        <v>1</v>
      </c>
      <c r="I173" s="15">
        <v>1</v>
      </c>
      <c r="J173" s="15">
        <v>1</v>
      </c>
      <c r="K173" s="15">
        <v>1</v>
      </c>
      <c r="L173" s="15">
        <v>1</v>
      </c>
      <c r="M173" s="15" cm="1">
        <f t="array" ref="M173">H173*VLOOKUP($G173, Factor!$Q$4:$V$36, 2, 0)*INDEX(Factor!$Q$41:$V$87, _xlfn.XMATCH($C173, Factor!$Q$41:$Q$87, -1), 2)</f>
        <v>1300</v>
      </c>
      <c r="N173" s="15" cm="1">
        <f t="array" ref="N173">I173*VLOOKUP($G173, Factor!$Q$4:$V$36, 3, 0)*INDEX(Factor!$Q$41:$V$87, _xlfn.XMATCH($C173, Factor!$Q$41:$Q$87, -1), 3)</f>
        <v>26</v>
      </c>
      <c r="O173" s="15" cm="1">
        <f t="array" ref="O173">J173*VLOOKUP($G173, Factor!$Q$4:$V$36, 4, 0)*INDEX(Factor!$Q$41:$V$87, _xlfn.XMATCH($C173, Factor!$Q$41:$Q$87, -1), 4)</f>
        <v>1300</v>
      </c>
      <c r="P173" s="15" cm="1">
        <f t="array" ref="P173">K173*VLOOKUP($G173, Factor!$Q$4:$V$36, 5, 0)*INDEX(Factor!$Q$41:$V$87, _xlfn.XMATCH($C173, Factor!$Q$41:$Q$87, -1), 5)</f>
        <v>2.6</v>
      </c>
      <c r="Q173" s="15" cm="1">
        <f t="array" ref="Q173">L173*VLOOKUP($G173, Factor!$Q$4:$V$36, 6, 0)*INDEX(Factor!$Q$41:$V$87, _xlfn.XMATCH($C173, Factor!$Q$41:$Q$87, -1), 6)</f>
        <v>2600</v>
      </c>
      <c r="R173" s="16"/>
    </row>
    <row r="174" spans="1:18" ht="15.75" customHeight="1" x14ac:dyDescent="0.2">
      <c r="A174" s="17" t="str">
        <f>"couch_"&amp;VLOOKUP(F174, Factor!$BQ$4:$BR$6, 2, 0)&amp;"_"&amp;Couch!D174&amp;"_"&amp;VLOOKUP(Couch!E174, Factor!$BS$4:$BT$13, 2, 0)</f>
        <v>couch_Wo_T9_002</v>
      </c>
      <c r="B174" s="18" t="str">
        <f t="shared" si="4"/>
        <v>T9 중갑 나무객차</v>
      </c>
      <c r="C174" s="18">
        <f>VLOOKUP(D174, Factor!$P$41:$Q$50, 2, 0)</f>
        <v>18000</v>
      </c>
      <c r="D174" s="18" t="s">
        <v>327</v>
      </c>
      <c r="E174" s="55" t="s">
        <v>587</v>
      </c>
      <c r="F174" s="55" t="s">
        <v>663</v>
      </c>
      <c r="G174" s="18" t="str">
        <f t="shared" si="5"/>
        <v>중갑 나무</v>
      </c>
      <c r="H174" s="18">
        <v>1</v>
      </c>
      <c r="I174" s="18">
        <v>1</v>
      </c>
      <c r="J174" s="18">
        <v>1</v>
      </c>
      <c r="K174" s="18">
        <v>1</v>
      </c>
      <c r="L174" s="18">
        <v>1</v>
      </c>
      <c r="M174" s="18" cm="1">
        <f t="array" ref="M174">H174*VLOOKUP($G174, Factor!$Q$4:$V$36, 2, 0)*INDEX(Factor!$Q$41:$V$87, _xlfn.XMATCH($C174, Factor!$Q$41:$Q$87, -1), 2)</f>
        <v>1300</v>
      </c>
      <c r="N174" s="18" cm="1">
        <f t="array" ref="N174">I174*VLOOKUP($G174, Factor!$Q$4:$V$36, 3, 0)*INDEX(Factor!$Q$41:$V$87, _xlfn.XMATCH($C174, Factor!$Q$41:$Q$87, -1), 3)</f>
        <v>52</v>
      </c>
      <c r="O174" s="18" cm="1">
        <f t="array" ref="O174">J174*VLOOKUP($G174, Factor!$Q$4:$V$36, 4, 0)*INDEX(Factor!$Q$41:$V$87, _xlfn.XMATCH($C174, Factor!$Q$41:$Q$87, -1), 4)</f>
        <v>1300</v>
      </c>
      <c r="P174" s="18" cm="1">
        <f t="array" ref="P174">K174*VLOOKUP($G174, Factor!$Q$4:$V$36, 5, 0)*INDEX(Factor!$Q$41:$V$87, _xlfn.XMATCH($C174, Factor!$Q$41:$Q$87, -1), 5)</f>
        <v>2.6</v>
      </c>
      <c r="Q174" s="18" cm="1">
        <f t="array" ref="Q174">L174*VLOOKUP($G174, Factor!$Q$4:$V$36, 6, 0)*INDEX(Factor!$Q$41:$V$87, _xlfn.XMATCH($C174, Factor!$Q$41:$Q$87, -1), 6)</f>
        <v>5200</v>
      </c>
      <c r="R174" s="19"/>
    </row>
    <row r="175" spans="1:18" ht="15.75" customHeight="1" x14ac:dyDescent="0.2">
      <c r="A175" s="14" t="str">
        <f>"couch_"&amp;VLOOKUP(F175, Factor!$BQ$4:$BR$6, 2, 0)&amp;"_"&amp;Couch!D175&amp;"_"&amp;VLOOKUP(Couch!E175, Factor!$BS$4:$BT$13, 2, 0)</f>
        <v>couch_Wo_T9_003</v>
      </c>
      <c r="B175" s="15" t="str">
        <f t="shared" si="4"/>
        <v>T9 화물 나무객차</v>
      </c>
      <c r="C175" s="15">
        <f>VLOOKUP(D175, Factor!$P$41:$Q$50, 2, 0)</f>
        <v>18000</v>
      </c>
      <c r="D175" s="15" t="s">
        <v>305</v>
      </c>
      <c r="E175" s="56" t="s">
        <v>589</v>
      </c>
      <c r="F175" s="56" t="s">
        <v>663</v>
      </c>
      <c r="G175" s="15" t="str">
        <f t="shared" si="5"/>
        <v>화물 나무</v>
      </c>
      <c r="H175" s="15">
        <v>1</v>
      </c>
      <c r="I175" s="15">
        <v>1</v>
      </c>
      <c r="J175" s="15">
        <v>1</v>
      </c>
      <c r="K175" s="15">
        <v>1</v>
      </c>
      <c r="L175" s="15">
        <v>1</v>
      </c>
      <c r="M175" s="15" cm="1">
        <f t="array" ref="M175">H175*VLOOKUP($G175, Factor!$Q$4:$V$36, 2, 0)*INDEX(Factor!$Q$41:$V$87, _xlfn.XMATCH($C175, Factor!$Q$41:$Q$87, -1), 2)</f>
        <v>1300</v>
      </c>
      <c r="N175" s="15" cm="1">
        <f t="array" ref="N175">I175*VLOOKUP($G175, Factor!$Q$4:$V$36, 3, 0)*INDEX(Factor!$Q$41:$V$87, _xlfn.XMATCH($C175, Factor!$Q$41:$Q$87, -1), 3)</f>
        <v>26</v>
      </c>
      <c r="O175" s="15" cm="1">
        <f t="array" ref="O175">J175*VLOOKUP($G175, Factor!$Q$4:$V$36, 4, 0)*INDEX(Factor!$Q$41:$V$87, _xlfn.XMATCH($C175, Factor!$Q$41:$Q$87, -1), 4)</f>
        <v>1300</v>
      </c>
      <c r="P175" s="15" cm="1">
        <f t="array" ref="P175">K175*VLOOKUP($G175, Factor!$Q$4:$V$36, 5, 0)*INDEX(Factor!$Q$41:$V$87, _xlfn.XMATCH($C175, Factor!$Q$41:$Q$87, -1), 5)</f>
        <v>2.3400000000000003</v>
      </c>
      <c r="Q175" s="15" cm="1">
        <f t="array" ref="Q175">L175*VLOOKUP($G175, Factor!$Q$4:$V$36, 6, 0)*INDEX(Factor!$Q$41:$V$87, _xlfn.XMATCH($C175, Factor!$Q$41:$Q$87, -1), 6)</f>
        <v>1820</v>
      </c>
      <c r="R175" s="16"/>
    </row>
    <row r="176" spans="1:18" ht="15.75" customHeight="1" x14ac:dyDescent="0.2">
      <c r="A176" s="17" t="str">
        <f>"couch_"&amp;VLOOKUP(F176, Factor!$BQ$4:$BR$6, 2, 0)&amp;"_"&amp;Couch!D176&amp;"_"&amp;VLOOKUP(Couch!E176, Factor!$BS$4:$BT$13, 2, 0)</f>
        <v>couch_Wo_T9_004</v>
      </c>
      <c r="B176" s="18" t="str">
        <f t="shared" si="4"/>
        <v>T9 군용 나무객차</v>
      </c>
      <c r="C176" s="18">
        <f>VLOOKUP(D176, Factor!$P$41:$Q$50, 2, 0)</f>
        <v>18000</v>
      </c>
      <c r="D176" s="18" t="s">
        <v>305</v>
      </c>
      <c r="E176" s="55" t="s">
        <v>591</v>
      </c>
      <c r="F176" s="55" t="s">
        <v>663</v>
      </c>
      <c r="G176" s="18" t="str">
        <f t="shared" si="5"/>
        <v>군용 나무</v>
      </c>
      <c r="H176" s="18">
        <v>1</v>
      </c>
      <c r="I176" s="18">
        <v>1</v>
      </c>
      <c r="J176" s="18">
        <v>1</v>
      </c>
      <c r="K176" s="18">
        <v>1</v>
      </c>
      <c r="L176" s="18">
        <v>1</v>
      </c>
      <c r="M176" s="18" cm="1">
        <f t="array" ref="M176">H176*VLOOKUP($G176, Factor!$Q$4:$V$36, 2, 0)*INDEX(Factor!$Q$41:$V$87, _xlfn.XMATCH($C176, Factor!$Q$41:$Q$87, -1), 2)</f>
        <v>1820</v>
      </c>
      <c r="N176" s="18" cm="1">
        <f t="array" ref="N176">I176*VLOOKUP($G176, Factor!$Q$4:$V$36, 3, 0)*INDEX(Factor!$Q$41:$V$87, _xlfn.XMATCH($C176, Factor!$Q$41:$Q$87, -1), 3)</f>
        <v>39</v>
      </c>
      <c r="O176" s="18" cm="1">
        <f t="array" ref="O176">J176*VLOOKUP($G176, Factor!$Q$4:$V$36, 4, 0)*INDEX(Factor!$Q$41:$V$87, _xlfn.XMATCH($C176, Factor!$Q$41:$Q$87, -1), 4)</f>
        <v>1820</v>
      </c>
      <c r="P176" s="18" cm="1">
        <f t="array" ref="P176">K176*VLOOKUP($G176, Factor!$Q$4:$V$36, 5, 0)*INDEX(Factor!$Q$41:$V$87, _xlfn.XMATCH($C176, Factor!$Q$41:$Q$87, -1), 5)</f>
        <v>2.8600000000000003</v>
      </c>
      <c r="Q176" s="18" cm="1">
        <f t="array" ref="Q176">L176*VLOOKUP($G176, Factor!$Q$4:$V$36, 6, 0)*INDEX(Factor!$Q$41:$V$87, _xlfn.XMATCH($C176, Factor!$Q$41:$Q$87, -1), 6)</f>
        <v>7800</v>
      </c>
      <c r="R176" s="19"/>
    </row>
    <row r="177" spans="1:18" ht="15.75" customHeight="1" x14ac:dyDescent="0.2">
      <c r="A177" s="14" t="str">
        <f>"couch_"&amp;VLOOKUP(F177, Factor!$BQ$4:$BR$6, 2, 0)&amp;"_"&amp;Couch!D177&amp;"_"&amp;VLOOKUP(Couch!E177, Factor!$BS$4:$BT$13, 2, 0)</f>
        <v>couch_Wo_T9_005</v>
      </c>
      <c r="B177" s="15" t="str">
        <f t="shared" si="4"/>
        <v>T9 여객 나무객차</v>
      </c>
      <c r="C177" s="15">
        <f>VLOOKUP(D177, Factor!$P$41:$Q$50, 2, 0)</f>
        <v>18000</v>
      </c>
      <c r="D177" s="15" t="s">
        <v>305</v>
      </c>
      <c r="E177" s="56" t="s">
        <v>593</v>
      </c>
      <c r="F177" s="56" t="s">
        <v>663</v>
      </c>
      <c r="G177" s="15" t="str">
        <f t="shared" si="5"/>
        <v>여객 나무</v>
      </c>
      <c r="H177" s="15">
        <v>1</v>
      </c>
      <c r="I177" s="15">
        <v>1</v>
      </c>
      <c r="J177" s="15">
        <v>1</v>
      </c>
      <c r="K177" s="15">
        <v>1</v>
      </c>
      <c r="L177" s="15">
        <v>1</v>
      </c>
      <c r="M177" s="15" cm="1">
        <f t="array" ref="M177">H177*VLOOKUP($G177, Factor!$Q$4:$V$36, 2, 0)*INDEX(Factor!$Q$41:$V$87, _xlfn.XMATCH($C177, Factor!$Q$41:$Q$87, -1), 2)</f>
        <v>1040</v>
      </c>
      <c r="N177" s="15" cm="1">
        <f t="array" ref="N177">I177*VLOOKUP($G177, Factor!$Q$4:$V$36, 3, 0)*INDEX(Factor!$Q$41:$V$87, _xlfn.XMATCH($C177, Factor!$Q$41:$Q$87, -1), 3)</f>
        <v>20.8</v>
      </c>
      <c r="O177" s="15" cm="1">
        <f t="array" ref="O177">J177*VLOOKUP($G177, Factor!$Q$4:$V$36, 4, 0)*INDEX(Factor!$Q$41:$V$87, _xlfn.XMATCH($C177, Factor!$Q$41:$Q$87, -1), 4)</f>
        <v>1040</v>
      </c>
      <c r="P177" s="15" cm="1">
        <f t="array" ref="P177">K177*VLOOKUP($G177, Factor!$Q$4:$V$36, 5, 0)*INDEX(Factor!$Q$41:$V$87, _xlfn.XMATCH($C177, Factor!$Q$41:$Q$87, -1), 5)</f>
        <v>3.12</v>
      </c>
      <c r="Q177" s="15" cm="1">
        <f t="array" ref="Q177">L177*VLOOKUP($G177, Factor!$Q$4:$V$36, 6, 0)*INDEX(Factor!$Q$41:$V$87, _xlfn.XMATCH($C177, Factor!$Q$41:$Q$87, -1), 6)</f>
        <v>2600</v>
      </c>
      <c r="R177" s="16"/>
    </row>
    <row r="178" spans="1:18" ht="15.75" customHeight="1" x14ac:dyDescent="0.2">
      <c r="A178" s="17" t="str">
        <f>"couch_"&amp;VLOOKUP(F178, Factor!$BQ$4:$BR$6, 2, 0)&amp;"_"&amp;Couch!D178&amp;"_"&amp;VLOOKUP(Couch!E178, Factor!$BS$4:$BT$13, 2, 0)</f>
        <v>couch_Wo_T9_006</v>
      </c>
      <c r="B178" s="18" t="str">
        <f t="shared" si="4"/>
        <v>T9 시운 나무객차</v>
      </c>
      <c r="C178" s="18">
        <f>VLOOKUP(D178, Factor!$P$41:$Q$50, 2, 0)</f>
        <v>18000</v>
      </c>
      <c r="D178" s="18" t="s">
        <v>305</v>
      </c>
      <c r="E178" s="55" t="s">
        <v>595</v>
      </c>
      <c r="F178" s="55" t="s">
        <v>663</v>
      </c>
      <c r="G178" s="18" t="str">
        <f t="shared" si="5"/>
        <v>시운 나무</v>
      </c>
      <c r="H178" s="18">
        <v>1</v>
      </c>
      <c r="I178" s="18">
        <v>1</v>
      </c>
      <c r="J178" s="18">
        <v>1</v>
      </c>
      <c r="K178" s="18">
        <v>1</v>
      </c>
      <c r="L178" s="18">
        <v>1</v>
      </c>
      <c r="M178" s="18" cm="1">
        <f t="array" ref="M178">H178*VLOOKUP($G178, Factor!$Q$4:$V$36, 2, 0)*INDEX(Factor!$Q$41:$V$87, _xlfn.XMATCH($C178, Factor!$Q$41:$Q$87, -1), 2)</f>
        <v>520</v>
      </c>
      <c r="N178" s="18" cm="1">
        <f t="array" ref="N178">I178*VLOOKUP($G178, Factor!$Q$4:$V$36, 3, 0)*INDEX(Factor!$Q$41:$V$87, _xlfn.XMATCH($C178, Factor!$Q$41:$Q$87, -1), 3)</f>
        <v>26</v>
      </c>
      <c r="O178" s="18" cm="1">
        <f t="array" ref="O178">J178*VLOOKUP($G178, Factor!$Q$4:$V$36, 4, 0)*INDEX(Factor!$Q$41:$V$87, _xlfn.XMATCH($C178, Factor!$Q$41:$Q$87, -1), 4)</f>
        <v>2080</v>
      </c>
      <c r="P178" s="18" cm="1">
        <f t="array" ref="P178">K178*VLOOKUP($G178, Factor!$Q$4:$V$36, 5, 0)*INDEX(Factor!$Q$41:$V$87, _xlfn.XMATCH($C178, Factor!$Q$41:$Q$87, -1), 5)</f>
        <v>2.6</v>
      </c>
      <c r="Q178" s="18" cm="1">
        <f t="array" ref="Q178">L178*VLOOKUP($G178, Factor!$Q$4:$V$36, 6, 0)*INDEX(Factor!$Q$41:$V$87, _xlfn.XMATCH($C178, Factor!$Q$41:$Q$87, -1), 6)</f>
        <v>2600</v>
      </c>
      <c r="R178" s="19"/>
    </row>
    <row r="179" spans="1:18" ht="15.75" customHeight="1" x14ac:dyDescent="0.2">
      <c r="A179" s="14" t="str">
        <f>"couch_"&amp;VLOOKUP(F179, Factor!$BQ$4:$BR$6, 2, 0)&amp;"_"&amp;Couch!D179&amp;"_"&amp;VLOOKUP(Couch!E179, Factor!$BS$4:$BT$13, 2, 0)</f>
        <v>couch_Wo_T9_007</v>
      </c>
      <c r="B179" s="15" t="str">
        <f t="shared" si="4"/>
        <v>T9 경량 나무객차</v>
      </c>
      <c r="C179" s="15">
        <f>VLOOKUP(D179, Factor!$P$41:$Q$50, 2, 0)</f>
        <v>18000</v>
      </c>
      <c r="D179" s="15" t="s">
        <v>305</v>
      </c>
      <c r="E179" s="56" t="s">
        <v>585</v>
      </c>
      <c r="F179" s="56" t="s">
        <v>663</v>
      </c>
      <c r="G179" s="15" t="str">
        <f t="shared" si="5"/>
        <v>경량 나무</v>
      </c>
      <c r="H179" s="15">
        <v>1</v>
      </c>
      <c r="I179" s="15">
        <v>1</v>
      </c>
      <c r="J179" s="15">
        <v>1</v>
      </c>
      <c r="K179" s="15">
        <v>1</v>
      </c>
      <c r="L179" s="15">
        <v>1</v>
      </c>
      <c r="M179" s="15" cm="1">
        <f t="array" ref="M179">H179*VLOOKUP($G179, Factor!$Q$4:$V$36, 2, 0)*INDEX(Factor!$Q$41:$V$87, _xlfn.XMATCH($C179, Factor!$Q$41:$Q$87, -1), 2)</f>
        <v>780</v>
      </c>
      <c r="N179" s="15" cm="1">
        <f t="array" ref="N179">I179*VLOOKUP($G179, Factor!$Q$4:$V$36, 3, 0)*INDEX(Factor!$Q$41:$V$87, _xlfn.XMATCH($C179, Factor!$Q$41:$Q$87, -1), 3)</f>
        <v>20.8</v>
      </c>
      <c r="O179" s="15" cm="1">
        <f t="array" ref="O179">J179*VLOOKUP($G179, Factor!$Q$4:$V$36, 4, 0)*INDEX(Factor!$Q$41:$V$87, _xlfn.XMATCH($C179, Factor!$Q$41:$Q$87, -1), 4)</f>
        <v>780</v>
      </c>
      <c r="P179" s="15" cm="1">
        <f t="array" ref="P179">K179*VLOOKUP($G179, Factor!$Q$4:$V$36, 5, 0)*INDEX(Factor!$Q$41:$V$87, _xlfn.XMATCH($C179, Factor!$Q$41:$Q$87, -1), 5)</f>
        <v>2.6</v>
      </c>
      <c r="Q179" s="15" cm="1">
        <f t="array" ref="Q179">L179*VLOOKUP($G179, Factor!$Q$4:$V$36, 6, 0)*INDEX(Factor!$Q$41:$V$87, _xlfn.XMATCH($C179, Factor!$Q$41:$Q$87, -1), 6)</f>
        <v>1300</v>
      </c>
      <c r="R179" s="16"/>
    </row>
    <row r="180" spans="1:18" ht="15.75" customHeight="1" x14ac:dyDescent="0.2">
      <c r="A180" s="17" t="str">
        <f>"couch_"&amp;VLOOKUP(F180, Factor!$BQ$4:$BR$6, 2, 0)&amp;"_"&amp;Couch!D180&amp;"_"&amp;VLOOKUP(Couch!E180, Factor!$BS$4:$BT$13, 2, 0)</f>
        <v>couch_St_T9_001</v>
      </c>
      <c r="B180" s="18" t="str">
        <f t="shared" si="4"/>
        <v>T9 표준 강철객차</v>
      </c>
      <c r="C180" s="18">
        <f>VLOOKUP(D180, Factor!$P$41:$Q$50, 2, 0)</f>
        <v>18000</v>
      </c>
      <c r="D180" s="18" t="s">
        <v>305</v>
      </c>
      <c r="E180" s="55" t="s">
        <v>582</v>
      </c>
      <c r="F180" s="55" t="s">
        <v>597</v>
      </c>
      <c r="G180" s="18" t="str">
        <f t="shared" si="5"/>
        <v>표준 강철</v>
      </c>
      <c r="H180" s="18">
        <v>1</v>
      </c>
      <c r="I180" s="18">
        <v>1</v>
      </c>
      <c r="J180" s="18">
        <v>1</v>
      </c>
      <c r="K180" s="18">
        <v>1</v>
      </c>
      <c r="L180" s="18">
        <v>1</v>
      </c>
      <c r="M180" s="18" cm="1">
        <f t="array" ref="M180">H180*VLOOKUP($G180, Factor!$Q$4:$V$36, 2, 0)*INDEX(Factor!$Q$41:$V$87, _xlfn.XMATCH($C180, Factor!$Q$41:$Q$87, -1), 2)</f>
        <v>1820</v>
      </c>
      <c r="N180" s="18" cm="1">
        <f t="array" ref="N180">I180*VLOOKUP($G180, Factor!$Q$4:$V$36, 3, 0)*INDEX(Factor!$Q$41:$V$87, _xlfn.XMATCH($C180, Factor!$Q$41:$Q$87, -1), 3)</f>
        <v>52</v>
      </c>
      <c r="O180" s="18" cm="1">
        <f t="array" ref="O180">J180*VLOOKUP($G180, Factor!$Q$4:$V$36, 4, 0)*INDEX(Factor!$Q$41:$V$87, _xlfn.XMATCH($C180, Factor!$Q$41:$Q$87, -1), 4)</f>
        <v>1820</v>
      </c>
      <c r="P180" s="18" cm="1">
        <f t="array" ref="P180">K180*VLOOKUP($G180, Factor!$Q$4:$V$36, 5, 0)*INDEX(Factor!$Q$41:$V$87, _xlfn.XMATCH($C180, Factor!$Q$41:$Q$87, -1), 5)</f>
        <v>3.12</v>
      </c>
      <c r="Q180" s="18" cm="1">
        <f t="array" ref="Q180">L180*VLOOKUP($G180, Factor!$Q$4:$V$36, 6, 0)*INDEX(Factor!$Q$41:$V$87, _xlfn.XMATCH($C180, Factor!$Q$41:$Q$87, -1), 6)</f>
        <v>3900</v>
      </c>
      <c r="R180" s="19"/>
    </row>
    <row r="181" spans="1:18" ht="15.75" customHeight="1" x14ac:dyDescent="0.2">
      <c r="A181" s="14" t="str">
        <f>"couch_"&amp;VLOOKUP(F181, Factor!$BQ$4:$BR$6, 2, 0)&amp;"_"&amp;Couch!D181&amp;"_"&amp;VLOOKUP(Couch!E181, Factor!$BS$4:$BT$13, 2, 0)</f>
        <v>couch_St_T9_002</v>
      </c>
      <c r="B181" s="15" t="str">
        <f t="shared" si="4"/>
        <v>T9 중갑 강철객차</v>
      </c>
      <c r="C181" s="15">
        <f>VLOOKUP(D181, Factor!$P$41:$Q$50, 2, 0)</f>
        <v>18000</v>
      </c>
      <c r="D181" s="15" t="s">
        <v>305</v>
      </c>
      <c r="E181" s="56" t="s">
        <v>587</v>
      </c>
      <c r="F181" s="56" t="s">
        <v>597</v>
      </c>
      <c r="G181" s="15" t="str">
        <f t="shared" si="5"/>
        <v>중갑 강철</v>
      </c>
      <c r="H181" s="15">
        <v>1</v>
      </c>
      <c r="I181" s="15">
        <v>1</v>
      </c>
      <c r="J181" s="15">
        <v>1</v>
      </c>
      <c r="K181" s="15">
        <v>1</v>
      </c>
      <c r="L181" s="15">
        <v>1</v>
      </c>
      <c r="M181" s="15" cm="1">
        <f t="array" ref="M181">H181*VLOOKUP($G181, Factor!$Q$4:$V$36, 2, 0)*INDEX(Factor!$Q$41:$V$87, _xlfn.XMATCH($C181, Factor!$Q$41:$Q$87, -1), 2)</f>
        <v>1820</v>
      </c>
      <c r="N181" s="15" cm="1">
        <f t="array" ref="N181">I181*VLOOKUP($G181, Factor!$Q$4:$V$36, 3, 0)*INDEX(Factor!$Q$41:$V$87, _xlfn.XMATCH($C181, Factor!$Q$41:$Q$87, -1), 3)</f>
        <v>91</v>
      </c>
      <c r="O181" s="15" cm="1">
        <f t="array" ref="O181">J181*VLOOKUP($G181, Factor!$Q$4:$V$36, 4, 0)*INDEX(Factor!$Q$41:$V$87, _xlfn.XMATCH($C181, Factor!$Q$41:$Q$87, -1), 4)</f>
        <v>1820</v>
      </c>
      <c r="P181" s="15" cm="1">
        <f t="array" ref="P181">K181*VLOOKUP($G181, Factor!$Q$4:$V$36, 5, 0)*INDEX(Factor!$Q$41:$V$87, _xlfn.XMATCH($C181, Factor!$Q$41:$Q$87, -1), 5)</f>
        <v>3.12</v>
      </c>
      <c r="Q181" s="15" cm="1">
        <f t="array" ref="Q181">L181*VLOOKUP($G181, Factor!$Q$4:$V$36, 6, 0)*INDEX(Factor!$Q$41:$V$87, _xlfn.XMATCH($C181, Factor!$Q$41:$Q$87, -1), 6)</f>
        <v>7800</v>
      </c>
      <c r="R181" s="16"/>
    </row>
    <row r="182" spans="1:18" ht="15.75" customHeight="1" x14ac:dyDescent="0.2">
      <c r="A182" s="17" t="str">
        <f>"couch_"&amp;VLOOKUP(F182, Factor!$BQ$4:$BR$6, 2, 0)&amp;"_"&amp;Couch!D182&amp;"_"&amp;VLOOKUP(Couch!E182, Factor!$BS$4:$BT$13, 2, 0)</f>
        <v>couch_St_T9_003</v>
      </c>
      <c r="B182" s="18" t="str">
        <f t="shared" si="4"/>
        <v>T9 화물 강철객차</v>
      </c>
      <c r="C182" s="18">
        <f>VLOOKUP(D182, Factor!$P$41:$Q$50, 2, 0)</f>
        <v>18000</v>
      </c>
      <c r="D182" s="18" t="s">
        <v>305</v>
      </c>
      <c r="E182" s="55" t="s">
        <v>589</v>
      </c>
      <c r="F182" s="55" t="s">
        <v>597</v>
      </c>
      <c r="G182" s="18" t="str">
        <f t="shared" si="5"/>
        <v>화물 강철</v>
      </c>
      <c r="H182" s="18">
        <v>1</v>
      </c>
      <c r="I182" s="18">
        <v>1</v>
      </c>
      <c r="J182" s="18">
        <v>1</v>
      </c>
      <c r="K182" s="18">
        <v>1</v>
      </c>
      <c r="L182" s="18">
        <v>1</v>
      </c>
      <c r="M182" s="18" cm="1">
        <f t="array" ref="M182">H182*VLOOKUP($G182, Factor!$Q$4:$V$36, 2, 0)*INDEX(Factor!$Q$41:$V$87, _xlfn.XMATCH($C182, Factor!$Q$41:$Q$87, -1), 2)</f>
        <v>1820</v>
      </c>
      <c r="N182" s="18" cm="1">
        <f t="array" ref="N182">I182*VLOOKUP($G182, Factor!$Q$4:$V$36, 3, 0)*INDEX(Factor!$Q$41:$V$87, _xlfn.XMATCH($C182, Factor!$Q$41:$Q$87, -1), 3)</f>
        <v>52</v>
      </c>
      <c r="O182" s="18" cm="1">
        <f t="array" ref="O182">J182*VLOOKUP($G182, Factor!$Q$4:$V$36, 4, 0)*INDEX(Factor!$Q$41:$V$87, _xlfn.XMATCH($C182, Factor!$Q$41:$Q$87, -1), 4)</f>
        <v>1820</v>
      </c>
      <c r="P182" s="18" cm="1">
        <f t="array" ref="P182">K182*VLOOKUP($G182, Factor!$Q$4:$V$36, 5, 0)*INDEX(Factor!$Q$41:$V$87, _xlfn.XMATCH($C182, Factor!$Q$41:$Q$87, -1), 5)</f>
        <v>2.8600000000000003</v>
      </c>
      <c r="Q182" s="18" cm="1">
        <f t="array" ref="Q182">L182*VLOOKUP($G182, Factor!$Q$4:$V$36, 6, 0)*INDEX(Factor!$Q$41:$V$87, _xlfn.XMATCH($C182, Factor!$Q$41:$Q$87, -1), 6)</f>
        <v>2600</v>
      </c>
      <c r="R182" s="19"/>
    </row>
    <row r="183" spans="1:18" ht="15.75" customHeight="1" x14ac:dyDescent="0.2">
      <c r="A183" s="14" t="str">
        <f>"couch_"&amp;VLOOKUP(F183, Factor!$BQ$4:$BR$6, 2, 0)&amp;"_"&amp;Couch!D183&amp;"_"&amp;VLOOKUP(Couch!E183, Factor!$BS$4:$BT$13, 2, 0)</f>
        <v>couch_St_T9_004</v>
      </c>
      <c r="B183" s="15" t="str">
        <f t="shared" si="4"/>
        <v>T9 군용 강철객차</v>
      </c>
      <c r="C183" s="15">
        <f>VLOOKUP(D183, Factor!$P$41:$Q$50, 2, 0)</f>
        <v>18000</v>
      </c>
      <c r="D183" s="15" t="s">
        <v>305</v>
      </c>
      <c r="E183" s="56" t="s">
        <v>591</v>
      </c>
      <c r="F183" s="56" t="s">
        <v>597</v>
      </c>
      <c r="G183" s="15" t="str">
        <f t="shared" si="5"/>
        <v>군용 강철</v>
      </c>
      <c r="H183" s="15">
        <v>1</v>
      </c>
      <c r="I183" s="15">
        <v>1</v>
      </c>
      <c r="J183" s="15">
        <v>1</v>
      </c>
      <c r="K183" s="15">
        <v>1</v>
      </c>
      <c r="L183" s="15">
        <v>1</v>
      </c>
      <c r="M183" s="15" cm="1">
        <f t="array" ref="M183">H183*VLOOKUP($G183, Factor!$Q$4:$V$36, 2, 0)*INDEX(Factor!$Q$41:$V$87, _xlfn.XMATCH($C183, Factor!$Q$41:$Q$87, -1), 2)</f>
        <v>2340</v>
      </c>
      <c r="N183" s="15" cm="1">
        <f t="array" ref="N183">I183*VLOOKUP($G183, Factor!$Q$4:$V$36, 3, 0)*INDEX(Factor!$Q$41:$V$87, _xlfn.XMATCH($C183, Factor!$Q$41:$Q$87, -1), 3)</f>
        <v>78</v>
      </c>
      <c r="O183" s="15" cm="1">
        <f t="array" ref="O183">J183*VLOOKUP($G183, Factor!$Q$4:$V$36, 4, 0)*INDEX(Factor!$Q$41:$V$87, _xlfn.XMATCH($C183, Factor!$Q$41:$Q$87, -1), 4)</f>
        <v>2340</v>
      </c>
      <c r="P183" s="15" cm="1">
        <f t="array" ref="P183">K183*VLOOKUP($G183, Factor!$Q$4:$V$36, 5, 0)*INDEX(Factor!$Q$41:$V$87, _xlfn.XMATCH($C183, Factor!$Q$41:$Q$87, -1), 5)</f>
        <v>3.3800000000000003</v>
      </c>
      <c r="Q183" s="15" cm="1">
        <f t="array" ref="Q183">L183*VLOOKUP($G183, Factor!$Q$4:$V$36, 6, 0)*INDEX(Factor!$Q$41:$V$87, _xlfn.XMATCH($C183, Factor!$Q$41:$Q$87, -1), 6)</f>
        <v>11700</v>
      </c>
      <c r="R183" s="16"/>
    </row>
    <row r="184" spans="1:18" ht="15.75" customHeight="1" x14ac:dyDescent="0.2">
      <c r="A184" s="17" t="str">
        <f>"couch_"&amp;VLOOKUP(F184, Factor!$BQ$4:$BR$6, 2, 0)&amp;"_"&amp;Couch!D184&amp;"_"&amp;VLOOKUP(Couch!E184, Factor!$BS$4:$BT$13, 2, 0)</f>
        <v>couch_St_T9_005</v>
      </c>
      <c r="B184" s="18" t="str">
        <f t="shared" si="4"/>
        <v>T9 여객 강철객차</v>
      </c>
      <c r="C184" s="18">
        <f>VLOOKUP(D184, Factor!$P$41:$Q$50, 2, 0)</f>
        <v>18000</v>
      </c>
      <c r="D184" s="18" t="s">
        <v>305</v>
      </c>
      <c r="E184" s="55" t="s">
        <v>593</v>
      </c>
      <c r="F184" s="55" t="s">
        <v>597</v>
      </c>
      <c r="G184" s="18" t="str">
        <f t="shared" si="5"/>
        <v>여객 강철</v>
      </c>
      <c r="H184" s="18">
        <v>1</v>
      </c>
      <c r="I184" s="18">
        <v>1</v>
      </c>
      <c r="J184" s="18">
        <v>1</v>
      </c>
      <c r="K184" s="18">
        <v>1</v>
      </c>
      <c r="L184" s="18">
        <v>1</v>
      </c>
      <c r="M184" s="18" cm="1">
        <f t="array" ref="M184">H184*VLOOKUP($G184, Factor!$Q$4:$V$36, 2, 0)*INDEX(Factor!$Q$41:$V$87, _xlfn.XMATCH($C184, Factor!$Q$41:$Q$87, -1), 2)</f>
        <v>1560</v>
      </c>
      <c r="N184" s="18" cm="1">
        <f t="array" ref="N184">I184*VLOOKUP($G184, Factor!$Q$4:$V$36, 3, 0)*INDEX(Factor!$Q$41:$V$87, _xlfn.XMATCH($C184, Factor!$Q$41:$Q$87, -1), 3)</f>
        <v>52</v>
      </c>
      <c r="O184" s="18" cm="1">
        <f t="array" ref="O184">J184*VLOOKUP($G184, Factor!$Q$4:$V$36, 4, 0)*INDEX(Factor!$Q$41:$V$87, _xlfn.XMATCH($C184, Factor!$Q$41:$Q$87, -1), 4)</f>
        <v>1560</v>
      </c>
      <c r="P184" s="18" cm="1">
        <f t="array" ref="P184">K184*VLOOKUP($G184, Factor!$Q$4:$V$36, 5, 0)*INDEX(Factor!$Q$41:$V$87, _xlfn.XMATCH($C184, Factor!$Q$41:$Q$87, -1), 5)</f>
        <v>3.6399999999999997</v>
      </c>
      <c r="Q184" s="18" cm="1">
        <f t="array" ref="Q184">L184*VLOOKUP($G184, Factor!$Q$4:$V$36, 6, 0)*INDEX(Factor!$Q$41:$V$87, _xlfn.XMATCH($C184, Factor!$Q$41:$Q$87, -1), 6)</f>
        <v>3900</v>
      </c>
      <c r="R184" s="19"/>
    </row>
    <row r="185" spans="1:18" ht="15.75" customHeight="1" x14ac:dyDescent="0.2">
      <c r="A185" s="14" t="str">
        <f>"couch_"&amp;VLOOKUP(F185, Factor!$BQ$4:$BR$6, 2, 0)&amp;"_"&amp;Couch!D185&amp;"_"&amp;VLOOKUP(Couch!E185, Factor!$BS$4:$BT$13, 2, 0)</f>
        <v>couch_St_T9_006</v>
      </c>
      <c r="B185" s="15" t="str">
        <f t="shared" si="4"/>
        <v>T9 시운 강철객차</v>
      </c>
      <c r="C185" s="15">
        <f>VLOOKUP(D185, Factor!$P$41:$Q$50, 2, 0)</f>
        <v>18000</v>
      </c>
      <c r="D185" s="15" t="s">
        <v>305</v>
      </c>
      <c r="E185" s="56" t="s">
        <v>595</v>
      </c>
      <c r="F185" s="56" t="s">
        <v>597</v>
      </c>
      <c r="G185" s="15" t="str">
        <f t="shared" si="5"/>
        <v>시운 강철</v>
      </c>
      <c r="H185" s="15">
        <v>1</v>
      </c>
      <c r="I185" s="15">
        <v>1</v>
      </c>
      <c r="J185" s="15">
        <v>1</v>
      </c>
      <c r="K185" s="15">
        <v>1</v>
      </c>
      <c r="L185" s="15">
        <v>1</v>
      </c>
      <c r="M185" s="15" cm="1">
        <f t="array" ref="M185">H185*VLOOKUP($G185, Factor!$Q$4:$V$36, 2, 0)*INDEX(Factor!$Q$41:$V$87, _xlfn.XMATCH($C185, Factor!$Q$41:$Q$87, -1), 2)</f>
        <v>780</v>
      </c>
      <c r="N185" s="15" cm="1">
        <f t="array" ref="N185">I185*VLOOKUP($G185, Factor!$Q$4:$V$36, 3, 0)*INDEX(Factor!$Q$41:$V$87, _xlfn.XMATCH($C185, Factor!$Q$41:$Q$87, -1), 3)</f>
        <v>52</v>
      </c>
      <c r="O185" s="15" cm="1">
        <f t="array" ref="O185">J185*VLOOKUP($G185, Factor!$Q$4:$V$36, 4, 0)*INDEX(Factor!$Q$41:$V$87, _xlfn.XMATCH($C185, Factor!$Q$41:$Q$87, -1), 4)</f>
        <v>2860</v>
      </c>
      <c r="P185" s="15" cm="1">
        <f t="array" ref="P185">K185*VLOOKUP($G185, Factor!$Q$4:$V$36, 5, 0)*INDEX(Factor!$Q$41:$V$87, _xlfn.XMATCH($C185, Factor!$Q$41:$Q$87, -1), 5)</f>
        <v>3.12</v>
      </c>
      <c r="Q185" s="15" cm="1">
        <f t="array" ref="Q185">L185*VLOOKUP($G185, Factor!$Q$4:$V$36, 6, 0)*INDEX(Factor!$Q$41:$V$87, _xlfn.XMATCH($C185, Factor!$Q$41:$Q$87, -1), 6)</f>
        <v>3900</v>
      </c>
      <c r="R185" s="16"/>
    </row>
    <row r="186" spans="1:18" ht="15.75" customHeight="1" x14ac:dyDescent="0.2">
      <c r="A186" s="17" t="str">
        <f>"couch_"&amp;VLOOKUP(F186, Factor!$BQ$4:$BR$6, 2, 0)&amp;"_"&amp;Couch!D186&amp;"_"&amp;VLOOKUP(Couch!E186, Factor!$BS$4:$BT$13, 2, 0)</f>
        <v>couch_St_T9_007</v>
      </c>
      <c r="B186" s="18" t="str">
        <f t="shared" si="4"/>
        <v>T9 경량 강철객차</v>
      </c>
      <c r="C186" s="18">
        <f>VLOOKUP(D186, Factor!$P$41:$Q$50, 2, 0)</f>
        <v>18000</v>
      </c>
      <c r="D186" s="18" t="s">
        <v>305</v>
      </c>
      <c r="E186" s="55" t="s">
        <v>585</v>
      </c>
      <c r="F186" s="55" t="s">
        <v>597</v>
      </c>
      <c r="G186" s="18" t="str">
        <f t="shared" si="5"/>
        <v>경량 강철</v>
      </c>
      <c r="H186" s="18">
        <v>1</v>
      </c>
      <c r="I186" s="18">
        <v>1</v>
      </c>
      <c r="J186" s="18">
        <v>1</v>
      </c>
      <c r="K186" s="18">
        <v>1</v>
      </c>
      <c r="L186" s="18">
        <v>1</v>
      </c>
      <c r="M186" s="18" cm="1">
        <f t="array" ref="M186">H186*VLOOKUP($G186, Factor!$Q$4:$V$36, 2, 0)*INDEX(Factor!$Q$41:$V$87, _xlfn.XMATCH($C186, Factor!$Q$41:$Q$87, -1), 2)</f>
        <v>1040</v>
      </c>
      <c r="N186" s="18" cm="1">
        <f t="array" ref="N186">I186*VLOOKUP($G186, Factor!$Q$4:$V$36, 3, 0)*INDEX(Factor!$Q$41:$V$87, _xlfn.XMATCH($C186, Factor!$Q$41:$Q$87, -1), 3)</f>
        <v>39</v>
      </c>
      <c r="O186" s="18" cm="1">
        <f t="array" ref="O186">J186*VLOOKUP($G186, Factor!$Q$4:$V$36, 4, 0)*INDEX(Factor!$Q$41:$V$87, _xlfn.XMATCH($C186, Factor!$Q$41:$Q$87, -1), 4)</f>
        <v>1040</v>
      </c>
      <c r="P186" s="18" cm="1">
        <f t="array" ref="P186">K186*VLOOKUP($G186, Factor!$Q$4:$V$36, 5, 0)*INDEX(Factor!$Q$41:$V$87, _xlfn.XMATCH($C186, Factor!$Q$41:$Q$87, -1), 5)</f>
        <v>3.12</v>
      </c>
      <c r="Q186" s="18" cm="1">
        <f t="array" ref="Q186">L186*VLOOKUP($G186, Factor!$Q$4:$V$36, 6, 0)*INDEX(Factor!$Q$41:$V$87, _xlfn.XMATCH($C186, Factor!$Q$41:$Q$87, -1), 6)</f>
        <v>1820</v>
      </c>
      <c r="R186" s="19"/>
    </row>
    <row r="187" spans="1:18" ht="15.75" customHeight="1" x14ac:dyDescent="0.2">
      <c r="A187" s="14" t="str">
        <f>"couch_"&amp;VLOOKUP(F187, Factor!$BQ$4:$BR$6, 2, 0)&amp;"_"&amp;Couch!D187&amp;"_"&amp;VLOOKUP(Couch!E187, Factor!$BS$4:$BT$13, 2, 0)</f>
        <v>couch_Ti_T9_001</v>
      </c>
      <c r="B187" s="15" t="str">
        <f t="shared" si="4"/>
        <v>T9 표준 티타늄객차</v>
      </c>
      <c r="C187" s="15">
        <f>VLOOKUP(D187, Factor!$P$41:$Q$50, 2, 0)</f>
        <v>18000</v>
      </c>
      <c r="D187" s="15" t="s">
        <v>305</v>
      </c>
      <c r="E187" s="56" t="s">
        <v>582</v>
      </c>
      <c r="F187" s="56" t="s">
        <v>598</v>
      </c>
      <c r="G187" s="15" t="str">
        <f t="shared" si="5"/>
        <v>표준 티타늄</v>
      </c>
      <c r="H187" s="15">
        <v>1</v>
      </c>
      <c r="I187" s="15">
        <v>1</v>
      </c>
      <c r="J187" s="15">
        <v>1</v>
      </c>
      <c r="K187" s="15">
        <v>1</v>
      </c>
      <c r="L187" s="15">
        <v>1</v>
      </c>
      <c r="M187" s="15" cm="1">
        <f t="array" ref="M187">H187*VLOOKUP($G187, Factor!$Q$4:$V$36, 2, 0)*INDEX(Factor!$Q$41:$V$87, _xlfn.XMATCH($C187, Factor!$Q$41:$Q$87, -1), 2)</f>
        <v>2600</v>
      </c>
      <c r="N187" s="15" cm="1">
        <f t="array" ref="N187">I187*VLOOKUP($G187, Factor!$Q$4:$V$36, 3, 0)*INDEX(Factor!$Q$41:$V$87, _xlfn.XMATCH($C187, Factor!$Q$41:$Q$87, -1), 3)</f>
        <v>78</v>
      </c>
      <c r="O187" s="15" cm="1">
        <f t="array" ref="O187">J187*VLOOKUP($G187, Factor!$Q$4:$V$36, 4, 0)*INDEX(Factor!$Q$41:$V$87, _xlfn.XMATCH($C187, Factor!$Q$41:$Q$87, -1), 4)</f>
        <v>2600</v>
      </c>
      <c r="P187" s="15" cm="1">
        <f t="array" ref="P187">K187*VLOOKUP($G187, Factor!$Q$4:$V$36, 5, 0)*INDEX(Factor!$Q$41:$V$87, _xlfn.XMATCH($C187, Factor!$Q$41:$Q$87, -1), 5)</f>
        <v>3.6399999999999997</v>
      </c>
      <c r="Q187" s="15" cm="1">
        <f t="array" ref="Q187">L187*VLOOKUP($G187, Factor!$Q$4:$V$36, 6, 0)*INDEX(Factor!$Q$41:$V$87, _xlfn.XMATCH($C187, Factor!$Q$41:$Q$87, -1), 6)</f>
        <v>5200</v>
      </c>
      <c r="R187" s="16"/>
    </row>
    <row r="188" spans="1:18" ht="15.75" customHeight="1" x14ac:dyDescent="0.2">
      <c r="A188" s="17" t="str">
        <f>"couch_"&amp;VLOOKUP(F188, Factor!$BQ$4:$BR$6, 2, 0)&amp;"_"&amp;Couch!D188&amp;"_"&amp;VLOOKUP(Couch!E188, Factor!$BS$4:$BT$13, 2, 0)</f>
        <v>couch_Ti_T9_002</v>
      </c>
      <c r="B188" s="18" t="str">
        <f t="shared" si="4"/>
        <v>T9 중갑 티타늄객차</v>
      </c>
      <c r="C188" s="18">
        <f>VLOOKUP(D188, Factor!$P$41:$Q$50, 2, 0)</f>
        <v>18000</v>
      </c>
      <c r="D188" s="18" t="s">
        <v>305</v>
      </c>
      <c r="E188" s="55" t="s">
        <v>587</v>
      </c>
      <c r="F188" s="55" t="s">
        <v>598</v>
      </c>
      <c r="G188" s="18" t="str">
        <f t="shared" si="5"/>
        <v>중갑 티타늄</v>
      </c>
      <c r="H188" s="18">
        <v>1</v>
      </c>
      <c r="I188" s="18">
        <v>1</v>
      </c>
      <c r="J188" s="18">
        <v>1</v>
      </c>
      <c r="K188" s="18">
        <v>1</v>
      </c>
      <c r="L188" s="18">
        <v>1</v>
      </c>
      <c r="M188" s="18" cm="1">
        <f t="array" ref="M188">H188*VLOOKUP($G188, Factor!$Q$4:$V$36, 2, 0)*INDEX(Factor!$Q$41:$V$87, _xlfn.XMATCH($C188, Factor!$Q$41:$Q$87, -1), 2)</f>
        <v>2600</v>
      </c>
      <c r="N188" s="18" cm="1">
        <f t="array" ref="N188">I188*VLOOKUP($G188, Factor!$Q$4:$V$36, 3, 0)*INDEX(Factor!$Q$41:$V$87, _xlfn.XMATCH($C188, Factor!$Q$41:$Q$87, -1), 3)</f>
        <v>143</v>
      </c>
      <c r="O188" s="18" cm="1">
        <f t="array" ref="O188">J188*VLOOKUP($G188, Factor!$Q$4:$V$36, 4, 0)*INDEX(Factor!$Q$41:$V$87, _xlfn.XMATCH($C188, Factor!$Q$41:$Q$87, -1), 4)</f>
        <v>2600</v>
      </c>
      <c r="P188" s="18" cm="1">
        <f t="array" ref="P188">K188*VLOOKUP($G188, Factor!$Q$4:$V$36, 5, 0)*INDEX(Factor!$Q$41:$V$87, _xlfn.XMATCH($C188, Factor!$Q$41:$Q$87, -1), 5)</f>
        <v>3.6399999999999997</v>
      </c>
      <c r="Q188" s="18" cm="1">
        <f t="array" ref="Q188">L188*VLOOKUP($G188, Factor!$Q$4:$V$36, 6, 0)*INDEX(Factor!$Q$41:$V$87, _xlfn.XMATCH($C188, Factor!$Q$41:$Q$87, -1), 6)</f>
        <v>10400</v>
      </c>
      <c r="R188" s="19"/>
    </row>
    <row r="189" spans="1:18" ht="15.75" customHeight="1" x14ac:dyDescent="0.2">
      <c r="A189" s="14" t="str">
        <f>"couch_"&amp;VLOOKUP(F189, Factor!$BQ$4:$BR$6, 2, 0)&amp;"_"&amp;Couch!D189&amp;"_"&amp;VLOOKUP(Couch!E189, Factor!$BS$4:$BT$13, 2, 0)</f>
        <v>couch_Ti_T9_003</v>
      </c>
      <c r="B189" s="15" t="str">
        <f t="shared" si="4"/>
        <v>T9 화물 티타늄객차</v>
      </c>
      <c r="C189" s="15">
        <f>VLOOKUP(D189, Factor!$P$41:$Q$50, 2, 0)</f>
        <v>18000</v>
      </c>
      <c r="D189" s="15" t="s">
        <v>305</v>
      </c>
      <c r="E189" s="56" t="s">
        <v>589</v>
      </c>
      <c r="F189" s="56" t="s">
        <v>598</v>
      </c>
      <c r="G189" s="15" t="str">
        <f t="shared" si="5"/>
        <v>화물 티타늄</v>
      </c>
      <c r="H189" s="15">
        <v>1</v>
      </c>
      <c r="I189" s="15">
        <v>1</v>
      </c>
      <c r="J189" s="15">
        <v>1</v>
      </c>
      <c r="K189" s="15">
        <v>1</v>
      </c>
      <c r="L189" s="15">
        <v>1</v>
      </c>
      <c r="M189" s="15" cm="1">
        <f t="array" ref="M189">H189*VLOOKUP($G189, Factor!$Q$4:$V$36, 2, 0)*INDEX(Factor!$Q$41:$V$87, _xlfn.XMATCH($C189, Factor!$Q$41:$Q$87, -1), 2)</f>
        <v>2600</v>
      </c>
      <c r="N189" s="15" cm="1">
        <f t="array" ref="N189">I189*VLOOKUP($G189, Factor!$Q$4:$V$36, 3, 0)*INDEX(Factor!$Q$41:$V$87, _xlfn.XMATCH($C189, Factor!$Q$41:$Q$87, -1), 3)</f>
        <v>78</v>
      </c>
      <c r="O189" s="15" cm="1">
        <f t="array" ref="O189">J189*VLOOKUP($G189, Factor!$Q$4:$V$36, 4, 0)*INDEX(Factor!$Q$41:$V$87, _xlfn.XMATCH($C189, Factor!$Q$41:$Q$87, -1), 4)</f>
        <v>2600</v>
      </c>
      <c r="P189" s="15" cm="1">
        <f t="array" ref="P189">K189*VLOOKUP($G189, Factor!$Q$4:$V$36, 5, 0)*INDEX(Factor!$Q$41:$V$87, _xlfn.XMATCH($C189, Factor!$Q$41:$Q$87, -1), 5)</f>
        <v>3.12</v>
      </c>
      <c r="Q189" s="15" cm="1">
        <f t="array" ref="Q189">L189*VLOOKUP($G189, Factor!$Q$4:$V$36, 6, 0)*INDEX(Factor!$Q$41:$V$87, _xlfn.XMATCH($C189, Factor!$Q$41:$Q$87, -1), 6)</f>
        <v>3120</v>
      </c>
      <c r="R189" s="16"/>
    </row>
    <row r="190" spans="1:18" ht="15.75" customHeight="1" x14ac:dyDescent="0.2">
      <c r="A190" s="17" t="str">
        <f>"couch_"&amp;VLOOKUP(F190, Factor!$BQ$4:$BR$6, 2, 0)&amp;"_"&amp;Couch!D190&amp;"_"&amp;VLOOKUP(Couch!E190, Factor!$BS$4:$BT$13, 2, 0)</f>
        <v>couch_Ti_T9_004</v>
      </c>
      <c r="B190" s="18" t="str">
        <f t="shared" si="4"/>
        <v>T9 군용 티타늄객차</v>
      </c>
      <c r="C190" s="18">
        <f>VLOOKUP(D190, Factor!$P$41:$Q$50, 2, 0)</f>
        <v>18000</v>
      </c>
      <c r="D190" s="18" t="s">
        <v>305</v>
      </c>
      <c r="E190" s="55" t="s">
        <v>591</v>
      </c>
      <c r="F190" s="55" t="s">
        <v>598</v>
      </c>
      <c r="G190" s="18" t="str">
        <f t="shared" si="5"/>
        <v>군용 티타늄</v>
      </c>
      <c r="H190" s="18">
        <v>1</v>
      </c>
      <c r="I190" s="18">
        <v>1</v>
      </c>
      <c r="J190" s="18">
        <v>1</v>
      </c>
      <c r="K190" s="18">
        <v>1</v>
      </c>
      <c r="L190" s="18">
        <v>1</v>
      </c>
      <c r="M190" s="18" cm="1">
        <f t="array" ref="M190">H190*VLOOKUP($G190, Factor!$Q$4:$V$36, 2, 0)*INDEX(Factor!$Q$41:$V$87, _xlfn.XMATCH($C190, Factor!$Q$41:$Q$87, -1), 2)</f>
        <v>3640</v>
      </c>
      <c r="N190" s="18" cm="1">
        <f t="array" ref="N190">I190*VLOOKUP($G190, Factor!$Q$4:$V$36, 3, 0)*INDEX(Factor!$Q$41:$V$87, _xlfn.XMATCH($C190, Factor!$Q$41:$Q$87, -1), 3)</f>
        <v>130</v>
      </c>
      <c r="O190" s="18" cm="1">
        <f t="array" ref="O190">J190*VLOOKUP($G190, Factor!$Q$4:$V$36, 4, 0)*INDEX(Factor!$Q$41:$V$87, _xlfn.XMATCH($C190, Factor!$Q$41:$Q$87, -1), 4)</f>
        <v>3640</v>
      </c>
      <c r="P190" s="18" cm="1">
        <f t="array" ref="P190">K190*VLOOKUP($G190, Factor!$Q$4:$V$36, 5, 0)*INDEX(Factor!$Q$41:$V$87, _xlfn.XMATCH($C190, Factor!$Q$41:$Q$87, -1), 5)</f>
        <v>3.9000000000000004</v>
      </c>
      <c r="Q190" s="18" cm="1">
        <f t="array" ref="Q190">L190*VLOOKUP($G190, Factor!$Q$4:$V$36, 6, 0)*INDEX(Factor!$Q$41:$V$87, _xlfn.XMATCH($C190, Factor!$Q$41:$Q$87, -1), 6)</f>
        <v>15600</v>
      </c>
      <c r="R190" s="19"/>
    </row>
    <row r="191" spans="1:18" ht="15.75" customHeight="1" x14ac:dyDescent="0.2">
      <c r="A191" s="14" t="str">
        <f>"couch_"&amp;VLOOKUP(F191, Factor!$BQ$4:$BR$6, 2, 0)&amp;"_"&amp;Couch!D191&amp;"_"&amp;VLOOKUP(Couch!E191, Factor!$BS$4:$BT$13, 2, 0)</f>
        <v>couch_Ti_T9_005</v>
      </c>
      <c r="B191" s="15" t="str">
        <f t="shared" si="4"/>
        <v>T9 여객 티타늄객차</v>
      </c>
      <c r="C191" s="15">
        <f>VLOOKUP(D191, Factor!$P$41:$Q$50, 2, 0)</f>
        <v>18000</v>
      </c>
      <c r="D191" s="15" t="s">
        <v>305</v>
      </c>
      <c r="E191" s="56" t="s">
        <v>593</v>
      </c>
      <c r="F191" s="56" t="s">
        <v>598</v>
      </c>
      <c r="G191" s="15" t="str">
        <f t="shared" si="5"/>
        <v>여객 티타늄</v>
      </c>
      <c r="H191" s="15">
        <v>1</v>
      </c>
      <c r="I191" s="15">
        <v>1</v>
      </c>
      <c r="J191" s="15">
        <v>1</v>
      </c>
      <c r="K191" s="15">
        <v>1</v>
      </c>
      <c r="L191" s="15">
        <v>1</v>
      </c>
      <c r="M191" s="15" cm="1">
        <f t="array" ref="M191">H191*VLOOKUP($G191, Factor!$Q$4:$V$36, 2, 0)*INDEX(Factor!$Q$41:$V$87, _xlfn.XMATCH($C191, Factor!$Q$41:$Q$87, -1), 2)</f>
        <v>2080</v>
      </c>
      <c r="N191" s="15" cm="1">
        <f t="array" ref="N191">I191*VLOOKUP($G191, Factor!$Q$4:$V$36, 3, 0)*INDEX(Factor!$Q$41:$V$87, _xlfn.XMATCH($C191, Factor!$Q$41:$Q$87, -1), 3)</f>
        <v>39</v>
      </c>
      <c r="O191" s="15" cm="1">
        <f t="array" ref="O191">J191*VLOOKUP($G191, Factor!$Q$4:$V$36, 4, 0)*INDEX(Factor!$Q$41:$V$87, _xlfn.XMATCH($C191, Factor!$Q$41:$Q$87, -1), 4)</f>
        <v>20800</v>
      </c>
      <c r="P191" s="15" cm="1">
        <f t="array" ref="P191">K191*VLOOKUP($G191, Factor!$Q$4:$V$36, 5, 0)*INDEX(Factor!$Q$41:$V$87, _xlfn.XMATCH($C191, Factor!$Q$41:$Q$87, -1), 5)</f>
        <v>4.42</v>
      </c>
      <c r="Q191" s="15" cm="1">
        <f t="array" ref="Q191">L191*VLOOKUP($G191, Factor!$Q$4:$V$36, 6, 0)*INDEX(Factor!$Q$41:$V$87, _xlfn.XMATCH($C191, Factor!$Q$41:$Q$87, -1), 6)</f>
        <v>5200</v>
      </c>
      <c r="R191" s="16"/>
    </row>
    <row r="192" spans="1:18" ht="15.75" customHeight="1" x14ac:dyDescent="0.2">
      <c r="A192" s="17" t="str">
        <f>"couch_"&amp;VLOOKUP(F192, Factor!$BQ$4:$BR$6, 2, 0)&amp;"_"&amp;Couch!D192&amp;"_"&amp;VLOOKUP(Couch!E192, Factor!$BS$4:$BT$13, 2, 0)</f>
        <v>couch_Ti_T9_006</v>
      </c>
      <c r="B192" s="18" t="str">
        <f t="shared" si="4"/>
        <v>T9 시운 티타늄객차</v>
      </c>
      <c r="C192" s="18">
        <f>VLOOKUP(D192, Factor!$P$41:$Q$50, 2, 0)</f>
        <v>18000</v>
      </c>
      <c r="D192" s="18" t="s">
        <v>305</v>
      </c>
      <c r="E192" s="55" t="s">
        <v>595</v>
      </c>
      <c r="F192" s="55" t="s">
        <v>598</v>
      </c>
      <c r="G192" s="18" t="str">
        <f t="shared" si="5"/>
        <v>시운 티타늄</v>
      </c>
      <c r="H192" s="18">
        <v>1</v>
      </c>
      <c r="I192" s="18">
        <v>1</v>
      </c>
      <c r="J192" s="18">
        <v>1</v>
      </c>
      <c r="K192" s="18">
        <v>1</v>
      </c>
      <c r="L192" s="18">
        <v>1</v>
      </c>
      <c r="M192" s="18" cm="1">
        <f t="array" ref="M192">H192*VLOOKUP($G192, Factor!$Q$4:$V$36, 2, 0)*INDEX(Factor!$Q$41:$V$87, _xlfn.XMATCH($C192, Factor!$Q$41:$Q$87, -1), 2)</f>
        <v>1300</v>
      </c>
      <c r="N192" s="18" cm="1">
        <f t="array" ref="N192">I192*VLOOKUP($G192, Factor!$Q$4:$V$36, 3, 0)*INDEX(Factor!$Q$41:$V$87, _xlfn.XMATCH($C192, Factor!$Q$41:$Q$87, -1), 3)</f>
        <v>78</v>
      </c>
      <c r="O192" s="18" cm="1">
        <f t="array" ref="O192">J192*VLOOKUP($G192, Factor!$Q$4:$V$36, 4, 0)*INDEX(Factor!$Q$41:$V$87, _xlfn.XMATCH($C192, Factor!$Q$41:$Q$87, -1), 4)</f>
        <v>3900</v>
      </c>
      <c r="P192" s="18" cm="1">
        <f t="array" ref="P192">K192*VLOOKUP($G192, Factor!$Q$4:$V$36, 5, 0)*INDEX(Factor!$Q$41:$V$87, _xlfn.XMATCH($C192, Factor!$Q$41:$Q$87, -1), 5)</f>
        <v>3.6399999999999997</v>
      </c>
      <c r="Q192" s="18" cm="1">
        <f t="array" ref="Q192">L192*VLOOKUP($G192, Factor!$Q$4:$V$36, 6, 0)*INDEX(Factor!$Q$41:$V$87, _xlfn.XMATCH($C192, Factor!$Q$41:$Q$87, -1), 6)</f>
        <v>5200</v>
      </c>
      <c r="R192" s="19"/>
    </row>
    <row r="193" spans="1:18" ht="15.75" customHeight="1" x14ac:dyDescent="0.2">
      <c r="A193" s="14" t="str">
        <f>"couch_"&amp;VLOOKUP(F193, Factor!$BQ$4:$BR$6, 2, 0)&amp;"_"&amp;Couch!D193&amp;"_"&amp;VLOOKUP(Couch!E193, Factor!$BS$4:$BT$13, 2, 0)</f>
        <v>couch_Ti_T9_007</v>
      </c>
      <c r="B193" s="15" t="str">
        <f t="shared" ref="B193:B214" si="6">D193&amp;" "&amp;G193&amp;"객차"</f>
        <v>T9 경량 티타늄객차</v>
      </c>
      <c r="C193" s="15">
        <f>VLOOKUP(D193, Factor!$P$41:$Q$50, 2, 0)</f>
        <v>18000</v>
      </c>
      <c r="D193" s="15" t="s">
        <v>305</v>
      </c>
      <c r="E193" s="56" t="s">
        <v>585</v>
      </c>
      <c r="F193" s="56" t="s">
        <v>598</v>
      </c>
      <c r="G193" s="15" t="str">
        <f t="shared" ref="G193:G214" si="7">E193&amp;" " &amp;F193</f>
        <v>경량 티타늄</v>
      </c>
      <c r="H193" s="15">
        <v>1</v>
      </c>
      <c r="I193" s="15">
        <v>1</v>
      </c>
      <c r="J193" s="15">
        <v>1</v>
      </c>
      <c r="K193" s="15">
        <v>1</v>
      </c>
      <c r="L193" s="15">
        <v>1</v>
      </c>
      <c r="M193" s="15" cm="1">
        <f t="array" ref="M193">H193*VLOOKUP($G193, Factor!$Q$4:$V$36, 2, 0)*INDEX(Factor!$Q$41:$V$87, _xlfn.XMATCH($C193, Factor!$Q$41:$Q$87, -1), 2)</f>
        <v>1560</v>
      </c>
      <c r="N193" s="15" cm="1">
        <f t="array" ref="N193">I193*VLOOKUP($G193, Factor!$Q$4:$V$36, 3, 0)*INDEX(Factor!$Q$41:$V$87, _xlfn.XMATCH($C193, Factor!$Q$41:$Q$87, -1), 3)</f>
        <v>52</v>
      </c>
      <c r="O193" s="15" cm="1">
        <f t="array" ref="O193">J193*VLOOKUP($G193, Factor!$Q$4:$V$36, 4, 0)*INDEX(Factor!$Q$41:$V$87, _xlfn.XMATCH($C193, Factor!$Q$41:$Q$87, -1), 4)</f>
        <v>1560</v>
      </c>
      <c r="P193" s="15" cm="1">
        <f t="array" ref="P193">K193*VLOOKUP($G193, Factor!$Q$4:$V$36, 5, 0)*INDEX(Factor!$Q$41:$V$87, _xlfn.XMATCH($C193, Factor!$Q$41:$Q$87, -1), 5)</f>
        <v>3.6399999999999997</v>
      </c>
      <c r="Q193" s="15" cm="1">
        <f t="array" ref="Q193">L193*VLOOKUP($G193, Factor!$Q$4:$V$36, 6, 0)*INDEX(Factor!$Q$41:$V$87, _xlfn.XMATCH($C193, Factor!$Q$41:$Q$87, -1), 6)</f>
        <v>2600</v>
      </c>
      <c r="R193" s="16"/>
    </row>
    <row r="194" spans="1:18" ht="15.75" customHeight="1" x14ac:dyDescent="0.2">
      <c r="A194" s="17" t="str">
        <f>"couch_"&amp;VLOOKUP(F194, Factor!$BQ$4:$BR$6, 2, 0)&amp;"_"&amp;Couch!D194&amp;"_"&amp;VLOOKUP(Couch!E194, Factor!$BS$4:$BT$13, 2, 0)</f>
        <v>couch_Wo_T10_001</v>
      </c>
      <c r="B194" s="18" t="str">
        <f t="shared" si="6"/>
        <v>T10 표준 나무객차</v>
      </c>
      <c r="C194" s="18">
        <f>VLOOKUP(D194, Factor!$P$41:$Q$50, 2, 0)</f>
        <v>20000</v>
      </c>
      <c r="D194" s="18" t="s">
        <v>328</v>
      </c>
      <c r="E194" s="55" t="s">
        <v>582</v>
      </c>
      <c r="F194" s="55" t="s">
        <v>663</v>
      </c>
      <c r="G194" s="18" t="str">
        <f t="shared" si="7"/>
        <v>표준 나무</v>
      </c>
      <c r="H194" s="18">
        <v>1</v>
      </c>
      <c r="I194" s="18">
        <v>1</v>
      </c>
      <c r="J194" s="18">
        <v>1</v>
      </c>
      <c r="K194" s="18">
        <v>1</v>
      </c>
      <c r="L194" s="18">
        <v>1</v>
      </c>
      <c r="M194" s="18" cm="1">
        <f t="array" ref="M194">H194*VLOOKUP($G194, Factor!$Q$4:$V$36, 2, 0)*INDEX(Factor!$Q$41:$V$87, _xlfn.XMATCH($C194, Factor!$Q$41:$Q$87, -1), 2)</f>
        <v>1400</v>
      </c>
      <c r="N194" s="18" cm="1">
        <f t="array" ref="N194">I194*VLOOKUP($G194, Factor!$Q$4:$V$36, 3, 0)*INDEX(Factor!$Q$41:$V$87, _xlfn.XMATCH($C194, Factor!$Q$41:$Q$87, -1), 3)</f>
        <v>28</v>
      </c>
      <c r="O194" s="18" cm="1">
        <f t="array" ref="O194">J194*VLOOKUP($G194, Factor!$Q$4:$V$36, 4, 0)*INDEX(Factor!$Q$41:$V$87, _xlfn.XMATCH($C194, Factor!$Q$41:$Q$87, -1), 4)</f>
        <v>1400</v>
      </c>
      <c r="P194" s="18" cm="1">
        <f t="array" ref="P194">K194*VLOOKUP($G194, Factor!$Q$4:$V$36, 5, 0)*INDEX(Factor!$Q$41:$V$87, _xlfn.XMATCH($C194, Factor!$Q$41:$Q$87, -1), 5)</f>
        <v>2.8</v>
      </c>
      <c r="Q194" s="18" cm="1">
        <f t="array" ref="Q194">L194*VLOOKUP($G194, Factor!$Q$4:$V$36, 6, 0)*INDEX(Factor!$Q$41:$V$87, _xlfn.XMATCH($C194, Factor!$Q$41:$Q$87, -1), 6)</f>
        <v>2800</v>
      </c>
      <c r="R194" s="19"/>
    </row>
    <row r="195" spans="1:18" ht="15.75" customHeight="1" x14ac:dyDescent="0.2">
      <c r="A195" s="14" t="str">
        <f>"couch_"&amp;VLOOKUP(F195, Factor!$BQ$4:$BR$6, 2, 0)&amp;"_"&amp;Couch!D195&amp;"_"&amp;VLOOKUP(Couch!E195, Factor!$BS$4:$BT$13, 2, 0)</f>
        <v>couch_Wo_T10_002</v>
      </c>
      <c r="B195" s="15" t="str">
        <f t="shared" si="6"/>
        <v>T10 중갑 나무객차</v>
      </c>
      <c r="C195" s="15">
        <f>VLOOKUP(D195, Factor!$P$41:$Q$50, 2, 0)</f>
        <v>20000</v>
      </c>
      <c r="D195" s="15" t="s">
        <v>328</v>
      </c>
      <c r="E195" s="56" t="s">
        <v>587</v>
      </c>
      <c r="F195" s="56" t="s">
        <v>663</v>
      </c>
      <c r="G195" s="15" t="str">
        <f t="shared" si="7"/>
        <v>중갑 나무</v>
      </c>
      <c r="H195" s="15">
        <v>1</v>
      </c>
      <c r="I195" s="15">
        <v>1</v>
      </c>
      <c r="J195" s="15">
        <v>1</v>
      </c>
      <c r="K195" s="15">
        <v>1</v>
      </c>
      <c r="L195" s="15">
        <v>1</v>
      </c>
      <c r="M195" s="15" cm="1">
        <f t="array" ref="M195">H195*VLOOKUP($G195, Factor!$Q$4:$V$36, 2, 0)*INDEX(Factor!$Q$41:$V$87, _xlfn.XMATCH($C195, Factor!$Q$41:$Q$87, -1), 2)</f>
        <v>1400</v>
      </c>
      <c r="N195" s="15" cm="1">
        <f t="array" ref="N195">I195*VLOOKUP($G195, Factor!$Q$4:$V$36, 3, 0)*INDEX(Factor!$Q$41:$V$87, _xlfn.XMATCH($C195, Factor!$Q$41:$Q$87, -1), 3)</f>
        <v>56</v>
      </c>
      <c r="O195" s="15" cm="1">
        <f t="array" ref="O195">J195*VLOOKUP($G195, Factor!$Q$4:$V$36, 4, 0)*INDEX(Factor!$Q$41:$V$87, _xlfn.XMATCH($C195, Factor!$Q$41:$Q$87, -1), 4)</f>
        <v>1400</v>
      </c>
      <c r="P195" s="15" cm="1">
        <f t="array" ref="P195">K195*VLOOKUP($G195, Factor!$Q$4:$V$36, 5, 0)*INDEX(Factor!$Q$41:$V$87, _xlfn.XMATCH($C195, Factor!$Q$41:$Q$87, -1), 5)</f>
        <v>2.8</v>
      </c>
      <c r="Q195" s="15" cm="1">
        <f t="array" ref="Q195">L195*VLOOKUP($G195, Factor!$Q$4:$V$36, 6, 0)*INDEX(Factor!$Q$41:$V$87, _xlfn.XMATCH($C195, Factor!$Q$41:$Q$87, -1), 6)</f>
        <v>5600</v>
      </c>
      <c r="R195" s="16"/>
    </row>
    <row r="196" spans="1:18" ht="15.75" customHeight="1" x14ac:dyDescent="0.2">
      <c r="A196" s="17" t="str">
        <f>"couch_"&amp;VLOOKUP(F196, Factor!$BQ$4:$BR$6, 2, 0)&amp;"_"&amp;Couch!D196&amp;"_"&amp;VLOOKUP(Couch!E196, Factor!$BS$4:$BT$13, 2, 0)</f>
        <v>couch_Wo_T10_003</v>
      </c>
      <c r="B196" s="18" t="str">
        <f t="shared" si="6"/>
        <v>T10 화물 나무객차</v>
      </c>
      <c r="C196" s="18">
        <f>VLOOKUP(D196, Factor!$P$41:$Q$50, 2, 0)</f>
        <v>20000</v>
      </c>
      <c r="D196" s="18" t="s">
        <v>306</v>
      </c>
      <c r="E196" s="55" t="s">
        <v>589</v>
      </c>
      <c r="F196" s="55" t="s">
        <v>663</v>
      </c>
      <c r="G196" s="18" t="str">
        <f t="shared" si="7"/>
        <v>화물 나무</v>
      </c>
      <c r="H196" s="18">
        <v>1</v>
      </c>
      <c r="I196" s="18">
        <v>1</v>
      </c>
      <c r="J196" s="18">
        <v>1</v>
      </c>
      <c r="K196" s="18">
        <v>1</v>
      </c>
      <c r="L196" s="18">
        <v>1</v>
      </c>
      <c r="M196" s="18" cm="1">
        <f t="array" ref="M196">H196*VLOOKUP($G196, Factor!$Q$4:$V$36, 2, 0)*INDEX(Factor!$Q$41:$V$87, _xlfn.XMATCH($C196, Factor!$Q$41:$Q$87, -1), 2)</f>
        <v>1400</v>
      </c>
      <c r="N196" s="18" cm="1">
        <f t="array" ref="N196">I196*VLOOKUP($G196, Factor!$Q$4:$V$36, 3, 0)*INDEX(Factor!$Q$41:$V$87, _xlfn.XMATCH($C196, Factor!$Q$41:$Q$87, -1), 3)</f>
        <v>28</v>
      </c>
      <c r="O196" s="18" cm="1">
        <f t="array" ref="O196">J196*VLOOKUP($G196, Factor!$Q$4:$V$36, 4, 0)*INDEX(Factor!$Q$41:$V$87, _xlfn.XMATCH($C196, Factor!$Q$41:$Q$87, -1), 4)</f>
        <v>1400</v>
      </c>
      <c r="P196" s="18" cm="1">
        <f t="array" ref="P196">K196*VLOOKUP($G196, Factor!$Q$4:$V$36, 5, 0)*INDEX(Factor!$Q$41:$V$87, _xlfn.XMATCH($C196, Factor!$Q$41:$Q$87, -1), 5)</f>
        <v>2.52</v>
      </c>
      <c r="Q196" s="18" cm="1">
        <f t="array" ref="Q196">L196*VLOOKUP($G196, Factor!$Q$4:$V$36, 6, 0)*INDEX(Factor!$Q$41:$V$87, _xlfn.XMATCH($C196, Factor!$Q$41:$Q$87, -1), 6)</f>
        <v>1959.9999999999998</v>
      </c>
      <c r="R196" s="19"/>
    </row>
    <row r="197" spans="1:18" ht="15.75" customHeight="1" x14ac:dyDescent="0.2">
      <c r="A197" s="14" t="str">
        <f>"couch_"&amp;VLOOKUP(F197, Factor!$BQ$4:$BR$6, 2, 0)&amp;"_"&amp;Couch!D197&amp;"_"&amp;VLOOKUP(Couch!E197, Factor!$BS$4:$BT$13, 2, 0)</f>
        <v>couch_Wo_T10_004</v>
      </c>
      <c r="B197" s="15" t="str">
        <f t="shared" si="6"/>
        <v>T10 군용 나무객차</v>
      </c>
      <c r="C197" s="15">
        <f>VLOOKUP(D197, Factor!$P$41:$Q$50, 2, 0)</f>
        <v>20000</v>
      </c>
      <c r="D197" s="15" t="s">
        <v>306</v>
      </c>
      <c r="E197" s="56" t="s">
        <v>591</v>
      </c>
      <c r="F197" s="56" t="s">
        <v>663</v>
      </c>
      <c r="G197" s="15" t="str">
        <f t="shared" si="7"/>
        <v>군용 나무</v>
      </c>
      <c r="H197" s="15">
        <v>1</v>
      </c>
      <c r="I197" s="15">
        <v>1</v>
      </c>
      <c r="J197" s="15">
        <v>1</v>
      </c>
      <c r="K197" s="15">
        <v>1</v>
      </c>
      <c r="L197" s="15">
        <v>1</v>
      </c>
      <c r="M197" s="15" cm="1">
        <f t="array" ref="M197">H197*VLOOKUP($G197, Factor!$Q$4:$V$36, 2, 0)*INDEX(Factor!$Q$41:$V$87, _xlfn.XMATCH($C197, Factor!$Q$41:$Q$87, -1), 2)</f>
        <v>1959.9999999999998</v>
      </c>
      <c r="N197" s="15" cm="1">
        <f t="array" ref="N197">I197*VLOOKUP($G197, Factor!$Q$4:$V$36, 3, 0)*INDEX(Factor!$Q$41:$V$87, _xlfn.XMATCH($C197, Factor!$Q$41:$Q$87, -1), 3)</f>
        <v>42</v>
      </c>
      <c r="O197" s="15" cm="1">
        <f t="array" ref="O197">J197*VLOOKUP($G197, Factor!$Q$4:$V$36, 4, 0)*INDEX(Factor!$Q$41:$V$87, _xlfn.XMATCH($C197, Factor!$Q$41:$Q$87, -1), 4)</f>
        <v>1959.9999999999998</v>
      </c>
      <c r="P197" s="15" cm="1">
        <f t="array" ref="P197">K197*VLOOKUP($G197, Factor!$Q$4:$V$36, 5, 0)*INDEX(Factor!$Q$41:$V$87, _xlfn.XMATCH($C197, Factor!$Q$41:$Q$87, -1), 5)</f>
        <v>3.08</v>
      </c>
      <c r="Q197" s="15" cm="1">
        <f t="array" ref="Q197">L197*VLOOKUP($G197, Factor!$Q$4:$V$36, 6, 0)*INDEX(Factor!$Q$41:$V$87, _xlfn.XMATCH($C197, Factor!$Q$41:$Q$87, -1), 6)</f>
        <v>8400</v>
      </c>
      <c r="R197" s="16"/>
    </row>
    <row r="198" spans="1:18" ht="15.75" customHeight="1" x14ac:dyDescent="0.2">
      <c r="A198" s="17" t="str">
        <f>"couch_"&amp;VLOOKUP(F198, Factor!$BQ$4:$BR$6, 2, 0)&amp;"_"&amp;Couch!D198&amp;"_"&amp;VLOOKUP(Couch!E198, Factor!$BS$4:$BT$13, 2, 0)</f>
        <v>couch_Wo_T10_005</v>
      </c>
      <c r="B198" s="18" t="str">
        <f t="shared" si="6"/>
        <v>T10 여객 나무객차</v>
      </c>
      <c r="C198" s="18">
        <f>VLOOKUP(D198, Factor!$P$41:$Q$50, 2, 0)</f>
        <v>20000</v>
      </c>
      <c r="D198" s="18" t="s">
        <v>306</v>
      </c>
      <c r="E198" s="55" t="s">
        <v>593</v>
      </c>
      <c r="F198" s="55" t="s">
        <v>663</v>
      </c>
      <c r="G198" s="18" t="str">
        <f t="shared" si="7"/>
        <v>여객 나무</v>
      </c>
      <c r="H198" s="18">
        <v>1</v>
      </c>
      <c r="I198" s="18">
        <v>1</v>
      </c>
      <c r="J198" s="18">
        <v>1</v>
      </c>
      <c r="K198" s="18">
        <v>1</v>
      </c>
      <c r="L198" s="18">
        <v>1</v>
      </c>
      <c r="M198" s="18" cm="1">
        <f t="array" ref="M198">H198*VLOOKUP($G198, Factor!$Q$4:$V$36, 2, 0)*INDEX(Factor!$Q$41:$V$87, _xlfn.XMATCH($C198, Factor!$Q$41:$Q$87, -1), 2)</f>
        <v>1120</v>
      </c>
      <c r="N198" s="18" cm="1">
        <f t="array" ref="N198">I198*VLOOKUP($G198, Factor!$Q$4:$V$36, 3, 0)*INDEX(Factor!$Q$41:$V$87, _xlfn.XMATCH($C198, Factor!$Q$41:$Q$87, -1), 3)</f>
        <v>22.4</v>
      </c>
      <c r="O198" s="18" cm="1">
        <f t="array" ref="O198">J198*VLOOKUP($G198, Factor!$Q$4:$V$36, 4, 0)*INDEX(Factor!$Q$41:$V$87, _xlfn.XMATCH($C198, Factor!$Q$41:$Q$87, -1), 4)</f>
        <v>1120</v>
      </c>
      <c r="P198" s="18" cm="1">
        <f t="array" ref="P198">K198*VLOOKUP($G198, Factor!$Q$4:$V$36, 5, 0)*INDEX(Factor!$Q$41:$V$87, _xlfn.XMATCH($C198, Factor!$Q$41:$Q$87, -1), 5)</f>
        <v>3.36</v>
      </c>
      <c r="Q198" s="18" cm="1">
        <f t="array" ref="Q198">L198*VLOOKUP($G198, Factor!$Q$4:$V$36, 6, 0)*INDEX(Factor!$Q$41:$V$87, _xlfn.XMATCH($C198, Factor!$Q$41:$Q$87, -1), 6)</f>
        <v>2800</v>
      </c>
      <c r="R198" s="19"/>
    </row>
    <row r="199" spans="1:18" ht="15.75" customHeight="1" x14ac:dyDescent="0.2">
      <c r="A199" s="14" t="str">
        <f>"couch_"&amp;VLOOKUP(F199, Factor!$BQ$4:$BR$6, 2, 0)&amp;"_"&amp;Couch!D199&amp;"_"&amp;VLOOKUP(Couch!E199, Factor!$BS$4:$BT$13, 2, 0)</f>
        <v>couch_Wo_T10_006</v>
      </c>
      <c r="B199" s="15" t="str">
        <f t="shared" si="6"/>
        <v>T10 시운 나무객차</v>
      </c>
      <c r="C199" s="15">
        <f>VLOOKUP(D199, Factor!$P$41:$Q$50, 2, 0)</f>
        <v>20000</v>
      </c>
      <c r="D199" s="15" t="s">
        <v>306</v>
      </c>
      <c r="E199" s="56" t="s">
        <v>595</v>
      </c>
      <c r="F199" s="56" t="s">
        <v>663</v>
      </c>
      <c r="G199" s="15" t="str">
        <f t="shared" si="7"/>
        <v>시운 나무</v>
      </c>
      <c r="H199" s="15">
        <v>1</v>
      </c>
      <c r="I199" s="15">
        <v>1</v>
      </c>
      <c r="J199" s="15">
        <v>1</v>
      </c>
      <c r="K199" s="15">
        <v>1</v>
      </c>
      <c r="L199" s="15">
        <v>1</v>
      </c>
      <c r="M199" s="15" cm="1">
        <f t="array" ref="M199">H199*VLOOKUP($G199, Factor!$Q$4:$V$36, 2, 0)*INDEX(Factor!$Q$41:$V$87, _xlfn.XMATCH($C199, Factor!$Q$41:$Q$87, -1), 2)</f>
        <v>560</v>
      </c>
      <c r="N199" s="15" cm="1">
        <f t="array" ref="N199">I199*VLOOKUP($G199, Factor!$Q$4:$V$36, 3, 0)*INDEX(Factor!$Q$41:$V$87, _xlfn.XMATCH($C199, Factor!$Q$41:$Q$87, -1), 3)</f>
        <v>28</v>
      </c>
      <c r="O199" s="15" cm="1">
        <f t="array" ref="O199">J199*VLOOKUP($G199, Factor!$Q$4:$V$36, 4, 0)*INDEX(Factor!$Q$41:$V$87, _xlfn.XMATCH($C199, Factor!$Q$41:$Q$87, -1), 4)</f>
        <v>2240</v>
      </c>
      <c r="P199" s="15" cm="1">
        <f t="array" ref="P199">K199*VLOOKUP($G199, Factor!$Q$4:$V$36, 5, 0)*INDEX(Factor!$Q$41:$V$87, _xlfn.XMATCH($C199, Factor!$Q$41:$Q$87, -1), 5)</f>
        <v>2.8</v>
      </c>
      <c r="Q199" s="15" cm="1">
        <f t="array" ref="Q199">L199*VLOOKUP($G199, Factor!$Q$4:$V$36, 6, 0)*INDEX(Factor!$Q$41:$V$87, _xlfn.XMATCH($C199, Factor!$Q$41:$Q$87, -1), 6)</f>
        <v>2800</v>
      </c>
      <c r="R199" s="16"/>
    </row>
    <row r="200" spans="1:18" ht="15.75" customHeight="1" x14ac:dyDescent="0.2">
      <c r="A200" s="17" t="str">
        <f>"couch_"&amp;VLOOKUP(F200, Factor!$BQ$4:$BR$6, 2, 0)&amp;"_"&amp;Couch!D200&amp;"_"&amp;VLOOKUP(Couch!E200, Factor!$BS$4:$BT$13, 2, 0)</f>
        <v>couch_Wo_T10_007</v>
      </c>
      <c r="B200" s="18" t="str">
        <f t="shared" si="6"/>
        <v>T10 경량 나무객차</v>
      </c>
      <c r="C200" s="18">
        <f>VLOOKUP(D200, Factor!$P$41:$Q$50, 2, 0)</f>
        <v>20000</v>
      </c>
      <c r="D200" s="18" t="s">
        <v>306</v>
      </c>
      <c r="E200" s="55" t="s">
        <v>585</v>
      </c>
      <c r="F200" s="55" t="s">
        <v>663</v>
      </c>
      <c r="G200" s="18" t="str">
        <f t="shared" si="7"/>
        <v>경량 나무</v>
      </c>
      <c r="H200" s="18">
        <v>1</v>
      </c>
      <c r="I200" s="18">
        <v>1</v>
      </c>
      <c r="J200" s="18">
        <v>1</v>
      </c>
      <c r="K200" s="18">
        <v>1</v>
      </c>
      <c r="L200" s="18">
        <v>1</v>
      </c>
      <c r="M200" s="18" cm="1">
        <f t="array" ref="M200">H200*VLOOKUP($G200, Factor!$Q$4:$V$36, 2, 0)*INDEX(Factor!$Q$41:$V$87, _xlfn.XMATCH($C200, Factor!$Q$41:$Q$87, -1), 2)</f>
        <v>840</v>
      </c>
      <c r="N200" s="18" cm="1">
        <f t="array" ref="N200">I200*VLOOKUP($G200, Factor!$Q$4:$V$36, 3, 0)*INDEX(Factor!$Q$41:$V$87, _xlfn.XMATCH($C200, Factor!$Q$41:$Q$87, -1), 3)</f>
        <v>22.4</v>
      </c>
      <c r="O200" s="18" cm="1">
        <f t="array" ref="O200">J200*VLOOKUP($G200, Factor!$Q$4:$V$36, 4, 0)*INDEX(Factor!$Q$41:$V$87, _xlfn.XMATCH($C200, Factor!$Q$41:$Q$87, -1), 4)</f>
        <v>840</v>
      </c>
      <c r="P200" s="18" cm="1">
        <f t="array" ref="P200">K200*VLOOKUP($G200, Factor!$Q$4:$V$36, 5, 0)*INDEX(Factor!$Q$41:$V$87, _xlfn.XMATCH($C200, Factor!$Q$41:$Q$87, -1), 5)</f>
        <v>2.8</v>
      </c>
      <c r="Q200" s="18" cm="1">
        <f t="array" ref="Q200">L200*VLOOKUP($G200, Factor!$Q$4:$V$36, 6, 0)*INDEX(Factor!$Q$41:$V$87, _xlfn.XMATCH($C200, Factor!$Q$41:$Q$87, -1), 6)</f>
        <v>1400</v>
      </c>
      <c r="R200" s="19"/>
    </row>
    <row r="201" spans="1:18" ht="15.75" customHeight="1" x14ac:dyDescent="0.2">
      <c r="A201" s="14" t="str">
        <f>"couch_"&amp;VLOOKUP(F201, Factor!$BQ$4:$BR$6, 2, 0)&amp;"_"&amp;Couch!D201&amp;"_"&amp;VLOOKUP(Couch!E201, Factor!$BS$4:$BT$13, 2, 0)</f>
        <v>couch_St_T10_001</v>
      </c>
      <c r="B201" s="15" t="str">
        <f t="shared" si="6"/>
        <v>T10 표준 강철객차</v>
      </c>
      <c r="C201" s="15">
        <f>VLOOKUP(D201, Factor!$P$41:$Q$50, 2, 0)</f>
        <v>20000</v>
      </c>
      <c r="D201" s="15" t="s">
        <v>306</v>
      </c>
      <c r="E201" s="56" t="s">
        <v>582</v>
      </c>
      <c r="F201" s="56" t="s">
        <v>597</v>
      </c>
      <c r="G201" s="15" t="str">
        <f t="shared" si="7"/>
        <v>표준 강철</v>
      </c>
      <c r="H201" s="15">
        <v>1</v>
      </c>
      <c r="I201" s="15">
        <v>1</v>
      </c>
      <c r="J201" s="15">
        <v>1</v>
      </c>
      <c r="K201" s="15">
        <v>1</v>
      </c>
      <c r="L201" s="15">
        <v>1</v>
      </c>
      <c r="M201" s="15" cm="1">
        <f t="array" ref="M201">H201*VLOOKUP($G201, Factor!$Q$4:$V$36, 2, 0)*INDEX(Factor!$Q$41:$V$87, _xlfn.XMATCH($C201, Factor!$Q$41:$Q$87, -1), 2)</f>
        <v>1959.9999999999998</v>
      </c>
      <c r="N201" s="15" cm="1">
        <f t="array" ref="N201">I201*VLOOKUP($G201, Factor!$Q$4:$V$36, 3, 0)*INDEX(Factor!$Q$41:$V$87, _xlfn.XMATCH($C201, Factor!$Q$41:$Q$87, -1), 3)</f>
        <v>56</v>
      </c>
      <c r="O201" s="15" cm="1">
        <f t="array" ref="O201">J201*VLOOKUP($G201, Factor!$Q$4:$V$36, 4, 0)*INDEX(Factor!$Q$41:$V$87, _xlfn.XMATCH($C201, Factor!$Q$41:$Q$87, -1), 4)</f>
        <v>1959.9999999999998</v>
      </c>
      <c r="P201" s="15" cm="1">
        <f t="array" ref="P201">K201*VLOOKUP($G201, Factor!$Q$4:$V$36, 5, 0)*INDEX(Factor!$Q$41:$V$87, _xlfn.XMATCH($C201, Factor!$Q$41:$Q$87, -1), 5)</f>
        <v>3.36</v>
      </c>
      <c r="Q201" s="15" cm="1">
        <f t="array" ref="Q201">L201*VLOOKUP($G201, Factor!$Q$4:$V$36, 6, 0)*INDEX(Factor!$Q$41:$V$87, _xlfn.XMATCH($C201, Factor!$Q$41:$Q$87, -1), 6)</f>
        <v>4200</v>
      </c>
      <c r="R201" s="16"/>
    </row>
    <row r="202" spans="1:18" ht="15.75" customHeight="1" x14ac:dyDescent="0.2">
      <c r="A202" s="17" t="str">
        <f>"couch_"&amp;VLOOKUP(F202, Factor!$BQ$4:$BR$6, 2, 0)&amp;"_"&amp;Couch!D202&amp;"_"&amp;VLOOKUP(Couch!E202, Factor!$BS$4:$BT$13, 2, 0)</f>
        <v>couch_St_T10_002</v>
      </c>
      <c r="B202" s="18" t="str">
        <f t="shared" si="6"/>
        <v>T10 중갑 강철객차</v>
      </c>
      <c r="C202" s="18">
        <f>VLOOKUP(D202, Factor!$P$41:$Q$50, 2, 0)</f>
        <v>20000</v>
      </c>
      <c r="D202" s="18" t="s">
        <v>306</v>
      </c>
      <c r="E202" s="55" t="s">
        <v>587</v>
      </c>
      <c r="F202" s="55" t="s">
        <v>597</v>
      </c>
      <c r="G202" s="18" t="str">
        <f t="shared" si="7"/>
        <v>중갑 강철</v>
      </c>
      <c r="H202" s="18">
        <v>1</v>
      </c>
      <c r="I202" s="18">
        <v>1</v>
      </c>
      <c r="J202" s="18">
        <v>1</v>
      </c>
      <c r="K202" s="18">
        <v>1</v>
      </c>
      <c r="L202" s="18">
        <v>1</v>
      </c>
      <c r="M202" s="18" cm="1">
        <f t="array" ref="M202">H202*VLOOKUP($G202, Factor!$Q$4:$V$36, 2, 0)*INDEX(Factor!$Q$41:$V$87, _xlfn.XMATCH($C202, Factor!$Q$41:$Q$87, -1), 2)</f>
        <v>1959.9999999999998</v>
      </c>
      <c r="N202" s="18" cm="1">
        <f t="array" ref="N202">I202*VLOOKUP($G202, Factor!$Q$4:$V$36, 3, 0)*INDEX(Factor!$Q$41:$V$87, _xlfn.XMATCH($C202, Factor!$Q$41:$Q$87, -1), 3)</f>
        <v>98</v>
      </c>
      <c r="O202" s="18" cm="1">
        <f t="array" ref="O202">J202*VLOOKUP($G202, Factor!$Q$4:$V$36, 4, 0)*INDEX(Factor!$Q$41:$V$87, _xlfn.XMATCH($C202, Factor!$Q$41:$Q$87, -1), 4)</f>
        <v>1959.9999999999998</v>
      </c>
      <c r="P202" s="18" cm="1">
        <f t="array" ref="P202">K202*VLOOKUP($G202, Factor!$Q$4:$V$36, 5, 0)*INDEX(Factor!$Q$41:$V$87, _xlfn.XMATCH($C202, Factor!$Q$41:$Q$87, -1), 5)</f>
        <v>3.36</v>
      </c>
      <c r="Q202" s="18" cm="1">
        <f t="array" ref="Q202">L202*VLOOKUP($G202, Factor!$Q$4:$V$36, 6, 0)*INDEX(Factor!$Q$41:$V$87, _xlfn.XMATCH($C202, Factor!$Q$41:$Q$87, -1), 6)</f>
        <v>8400</v>
      </c>
      <c r="R202" s="19"/>
    </row>
    <row r="203" spans="1:18" ht="15.75" customHeight="1" x14ac:dyDescent="0.2">
      <c r="A203" s="14" t="str">
        <f>"couch_"&amp;VLOOKUP(F203, Factor!$BQ$4:$BR$6, 2, 0)&amp;"_"&amp;Couch!D203&amp;"_"&amp;VLOOKUP(Couch!E203, Factor!$BS$4:$BT$13, 2, 0)</f>
        <v>couch_St_T10_003</v>
      </c>
      <c r="B203" s="15" t="str">
        <f t="shared" si="6"/>
        <v>T10 화물 강철객차</v>
      </c>
      <c r="C203" s="15">
        <f>VLOOKUP(D203, Factor!$P$41:$Q$50, 2, 0)</f>
        <v>20000</v>
      </c>
      <c r="D203" s="15" t="s">
        <v>306</v>
      </c>
      <c r="E203" s="56" t="s">
        <v>589</v>
      </c>
      <c r="F203" s="56" t="s">
        <v>597</v>
      </c>
      <c r="G203" s="15" t="str">
        <f t="shared" si="7"/>
        <v>화물 강철</v>
      </c>
      <c r="H203" s="15">
        <v>1</v>
      </c>
      <c r="I203" s="15">
        <v>1</v>
      </c>
      <c r="J203" s="15">
        <v>1</v>
      </c>
      <c r="K203" s="15">
        <v>1</v>
      </c>
      <c r="L203" s="15">
        <v>1</v>
      </c>
      <c r="M203" s="15" cm="1">
        <f t="array" ref="M203">H203*VLOOKUP($G203, Factor!$Q$4:$V$36, 2, 0)*INDEX(Factor!$Q$41:$V$87, _xlfn.XMATCH($C203, Factor!$Q$41:$Q$87, -1), 2)</f>
        <v>1959.9999999999998</v>
      </c>
      <c r="N203" s="15" cm="1">
        <f t="array" ref="N203">I203*VLOOKUP($G203, Factor!$Q$4:$V$36, 3, 0)*INDEX(Factor!$Q$41:$V$87, _xlfn.XMATCH($C203, Factor!$Q$41:$Q$87, -1), 3)</f>
        <v>56</v>
      </c>
      <c r="O203" s="15" cm="1">
        <f t="array" ref="O203">J203*VLOOKUP($G203, Factor!$Q$4:$V$36, 4, 0)*INDEX(Factor!$Q$41:$V$87, _xlfn.XMATCH($C203, Factor!$Q$41:$Q$87, -1), 4)</f>
        <v>1959.9999999999998</v>
      </c>
      <c r="P203" s="15" cm="1">
        <f t="array" ref="P203">K203*VLOOKUP($G203, Factor!$Q$4:$V$36, 5, 0)*INDEX(Factor!$Q$41:$V$87, _xlfn.XMATCH($C203, Factor!$Q$41:$Q$87, -1), 5)</f>
        <v>3.08</v>
      </c>
      <c r="Q203" s="15" cm="1">
        <f t="array" ref="Q203">L203*VLOOKUP($G203, Factor!$Q$4:$V$36, 6, 0)*INDEX(Factor!$Q$41:$V$87, _xlfn.XMATCH($C203, Factor!$Q$41:$Q$87, -1), 6)</f>
        <v>2800</v>
      </c>
      <c r="R203" s="16"/>
    </row>
    <row r="204" spans="1:18" ht="15.75" customHeight="1" x14ac:dyDescent="0.2">
      <c r="A204" s="17" t="str">
        <f>"couch_"&amp;VLOOKUP(F204, Factor!$BQ$4:$BR$6, 2, 0)&amp;"_"&amp;Couch!D204&amp;"_"&amp;VLOOKUP(Couch!E204, Factor!$BS$4:$BT$13, 2, 0)</f>
        <v>couch_St_T10_004</v>
      </c>
      <c r="B204" s="18" t="str">
        <f t="shared" si="6"/>
        <v>T10 군용 강철객차</v>
      </c>
      <c r="C204" s="18">
        <f>VLOOKUP(D204, Factor!$P$41:$Q$50, 2, 0)</f>
        <v>20000</v>
      </c>
      <c r="D204" s="18" t="s">
        <v>306</v>
      </c>
      <c r="E204" s="55" t="s">
        <v>591</v>
      </c>
      <c r="F204" s="55" t="s">
        <v>597</v>
      </c>
      <c r="G204" s="18" t="str">
        <f t="shared" si="7"/>
        <v>군용 강철</v>
      </c>
      <c r="H204" s="18">
        <v>1</v>
      </c>
      <c r="I204" s="18">
        <v>1</v>
      </c>
      <c r="J204" s="18">
        <v>1</v>
      </c>
      <c r="K204" s="18">
        <v>1</v>
      </c>
      <c r="L204" s="18">
        <v>1</v>
      </c>
      <c r="M204" s="18" cm="1">
        <f t="array" ref="M204">H204*VLOOKUP($G204, Factor!$Q$4:$V$36, 2, 0)*INDEX(Factor!$Q$41:$V$87, _xlfn.XMATCH($C204, Factor!$Q$41:$Q$87, -1), 2)</f>
        <v>2520</v>
      </c>
      <c r="N204" s="18" cm="1">
        <f t="array" ref="N204">I204*VLOOKUP($G204, Factor!$Q$4:$V$36, 3, 0)*INDEX(Factor!$Q$41:$V$87, _xlfn.XMATCH($C204, Factor!$Q$41:$Q$87, -1), 3)</f>
        <v>84</v>
      </c>
      <c r="O204" s="18" cm="1">
        <f t="array" ref="O204">J204*VLOOKUP($G204, Factor!$Q$4:$V$36, 4, 0)*INDEX(Factor!$Q$41:$V$87, _xlfn.XMATCH($C204, Factor!$Q$41:$Q$87, -1), 4)</f>
        <v>2520</v>
      </c>
      <c r="P204" s="18" cm="1">
        <f t="array" ref="P204">K204*VLOOKUP($G204, Factor!$Q$4:$V$36, 5, 0)*INDEX(Factor!$Q$41:$V$87, _xlfn.XMATCH($C204, Factor!$Q$41:$Q$87, -1), 5)</f>
        <v>3.6399999999999997</v>
      </c>
      <c r="Q204" s="18" cm="1">
        <f t="array" ref="Q204">L204*VLOOKUP($G204, Factor!$Q$4:$V$36, 6, 0)*INDEX(Factor!$Q$41:$V$87, _xlfn.XMATCH($C204, Factor!$Q$41:$Q$87, -1), 6)</f>
        <v>12600</v>
      </c>
      <c r="R204" s="19"/>
    </row>
    <row r="205" spans="1:18" ht="15.75" customHeight="1" x14ac:dyDescent="0.2">
      <c r="A205" s="14" t="str">
        <f>"couch_"&amp;VLOOKUP(F205, Factor!$BQ$4:$BR$6, 2, 0)&amp;"_"&amp;Couch!D205&amp;"_"&amp;VLOOKUP(Couch!E205, Factor!$BS$4:$BT$13, 2, 0)</f>
        <v>couch_St_T10_005</v>
      </c>
      <c r="B205" s="15" t="str">
        <f t="shared" si="6"/>
        <v>T10 여객 강철객차</v>
      </c>
      <c r="C205" s="15">
        <f>VLOOKUP(D205, Factor!$P$41:$Q$50, 2, 0)</f>
        <v>20000</v>
      </c>
      <c r="D205" s="15" t="s">
        <v>306</v>
      </c>
      <c r="E205" s="56" t="s">
        <v>593</v>
      </c>
      <c r="F205" s="56" t="s">
        <v>597</v>
      </c>
      <c r="G205" s="15" t="str">
        <f t="shared" si="7"/>
        <v>여객 강철</v>
      </c>
      <c r="H205" s="15">
        <v>1</v>
      </c>
      <c r="I205" s="15">
        <v>1</v>
      </c>
      <c r="J205" s="15">
        <v>1</v>
      </c>
      <c r="K205" s="15">
        <v>1</v>
      </c>
      <c r="L205" s="15">
        <v>1</v>
      </c>
      <c r="M205" s="15" cm="1">
        <f t="array" ref="M205">H205*VLOOKUP($G205, Factor!$Q$4:$V$36, 2, 0)*INDEX(Factor!$Q$41:$V$87, _xlfn.XMATCH($C205, Factor!$Q$41:$Q$87, -1), 2)</f>
        <v>1680</v>
      </c>
      <c r="N205" s="15" cm="1">
        <f t="array" ref="N205">I205*VLOOKUP($G205, Factor!$Q$4:$V$36, 3, 0)*INDEX(Factor!$Q$41:$V$87, _xlfn.XMATCH($C205, Factor!$Q$41:$Q$87, -1), 3)</f>
        <v>56</v>
      </c>
      <c r="O205" s="15" cm="1">
        <f t="array" ref="O205">J205*VLOOKUP($G205, Factor!$Q$4:$V$36, 4, 0)*INDEX(Factor!$Q$41:$V$87, _xlfn.XMATCH($C205, Factor!$Q$41:$Q$87, -1), 4)</f>
        <v>1680</v>
      </c>
      <c r="P205" s="15" cm="1">
        <f t="array" ref="P205">K205*VLOOKUP($G205, Factor!$Q$4:$V$36, 5, 0)*INDEX(Factor!$Q$41:$V$87, _xlfn.XMATCH($C205, Factor!$Q$41:$Q$87, -1), 5)</f>
        <v>3.9199999999999995</v>
      </c>
      <c r="Q205" s="15" cm="1">
        <f t="array" ref="Q205">L205*VLOOKUP($G205, Factor!$Q$4:$V$36, 6, 0)*INDEX(Factor!$Q$41:$V$87, _xlfn.XMATCH($C205, Factor!$Q$41:$Q$87, -1), 6)</f>
        <v>4200</v>
      </c>
      <c r="R205" s="16"/>
    </row>
    <row r="206" spans="1:18" ht="15.75" customHeight="1" x14ac:dyDescent="0.2">
      <c r="A206" s="17" t="str">
        <f>"couch_"&amp;VLOOKUP(F206, Factor!$BQ$4:$BR$6, 2, 0)&amp;"_"&amp;Couch!D206&amp;"_"&amp;VLOOKUP(Couch!E206, Factor!$BS$4:$BT$13, 2, 0)</f>
        <v>couch_St_T10_006</v>
      </c>
      <c r="B206" s="18" t="str">
        <f t="shared" si="6"/>
        <v>T10 시운 강철객차</v>
      </c>
      <c r="C206" s="18">
        <f>VLOOKUP(D206, Factor!$P$41:$Q$50, 2, 0)</f>
        <v>20000</v>
      </c>
      <c r="D206" s="18" t="s">
        <v>306</v>
      </c>
      <c r="E206" s="55" t="s">
        <v>595</v>
      </c>
      <c r="F206" s="55" t="s">
        <v>597</v>
      </c>
      <c r="G206" s="18" t="str">
        <f t="shared" si="7"/>
        <v>시운 강철</v>
      </c>
      <c r="H206" s="18">
        <v>1</v>
      </c>
      <c r="I206" s="18">
        <v>1</v>
      </c>
      <c r="J206" s="18">
        <v>1</v>
      </c>
      <c r="K206" s="18">
        <v>1</v>
      </c>
      <c r="L206" s="18">
        <v>1</v>
      </c>
      <c r="M206" s="18" cm="1">
        <f t="array" ref="M206">H206*VLOOKUP($G206, Factor!$Q$4:$V$36, 2, 0)*INDEX(Factor!$Q$41:$V$87, _xlfn.XMATCH($C206, Factor!$Q$41:$Q$87, -1), 2)</f>
        <v>840</v>
      </c>
      <c r="N206" s="18" cm="1">
        <f t="array" ref="N206">I206*VLOOKUP($G206, Factor!$Q$4:$V$36, 3, 0)*INDEX(Factor!$Q$41:$V$87, _xlfn.XMATCH($C206, Factor!$Q$41:$Q$87, -1), 3)</f>
        <v>56</v>
      </c>
      <c r="O206" s="18" cm="1">
        <f t="array" ref="O206">J206*VLOOKUP($G206, Factor!$Q$4:$V$36, 4, 0)*INDEX(Factor!$Q$41:$V$87, _xlfn.XMATCH($C206, Factor!$Q$41:$Q$87, -1), 4)</f>
        <v>3080</v>
      </c>
      <c r="P206" s="18" cm="1">
        <f t="array" ref="P206">K206*VLOOKUP($G206, Factor!$Q$4:$V$36, 5, 0)*INDEX(Factor!$Q$41:$V$87, _xlfn.XMATCH($C206, Factor!$Q$41:$Q$87, -1), 5)</f>
        <v>3.36</v>
      </c>
      <c r="Q206" s="18" cm="1">
        <f t="array" ref="Q206">L206*VLOOKUP($G206, Factor!$Q$4:$V$36, 6, 0)*INDEX(Factor!$Q$41:$V$87, _xlfn.XMATCH($C206, Factor!$Q$41:$Q$87, -1), 6)</f>
        <v>4200</v>
      </c>
      <c r="R206" s="19"/>
    </row>
    <row r="207" spans="1:18" ht="15.75" customHeight="1" x14ac:dyDescent="0.2">
      <c r="A207" s="14" t="str">
        <f>"couch_"&amp;VLOOKUP(F207, Factor!$BQ$4:$BR$6, 2, 0)&amp;"_"&amp;Couch!D207&amp;"_"&amp;VLOOKUP(Couch!E207, Factor!$BS$4:$BT$13, 2, 0)</f>
        <v>couch_St_T10_007</v>
      </c>
      <c r="B207" s="15" t="str">
        <f t="shared" si="6"/>
        <v>T10 경량 강철객차</v>
      </c>
      <c r="C207" s="15">
        <f>VLOOKUP(D207, Factor!$P$41:$Q$50, 2, 0)</f>
        <v>20000</v>
      </c>
      <c r="D207" s="15" t="s">
        <v>306</v>
      </c>
      <c r="E207" s="56" t="s">
        <v>585</v>
      </c>
      <c r="F207" s="56" t="s">
        <v>597</v>
      </c>
      <c r="G207" s="15" t="str">
        <f t="shared" si="7"/>
        <v>경량 강철</v>
      </c>
      <c r="H207" s="15">
        <v>1</v>
      </c>
      <c r="I207" s="15">
        <v>1</v>
      </c>
      <c r="J207" s="15">
        <v>1</v>
      </c>
      <c r="K207" s="15">
        <v>1</v>
      </c>
      <c r="L207" s="15">
        <v>1</v>
      </c>
      <c r="M207" s="15" cm="1">
        <f t="array" ref="M207">H207*VLOOKUP($G207, Factor!$Q$4:$V$36, 2, 0)*INDEX(Factor!$Q$41:$V$87, _xlfn.XMATCH($C207, Factor!$Q$41:$Q$87, -1), 2)</f>
        <v>1120</v>
      </c>
      <c r="N207" s="15" cm="1">
        <f t="array" ref="N207">I207*VLOOKUP($G207, Factor!$Q$4:$V$36, 3, 0)*INDEX(Factor!$Q$41:$V$87, _xlfn.XMATCH($C207, Factor!$Q$41:$Q$87, -1), 3)</f>
        <v>42</v>
      </c>
      <c r="O207" s="15" cm="1">
        <f t="array" ref="O207">J207*VLOOKUP($G207, Factor!$Q$4:$V$36, 4, 0)*INDEX(Factor!$Q$41:$V$87, _xlfn.XMATCH($C207, Factor!$Q$41:$Q$87, -1), 4)</f>
        <v>1120</v>
      </c>
      <c r="P207" s="15" cm="1">
        <f t="array" ref="P207">K207*VLOOKUP($G207, Factor!$Q$4:$V$36, 5, 0)*INDEX(Factor!$Q$41:$V$87, _xlfn.XMATCH($C207, Factor!$Q$41:$Q$87, -1), 5)</f>
        <v>3.36</v>
      </c>
      <c r="Q207" s="15" cm="1">
        <f t="array" ref="Q207">L207*VLOOKUP($G207, Factor!$Q$4:$V$36, 6, 0)*INDEX(Factor!$Q$41:$V$87, _xlfn.XMATCH($C207, Factor!$Q$41:$Q$87, -1), 6)</f>
        <v>1959.9999999999998</v>
      </c>
      <c r="R207" s="16"/>
    </row>
    <row r="208" spans="1:18" ht="15.75" customHeight="1" x14ac:dyDescent="0.2">
      <c r="A208" s="17" t="str">
        <f>"couch_"&amp;VLOOKUP(F208, Factor!$BQ$4:$BR$6, 2, 0)&amp;"_"&amp;Couch!D208&amp;"_"&amp;VLOOKUP(Couch!E208, Factor!$BS$4:$BT$13, 2, 0)</f>
        <v>couch_Ti_T10_001</v>
      </c>
      <c r="B208" s="18" t="str">
        <f t="shared" si="6"/>
        <v>T10 표준 티타늄객차</v>
      </c>
      <c r="C208" s="18">
        <f>VLOOKUP(D208, Factor!$P$41:$Q$50, 2, 0)</f>
        <v>20000</v>
      </c>
      <c r="D208" s="18" t="s">
        <v>306</v>
      </c>
      <c r="E208" s="55" t="s">
        <v>582</v>
      </c>
      <c r="F208" s="55" t="s">
        <v>598</v>
      </c>
      <c r="G208" s="18" t="str">
        <f t="shared" si="7"/>
        <v>표준 티타늄</v>
      </c>
      <c r="H208" s="18">
        <v>1</v>
      </c>
      <c r="I208" s="18">
        <v>1</v>
      </c>
      <c r="J208" s="18">
        <v>1</v>
      </c>
      <c r="K208" s="18">
        <v>1</v>
      </c>
      <c r="L208" s="18">
        <v>1</v>
      </c>
      <c r="M208" s="18" cm="1">
        <f t="array" ref="M208">H208*VLOOKUP($G208, Factor!$Q$4:$V$36, 2, 0)*INDEX(Factor!$Q$41:$V$87, _xlfn.XMATCH($C208, Factor!$Q$41:$Q$87, -1), 2)</f>
        <v>2800</v>
      </c>
      <c r="N208" s="18" cm="1">
        <f t="array" ref="N208">I208*VLOOKUP($G208, Factor!$Q$4:$V$36, 3, 0)*INDEX(Factor!$Q$41:$V$87, _xlfn.XMATCH($C208, Factor!$Q$41:$Q$87, -1), 3)</f>
        <v>84</v>
      </c>
      <c r="O208" s="18" cm="1">
        <f t="array" ref="O208">J208*VLOOKUP($G208, Factor!$Q$4:$V$36, 4, 0)*INDEX(Factor!$Q$41:$V$87, _xlfn.XMATCH($C208, Factor!$Q$41:$Q$87, -1), 4)</f>
        <v>2800</v>
      </c>
      <c r="P208" s="18" cm="1">
        <f t="array" ref="P208">K208*VLOOKUP($G208, Factor!$Q$4:$V$36, 5, 0)*INDEX(Factor!$Q$41:$V$87, _xlfn.XMATCH($C208, Factor!$Q$41:$Q$87, -1), 5)</f>
        <v>3.9199999999999995</v>
      </c>
      <c r="Q208" s="18" cm="1">
        <f t="array" ref="Q208">L208*VLOOKUP($G208, Factor!$Q$4:$V$36, 6, 0)*INDEX(Factor!$Q$41:$V$87, _xlfn.XMATCH($C208, Factor!$Q$41:$Q$87, -1), 6)</f>
        <v>5600</v>
      </c>
      <c r="R208" s="19"/>
    </row>
    <row r="209" spans="1:18" ht="15.75" customHeight="1" x14ac:dyDescent="0.2">
      <c r="A209" s="14" t="str">
        <f>"couch_"&amp;VLOOKUP(F209, Factor!$BQ$4:$BR$6, 2, 0)&amp;"_"&amp;Couch!D209&amp;"_"&amp;VLOOKUP(Couch!E209, Factor!$BS$4:$BT$13, 2, 0)</f>
        <v>couch_Ti_T10_002</v>
      </c>
      <c r="B209" s="15" t="str">
        <f t="shared" si="6"/>
        <v>T10 중갑 티타늄객차</v>
      </c>
      <c r="C209" s="15">
        <f>VLOOKUP(D209, Factor!$P$41:$Q$50, 2, 0)</f>
        <v>20000</v>
      </c>
      <c r="D209" s="15" t="s">
        <v>306</v>
      </c>
      <c r="E209" s="56" t="s">
        <v>587</v>
      </c>
      <c r="F209" s="56" t="s">
        <v>598</v>
      </c>
      <c r="G209" s="15" t="str">
        <f t="shared" si="7"/>
        <v>중갑 티타늄</v>
      </c>
      <c r="H209" s="15">
        <v>1</v>
      </c>
      <c r="I209" s="15">
        <v>1</v>
      </c>
      <c r="J209" s="15">
        <v>1</v>
      </c>
      <c r="K209" s="15">
        <v>1</v>
      </c>
      <c r="L209" s="15">
        <v>1</v>
      </c>
      <c r="M209" s="15" cm="1">
        <f t="array" ref="M209">H209*VLOOKUP($G209, Factor!$Q$4:$V$36, 2, 0)*INDEX(Factor!$Q$41:$V$87, _xlfn.XMATCH($C209, Factor!$Q$41:$Q$87, -1), 2)</f>
        <v>2800</v>
      </c>
      <c r="N209" s="15" cm="1">
        <f t="array" ref="N209">I209*VLOOKUP($G209, Factor!$Q$4:$V$36, 3, 0)*INDEX(Factor!$Q$41:$V$87, _xlfn.XMATCH($C209, Factor!$Q$41:$Q$87, -1), 3)</f>
        <v>154</v>
      </c>
      <c r="O209" s="15" cm="1">
        <f t="array" ref="O209">J209*VLOOKUP($G209, Factor!$Q$4:$V$36, 4, 0)*INDEX(Factor!$Q$41:$V$87, _xlfn.XMATCH($C209, Factor!$Q$41:$Q$87, -1), 4)</f>
        <v>2800</v>
      </c>
      <c r="P209" s="15" cm="1">
        <f t="array" ref="P209">K209*VLOOKUP($G209, Factor!$Q$4:$V$36, 5, 0)*INDEX(Factor!$Q$41:$V$87, _xlfn.XMATCH($C209, Factor!$Q$41:$Q$87, -1), 5)</f>
        <v>3.9199999999999995</v>
      </c>
      <c r="Q209" s="15" cm="1">
        <f t="array" ref="Q209">L209*VLOOKUP($G209, Factor!$Q$4:$V$36, 6, 0)*INDEX(Factor!$Q$41:$V$87, _xlfn.XMATCH($C209, Factor!$Q$41:$Q$87, -1), 6)</f>
        <v>11200</v>
      </c>
      <c r="R209" s="16"/>
    </row>
    <row r="210" spans="1:18" ht="15.75" customHeight="1" x14ac:dyDescent="0.2">
      <c r="A210" s="17" t="str">
        <f>"couch_"&amp;VLOOKUP(F210, Factor!$BQ$4:$BR$6, 2, 0)&amp;"_"&amp;Couch!D210&amp;"_"&amp;VLOOKUP(Couch!E210, Factor!$BS$4:$BT$13, 2, 0)</f>
        <v>couch_Ti_T10_003</v>
      </c>
      <c r="B210" s="18" t="str">
        <f t="shared" si="6"/>
        <v>T10 화물 티타늄객차</v>
      </c>
      <c r="C210" s="18">
        <f>VLOOKUP(D210, Factor!$P$41:$Q$50, 2, 0)</f>
        <v>20000</v>
      </c>
      <c r="D210" s="18" t="s">
        <v>306</v>
      </c>
      <c r="E210" s="55" t="s">
        <v>589</v>
      </c>
      <c r="F210" s="55" t="s">
        <v>598</v>
      </c>
      <c r="G210" s="18" t="str">
        <f t="shared" si="7"/>
        <v>화물 티타늄</v>
      </c>
      <c r="H210" s="18">
        <v>1</v>
      </c>
      <c r="I210" s="18">
        <v>1</v>
      </c>
      <c r="J210" s="18">
        <v>1</v>
      </c>
      <c r="K210" s="18">
        <v>1</v>
      </c>
      <c r="L210" s="18">
        <v>1</v>
      </c>
      <c r="M210" s="18" cm="1">
        <f t="array" ref="M210">H210*VLOOKUP($G210, Factor!$Q$4:$V$36, 2, 0)*INDEX(Factor!$Q$41:$V$87, _xlfn.XMATCH($C210, Factor!$Q$41:$Q$87, -1), 2)</f>
        <v>2800</v>
      </c>
      <c r="N210" s="18" cm="1">
        <f t="array" ref="N210">I210*VLOOKUP($G210, Factor!$Q$4:$V$36, 3, 0)*INDEX(Factor!$Q$41:$V$87, _xlfn.XMATCH($C210, Factor!$Q$41:$Q$87, -1), 3)</f>
        <v>84</v>
      </c>
      <c r="O210" s="18" cm="1">
        <f t="array" ref="O210">J210*VLOOKUP($G210, Factor!$Q$4:$V$36, 4, 0)*INDEX(Factor!$Q$41:$V$87, _xlfn.XMATCH($C210, Factor!$Q$41:$Q$87, -1), 4)</f>
        <v>2800</v>
      </c>
      <c r="P210" s="18" cm="1">
        <f t="array" ref="P210">K210*VLOOKUP($G210, Factor!$Q$4:$V$36, 5, 0)*INDEX(Factor!$Q$41:$V$87, _xlfn.XMATCH($C210, Factor!$Q$41:$Q$87, -1), 5)</f>
        <v>3.36</v>
      </c>
      <c r="Q210" s="18" cm="1">
        <f t="array" ref="Q210">L210*VLOOKUP($G210, Factor!$Q$4:$V$36, 6, 0)*INDEX(Factor!$Q$41:$V$87, _xlfn.XMATCH($C210, Factor!$Q$41:$Q$87, -1), 6)</f>
        <v>3360</v>
      </c>
      <c r="R210" s="19"/>
    </row>
    <row r="211" spans="1:18" ht="15.75" customHeight="1" x14ac:dyDescent="0.2">
      <c r="A211" s="14" t="str">
        <f>"couch_"&amp;VLOOKUP(F211, Factor!$BQ$4:$BR$6, 2, 0)&amp;"_"&amp;Couch!D211&amp;"_"&amp;VLOOKUP(Couch!E211, Factor!$BS$4:$BT$13, 2, 0)</f>
        <v>couch_Ti_T10_004</v>
      </c>
      <c r="B211" s="15" t="str">
        <f t="shared" si="6"/>
        <v>T10 군용 티타늄객차</v>
      </c>
      <c r="C211" s="15">
        <f>VLOOKUP(D211, Factor!$P$41:$Q$50, 2, 0)</f>
        <v>20000</v>
      </c>
      <c r="D211" s="15" t="s">
        <v>306</v>
      </c>
      <c r="E211" s="56" t="s">
        <v>591</v>
      </c>
      <c r="F211" s="56" t="s">
        <v>598</v>
      </c>
      <c r="G211" s="15" t="str">
        <f t="shared" si="7"/>
        <v>군용 티타늄</v>
      </c>
      <c r="H211" s="15">
        <v>1</v>
      </c>
      <c r="I211" s="15">
        <v>1</v>
      </c>
      <c r="J211" s="15">
        <v>1</v>
      </c>
      <c r="K211" s="15">
        <v>1</v>
      </c>
      <c r="L211" s="15">
        <v>1</v>
      </c>
      <c r="M211" s="15" cm="1">
        <f t="array" ref="M211">H211*VLOOKUP($G211, Factor!$Q$4:$V$36, 2, 0)*INDEX(Factor!$Q$41:$V$87, _xlfn.XMATCH($C211, Factor!$Q$41:$Q$87, -1), 2)</f>
        <v>3919.9999999999995</v>
      </c>
      <c r="N211" s="15" cm="1">
        <f t="array" ref="N211">I211*VLOOKUP($G211, Factor!$Q$4:$V$36, 3, 0)*INDEX(Factor!$Q$41:$V$87, _xlfn.XMATCH($C211, Factor!$Q$41:$Q$87, -1), 3)</f>
        <v>140</v>
      </c>
      <c r="O211" s="15" cm="1">
        <f t="array" ref="O211">J211*VLOOKUP($G211, Factor!$Q$4:$V$36, 4, 0)*INDEX(Factor!$Q$41:$V$87, _xlfn.XMATCH($C211, Factor!$Q$41:$Q$87, -1), 4)</f>
        <v>3919.9999999999995</v>
      </c>
      <c r="P211" s="15" cm="1">
        <f t="array" ref="P211">K211*VLOOKUP($G211, Factor!$Q$4:$V$36, 5, 0)*INDEX(Factor!$Q$41:$V$87, _xlfn.XMATCH($C211, Factor!$Q$41:$Q$87, -1), 5)</f>
        <v>4.1999999999999993</v>
      </c>
      <c r="Q211" s="15" cm="1">
        <f t="array" ref="Q211">L211*VLOOKUP($G211, Factor!$Q$4:$V$36, 6, 0)*INDEX(Factor!$Q$41:$V$87, _xlfn.XMATCH($C211, Factor!$Q$41:$Q$87, -1), 6)</f>
        <v>16800</v>
      </c>
      <c r="R211" s="16"/>
    </row>
    <row r="212" spans="1:18" ht="15.75" customHeight="1" x14ac:dyDescent="0.2">
      <c r="A212" s="17" t="str">
        <f>"couch_"&amp;VLOOKUP(F212, Factor!$BQ$4:$BR$6, 2, 0)&amp;"_"&amp;Couch!D212&amp;"_"&amp;VLOOKUP(Couch!E212, Factor!$BS$4:$BT$13, 2, 0)</f>
        <v>couch_Ti_T10_005</v>
      </c>
      <c r="B212" s="18" t="str">
        <f t="shared" si="6"/>
        <v>T10 여객 티타늄객차</v>
      </c>
      <c r="C212" s="18">
        <f>VLOOKUP(D212, Factor!$P$41:$Q$50, 2, 0)</f>
        <v>20000</v>
      </c>
      <c r="D212" s="18" t="s">
        <v>306</v>
      </c>
      <c r="E212" s="55" t="s">
        <v>593</v>
      </c>
      <c r="F212" s="55" t="s">
        <v>598</v>
      </c>
      <c r="G212" s="18" t="str">
        <f t="shared" si="7"/>
        <v>여객 티타늄</v>
      </c>
      <c r="H212" s="18">
        <v>1</v>
      </c>
      <c r="I212" s="18">
        <v>1</v>
      </c>
      <c r="J212" s="18">
        <v>1</v>
      </c>
      <c r="K212" s="18">
        <v>1</v>
      </c>
      <c r="L212" s="18">
        <v>1</v>
      </c>
      <c r="M212" s="18" cm="1">
        <f t="array" ref="M212">H212*VLOOKUP($G212, Factor!$Q$4:$V$36, 2, 0)*INDEX(Factor!$Q$41:$V$87, _xlfn.XMATCH($C212, Factor!$Q$41:$Q$87, -1), 2)</f>
        <v>2240</v>
      </c>
      <c r="N212" s="18" cm="1">
        <f t="array" ref="N212">I212*VLOOKUP($G212, Factor!$Q$4:$V$36, 3, 0)*INDEX(Factor!$Q$41:$V$87, _xlfn.XMATCH($C212, Factor!$Q$41:$Q$87, -1), 3)</f>
        <v>42</v>
      </c>
      <c r="O212" s="18" cm="1">
        <f t="array" ref="O212">J212*VLOOKUP($G212, Factor!$Q$4:$V$36, 4, 0)*INDEX(Factor!$Q$41:$V$87, _xlfn.XMATCH($C212, Factor!$Q$41:$Q$87, -1), 4)</f>
        <v>22400</v>
      </c>
      <c r="P212" s="18" cm="1">
        <f t="array" ref="P212">K212*VLOOKUP($G212, Factor!$Q$4:$V$36, 5, 0)*INDEX(Factor!$Q$41:$V$87, _xlfn.XMATCH($C212, Factor!$Q$41:$Q$87, -1), 5)</f>
        <v>4.76</v>
      </c>
      <c r="Q212" s="18" cm="1">
        <f t="array" ref="Q212">L212*VLOOKUP($G212, Factor!$Q$4:$V$36, 6, 0)*INDEX(Factor!$Q$41:$V$87, _xlfn.XMATCH($C212, Factor!$Q$41:$Q$87, -1), 6)</f>
        <v>5600</v>
      </c>
      <c r="R212" s="19"/>
    </row>
    <row r="213" spans="1:18" ht="15.75" customHeight="1" x14ac:dyDescent="0.2">
      <c r="A213" s="14" t="str">
        <f>"couch_"&amp;VLOOKUP(F213, Factor!$BQ$4:$BR$6, 2, 0)&amp;"_"&amp;Couch!D213&amp;"_"&amp;VLOOKUP(Couch!E213, Factor!$BS$4:$BT$13, 2, 0)</f>
        <v>couch_Ti_T10_006</v>
      </c>
      <c r="B213" s="15" t="str">
        <f t="shared" si="6"/>
        <v>T10 시운 티타늄객차</v>
      </c>
      <c r="C213" s="15">
        <f>VLOOKUP(D213, Factor!$P$41:$Q$50, 2, 0)</f>
        <v>20000</v>
      </c>
      <c r="D213" s="15" t="s">
        <v>306</v>
      </c>
      <c r="E213" s="56" t="s">
        <v>595</v>
      </c>
      <c r="F213" s="56" t="s">
        <v>598</v>
      </c>
      <c r="G213" s="15" t="str">
        <f t="shared" si="7"/>
        <v>시운 티타늄</v>
      </c>
      <c r="H213" s="15">
        <v>1</v>
      </c>
      <c r="I213" s="15">
        <v>1</v>
      </c>
      <c r="J213" s="15">
        <v>1</v>
      </c>
      <c r="K213" s="15">
        <v>1</v>
      </c>
      <c r="L213" s="15">
        <v>1</v>
      </c>
      <c r="M213" s="15" cm="1">
        <f t="array" ref="M213">H213*VLOOKUP($G213, Factor!$Q$4:$V$36, 2, 0)*INDEX(Factor!$Q$41:$V$87, _xlfn.XMATCH($C213, Factor!$Q$41:$Q$87, -1), 2)</f>
        <v>1400</v>
      </c>
      <c r="N213" s="15" cm="1">
        <f t="array" ref="N213">I213*VLOOKUP($G213, Factor!$Q$4:$V$36, 3, 0)*INDEX(Factor!$Q$41:$V$87, _xlfn.XMATCH($C213, Factor!$Q$41:$Q$87, -1), 3)</f>
        <v>84</v>
      </c>
      <c r="O213" s="15" cm="1">
        <f t="array" ref="O213">J213*VLOOKUP($G213, Factor!$Q$4:$V$36, 4, 0)*INDEX(Factor!$Q$41:$V$87, _xlfn.XMATCH($C213, Factor!$Q$41:$Q$87, -1), 4)</f>
        <v>4200</v>
      </c>
      <c r="P213" s="15" cm="1">
        <f t="array" ref="P213">K213*VLOOKUP($G213, Factor!$Q$4:$V$36, 5, 0)*INDEX(Factor!$Q$41:$V$87, _xlfn.XMATCH($C213, Factor!$Q$41:$Q$87, -1), 5)</f>
        <v>3.9199999999999995</v>
      </c>
      <c r="Q213" s="15" cm="1">
        <f t="array" ref="Q213">L213*VLOOKUP($G213, Factor!$Q$4:$V$36, 6, 0)*INDEX(Factor!$Q$41:$V$87, _xlfn.XMATCH($C213, Factor!$Q$41:$Q$87, -1), 6)</f>
        <v>5600</v>
      </c>
      <c r="R213" s="16"/>
    </row>
    <row r="214" spans="1:18" ht="15.75" customHeight="1" x14ac:dyDescent="0.2">
      <c r="A214" s="17" t="str">
        <f>"couch_"&amp;VLOOKUP(F214, Factor!$BQ$4:$BR$6, 2, 0)&amp;"_"&amp;Couch!D214&amp;"_"&amp;VLOOKUP(Couch!E214, Factor!$BS$4:$BT$13, 2, 0)</f>
        <v>couch_Ti_T10_007</v>
      </c>
      <c r="B214" s="18" t="str">
        <f t="shared" si="6"/>
        <v>T10 경량 티타늄객차</v>
      </c>
      <c r="C214" s="18">
        <f>VLOOKUP(D214, Factor!$P$41:$Q$50, 2, 0)</f>
        <v>20000</v>
      </c>
      <c r="D214" s="18" t="s">
        <v>306</v>
      </c>
      <c r="E214" s="55" t="s">
        <v>585</v>
      </c>
      <c r="F214" s="55" t="s">
        <v>598</v>
      </c>
      <c r="G214" s="18" t="str">
        <f t="shared" si="7"/>
        <v>경량 티타늄</v>
      </c>
      <c r="H214" s="18">
        <v>1</v>
      </c>
      <c r="I214" s="18">
        <v>1</v>
      </c>
      <c r="J214" s="18">
        <v>1</v>
      </c>
      <c r="K214" s="18">
        <v>1</v>
      </c>
      <c r="L214" s="18">
        <v>1</v>
      </c>
      <c r="M214" s="18" cm="1">
        <f t="array" ref="M214">H214*VLOOKUP($G214, Factor!$Q$4:$V$36, 2, 0)*INDEX(Factor!$Q$41:$V$87, _xlfn.XMATCH($C214, Factor!$Q$41:$Q$87, -1), 2)</f>
        <v>1680</v>
      </c>
      <c r="N214" s="18" cm="1">
        <f t="array" ref="N214">I214*VLOOKUP($G214, Factor!$Q$4:$V$36, 3, 0)*INDEX(Factor!$Q$41:$V$87, _xlfn.XMATCH($C214, Factor!$Q$41:$Q$87, -1), 3)</f>
        <v>56</v>
      </c>
      <c r="O214" s="18" cm="1">
        <f t="array" ref="O214">J214*VLOOKUP($G214, Factor!$Q$4:$V$36, 4, 0)*INDEX(Factor!$Q$41:$V$87, _xlfn.XMATCH($C214, Factor!$Q$41:$Q$87, -1), 4)</f>
        <v>1680</v>
      </c>
      <c r="P214" s="18" cm="1">
        <f t="array" ref="P214">K214*VLOOKUP($G214, Factor!$Q$4:$V$36, 5, 0)*INDEX(Factor!$Q$41:$V$87, _xlfn.XMATCH($C214, Factor!$Q$41:$Q$87, -1), 5)</f>
        <v>3.9199999999999995</v>
      </c>
      <c r="Q214" s="18" cm="1">
        <f t="array" ref="Q214">L214*VLOOKUP($G214, Factor!$Q$4:$V$36, 6, 0)*INDEX(Factor!$Q$41:$V$87, _xlfn.XMATCH($C214, Factor!$Q$41:$Q$87, -1), 6)</f>
        <v>2800</v>
      </c>
      <c r="R214" s="19"/>
    </row>
  </sheetData>
  <mergeCells count="1">
    <mergeCell ref="A1:R1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L184"/>
  <sheetViews>
    <sheetView zoomScale="75" zoomScaleNormal="75" workbookViewId="0">
      <pane ySplit="4" topLeftCell="A17" activePane="bottomLeft" state="frozen"/>
      <selection pane="bottomLeft" activeCell="H20" sqref="H20"/>
    </sheetView>
  </sheetViews>
  <sheetFormatPr defaultColWidth="12.5703125" defaultRowHeight="15.75" customHeight="1" x14ac:dyDescent="0.2"/>
  <cols>
    <col min="1" max="11" width="22.7109375" style="13" customWidth="1"/>
    <col min="12" max="12" width="35.5703125" style="13" customWidth="1"/>
    <col min="13" max="16384" width="12.5703125" style="13"/>
  </cols>
  <sheetData>
    <row r="1" spans="1:12" s="24" customFormat="1" ht="99.95" customHeight="1" x14ac:dyDescent="0.2">
      <c r="A1" s="67" t="s">
        <v>524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5.75" customHeight="1" x14ac:dyDescent="0.2">
      <c r="A2" s="30" t="s">
        <v>88</v>
      </c>
      <c r="B2" s="30" t="s">
        <v>90</v>
      </c>
      <c r="C2" s="38" t="s">
        <v>96</v>
      </c>
      <c r="D2" s="32" t="s">
        <v>525</v>
      </c>
      <c r="E2" s="32" t="s">
        <v>526</v>
      </c>
      <c r="F2" s="32" t="s">
        <v>527</v>
      </c>
      <c r="G2" s="50" t="s">
        <v>528</v>
      </c>
      <c r="H2" s="30" t="s">
        <v>529</v>
      </c>
      <c r="I2" s="30" t="s">
        <v>530</v>
      </c>
      <c r="J2" s="30" t="s">
        <v>531</v>
      </c>
      <c r="K2" s="30" t="s">
        <v>532</v>
      </c>
      <c r="L2" s="30" t="s">
        <v>101</v>
      </c>
    </row>
    <row r="3" spans="1:12" ht="12.75" x14ac:dyDescent="0.2">
      <c r="A3" s="25" t="s">
        <v>13</v>
      </c>
      <c r="B3" s="25" t="s">
        <v>13</v>
      </c>
      <c r="C3" s="27" t="s">
        <v>28</v>
      </c>
      <c r="D3" s="42" t="s">
        <v>201</v>
      </c>
      <c r="E3" s="42" t="s">
        <v>201</v>
      </c>
      <c r="F3" s="42" t="s">
        <v>201</v>
      </c>
      <c r="G3" s="43" t="s">
        <v>201</v>
      </c>
      <c r="H3" s="28" t="s">
        <v>533</v>
      </c>
      <c r="I3" s="28" t="s">
        <v>533</v>
      </c>
      <c r="J3" s="29" t="s">
        <v>24</v>
      </c>
      <c r="K3" s="25" t="s">
        <v>28</v>
      </c>
      <c r="L3" s="25" t="s">
        <v>13</v>
      </c>
    </row>
    <row r="4" spans="1:12" ht="12.75" x14ac:dyDescent="0.2">
      <c r="A4" s="9" t="s">
        <v>87</v>
      </c>
      <c r="B4" s="9" t="s">
        <v>89</v>
      </c>
      <c r="C4" s="39" t="s">
        <v>95</v>
      </c>
      <c r="D4" s="23" t="s">
        <v>193</v>
      </c>
      <c r="E4" s="23" t="s">
        <v>193</v>
      </c>
      <c r="F4" s="23" t="s">
        <v>193</v>
      </c>
      <c r="G4" s="40" t="s">
        <v>193</v>
      </c>
      <c r="H4" s="26" t="s">
        <v>92</v>
      </c>
      <c r="I4" s="26" t="s">
        <v>97</v>
      </c>
      <c r="J4" s="9" t="s">
        <v>92</v>
      </c>
      <c r="K4" s="9" t="s">
        <v>97</v>
      </c>
      <c r="L4" s="9" t="s">
        <v>100</v>
      </c>
    </row>
    <row r="5" spans="1:12" ht="15.75" customHeight="1" x14ac:dyDescent="0.2">
      <c r="A5" s="14" t="str">
        <f>"engine_"&amp;VLOOKUP(F5, Factor!$BW$4:$BX$6, 2, 0)&amp;"_"&amp;D5&amp;"_"&amp;VLOOKUP(E5, Factor!$BY$4:$BZ$13, 2, 0)</f>
        <v>engine_No_T1_001</v>
      </c>
      <c r="B5" s="15" t="str">
        <f>D5&amp;" "&amp;G5&amp;"엔진팩"</f>
        <v>T1 표준 4기통엔진팩</v>
      </c>
      <c r="C5" s="15">
        <f>VLOOKUP(D5, Factor!$X$41:$Y$50, 2, 0)</f>
        <v>1000</v>
      </c>
      <c r="D5" s="15" t="s">
        <v>297</v>
      </c>
      <c r="E5" s="41" t="s">
        <v>652</v>
      </c>
      <c r="F5" s="54" t="s">
        <v>582</v>
      </c>
      <c r="G5" s="15" t="str">
        <f>F5&amp;" "&amp;E5</f>
        <v>표준 4기통</v>
      </c>
      <c r="H5" s="15">
        <v>1</v>
      </c>
      <c r="I5" s="15">
        <v>1</v>
      </c>
      <c r="J5" s="15" cm="1">
        <f t="array" ref="J5">H5*VLOOKUP($G5, Factor!$Y$4:$AA$36, 2, 0)*INDEX(Factor!$Y$41:$AA$87, _xlfn.XMATCH($C5, Factor!$Y$41:$Y$87, -1), 2)</f>
        <v>10</v>
      </c>
      <c r="K5" s="15" cm="1">
        <f t="array" ref="K5">I5*VLOOKUP($G5, Factor!$Y$4:$AA$36, 3, 0)*INDEX(Factor!$Y$41:$AA$87, _xlfn.XMATCH($C5, Factor!$Y$41:$Y$87, -1), 3)</f>
        <v>500</v>
      </c>
      <c r="L5" s="16"/>
    </row>
    <row r="6" spans="1:12" ht="15.75" customHeight="1" x14ac:dyDescent="0.2">
      <c r="A6" s="17" t="str">
        <f>"engine_"&amp;VLOOKUP(F6, Factor!$BW$4:$BX$6, 2, 0)&amp;"_"&amp;D6&amp;"_"&amp;VLOOKUP(E6, Factor!$BY$4:$BZ$13, 2, 0)</f>
        <v>engine_No_T1_002</v>
      </c>
      <c r="B6" s="18" t="str">
        <f t="shared" ref="B6:B34" si="0">D6&amp;" "&amp;G6&amp;"엔진팩"</f>
        <v>T1 표준 6기통엔진팩</v>
      </c>
      <c r="C6" s="18">
        <f>VLOOKUP(D6, Factor!$X$41:$Y$50, 2, 0)</f>
        <v>1000</v>
      </c>
      <c r="D6" s="18" t="s">
        <v>297</v>
      </c>
      <c r="E6" s="18" t="s">
        <v>653</v>
      </c>
      <c r="F6" s="55" t="s">
        <v>582</v>
      </c>
      <c r="G6" s="18" t="str">
        <f t="shared" ref="G6:G69" si="1">F6&amp;" "&amp;E6</f>
        <v>표준 6기통</v>
      </c>
      <c r="H6" s="18">
        <v>1</v>
      </c>
      <c r="I6" s="18">
        <v>1</v>
      </c>
      <c r="J6" s="18" cm="1">
        <f t="array" ref="J6">H6*VLOOKUP($G6, Factor!$Y$4:$AA$36, 2, 0)*INDEX(Factor!$Y$41:$AA$87, _xlfn.XMATCH($C6, Factor!$Y$41:$Y$87, -1), 2)</f>
        <v>20</v>
      </c>
      <c r="K6" s="18" cm="1">
        <f t="array" ref="K6">I6*VLOOKUP($G6, Factor!$Y$4:$AA$36, 3, 0)*INDEX(Factor!$Y$41:$AA$87, _xlfn.XMATCH($C6, Factor!$Y$41:$Y$87, -1), 3)</f>
        <v>1000</v>
      </c>
      <c r="L6" s="19"/>
    </row>
    <row r="7" spans="1:12" ht="15.75" customHeight="1" x14ac:dyDescent="0.2">
      <c r="A7" s="14" t="str">
        <f>"engine_"&amp;VLOOKUP(F7, Factor!$BW$4:$BX$6, 2, 0)&amp;"_"&amp;D7&amp;"_"&amp;VLOOKUP(E7, Factor!$BY$4:$BZ$13, 2, 0)</f>
        <v>engine_No_T1_003</v>
      </c>
      <c r="B7" s="15" t="str">
        <f t="shared" si="0"/>
        <v>T1 표준 8기통엔진팩</v>
      </c>
      <c r="C7" s="15">
        <f>VLOOKUP(D7, Factor!$X$41:$Y$50, 2, 0)</f>
        <v>1000</v>
      </c>
      <c r="D7" s="15" t="s">
        <v>297</v>
      </c>
      <c r="E7" s="15" t="s">
        <v>654</v>
      </c>
      <c r="F7" s="56" t="s">
        <v>582</v>
      </c>
      <c r="G7" s="15" t="str">
        <f t="shared" si="1"/>
        <v>표준 8기통</v>
      </c>
      <c r="H7" s="15">
        <v>1</v>
      </c>
      <c r="I7" s="15">
        <v>1</v>
      </c>
      <c r="J7" s="15" cm="1">
        <f t="array" ref="J7">H7*VLOOKUP($G7, Factor!$Y$4:$AA$36, 2, 0)*INDEX(Factor!$Y$41:$AA$87, _xlfn.XMATCH($C7, Factor!$Y$41:$Y$87, -1), 2)</f>
        <v>40</v>
      </c>
      <c r="K7" s="15" cm="1">
        <f t="array" ref="K7">I7*VLOOKUP($G7, Factor!$Y$4:$AA$36, 3, 0)*INDEX(Factor!$Y$41:$AA$87, _xlfn.XMATCH($C7, Factor!$Y$41:$Y$87, -1), 3)</f>
        <v>2000</v>
      </c>
      <c r="L7" s="16"/>
    </row>
    <row r="8" spans="1:12" ht="15.75" customHeight="1" x14ac:dyDescent="0.2">
      <c r="A8" s="17" t="str">
        <f>"engine_"&amp;VLOOKUP(F8, Factor!$BW$4:$BX$6, 2, 0)&amp;"_"&amp;D8&amp;"_"&amp;VLOOKUP(E8, Factor!$BY$4:$BZ$13, 2, 0)</f>
        <v>engine_No_T1_004</v>
      </c>
      <c r="B8" s="18" t="str">
        <f t="shared" si="0"/>
        <v>T1 표준 10기통엔진팩</v>
      </c>
      <c r="C8" s="18">
        <f>VLOOKUP(D8, Factor!$X$41:$Y$50, 2, 0)</f>
        <v>1000</v>
      </c>
      <c r="D8" s="18" t="s">
        <v>297</v>
      </c>
      <c r="E8" s="18" t="s">
        <v>655</v>
      </c>
      <c r="F8" s="55" t="s">
        <v>582</v>
      </c>
      <c r="G8" s="18" t="str">
        <f t="shared" si="1"/>
        <v>표준 10기통</v>
      </c>
      <c r="H8" s="18">
        <v>1</v>
      </c>
      <c r="I8" s="18">
        <v>1</v>
      </c>
      <c r="J8" s="18" cm="1">
        <f t="array" ref="J8">H8*VLOOKUP($G8, Factor!$Y$4:$AA$36, 2, 0)*INDEX(Factor!$Y$41:$AA$87, _xlfn.XMATCH($C8, Factor!$Y$41:$Y$87, -1), 2)</f>
        <v>50</v>
      </c>
      <c r="K8" s="18" cm="1">
        <f t="array" ref="K8">I8*VLOOKUP($G8, Factor!$Y$4:$AA$36, 3, 0)*INDEX(Factor!$Y$41:$AA$87, _xlfn.XMATCH($C8, Factor!$Y$41:$Y$87, -1), 3)</f>
        <v>3000</v>
      </c>
      <c r="L8" s="19"/>
    </row>
    <row r="9" spans="1:12" ht="15.75" customHeight="1" x14ac:dyDescent="0.2">
      <c r="A9" s="14" t="str">
        <f>"engine_"&amp;VLOOKUP(F9, Factor!$BW$4:$BX$6, 2, 0)&amp;"_"&amp;D9&amp;"_"&amp;VLOOKUP(E9, Factor!$BY$4:$BZ$13, 2, 0)</f>
        <v>engine_No_T1_005</v>
      </c>
      <c r="B9" s="15" t="str">
        <f t="shared" si="0"/>
        <v>T1 표준 12기통엔진팩</v>
      </c>
      <c r="C9" s="15">
        <f>VLOOKUP(D9, Factor!$X$41:$Y$50, 2, 0)</f>
        <v>1000</v>
      </c>
      <c r="D9" s="15" t="s">
        <v>297</v>
      </c>
      <c r="E9" s="15" t="s">
        <v>656</v>
      </c>
      <c r="F9" s="56" t="s">
        <v>582</v>
      </c>
      <c r="G9" s="15" t="str">
        <f t="shared" si="1"/>
        <v>표준 12기통</v>
      </c>
      <c r="H9" s="15">
        <v>1</v>
      </c>
      <c r="I9" s="15">
        <v>1</v>
      </c>
      <c r="J9" s="15" cm="1">
        <f t="array" ref="J9">H9*VLOOKUP($G9, Factor!$Y$4:$AA$36, 2, 0)*INDEX(Factor!$Y$41:$AA$87, _xlfn.XMATCH($C9, Factor!$Y$41:$Y$87, -1), 2)</f>
        <v>70</v>
      </c>
      <c r="K9" s="15" cm="1">
        <f t="array" ref="K9">I9*VLOOKUP($G9, Factor!$Y$4:$AA$36, 3, 0)*INDEX(Factor!$Y$41:$AA$87, _xlfn.XMATCH($C9, Factor!$Y$41:$Y$87, -1), 3)</f>
        <v>4000</v>
      </c>
      <c r="L9" s="16"/>
    </row>
    <row r="10" spans="1:12" ht="15.75" customHeight="1" x14ac:dyDescent="0.2">
      <c r="A10" s="17" t="str">
        <f>"engine_"&amp;VLOOKUP(F10, Factor!$BW$4:$BX$6, 2, 0)&amp;"_"&amp;D10&amp;"_"&amp;VLOOKUP(E10, Factor!$BY$4:$BZ$13, 2, 0)</f>
        <v>engine_No_T1_006</v>
      </c>
      <c r="B10" s="18" t="str">
        <f t="shared" si="0"/>
        <v>T1 표준 군용엔진팩</v>
      </c>
      <c r="C10" s="18">
        <f>VLOOKUP(D10, Factor!$X$41:$Y$50, 2, 0)</f>
        <v>1000</v>
      </c>
      <c r="D10" s="18" t="s">
        <v>297</v>
      </c>
      <c r="E10" s="55" t="s">
        <v>591</v>
      </c>
      <c r="F10" s="55" t="s">
        <v>582</v>
      </c>
      <c r="G10" s="18" t="str">
        <f t="shared" si="1"/>
        <v>표준 군용</v>
      </c>
      <c r="H10" s="18">
        <v>1</v>
      </c>
      <c r="I10" s="18">
        <v>1</v>
      </c>
      <c r="J10" s="18" cm="1">
        <f t="array" ref="J10">H10*VLOOKUP($G10, Factor!$Y$4:$AA$36, 2, 0)*INDEX(Factor!$Y$41:$AA$87, _xlfn.XMATCH($C10, Factor!$Y$41:$Y$87, -1), 2)</f>
        <v>90</v>
      </c>
      <c r="K10" s="18" cm="1">
        <f t="array" ref="K10">I10*VLOOKUP($G10, Factor!$Y$4:$AA$36, 3, 0)*INDEX(Factor!$Y$41:$AA$87, _xlfn.XMATCH($C10, Factor!$Y$41:$Y$87, -1), 3)</f>
        <v>6000</v>
      </c>
      <c r="L10" s="19"/>
    </row>
    <row r="11" spans="1:12" ht="15.75" customHeight="1" x14ac:dyDescent="0.2">
      <c r="A11" s="14" t="str">
        <f>"engine_"&amp;VLOOKUP(F11, Factor!$BW$4:$BX$6, 2, 0)&amp;"_"&amp;D11&amp;"_"&amp;VLOOKUP(E11, Factor!$BY$4:$BZ$13, 2, 0)</f>
        <v>engine_Hi_T1_001</v>
      </c>
      <c r="B11" s="15" t="str">
        <f t="shared" si="0"/>
        <v>T1 고성능 4기통엔진팩</v>
      </c>
      <c r="C11" s="15">
        <f>VLOOKUP(D11, Factor!$X$41:$Y$50, 2, 0)</f>
        <v>1000</v>
      </c>
      <c r="D11" s="15" t="s">
        <v>297</v>
      </c>
      <c r="E11" s="15" t="s">
        <v>652</v>
      </c>
      <c r="F11" s="56" t="s">
        <v>644</v>
      </c>
      <c r="G11" s="15" t="str">
        <f t="shared" si="1"/>
        <v>고성능 4기통</v>
      </c>
      <c r="H11" s="15">
        <v>1</v>
      </c>
      <c r="I11" s="15">
        <v>1</v>
      </c>
      <c r="J11" s="15" cm="1">
        <f t="array" ref="J11">H11*VLOOKUP($G11, Factor!$Y$4:$AA$36, 2, 0)*INDEX(Factor!$Y$41:$AA$87, _xlfn.XMATCH($C11, Factor!$Y$41:$Y$87, -1), 2)</f>
        <v>20</v>
      </c>
      <c r="K11" s="15" cm="1">
        <f t="array" ref="K11">I11*VLOOKUP($G11, Factor!$Y$4:$AA$36, 3, 0)*INDEX(Factor!$Y$41:$AA$87, _xlfn.XMATCH($C11, Factor!$Y$41:$Y$87, -1), 3)</f>
        <v>1800</v>
      </c>
      <c r="L11" s="16"/>
    </row>
    <row r="12" spans="1:12" ht="15.75" customHeight="1" x14ac:dyDescent="0.2">
      <c r="A12" s="17" t="str">
        <f>"engine_"&amp;VLOOKUP(F12, Factor!$BW$4:$BX$6, 2, 0)&amp;"_"&amp;D12&amp;"_"&amp;VLOOKUP(E12, Factor!$BY$4:$BZ$13, 2, 0)</f>
        <v>engine_Hi_T1_002</v>
      </c>
      <c r="B12" s="18" t="str">
        <f t="shared" si="0"/>
        <v>T1 고성능 6기통엔진팩</v>
      </c>
      <c r="C12" s="18">
        <f>VLOOKUP(D12, Factor!$X$41:$Y$50, 2, 0)</f>
        <v>1000</v>
      </c>
      <c r="D12" s="18" t="s">
        <v>297</v>
      </c>
      <c r="E12" s="18" t="s">
        <v>653</v>
      </c>
      <c r="F12" s="55" t="s">
        <v>644</v>
      </c>
      <c r="G12" s="18" t="str">
        <f t="shared" si="1"/>
        <v>고성능 6기통</v>
      </c>
      <c r="H12" s="18">
        <v>1</v>
      </c>
      <c r="I12" s="18">
        <v>1</v>
      </c>
      <c r="J12" s="18" cm="1">
        <f t="array" ref="J12">H12*VLOOKUP($G12, Factor!$Y$4:$AA$36, 2, 0)*INDEX(Factor!$Y$41:$AA$87, _xlfn.XMATCH($C12, Factor!$Y$41:$Y$87, -1), 2)</f>
        <v>40</v>
      </c>
      <c r="K12" s="18" cm="1">
        <f t="array" ref="K12">I12*VLOOKUP($G12, Factor!$Y$4:$AA$36, 3, 0)*INDEX(Factor!$Y$41:$AA$87, _xlfn.XMATCH($C12, Factor!$Y$41:$Y$87, -1), 3)</f>
        <v>3000</v>
      </c>
      <c r="L12" s="19"/>
    </row>
    <row r="13" spans="1:12" ht="15.75" customHeight="1" x14ac:dyDescent="0.2">
      <c r="A13" s="14" t="str">
        <f>"engine_"&amp;VLOOKUP(F13, Factor!$BW$4:$BX$6, 2, 0)&amp;"_"&amp;D13&amp;"_"&amp;VLOOKUP(E13, Factor!$BY$4:$BZ$13, 2, 0)</f>
        <v>engine_Hi_T1_003</v>
      </c>
      <c r="B13" s="15" t="str">
        <f t="shared" si="0"/>
        <v>T1 고성능 8기통엔진팩</v>
      </c>
      <c r="C13" s="15">
        <f>VLOOKUP(D13, Factor!$X$41:$Y$50, 2, 0)</f>
        <v>1000</v>
      </c>
      <c r="D13" s="15" t="s">
        <v>297</v>
      </c>
      <c r="E13" s="15" t="s">
        <v>654</v>
      </c>
      <c r="F13" s="56" t="s">
        <v>644</v>
      </c>
      <c r="G13" s="15" t="str">
        <f t="shared" si="1"/>
        <v>고성능 8기통</v>
      </c>
      <c r="H13" s="15">
        <v>1</v>
      </c>
      <c r="I13" s="15">
        <v>1</v>
      </c>
      <c r="J13" s="15" cm="1">
        <f t="array" ref="J13">H13*VLOOKUP($G13, Factor!$Y$4:$AA$36, 2, 0)*INDEX(Factor!$Y$41:$AA$87, _xlfn.XMATCH($C13, Factor!$Y$41:$Y$87, -1), 2)</f>
        <v>60</v>
      </c>
      <c r="K13" s="15" cm="1">
        <f t="array" ref="K13">I13*VLOOKUP($G13, Factor!$Y$4:$AA$36, 3, 0)*INDEX(Factor!$Y$41:$AA$87, _xlfn.XMATCH($C13, Factor!$Y$41:$Y$87, -1), 3)</f>
        <v>4000</v>
      </c>
      <c r="L13" s="16"/>
    </row>
    <row r="14" spans="1:12" ht="15.75" customHeight="1" x14ac:dyDescent="0.2">
      <c r="A14" s="17" t="str">
        <f>"engine_"&amp;VLOOKUP(F14, Factor!$BW$4:$BX$6, 2, 0)&amp;"_"&amp;D14&amp;"_"&amp;VLOOKUP(E14, Factor!$BY$4:$BZ$13, 2, 0)</f>
        <v>engine_Hi_T1_004</v>
      </c>
      <c r="B14" s="18" t="str">
        <f t="shared" si="0"/>
        <v>T1 고성능 10기통엔진팩</v>
      </c>
      <c r="C14" s="18">
        <f>VLOOKUP(D14, Factor!$X$41:$Y$50, 2, 0)</f>
        <v>1000</v>
      </c>
      <c r="D14" s="18" t="s">
        <v>297</v>
      </c>
      <c r="E14" s="18" t="s">
        <v>655</v>
      </c>
      <c r="F14" s="55" t="s">
        <v>644</v>
      </c>
      <c r="G14" s="18" t="str">
        <f t="shared" si="1"/>
        <v>고성능 10기통</v>
      </c>
      <c r="H14" s="18">
        <v>1</v>
      </c>
      <c r="I14" s="18">
        <v>1</v>
      </c>
      <c r="J14" s="18" cm="1">
        <f t="array" ref="J14">H14*VLOOKUP($G14, Factor!$Y$4:$AA$36, 2, 0)*INDEX(Factor!$Y$41:$AA$87, _xlfn.XMATCH($C14, Factor!$Y$41:$Y$87, -1), 2)</f>
        <v>50</v>
      </c>
      <c r="K14" s="18" cm="1">
        <f t="array" ref="K14">I14*VLOOKUP($G14, Factor!$Y$4:$AA$36, 3, 0)*INDEX(Factor!$Y$41:$AA$87, _xlfn.XMATCH($C14, Factor!$Y$41:$Y$87, -1), 3)</f>
        <v>3000</v>
      </c>
      <c r="L14" s="19"/>
    </row>
    <row r="15" spans="1:12" ht="15.75" customHeight="1" x14ac:dyDescent="0.2">
      <c r="A15" s="14" t="str">
        <f>"engine_"&amp;VLOOKUP(F15, Factor!$BW$4:$BX$6, 2, 0)&amp;"_"&amp;D15&amp;"_"&amp;VLOOKUP(E15, Factor!$BY$4:$BZ$13, 2, 0)</f>
        <v>engine_Hi_T1_005</v>
      </c>
      <c r="B15" s="15" t="str">
        <f t="shared" si="0"/>
        <v>T1 고성능 12기통엔진팩</v>
      </c>
      <c r="C15" s="15">
        <f>VLOOKUP(D15, Factor!$X$41:$Y$50, 2, 0)</f>
        <v>1000</v>
      </c>
      <c r="D15" s="15" t="s">
        <v>297</v>
      </c>
      <c r="E15" s="15" t="s">
        <v>656</v>
      </c>
      <c r="F15" s="56" t="s">
        <v>644</v>
      </c>
      <c r="G15" s="15" t="str">
        <f t="shared" si="1"/>
        <v>고성능 12기통</v>
      </c>
      <c r="H15" s="15">
        <v>1</v>
      </c>
      <c r="I15" s="15">
        <v>1</v>
      </c>
      <c r="J15" s="15" cm="1">
        <f t="array" ref="J15">H15*VLOOKUP($G15, Factor!$Y$4:$AA$36, 2, 0)*INDEX(Factor!$Y$41:$AA$87, _xlfn.XMATCH($C15, Factor!$Y$41:$Y$87, -1), 2)</f>
        <v>120</v>
      </c>
      <c r="K15" s="15" cm="1">
        <f t="array" ref="K15">I15*VLOOKUP($G15, Factor!$Y$4:$AA$36, 3, 0)*INDEX(Factor!$Y$41:$AA$87, _xlfn.XMATCH($C15, Factor!$Y$41:$Y$87, -1), 3)</f>
        <v>6000</v>
      </c>
      <c r="L15" s="16"/>
    </row>
    <row r="16" spans="1:12" ht="15.75" customHeight="1" x14ac:dyDescent="0.2">
      <c r="A16" s="17" t="str">
        <f>"engine_"&amp;VLOOKUP(F16, Factor!$BW$4:$BX$6, 2, 0)&amp;"_"&amp;D16&amp;"_"&amp;VLOOKUP(E16, Factor!$BY$4:$BZ$13, 2, 0)</f>
        <v>engine_Hi_T1_006</v>
      </c>
      <c r="B16" s="18" t="str">
        <f t="shared" si="0"/>
        <v>T1 고성능 군용엔진팩</v>
      </c>
      <c r="C16" s="18">
        <f>VLOOKUP(D16, Factor!$X$41:$Y$50, 2, 0)</f>
        <v>1000</v>
      </c>
      <c r="D16" s="18" t="s">
        <v>297</v>
      </c>
      <c r="E16" s="55" t="s">
        <v>591</v>
      </c>
      <c r="F16" s="55" t="s">
        <v>644</v>
      </c>
      <c r="G16" s="18" t="str">
        <f t="shared" si="1"/>
        <v>고성능 군용</v>
      </c>
      <c r="H16" s="18">
        <v>1</v>
      </c>
      <c r="I16" s="18">
        <v>1</v>
      </c>
      <c r="J16" s="18" cm="1">
        <f t="array" ref="J16">H16*VLOOKUP($G16, Factor!$Y$4:$AA$36, 2, 0)*INDEX(Factor!$Y$41:$AA$87, _xlfn.XMATCH($C16, Factor!$Y$41:$Y$87, -1), 2)</f>
        <v>150</v>
      </c>
      <c r="K16" s="18" cm="1">
        <f t="array" ref="K16">I16*VLOOKUP($G16, Factor!$Y$4:$AA$36, 3, 0)*INDEX(Factor!$Y$41:$AA$87, _xlfn.XMATCH($C16, Factor!$Y$41:$Y$87, -1), 3)</f>
        <v>12000</v>
      </c>
      <c r="L16" s="19"/>
    </row>
    <row r="17" spans="1:12" ht="15.75" customHeight="1" x14ac:dyDescent="0.2">
      <c r="A17" s="14" t="str">
        <f>"engine_"&amp;VLOOKUP(F17, Factor!$BW$4:$BX$6, 2, 0)&amp;"_"&amp;D17&amp;"_"&amp;VLOOKUP(E17, Factor!$BY$4:$BZ$13, 2, 0)</f>
        <v>engine_Li_T1_001</v>
      </c>
      <c r="B17" s="15" t="str">
        <f t="shared" si="0"/>
        <v>T1 경량형 4기통엔진팩</v>
      </c>
      <c r="C17" s="15">
        <f>VLOOKUP(D17, Factor!$X$41:$Y$50, 2, 0)</f>
        <v>1000</v>
      </c>
      <c r="D17" s="15" t="s">
        <v>297</v>
      </c>
      <c r="E17" s="15" t="s">
        <v>652</v>
      </c>
      <c r="F17" s="56" t="s">
        <v>657</v>
      </c>
      <c r="G17" s="15" t="str">
        <f t="shared" si="1"/>
        <v>경량형 4기통</v>
      </c>
      <c r="H17" s="15">
        <v>1</v>
      </c>
      <c r="I17" s="15">
        <v>1</v>
      </c>
      <c r="J17" s="15" cm="1">
        <f t="array" ref="J17">H17*VLOOKUP($G17, Factor!$Y$4:$AA$36, 2, 0)*INDEX(Factor!$Y$41:$AA$87, _xlfn.XMATCH($C17, Factor!$Y$41:$Y$87, -1), 2)</f>
        <v>7</v>
      </c>
      <c r="K17" s="15" cm="1">
        <f t="array" ref="K17">I17*VLOOKUP($G17, Factor!$Y$4:$AA$36, 3, 0)*INDEX(Factor!$Y$41:$AA$87, _xlfn.XMATCH($C17, Factor!$Y$41:$Y$87, -1), 3)</f>
        <v>300</v>
      </c>
      <c r="L17" s="16"/>
    </row>
    <row r="18" spans="1:12" ht="15.75" customHeight="1" x14ac:dyDescent="0.2">
      <c r="A18" s="17" t="str">
        <f>"engine_"&amp;VLOOKUP(F18, Factor!$BW$4:$BX$6, 2, 0)&amp;"_"&amp;D18&amp;"_"&amp;VLOOKUP(E18, Factor!$BY$4:$BZ$13, 2, 0)</f>
        <v>engine_Li_T1_002</v>
      </c>
      <c r="B18" s="18" t="str">
        <f t="shared" si="0"/>
        <v>T1 경량형 6기통엔진팩</v>
      </c>
      <c r="C18" s="18">
        <f>VLOOKUP(D18, Factor!$X$41:$Y$50, 2, 0)</f>
        <v>1000</v>
      </c>
      <c r="D18" s="18" t="s">
        <v>297</v>
      </c>
      <c r="E18" s="18" t="s">
        <v>653</v>
      </c>
      <c r="F18" s="55" t="s">
        <v>657</v>
      </c>
      <c r="G18" s="18" t="str">
        <f t="shared" si="1"/>
        <v>경량형 6기통</v>
      </c>
      <c r="H18" s="18">
        <v>1</v>
      </c>
      <c r="I18" s="18">
        <v>1</v>
      </c>
      <c r="J18" s="18" cm="1">
        <f t="array" ref="J18">H18*VLOOKUP($G18, Factor!$Y$4:$AA$36, 2, 0)*INDEX(Factor!$Y$41:$AA$87, _xlfn.XMATCH($C18, Factor!$Y$41:$Y$87, -1), 2)</f>
        <v>15</v>
      </c>
      <c r="K18" s="18" cm="1">
        <f t="array" ref="K18">I18*VLOOKUP($G18, Factor!$Y$4:$AA$36, 3, 0)*INDEX(Factor!$Y$41:$AA$87, _xlfn.XMATCH($C18, Factor!$Y$41:$Y$87, -1), 3)</f>
        <v>700</v>
      </c>
      <c r="L18" s="19"/>
    </row>
    <row r="19" spans="1:12" ht="15.75" customHeight="1" x14ac:dyDescent="0.2">
      <c r="A19" s="14" t="str">
        <f>"engine_"&amp;VLOOKUP(F19, Factor!$BW$4:$BX$6, 2, 0)&amp;"_"&amp;D19&amp;"_"&amp;VLOOKUP(E19, Factor!$BY$4:$BZ$13, 2, 0)</f>
        <v>engine_Li_T1_003</v>
      </c>
      <c r="B19" s="15" t="str">
        <f t="shared" si="0"/>
        <v>T1 경량형 8기통엔진팩</v>
      </c>
      <c r="C19" s="15">
        <f>VLOOKUP(D19, Factor!$X$41:$Y$50, 2, 0)</f>
        <v>1000</v>
      </c>
      <c r="D19" s="15" t="s">
        <v>297</v>
      </c>
      <c r="E19" s="15" t="s">
        <v>654</v>
      </c>
      <c r="F19" s="56" t="s">
        <v>657</v>
      </c>
      <c r="G19" s="15" t="str">
        <f t="shared" si="1"/>
        <v>경량형 8기통</v>
      </c>
      <c r="H19" s="15">
        <v>1</v>
      </c>
      <c r="I19" s="15">
        <v>1</v>
      </c>
      <c r="J19" s="15" cm="1">
        <f t="array" ref="J19">H19*VLOOKUP($G19, Factor!$Y$4:$AA$36, 2, 0)*INDEX(Factor!$Y$41:$AA$87, _xlfn.XMATCH($C19, Factor!$Y$41:$Y$87, -1), 2)</f>
        <v>30</v>
      </c>
      <c r="K19" s="15" cm="1">
        <f t="array" ref="K19">I19*VLOOKUP($G19, Factor!$Y$4:$AA$36, 3, 0)*INDEX(Factor!$Y$41:$AA$87, _xlfn.XMATCH($C19, Factor!$Y$41:$Y$87, -1), 3)</f>
        <v>1200</v>
      </c>
      <c r="L19" s="16"/>
    </row>
    <row r="20" spans="1:12" ht="15.75" customHeight="1" x14ac:dyDescent="0.2">
      <c r="A20" s="17" t="str">
        <f>"engine_"&amp;VLOOKUP(F20, Factor!$BW$4:$BX$6, 2, 0)&amp;"_"&amp;D20&amp;"_"&amp;VLOOKUP(E20, Factor!$BY$4:$BZ$13, 2, 0)</f>
        <v>engine_Li_T1_004</v>
      </c>
      <c r="B20" s="18" t="str">
        <f t="shared" si="0"/>
        <v>T1 경량형 10기통엔진팩</v>
      </c>
      <c r="C20" s="18">
        <f>VLOOKUP(D20, Factor!$X$41:$Y$50, 2, 0)</f>
        <v>1000</v>
      </c>
      <c r="D20" s="18" t="s">
        <v>297</v>
      </c>
      <c r="E20" s="18" t="s">
        <v>655</v>
      </c>
      <c r="F20" s="55" t="s">
        <v>657</v>
      </c>
      <c r="G20" s="18" t="str">
        <f t="shared" si="1"/>
        <v>경량형 10기통</v>
      </c>
      <c r="H20" s="18">
        <v>1</v>
      </c>
      <c r="I20" s="18">
        <v>1</v>
      </c>
      <c r="J20" s="18" cm="1">
        <f t="array" ref="J20">H20*VLOOKUP($G20, Factor!$Y$4:$AA$36, 2, 0)*INDEX(Factor!$Y$41:$AA$87, _xlfn.XMATCH($C20, Factor!$Y$41:$Y$87, -1), 2)</f>
        <v>40</v>
      </c>
      <c r="K20" s="18" cm="1">
        <f t="array" ref="K20">I20*VLOOKUP($G20, Factor!$Y$4:$AA$36, 3, 0)*INDEX(Factor!$Y$41:$AA$87, _xlfn.XMATCH($C20, Factor!$Y$41:$Y$87, -1), 3)</f>
        <v>1800</v>
      </c>
      <c r="L20" s="19"/>
    </row>
    <row r="21" spans="1:12" ht="15.75" customHeight="1" x14ac:dyDescent="0.2">
      <c r="A21" s="14" t="str">
        <f>"engine_"&amp;VLOOKUP(F21, Factor!$BW$4:$BX$6, 2, 0)&amp;"_"&amp;D21&amp;"_"&amp;VLOOKUP(E21, Factor!$BY$4:$BZ$13, 2, 0)</f>
        <v>engine_Li_T1_005</v>
      </c>
      <c r="B21" s="15" t="str">
        <f t="shared" si="0"/>
        <v>T1 경량형 12기통엔진팩</v>
      </c>
      <c r="C21" s="15">
        <f>VLOOKUP(D21, Factor!$X$41:$Y$50, 2, 0)</f>
        <v>1000</v>
      </c>
      <c r="D21" s="15" t="s">
        <v>297</v>
      </c>
      <c r="E21" s="15" t="s">
        <v>656</v>
      </c>
      <c r="F21" s="56" t="s">
        <v>657</v>
      </c>
      <c r="G21" s="15" t="str">
        <f t="shared" si="1"/>
        <v>경량형 12기통</v>
      </c>
      <c r="H21" s="15">
        <v>1</v>
      </c>
      <c r="I21" s="15">
        <v>1</v>
      </c>
      <c r="J21" s="15" cm="1">
        <f t="array" ref="J21">H21*VLOOKUP($G21, Factor!$Y$4:$AA$36, 2, 0)*INDEX(Factor!$Y$41:$AA$87, _xlfn.XMATCH($C21, Factor!$Y$41:$Y$87, -1), 2)</f>
        <v>60</v>
      </c>
      <c r="K21" s="15" cm="1">
        <f t="array" ref="K21">I21*VLOOKUP($G21, Factor!$Y$4:$AA$36, 3, 0)*INDEX(Factor!$Y$41:$AA$87, _xlfn.XMATCH($C21, Factor!$Y$41:$Y$87, -1), 3)</f>
        <v>2500</v>
      </c>
      <c r="L21" s="16"/>
    </row>
    <row r="22" spans="1:12" ht="15.75" customHeight="1" x14ac:dyDescent="0.2">
      <c r="A22" s="17" t="str">
        <f>"engine_"&amp;VLOOKUP(F22, Factor!$BW$4:$BX$6, 2, 0)&amp;"_"&amp;D22&amp;"_"&amp;VLOOKUP(E22, Factor!$BY$4:$BZ$13, 2, 0)</f>
        <v>engine_Li_T1_006</v>
      </c>
      <c r="B22" s="18" t="str">
        <f t="shared" si="0"/>
        <v>T1 경량형 군용엔진팩</v>
      </c>
      <c r="C22" s="18">
        <f>VLOOKUP(D22, Factor!$X$41:$Y$50, 2, 0)</f>
        <v>1000</v>
      </c>
      <c r="D22" s="18" t="s">
        <v>297</v>
      </c>
      <c r="E22" s="55" t="s">
        <v>591</v>
      </c>
      <c r="F22" s="55" t="s">
        <v>657</v>
      </c>
      <c r="G22" s="18" t="str">
        <f t="shared" si="1"/>
        <v>경량형 군용</v>
      </c>
      <c r="H22" s="18">
        <v>1</v>
      </c>
      <c r="I22" s="18">
        <v>1</v>
      </c>
      <c r="J22" s="18" cm="1">
        <f t="array" ref="J22">H22*VLOOKUP($G22, Factor!$Y$4:$AA$36, 2, 0)*INDEX(Factor!$Y$41:$AA$87, _xlfn.XMATCH($C22, Factor!$Y$41:$Y$87, -1), 2)</f>
        <v>70</v>
      </c>
      <c r="K22" s="18" cm="1">
        <f t="array" ref="K22">I22*VLOOKUP($G22, Factor!$Y$4:$AA$36, 3, 0)*INDEX(Factor!$Y$41:$AA$87, _xlfn.XMATCH($C22, Factor!$Y$41:$Y$87, -1), 3)</f>
        <v>3000</v>
      </c>
      <c r="L22" s="19"/>
    </row>
    <row r="23" spans="1:12" ht="15.75" customHeight="1" x14ac:dyDescent="0.2">
      <c r="A23" s="14" t="str">
        <f>"engine_"&amp;VLOOKUP(F23, Factor!$BW$4:$BX$6, 2, 0)&amp;"_"&amp;D23&amp;"_"&amp;VLOOKUP(E23, Factor!$BY$4:$BZ$13, 2, 0)</f>
        <v>engine_No_T2_001</v>
      </c>
      <c r="B23" s="15" t="str">
        <f t="shared" si="0"/>
        <v>T2 표준 4기통엔진팩</v>
      </c>
      <c r="C23" s="15">
        <f>VLOOKUP(D23, Factor!$X$41:$Y$50, 2, 0)</f>
        <v>2000</v>
      </c>
      <c r="D23" s="15" t="s">
        <v>320</v>
      </c>
      <c r="E23" s="15" t="s">
        <v>652</v>
      </c>
      <c r="F23" s="56" t="s">
        <v>582</v>
      </c>
      <c r="G23" s="15" t="str">
        <f t="shared" si="1"/>
        <v>표준 4기통</v>
      </c>
      <c r="H23" s="15">
        <v>1</v>
      </c>
      <c r="I23" s="15">
        <v>1</v>
      </c>
      <c r="J23" s="15" cm="1">
        <f t="array" ref="J23">H23*VLOOKUP($G23, Factor!$Y$4:$AA$36, 2, 0)*INDEX(Factor!$Y$41:$AA$87, _xlfn.XMATCH($C23, Factor!$Y$41:$Y$87, -1), 2)</f>
        <v>12</v>
      </c>
      <c r="K23" s="15" cm="1">
        <f t="array" ref="K23">I23*VLOOKUP($G23, Factor!$Y$4:$AA$36, 3, 0)*INDEX(Factor!$Y$41:$AA$87, _xlfn.XMATCH($C23, Factor!$Y$41:$Y$87, -1), 3)</f>
        <v>600</v>
      </c>
      <c r="L23" s="16"/>
    </row>
    <row r="24" spans="1:12" ht="15.75" customHeight="1" x14ac:dyDescent="0.2">
      <c r="A24" s="17" t="str">
        <f>"engine_"&amp;VLOOKUP(F24, Factor!$BW$4:$BX$6, 2, 0)&amp;"_"&amp;D24&amp;"_"&amp;VLOOKUP(E24, Factor!$BY$4:$BZ$13, 2, 0)</f>
        <v>engine_No_T2_002</v>
      </c>
      <c r="B24" s="18" t="str">
        <f t="shared" si="0"/>
        <v>T2 표준 6기통엔진팩</v>
      </c>
      <c r="C24" s="18">
        <f>VLOOKUP(D24, Factor!$X$41:$Y$50, 2, 0)</f>
        <v>2000</v>
      </c>
      <c r="D24" s="18" t="s">
        <v>320</v>
      </c>
      <c r="E24" s="18" t="s">
        <v>653</v>
      </c>
      <c r="F24" s="55" t="s">
        <v>582</v>
      </c>
      <c r="G24" s="18" t="str">
        <f t="shared" si="1"/>
        <v>표준 6기통</v>
      </c>
      <c r="H24" s="18">
        <v>1</v>
      </c>
      <c r="I24" s="18">
        <v>1</v>
      </c>
      <c r="J24" s="18" cm="1">
        <f t="array" ref="J24">H24*VLOOKUP($G24, Factor!$Y$4:$AA$36, 2, 0)*INDEX(Factor!$Y$41:$AA$87, _xlfn.XMATCH($C24, Factor!$Y$41:$Y$87, -1), 2)</f>
        <v>24</v>
      </c>
      <c r="K24" s="18" cm="1">
        <f t="array" ref="K24">I24*VLOOKUP($G24, Factor!$Y$4:$AA$36, 3, 0)*INDEX(Factor!$Y$41:$AA$87, _xlfn.XMATCH($C24, Factor!$Y$41:$Y$87, -1), 3)</f>
        <v>1200</v>
      </c>
      <c r="L24" s="19"/>
    </row>
    <row r="25" spans="1:12" ht="15.75" customHeight="1" x14ac:dyDescent="0.2">
      <c r="A25" s="14" t="str">
        <f>"engine_"&amp;VLOOKUP(F25, Factor!$BW$4:$BX$6, 2, 0)&amp;"_"&amp;D25&amp;"_"&amp;VLOOKUP(E25, Factor!$BY$4:$BZ$13, 2, 0)</f>
        <v>engine_No_T2_003</v>
      </c>
      <c r="B25" s="15" t="str">
        <f t="shared" si="0"/>
        <v>T2 표준 8기통엔진팩</v>
      </c>
      <c r="C25" s="15">
        <f>VLOOKUP(D25, Factor!$X$41:$Y$50, 2, 0)</f>
        <v>2000</v>
      </c>
      <c r="D25" s="15" t="s">
        <v>298</v>
      </c>
      <c r="E25" s="15" t="s">
        <v>654</v>
      </c>
      <c r="F25" s="56" t="s">
        <v>582</v>
      </c>
      <c r="G25" s="15" t="str">
        <f t="shared" si="1"/>
        <v>표준 8기통</v>
      </c>
      <c r="H25" s="15">
        <v>1</v>
      </c>
      <c r="I25" s="15">
        <v>1</v>
      </c>
      <c r="J25" s="15" cm="1">
        <f t="array" ref="J25">H25*VLOOKUP($G25, Factor!$Y$4:$AA$36, 2, 0)*INDEX(Factor!$Y$41:$AA$87, _xlfn.XMATCH($C25, Factor!$Y$41:$Y$87, -1), 2)</f>
        <v>48</v>
      </c>
      <c r="K25" s="15" cm="1">
        <f t="array" ref="K25">I25*VLOOKUP($G25, Factor!$Y$4:$AA$36, 3, 0)*INDEX(Factor!$Y$41:$AA$87, _xlfn.XMATCH($C25, Factor!$Y$41:$Y$87, -1), 3)</f>
        <v>2400</v>
      </c>
      <c r="L25" s="16"/>
    </row>
    <row r="26" spans="1:12" ht="15.75" customHeight="1" x14ac:dyDescent="0.2">
      <c r="A26" s="17" t="str">
        <f>"engine_"&amp;VLOOKUP(F26, Factor!$BW$4:$BX$6, 2, 0)&amp;"_"&amp;D26&amp;"_"&amp;VLOOKUP(E26, Factor!$BY$4:$BZ$13, 2, 0)</f>
        <v>engine_No_T2_004</v>
      </c>
      <c r="B26" s="18" t="str">
        <f t="shared" si="0"/>
        <v>T2 표준 10기통엔진팩</v>
      </c>
      <c r="C26" s="18">
        <f>VLOOKUP(D26, Factor!$X$41:$Y$50, 2, 0)</f>
        <v>2000</v>
      </c>
      <c r="D26" s="18" t="s">
        <v>298</v>
      </c>
      <c r="E26" s="18" t="s">
        <v>655</v>
      </c>
      <c r="F26" s="55" t="s">
        <v>582</v>
      </c>
      <c r="G26" s="18" t="str">
        <f t="shared" si="1"/>
        <v>표준 10기통</v>
      </c>
      <c r="H26" s="18">
        <v>1</v>
      </c>
      <c r="I26" s="18">
        <v>1</v>
      </c>
      <c r="J26" s="18" cm="1">
        <f t="array" ref="J26">H26*VLOOKUP($G26, Factor!$Y$4:$AA$36, 2, 0)*INDEX(Factor!$Y$41:$AA$87, _xlfn.XMATCH($C26, Factor!$Y$41:$Y$87, -1), 2)</f>
        <v>60</v>
      </c>
      <c r="K26" s="18" cm="1">
        <f t="array" ref="K26">I26*VLOOKUP($G26, Factor!$Y$4:$AA$36, 3, 0)*INDEX(Factor!$Y$41:$AA$87, _xlfn.XMATCH($C26, Factor!$Y$41:$Y$87, -1), 3)</f>
        <v>3600</v>
      </c>
      <c r="L26" s="19"/>
    </row>
    <row r="27" spans="1:12" ht="15.75" customHeight="1" x14ac:dyDescent="0.2">
      <c r="A27" s="14" t="str">
        <f>"engine_"&amp;VLOOKUP(F27, Factor!$BW$4:$BX$6, 2, 0)&amp;"_"&amp;D27&amp;"_"&amp;VLOOKUP(E27, Factor!$BY$4:$BZ$13, 2, 0)</f>
        <v>engine_No_T2_005</v>
      </c>
      <c r="B27" s="15" t="str">
        <f t="shared" si="0"/>
        <v>T2 표준 12기통엔진팩</v>
      </c>
      <c r="C27" s="15">
        <f>VLOOKUP(D27, Factor!$X$41:$Y$50, 2, 0)</f>
        <v>2000</v>
      </c>
      <c r="D27" s="15" t="s">
        <v>298</v>
      </c>
      <c r="E27" s="15" t="s">
        <v>656</v>
      </c>
      <c r="F27" s="56" t="s">
        <v>582</v>
      </c>
      <c r="G27" s="15" t="str">
        <f t="shared" si="1"/>
        <v>표준 12기통</v>
      </c>
      <c r="H27" s="15">
        <v>1</v>
      </c>
      <c r="I27" s="15">
        <v>1</v>
      </c>
      <c r="J27" s="15" cm="1">
        <f t="array" ref="J27">H27*VLOOKUP($G27, Factor!$Y$4:$AA$36, 2, 0)*INDEX(Factor!$Y$41:$AA$87, _xlfn.XMATCH($C27, Factor!$Y$41:$Y$87, -1), 2)</f>
        <v>84</v>
      </c>
      <c r="K27" s="15" cm="1">
        <f t="array" ref="K27">I27*VLOOKUP($G27, Factor!$Y$4:$AA$36, 3, 0)*INDEX(Factor!$Y$41:$AA$87, _xlfn.XMATCH($C27, Factor!$Y$41:$Y$87, -1), 3)</f>
        <v>4800</v>
      </c>
      <c r="L27" s="16"/>
    </row>
    <row r="28" spans="1:12" ht="15.75" customHeight="1" x14ac:dyDescent="0.2">
      <c r="A28" s="17" t="str">
        <f>"engine_"&amp;VLOOKUP(F28, Factor!$BW$4:$BX$6, 2, 0)&amp;"_"&amp;D28&amp;"_"&amp;VLOOKUP(E28, Factor!$BY$4:$BZ$13, 2, 0)</f>
        <v>engine_No_T2_006</v>
      </c>
      <c r="B28" s="18" t="str">
        <f t="shared" si="0"/>
        <v>T2 표준 군용엔진팩</v>
      </c>
      <c r="C28" s="18">
        <f>VLOOKUP(D28, Factor!$X$41:$Y$50, 2, 0)</f>
        <v>2000</v>
      </c>
      <c r="D28" s="18" t="s">
        <v>298</v>
      </c>
      <c r="E28" s="55" t="s">
        <v>591</v>
      </c>
      <c r="F28" s="55" t="s">
        <v>582</v>
      </c>
      <c r="G28" s="18" t="str">
        <f t="shared" si="1"/>
        <v>표준 군용</v>
      </c>
      <c r="H28" s="18">
        <v>1</v>
      </c>
      <c r="I28" s="18">
        <v>1</v>
      </c>
      <c r="J28" s="18" cm="1">
        <f t="array" ref="J28">H28*VLOOKUP($G28, Factor!$Y$4:$AA$36, 2, 0)*INDEX(Factor!$Y$41:$AA$87, _xlfn.XMATCH($C28, Factor!$Y$41:$Y$87, -1), 2)</f>
        <v>108</v>
      </c>
      <c r="K28" s="18" cm="1">
        <f t="array" ref="K28">I28*VLOOKUP($G28, Factor!$Y$4:$AA$36, 3, 0)*INDEX(Factor!$Y$41:$AA$87, _xlfn.XMATCH($C28, Factor!$Y$41:$Y$87, -1), 3)</f>
        <v>7200</v>
      </c>
      <c r="L28" s="19"/>
    </row>
    <row r="29" spans="1:12" ht="15.75" customHeight="1" x14ac:dyDescent="0.2">
      <c r="A29" s="14" t="str">
        <f>"engine_"&amp;VLOOKUP(F29, Factor!$BW$4:$BX$6, 2, 0)&amp;"_"&amp;D29&amp;"_"&amp;VLOOKUP(E29, Factor!$BY$4:$BZ$13, 2, 0)</f>
        <v>engine_Hi_T2_001</v>
      </c>
      <c r="B29" s="15" t="str">
        <f t="shared" si="0"/>
        <v>T2 고성능 4기통엔진팩</v>
      </c>
      <c r="C29" s="15">
        <f>VLOOKUP(D29, Factor!$X$41:$Y$50, 2, 0)</f>
        <v>2000</v>
      </c>
      <c r="D29" s="15" t="s">
        <v>298</v>
      </c>
      <c r="E29" s="15" t="s">
        <v>652</v>
      </c>
      <c r="F29" s="56" t="s">
        <v>644</v>
      </c>
      <c r="G29" s="15" t="str">
        <f t="shared" si="1"/>
        <v>고성능 4기통</v>
      </c>
      <c r="H29" s="15">
        <v>1</v>
      </c>
      <c r="I29" s="15">
        <v>1</v>
      </c>
      <c r="J29" s="15" cm="1">
        <f t="array" ref="J29">H29*VLOOKUP($G29, Factor!$Y$4:$AA$36, 2, 0)*INDEX(Factor!$Y$41:$AA$87, _xlfn.XMATCH($C29, Factor!$Y$41:$Y$87, -1), 2)</f>
        <v>24</v>
      </c>
      <c r="K29" s="15" cm="1">
        <f t="array" ref="K29">I29*VLOOKUP($G29, Factor!$Y$4:$AA$36, 3, 0)*INDEX(Factor!$Y$41:$AA$87, _xlfn.XMATCH($C29, Factor!$Y$41:$Y$87, -1), 3)</f>
        <v>2160</v>
      </c>
      <c r="L29" s="16"/>
    </row>
    <row r="30" spans="1:12" ht="15.75" customHeight="1" x14ac:dyDescent="0.2">
      <c r="A30" s="17" t="str">
        <f>"engine_"&amp;VLOOKUP(F30, Factor!$BW$4:$BX$6, 2, 0)&amp;"_"&amp;D30&amp;"_"&amp;VLOOKUP(E30, Factor!$BY$4:$BZ$13, 2, 0)</f>
        <v>engine_Hi_T2_002</v>
      </c>
      <c r="B30" s="18" t="str">
        <f t="shared" si="0"/>
        <v>T2 고성능 6기통엔진팩</v>
      </c>
      <c r="C30" s="18">
        <f>VLOOKUP(D30, Factor!$X$41:$Y$50, 2, 0)</f>
        <v>2000</v>
      </c>
      <c r="D30" s="18" t="s">
        <v>298</v>
      </c>
      <c r="E30" s="18" t="s">
        <v>653</v>
      </c>
      <c r="F30" s="55" t="s">
        <v>644</v>
      </c>
      <c r="G30" s="18" t="str">
        <f t="shared" si="1"/>
        <v>고성능 6기통</v>
      </c>
      <c r="H30" s="18">
        <v>1</v>
      </c>
      <c r="I30" s="18">
        <v>1</v>
      </c>
      <c r="J30" s="18" cm="1">
        <f t="array" ref="J30">H30*VLOOKUP($G30, Factor!$Y$4:$AA$36, 2, 0)*INDEX(Factor!$Y$41:$AA$87, _xlfn.XMATCH($C30, Factor!$Y$41:$Y$87, -1), 2)</f>
        <v>48</v>
      </c>
      <c r="K30" s="18" cm="1">
        <f t="array" ref="K30">I30*VLOOKUP($G30, Factor!$Y$4:$AA$36, 3, 0)*INDEX(Factor!$Y$41:$AA$87, _xlfn.XMATCH($C30, Factor!$Y$41:$Y$87, -1), 3)</f>
        <v>3600</v>
      </c>
      <c r="L30" s="19"/>
    </row>
    <row r="31" spans="1:12" ht="15.75" customHeight="1" x14ac:dyDescent="0.2">
      <c r="A31" s="14" t="str">
        <f>"engine_"&amp;VLOOKUP(F31, Factor!$BW$4:$BX$6, 2, 0)&amp;"_"&amp;D31&amp;"_"&amp;VLOOKUP(E31, Factor!$BY$4:$BZ$13, 2, 0)</f>
        <v>engine_Hi_T2_003</v>
      </c>
      <c r="B31" s="15" t="str">
        <f t="shared" si="0"/>
        <v>T2 고성능 8기통엔진팩</v>
      </c>
      <c r="C31" s="15">
        <f>VLOOKUP(D31, Factor!$X$41:$Y$50, 2, 0)</f>
        <v>2000</v>
      </c>
      <c r="D31" s="15" t="s">
        <v>298</v>
      </c>
      <c r="E31" s="15" t="s">
        <v>654</v>
      </c>
      <c r="F31" s="56" t="s">
        <v>644</v>
      </c>
      <c r="G31" s="15" t="str">
        <f t="shared" si="1"/>
        <v>고성능 8기통</v>
      </c>
      <c r="H31" s="15">
        <v>1</v>
      </c>
      <c r="I31" s="15">
        <v>1</v>
      </c>
      <c r="J31" s="15" cm="1">
        <f t="array" ref="J31">H31*VLOOKUP($G31, Factor!$Y$4:$AA$36, 2, 0)*INDEX(Factor!$Y$41:$AA$87, _xlfn.XMATCH($C31, Factor!$Y$41:$Y$87, -1), 2)</f>
        <v>72</v>
      </c>
      <c r="K31" s="15" cm="1">
        <f t="array" ref="K31">I31*VLOOKUP($G31, Factor!$Y$4:$AA$36, 3, 0)*INDEX(Factor!$Y$41:$AA$87, _xlfn.XMATCH($C31, Factor!$Y$41:$Y$87, -1), 3)</f>
        <v>4800</v>
      </c>
      <c r="L31" s="16"/>
    </row>
    <row r="32" spans="1:12" ht="15.75" customHeight="1" x14ac:dyDescent="0.2">
      <c r="A32" s="17" t="str">
        <f>"engine_"&amp;VLOOKUP(F32, Factor!$BW$4:$BX$6, 2, 0)&amp;"_"&amp;D32&amp;"_"&amp;VLOOKUP(E32, Factor!$BY$4:$BZ$13, 2, 0)</f>
        <v>engine_Hi_T2_004</v>
      </c>
      <c r="B32" s="18" t="str">
        <f t="shared" si="0"/>
        <v>T2 고성능 10기통엔진팩</v>
      </c>
      <c r="C32" s="18">
        <f>VLOOKUP(D32, Factor!$X$41:$Y$50, 2, 0)</f>
        <v>2000</v>
      </c>
      <c r="D32" s="18" t="s">
        <v>298</v>
      </c>
      <c r="E32" s="18" t="s">
        <v>655</v>
      </c>
      <c r="F32" s="55" t="s">
        <v>644</v>
      </c>
      <c r="G32" s="18" t="str">
        <f t="shared" si="1"/>
        <v>고성능 10기통</v>
      </c>
      <c r="H32" s="18">
        <v>1</v>
      </c>
      <c r="I32" s="18">
        <v>1</v>
      </c>
      <c r="J32" s="18" cm="1">
        <f t="array" ref="J32">H32*VLOOKUP($G32, Factor!$Y$4:$AA$36, 2, 0)*INDEX(Factor!$Y$41:$AA$87, _xlfn.XMATCH($C32, Factor!$Y$41:$Y$87, -1), 2)</f>
        <v>60</v>
      </c>
      <c r="K32" s="18" cm="1">
        <f t="array" ref="K32">I32*VLOOKUP($G32, Factor!$Y$4:$AA$36, 3, 0)*INDEX(Factor!$Y$41:$AA$87, _xlfn.XMATCH($C32, Factor!$Y$41:$Y$87, -1), 3)</f>
        <v>3600</v>
      </c>
      <c r="L32" s="19"/>
    </row>
    <row r="33" spans="1:12" ht="15.75" customHeight="1" x14ac:dyDescent="0.2">
      <c r="A33" s="14" t="str">
        <f>"engine_"&amp;VLOOKUP(F33, Factor!$BW$4:$BX$6, 2, 0)&amp;"_"&amp;D33&amp;"_"&amp;VLOOKUP(E33, Factor!$BY$4:$BZ$13, 2, 0)</f>
        <v>engine_Hi_T2_005</v>
      </c>
      <c r="B33" s="15" t="str">
        <f t="shared" si="0"/>
        <v>T2 고성능 12기통엔진팩</v>
      </c>
      <c r="C33" s="15">
        <f>VLOOKUP(D33, Factor!$X$41:$Y$50, 2, 0)</f>
        <v>2000</v>
      </c>
      <c r="D33" s="15" t="s">
        <v>298</v>
      </c>
      <c r="E33" s="15" t="s">
        <v>656</v>
      </c>
      <c r="F33" s="56" t="s">
        <v>644</v>
      </c>
      <c r="G33" s="15" t="str">
        <f t="shared" si="1"/>
        <v>고성능 12기통</v>
      </c>
      <c r="H33" s="15">
        <v>1</v>
      </c>
      <c r="I33" s="15">
        <v>1</v>
      </c>
      <c r="J33" s="15" cm="1">
        <f t="array" ref="J33">H33*VLOOKUP($G33, Factor!$Y$4:$AA$36, 2, 0)*INDEX(Factor!$Y$41:$AA$87, _xlfn.XMATCH($C33, Factor!$Y$41:$Y$87, -1), 2)</f>
        <v>144</v>
      </c>
      <c r="K33" s="15" cm="1">
        <f t="array" ref="K33">I33*VLOOKUP($G33, Factor!$Y$4:$AA$36, 3, 0)*INDEX(Factor!$Y$41:$AA$87, _xlfn.XMATCH($C33, Factor!$Y$41:$Y$87, -1), 3)</f>
        <v>7200</v>
      </c>
      <c r="L33" s="16"/>
    </row>
    <row r="34" spans="1:12" ht="15.75" customHeight="1" x14ac:dyDescent="0.2">
      <c r="A34" s="17" t="str">
        <f>"engine_"&amp;VLOOKUP(F34, Factor!$BW$4:$BX$6, 2, 0)&amp;"_"&amp;D34&amp;"_"&amp;VLOOKUP(E34, Factor!$BY$4:$BZ$13, 2, 0)</f>
        <v>engine_Hi_T2_006</v>
      </c>
      <c r="B34" s="18" t="str">
        <f t="shared" si="0"/>
        <v>T2 고성능 군용엔진팩</v>
      </c>
      <c r="C34" s="18">
        <f>VLOOKUP(D34, Factor!$X$41:$Y$50, 2, 0)</f>
        <v>2000</v>
      </c>
      <c r="D34" s="18" t="s">
        <v>298</v>
      </c>
      <c r="E34" s="18" t="s">
        <v>591</v>
      </c>
      <c r="F34" s="55" t="s">
        <v>644</v>
      </c>
      <c r="G34" s="18" t="str">
        <f t="shared" si="1"/>
        <v>고성능 군용</v>
      </c>
      <c r="H34" s="18">
        <v>1</v>
      </c>
      <c r="I34" s="18">
        <v>1</v>
      </c>
      <c r="J34" s="18" cm="1">
        <f t="array" ref="J34">H34*VLOOKUP($G34, Factor!$Y$4:$AA$36, 2, 0)*INDEX(Factor!$Y$41:$AA$87, _xlfn.XMATCH($C34, Factor!$Y$41:$Y$87, -1), 2)</f>
        <v>180</v>
      </c>
      <c r="K34" s="18" cm="1">
        <f t="array" ref="K34">I34*VLOOKUP($G34, Factor!$Y$4:$AA$36, 3, 0)*INDEX(Factor!$Y$41:$AA$87, _xlfn.XMATCH($C34, Factor!$Y$41:$Y$87, -1), 3)</f>
        <v>14400</v>
      </c>
      <c r="L34" s="19"/>
    </row>
    <row r="35" spans="1:12" ht="15.75" customHeight="1" x14ac:dyDescent="0.2">
      <c r="A35" s="14" t="str">
        <f>"engine_"&amp;VLOOKUP(F35, Factor!$BW$4:$BX$6, 2, 0)&amp;"_"&amp;D35&amp;"_"&amp;VLOOKUP(E35, Factor!$BY$4:$BZ$13, 2, 0)</f>
        <v>engine_Li_T2_001</v>
      </c>
      <c r="B35" s="15" t="str">
        <f t="shared" ref="B35:B98" si="2">D35&amp;" "&amp;G35&amp;"엔진팩"</f>
        <v>T2 경량형 4기통엔진팩</v>
      </c>
      <c r="C35" s="15">
        <f>VLOOKUP(D35, Factor!$X$41:$Y$50, 2, 0)</f>
        <v>2000</v>
      </c>
      <c r="D35" s="15" t="s">
        <v>298</v>
      </c>
      <c r="E35" s="15" t="s">
        <v>662</v>
      </c>
      <c r="F35" s="56" t="s">
        <v>657</v>
      </c>
      <c r="G35" s="15" t="str">
        <f t="shared" si="1"/>
        <v>경량형 4기통</v>
      </c>
      <c r="H35" s="15">
        <v>1</v>
      </c>
      <c r="I35" s="15">
        <v>1</v>
      </c>
      <c r="J35" s="15" cm="1">
        <f t="array" ref="J35">H35*VLOOKUP($G35, Factor!$Y$4:$AA$36, 2, 0)*INDEX(Factor!$Y$41:$AA$87, _xlfn.XMATCH($C35, Factor!$Y$41:$Y$87, -1), 2)</f>
        <v>8.4</v>
      </c>
      <c r="K35" s="15" cm="1">
        <f t="array" ref="K35">I35*VLOOKUP($G35, Factor!$Y$4:$AA$36, 3, 0)*INDEX(Factor!$Y$41:$AA$87, _xlfn.XMATCH($C35, Factor!$Y$41:$Y$87, -1), 3)</f>
        <v>360</v>
      </c>
      <c r="L35" s="16"/>
    </row>
    <row r="36" spans="1:12" ht="15.75" customHeight="1" x14ac:dyDescent="0.2">
      <c r="A36" s="17" t="str">
        <f>"engine_"&amp;VLOOKUP(F36, Factor!$BW$4:$BX$6, 2, 0)&amp;"_"&amp;D36&amp;"_"&amp;VLOOKUP(E36, Factor!$BY$4:$BZ$13, 2, 0)</f>
        <v>engine_Li_T2_002</v>
      </c>
      <c r="B36" s="18" t="str">
        <f t="shared" si="2"/>
        <v>T2 경량형 6기통엔진팩</v>
      </c>
      <c r="C36" s="18">
        <f>VLOOKUP(D36, Factor!$X$41:$Y$50, 2, 0)</f>
        <v>2000</v>
      </c>
      <c r="D36" s="18" t="s">
        <v>298</v>
      </c>
      <c r="E36" s="18" t="s">
        <v>658</v>
      </c>
      <c r="F36" s="55" t="s">
        <v>657</v>
      </c>
      <c r="G36" s="18" t="str">
        <f t="shared" si="1"/>
        <v>경량형 6기통</v>
      </c>
      <c r="H36" s="18">
        <v>1</v>
      </c>
      <c r="I36" s="18">
        <v>1</v>
      </c>
      <c r="J36" s="18" cm="1">
        <f t="array" ref="J36">H36*VLOOKUP($G36, Factor!$Y$4:$AA$36, 2, 0)*INDEX(Factor!$Y$41:$AA$87, _xlfn.XMATCH($C36, Factor!$Y$41:$Y$87, -1), 2)</f>
        <v>18</v>
      </c>
      <c r="K36" s="18" cm="1">
        <f t="array" ref="K36">I36*VLOOKUP($G36, Factor!$Y$4:$AA$36, 3, 0)*INDEX(Factor!$Y$41:$AA$87, _xlfn.XMATCH($C36, Factor!$Y$41:$Y$87, -1), 3)</f>
        <v>840</v>
      </c>
      <c r="L36" s="19"/>
    </row>
    <row r="37" spans="1:12" ht="15.75" customHeight="1" x14ac:dyDescent="0.2">
      <c r="A37" s="14" t="str">
        <f>"engine_"&amp;VLOOKUP(F37, Factor!$BW$4:$BX$6, 2, 0)&amp;"_"&amp;D37&amp;"_"&amp;VLOOKUP(E37, Factor!$BY$4:$BZ$13, 2, 0)</f>
        <v>engine_Li_T2_003</v>
      </c>
      <c r="B37" s="15" t="str">
        <f t="shared" si="2"/>
        <v>T2 경량형 8기통엔진팩</v>
      </c>
      <c r="C37" s="15">
        <f>VLOOKUP(D37, Factor!$X$41:$Y$50, 2, 0)</f>
        <v>2000</v>
      </c>
      <c r="D37" s="15" t="s">
        <v>298</v>
      </c>
      <c r="E37" s="15" t="s">
        <v>659</v>
      </c>
      <c r="F37" s="56" t="s">
        <v>657</v>
      </c>
      <c r="G37" s="15" t="str">
        <f t="shared" si="1"/>
        <v>경량형 8기통</v>
      </c>
      <c r="H37" s="15">
        <v>1</v>
      </c>
      <c r="I37" s="15">
        <v>1</v>
      </c>
      <c r="J37" s="15" cm="1">
        <f t="array" ref="J37">H37*VLOOKUP($G37, Factor!$Y$4:$AA$36, 2, 0)*INDEX(Factor!$Y$41:$AA$87, _xlfn.XMATCH($C37, Factor!$Y$41:$Y$87, -1), 2)</f>
        <v>36</v>
      </c>
      <c r="K37" s="15" cm="1">
        <f t="array" ref="K37">I37*VLOOKUP($G37, Factor!$Y$4:$AA$36, 3, 0)*INDEX(Factor!$Y$41:$AA$87, _xlfn.XMATCH($C37, Factor!$Y$41:$Y$87, -1), 3)</f>
        <v>1440</v>
      </c>
      <c r="L37" s="16"/>
    </row>
    <row r="38" spans="1:12" ht="15.75" customHeight="1" x14ac:dyDescent="0.2">
      <c r="A38" s="17" t="str">
        <f>"engine_"&amp;VLOOKUP(F38, Factor!$BW$4:$BX$6, 2, 0)&amp;"_"&amp;D38&amp;"_"&amp;VLOOKUP(E38, Factor!$BY$4:$BZ$13, 2, 0)</f>
        <v>engine_Li_T2_004</v>
      </c>
      <c r="B38" s="18" t="str">
        <f t="shared" si="2"/>
        <v>T2 경량형 10기통엔진팩</v>
      </c>
      <c r="C38" s="18">
        <f>VLOOKUP(D38, Factor!$X$41:$Y$50, 2, 0)</f>
        <v>2000</v>
      </c>
      <c r="D38" s="18" t="s">
        <v>298</v>
      </c>
      <c r="E38" s="18" t="s">
        <v>660</v>
      </c>
      <c r="F38" s="55" t="s">
        <v>657</v>
      </c>
      <c r="G38" s="18" t="str">
        <f t="shared" si="1"/>
        <v>경량형 10기통</v>
      </c>
      <c r="H38" s="18">
        <v>1</v>
      </c>
      <c r="I38" s="18">
        <v>1</v>
      </c>
      <c r="J38" s="18" cm="1">
        <f t="array" ref="J38">H38*VLOOKUP($G38, Factor!$Y$4:$AA$36, 2, 0)*INDEX(Factor!$Y$41:$AA$87, _xlfn.XMATCH($C38, Factor!$Y$41:$Y$87, -1), 2)</f>
        <v>48</v>
      </c>
      <c r="K38" s="18" cm="1">
        <f t="array" ref="K38">I38*VLOOKUP($G38, Factor!$Y$4:$AA$36, 3, 0)*INDEX(Factor!$Y$41:$AA$87, _xlfn.XMATCH($C38, Factor!$Y$41:$Y$87, -1), 3)</f>
        <v>2160</v>
      </c>
      <c r="L38" s="19"/>
    </row>
    <row r="39" spans="1:12" ht="15.75" customHeight="1" x14ac:dyDescent="0.2">
      <c r="A39" s="14" t="str">
        <f>"engine_"&amp;VLOOKUP(F39, Factor!$BW$4:$BX$6, 2, 0)&amp;"_"&amp;D39&amp;"_"&amp;VLOOKUP(E39, Factor!$BY$4:$BZ$13, 2, 0)</f>
        <v>engine_Li_T2_005</v>
      </c>
      <c r="B39" s="15" t="str">
        <f t="shared" si="2"/>
        <v>T2 경량형 12기통엔진팩</v>
      </c>
      <c r="C39" s="15">
        <f>VLOOKUP(D39, Factor!$X$41:$Y$50, 2, 0)</f>
        <v>2000</v>
      </c>
      <c r="D39" s="15" t="s">
        <v>298</v>
      </c>
      <c r="E39" s="15" t="s">
        <v>661</v>
      </c>
      <c r="F39" s="56" t="s">
        <v>657</v>
      </c>
      <c r="G39" s="15" t="str">
        <f t="shared" si="1"/>
        <v>경량형 12기통</v>
      </c>
      <c r="H39" s="15">
        <v>1</v>
      </c>
      <c r="I39" s="15">
        <v>1</v>
      </c>
      <c r="J39" s="15" cm="1">
        <f t="array" ref="J39">H39*VLOOKUP($G39, Factor!$Y$4:$AA$36, 2, 0)*INDEX(Factor!$Y$41:$AA$87, _xlfn.XMATCH($C39, Factor!$Y$41:$Y$87, -1), 2)</f>
        <v>72</v>
      </c>
      <c r="K39" s="15" cm="1">
        <f t="array" ref="K39">I39*VLOOKUP($G39, Factor!$Y$4:$AA$36, 3, 0)*INDEX(Factor!$Y$41:$AA$87, _xlfn.XMATCH($C39, Factor!$Y$41:$Y$87, -1), 3)</f>
        <v>3000</v>
      </c>
      <c r="L39" s="16"/>
    </row>
    <row r="40" spans="1:12" ht="15.75" customHeight="1" x14ac:dyDescent="0.2">
      <c r="A40" s="17" t="str">
        <f>"engine_"&amp;VLOOKUP(F40, Factor!$BW$4:$BX$6, 2, 0)&amp;"_"&amp;D40&amp;"_"&amp;VLOOKUP(E40, Factor!$BY$4:$BZ$13, 2, 0)</f>
        <v>engine_Li_T2_006</v>
      </c>
      <c r="B40" s="18" t="str">
        <f t="shared" si="2"/>
        <v>T2 경량형 군용엔진팩</v>
      </c>
      <c r="C40" s="18">
        <f>VLOOKUP(D40, Factor!$X$41:$Y$50, 2, 0)</f>
        <v>2000</v>
      </c>
      <c r="D40" s="18" t="s">
        <v>298</v>
      </c>
      <c r="E40" s="18" t="s">
        <v>591</v>
      </c>
      <c r="F40" s="55" t="s">
        <v>657</v>
      </c>
      <c r="G40" s="18" t="str">
        <f t="shared" si="1"/>
        <v>경량형 군용</v>
      </c>
      <c r="H40" s="18">
        <v>1</v>
      </c>
      <c r="I40" s="18">
        <v>1</v>
      </c>
      <c r="J40" s="18" cm="1">
        <f t="array" ref="J40">H40*VLOOKUP($G40, Factor!$Y$4:$AA$36, 2, 0)*INDEX(Factor!$Y$41:$AA$87, _xlfn.XMATCH($C40, Factor!$Y$41:$Y$87, -1), 2)</f>
        <v>84</v>
      </c>
      <c r="K40" s="18" cm="1">
        <f t="array" ref="K40">I40*VLOOKUP($G40, Factor!$Y$4:$AA$36, 3, 0)*INDEX(Factor!$Y$41:$AA$87, _xlfn.XMATCH($C40, Factor!$Y$41:$Y$87, -1), 3)</f>
        <v>3600</v>
      </c>
      <c r="L40" s="19"/>
    </row>
    <row r="41" spans="1:12" ht="15.75" customHeight="1" x14ac:dyDescent="0.2">
      <c r="A41" s="14" t="str">
        <f>"engine_"&amp;VLOOKUP(F41, Factor!$BW$4:$BX$6, 2, 0)&amp;"_"&amp;D41&amp;"_"&amp;VLOOKUP(E41, Factor!$BY$4:$BZ$13, 2, 0)</f>
        <v>engine_No_T3_001</v>
      </c>
      <c r="B41" s="15" t="str">
        <f t="shared" si="2"/>
        <v>T3 표준 4기통엔진팩</v>
      </c>
      <c r="C41" s="15">
        <f>VLOOKUP(D41, Factor!$X$41:$Y$50, 2, 0)</f>
        <v>3000</v>
      </c>
      <c r="D41" s="15" t="s">
        <v>321</v>
      </c>
      <c r="E41" s="15" t="s">
        <v>662</v>
      </c>
      <c r="F41" s="56" t="s">
        <v>582</v>
      </c>
      <c r="G41" s="15" t="str">
        <f t="shared" si="1"/>
        <v>표준 4기통</v>
      </c>
      <c r="H41" s="15">
        <v>1</v>
      </c>
      <c r="I41" s="15">
        <v>1</v>
      </c>
      <c r="J41" s="15" cm="1">
        <f t="array" ref="J41">H41*VLOOKUP($G41, Factor!$Y$4:$AA$36, 2, 0)*INDEX(Factor!$Y$41:$AA$87, _xlfn.XMATCH($C41, Factor!$Y$41:$Y$87, -1), 2)</f>
        <v>14</v>
      </c>
      <c r="K41" s="15" cm="1">
        <f t="array" ref="K41">I41*VLOOKUP($G41, Factor!$Y$4:$AA$36, 3, 0)*INDEX(Factor!$Y$41:$AA$87, _xlfn.XMATCH($C41, Factor!$Y$41:$Y$87, -1), 3)</f>
        <v>700</v>
      </c>
      <c r="L41" s="16"/>
    </row>
    <row r="42" spans="1:12" ht="15.75" customHeight="1" x14ac:dyDescent="0.2">
      <c r="A42" s="17" t="str">
        <f>"engine_"&amp;VLOOKUP(F42, Factor!$BW$4:$BX$6, 2, 0)&amp;"_"&amp;D42&amp;"_"&amp;VLOOKUP(E42, Factor!$BY$4:$BZ$13, 2, 0)</f>
        <v>engine_No_T3_002</v>
      </c>
      <c r="B42" s="18" t="str">
        <f t="shared" si="2"/>
        <v>T3 표준 6기통엔진팩</v>
      </c>
      <c r="C42" s="18">
        <f>VLOOKUP(D42, Factor!$X$41:$Y$50, 2, 0)</f>
        <v>3000</v>
      </c>
      <c r="D42" s="18" t="s">
        <v>321</v>
      </c>
      <c r="E42" s="18" t="s">
        <v>658</v>
      </c>
      <c r="F42" s="55" t="s">
        <v>582</v>
      </c>
      <c r="G42" s="18" t="str">
        <f t="shared" si="1"/>
        <v>표준 6기통</v>
      </c>
      <c r="H42" s="18">
        <v>1</v>
      </c>
      <c r="I42" s="18">
        <v>1</v>
      </c>
      <c r="J42" s="18" cm="1">
        <f t="array" ref="J42">H42*VLOOKUP($G42, Factor!$Y$4:$AA$36, 2, 0)*INDEX(Factor!$Y$41:$AA$87, _xlfn.XMATCH($C42, Factor!$Y$41:$Y$87, -1), 2)</f>
        <v>28</v>
      </c>
      <c r="K42" s="18" cm="1">
        <f t="array" ref="K42">I42*VLOOKUP($G42, Factor!$Y$4:$AA$36, 3, 0)*INDEX(Factor!$Y$41:$AA$87, _xlfn.XMATCH($C42, Factor!$Y$41:$Y$87, -1), 3)</f>
        <v>1400</v>
      </c>
      <c r="L42" s="19"/>
    </row>
    <row r="43" spans="1:12" ht="15.75" customHeight="1" x14ac:dyDescent="0.2">
      <c r="A43" s="14" t="str">
        <f>"engine_"&amp;VLOOKUP(F43, Factor!$BW$4:$BX$6, 2, 0)&amp;"_"&amp;D43&amp;"_"&amp;VLOOKUP(E43, Factor!$BY$4:$BZ$13, 2, 0)</f>
        <v>engine_No_T3_003</v>
      </c>
      <c r="B43" s="15" t="str">
        <f t="shared" si="2"/>
        <v>T3 표준 8기통엔진팩</v>
      </c>
      <c r="C43" s="15">
        <f>VLOOKUP(D43, Factor!$X$41:$Y$50, 2, 0)</f>
        <v>3000</v>
      </c>
      <c r="D43" s="15" t="s">
        <v>299</v>
      </c>
      <c r="E43" s="15" t="s">
        <v>659</v>
      </c>
      <c r="F43" s="56" t="s">
        <v>582</v>
      </c>
      <c r="G43" s="15" t="str">
        <f t="shared" si="1"/>
        <v>표준 8기통</v>
      </c>
      <c r="H43" s="15">
        <v>1</v>
      </c>
      <c r="I43" s="15">
        <v>1</v>
      </c>
      <c r="J43" s="15" cm="1">
        <f t="array" ref="J43">H43*VLOOKUP($G43, Factor!$Y$4:$AA$36, 2, 0)*INDEX(Factor!$Y$41:$AA$87, _xlfn.XMATCH($C43, Factor!$Y$41:$Y$87, -1), 2)</f>
        <v>56</v>
      </c>
      <c r="K43" s="15" cm="1">
        <f t="array" ref="K43">I43*VLOOKUP($G43, Factor!$Y$4:$AA$36, 3, 0)*INDEX(Factor!$Y$41:$AA$87, _xlfn.XMATCH($C43, Factor!$Y$41:$Y$87, -1), 3)</f>
        <v>2800</v>
      </c>
      <c r="L43" s="16"/>
    </row>
    <row r="44" spans="1:12" ht="15.75" customHeight="1" x14ac:dyDescent="0.2">
      <c r="A44" s="17" t="str">
        <f>"engine_"&amp;VLOOKUP(F44, Factor!$BW$4:$BX$6, 2, 0)&amp;"_"&amp;D44&amp;"_"&amp;VLOOKUP(E44, Factor!$BY$4:$BZ$13, 2, 0)</f>
        <v>engine_No_T3_004</v>
      </c>
      <c r="B44" s="18" t="str">
        <f t="shared" si="2"/>
        <v>T3 표준 10기통엔진팩</v>
      </c>
      <c r="C44" s="18">
        <f>VLOOKUP(D44, Factor!$X$41:$Y$50, 2, 0)</f>
        <v>3000</v>
      </c>
      <c r="D44" s="18" t="s">
        <v>299</v>
      </c>
      <c r="E44" s="18" t="s">
        <v>660</v>
      </c>
      <c r="F44" s="55" t="s">
        <v>582</v>
      </c>
      <c r="G44" s="18" t="str">
        <f t="shared" si="1"/>
        <v>표준 10기통</v>
      </c>
      <c r="H44" s="18">
        <v>1</v>
      </c>
      <c r="I44" s="18">
        <v>1</v>
      </c>
      <c r="J44" s="18" cm="1">
        <f t="array" ref="J44">H44*VLOOKUP($G44, Factor!$Y$4:$AA$36, 2, 0)*INDEX(Factor!$Y$41:$AA$87, _xlfn.XMATCH($C44, Factor!$Y$41:$Y$87, -1), 2)</f>
        <v>70</v>
      </c>
      <c r="K44" s="18" cm="1">
        <f t="array" ref="K44">I44*VLOOKUP($G44, Factor!$Y$4:$AA$36, 3, 0)*INDEX(Factor!$Y$41:$AA$87, _xlfn.XMATCH($C44, Factor!$Y$41:$Y$87, -1), 3)</f>
        <v>4200</v>
      </c>
      <c r="L44" s="19"/>
    </row>
    <row r="45" spans="1:12" ht="15.75" customHeight="1" x14ac:dyDescent="0.2">
      <c r="A45" s="14" t="str">
        <f>"engine_"&amp;VLOOKUP(F45, Factor!$BW$4:$BX$6, 2, 0)&amp;"_"&amp;D45&amp;"_"&amp;VLOOKUP(E45, Factor!$BY$4:$BZ$13, 2, 0)</f>
        <v>engine_No_T3_005</v>
      </c>
      <c r="B45" s="15" t="str">
        <f t="shared" si="2"/>
        <v>T3 표준 12기통엔진팩</v>
      </c>
      <c r="C45" s="15">
        <f>VLOOKUP(D45, Factor!$X$41:$Y$50, 2, 0)</f>
        <v>3000</v>
      </c>
      <c r="D45" s="15" t="s">
        <v>299</v>
      </c>
      <c r="E45" s="15" t="s">
        <v>661</v>
      </c>
      <c r="F45" s="56" t="s">
        <v>582</v>
      </c>
      <c r="G45" s="15" t="str">
        <f t="shared" si="1"/>
        <v>표준 12기통</v>
      </c>
      <c r="H45" s="15">
        <v>1</v>
      </c>
      <c r="I45" s="15">
        <v>1</v>
      </c>
      <c r="J45" s="15" cm="1">
        <f t="array" ref="J45">H45*VLOOKUP($G45, Factor!$Y$4:$AA$36, 2, 0)*INDEX(Factor!$Y$41:$AA$87, _xlfn.XMATCH($C45, Factor!$Y$41:$Y$87, -1), 2)</f>
        <v>98</v>
      </c>
      <c r="K45" s="15" cm="1">
        <f t="array" ref="K45">I45*VLOOKUP($G45, Factor!$Y$4:$AA$36, 3, 0)*INDEX(Factor!$Y$41:$AA$87, _xlfn.XMATCH($C45, Factor!$Y$41:$Y$87, -1), 3)</f>
        <v>5600</v>
      </c>
      <c r="L45" s="16"/>
    </row>
    <row r="46" spans="1:12" ht="15.75" customHeight="1" x14ac:dyDescent="0.2">
      <c r="A46" s="17" t="str">
        <f>"engine_"&amp;VLOOKUP(F46, Factor!$BW$4:$BX$6, 2, 0)&amp;"_"&amp;D46&amp;"_"&amp;VLOOKUP(E46, Factor!$BY$4:$BZ$13, 2, 0)</f>
        <v>engine_No_T3_006</v>
      </c>
      <c r="B46" s="18" t="str">
        <f t="shared" si="2"/>
        <v>T3 표준 군용엔진팩</v>
      </c>
      <c r="C46" s="18">
        <f>VLOOKUP(D46, Factor!$X$41:$Y$50, 2, 0)</f>
        <v>3000</v>
      </c>
      <c r="D46" s="18" t="s">
        <v>299</v>
      </c>
      <c r="E46" s="18" t="s">
        <v>591</v>
      </c>
      <c r="F46" s="55" t="s">
        <v>582</v>
      </c>
      <c r="G46" s="18" t="str">
        <f t="shared" si="1"/>
        <v>표준 군용</v>
      </c>
      <c r="H46" s="18">
        <v>1</v>
      </c>
      <c r="I46" s="18">
        <v>1</v>
      </c>
      <c r="J46" s="18" cm="1">
        <f t="array" ref="J46">H46*VLOOKUP($G46, Factor!$Y$4:$AA$36, 2, 0)*INDEX(Factor!$Y$41:$AA$87, _xlfn.XMATCH($C46, Factor!$Y$41:$Y$87, -1), 2)</f>
        <v>125.99999999999999</v>
      </c>
      <c r="K46" s="18" cm="1">
        <f t="array" ref="K46">I46*VLOOKUP($G46, Factor!$Y$4:$AA$36, 3, 0)*INDEX(Factor!$Y$41:$AA$87, _xlfn.XMATCH($C46, Factor!$Y$41:$Y$87, -1), 3)</f>
        <v>8400</v>
      </c>
      <c r="L46" s="19"/>
    </row>
    <row r="47" spans="1:12" ht="15.75" customHeight="1" x14ac:dyDescent="0.2">
      <c r="A47" s="14" t="str">
        <f>"engine_"&amp;VLOOKUP(F47, Factor!$BW$4:$BX$6, 2, 0)&amp;"_"&amp;D47&amp;"_"&amp;VLOOKUP(E47, Factor!$BY$4:$BZ$13, 2, 0)</f>
        <v>engine_Hi_T3_001</v>
      </c>
      <c r="B47" s="15" t="str">
        <f t="shared" si="2"/>
        <v>T3 고성능 4기통엔진팩</v>
      </c>
      <c r="C47" s="15">
        <f>VLOOKUP(D47, Factor!$X$41:$Y$50, 2, 0)</f>
        <v>3000</v>
      </c>
      <c r="D47" s="15" t="s">
        <v>299</v>
      </c>
      <c r="E47" s="15" t="s">
        <v>662</v>
      </c>
      <c r="F47" s="56" t="s">
        <v>644</v>
      </c>
      <c r="G47" s="15" t="str">
        <f t="shared" si="1"/>
        <v>고성능 4기통</v>
      </c>
      <c r="H47" s="15">
        <v>1</v>
      </c>
      <c r="I47" s="15">
        <v>1</v>
      </c>
      <c r="J47" s="15" cm="1">
        <f t="array" ref="J47">H47*VLOOKUP($G47, Factor!$Y$4:$AA$36, 2, 0)*INDEX(Factor!$Y$41:$AA$87, _xlfn.XMATCH($C47, Factor!$Y$41:$Y$87, -1), 2)</f>
        <v>28</v>
      </c>
      <c r="K47" s="15" cm="1">
        <f t="array" ref="K47">I47*VLOOKUP($G47, Factor!$Y$4:$AA$36, 3, 0)*INDEX(Factor!$Y$41:$AA$87, _xlfn.XMATCH($C47, Factor!$Y$41:$Y$87, -1), 3)</f>
        <v>2520</v>
      </c>
      <c r="L47" s="16"/>
    </row>
    <row r="48" spans="1:12" ht="15.75" customHeight="1" x14ac:dyDescent="0.2">
      <c r="A48" s="17" t="str">
        <f>"engine_"&amp;VLOOKUP(F48, Factor!$BW$4:$BX$6, 2, 0)&amp;"_"&amp;D48&amp;"_"&amp;VLOOKUP(E48, Factor!$BY$4:$BZ$13, 2, 0)</f>
        <v>engine_Hi_T3_002</v>
      </c>
      <c r="B48" s="18" t="str">
        <f t="shared" si="2"/>
        <v>T3 고성능 6기통엔진팩</v>
      </c>
      <c r="C48" s="18">
        <f>VLOOKUP(D48, Factor!$X$41:$Y$50, 2, 0)</f>
        <v>3000</v>
      </c>
      <c r="D48" s="18" t="s">
        <v>299</v>
      </c>
      <c r="E48" s="18" t="s">
        <v>658</v>
      </c>
      <c r="F48" s="55" t="s">
        <v>644</v>
      </c>
      <c r="G48" s="18" t="str">
        <f t="shared" si="1"/>
        <v>고성능 6기통</v>
      </c>
      <c r="H48" s="18">
        <v>1</v>
      </c>
      <c r="I48" s="18">
        <v>1</v>
      </c>
      <c r="J48" s="18" cm="1">
        <f t="array" ref="J48">H48*VLOOKUP($G48, Factor!$Y$4:$AA$36, 2, 0)*INDEX(Factor!$Y$41:$AA$87, _xlfn.XMATCH($C48, Factor!$Y$41:$Y$87, -1), 2)</f>
        <v>56</v>
      </c>
      <c r="K48" s="18" cm="1">
        <f t="array" ref="K48">I48*VLOOKUP($G48, Factor!$Y$4:$AA$36, 3, 0)*INDEX(Factor!$Y$41:$AA$87, _xlfn.XMATCH($C48, Factor!$Y$41:$Y$87, -1), 3)</f>
        <v>4200</v>
      </c>
      <c r="L48" s="19"/>
    </row>
    <row r="49" spans="1:12" ht="15.75" customHeight="1" x14ac:dyDescent="0.2">
      <c r="A49" s="14" t="str">
        <f>"engine_"&amp;VLOOKUP(F49, Factor!$BW$4:$BX$6, 2, 0)&amp;"_"&amp;D49&amp;"_"&amp;VLOOKUP(E49, Factor!$BY$4:$BZ$13, 2, 0)</f>
        <v>engine_Hi_T3_003</v>
      </c>
      <c r="B49" s="15" t="str">
        <f t="shared" si="2"/>
        <v>T3 고성능 8기통엔진팩</v>
      </c>
      <c r="C49" s="15">
        <f>VLOOKUP(D49, Factor!$X$41:$Y$50, 2, 0)</f>
        <v>3000</v>
      </c>
      <c r="D49" s="15" t="s">
        <v>299</v>
      </c>
      <c r="E49" s="15" t="s">
        <v>659</v>
      </c>
      <c r="F49" s="56" t="s">
        <v>644</v>
      </c>
      <c r="G49" s="15" t="str">
        <f t="shared" si="1"/>
        <v>고성능 8기통</v>
      </c>
      <c r="H49" s="15">
        <v>1</v>
      </c>
      <c r="I49" s="15">
        <v>1</v>
      </c>
      <c r="J49" s="15" cm="1">
        <f t="array" ref="J49">H49*VLOOKUP($G49, Factor!$Y$4:$AA$36, 2, 0)*INDEX(Factor!$Y$41:$AA$87, _xlfn.XMATCH($C49, Factor!$Y$41:$Y$87, -1), 2)</f>
        <v>84</v>
      </c>
      <c r="K49" s="15" cm="1">
        <f t="array" ref="K49">I49*VLOOKUP($G49, Factor!$Y$4:$AA$36, 3, 0)*INDEX(Factor!$Y$41:$AA$87, _xlfn.XMATCH($C49, Factor!$Y$41:$Y$87, -1), 3)</f>
        <v>5600</v>
      </c>
      <c r="L49" s="16"/>
    </row>
    <row r="50" spans="1:12" ht="15.75" customHeight="1" x14ac:dyDescent="0.2">
      <c r="A50" s="17" t="str">
        <f>"engine_"&amp;VLOOKUP(F50, Factor!$BW$4:$BX$6, 2, 0)&amp;"_"&amp;D50&amp;"_"&amp;VLOOKUP(E50, Factor!$BY$4:$BZ$13, 2, 0)</f>
        <v>engine_Hi_T3_004</v>
      </c>
      <c r="B50" s="18" t="str">
        <f t="shared" si="2"/>
        <v>T3 고성능 10기통엔진팩</v>
      </c>
      <c r="C50" s="18">
        <f>VLOOKUP(D50, Factor!$X$41:$Y$50, 2, 0)</f>
        <v>3000</v>
      </c>
      <c r="D50" s="18" t="s">
        <v>299</v>
      </c>
      <c r="E50" s="18" t="s">
        <v>660</v>
      </c>
      <c r="F50" s="55" t="s">
        <v>644</v>
      </c>
      <c r="G50" s="18" t="str">
        <f t="shared" si="1"/>
        <v>고성능 10기통</v>
      </c>
      <c r="H50" s="18">
        <v>1</v>
      </c>
      <c r="I50" s="18">
        <v>1</v>
      </c>
      <c r="J50" s="18" cm="1">
        <f t="array" ref="J50">H50*VLOOKUP($G50, Factor!$Y$4:$AA$36, 2, 0)*INDEX(Factor!$Y$41:$AA$87, _xlfn.XMATCH($C50, Factor!$Y$41:$Y$87, -1), 2)</f>
        <v>70</v>
      </c>
      <c r="K50" s="18" cm="1">
        <f t="array" ref="K50">I50*VLOOKUP($G50, Factor!$Y$4:$AA$36, 3, 0)*INDEX(Factor!$Y$41:$AA$87, _xlfn.XMATCH($C50, Factor!$Y$41:$Y$87, -1), 3)</f>
        <v>4200</v>
      </c>
      <c r="L50" s="19"/>
    </row>
    <row r="51" spans="1:12" ht="15.75" customHeight="1" x14ac:dyDescent="0.2">
      <c r="A51" s="14" t="str">
        <f>"engine_"&amp;VLOOKUP(F51, Factor!$BW$4:$BX$6, 2, 0)&amp;"_"&amp;D51&amp;"_"&amp;VLOOKUP(E51, Factor!$BY$4:$BZ$13, 2, 0)</f>
        <v>engine_Hi_T3_005</v>
      </c>
      <c r="B51" s="15" t="str">
        <f t="shared" si="2"/>
        <v>T3 고성능 12기통엔진팩</v>
      </c>
      <c r="C51" s="15">
        <f>VLOOKUP(D51, Factor!$X$41:$Y$50, 2, 0)</f>
        <v>3000</v>
      </c>
      <c r="D51" s="15" t="s">
        <v>299</v>
      </c>
      <c r="E51" s="15" t="s">
        <v>661</v>
      </c>
      <c r="F51" s="56" t="s">
        <v>644</v>
      </c>
      <c r="G51" s="15" t="str">
        <f t="shared" si="1"/>
        <v>고성능 12기통</v>
      </c>
      <c r="H51" s="15">
        <v>1</v>
      </c>
      <c r="I51" s="15">
        <v>1</v>
      </c>
      <c r="J51" s="15" cm="1">
        <f t="array" ref="J51">H51*VLOOKUP($G51, Factor!$Y$4:$AA$36, 2, 0)*INDEX(Factor!$Y$41:$AA$87, _xlfn.XMATCH($C51, Factor!$Y$41:$Y$87, -1), 2)</f>
        <v>168</v>
      </c>
      <c r="K51" s="15" cm="1">
        <f t="array" ref="K51">I51*VLOOKUP($G51, Factor!$Y$4:$AA$36, 3, 0)*INDEX(Factor!$Y$41:$AA$87, _xlfn.XMATCH($C51, Factor!$Y$41:$Y$87, -1), 3)</f>
        <v>8400</v>
      </c>
      <c r="L51" s="16"/>
    </row>
    <row r="52" spans="1:12" ht="15.75" customHeight="1" x14ac:dyDescent="0.2">
      <c r="A52" s="17" t="str">
        <f>"engine_"&amp;VLOOKUP(F52, Factor!$BW$4:$BX$6, 2, 0)&amp;"_"&amp;D52&amp;"_"&amp;VLOOKUP(E52, Factor!$BY$4:$BZ$13, 2, 0)</f>
        <v>engine_Hi_T3_006</v>
      </c>
      <c r="B52" s="18" t="str">
        <f t="shared" si="2"/>
        <v>T3 고성능 군용엔진팩</v>
      </c>
      <c r="C52" s="18">
        <f>VLOOKUP(D52, Factor!$X$41:$Y$50, 2, 0)</f>
        <v>3000</v>
      </c>
      <c r="D52" s="18" t="s">
        <v>299</v>
      </c>
      <c r="E52" s="18" t="s">
        <v>591</v>
      </c>
      <c r="F52" s="55" t="s">
        <v>644</v>
      </c>
      <c r="G52" s="18" t="str">
        <f t="shared" si="1"/>
        <v>고성능 군용</v>
      </c>
      <c r="H52" s="18">
        <v>1</v>
      </c>
      <c r="I52" s="18">
        <v>1</v>
      </c>
      <c r="J52" s="18" cm="1">
        <f t="array" ref="J52">H52*VLOOKUP($G52, Factor!$Y$4:$AA$36, 2, 0)*INDEX(Factor!$Y$41:$AA$87, _xlfn.XMATCH($C52, Factor!$Y$41:$Y$87, -1), 2)</f>
        <v>210</v>
      </c>
      <c r="K52" s="18" cm="1">
        <f t="array" ref="K52">I52*VLOOKUP($G52, Factor!$Y$4:$AA$36, 3, 0)*INDEX(Factor!$Y$41:$AA$87, _xlfn.XMATCH($C52, Factor!$Y$41:$Y$87, -1), 3)</f>
        <v>16800</v>
      </c>
      <c r="L52" s="19"/>
    </row>
    <row r="53" spans="1:12" ht="15.75" customHeight="1" x14ac:dyDescent="0.2">
      <c r="A53" s="14" t="str">
        <f>"engine_"&amp;VLOOKUP(F53, Factor!$BW$4:$BX$6, 2, 0)&amp;"_"&amp;D53&amp;"_"&amp;VLOOKUP(E53, Factor!$BY$4:$BZ$13, 2, 0)</f>
        <v>engine_Li_T3_001</v>
      </c>
      <c r="B53" s="15" t="str">
        <f t="shared" si="2"/>
        <v>T3 경량형 4기통엔진팩</v>
      </c>
      <c r="C53" s="15">
        <f>VLOOKUP(D53, Factor!$X$41:$Y$50, 2, 0)</f>
        <v>3000</v>
      </c>
      <c r="D53" s="15" t="s">
        <v>299</v>
      </c>
      <c r="E53" s="15" t="s">
        <v>662</v>
      </c>
      <c r="F53" s="56" t="s">
        <v>657</v>
      </c>
      <c r="G53" s="15" t="str">
        <f t="shared" si="1"/>
        <v>경량형 4기통</v>
      </c>
      <c r="H53" s="15">
        <v>1</v>
      </c>
      <c r="I53" s="15">
        <v>1</v>
      </c>
      <c r="J53" s="15" cm="1">
        <f t="array" ref="J53">H53*VLOOKUP($G53, Factor!$Y$4:$AA$36, 2, 0)*INDEX(Factor!$Y$41:$AA$87, _xlfn.XMATCH($C53, Factor!$Y$41:$Y$87, -1), 2)</f>
        <v>9.7999999999999989</v>
      </c>
      <c r="K53" s="15" cm="1">
        <f t="array" ref="K53">I53*VLOOKUP($G53, Factor!$Y$4:$AA$36, 3, 0)*INDEX(Factor!$Y$41:$AA$87, _xlfn.XMATCH($C53, Factor!$Y$41:$Y$87, -1), 3)</f>
        <v>420</v>
      </c>
      <c r="L53" s="16"/>
    </row>
    <row r="54" spans="1:12" ht="15.75" customHeight="1" x14ac:dyDescent="0.2">
      <c r="A54" s="17" t="str">
        <f>"engine_"&amp;VLOOKUP(F54, Factor!$BW$4:$BX$6, 2, 0)&amp;"_"&amp;D54&amp;"_"&amp;VLOOKUP(E54, Factor!$BY$4:$BZ$13, 2, 0)</f>
        <v>engine_Li_T3_002</v>
      </c>
      <c r="B54" s="18" t="str">
        <f t="shared" si="2"/>
        <v>T3 경량형 6기통엔진팩</v>
      </c>
      <c r="C54" s="18">
        <f>VLOOKUP(D54, Factor!$X$41:$Y$50, 2, 0)</f>
        <v>3000</v>
      </c>
      <c r="D54" s="18" t="s">
        <v>299</v>
      </c>
      <c r="E54" s="18" t="s">
        <v>658</v>
      </c>
      <c r="F54" s="55" t="s">
        <v>657</v>
      </c>
      <c r="G54" s="18" t="str">
        <f t="shared" si="1"/>
        <v>경량형 6기통</v>
      </c>
      <c r="H54" s="18">
        <v>1</v>
      </c>
      <c r="I54" s="18">
        <v>1</v>
      </c>
      <c r="J54" s="18" cm="1">
        <f t="array" ref="J54">H54*VLOOKUP($G54, Factor!$Y$4:$AA$36, 2, 0)*INDEX(Factor!$Y$41:$AA$87, _xlfn.XMATCH($C54, Factor!$Y$41:$Y$87, -1), 2)</f>
        <v>21</v>
      </c>
      <c r="K54" s="18" cm="1">
        <f t="array" ref="K54">I54*VLOOKUP($G54, Factor!$Y$4:$AA$36, 3, 0)*INDEX(Factor!$Y$41:$AA$87, _xlfn.XMATCH($C54, Factor!$Y$41:$Y$87, -1), 3)</f>
        <v>979.99999999999989</v>
      </c>
      <c r="L54" s="19"/>
    </row>
    <row r="55" spans="1:12" ht="15.75" customHeight="1" x14ac:dyDescent="0.2">
      <c r="A55" s="14" t="str">
        <f>"engine_"&amp;VLOOKUP(F55, Factor!$BW$4:$BX$6, 2, 0)&amp;"_"&amp;D55&amp;"_"&amp;VLOOKUP(E55, Factor!$BY$4:$BZ$13, 2, 0)</f>
        <v>engine_Li_T3_003</v>
      </c>
      <c r="B55" s="15" t="str">
        <f t="shared" si="2"/>
        <v>T3 경량형 8기통엔진팩</v>
      </c>
      <c r="C55" s="15">
        <f>VLOOKUP(D55, Factor!$X$41:$Y$50, 2, 0)</f>
        <v>3000</v>
      </c>
      <c r="D55" s="15" t="s">
        <v>299</v>
      </c>
      <c r="E55" s="15" t="s">
        <v>659</v>
      </c>
      <c r="F55" s="56" t="s">
        <v>657</v>
      </c>
      <c r="G55" s="15" t="str">
        <f t="shared" si="1"/>
        <v>경량형 8기통</v>
      </c>
      <c r="H55" s="15">
        <v>1</v>
      </c>
      <c r="I55" s="15">
        <v>1</v>
      </c>
      <c r="J55" s="15" cm="1">
        <f t="array" ref="J55">H55*VLOOKUP($G55, Factor!$Y$4:$AA$36, 2, 0)*INDEX(Factor!$Y$41:$AA$87, _xlfn.XMATCH($C55, Factor!$Y$41:$Y$87, -1), 2)</f>
        <v>42</v>
      </c>
      <c r="K55" s="15" cm="1">
        <f t="array" ref="K55">I55*VLOOKUP($G55, Factor!$Y$4:$AA$36, 3, 0)*INDEX(Factor!$Y$41:$AA$87, _xlfn.XMATCH($C55, Factor!$Y$41:$Y$87, -1), 3)</f>
        <v>1680</v>
      </c>
      <c r="L55" s="16"/>
    </row>
    <row r="56" spans="1:12" ht="15.75" customHeight="1" x14ac:dyDescent="0.2">
      <c r="A56" s="17" t="str">
        <f>"engine_"&amp;VLOOKUP(F56, Factor!$BW$4:$BX$6, 2, 0)&amp;"_"&amp;D56&amp;"_"&amp;VLOOKUP(E56, Factor!$BY$4:$BZ$13, 2, 0)</f>
        <v>engine_Li_T3_004</v>
      </c>
      <c r="B56" s="18" t="str">
        <f t="shared" si="2"/>
        <v>T3 경량형 10기통엔진팩</v>
      </c>
      <c r="C56" s="18">
        <f>VLOOKUP(D56, Factor!$X$41:$Y$50, 2, 0)</f>
        <v>3000</v>
      </c>
      <c r="D56" s="18" t="s">
        <v>299</v>
      </c>
      <c r="E56" s="18" t="s">
        <v>660</v>
      </c>
      <c r="F56" s="55" t="s">
        <v>657</v>
      </c>
      <c r="G56" s="18" t="str">
        <f t="shared" si="1"/>
        <v>경량형 10기통</v>
      </c>
      <c r="H56" s="18">
        <v>1</v>
      </c>
      <c r="I56" s="18">
        <v>1</v>
      </c>
      <c r="J56" s="18" cm="1">
        <f t="array" ref="J56">H56*VLOOKUP($G56, Factor!$Y$4:$AA$36, 2, 0)*INDEX(Factor!$Y$41:$AA$87, _xlfn.XMATCH($C56, Factor!$Y$41:$Y$87, -1), 2)</f>
        <v>56</v>
      </c>
      <c r="K56" s="18" cm="1">
        <f t="array" ref="K56">I56*VLOOKUP($G56, Factor!$Y$4:$AA$36, 3, 0)*INDEX(Factor!$Y$41:$AA$87, _xlfn.XMATCH($C56, Factor!$Y$41:$Y$87, -1), 3)</f>
        <v>2520</v>
      </c>
      <c r="L56" s="19"/>
    </row>
    <row r="57" spans="1:12" ht="15.75" customHeight="1" x14ac:dyDescent="0.2">
      <c r="A57" s="14" t="str">
        <f>"engine_"&amp;VLOOKUP(F57, Factor!$BW$4:$BX$6, 2, 0)&amp;"_"&amp;D57&amp;"_"&amp;VLOOKUP(E57, Factor!$BY$4:$BZ$13, 2, 0)</f>
        <v>engine_Li_T3_005</v>
      </c>
      <c r="B57" s="15" t="str">
        <f t="shared" si="2"/>
        <v>T3 경량형 12기통엔진팩</v>
      </c>
      <c r="C57" s="15">
        <f>VLOOKUP(D57, Factor!$X$41:$Y$50, 2, 0)</f>
        <v>3000</v>
      </c>
      <c r="D57" s="15" t="s">
        <v>299</v>
      </c>
      <c r="E57" s="15" t="s">
        <v>661</v>
      </c>
      <c r="F57" s="56" t="s">
        <v>657</v>
      </c>
      <c r="G57" s="15" t="str">
        <f t="shared" si="1"/>
        <v>경량형 12기통</v>
      </c>
      <c r="H57" s="15">
        <v>1</v>
      </c>
      <c r="I57" s="15">
        <v>1</v>
      </c>
      <c r="J57" s="15" cm="1">
        <f t="array" ref="J57">H57*VLOOKUP($G57, Factor!$Y$4:$AA$36, 2, 0)*INDEX(Factor!$Y$41:$AA$87, _xlfn.XMATCH($C57, Factor!$Y$41:$Y$87, -1), 2)</f>
        <v>84</v>
      </c>
      <c r="K57" s="15" cm="1">
        <f t="array" ref="K57">I57*VLOOKUP($G57, Factor!$Y$4:$AA$36, 3, 0)*INDEX(Factor!$Y$41:$AA$87, _xlfn.XMATCH($C57, Factor!$Y$41:$Y$87, -1), 3)</f>
        <v>3500</v>
      </c>
      <c r="L57" s="16"/>
    </row>
    <row r="58" spans="1:12" ht="15.75" customHeight="1" x14ac:dyDescent="0.2">
      <c r="A58" s="17" t="str">
        <f>"engine_"&amp;VLOOKUP(F58, Factor!$BW$4:$BX$6, 2, 0)&amp;"_"&amp;D58&amp;"_"&amp;VLOOKUP(E58, Factor!$BY$4:$BZ$13, 2, 0)</f>
        <v>engine_Li_T3_006</v>
      </c>
      <c r="B58" s="18" t="str">
        <f t="shared" si="2"/>
        <v>T3 경량형 군용엔진팩</v>
      </c>
      <c r="C58" s="18">
        <f>VLOOKUP(D58, Factor!$X$41:$Y$50, 2, 0)</f>
        <v>3000</v>
      </c>
      <c r="D58" s="18" t="s">
        <v>299</v>
      </c>
      <c r="E58" s="18" t="s">
        <v>591</v>
      </c>
      <c r="F58" s="55" t="s">
        <v>657</v>
      </c>
      <c r="G58" s="18" t="str">
        <f t="shared" si="1"/>
        <v>경량형 군용</v>
      </c>
      <c r="H58" s="18">
        <v>1</v>
      </c>
      <c r="I58" s="18">
        <v>1</v>
      </c>
      <c r="J58" s="18" cm="1">
        <f t="array" ref="J58">H58*VLOOKUP($G58, Factor!$Y$4:$AA$36, 2, 0)*INDEX(Factor!$Y$41:$AA$87, _xlfn.XMATCH($C58, Factor!$Y$41:$Y$87, -1), 2)</f>
        <v>98</v>
      </c>
      <c r="K58" s="18" cm="1">
        <f t="array" ref="K58">I58*VLOOKUP($G58, Factor!$Y$4:$AA$36, 3, 0)*INDEX(Factor!$Y$41:$AA$87, _xlfn.XMATCH($C58, Factor!$Y$41:$Y$87, -1), 3)</f>
        <v>4200</v>
      </c>
      <c r="L58" s="19"/>
    </row>
    <row r="59" spans="1:12" ht="15.75" customHeight="1" x14ac:dyDescent="0.2">
      <c r="A59" s="14" t="str">
        <f>"engine_"&amp;VLOOKUP(F59, Factor!$BW$4:$BX$6, 2, 0)&amp;"_"&amp;D59&amp;"_"&amp;VLOOKUP(E59, Factor!$BY$4:$BZ$13, 2, 0)</f>
        <v>engine_No_T4_001</v>
      </c>
      <c r="B59" s="15" t="str">
        <f t="shared" si="2"/>
        <v>T4 표준 4기통엔진팩</v>
      </c>
      <c r="C59" s="15">
        <f>VLOOKUP(D59, Factor!$X$41:$Y$50, 2, 0)</f>
        <v>4000</v>
      </c>
      <c r="D59" s="15" t="s">
        <v>323</v>
      </c>
      <c r="E59" s="15" t="s">
        <v>662</v>
      </c>
      <c r="F59" s="56" t="s">
        <v>582</v>
      </c>
      <c r="G59" s="15" t="str">
        <f t="shared" si="1"/>
        <v>표준 4기통</v>
      </c>
      <c r="H59" s="15">
        <v>1</v>
      </c>
      <c r="I59" s="15">
        <v>1</v>
      </c>
      <c r="J59" s="15" cm="1">
        <f t="array" ref="J59">H59*VLOOKUP($G59, Factor!$Y$4:$AA$36, 2, 0)*INDEX(Factor!$Y$41:$AA$87, _xlfn.XMATCH($C59, Factor!$Y$41:$Y$87, -1), 2)</f>
        <v>16</v>
      </c>
      <c r="K59" s="15" cm="1">
        <f t="array" ref="K59">I59*VLOOKUP($G59, Factor!$Y$4:$AA$36, 3, 0)*INDEX(Factor!$Y$41:$AA$87, _xlfn.XMATCH($C59, Factor!$Y$41:$Y$87, -1), 3)</f>
        <v>800</v>
      </c>
      <c r="L59" s="16"/>
    </row>
    <row r="60" spans="1:12" ht="15.75" customHeight="1" x14ac:dyDescent="0.2">
      <c r="A60" s="17" t="str">
        <f>"engine_"&amp;VLOOKUP(F60, Factor!$BW$4:$BX$6, 2, 0)&amp;"_"&amp;D60&amp;"_"&amp;VLOOKUP(E60, Factor!$BY$4:$BZ$13, 2, 0)</f>
        <v>engine_No_T4_002</v>
      </c>
      <c r="B60" s="18" t="str">
        <f t="shared" si="2"/>
        <v>T4 표준 6기통엔진팩</v>
      </c>
      <c r="C60" s="18">
        <f>VLOOKUP(D60, Factor!$X$41:$Y$50, 2, 0)</f>
        <v>4000</v>
      </c>
      <c r="D60" s="18" t="s">
        <v>323</v>
      </c>
      <c r="E60" s="18" t="s">
        <v>658</v>
      </c>
      <c r="F60" s="55" t="s">
        <v>582</v>
      </c>
      <c r="G60" s="18" t="str">
        <f t="shared" si="1"/>
        <v>표준 6기통</v>
      </c>
      <c r="H60" s="18">
        <v>1</v>
      </c>
      <c r="I60" s="18">
        <v>1</v>
      </c>
      <c r="J60" s="18" cm="1">
        <f t="array" ref="J60">H60*VLOOKUP($G60, Factor!$Y$4:$AA$36, 2, 0)*INDEX(Factor!$Y$41:$AA$87, _xlfn.XMATCH($C60, Factor!$Y$41:$Y$87, -1), 2)</f>
        <v>32</v>
      </c>
      <c r="K60" s="18" cm="1">
        <f t="array" ref="K60">I60*VLOOKUP($G60, Factor!$Y$4:$AA$36, 3, 0)*INDEX(Factor!$Y$41:$AA$87, _xlfn.XMATCH($C60, Factor!$Y$41:$Y$87, -1), 3)</f>
        <v>1600</v>
      </c>
      <c r="L60" s="19"/>
    </row>
    <row r="61" spans="1:12" ht="15.75" customHeight="1" x14ac:dyDescent="0.2">
      <c r="A61" s="14" t="str">
        <f>"engine_"&amp;VLOOKUP(F61, Factor!$BW$4:$BX$6, 2, 0)&amp;"_"&amp;D61&amp;"_"&amp;VLOOKUP(E61, Factor!$BY$4:$BZ$13, 2, 0)</f>
        <v>engine_No_T4_003</v>
      </c>
      <c r="B61" s="15" t="str">
        <f t="shared" si="2"/>
        <v>T4 표준 8기통엔진팩</v>
      </c>
      <c r="C61" s="15">
        <f>VLOOKUP(D61, Factor!$X$41:$Y$50, 2, 0)</f>
        <v>4000</v>
      </c>
      <c r="D61" s="15" t="s">
        <v>300</v>
      </c>
      <c r="E61" s="15" t="s">
        <v>659</v>
      </c>
      <c r="F61" s="56" t="s">
        <v>582</v>
      </c>
      <c r="G61" s="15" t="str">
        <f t="shared" si="1"/>
        <v>표준 8기통</v>
      </c>
      <c r="H61" s="15">
        <v>1</v>
      </c>
      <c r="I61" s="15">
        <v>1</v>
      </c>
      <c r="J61" s="15" cm="1">
        <f t="array" ref="J61">H61*VLOOKUP($G61, Factor!$Y$4:$AA$36, 2, 0)*INDEX(Factor!$Y$41:$AA$87, _xlfn.XMATCH($C61, Factor!$Y$41:$Y$87, -1), 2)</f>
        <v>64</v>
      </c>
      <c r="K61" s="15" cm="1">
        <f t="array" ref="K61">I61*VLOOKUP($G61, Factor!$Y$4:$AA$36, 3, 0)*INDEX(Factor!$Y$41:$AA$87, _xlfn.XMATCH($C61, Factor!$Y$41:$Y$87, -1), 3)</f>
        <v>3200</v>
      </c>
      <c r="L61" s="16"/>
    </row>
    <row r="62" spans="1:12" ht="15.75" customHeight="1" x14ac:dyDescent="0.2">
      <c r="A62" s="17" t="str">
        <f>"engine_"&amp;VLOOKUP(F62, Factor!$BW$4:$BX$6, 2, 0)&amp;"_"&amp;D62&amp;"_"&amp;VLOOKUP(E62, Factor!$BY$4:$BZ$13, 2, 0)</f>
        <v>engine_No_T4_004</v>
      </c>
      <c r="B62" s="18" t="str">
        <f t="shared" si="2"/>
        <v>T4 표준 10기통엔진팩</v>
      </c>
      <c r="C62" s="18">
        <f>VLOOKUP(D62, Factor!$X$41:$Y$50, 2, 0)</f>
        <v>4000</v>
      </c>
      <c r="D62" s="18" t="s">
        <v>300</v>
      </c>
      <c r="E62" s="18" t="s">
        <v>660</v>
      </c>
      <c r="F62" s="55" t="s">
        <v>582</v>
      </c>
      <c r="G62" s="18" t="str">
        <f t="shared" si="1"/>
        <v>표준 10기통</v>
      </c>
      <c r="H62" s="18">
        <v>1</v>
      </c>
      <c r="I62" s="18">
        <v>1</v>
      </c>
      <c r="J62" s="18" cm="1">
        <f t="array" ref="J62">H62*VLOOKUP($G62, Factor!$Y$4:$AA$36, 2, 0)*INDEX(Factor!$Y$41:$AA$87, _xlfn.XMATCH($C62, Factor!$Y$41:$Y$87, -1), 2)</f>
        <v>80</v>
      </c>
      <c r="K62" s="18" cm="1">
        <f t="array" ref="K62">I62*VLOOKUP($G62, Factor!$Y$4:$AA$36, 3, 0)*INDEX(Factor!$Y$41:$AA$87, _xlfn.XMATCH($C62, Factor!$Y$41:$Y$87, -1), 3)</f>
        <v>4800</v>
      </c>
      <c r="L62" s="19"/>
    </row>
    <row r="63" spans="1:12" ht="15.75" customHeight="1" x14ac:dyDescent="0.2">
      <c r="A63" s="14" t="str">
        <f>"engine_"&amp;VLOOKUP(F63, Factor!$BW$4:$BX$6, 2, 0)&amp;"_"&amp;D63&amp;"_"&amp;VLOOKUP(E63, Factor!$BY$4:$BZ$13, 2, 0)</f>
        <v>engine_No_T4_005</v>
      </c>
      <c r="B63" s="15" t="str">
        <f t="shared" si="2"/>
        <v>T4 표준 12기통엔진팩</v>
      </c>
      <c r="C63" s="15">
        <f>VLOOKUP(D63, Factor!$X$41:$Y$50, 2, 0)</f>
        <v>4000</v>
      </c>
      <c r="D63" s="15" t="s">
        <v>300</v>
      </c>
      <c r="E63" s="15" t="s">
        <v>661</v>
      </c>
      <c r="F63" s="56" t="s">
        <v>582</v>
      </c>
      <c r="G63" s="15" t="str">
        <f t="shared" si="1"/>
        <v>표준 12기통</v>
      </c>
      <c r="H63" s="15">
        <v>1</v>
      </c>
      <c r="I63" s="15">
        <v>1</v>
      </c>
      <c r="J63" s="15" cm="1">
        <f t="array" ref="J63">H63*VLOOKUP($G63, Factor!$Y$4:$AA$36, 2, 0)*INDEX(Factor!$Y$41:$AA$87, _xlfn.XMATCH($C63, Factor!$Y$41:$Y$87, -1), 2)</f>
        <v>112</v>
      </c>
      <c r="K63" s="15" cm="1">
        <f t="array" ref="K63">I63*VLOOKUP($G63, Factor!$Y$4:$AA$36, 3, 0)*INDEX(Factor!$Y$41:$AA$87, _xlfn.XMATCH($C63, Factor!$Y$41:$Y$87, -1), 3)</f>
        <v>6400</v>
      </c>
      <c r="L63" s="16"/>
    </row>
    <row r="64" spans="1:12" ht="15.75" customHeight="1" x14ac:dyDescent="0.2">
      <c r="A64" s="17" t="str">
        <f>"engine_"&amp;VLOOKUP(F64, Factor!$BW$4:$BX$6, 2, 0)&amp;"_"&amp;D64&amp;"_"&amp;VLOOKUP(E64, Factor!$BY$4:$BZ$13, 2, 0)</f>
        <v>engine_No_T4_006</v>
      </c>
      <c r="B64" s="18" t="str">
        <f t="shared" si="2"/>
        <v>T4 표준 군용엔진팩</v>
      </c>
      <c r="C64" s="18">
        <f>VLOOKUP(D64, Factor!$X$41:$Y$50, 2, 0)</f>
        <v>4000</v>
      </c>
      <c r="D64" s="18" t="s">
        <v>300</v>
      </c>
      <c r="E64" s="18" t="s">
        <v>591</v>
      </c>
      <c r="F64" s="55" t="s">
        <v>582</v>
      </c>
      <c r="G64" s="18" t="str">
        <f t="shared" si="1"/>
        <v>표준 군용</v>
      </c>
      <c r="H64" s="18">
        <v>1</v>
      </c>
      <c r="I64" s="18">
        <v>1</v>
      </c>
      <c r="J64" s="18" cm="1">
        <f t="array" ref="J64">H64*VLOOKUP($G64, Factor!$Y$4:$AA$36, 2, 0)*INDEX(Factor!$Y$41:$AA$87, _xlfn.XMATCH($C64, Factor!$Y$41:$Y$87, -1), 2)</f>
        <v>144</v>
      </c>
      <c r="K64" s="18" cm="1">
        <f t="array" ref="K64">I64*VLOOKUP($G64, Factor!$Y$4:$AA$36, 3, 0)*INDEX(Factor!$Y$41:$AA$87, _xlfn.XMATCH($C64, Factor!$Y$41:$Y$87, -1), 3)</f>
        <v>9600</v>
      </c>
      <c r="L64" s="19"/>
    </row>
    <row r="65" spans="1:12" ht="15.75" customHeight="1" x14ac:dyDescent="0.2">
      <c r="A65" s="14" t="str">
        <f>"engine_"&amp;VLOOKUP(F65, Factor!$BW$4:$BX$6, 2, 0)&amp;"_"&amp;D65&amp;"_"&amp;VLOOKUP(E65, Factor!$BY$4:$BZ$13, 2, 0)</f>
        <v>engine_Hi_T4_001</v>
      </c>
      <c r="B65" s="15" t="str">
        <f t="shared" si="2"/>
        <v>T4 고성능 4기통엔진팩</v>
      </c>
      <c r="C65" s="15">
        <f>VLOOKUP(D65, Factor!$X$41:$Y$50, 2, 0)</f>
        <v>4000</v>
      </c>
      <c r="D65" s="15" t="s">
        <v>300</v>
      </c>
      <c r="E65" s="15" t="s">
        <v>662</v>
      </c>
      <c r="F65" s="56" t="s">
        <v>644</v>
      </c>
      <c r="G65" s="15" t="str">
        <f t="shared" si="1"/>
        <v>고성능 4기통</v>
      </c>
      <c r="H65" s="15">
        <v>1</v>
      </c>
      <c r="I65" s="15">
        <v>1</v>
      </c>
      <c r="J65" s="15" cm="1">
        <f t="array" ref="J65">H65*VLOOKUP($G65, Factor!$Y$4:$AA$36, 2, 0)*INDEX(Factor!$Y$41:$AA$87, _xlfn.XMATCH($C65, Factor!$Y$41:$Y$87, -1), 2)</f>
        <v>32</v>
      </c>
      <c r="K65" s="15" cm="1">
        <f t="array" ref="K65">I65*VLOOKUP($G65, Factor!$Y$4:$AA$36, 3, 0)*INDEX(Factor!$Y$41:$AA$87, _xlfn.XMATCH($C65, Factor!$Y$41:$Y$87, -1), 3)</f>
        <v>2880</v>
      </c>
      <c r="L65" s="16"/>
    </row>
    <row r="66" spans="1:12" ht="15.75" customHeight="1" x14ac:dyDescent="0.2">
      <c r="A66" s="17" t="str">
        <f>"engine_"&amp;VLOOKUP(F66, Factor!$BW$4:$BX$6, 2, 0)&amp;"_"&amp;D66&amp;"_"&amp;VLOOKUP(E66, Factor!$BY$4:$BZ$13, 2, 0)</f>
        <v>engine_Hi_T4_002</v>
      </c>
      <c r="B66" s="18" t="str">
        <f t="shared" si="2"/>
        <v>T4 고성능 6기통엔진팩</v>
      </c>
      <c r="C66" s="18">
        <f>VLOOKUP(D66, Factor!$X$41:$Y$50, 2, 0)</f>
        <v>4000</v>
      </c>
      <c r="D66" s="18" t="s">
        <v>300</v>
      </c>
      <c r="E66" s="18" t="s">
        <v>658</v>
      </c>
      <c r="F66" s="55" t="s">
        <v>644</v>
      </c>
      <c r="G66" s="18" t="str">
        <f t="shared" si="1"/>
        <v>고성능 6기통</v>
      </c>
      <c r="H66" s="18">
        <v>1</v>
      </c>
      <c r="I66" s="18">
        <v>1</v>
      </c>
      <c r="J66" s="18" cm="1">
        <f t="array" ref="J66">H66*VLOOKUP($G66, Factor!$Y$4:$AA$36, 2, 0)*INDEX(Factor!$Y$41:$AA$87, _xlfn.XMATCH($C66, Factor!$Y$41:$Y$87, -1), 2)</f>
        <v>64</v>
      </c>
      <c r="K66" s="18" cm="1">
        <f t="array" ref="K66">I66*VLOOKUP($G66, Factor!$Y$4:$AA$36, 3, 0)*INDEX(Factor!$Y$41:$AA$87, _xlfn.XMATCH($C66, Factor!$Y$41:$Y$87, -1), 3)</f>
        <v>4800</v>
      </c>
      <c r="L66" s="19"/>
    </row>
    <row r="67" spans="1:12" ht="15.75" customHeight="1" x14ac:dyDescent="0.2">
      <c r="A67" s="14" t="str">
        <f>"engine_"&amp;VLOOKUP(F67, Factor!$BW$4:$BX$6, 2, 0)&amp;"_"&amp;D67&amp;"_"&amp;VLOOKUP(E67, Factor!$BY$4:$BZ$13, 2, 0)</f>
        <v>engine_Hi_T4_003</v>
      </c>
      <c r="B67" s="15" t="str">
        <f t="shared" si="2"/>
        <v>T4 고성능 8기통엔진팩</v>
      </c>
      <c r="C67" s="15">
        <f>VLOOKUP(D67, Factor!$X$41:$Y$50, 2, 0)</f>
        <v>4000</v>
      </c>
      <c r="D67" s="15" t="s">
        <v>300</v>
      </c>
      <c r="E67" s="15" t="s">
        <v>659</v>
      </c>
      <c r="F67" s="56" t="s">
        <v>644</v>
      </c>
      <c r="G67" s="15" t="str">
        <f t="shared" si="1"/>
        <v>고성능 8기통</v>
      </c>
      <c r="H67" s="15">
        <v>1</v>
      </c>
      <c r="I67" s="15">
        <v>1</v>
      </c>
      <c r="J67" s="15" cm="1">
        <f t="array" ref="J67">H67*VLOOKUP($G67, Factor!$Y$4:$AA$36, 2, 0)*INDEX(Factor!$Y$41:$AA$87, _xlfn.XMATCH($C67, Factor!$Y$41:$Y$87, -1), 2)</f>
        <v>96</v>
      </c>
      <c r="K67" s="15" cm="1">
        <f t="array" ref="K67">I67*VLOOKUP($G67, Factor!$Y$4:$AA$36, 3, 0)*INDEX(Factor!$Y$41:$AA$87, _xlfn.XMATCH($C67, Factor!$Y$41:$Y$87, -1), 3)</f>
        <v>6400</v>
      </c>
      <c r="L67" s="16"/>
    </row>
    <row r="68" spans="1:12" ht="15.75" customHeight="1" x14ac:dyDescent="0.2">
      <c r="A68" s="17" t="str">
        <f>"engine_"&amp;VLOOKUP(F68, Factor!$BW$4:$BX$6, 2, 0)&amp;"_"&amp;D68&amp;"_"&amp;VLOOKUP(E68, Factor!$BY$4:$BZ$13, 2, 0)</f>
        <v>engine_Hi_T4_004</v>
      </c>
      <c r="B68" s="18" t="str">
        <f t="shared" si="2"/>
        <v>T4 고성능 10기통엔진팩</v>
      </c>
      <c r="C68" s="18">
        <f>VLOOKUP(D68, Factor!$X$41:$Y$50, 2, 0)</f>
        <v>4000</v>
      </c>
      <c r="D68" s="18" t="s">
        <v>300</v>
      </c>
      <c r="E68" s="18" t="s">
        <v>660</v>
      </c>
      <c r="F68" s="55" t="s">
        <v>644</v>
      </c>
      <c r="G68" s="18" t="str">
        <f t="shared" si="1"/>
        <v>고성능 10기통</v>
      </c>
      <c r="H68" s="18">
        <v>1</v>
      </c>
      <c r="I68" s="18">
        <v>1</v>
      </c>
      <c r="J68" s="18" cm="1">
        <f t="array" ref="J68">H68*VLOOKUP($G68, Factor!$Y$4:$AA$36, 2, 0)*INDEX(Factor!$Y$41:$AA$87, _xlfn.XMATCH($C68, Factor!$Y$41:$Y$87, -1), 2)</f>
        <v>80</v>
      </c>
      <c r="K68" s="18" cm="1">
        <f t="array" ref="K68">I68*VLOOKUP($G68, Factor!$Y$4:$AA$36, 3, 0)*INDEX(Factor!$Y$41:$AA$87, _xlfn.XMATCH($C68, Factor!$Y$41:$Y$87, -1), 3)</f>
        <v>4800</v>
      </c>
      <c r="L68" s="19"/>
    </row>
    <row r="69" spans="1:12" ht="15.75" customHeight="1" x14ac:dyDescent="0.2">
      <c r="A69" s="14" t="str">
        <f>"engine_"&amp;VLOOKUP(F69, Factor!$BW$4:$BX$6, 2, 0)&amp;"_"&amp;D69&amp;"_"&amp;VLOOKUP(E69, Factor!$BY$4:$BZ$13, 2, 0)</f>
        <v>engine_Hi_T4_005</v>
      </c>
      <c r="B69" s="15" t="str">
        <f t="shared" si="2"/>
        <v>T4 고성능 12기통엔진팩</v>
      </c>
      <c r="C69" s="15">
        <f>VLOOKUP(D69, Factor!$X$41:$Y$50, 2, 0)</f>
        <v>4000</v>
      </c>
      <c r="D69" s="15" t="s">
        <v>300</v>
      </c>
      <c r="E69" s="15" t="s">
        <v>661</v>
      </c>
      <c r="F69" s="56" t="s">
        <v>644</v>
      </c>
      <c r="G69" s="15" t="str">
        <f t="shared" si="1"/>
        <v>고성능 12기통</v>
      </c>
      <c r="H69" s="15">
        <v>1</v>
      </c>
      <c r="I69" s="15">
        <v>1</v>
      </c>
      <c r="J69" s="15" cm="1">
        <f t="array" ref="J69">H69*VLOOKUP($G69, Factor!$Y$4:$AA$36, 2, 0)*INDEX(Factor!$Y$41:$AA$87, _xlfn.XMATCH($C69, Factor!$Y$41:$Y$87, -1), 2)</f>
        <v>192</v>
      </c>
      <c r="K69" s="15" cm="1">
        <f t="array" ref="K69">I69*VLOOKUP($G69, Factor!$Y$4:$AA$36, 3, 0)*INDEX(Factor!$Y$41:$AA$87, _xlfn.XMATCH($C69, Factor!$Y$41:$Y$87, -1), 3)</f>
        <v>9600</v>
      </c>
      <c r="L69" s="16"/>
    </row>
    <row r="70" spans="1:12" ht="15.75" customHeight="1" x14ac:dyDescent="0.2">
      <c r="A70" s="17" t="str">
        <f>"engine_"&amp;VLOOKUP(F70, Factor!$BW$4:$BX$6, 2, 0)&amp;"_"&amp;D70&amp;"_"&amp;VLOOKUP(E70, Factor!$BY$4:$BZ$13, 2, 0)</f>
        <v>engine_Hi_T4_006</v>
      </c>
      <c r="B70" s="18" t="str">
        <f t="shared" si="2"/>
        <v>T4 고성능 군용엔진팩</v>
      </c>
      <c r="C70" s="18">
        <f>VLOOKUP(D70, Factor!$X$41:$Y$50, 2, 0)</f>
        <v>4000</v>
      </c>
      <c r="D70" s="18" t="s">
        <v>300</v>
      </c>
      <c r="E70" s="18" t="s">
        <v>591</v>
      </c>
      <c r="F70" s="55" t="s">
        <v>644</v>
      </c>
      <c r="G70" s="18" t="str">
        <f t="shared" ref="G70:G133" si="3">F70&amp;" "&amp;E70</f>
        <v>고성능 군용</v>
      </c>
      <c r="H70" s="18">
        <v>1</v>
      </c>
      <c r="I70" s="18">
        <v>1</v>
      </c>
      <c r="J70" s="18" cm="1">
        <f t="array" ref="J70">H70*VLOOKUP($G70, Factor!$Y$4:$AA$36, 2, 0)*INDEX(Factor!$Y$41:$AA$87, _xlfn.XMATCH($C70, Factor!$Y$41:$Y$87, -1), 2)</f>
        <v>240</v>
      </c>
      <c r="K70" s="18" cm="1">
        <f t="array" ref="K70">I70*VLOOKUP($G70, Factor!$Y$4:$AA$36, 3, 0)*INDEX(Factor!$Y$41:$AA$87, _xlfn.XMATCH($C70, Factor!$Y$41:$Y$87, -1), 3)</f>
        <v>19200</v>
      </c>
      <c r="L70" s="19"/>
    </row>
    <row r="71" spans="1:12" ht="15.75" customHeight="1" x14ac:dyDescent="0.2">
      <c r="A71" s="14" t="str">
        <f>"engine_"&amp;VLOOKUP(F71, Factor!$BW$4:$BX$6, 2, 0)&amp;"_"&amp;D71&amp;"_"&amp;VLOOKUP(E71, Factor!$BY$4:$BZ$13, 2, 0)</f>
        <v>engine_Li_T4_001</v>
      </c>
      <c r="B71" s="15" t="str">
        <f t="shared" si="2"/>
        <v>T4 경량형 4기통엔진팩</v>
      </c>
      <c r="C71" s="15">
        <f>VLOOKUP(D71, Factor!$X$41:$Y$50, 2, 0)</f>
        <v>4000</v>
      </c>
      <c r="D71" s="15" t="s">
        <v>300</v>
      </c>
      <c r="E71" s="15" t="s">
        <v>662</v>
      </c>
      <c r="F71" s="56" t="s">
        <v>657</v>
      </c>
      <c r="G71" s="15" t="str">
        <f t="shared" si="3"/>
        <v>경량형 4기통</v>
      </c>
      <c r="H71" s="15">
        <v>1</v>
      </c>
      <c r="I71" s="15">
        <v>1</v>
      </c>
      <c r="J71" s="15" cm="1">
        <f t="array" ref="J71">H71*VLOOKUP($G71, Factor!$Y$4:$AA$36, 2, 0)*INDEX(Factor!$Y$41:$AA$87, _xlfn.XMATCH($C71, Factor!$Y$41:$Y$87, -1), 2)</f>
        <v>11.200000000000001</v>
      </c>
      <c r="K71" s="15" cm="1">
        <f t="array" ref="K71">I71*VLOOKUP($G71, Factor!$Y$4:$AA$36, 3, 0)*INDEX(Factor!$Y$41:$AA$87, _xlfn.XMATCH($C71, Factor!$Y$41:$Y$87, -1), 3)</f>
        <v>480</v>
      </c>
      <c r="L71" s="16"/>
    </row>
    <row r="72" spans="1:12" ht="15.75" customHeight="1" x14ac:dyDescent="0.2">
      <c r="A72" s="17" t="str">
        <f>"engine_"&amp;VLOOKUP(F72, Factor!$BW$4:$BX$6, 2, 0)&amp;"_"&amp;D72&amp;"_"&amp;VLOOKUP(E72, Factor!$BY$4:$BZ$13, 2, 0)</f>
        <v>engine_Li_T4_002</v>
      </c>
      <c r="B72" s="18" t="str">
        <f t="shared" si="2"/>
        <v>T4 경량형 6기통엔진팩</v>
      </c>
      <c r="C72" s="18">
        <f>VLOOKUP(D72, Factor!$X$41:$Y$50, 2, 0)</f>
        <v>4000</v>
      </c>
      <c r="D72" s="18" t="s">
        <v>300</v>
      </c>
      <c r="E72" s="18" t="s">
        <v>658</v>
      </c>
      <c r="F72" s="55" t="s">
        <v>657</v>
      </c>
      <c r="G72" s="18" t="str">
        <f t="shared" si="3"/>
        <v>경량형 6기통</v>
      </c>
      <c r="H72" s="18">
        <v>1</v>
      </c>
      <c r="I72" s="18">
        <v>1</v>
      </c>
      <c r="J72" s="18" cm="1">
        <f t="array" ref="J72">H72*VLOOKUP($G72, Factor!$Y$4:$AA$36, 2, 0)*INDEX(Factor!$Y$41:$AA$87, _xlfn.XMATCH($C72, Factor!$Y$41:$Y$87, -1), 2)</f>
        <v>24</v>
      </c>
      <c r="K72" s="18" cm="1">
        <f t="array" ref="K72">I72*VLOOKUP($G72, Factor!$Y$4:$AA$36, 3, 0)*INDEX(Factor!$Y$41:$AA$87, _xlfn.XMATCH($C72, Factor!$Y$41:$Y$87, -1), 3)</f>
        <v>1120</v>
      </c>
      <c r="L72" s="19"/>
    </row>
    <row r="73" spans="1:12" ht="15.75" customHeight="1" x14ac:dyDescent="0.2">
      <c r="A73" s="14" t="str">
        <f>"engine_"&amp;VLOOKUP(F73, Factor!$BW$4:$BX$6, 2, 0)&amp;"_"&amp;D73&amp;"_"&amp;VLOOKUP(E73, Factor!$BY$4:$BZ$13, 2, 0)</f>
        <v>engine_Li_T4_003</v>
      </c>
      <c r="B73" s="15" t="str">
        <f t="shared" si="2"/>
        <v>T4 경량형 8기통엔진팩</v>
      </c>
      <c r="C73" s="15">
        <f>VLOOKUP(D73, Factor!$X$41:$Y$50, 2, 0)</f>
        <v>4000</v>
      </c>
      <c r="D73" s="15" t="s">
        <v>300</v>
      </c>
      <c r="E73" s="15" t="s">
        <v>659</v>
      </c>
      <c r="F73" s="56" t="s">
        <v>657</v>
      </c>
      <c r="G73" s="15" t="str">
        <f t="shared" si="3"/>
        <v>경량형 8기통</v>
      </c>
      <c r="H73" s="15">
        <v>1</v>
      </c>
      <c r="I73" s="15">
        <v>1</v>
      </c>
      <c r="J73" s="15" cm="1">
        <f t="array" ref="J73">H73*VLOOKUP($G73, Factor!$Y$4:$AA$36, 2, 0)*INDEX(Factor!$Y$41:$AA$87, _xlfn.XMATCH($C73, Factor!$Y$41:$Y$87, -1), 2)</f>
        <v>48</v>
      </c>
      <c r="K73" s="15" cm="1">
        <f t="array" ref="K73">I73*VLOOKUP($G73, Factor!$Y$4:$AA$36, 3, 0)*INDEX(Factor!$Y$41:$AA$87, _xlfn.XMATCH($C73, Factor!$Y$41:$Y$87, -1), 3)</f>
        <v>1920</v>
      </c>
      <c r="L73" s="16"/>
    </row>
    <row r="74" spans="1:12" ht="15.75" customHeight="1" x14ac:dyDescent="0.2">
      <c r="A74" s="17" t="str">
        <f>"engine_"&amp;VLOOKUP(F74, Factor!$BW$4:$BX$6, 2, 0)&amp;"_"&amp;D74&amp;"_"&amp;VLOOKUP(E74, Factor!$BY$4:$BZ$13, 2, 0)</f>
        <v>engine_Li_T4_004</v>
      </c>
      <c r="B74" s="18" t="str">
        <f t="shared" si="2"/>
        <v>T4 경량형 10기통엔진팩</v>
      </c>
      <c r="C74" s="18">
        <f>VLOOKUP(D74, Factor!$X$41:$Y$50, 2, 0)</f>
        <v>4000</v>
      </c>
      <c r="D74" s="18" t="s">
        <v>300</v>
      </c>
      <c r="E74" s="18" t="s">
        <v>660</v>
      </c>
      <c r="F74" s="55" t="s">
        <v>657</v>
      </c>
      <c r="G74" s="18" t="str">
        <f t="shared" si="3"/>
        <v>경량형 10기통</v>
      </c>
      <c r="H74" s="18">
        <v>1</v>
      </c>
      <c r="I74" s="18">
        <v>1</v>
      </c>
      <c r="J74" s="18" cm="1">
        <f t="array" ref="J74">H74*VLOOKUP($G74, Factor!$Y$4:$AA$36, 2, 0)*INDEX(Factor!$Y$41:$AA$87, _xlfn.XMATCH($C74, Factor!$Y$41:$Y$87, -1), 2)</f>
        <v>64</v>
      </c>
      <c r="K74" s="18" cm="1">
        <f t="array" ref="K74">I74*VLOOKUP($G74, Factor!$Y$4:$AA$36, 3, 0)*INDEX(Factor!$Y$41:$AA$87, _xlfn.XMATCH($C74, Factor!$Y$41:$Y$87, -1), 3)</f>
        <v>2880</v>
      </c>
      <c r="L74" s="19"/>
    </row>
    <row r="75" spans="1:12" ht="15.75" customHeight="1" x14ac:dyDescent="0.2">
      <c r="A75" s="14" t="str">
        <f>"engine_"&amp;VLOOKUP(F75, Factor!$BW$4:$BX$6, 2, 0)&amp;"_"&amp;D75&amp;"_"&amp;VLOOKUP(E75, Factor!$BY$4:$BZ$13, 2, 0)</f>
        <v>engine_Li_T4_005</v>
      </c>
      <c r="B75" s="15" t="str">
        <f t="shared" si="2"/>
        <v>T4 경량형 12기통엔진팩</v>
      </c>
      <c r="C75" s="15">
        <f>VLOOKUP(D75, Factor!$X$41:$Y$50, 2, 0)</f>
        <v>4000</v>
      </c>
      <c r="D75" s="15" t="s">
        <v>300</v>
      </c>
      <c r="E75" s="15" t="s">
        <v>661</v>
      </c>
      <c r="F75" s="56" t="s">
        <v>657</v>
      </c>
      <c r="G75" s="15" t="str">
        <f t="shared" si="3"/>
        <v>경량형 12기통</v>
      </c>
      <c r="H75" s="15">
        <v>1</v>
      </c>
      <c r="I75" s="15">
        <v>1</v>
      </c>
      <c r="J75" s="15" cm="1">
        <f t="array" ref="J75">H75*VLOOKUP($G75, Factor!$Y$4:$AA$36, 2, 0)*INDEX(Factor!$Y$41:$AA$87, _xlfn.XMATCH($C75, Factor!$Y$41:$Y$87, -1), 2)</f>
        <v>96</v>
      </c>
      <c r="K75" s="15" cm="1">
        <f t="array" ref="K75">I75*VLOOKUP($G75, Factor!$Y$4:$AA$36, 3, 0)*INDEX(Factor!$Y$41:$AA$87, _xlfn.XMATCH($C75, Factor!$Y$41:$Y$87, -1), 3)</f>
        <v>4000</v>
      </c>
      <c r="L75" s="16"/>
    </row>
    <row r="76" spans="1:12" ht="15.75" customHeight="1" x14ac:dyDescent="0.2">
      <c r="A76" s="17" t="str">
        <f>"engine_"&amp;VLOOKUP(F76, Factor!$BW$4:$BX$6, 2, 0)&amp;"_"&amp;D76&amp;"_"&amp;VLOOKUP(E76, Factor!$BY$4:$BZ$13, 2, 0)</f>
        <v>engine_Li_T4_006</v>
      </c>
      <c r="B76" s="18" t="str">
        <f t="shared" si="2"/>
        <v>T4 경량형 군용엔진팩</v>
      </c>
      <c r="C76" s="18">
        <f>VLOOKUP(D76, Factor!$X$41:$Y$50, 2, 0)</f>
        <v>4000</v>
      </c>
      <c r="D76" s="18" t="s">
        <v>300</v>
      </c>
      <c r="E76" s="18" t="s">
        <v>591</v>
      </c>
      <c r="F76" s="55" t="s">
        <v>657</v>
      </c>
      <c r="G76" s="18" t="str">
        <f t="shared" si="3"/>
        <v>경량형 군용</v>
      </c>
      <c r="H76" s="18">
        <v>1</v>
      </c>
      <c r="I76" s="18">
        <v>1</v>
      </c>
      <c r="J76" s="18" cm="1">
        <f t="array" ref="J76">H76*VLOOKUP($G76, Factor!$Y$4:$AA$36, 2, 0)*INDEX(Factor!$Y$41:$AA$87, _xlfn.XMATCH($C76, Factor!$Y$41:$Y$87, -1), 2)</f>
        <v>112</v>
      </c>
      <c r="K76" s="18" cm="1">
        <f t="array" ref="K76">I76*VLOOKUP($G76, Factor!$Y$4:$AA$36, 3, 0)*INDEX(Factor!$Y$41:$AA$87, _xlfn.XMATCH($C76, Factor!$Y$41:$Y$87, -1), 3)</f>
        <v>4800</v>
      </c>
      <c r="L76" s="19"/>
    </row>
    <row r="77" spans="1:12" ht="15.75" customHeight="1" x14ac:dyDescent="0.2">
      <c r="A77" s="14" t="str">
        <f>"engine_"&amp;VLOOKUP(F77, Factor!$BW$4:$BX$6, 2, 0)&amp;"_"&amp;D77&amp;"_"&amp;VLOOKUP(E77, Factor!$BY$4:$BZ$13, 2, 0)</f>
        <v>engine_No_T5_001</v>
      </c>
      <c r="B77" s="15" t="str">
        <f t="shared" si="2"/>
        <v>T5 표준 4기통엔진팩</v>
      </c>
      <c r="C77" s="15">
        <f>VLOOKUP(D77, Factor!$X$41:$Y$50, 2, 0)</f>
        <v>5000</v>
      </c>
      <c r="D77" s="15" t="s">
        <v>301</v>
      </c>
      <c r="E77" s="15" t="s">
        <v>662</v>
      </c>
      <c r="F77" s="56" t="s">
        <v>582</v>
      </c>
      <c r="G77" s="15" t="str">
        <f t="shared" si="3"/>
        <v>표준 4기통</v>
      </c>
      <c r="H77" s="15">
        <v>1</v>
      </c>
      <c r="I77" s="15">
        <v>1</v>
      </c>
      <c r="J77" s="15" cm="1">
        <f t="array" ref="J77">H77*VLOOKUP($G77, Factor!$Y$4:$AA$36, 2, 0)*INDEX(Factor!$Y$41:$AA$87, _xlfn.XMATCH($C77, Factor!$Y$41:$Y$87, -1), 2)</f>
        <v>18</v>
      </c>
      <c r="K77" s="15" cm="1">
        <f t="array" ref="K77">I77*VLOOKUP($G77, Factor!$Y$4:$AA$36, 3, 0)*INDEX(Factor!$Y$41:$AA$87, _xlfn.XMATCH($C77, Factor!$Y$41:$Y$87, -1), 3)</f>
        <v>900</v>
      </c>
      <c r="L77" s="16"/>
    </row>
    <row r="78" spans="1:12" ht="15.75" customHeight="1" x14ac:dyDescent="0.2">
      <c r="A78" s="17" t="str">
        <f>"engine_"&amp;VLOOKUP(F78, Factor!$BW$4:$BX$6, 2, 0)&amp;"_"&amp;D78&amp;"_"&amp;VLOOKUP(E78, Factor!$BY$4:$BZ$13, 2, 0)</f>
        <v>engine_No_T5_002</v>
      </c>
      <c r="B78" s="18" t="str">
        <f t="shared" si="2"/>
        <v>T5 표준 6기통엔진팩</v>
      </c>
      <c r="C78" s="18">
        <f>VLOOKUP(D78, Factor!$X$41:$Y$50, 2, 0)</f>
        <v>5000</v>
      </c>
      <c r="D78" s="18" t="s">
        <v>301</v>
      </c>
      <c r="E78" s="18" t="s">
        <v>658</v>
      </c>
      <c r="F78" s="55" t="s">
        <v>582</v>
      </c>
      <c r="G78" s="18" t="str">
        <f t="shared" si="3"/>
        <v>표준 6기통</v>
      </c>
      <c r="H78" s="18">
        <v>1</v>
      </c>
      <c r="I78" s="18">
        <v>1</v>
      </c>
      <c r="J78" s="18" cm="1">
        <f t="array" ref="J78">H78*VLOOKUP($G78, Factor!$Y$4:$AA$36, 2, 0)*INDEX(Factor!$Y$41:$AA$87, _xlfn.XMATCH($C78, Factor!$Y$41:$Y$87, -1), 2)</f>
        <v>36</v>
      </c>
      <c r="K78" s="18" cm="1">
        <f t="array" ref="K78">I78*VLOOKUP($G78, Factor!$Y$4:$AA$36, 3, 0)*INDEX(Factor!$Y$41:$AA$87, _xlfn.XMATCH($C78, Factor!$Y$41:$Y$87, -1), 3)</f>
        <v>1800</v>
      </c>
      <c r="L78" s="19"/>
    </row>
    <row r="79" spans="1:12" ht="15.75" customHeight="1" x14ac:dyDescent="0.2">
      <c r="A79" s="14" t="str">
        <f>"engine_"&amp;VLOOKUP(F79, Factor!$BW$4:$BX$6, 2, 0)&amp;"_"&amp;D79&amp;"_"&amp;VLOOKUP(E79, Factor!$BY$4:$BZ$13, 2, 0)</f>
        <v>engine_No_T5_003</v>
      </c>
      <c r="B79" s="15" t="str">
        <f t="shared" si="2"/>
        <v>T5 표준 8기통엔진팩</v>
      </c>
      <c r="C79" s="15">
        <f>VLOOKUP(D79, Factor!$X$41:$Y$50, 2, 0)</f>
        <v>5000</v>
      </c>
      <c r="D79" s="15" t="s">
        <v>301</v>
      </c>
      <c r="E79" s="15" t="s">
        <v>659</v>
      </c>
      <c r="F79" s="56" t="s">
        <v>582</v>
      </c>
      <c r="G79" s="15" t="str">
        <f t="shared" si="3"/>
        <v>표준 8기통</v>
      </c>
      <c r="H79" s="15">
        <v>1</v>
      </c>
      <c r="I79" s="15">
        <v>1</v>
      </c>
      <c r="J79" s="15" cm="1">
        <f t="array" ref="J79">H79*VLOOKUP($G79, Factor!$Y$4:$AA$36, 2, 0)*INDEX(Factor!$Y$41:$AA$87, _xlfn.XMATCH($C79, Factor!$Y$41:$Y$87, -1), 2)</f>
        <v>72</v>
      </c>
      <c r="K79" s="15" cm="1">
        <f t="array" ref="K79">I79*VLOOKUP($G79, Factor!$Y$4:$AA$36, 3, 0)*INDEX(Factor!$Y$41:$AA$87, _xlfn.XMATCH($C79, Factor!$Y$41:$Y$87, -1), 3)</f>
        <v>3600</v>
      </c>
      <c r="L79" s="16"/>
    </row>
    <row r="80" spans="1:12" ht="15.75" customHeight="1" x14ac:dyDescent="0.2">
      <c r="A80" s="17" t="str">
        <f>"engine_"&amp;VLOOKUP(F80, Factor!$BW$4:$BX$6, 2, 0)&amp;"_"&amp;D80&amp;"_"&amp;VLOOKUP(E80, Factor!$BY$4:$BZ$13, 2, 0)</f>
        <v>engine_No_T5_004</v>
      </c>
      <c r="B80" s="18" t="str">
        <f t="shared" si="2"/>
        <v>T5 표준 10기통엔진팩</v>
      </c>
      <c r="C80" s="18">
        <f>VLOOKUP(D80, Factor!$X$41:$Y$50, 2, 0)</f>
        <v>5000</v>
      </c>
      <c r="D80" s="18" t="s">
        <v>301</v>
      </c>
      <c r="E80" s="18" t="s">
        <v>660</v>
      </c>
      <c r="F80" s="55" t="s">
        <v>582</v>
      </c>
      <c r="G80" s="18" t="str">
        <f t="shared" si="3"/>
        <v>표준 10기통</v>
      </c>
      <c r="H80" s="18">
        <v>1</v>
      </c>
      <c r="I80" s="18">
        <v>1</v>
      </c>
      <c r="J80" s="18" cm="1">
        <f t="array" ref="J80">H80*VLOOKUP($G80, Factor!$Y$4:$AA$36, 2, 0)*INDEX(Factor!$Y$41:$AA$87, _xlfn.XMATCH($C80, Factor!$Y$41:$Y$87, -1), 2)</f>
        <v>90</v>
      </c>
      <c r="K80" s="18" cm="1">
        <f t="array" ref="K80">I80*VLOOKUP($G80, Factor!$Y$4:$AA$36, 3, 0)*INDEX(Factor!$Y$41:$AA$87, _xlfn.XMATCH($C80, Factor!$Y$41:$Y$87, -1), 3)</f>
        <v>5400</v>
      </c>
      <c r="L80" s="19"/>
    </row>
    <row r="81" spans="1:12" ht="15.75" customHeight="1" x14ac:dyDescent="0.2">
      <c r="A81" s="14" t="str">
        <f>"engine_"&amp;VLOOKUP(F81, Factor!$BW$4:$BX$6, 2, 0)&amp;"_"&amp;D81&amp;"_"&amp;VLOOKUP(E81, Factor!$BY$4:$BZ$13, 2, 0)</f>
        <v>engine_No_T5_005</v>
      </c>
      <c r="B81" s="15" t="str">
        <f t="shared" si="2"/>
        <v>T5 표준 12기통엔진팩</v>
      </c>
      <c r="C81" s="15">
        <f>VLOOKUP(D81, Factor!$X$41:$Y$50, 2, 0)</f>
        <v>5000</v>
      </c>
      <c r="D81" s="15" t="s">
        <v>301</v>
      </c>
      <c r="E81" s="15" t="s">
        <v>661</v>
      </c>
      <c r="F81" s="56" t="s">
        <v>582</v>
      </c>
      <c r="G81" s="15" t="str">
        <f t="shared" si="3"/>
        <v>표준 12기통</v>
      </c>
      <c r="H81" s="15">
        <v>1</v>
      </c>
      <c r="I81" s="15">
        <v>1</v>
      </c>
      <c r="J81" s="15" cm="1">
        <f t="array" ref="J81">H81*VLOOKUP($G81, Factor!$Y$4:$AA$36, 2, 0)*INDEX(Factor!$Y$41:$AA$87, _xlfn.XMATCH($C81, Factor!$Y$41:$Y$87, -1), 2)</f>
        <v>126</v>
      </c>
      <c r="K81" s="15" cm="1">
        <f t="array" ref="K81">I81*VLOOKUP($G81, Factor!$Y$4:$AA$36, 3, 0)*INDEX(Factor!$Y$41:$AA$87, _xlfn.XMATCH($C81, Factor!$Y$41:$Y$87, -1), 3)</f>
        <v>7200</v>
      </c>
      <c r="L81" s="16"/>
    </row>
    <row r="82" spans="1:12" ht="15.75" customHeight="1" x14ac:dyDescent="0.2">
      <c r="A82" s="17" t="str">
        <f>"engine_"&amp;VLOOKUP(F82, Factor!$BW$4:$BX$6, 2, 0)&amp;"_"&amp;D82&amp;"_"&amp;VLOOKUP(E82, Factor!$BY$4:$BZ$13, 2, 0)</f>
        <v>engine_No_T5_006</v>
      </c>
      <c r="B82" s="18" t="str">
        <f t="shared" si="2"/>
        <v>T5 표준 군용엔진팩</v>
      </c>
      <c r="C82" s="18">
        <f>VLOOKUP(D82, Factor!$X$41:$Y$50, 2, 0)</f>
        <v>5000</v>
      </c>
      <c r="D82" s="18" t="s">
        <v>301</v>
      </c>
      <c r="E82" s="18" t="s">
        <v>591</v>
      </c>
      <c r="F82" s="55" t="s">
        <v>582</v>
      </c>
      <c r="G82" s="18" t="str">
        <f t="shared" si="3"/>
        <v>표준 군용</v>
      </c>
      <c r="H82" s="18">
        <v>1</v>
      </c>
      <c r="I82" s="18">
        <v>1</v>
      </c>
      <c r="J82" s="18" cm="1">
        <f t="array" ref="J82">H82*VLOOKUP($G82, Factor!$Y$4:$AA$36, 2, 0)*INDEX(Factor!$Y$41:$AA$87, _xlfn.XMATCH($C82, Factor!$Y$41:$Y$87, -1), 2)</f>
        <v>162</v>
      </c>
      <c r="K82" s="18" cm="1">
        <f t="array" ref="K82">I82*VLOOKUP($G82, Factor!$Y$4:$AA$36, 3, 0)*INDEX(Factor!$Y$41:$AA$87, _xlfn.XMATCH($C82, Factor!$Y$41:$Y$87, -1), 3)</f>
        <v>10800</v>
      </c>
      <c r="L82" s="19"/>
    </row>
    <row r="83" spans="1:12" ht="15.75" customHeight="1" x14ac:dyDescent="0.2">
      <c r="A83" s="14" t="str">
        <f>"engine_"&amp;VLOOKUP(F83, Factor!$BW$4:$BX$6, 2, 0)&amp;"_"&amp;D83&amp;"_"&amp;VLOOKUP(E83, Factor!$BY$4:$BZ$13, 2, 0)</f>
        <v>engine_Hi_T5_001</v>
      </c>
      <c r="B83" s="15" t="str">
        <f t="shared" si="2"/>
        <v>T5 고성능 4기통엔진팩</v>
      </c>
      <c r="C83" s="15">
        <f>VLOOKUP(D83, Factor!$X$41:$Y$50, 2, 0)</f>
        <v>5000</v>
      </c>
      <c r="D83" s="15" t="s">
        <v>301</v>
      </c>
      <c r="E83" s="15" t="s">
        <v>662</v>
      </c>
      <c r="F83" s="56" t="s">
        <v>644</v>
      </c>
      <c r="G83" s="15" t="str">
        <f t="shared" si="3"/>
        <v>고성능 4기통</v>
      </c>
      <c r="H83" s="15">
        <v>1</v>
      </c>
      <c r="I83" s="15">
        <v>1</v>
      </c>
      <c r="J83" s="15" cm="1">
        <f t="array" ref="J83">H83*VLOOKUP($G83, Factor!$Y$4:$AA$36, 2, 0)*INDEX(Factor!$Y$41:$AA$87, _xlfn.XMATCH($C83, Factor!$Y$41:$Y$87, -1), 2)</f>
        <v>36</v>
      </c>
      <c r="K83" s="15" cm="1">
        <f t="array" ref="K83">I83*VLOOKUP($G83, Factor!$Y$4:$AA$36, 3, 0)*INDEX(Factor!$Y$41:$AA$87, _xlfn.XMATCH($C83, Factor!$Y$41:$Y$87, -1), 3)</f>
        <v>3240</v>
      </c>
      <c r="L83" s="16"/>
    </row>
    <row r="84" spans="1:12" ht="15.75" customHeight="1" x14ac:dyDescent="0.2">
      <c r="A84" s="17" t="str">
        <f>"engine_"&amp;VLOOKUP(F84, Factor!$BW$4:$BX$6, 2, 0)&amp;"_"&amp;D84&amp;"_"&amp;VLOOKUP(E84, Factor!$BY$4:$BZ$13, 2, 0)</f>
        <v>engine_Hi_T5_002</v>
      </c>
      <c r="B84" s="18" t="str">
        <f t="shared" si="2"/>
        <v>T5 고성능 6기통엔진팩</v>
      </c>
      <c r="C84" s="18">
        <f>VLOOKUP(D84, Factor!$X$41:$Y$50, 2, 0)</f>
        <v>5000</v>
      </c>
      <c r="D84" s="18" t="s">
        <v>301</v>
      </c>
      <c r="E84" s="18" t="s">
        <v>658</v>
      </c>
      <c r="F84" s="55" t="s">
        <v>644</v>
      </c>
      <c r="G84" s="18" t="str">
        <f t="shared" si="3"/>
        <v>고성능 6기통</v>
      </c>
      <c r="H84" s="18">
        <v>1</v>
      </c>
      <c r="I84" s="18">
        <v>1</v>
      </c>
      <c r="J84" s="18" cm="1">
        <f t="array" ref="J84">H84*VLOOKUP($G84, Factor!$Y$4:$AA$36, 2, 0)*INDEX(Factor!$Y$41:$AA$87, _xlfn.XMATCH($C84, Factor!$Y$41:$Y$87, -1), 2)</f>
        <v>72</v>
      </c>
      <c r="K84" s="18" cm="1">
        <f t="array" ref="K84">I84*VLOOKUP($G84, Factor!$Y$4:$AA$36, 3, 0)*INDEX(Factor!$Y$41:$AA$87, _xlfn.XMATCH($C84, Factor!$Y$41:$Y$87, -1), 3)</f>
        <v>5400</v>
      </c>
      <c r="L84" s="19"/>
    </row>
    <row r="85" spans="1:12" ht="15.75" customHeight="1" x14ac:dyDescent="0.2">
      <c r="A85" s="14" t="str">
        <f>"engine_"&amp;VLOOKUP(F85, Factor!$BW$4:$BX$6, 2, 0)&amp;"_"&amp;D85&amp;"_"&amp;VLOOKUP(E85, Factor!$BY$4:$BZ$13, 2, 0)</f>
        <v>engine_Hi_T5_003</v>
      </c>
      <c r="B85" s="15" t="str">
        <f t="shared" si="2"/>
        <v>T5 고성능 8기통엔진팩</v>
      </c>
      <c r="C85" s="15">
        <f>VLOOKUP(D85, Factor!$X$41:$Y$50, 2, 0)</f>
        <v>5000</v>
      </c>
      <c r="D85" s="15" t="s">
        <v>301</v>
      </c>
      <c r="E85" s="15" t="s">
        <v>659</v>
      </c>
      <c r="F85" s="56" t="s">
        <v>644</v>
      </c>
      <c r="G85" s="15" t="str">
        <f t="shared" si="3"/>
        <v>고성능 8기통</v>
      </c>
      <c r="H85" s="15">
        <v>1</v>
      </c>
      <c r="I85" s="15">
        <v>1</v>
      </c>
      <c r="J85" s="15" cm="1">
        <f t="array" ref="J85">H85*VLOOKUP($G85, Factor!$Y$4:$AA$36, 2, 0)*INDEX(Factor!$Y$41:$AA$87, _xlfn.XMATCH($C85, Factor!$Y$41:$Y$87, -1), 2)</f>
        <v>108</v>
      </c>
      <c r="K85" s="15" cm="1">
        <f t="array" ref="K85">I85*VLOOKUP($G85, Factor!$Y$4:$AA$36, 3, 0)*INDEX(Factor!$Y$41:$AA$87, _xlfn.XMATCH($C85, Factor!$Y$41:$Y$87, -1), 3)</f>
        <v>7200</v>
      </c>
      <c r="L85" s="16"/>
    </row>
    <row r="86" spans="1:12" ht="15.75" customHeight="1" x14ac:dyDescent="0.2">
      <c r="A86" s="17" t="str">
        <f>"engine_"&amp;VLOOKUP(F86, Factor!$BW$4:$BX$6, 2, 0)&amp;"_"&amp;D86&amp;"_"&amp;VLOOKUP(E86, Factor!$BY$4:$BZ$13, 2, 0)</f>
        <v>engine_Hi_T5_004</v>
      </c>
      <c r="B86" s="18" t="str">
        <f t="shared" si="2"/>
        <v>T5 고성능 10기통엔진팩</v>
      </c>
      <c r="C86" s="18">
        <f>VLOOKUP(D86, Factor!$X$41:$Y$50, 2, 0)</f>
        <v>5000</v>
      </c>
      <c r="D86" s="18" t="s">
        <v>301</v>
      </c>
      <c r="E86" s="18" t="s">
        <v>660</v>
      </c>
      <c r="F86" s="55" t="s">
        <v>644</v>
      </c>
      <c r="G86" s="18" t="str">
        <f t="shared" si="3"/>
        <v>고성능 10기통</v>
      </c>
      <c r="H86" s="18">
        <v>1</v>
      </c>
      <c r="I86" s="18">
        <v>1</v>
      </c>
      <c r="J86" s="18" cm="1">
        <f t="array" ref="J86">H86*VLOOKUP($G86, Factor!$Y$4:$AA$36, 2, 0)*INDEX(Factor!$Y$41:$AA$87, _xlfn.XMATCH($C86, Factor!$Y$41:$Y$87, -1), 2)</f>
        <v>90</v>
      </c>
      <c r="K86" s="18" cm="1">
        <f t="array" ref="K86">I86*VLOOKUP($G86, Factor!$Y$4:$AA$36, 3, 0)*INDEX(Factor!$Y$41:$AA$87, _xlfn.XMATCH($C86, Factor!$Y$41:$Y$87, -1), 3)</f>
        <v>5400</v>
      </c>
      <c r="L86" s="19"/>
    </row>
    <row r="87" spans="1:12" ht="15.75" customHeight="1" x14ac:dyDescent="0.2">
      <c r="A87" s="14" t="str">
        <f>"engine_"&amp;VLOOKUP(F87, Factor!$BW$4:$BX$6, 2, 0)&amp;"_"&amp;D87&amp;"_"&amp;VLOOKUP(E87, Factor!$BY$4:$BZ$13, 2, 0)</f>
        <v>engine_Hi_T5_005</v>
      </c>
      <c r="B87" s="15" t="str">
        <f t="shared" si="2"/>
        <v>T5 고성능 12기통엔진팩</v>
      </c>
      <c r="C87" s="15">
        <f>VLOOKUP(D87, Factor!$X$41:$Y$50, 2, 0)</f>
        <v>5000</v>
      </c>
      <c r="D87" s="15" t="s">
        <v>301</v>
      </c>
      <c r="E87" s="15" t="s">
        <v>661</v>
      </c>
      <c r="F87" s="56" t="s">
        <v>644</v>
      </c>
      <c r="G87" s="15" t="str">
        <f t="shared" si="3"/>
        <v>고성능 12기통</v>
      </c>
      <c r="H87" s="15">
        <v>1</v>
      </c>
      <c r="I87" s="15">
        <v>1</v>
      </c>
      <c r="J87" s="15" cm="1">
        <f t="array" ref="J87">H87*VLOOKUP($G87, Factor!$Y$4:$AA$36, 2, 0)*INDEX(Factor!$Y$41:$AA$87, _xlfn.XMATCH($C87, Factor!$Y$41:$Y$87, -1), 2)</f>
        <v>216</v>
      </c>
      <c r="K87" s="15" cm="1">
        <f t="array" ref="K87">I87*VLOOKUP($G87, Factor!$Y$4:$AA$36, 3, 0)*INDEX(Factor!$Y$41:$AA$87, _xlfn.XMATCH($C87, Factor!$Y$41:$Y$87, -1), 3)</f>
        <v>10800</v>
      </c>
      <c r="L87" s="16"/>
    </row>
    <row r="88" spans="1:12" ht="15.75" customHeight="1" x14ac:dyDescent="0.2">
      <c r="A88" s="17" t="str">
        <f>"engine_"&amp;VLOOKUP(F88, Factor!$BW$4:$BX$6, 2, 0)&amp;"_"&amp;D88&amp;"_"&amp;VLOOKUP(E88, Factor!$BY$4:$BZ$13, 2, 0)</f>
        <v>engine_Hi_T5_006</v>
      </c>
      <c r="B88" s="18" t="str">
        <f t="shared" si="2"/>
        <v>T5 고성능 군용엔진팩</v>
      </c>
      <c r="C88" s="18">
        <f>VLOOKUP(D88, Factor!$X$41:$Y$50, 2, 0)</f>
        <v>5000</v>
      </c>
      <c r="D88" s="18" t="s">
        <v>301</v>
      </c>
      <c r="E88" s="18" t="s">
        <v>591</v>
      </c>
      <c r="F88" s="55" t="s">
        <v>644</v>
      </c>
      <c r="G88" s="18" t="str">
        <f t="shared" si="3"/>
        <v>고성능 군용</v>
      </c>
      <c r="H88" s="18">
        <v>1</v>
      </c>
      <c r="I88" s="18">
        <v>1</v>
      </c>
      <c r="J88" s="18" cm="1">
        <f t="array" ref="J88">H88*VLOOKUP($G88, Factor!$Y$4:$AA$36, 2, 0)*INDEX(Factor!$Y$41:$AA$87, _xlfn.XMATCH($C88, Factor!$Y$41:$Y$87, -1), 2)</f>
        <v>270</v>
      </c>
      <c r="K88" s="18" cm="1">
        <f t="array" ref="K88">I88*VLOOKUP($G88, Factor!$Y$4:$AA$36, 3, 0)*INDEX(Factor!$Y$41:$AA$87, _xlfn.XMATCH($C88, Factor!$Y$41:$Y$87, -1), 3)</f>
        <v>21600</v>
      </c>
      <c r="L88" s="19"/>
    </row>
    <row r="89" spans="1:12" ht="15.75" customHeight="1" x14ac:dyDescent="0.2">
      <c r="A89" s="14" t="str">
        <f>"engine_"&amp;VLOOKUP(F89, Factor!$BW$4:$BX$6, 2, 0)&amp;"_"&amp;D89&amp;"_"&amp;VLOOKUP(E89, Factor!$BY$4:$BZ$13, 2, 0)</f>
        <v>engine_Li_T5_001</v>
      </c>
      <c r="B89" s="15" t="str">
        <f t="shared" si="2"/>
        <v>T5 경량형 4기통엔진팩</v>
      </c>
      <c r="C89" s="15">
        <f>VLOOKUP(D89, Factor!$X$41:$Y$50, 2, 0)</f>
        <v>5000</v>
      </c>
      <c r="D89" s="15" t="s">
        <v>301</v>
      </c>
      <c r="E89" s="15" t="s">
        <v>662</v>
      </c>
      <c r="F89" s="56" t="s">
        <v>657</v>
      </c>
      <c r="G89" s="15" t="str">
        <f t="shared" si="3"/>
        <v>경량형 4기통</v>
      </c>
      <c r="H89" s="15">
        <v>1</v>
      </c>
      <c r="I89" s="15">
        <v>1</v>
      </c>
      <c r="J89" s="15" cm="1">
        <f t="array" ref="J89">H89*VLOOKUP($G89, Factor!$Y$4:$AA$36, 2, 0)*INDEX(Factor!$Y$41:$AA$87, _xlfn.XMATCH($C89, Factor!$Y$41:$Y$87, -1), 2)</f>
        <v>12.6</v>
      </c>
      <c r="K89" s="15" cm="1">
        <f t="array" ref="K89">I89*VLOOKUP($G89, Factor!$Y$4:$AA$36, 3, 0)*INDEX(Factor!$Y$41:$AA$87, _xlfn.XMATCH($C89, Factor!$Y$41:$Y$87, -1), 3)</f>
        <v>540</v>
      </c>
      <c r="L89" s="16"/>
    </row>
    <row r="90" spans="1:12" ht="15.75" customHeight="1" x14ac:dyDescent="0.2">
      <c r="A90" s="17" t="str">
        <f>"engine_"&amp;VLOOKUP(F90, Factor!$BW$4:$BX$6, 2, 0)&amp;"_"&amp;D90&amp;"_"&amp;VLOOKUP(E90, Factor!$BY$4:$BZ$13, 2, 0)</f>
        <v>engine_Li_T5_002</v>
      </c>
      <c r="B90" s="18" t="str">
        <f t="shared" si="2"/>
        <v>T5 경량형 6기통엔진팩</v>
      </c>
      <c r="C90" s="18">
        <f>VLOOKUP(D90, Factor!$X$41:$Y$50, 2, 0)</f>
        <v>5000</v>
      </c>
      <c r="D90" s="18" t="s">
        <v>301</v>
      </c>
      <c r="E90" s="18" t="s">
        <v>658</v>
      </c>
      <c r="F90" s="55" t="s">
        <v>657</v>
      </c>
      <c r="G90" s="18" t="str">
        <f t="shared" si="3"/>
        <v>경량형 6기통</v>
      </c>
      <c r="H90" s="18">
        <v>1</v>
      </c>
      <c r="I90" s="18">
        <v>1</v>
      </c>
      <c r="J90" s="18" cm="1">
        <f t="array" ref="J90">H90*VLOOKUP($G90, Factor!$Y$4:$AA$36, 2, 0)*INDEX(Factor!$Y$41:$AA$87, _xlfn.XMATCH($C90, Factor!$Y$41:$Y$87, -1), 2)</f>
        <v>27</v>
      </c>
      <c r="K90" s="18" cm="1">
        <f t="array" ref="K90">I90*VLOOKUP($G90, Factor!$Y$4:$AA$36, 3, 0)*INDEX(Factor!$Y$41:$AA$87, _xlfn.XMATCH($C90, Factor!$Y$41:$Y$87, -1), 3)</f>
        <v>1260</v>
      </c>
      <c r="L90" s="19"/>
    </row>
    <row r="91" spans="1:12" ht="15.75" customHeight="1" x14ac:dyDescent="0.2">
      <c r="A91" s="14" t="str">
        <f>"engine_"&amp;VLOOKUP(F91, Factor!$BW$4:$BX$6, 2, 0)&amp;"_"&amp;D91&amp;"_"&amp;VLOOKUP(E91, Factor!$BY$4:$BZ$13, 2, 0)</f>
        <v>engine_Li_T5_003</v>
      </c>
      <c r="B91" s="15" t="str">
        <f t="shared" si="2"/>
        <v>T5 경량형 8기통엔진팩</v>
      </c>
      <c r="C91" s="15">
        <f>VLOOKUP(D91, Factor!$X$41:$Y$50, 2, 0)</f>
        <v>5000</v>
      </c>
      <c r="D91" s="15" t="s">
        <v>301</v>
      </c>
      <c r="E91" s="15" t="s">
        <v>659</v>
      </c>
      <c r="F91" s="56" t="s">
        <v>657</v>
      </c>
      <c r="G91" s="15" t="str">
        <f t="shared" si="3"/>
        <v>경량형 8기통</v>
      </c>
      <c r="H91" s="15">
        <v>1</v>
      </c>
      <c r="I91" s="15">
        <v>1</v>
      </c>
      <c r="J91" s="15" cm="1">
        <f t="array" ref="J91">H91*VLOOKUP($G91, Factor!$Y$4:$AA$36, 2, 0)*INDEX(Factor!$Y$41:$AA$87, _xlfn.XMATCH($C91, Factor!$Y$41:$Y$87, -1), 2)</f>
        <v>54</v>
      </c>
      <c r="K91" s="15" cm="1">
        <f t="array" ref="K91">I91*VLOOKUP($G91, Factor!$Y$4:$AA$36, 3, 0)*INDEX(Factor!$Y$41:$AA$87, _xlfn.XMATCH($C91, Factor!$Y$41:$Y$87, -1), 3)</f>
        <v>2160</v>
      </c>
      <c r="L91" s="16"/>
    </row>
    <row r="92" spans="1:12" ht="15.75" customHeight="1" x14ac:dyDescent="0.2">
      <c r="A92" s="17" t="str">
        <f>"engine_"&amp;VLOOKUP(F92, Factor!$BW$4:$BX$6, 2, 0)&amp;"_"&amp;D92&amp;"_"&amp;VLOOKUP(E92, Factor!$BY$4:$BZ$13, 2, 0)</f>
        <v>engine_Li_T5_004</v>
      </c>
      <c r="B92" s="18" t="str">
        <f t="shared" si="2"/>
        <v>T5 경량형 10기통엔진팩</v>
      </c>
      <c r="C92" s="18">
        <f>VLOOKUP(D92, Factor!$X$41:$Y$50, 2, 0)</f>
        <v>5000</v>
      </c>
      <c r="D92" s="18" t="s">
        <v>301</v>
      </c>
      <c r="E92" s="18" t="s">
        <v>660</v>
      </c>
      <c r="F92" s="55" t="s">
        <v>657</v>
      </c>
      <c r="G92" s="18" t="str">
        <f t="shared" si="3"/>
        <v>경량형 10기통</v>
      </c>
      <c r="H92" s="18">
        <v>1</v>
      </c>
      <c r="I92" s="18">
        <v>1</v>
      </c>
      <c r="J92" s="18" cm="1">
        <f t="array" ref="J92">H92*VLOOKUP($G92, Factor!$Y$4:$AA$36, 2, 0)*INDEX(Factor!$Y$41:$AA$87, _xlfn.XMATCH($C92, Factor!$Y$41:$Y$87, -1), 2)</f>
        <v>72</v>
      </c>
      <c r="K92" s="18" cm="1">
        <f t="array" ref="K92">I92*VLOOKUP($G92, Factor!$Y$4:$AA$36, 3, 0)*INDEX(Factor!$Y$41:$AA$87, _xlfn.XMATCH($C92, Factor!$Y$41:$Y$87, -1), 3)</f>
        <v>3240</v>
      </c>
      <c r="L92" s="19"/>
    </row>
    <row r="93" spans="1:12" ht="15.75" customHeight="1" x14ac:dyDescent="0.2">
      <c r="A93" s="14" t="str">
        <f>"engine_"&amp;VLOOKUP(F93, Factor!$BW$4:$BX$6, 2, 0)&amp;"_"&amp;D93&amp;"_"&amp;VLOOKUP(E93, Factor!$BY$4:$BZ$13, 2, 0)</f>
        <v>engine_Li_T5_005</v>
      </c>
      <c r="B93" s="15" t="str">
        <f t="shared" si="2"/>
        <v>T5 경량형 12기통엔진팩</v>
      </c>
      <c r="C93" s="15">
        <f>VLOOKUP(D93, Factor!$X$41:$Y$50, 2, 0)</f>
        <v>5000</v>
      </c>
      <c r="D93" s="15" t="s">
        <v>301</v>
      </c>
      <c r="E93" s="15" t="s">
        <v>661</v>
      </c>
      <c r="F93" s="56" t="s">
        <v>657</v>
      </c>
      <c r="G93" s="15" t="str">
        <f t="shared" si="3"/>
        <v>경량형 12기통</v>
      </c>
      <c r="H93" s="15">
        <v>1</v>
      </c>
      <c r="I93" s="15">
        <v>1</v>
      </c>
      <c r="J93" s="15" cm="1">
        <f t="array" ref="J93">H93*VLOOKUP($G93, Factor!$Y$4:$AA$36, 2, 0)*INDEX(Factor!$Y$41:$AA$87, _xlfn.XMATCH($C93, Factor!$Y$41:$Y$87, -1), 2)</f>
        <v>108</v>
      </c>
      <c r="K93" s="15" cm="1">
        <f t="array" ref="K93">I93*VLOOKUP($G93, Factor!$Y$4:$AA$36, 3, 0)*INDEX(Factor!$Y$41:$AA$87, _xlfn.XMATCH($C93, Factor!$Y$41:$Y$87, -1), 3)</f>
        <v>4500</v>
      </c>
      <c r="L93" s="16"/>
    </row>
    <row r="94" spans="1:12" ht="15.75" customHeight="1" x14ac:dyDescent="0.2">
      <c r="A94" s="17" t="str">
        <f>"engine_"&amp;VLOOKUP(F94, Factor!$BW$4:$BX$6, 2, 0)&amp;"_"&amp;D94&amp;"_"&amp;VLOOKUP(E94, Factor!$BY$4:$BZ$13, 2, 0)</f>
        <v>engine_Li_T5_006</v>
      </c>
      <c r="B94" s="18" t="str">
        <f t="shared" si="2"/>
        <v>T5 경량형 군용엔진팩</v>
      </c>
      <c r="C94" s="18">
        <f>VLOOKUP(D94, Factor!$X$41:$Y$50, 2, 0)</f>
        <v>5000</v>
      </c>
      <c r="D94" s="18" t="s">
        <v>301</v>
      </c>
      <c r="E94" s="18" t="s">
        <v>591</v>
      </c>
      <c r="F94" s="55" t="s">
        <v>657</v>
      </c>
      <c r="G94" s="18" t="str">
        <f t="shared" si="3"/>
        <v>경량형 군용</v>
      </c>
      <c r="H94" s="18">
        <v>1</v>
      </c>
      <c r="I94" s="18">
        <v>1</v>
      </c>
      <c r="J94" s="18" cm="1">
        <f t="array" ref="J94">H94*VLOOKUP($G94, Factor!$Y$4:$AA$36, 2, 0)*INDEX(Factor!$Y$41:$AA$87, _xlfn.XMATCH($C94, Factor!$Y$41:$Y$87, -1), 2)</f>
        <v>126</v>
      </c>
      <c r="K94" s="18" cm="1">
        <f t="array" ref="K94">I94*VLOOKUP($G94, Factor!$Y$4:$AA$36, 3, 0)*INDEX(Factor!$Y$41:$AA$87, _xlfn.XMATCH($C94, Factor!$Y$41:$Y$87, -1), 3)</f>
        <v>5400</v>
      </c>
      <c r="L94" s="19"/>
    </row>
    <row r="95" spans="1:12" ht="15.75" customHeight="1" x14ac:dyDescent="0.2">
      <c r="A95" s="14" t="str">
        <f>"engine_"&amp;VLOOKUP(F95, Factor!$BW$4:$BX$6, 2, 0)&amp;"_"&amp;D95&amp;"_"&amp;VLOOKUP(E95, Factor!$BY$4:$BZ$13, 2, 0)</f>
        <v>engine_No_T6_001</v>
      </c>
      <c r="B95" s="15" t="str">
        <f t="shared" si="2"/>
        <v>T6 표준 4기통엔진팩</v>
      </c>
      <c r="C95" s="15">
        <f>VLOOKUP(D95, Factor!$X$41:$Y$50, 2, 0)</f>
        <v>6000</v>
      </c>
      <c r="D95" s="15" t="s">
        <v>302</v>
      </c>
      <c r="E95" s="15" t="s">
        <v>662</v>
      </c>
      <c r="F95" s="56" t="s">
        <v>582</v>
      </c>
      <c r="G95" s="15" t="str">
        <f t="shared" si="3"/>
        <v>표준 4기통</v>
      </c>
      <c r="H95" s="15">
        <v>1</v>
      </c>
      <c r="I95" s="15">
        <v>1</v>
      </c>
      <c r="J95" s="15" cm="1">
        <f t="array" ref="J95">H95*VLOOKUP($G95, Factor!$Y$4:$AA$36, 2, 0)*INDEX(Factor!$Y$41:$AA$87, _xlfn.XMATCH($C95, Factor!$Y$41:$Y$87, -1), 2)</f>
        <v>20</v>
      </c>
      <c r="K95" s="15" cm="1">
        <f t="array" ref="K95">I95*VLOOKUP($G95, Factor!$Y$4:$AA$36, 3, 0)*INDEX(Factor!$Y$41:$AA$87, _xlfn.XMATCH($C95, Factor!$Y$41:$Y$87, -1), 3)</f>
        <v>1000</v>
      </c>
      <c r="L95" s="16"/>
    </row>
    <row r="96" spans="1:12" ht="15.75" customHeight="1" x14ac:dyDescent="0.2">
      <c r="A96" s="17" t="str">
        <f>"engine_"&amp;VLOOKUP(F96, Factor!$BW$4:$BX$6, 2, 0)&amp;"_"&amp;D96&amp;"_"&amp;VLOOKUP(E96, Factor!$BY$4:$BZ$13, 2, 0)</f>
        <v>engine_No_T6_002</v>
      </c>
      <c r="B96" s="18" t="str">
        <f t="shared" si="2"/>
        <v>T6 표준 6기통엔진팩</v>
      </c>
      <c r="C96" s="18">
        <f>VLOOKUP(D96, Factor!$X$41:$Y$50, 2, 0)</f>
        <v>6000</v>
      </c>
      <c r="D96" s="18" t="s">
        <v>302</v>
      </c>
      <c r="E96" s="18" t="s">
        <v>658</v>
      </c>
      <c r="F96" s="55" t="s">
        <v>582</v>
      </c>
      <c r="G96" s="18" t="str">
        <f t="shared" si="3"/>
        <v>표준 6기통</v>
      </c>
      <c r="H96" s="18">
        <v>1</v>
      </c>
      <c r="I96" s="18">
        <v>1</v>
      </c>
      <c r="J96" s="18" cm="1">
        <f t="array" ref="J96">H96*VLOOKUP($G96, Factor!$Y$4:$AA$36, 2, 0)*INDEX(Factor!$Y$41:$AA$87, _xlfn.XMATCH($C96, Factor!$Y$41:$Y$87, -1), 2)</f>
        <v>40</v>
      </c>
      <c r="K96" s="18" cm="1">
        <f t="array" ref="K96">I96*VLOOKUP($G96, Factor!$Y$4:$AA$36, 3, 0)*INDEX(Factor!$Y$41:$AA$87, _xlfn.XMATCH($C96, Factor!$Y$41:$Y$87, -1), 3)</f>
        <v>2000</v>
      </c>
      <c r="L96" s="19"/>
    </row>
    <row r="97" spans="1:12" ht="15.75" customHeight="1" x14ac:dyDescent="0.2">
      <c r="A97" s="14" t="str">
        <f>"engine_"&amp;VLOOKUP(F97, Factor!$BW$4:$BX$6, 2, 0)&amp;"_"&amp;D97&amp;"_"&amp;VLOOKUP(E97, Factor!$BY$4:$BZ$13, 2, 0)</f>
        <v>engine_No_T6_003</v>
      </c>
      <c r="B97" s="15" t="str">
        <f t="shared" si="2"/>
        <v>T6 표준 8기통엔진팩</v>
      </c>
      <c r="C97" s="15">
        <f>VLOOKUP(D97, Factor!$X$41:$Y$50, 2, 0)</f>
        <v>6000</v>
      </c>
      <c r="D97" s="15" t="s">
        <v>302</v>
      </c>
      <c r="E97" s="15" t="s">
        <v>659</v>
      </c>
      <c r="F97" s="56" t="s">
        <v>582</v>
      </c>
      <c r="G97" s="15" t="str">
        <f t="shared" si="3"/>
        <v>표준 8기통</v>
      </c>
      <c r="H97" s="15">
        <v>1</v>
      </c>
      <c r="I97" s="15">
        <v>1</v>
      </c>
      <c r="J97" s="15" cm="1">
        <f t="array" ref="J97">H97*VLOOKUP($G97, Factor!$Y$4:$AA$36, 2, 0)*INDEX(Factor!$Y$41:$AA$87, _xlfn.XMATCH($C97, Factor!$Y$41:$Y$87, -1), 2)</f>
        <v>80</v>
      </c>
      <c r="K97" s="15" cm="1">
        <f t="array" ref="K97">I97*VLOOKUP($G97, Factor!$Y$4:$AA$36, 3, 0)*INDEX(Factor!$Y$41:$AA$87, _xlfn.XMATCH($C97, Factor!$Y$41:$Y$87, -1), 3)</f>
        <v>4000</v>
      </c>
      <c r="L97" s="16"/>
    </row>
    <row r="98" spans="1:12" ht="15.75" customHeight="1" x14ac:dyDescent="0.2">
      <c r="A98" s="17" t="str">
        <f>"engine_"&amp;VLOOKUP(F98, Factor!$BW$4:$BX$6, 2, 0)&amp;"_"&amp;D98&amp;"_"&amp;VLOOKUP(E98, Factor!$BY$4:$BZ$13, 2, 0)</f>
        <v>engine_No_T6_004</v>
      </c>
      <c r="B98" s="18" t="str">
        <f t="shared" si="2"/>
        <v>T6 표준 10기통엔진팩</v>
      </c>
      <c r="C98" s="18">
        <f>VLOOKUP(D98, Factor!$X$41:$Y$50, 2, 0)</f>
        <v>6000</v>
      </c>
      <c r="D98" s="18" t="s">
        <v>302</v>
      </c>
      <c r="E98" s="18" t="s">
        <v>660</v>
      </c>
      <c r="F98" s="55" t="s">
        <v>582</v>
      </c>
      <c r="G98" s="18" t="str">
        <f t="shared" si="3"/>
        <v>표준 10기통</v>
      </c>
      <c r="H98" s="18">
        <v>1</v>
      </c>
      <c r="I98" s="18">
        <v>1</v>
      </c>
      <c r="J98" s="18" cm="1">
        <f t="array" ref="J98">H98*VLOOKUP($G98, Factor!$Y$4:$AA$36, 2, 0)*INDEX(Factor!$Y$41:$AA$87, _xlfn.XMATCH($C98, Factor!$Y$41:$Y$87, -1), 2)</f>
        <v>100</v>
      </c>
      <c r="K98" s="18" cm="1">
        <f t="array" ref="K98">I98*VLOOKUP($G98, Factor!$Y$4:$AA$36, 3, 0)*INDEX(Factor!$Y$41:$AA$87, _xlfn.XMATCH($C98, Factor!$Y$41:$Y$87, -1), 3)</f>
        <v>6000</v>
      </c>
      <c r="L98" s="19"/>
    </row>
    <row r="99" spans="1:12" ht="15.75" customHeight="1" x14ac:dyDescent="0.2">
      <c r="A99" s="14" t="str">
        <f>"engine_"&amp;VLOOKUP(F99, Factor!$BW$4:$BX$6, 2, 0)&amp;"_"&amp;D99&amp;"_"&amp;VLOOKUP(E99, Factor!$BY$4:$BZ$13, 2, 0)</f>
        <v>engine_No_T6_005</v>
      </c>
      <c r="B99" s="15" t="str">
        <f t="shared" ref="B99:B162" si="4">D99&amp;" "&amp;G99&amp;"엔진팩"</f>
        <v>T6 표준 12기통엔진팩</v>
      </c>
      <c r="C99" s="15">
        <f>VLOOKUP(D99, Factor!$X$41:$Y$50, 2, 0)</f>
        <v>6000</v>
      </c>
      <c r="D99" s="15" t="s">
        <v>302</v>
      </c>
      <c r="E99" s="15" t="s">
        <v>661</v>
      </c>
      <c r="F99" s="56" t="s">
        <v>582</v>
      </c>
      <c r="G99" s="15" t="str">
        <f t="shared" si="3"/>
        <v>표준 12기통</v>
      </c>
      <c r="H99" s="15">
        <v>1</v>
      </c>
      <c r="I99" s="15">
        <v>1</v>
      </c>
      <c r="J99" s="15" cm="1">
        <f t="array" ref="J99">H99*VLOOKUP($G99, Factor!$Y$4:$AA$36, 2, 0)*INDEX(Factor!$Y$41:$AA$87, _xlfn.XMATCH($C99, Factor!$Y$41:$Y$87, -1), 2)</f>
        <v>140</v>
      </c>
      <c r="K99" s="15" cm="1">
        <f t="array" ref="K99">I99*VLOOKUP($G99, Factor!$Y$4:$AA$36, 3, 0)*INDEX(Factor!$Y$41:$AA$87, _xlfn.XMATCH($C99, Factor!$Y$41:$Y$87, -1), 3)</f>
        <v>8000</v>
      </c>
      <c r="L99" s="16"/>
    </row>
    <row r="100" spans="1:12" ht="15.75" customHeight="1" x14ac:dyDescent="0.2">
      <c r="A100" s="17" t="str">
        <f>"engine_"&amp;VLOOKUP(F100, Factor!$BW$4:$BX$6, 2, 0)&amp;"_"&amp;D100&amp;"_"&amp;VLOOKUP(E100, Factor!$BY$4:$BZ$13, 2, 0)</f>
        <v>engine_No_T6_006</v>
      </c>
      <c r="B100" s="18" t="str">
        <f t="shared" si="4"/>
        <v>T6 표준 군용엔진팩</v>
      </c>
      <c r="C100" s="18">
        <f>VLOOKUP(D100, Factor!$X$41:$Y$50, 2, 0)</f>
        <v>6000</v>
      </c>
      <c r="D100" s="18" t="s">
        <v>302</v>
      </c>
      <c r="E100" s="18" t="s">
        <v>591</v>
      </c>
      <c r="F100" s="55" t="s">
        <v>582</v>
      </c>
      <c r="G100" s="18" t="str">
        <f t="shared" si="3"/>
        <v>표준 군용</v>
      </c>
      <c r="H100" s="18">
        <v>1</v>
      </c>
      <c r="I100" s="18">
        <v>1</v>
      </c>
      <c r="J100" s="18" cm="1">
        <f t="array" ref="J100">H100*VLOOKUP($G100, Factor!$Y$4:$AA$36, 2, 0)*INDEX(Factor!$Y$41:$AA$87, _xlfn.XMATCH($C100, Factor!$Y$41:$Y$87, -1), 2)</f>
        <v>180</v>
      </c>
      <c r="K100" s="18" cm="1">
        <f t="array" ref="K100">I100*VLOOKUP($G100, Factor!$Y$4:$AA$36, 3, 0)*INDEX(Factor!$Y$41:$AA$87, _xlfn.XMATCH($C100, Factor!$Y$41:$Y$87, -1), 3)</f>
        <v>12000</v>
      </c>
      <c r="L100" s="19"/>
    </row>
    <row r="101" spans="1:12" ht="15.75" customHeight="1" x14ac:dyDescent="0.2">
      <c r="A101" s="14" t="str">
        <f>"engine_"&amp;VLOOKUP(F101, Factor!$BW$4:$BX$6, 2, 0)&amp;"_"&amp;D101&amp;"_"&amp;VLOOKUP(E101, Factor!$BY$4:$BZ$13, 2, 0)</f>
        <v>engine_Hi_T6_001</v>
      </c>
      <c r="B101" s="15" t="str">
        <f t="shared" si="4"/>
        <v>T6 고성능 4기통엔진팩</v>
      </c>
      <c r="C101" s="15">
        <f>VLOOKUP(D101, Factor!$X$41:$Y$50, 2, 0)</f>
        <v>6000</v>
      </c>
      <c r="D101" s="15" t="s">
        <v>302</v>
      </c>
      <c r="E101" s="15" t="s">
        <v>662</v>
      </c>
      <c r="F101" s="56" t="s">
        <v>644</v>
      </c>
      <c r="G101" s="15" t="str">
        <f t="shared" si="3"/>
        <v>고성능 4기통</v>
      </c>
      <c r="H101" s="15">
        <v>1</v>
      </c>
      <c r="I101" s="15">
        <v>1</v>
      </c>
      <c r="J101" s="15" cm="1">
        <f t="array" ref="J101">H101*VLOOKUP($G101, Factor!$Y$4:$AA$36, 2, 0)*INDEX(Factor!$Y$41:$AA$87, _xlfn.XMATCH($C101, Factor!$Y$41:$Y$87, -1), 2)</f>
        <v>40</v>
      </c>
      <c r="K101" s="15" cm="1">
        <f t="array" ref="K101">I101*VLOOKUP($G101, Factor!$Y$4:$AA$36, 3, 0)*INDEX(Factor!$Y$41:$AA$87, _xlfn.XMATCH($C101, Factor!$Y$41:$Y$87, -1), 3)</f>
        <v>3600</v>
      </c>
      <c r="L101" s="16"/>
    </row>
    <row r="102" spans="1:12" ht="15.75" customHeight="1" x14ac:dyDescent="0.2">
      <c r="A102" s="17" t="str">
        <f>"engine_"&amp;VLOOKUP(F102, Factor!$BW$4:$BX$6, 2, 0)&amp;"_"&amp;D102&amp;"_"&amp;VLOOKUP(E102, Factor!$BY$4:$BZ$13, 2, 0)</f>
        <v>engine_Hi_T6_002</v>
      </c>
      <c r="B102" s="18" t="str">
        <f t="shared" si="4"/>
        <v>T6 고성능 6기통엔진팩</v>
      </c>
      <c r="C102" s="18">
        <f>VLOOKUP(D102, Factor!$X$41:$Y$50, 2, 0)</f>
        <v>6000</v>
      </c>
      <c r="D102" s="18" t="s">
        <v>302</v>
      </c>
      <c r="E102" s="18" t="s">
        <v>658</v>
      </c>
      <c r="F102" s="55" t="s">
        <v>644</v>
      </c>
      <c r="G102" s="18" t="str">
        <f t="shared" si="3"/>
        <v>고성능 6기통</v>
      </c>
      <c r="H102" s="18">
        <v>1</v>
      </c>
      <c r="I102" s="18">
        <v>1</v>
      </c>
      <c r="J102" s="18" cm="1">
        <f t="array" ref="J102">H102*VLOOKUP($G102, Factor!$Y$4:$AA$36, 2, 0)*INDEX(Factor!$Y$41:$AA$87, _xlfn.XMATCH($C102, Factor!$Y$41:$Y$87, -1), 2)</f>
        <v>80</v>
      </c>
      <c r="K102" s="18" cm="1">
        <f t="array" ref="K102">I102*VLOOKUP($G102, Factor!$Y$4:$AA$36, 3, 0)*INDEX(Factor!$Y$41:$AA$87, _xlfn.XMATCH($C102, Factor!$Y$41:$Y$87, -1), 3)</f>
        <v>6000</v>
      </c>
      <c r="L102" s="19"/>
    </row>
    <row r="103" spans="1:12" ht="15.75" customHeight="1" x14ac:dyDescent="0.2">
      <c r="A103" s="14" t="str">
        <f>"engine_"&amp;VLOOKUP(F103, Factor!$BW$4:$BX$6, 2, 0)&amp;"_"&amp;D103&amp;"_"&amp;VLOOKUP(E103, Factor!$BY$4:$BZ$13, 2, 0)</f>
        <v>engine_Hi_T6_003</v>
      </c>
      <c r="B103" s="15" t="str">
        <f t="shared" si="4"/>
        <v>T6 고성능 8기통엔진팩</v>
      </c>
      <c r="C103" s="15">
        <f>VLOOKUP(D103, Factor!$X$41:$Y$50, 2, 0)</f>
        <v>6000</v>
      </c>
      <c r="D103" s="15" t="s">
        <v>302</v>
      </c>
      <c r="E103" s="15" t="s">
        <v>659</v>
      </c>
      <c r="F103" s="56" t="s">
        <v>644</v>
      </c>
      <c r="G103" s="15" t="str">
        <f t="shared" si="3"/>
        <v>고성능 8기통</v>
      </c>
      <c r="H103" s="15">
        <v>1</v>
      </c>
      <c r="I103" s="15">
        <v>1</v>
      </c>
      <c r="J103" s="15" cm="1">
        <f t="array" ref="J103">H103*VLOOKUP($G103, Factor!$Y$4:$AA$36, 2, 0)*INDEX(Factor!$Y$41:$AA$87, _xlfn.XMATCH($C103, Factor!$Y$41:$Y$87, -1), 2)</f>
        <v>120</v>
      </c>
      <c r="K103" s="15" cm="1">
        <f t="array" ref="K103">I103*VLOOKUP($G103, Factor!$Y$4:$AA$36, 3, 0)*INDEX(Factor!$Y$41:$AA$87, _xlfn.XMATCH($C103, Factor!$Y$41:$Y$87, -1), 3)</f>
        <v>8000</v>
      </c>
      <c r="L103" s="16"/>
    </row>
    <row r="104" spans="1:12" ht="15.75" customHeight="1" x14ac:dyDescent="0.2">
      <c r="A104" s="17" t="str">
        <f>"engine_"&amp;VLOOKUP(F104, Factor!$BW$4:$BX$6, 2, 0)&amp;"_"&amp;D104&amp;"_"&amp;VLOOKUP(E104, Factor!$BY$4:$BZ$13, 2, 0)</f>
        <v>engine_Hi_T6_004</v>
      </c>
      <c r="B104" s="18" t="str">
        <f t="shared" si="4"/>
        <v>T6 고성능 10기통엔진팩</v>
      </c>
      <c r="C104" s="18">
        <f>VLOOKUP(D104, Factor!$X$41:$Y$50, 2, 0)</f>
        <v>6000</v>
      </c>
      <c r="D104" s="18" t="s">
        <v>302</v>
      </c>
      <c r="E104" s="18" t="s">
        <v>660</v>
      </c>
      <c r="F104" s="55" t="s">
        <v>644</v>
      </c>
      <c r="G104" s="18" t="str">
        <f t="shared" si="3"/>
        <v>고성능 10기통</v>
      </c>
      <c r="H104" s="18">
        <v>1</v>
      </c>
      <c r="I104" s="18">
        <v>1</v>
      </c>
      <c r="J104" s="18" cm="1">
        <f t="array" ref="J104">H104*VLOOKUP($G104, Factor!$Y$4:$AA$36, 2, 0)*INDEX(Factor!$Y$41:$AA$87, _xlfn.XMATCH($C104, Factor!$Y$41:$Y$87, -1), 2)</f>
        <v>100</v>
      </c>
      <c r="K104" s="18" cm="1">
        <f t="array" ref="K104">I104*VLOOKUP($G104, Factor!$Y$4:$AA$36, 3, 0)*INDEX(Factor!$Y$41:$AA$87, _xlfn.XMATCH($C104, Factor!$Y$41:$Y$87, -1), 3)</f>
        <v>6000</v>
      </c>
      <c r="L104" s="19"/>
    </row>
    <row r="105" spans="1:12" ht="15.75" customHeight="1" x14ac:dyDescent="0.2">
      <c r="A105" s="14" t="str">
        <f>"engine_"&amp;VLOOKUP(F105, Factor!$BW$4:$BX$6, 2, 0)&amp;"_"&amp;D105&amp;"_"&amp;VLOOKUP(E105, Factor!$BY$4:$BZ$13, 2, 0)</f>
        <v>engine_Hi_T6_005</v>
      </c>
      <c r="B105" s="15" t="str">
        <f t="shared" si="4"/>
        <v>T6 고성능 12기통엔진팩</v>
      </c>
      <c r="C105" s="15">
        <f>VLOOKUP(D105, Factor!$X$41:$Y$50, 2, 0)</f>
        <v>6000</v>
      </c>
      <c r="D105" s="15" t="s">
        <v>302</v>
      </c>
      <c r="E105" s="15" t="s">
        <v>661</v>
      </c>
      <c r="F105" s="56" t="s">
        <v>644</v>
      </c>
      <c r="G105" s="15" t="str">
        <f t="shared" si="3"/>
        <v>고성능 12기통</v>
      </c>
      <c r="H105" s="15">
        <v>1</v>
      </c>
      <c r="I105" s="15">
        <v>1</v>
      </c>
      <c r="J105" s="15" cm="1">
        <f t="array" ref="J105">H105*VLOOKUP($G105, Factor!$Y$4:$AA$36, 2, 0)*INDEX(Factor!$Y$41:$AA$87, _xlfn.XMATCH($C105, Factor!$Y$41:$Y$87, -1), 2)</f>
        <v>240</v>
      </c>
      <c r="K105" s="15" cm="1">
        <f t="array" ref="K105">I105*VLOOKUP($G105, Factor!$Y$4:$AA$36, 3, 0)*INDEX(Factor!$Y$41:$AA$87, _xlfn.XMATCH($C105, Factor!$Y$41:$Y$87, -1), 3)</f>
        <v>12000</v>
      </c>
      <c r="L105" s="16"/>
    </row>
    <row r="106" spans="1:12" ht="15.75" customHeight="1" x14ac:dyDescent="0.2">
      <c r="A106" s="17" t="str">
        <f>"engine_"&amp;VLOOKUP(F106, Factor!$BW$4:$BX$6, 2, 0)&amp;"_"&amp;D106&amp;"_"&amp;VLOOKUP(E106, Factor!$BY$4:$BZ$13, 2, 0)</f>
        <v>engine_Hi_T6_006</v>
      </c>
      <c r="B106" s="18" t="str">
        <f t="shared" si="4"/>
        <v>T6 고성능 군용엔진팩</v>
      </c>
      <c r="C106" s="18">
        <f>VLOOKUP(D106, Factor!$X$41:$Y$50, 2, 0)</f>
        <v>6000</v>
      </c>
      <c r="D106" s="18" t="s">
        <v>302</v>
      </c>
      <c r="E106" s="18" t="s">
        <v>591</v>
      </c>
      <c r="F106" s="55" t="s">
        <v>644</v>
      </c>
      <c r="G106" s="18" t="str">
        <f t="shared" si="3"/>
        <v>고성능 군용</v>
      </c>
      <c r="H106" s="18">
        <v>1</v>
      </c>
      <c r="I106" s="18">
        <v>1</v>
      </c>
      <c r="J106" s="18" cm="1">
        <f t="array" ref="J106">H106*VLOOKUP($G106, Factor!$Y$4:$AA$36, 2, 0)*INDEX(Factor!$Y$41:$AA$87, _xlfn.XMATCH($C106, Factor!$Y$41:$Y$87, -1), 2)</f>
        <v>300</v>
      </c>
      <c r="K106" s="18" cm="1">
        <f t="array" ref="K106">I106*VLOOKUP($G106, Factor!$Y$4:$AA$36, 3, 0)*INDEX(Factor!$Y$41:$AA$87, _xlfn.XMATCH($C106, Factor!$Y$41:$Y$87, -1), 3)</f>
        <v>24000</v>
      </c>
      <c r="L106" s="19"/>
    </row>
    <row r="107" spans="1:12" ht="15.75" customHeight="1" x14ac:dyDescent="0.2">
      <c r="A107" s="14" t="str">
        <f>"engine_"&amp;VLOOKUP(F107, Factor!$BW$4:$BX$6, 2, 0)&amp;"_"&amp;D107&amp;"_"&amp;VLOOKUP(E107, Factor!$BY$4:$BZ$13, 2, 0)</f>
        <v>engine_Li_T6_001</v>
      </c>
      <c r="B107" s="15" t="str">
        <f t="shared" si="4"/>
        <v>T6 경량형 4기통엔진팩</v>
      </c>
      <c r="C107" s="15">
        <f>VLOOKUP(D107, Factor!$X$41:$Y$50, 2, 0)</f>
        <v>6000</v>
      </c>
      <c r="D107" s="15" t="s">
        <v>302</v>
      </c>
      <c r="E107" s="15" t="s">
        <v>662</v>
      </c>
      <c r="F107" s="56" t="s">
        <v>657</v>
      </c>
      <c r="G107" s="15" t="str">
        <f t="shared" si="3"/>
        <v>경량형 4기통</v>
      </c>
      <c r="H107" s="15">
        <v>1</v>
      </c>
      <c r="I107" s="15">
        <v>1</v>
      </c>
      <c r="J107" s="15" cm="1">
        <f t="array" ref="J107">H107*VLOOKUP($G107, Factor!$Y$4:$AA$36, 2, 0)*INDEX(Factor!$Y$41:$AA$87, _xlfn.XMATCH($C107, Factor!$Y$41:$Y$87, -1), 2)</f>
        <v>14</v>
      </c>
      <c r="K107" s="15" cm="1">
        <f t="array" ref="K107">I107*VLOOKUP($G107, Factor!$Y$4:$AA$36, 3, 0)*INDEX(Factor!$Y$41:$AA$87, _xlfn.XMATCH($C107, Factor!$Y$41:$Y$87, -1), 3)</f>
        <v>600</v>
      </c>
      <c r="L107" s="16"/>
    </row>
    <row r="108" spans="1:12" ht="15.75" customHeight="1" x14ac:dyDescent="0.2">
      <c r="A108" s="17" t="str">
        <f>"engine_"&amp;VLOOKUP(F108, Factor!$BW$4:$BX$6, 2, 0)&amp;"_"&amp;D108&amp;"_"&amp;VLOOKUP(E108, Factor!$BY$4:$BZ$13, 2, 0)</f>
        <v>engine_Li_T6_002</v>
      </c>
      <c r="B108" s="18" t="str">
        <f t="shared" si="4"/>
        <v>T6 경량형 6기통엔진팩</v>
      </c>
      <c r="C108" s="18">
        <f>VLOOKUP(D108, Factor!$X$41:$Y$50, 2, 0)</f>
        <v>6000</v>
      </c>
      <c r="D108" s="18" t="s">
        <v>302</v>
      </c>
      <c r="E108" s="18" t="s">
        <v>658</v>
      </c>
      <c r="F108" s="55" t="s">
        <v>657</v>
      </c>
      <c r="G108" s="18" t="str">
        <f t="shared" si="3"/>
        <v>경량형 6기통</v>
      </c>
      <c r="H108" s="18">
        <v>1</v>
      </c>
      <c r="I108" s="18">
        <v>1</v>
      </c>
      <c r="J108" s="18" cm="1">
        <f t="array" ref="J108">H108*VLOOKUP($G108, Factor!$Y$4:$AA$36, 2, 0)*INDEX(Factor!$Y$41:$AA$87, _xlfn.XMATCH($C108, Factor!$Y$41:$Y$87, -1), 2)</f>
        <v>30</v>
      </c>
      <c r="K108" s="18" cm="1">
        <f t="array" ref="K108">I108*VLOOKUP($G108, Factor!$Y$4:$AA$36, 3, 0)*INDEX(Factor!$Y$41:$AA$87, _xlfn.XMATCH($C108, Factor!$Y$41:$Y$87, -1), 3)</f>
        <v>1400</v>
      </c>
      <c r="L108" s="19"/>
    </row>
    <row r="109" spans="1:12" ht="15.75" customHeight="1" x14ac:dyDescent="0.2">
      <c r="A109" s="14" t="str">
        <f>"engine_"&amp;VLOOKUP(F109, Factor!$BW$4:$BX$6, 2, 0)&amp;"_"&amp;D109&amp;"_"&amp;VLOOKUP(E109, Factor!$BY$4:$BZ$13, 2, 0)</f>
        <v>engine_Li_T6_003</v>
      </c>
      <c r="B109" s="15" t="str">
        <f t="shared" si="4"/>
        <v>T6 경량형 8기통엔진팩</v>
      </c>
      <c r="C109" s="15">
        <f>VLOOKUP(D109, Factor!$X$41:$Y$50, 2, 0)</f>
        <v>6000</v>
      </c>
      <c r="D109" s="15" t="s">
        <v>302</v>
      </c>
      <c r="E109" s="15" t="s">
        <v>659</v>
      </c>
      <c r="F109" s="56" t="s">
        <v>657</v>
      </c>
      <c r="G109" s="15" t="str">
        <f t="shared" si="3"/>
        <v>경량형 8기통</v>
      </c>
      <c r="H109" s="15">
        <v>1</v>
      </c>
      <c r="I109" s="15">
        <v>1</v>
      </c>
      <c r="J109" s="15" cm="1">
        <f t="array" ref="J109">H109*VLOOKUP($G109, Factor!$Y$4:$AA$36, 2, 0)*INDEX(Factor!$Y$41:$AA$87, _xlfn.XMATCH($C109, Factor!$Y$41:$Y$87, -1), 2)</f>
        <v>60</v>
      </c>
      <c r="K109" s="15" cm="1">
        <f t="array" ref="K109">I109*VLOOKUP($G109, Factor!$Y$4:$AA$36, 3, 0)*INDEX(Factor!$Y$41:$AA$87, _xlfn.XMATCH($C109, Factor!$Y$41:$Y$87, -1), 3)</f>
        <v>2400</v>
      </c>
      <c r="L109" s="16"/>
    </row>
    <row r="110" spans="1:12" ht="15.75" customHeight="1" x14ac:dyDescent="0.2">
      <c r="A110" s="17" t="str">
        <f>"engine_"&amp;VLOOKUP(F110, Factor!$BW$4:$BX$6, 2, 0)&amp;"_"&amp;D110&amp;"_"&amp;VLOOKUP(E110, Factor!$BY$4:$BZ$13, 2, 0)</f>
        <v>engine_Li_T6_004</v>
      </c>
      <c r="B110" s="18" t="str">
        <f t="shared" si="4"/>
        <v>T6 경량형 10기통엔진팩</v>
      </c>
      <c r="C110" s="18">
        <f>VLOOKUP(D110, Factor!$X$41:$Y$50, 2, 0)</f>
        <v>6000</v>
      </c>
      <c r="D110" s="18" t="s">
        <v>302</v>
      </c>
      <c r="E110" s="18" t="s">
        <v>660</v>
      </c>
      <c r="F110" s="55" t="s">
        <v>657</v>
      </c>
      <c r="G110" s="18" t="str">
        <f t="shared" si="3"/>
        <v>경량형 10기통</v>
      </c>
      <c r="H110" s="18">
        <v>1</v>
      </c>
      <c r="I110" s="18">
        <v>1</v>
      </c>
      <c r="J110" s="18" cm="1">
        <f t="array" ref="J110">H110*VLOOKUP($G110, Factor!$Y$4:$AA$36, 2, 0)*INDEX(Factor!$Y$41:$AA$87, _xlfn.XMATCH($C110, Factor!$Y$41:$Y$87, -1), 2)</f>
        <v>80</v>
      </c>
      <c r="K110" s="18" cm="1">
        <f t="array" ref="K110">I110*VLOOKUP($G110, Factor!$Y$4:$AA$36, 3, 0)*INDEX(Factor!$Y$41:$AA$87, _xlfn.XMATCH($C110, Factor!$Y$41:$Y$87, -1), 3)</f>
        <v>3600</v>
      </c>
      <c r="L110" s="19"/>
    </row>
    <row r="111" spans="1:12" ht="15.75" customHeight="1" x14ac:dyDescent="0.2">
      <c r="A111" s="14" t="str">
        <f>"engine_"&amp;VLOOKUP(F111, Factor!$BW$4:$BX$6, 2, 0)&amp;"_"&amp;D111&amp;"_"&amp;VLOOKUP(E111, Factor!$BY$4:$BZ$13, 2, 0)</f>
        <v>engine_Li_T6_005</v>
      </c>
      <c r="B111" s="15" t="str">
        <f t="shared" si="4"/>
        <v>T6 경량형 12기통엔진팩</v>
      </c>
      <c r="C111" s="15">
        <f>VLOOKUP(D111, Factor!$X$41:$Y$50, 2, 0)</f>
        <v>6000</v>
      </c>
      <c r="D111" s="15" t="s">
        <v>302</v>
      </c>
      <c r="E111" s="15" t="s">
        <v>661</v>
      </c>
      <c r="F111" s="56" t="s">
        <v>657</v>
      </c>
      <c r="G111" s="15" t="str">
        <f t="shared" si="3"/>
        <v>경량형 12기통</v>
      </c>
      <c r="H111" s="15">
        <v>1</v>
      </c>
      <c r="I111" s="15">
        <v>1</v>
      </c>
      <c r="J111" s="15" cm="1">
        <f t="array" ref="J111">H111*VLOOKUP($G111, Factor!$Y$4:$AA$36, 2, 0)*INDEX(Factor!$Y$41:$AA$87, _xlfn.XMATCH($C111, Factor!$Y$41:$Y$87, -1), 2)</f>
        <v>120</v>
      </c>
      <c r="K111" s="15" cm="1">
        <f t="array" ref="K111">I111*VLOOKUP($G111, Factor!$Y$4:$AA$36, 3, 0)*INDEX(Factor!$Y$41:$AA$87, _xlfn.XMATCH($C111, Factor!$Y$41:$Y$87, -1), 3)</f>
        <v>5000</v>
      </c>
      <c r="L111" s="16"/>
    </row>
    <row r="112" spans="1:12" ht="15.75" customHeight="1" x14ac:dyDescent="0.2">
      <c r="A112" s="17" t="str">
        <f>"engine_"&amp;VLOOKUP(F112, Factor!$BW$4:$BX$6, 2, 0)&amp;"_"&amp;D112&amp;"_"&amp;VLOOKUP(E112, Factor!$BY$4:$BZ$13, 2, 0)</f>
        <v>engine_Li_T6_006</v>
      </c>
      <c r="B112" s="18" t="str">
        <f t="shared" si="4"/>
        <v>T6 경량형 군용엔진팩</v>
      </c>
      <c r="C112" s="18">
        <f>VLOOKUP(D112, Factor!$X$41:$Y$50, 2, 0)</f>
        <v>6000</v>
      </c>
      <c r="D112" s="18" t="s">
        <v>302</v>
      </c>
      <c r="E112" s="18" t="s">
        <v>591</v>
      </c>
      <c r="F112" s="55" t="s">
        <v>657</v>
      </c>
      <c r="G112" s="18" t="str">
        <f t="shared" si="3"/>
        <v>경량형 군용</v>
      </c>
      <c r="H112" s="18">
        <v>1</v>
      </c>
      <c r="I112" s="18">
        <v>1</v>
      </c>
      <c r="J112" s="18" cm="1">
        <f t="array" ref="J112">H112*VLOOKUP($G112, Factor!$Y$4:$AA$36, 2, 0)*INDEX(Factor!$Y$41:$AA$87, _xlfn.XMATCH($C112, Factor!$Y$41:$Y$87, -1), 2)</f>
        <v>140</v>
      </c>
      <c r="K112" s="18" cm="1">
        <f t="array" ref="K112">I112*VLOOKUP($G112, Factor!$Y$4:$AA$36, 3, 0)*INDEX(Factor!$Y$41:$AA$87, _xlfn.XMATCH($C112, Factor!$Y$41:$Y$87, -1), 3)</f>
        <v>6000</v>
      </c>
      <c r="L112" s="19"/>
    </row>
    <row r="113" spans="1:12" ht="15.75" customHeight="1" x14ac:dyDescent="0.2">
      <c r="A113" s="14" t="str">
        <f>"engine_"&amp;VLOOKUP(F113, Factor!$BW$4:$BX$6, 2, 0)&amp;"_"&amp;D113&amp;"_"&amp;VLOOKUP(E113, Factor!$BY$4:$BZ$13, 2, 0)</f>
        <v>engine_No_T7_001</v>
      </c>
      <c r="B113" s="15" t="str">
        <f t="shared" si="4"/>
        <v>T7 표준 4기통엔진팩</v>
      </c>
      <c r="C113" s="15">
        <f>VLOOKUP(D113, Factor!$X$41:$Y$50, 2, 0)</f>
        <v>7000</v>
      </c>
      <c r="D113" s="15" t="s">
        <v>325</v>
      </c>
      <c r="E113" s="15" t="s">
        <v>662</v>
      </c>
      <c r="F113" s="56" t="s">
        <v>582</v>
      </c>
      <c r="G113" s="15" t="str">
        <f t="shared" si="3"/>
        <v>표준 4기통</v>
      </c>
      <c r="H113" s="15">
        <v>1</v>
      </c>
      <c r="I113" s="15">
        <v>1</v>
      </c>
      <c r="J113" s="15" cm="1">
        <f t="array" ref="J113">H113*VLOOKUP($G113, Factor!$Y$4:$AA$36, 2, 0)*INDEX(Factor!$Y$41:$AA$87, _xlfn.XMATCH($C113, Factor!$Y$41:$Y$87, -1), 2)</f>
        <v>22</v>
      </c>
      <c r="K113" s="15" cm="1">
        <f t="array" ref="K113">I113*VLOOKUP($G113, Factor!$Y$4:$AA$36, 3, 0)*INDEX(Factor!$Y$41:$AA$87, _xlfn.XMATCH($C113, Factor!$Y$41:$Y$87, -1), 3)</f>
        <v>1100</v>
      </c>
      <c r="L113" s="16"/>
    </row>
    <row r="114" spans="1:12" ht="15.75" customHeight="1" x14ac:dyDescent="0.2">
      <c r="A114" s="17" t="str">
        <f>"engine_"&amp;VLOOKUP(F114, Factor!$BW$4:$BX$6, 2, 0)&amp;"_"&amp;D114&amp;"_"&amp;VLOOKUP(E114, Factor!$BY$4:$BZ$13, 2, 0)</f>
        <v>engine_No_T7_002</v>
      </c>
      <c r="B114" s="18" t="str">
        <f t="shared" si="4"/>
        <v>T7 표준 6기통엔진팩</v>
      </c>
      <c r="C114" s="18">
        <f>VLOOKUP(D114, Factor!$X$41:$Y$50, 2, 0)</f>
        <v>7000</v>
      </c>
      <c r="D114" s="18" t="s">
        <v>325</v>
      </c>
      <c r="E114" s="18" t="s">
        <v>658</v>
      </c>
      <c r="F114" s="55" t="s">
        <v>582</v>
      </c>
      <c r="G114" s="18" t="str">
        <f t="shared" si="3"/>
        <v>표준 6기통</v>
      </c>
      <c r="H114" s="18">
        <v>1</v>
      </c>
      <c r="I114" s="18">
        <v>1</v>
      </c>
      <c r="J114" s="18" cm="1">
        <f t="array" ref="J114">H114*VLOOKUP($G114, Factor!$Y$4:$AA$36, 2, 0)*INDEX(Factor!$Y$41:$AA$87, _xlfn.XMATCH($C114, Factor!$Y$41:$Y$87, -1), 2)</f>
        <v>44</v>
      </c>
      <c r="K114" s="18" cm="1">
        <f t="array" ref="K114">I114*VLOOKUP($G114, Factor!$Y$4:$AA$36, 3, 0)*INDEX(Factor!$Y$41:$AA$87, _xlfn.XMATCH($C114, Factor!$Y$41:$Y$87, -1), 3)</f>
        <v>2200</v>
      </c>
      <c r="L114" s="19"/>
    </row>
    <row r="115" spans="1:12" ht="15.75" customHeight="1" x14ac:dyDescent="0.2">
      <c r="A115" s="14" t="str">
        <f>"engine_"&amp;VLOOKUP(F115, Factor!$BW$4:$BX$6, 2, 0)&amp;"_"&amp;D115&amp;"_"&amp;VLOOKUP(E115, Factor!$BY$4:$BZ$13, 2, 0)</f>
        <v>engine_No_T7_003</v>
      </c>
      <c r="B115" s="15" t="str">
        <f t="shared" si="4"/>
        <v>T7 표준 8기통엔진팩</v>
      </c>
      <c r="C115" s="15">
        <f>VLOOKUP(D115, Factor!$X$41:$Y$50, 2, 0)</f>
        <v>7000</v>
      </c>
      <c r="D115" s="15" t="s">
        <v>303</v>
      </c>
      <c r="E115" s="15" t="s">
        <v>659</v>
      </c>
      <c r="F115" s="56" t="s">
        <v>582</v>
      </c>
      <c r="G115" s="15" t="str">
        <f t="shared" si="3"/>
        <v>표준 8기통</v>
      </c>
      <c r="H115" s="15">
        <v>1</v>
      </c>
      <c r="I115" s="15">
        <v>1</v>
      </c>
      <c r="J115" s="15" cm="1">
        <f t="array" ref="J115">H115*VLOOKUP($G115, Factor!$Y$4:$AA$36, 2, 0)*INDEX(Factor!$Y$41:$AA$87, _xlfn.XMATCH($C115, Factor!$Y$41:$Y$87, -1), 2)</f>
        <v>88</v>
      </c>
      <c r="K115" s="15" cm="1">
        <f t="array" ref="K115">I115*VLOOKUP($G115, Factor!$Y$4:$AA$36, 3, 0)*INDEX(Factor!$Y$41:$AA$87, _xlfn.XMATCH($C115, Factor!$Y$41:$Y$87, -1), 3)</f>
        <v>4400</v>
      </c>
      <c r="L115" s="16"/>
    </row>
    <row r="116" spans="1:12" ht="15.75" customHeight="1" x14ac:dyDescent="0.2">
      <c r="A116" s="17" t="str">
        <f>"engine_"&amp;VLOOKUP(F116, Factor!$BW$4:$BX$6, 2, 0)&amp;"_"&amp;D116&amp;"_"&amp;VLOOKUP(E116, Factor!$BY$4:$BZ$13, 2, 0)</f>
        <v>engine_No_T7_004</v>
      </c>
      <c r="B116" s="18" t="str">
        <f t="shared" si="4"/>
        <v>T7 표준 10기통엔진팩</v>
      </c>
      <c r="C116" s="18">
        <f>VLOOKUP(D116, Factor!$X$41:$Y$50, 2, 0)</f>
        <v>7000</v>
      </c>
      <c r="D116" s="18" t="s">
        <v>303</v>
      </c>
      <c r="E116" s="18" t="s">
        <v>660</v>
      </c>
      <c r="F116" s="55" t="s">
        <v>582</v>
      </c>
      <c r="G116" s="18" t="str">
        <f t="shared" si="3"/>
        <v>표준 10기통</v>
      </c>
      <c r="H116" s="18">
        <v>1</v>
      </c>
      <c r="I116" s="18">
        <v>1</v>
      </c>
      <c r="J116" s="18" cm="1">
        <f t="array" ref="J116">H116*VLOOKUP($G116, Factor!$Y$4:$AA$36, 2, 0)*INDEX(Factor!$Y$41:$AA$87, _xlfn.XMATCH($C116, Factor!$Y$41:$Y$87, -1), 2)</f>
        <v>110.00000000000001</v>
      </c>
      <c r="K116" s="18" cm="1">
        <f t="array" ref="K116">I116*VLOOKUP($G116, Factor!$Y$4:$AA$36, 3, 0)*INDEX(Factor!$Y$41:$AA$87, _xlfn.XMATCH($C116, Factor!$Y$41:$Y$87, -1), 3)</f>
        <v>6600.0000000000009</v>
      </c>
      <c r="L116" s="19"/>
    </row>
    <row r="117" spans="1:12" ht="15.75" customHeight="1" x14ac:dyDescent="0.2">
      <c r="A117" s="14" t="str">
        <f>"engine_"&amp;VLOOKUP(F117, Factor!$BW$4:$BX$6, 2, 0)&amp;"_"&amp;D117&amp;"_"&amp;VLOOKUP(E117, Factor!$BY$4:$BZ$13, 2, 0)</f>
        <v>engine_No_T7_005</v>
      </c>
      <c r="B117" s="15" t="str">
        <f t="shared" si="4"/>
        <v>T7 표준 12기통엔진팩</v>
      </c>
      <c r="C117" s="15">
        <f>VLOOKUP(D117, Factor!$X$41:$Y$50, 2, 0)</f>
        <v>7000</v>
      </c>
      <c r="D117" s="15" t="s">
        <v>303</v>
      </c>
      <c r="E117" s="15" t="s">
        <v>661</v>
      </c>
      <c r="F117" s="56" t="s">
        <v>582</v>
      </c>
      <c r="G117" s="15" t="str">
        <f t="shared" si="3"/>
        <v>표준 12기통</v>
      </c>
      <c r="H117" s="15">
        <v>1</v>
      </c>
      <c r="I117" s="15">
        <v>1</v>
      </c>
      <c r="J117" s="15" cm="1">
        <f t="array" ref="J117">H117*VLOOKUP($G117, Factor!$Y$4:$AA$36, 2, 0)*INDEX(Factor!$Y$41:$AA$87, _xlfn.XMATCH($C117, Factor!$Y$41:$Y$87, -1), 2)</f>
        <v>154</v>
      </c>
      <c r="K117" s="15" cm="1">
        <f t="array" ref="K117">I117*VLOOKUP($G117, Factor!$Y$4:$AA$36, 3, 0)*INDEX(Factor!$Y$41:$AA$87, _xlfn.XMATCH($C117, Factor!$Y$41:$Y$87, -1), 3)</f>
        <v>8800</v>
      </c>
      <c r="L117" s="16"/>
    </row>
    <row r="118" spans="1:12" ht="15.75" customHeight="1" x14ac:dyDescent="0.2">
      <c r="A118" s="17" t="str">
        <f>"engine_"&amp;VLOOKUP(F118, Factor!$BW$4:$BX$6, 2, 0)&amp;"_"&amp;D118&amp;"_"&amp;VLOOKUP(E118, Factor!$BY$4:$BZ$13, 2, 0)</f>
        <v>engine_No_T7_006</v>
      </c>
      <c r="B118" s="18" t="str">
        <f t="shared" si="4"/>
        <v>T7 표준 군용엔진팩</v>
      </c>
      <c r="C118" s="18">
        <f>VLOOKUP(D118, Factor!$X$41:$Y$50, 2, 0)</f>
        <v>7000</v>
      </c>
      <c r="D118" s="18" t="s">
        <v>303</v>
      </c>
      <c r="E118" s="18" t="s">
        <v>591</v>
      </c>
      <c r="F118" s="55" t="s">
        <v>582</v>
      </c>
      <c r="G118" s="18" t="str">
        <f t="shared" si="3"/>
        <v>표준 군용</v>
      </c>
      <c r="H118" s="18">
        <v>1</v>
      </c>
      <c r="I118" s="18">
        <v>1</v>
      </c>
      <c r="J118" s="18" cm="1">
        <f t="array" ref="J118">H118*VLOOKUP($G118, Factor!$Y$4:$AA$36, 2, 0)*INDEX(Factor!$Y$41:$AA$87, _xlfn.XMATCH($C118, Factor!$Y$41:$Y$87, -1), 2)</f>
        <v>198.00000000000003</v>
      </c>
      <c r="K118" s="18" cm="1">
        <f t="array" ref="K118">I118*VLOOKUP($G118, Factor!$Y$4:$AA$36, 3, 0)*INDEX(Factor!$Y$41:$AA$87, _xlfn.XMATCH($C118, Factor!$Y$41:$Y$87, -1), 3)</f>
        <v>13200.000000000002</v>
      </c>
      <c r="L118" s="19"/>
    </row>
    <row r="119" spans="1:12" ht="15.75" customHeight="1" x14ac:dyDescent="0.2">
      <c r="A119" s="14" t="str">
        <f>"engine_"&amp;VLOOKUP(F119, Factor!$BW$4:$BX$6, 2, 0)&amp;"_"&amp;D119&amp;"_"&amp;VLOOKUP(E119, Factor!$BY$4:$BZ$13, 2, 0)</f>
        <v>engine_Hi_T7_001</v>
      </c>
      <c r="B119" s="15" t="str">
        <f t="shared" si="4"/>
        <v>T7 고성능 4기통엔진팩</v>
      </c>
      <c r="C119" s="15">
        <f>VLOOKUP(D119, Factor!$X$41:$Y$50, 2, 0)</f>
        <v>7000</v>
      </c>
      <c r="D119" s="15" t="s">
        <v>303</v>
      </c>
      <c r="E119" s="15" t="s">
        <v>662</v>
      </c>
      <c r="F119" s="56" t="s">
        <v>644</v>
      </c>
      <c r="G119" s="15" t="str">
        <f t="shared" si="3"/>
        <v>고성능 4기통</v>
      </c>
      <c r="H119" s="15">
        <v>1</v>
      </c>
      <c r="I119" s="15">
        <v>1</v>
      </c>
      <c r="J119" s="15" cm="1">
        <f t="array" ref="J119">H119*VLOOKUP($G119, Factor!$Y$4:$AA$36, 2, 0)*INDEX(Factor!$Y$41:$AA$87, _xlfn.XMATCH($C119, Factor!$Y$41:$Y$87, -1), 2)</f>
        <v>44</v>
      </c>
      <c r="K119" s="15" cm="1">
        <f t="array" ref="K119">I119*VLOOKUP($G119, Factor!$Y$4:$AA$36, 3, 0)*INDEX(Factor!$Y$41:$AA$87, _xlfn.XMATCH($C119, Factor!$Y$41:$Y$87, -1), 3)</f>
        <v>3960.0000000000005</v>
      </c>
      <c r="L119" s="16"/>
    </row>
    <row r="120" spans="1:12" ht="15.75" customHeight="1" x14ac:dyDescent="0.2">
      <c r="A120" s="17" t="str">
        <f>"engine_"&amp;VLOOKUP(F120, Factor!$BW$4:$BX$6, 2, 0)&amp;"_"&amp;D120&amp;"_"&amp;VLOOKUP(E120, Factor!$BY$4:$BZ$13, 2, 0)</f>
        <v>engine_Hi_T7_002</v>
      </c>
      <c r="B120" s="18" t="str">
        <f t="shared" si="4"/>
        <v>T7 고성능 6기통엔진팩</v>
      </c>
      <c r="C120" s="18">
        <f>VLOOKUP(D120, Factor!$X$41:$Y$50, 2, 0)</f>
        <v>7000</v>
      </c>
      <c r="D120" s="18" t="s">
        <v>303</v>
      </c>
      <c r="E120" s="18" t="s">
        <v>658</v>
      </c>
      <c r="F120" s="55" t="s">
        <v>644</v>
      </c>
      <c r="G120" s="18" t="str">
        <f t="shared" si="3"/>
        <v>고성능 6기통</v>
      </c>
      <c r="H120" s="18">
        <v>1</v>
      </c>
      <c r="I120" s="18">
        <v>1</v>
      </c>
      <c r="J120" s="18" cm="1">
        <f t="array" ref="J120">H120*VLOOKUP($G120, Factor!$Y$4:$AA$36, 2, 0)*INDEX(Factor!$Y$41:$AA$87, _xlfn.XMATCH($C120, Factor!$Y$41:$Y$87, -1), 2)</f>
        <v>88</v>
      </c>
      <c r="K120" s="18" cm="1">
        <f t="array" ref="K120">I120*VLOOKUP($G120, Factor!$Y$4:$AA$36, 3, 0)*INDEX(Factor!$Y$41:$AA$87, _xlfn.XMATCH($C120, Factor!$Y$41:$Y$87, -1), 3)</f>
        <v>6600.0000000000009</v>
      </c>
      <c r="L120" s="19"/>
    </row>
    <row r="121" spans="1:12" ht="15.75" customHeight="1" x14ac:dyDescent="0.2">
      <c r="A121" s="14" t="str">
        <f>"engine_"&amp;VLOOKUP(F121, Factor!$BW$4:$BX$6, 2, 0)&amp;"_"&amp;D121&amp;"_"&amp;VLOOKUP(E121, Factor!$BY$4:$BZ$13, 2, 0)</f>
        <v>engine_Hi_T7_003</v>
      </c>
      <c r="B121" s="15" t="str">
        <f t="shared" si="4"/>
        <v>T7 고성능 8기통엔진팩</v>
      </c>
      <c r="C121" s="15">
        <f>VLOOKUP(D121, Factor!$X$41:$Y$50, 2, 0)</f>
        <v>7000</v>
      </c>
      <c r="D121" s="15" t="s">
        <v>303</v>
      </c>
      <c r="E121" s="15" t="s">
        <v>659</v>
      </c>
      <c r="F121" s="56" t="s">
        <v>644</v>
      </c>
      <c r="G121" s="15" t="str">
        <f t="shared" si="3"/>
        <v>고성능 8기통</v>
      </c>
      <c r="H121" s="15">
        <v>1</v>
      </c>
      <c r="I121" s="15">
        <v>1</v>
      </c>
      <c r="J121" s="15" cm="1">
        <f t="array" ref="J121">H121*VLOOKUP($G121, Factor!$Y$4:$AA$36, 2, 0)*INDEX(Factor!$Y$41:$AA$87, _xlfn.XMATCH($C121, Factor!$Y$41:$Y$87, -1), 2)</f>
        <v>132</v>
      </c>
      <c r="K121" s="15" cm="1">
        <f t="array" ref="K121">I121*VLOOKUP($G121, Factor!$Y$4:$AA$36, 3, 0)*INDEX(Factor!$Y$41:$AA$87, _xlfn.XMATCH($C121, Factor!$Y$41:$Y$87, -1), 3)</f>
        <v>8800</v>
      </c>
      <c r="L121" s="16"/>
    </row>
    <row r="122" spans="1:12" ht="15.75" customHeight="1" x14ac:dyDescent="0.2">
      <c r="A122" s="17" t="str">
        <f>"engine_"&amp;VLOOKUP(F122, Factor!$BW$4:$BX$6, 2, 0)&amp;"_"&amp;D122&amp;"_"&amp;VLOOKUP(E122, Factor!$BY$4:$BZ$13, 2, 0)</f>
        <v>engine_Hi_T7_004</v>
      </c>
      <c r="B122" s="18" t="str">
        <f t="shared" si="4"/>
        <v>T7 고성능 10기통엔진팩</v>
      </c>
      <c r="C122" s="18">
        <f>VLOOKUP(D122, Factor!$X$41:$Y$50, 2, 0)</f>
        <v>7000</v>
      </c>
      <c r="D122" s="18" t="s">
        <v>303</v>
      </c>
      <c r="E122" s="18" t="s">
        <v>660</v>
      </c>
      <c r="F122" s="55" t="s">
        <v>644</v>
      </c>
      <c r="G122" s="18" t="str">
        <f t="shared" si="3"/>
        <v>고성능 10기통</v>
      </c>
      <c r="H122" s="18">
        <v>1</v>
      </c>
      <c r="I122" s="18">
        <v>1</v>
      </c>
      <c r="J122" s="18" cm="1">
        <f t="array" ref="J122">H122*VLOOKUP($G122, Factor!$Y$4:$AA$36, 2, 0)*INDEX(Factor!$Y$41:$AA$87, _xlfn.XMATCH($C122, Factor!$Y$41:$Y$87, -1), 2)</f>
        <v>110.00000000000001</v>
      </c>
      <c r="K122" s="18" cm="1">
        <f t="array" ref="K122">I122*VLOOKUP($G122, Factor!$Y$4:$AA$36, 3, 0)*INDEX(Factor!$Y$41:$AA$87, _xlfn.XMATCH($C122, Factor!$Y$41:$Y$87, -1), 3)</f>
        <v>6600.0000000000009</v>
      </c>
      <c r="L122" s="19"/>
    </row>
    <row r="123" spans="1:12" ht="15.75" customHeight="1" x14ac:dyDescent="0.2">
      <c r="A123" s="14" t="str">
        <f>"engine_"&amp;VLOOKUP(F123, Factor!$BW$4:$BX$6, 2, 0)&amp;"_"&amp;D123&amp;"_"&amp;VLOOKUP(E123, Factor!$BY$4:$BZ$13, 2, 0)</f>
        <v>engine_Hi_T7_005</v>
      </c>
      <c r="B123" s="15" t="str">
        <f t="shared" si="4"/>
        <v>T7 고성능 12기통엔진팩</v>
      </c>
      <c r="C123" s="15">
        <f>VLOOKUP(D123, Factor!$X$41:$Y$50, 2, 0)</f>
        <v>7000</v>
      </c>
      <c r="D123" s="15" t="s">
        <v>303</v>
      </c>
      <c r="E123" s="15" t="s">
        <v>661</v>
      </c>
      <c r="F123" s="56" t="s">
        <v>644</v>
      </c>
      <c r="G123" s="15" t="str">
        <f t="shared" si="3"/>
        <v>고성능 12기통</v>
      </c>
      <c r="H123" s="15">
        <v>1</v>
      </c>
      <c r="I123" s="15">
        <v>1</v>
      </c>
      <c r="J123" s="15" cm="1">
        <f t="array" ref="J123">H123*VLOOKUP($G123, Factor!$Y$4:$AA$36, 2, 0)*INDEX(Factor!$Y$41:$AA$87, _xlfn.XMATCH($C123, Factor!$Y$41:$Y$87, -1), 2)</f>
        <v>264</v>
      </c>
      <c r="K123" s="15" cm="1">
        <f t="array" ref="K123">I123*VLOOKUP($G123, Factor!$Y$4:$AA$36, 3, 0)*INDEX(Factor!$Y$41:$AA$87, _xlfn.XMATCH($C123, Factor!$Y$41:$Y$87, -1), 3)</f>
        <v>13200.000000000002</v>
      </c>
      <c r="L123" s="16"/>
    </row>
    <row r="124" spans="1:12" ht="15.75" customHeight="1" x14ac:dyDescent="0.2">
      <c r="A124" s="17" t="str">
        <f>"engine_"&amp;VLOOKUP(F124, Factor!$BW$4:$BX$6, 2, 0)&amp;"_"&amp;D124&amp;"_"&amp;VLOOKUP(E124, Factor!$BY$4:$BZ$13, 2, 0)</f>
        <v>engine_Hi_T7_006</v>
      </c>
      <c r="B124" s="18" t="str">
        <f t="shared" si="4"/>
        <v>T7 고성능 군용엔진팩</v>
      </c>
      <c r="C124" s="18">
        <f>VLOOKUP(D124, Factor!$X$41:$Y$50, 2, 0)</f>
        <v>7000</v>
      </c>
      <c r="D124" s="18" t="s">
        <v>303</v>
      </c>
      <c r="E124" s="18" t="s">
        <v>591</v>
      </c>
      <c r="F124" s="55" t="s">
        <v>644</v>
      </c>
      <c r="G124" s="18" t="str">
        <f t="shared" si="3"/>
        <v>고성능 군용</v>
      </c>
      <c r="H124" s="18">
        <v>1</v>
      </c>
      <c r="I124" s="18">
        <v>1</v>
      </c>
      <c r="J124" s="18" cm="1">
        <f t="array" ref="J124">H124*VLOOKUP($G124, Factor!$Y$4:$AA$36, 2, 0)*INDEX(Factor!$Y$41:$AA$87, _xlfn.XMATCH($C124, Factor!$Y$41:$Y$87, -1), 2)</f>
        <v>330</v>
      </c>
      <c r="K124" s="18" cm="1">
        <f t="array" ref="K124">I124*VLOOKUP($G124, Factor!$Y$4:$AA$36, 3, 0)*INDEX(Factor!$Y$41:$AA$87, _xlfn.XMATCH($C124, Factor!$Y$41:$Y$87, -1), 3)</f>
        <v>26400.000000000004</v>
      </c>
      <c r="L124" s="19"/>
    </row>
    <row r="125" spans="1:12" ht="15.75" customHeight="1" x14ac:dyDescent="0.2">
      <c r="A125" s="14" t="str">
        <f>"engine_"&amp;VLOOKUP(F125, Factor!$BW$4:$BX$6, 2, 0)&amp;"_"&amp;D125&amp;"_"&amp;VLOOKUP(E125, Factor!$BY$4:$BZ$13, 2, 0)</f>
        <v>engine_Li_T7_001</v>
      </c>
      <c r="B125" s="15" t="str">
        <f t="shared" si="4"/>
        <v>T7 경량형 4기통엔진팩</v>
      </c>
      <c r="C125" s="15">
        <f>VLOOKUP(D125, Factor!$X$41:$Y$50, 2, 0)</f>
        <v>7000</v>
      </c>
      <c r="D125" s="15" t="s">
        <v>303</v>
      </c>
      <c r="E125" s="15" t="s">
        <v>662</v>
      </c>
      <c r="F125" s="56" t="s">
        <v>657</v>
      </c>
      <c r="G125" s="15" t="str">
        <f t="shared" si="3"/>
        <v>경량형 4기통</v>
      </c>
      <c r="H125" s="15">
        <v>1</v>
      </c>
      <c r="I125" s="15">
        <v>1</v>
      </c>
      <c r="J125" s="15" cm="1">
        <f t="array" ref="J125">H125*VLOOKUP($G125, Factor!$Y$4:$AA$36, 2, 0)*INDEX(Factor!$Y$41:$AA$87, _xlfn.XMATCH($C125, Factor!$Y$41:$Y$87, -1), 2)</f>
        <v>15.400000000000002</v>
      </c>
      <c r="K125" s="15" cm="1">
        <f t="array" ref="K125">I125*VLOOKUP($G125, Factor!$Y$4:$AA$36, 3, 0)*INDEX(Factor!$Y$41:$AA$87, _xlfn.XMATCH($C125, Factor!$Y$41:$Y$87, -1), 3)</f>
        <v>660</v>
      </c>
      <c r="L125" s="16"/>
    </row>
    <row r="126" spans="1:12" ht="15.75" customHeight="1" x14ac:dyDescent="0.2">
      <c r="A126" s="17" t="str">
        <f>"engine_"&amp;VLOOKUP(F126, Factor!$BW$4:$BX$6, 2, 0)&amp;"_"&amp;D126&amp;"_"&amp;VLOOKUP(E126, Factor!$BY$4:$BZ$13, 2, 0)</f>
        <v>engine_Li_T7_002</v>
      </c>
      <c r="B126" s="18" t="str">
        <f t="shared" si="4"/>
        <v>T7 경량형 6기통엔진팩</v>
      </c>
      <c r="C126" s="18">
        <f>VLOOKUP(D126, Factor!$X$41:$Y$50, 2, 0)</f>
        <v>7000</v>
      </c>
      <c r="D126" s="18" t="s">
        <v>303</v>
      </c>
      <c r="E126" s="18" t="s">
        <v>658</v>
      </c>
      <c r="F126" s="55" t="s">
        <v>657</v>
      </c>
      <c r="G126" s="18" t="str">
        <f t="shared" si="3"/>
        <v>경량형 6기통</v>
      </c>
      <c r="H126" s="18">
        <v>1</v>
      </c>
      <c r="I126" s="18">
        <v>1</v>
      </c>
      <c r="J126" s="18" cm="1">
        <f t="array" ref="J126">H126*VLOOKUP($G126, Factor!$Y$4:$AA$36, 2, 0)*INDEX(Factor!$Y$41:$AA$87, _xlfn.XMATCH($C126, Factor!$Y$41:$Y$87, -1), 2)</f>
        <v>33</v>
      </c>
      <c r="K126" s="18" cm="1">
        <f t="array" ref="K126">I126*VLOOKUP($G126, Factor!$Y$4:$AA$36, 3, 0)*INDEX(Factor!$Y$41:$AA$87, _xlfn.XMATCH($C126, Factor!$Y$41:$Y$87, -1), 3)</f>
        <v>1540.0000000000002</v>
      </c>
      <c r="L126" s="19"/>
    </row>
    <row r="127" spans="1:12" ht="15.75" customHeight="1" x14ac:dyDescent="0.2">
      <c r="A127" s="14" t="str">
        <f>"engine_"&amp;VLOOKUP(F127, Factor!$BW$4:$BX$6, 2, 0)&amp;"_"&amp;D127&amp;"_"&amp;VLOOKUP(E127, Factor!$BY$4:$BZ$13, 2, 0)</f>
        <v>engine_Li_T7_003</v>
      </c>
      <c r="B127" s="15" t="str">
        <f t="shared" si="4"/>
        <v>T7 경량형 8기통엔진팩</v>
      </c>
      <c r="C127" s="15">
        <f>VLOOKUP(D127, Factor!$X$41:$Y$50, 2, 0)</f>
        <v>7000</v>
      </c>
      <c r="D127" s="15" t="s">
        <v>303</v>
      </c>
      <c r="E127" s="15" t="s">
        <v>659</v>
      </c>
      <c r="F127" s="56" t="s">
        <v>657</v>
      </c>
      <c r="G127" s="15" t="str">
        <f t="shared" si="3"/>
        <v>경량형 8기통</v>
      </c>
      <c r="H127" s="15">
        <v>1</v>
      </c>
      <c r="I127" s="15">
        <v>1</v>
      </c>
      <c r="J127" s="15" cm="1">
        <f t="array" ref="J127">H127*VLOOKUP($G127, Factor!$Y$4:$AA$36, 2, 0)*INDEX(Factor!$Y$41:$AA$87, _xlfn.XMATCH($C127, Factor!$Y$41:$Y$87, -1), 2)</f>
        <v>66</v>
      </c>
      <c r="K127" s="15" cm="1">
        <f t="array" ref="K127">I127*VLOOKUP($G127, Factor!$Y$4:$AA$36, 3, 0)*INDEX(Factor!$Y$41:$AA$87, _xlfn.XMATCH($C127, Factor!$Y$41:$Y$87, -1), 3)</f>
        <v>2640</v>
      </c>
      <c r="L127" s="16"/>
    </row>
    <row r="128" spans="1:12" ht="15.75" customHeight="1" x14ac:dyDescent="0.2">
      <c r="A128" s="17" t="str">
        <f>"engine_"&amp;VLOOKUP(F128, Factor!$BW$4:$BX$6, 2, 0)&amp;"_"&amp;D128&amp;"_"&amp;VLOOKUP(E128, Factor!$BY$4:$BZ$13, 2, 0)</f>
        <v>engine_Li_T7_004</v>
      </c>
      <c r="B128" s="18" t="str">
        <f t="shared" si="4"/>
        <v>T7 경량형 10기통엔진팩</v>
      </c>
      <c r="C128" s="18">
        <f>VLOOKUP(D128, Factor!$X$41:$Y$50, 2, 0)</f>
        <v>7000</v>
      </c>
      <c r="D128" s="18" t="s">
        <v>303</v>
      </c>
      <c r="E128" s="18" t="s">
        <v>660</v>
      </c>
      <c r="F128" s="55" t="s">
        <v>657</v>
      </c>
      <c r="G128" s="18" t="str">
        <f t="shared" si="3"/>
        <v>경량형 10기통</v>
      </c>
      <c r="H128" s="18">
        <v>1</v>
      </c>
      <c r="I128" s="18">
        <v>1</v>
      </c>
      <c r="J128" s="18" cm="1">
        <f t="array" ref="J128">H128*VLOOKUP($G128, Factor!$Y$4:$AA$36, 2, 0)*INDEX(Factor!$Y$41:$AA$87, _xlfn.XMATCH($C128, Factor!$Y$41:$Y$87, -1), 2)</f>
        <v>88</v>
      </c>
      <c r="K128" s="18" cm="1">
        <f t="array" ref="K128">I128*VLOOKUP($G128, Factor!$Y$4:$AA$36, 3, 0)*INDEX(Factor!$Y$41:$AA$87, _xlfn.XMATCH($C128, Factor!$Y$41:$Y$87, -1), 3)</f>
        <v>3960.0000000000005</v>
      </c>
      <c r="L128" s="19"/>
    </row>
    <row r="129" spans="1:12" ht="15.75" customHeight="1" x14ac:dyDescent="0.2">
      <c r="A129" s="14" t="str">
        <f>"engine_"&amp;VLOOKUP(F129, Factor!$BW$4:$BX$6, 2, 0)&amp;"_"&amp;D129&amp;"_"&amp;VLOOKUP(E129, Factor!$BY$4:$BZ$13, 2, 0)</f>
        <v>engine_Li_T7_005</v>
      </c>
      <c r="B129" s="15" t="str">
        <f t="shared" si="4"/>
        <v>T7 경량형 12기통엔진팩</v>
      </c>
      <c r="C129" s="15">
        <f>VLOOKUP(D129, Factor!$X$41:$Y$50, 2, 0)</f>
        <v>7000</v>
      </c>
      <c r="D129" s="15" t="s">
        <v>303</v>
      </c>
      <c r="E129" s="15" t="s">
        <v>661</v>
      </c>
      <c r="F129" s="56" t="s">
        <v>657</v>
      </c>
      <c r="G129" s="15" t="str">
        <f t="shared" si="3"/>
        <v>경량형 12기통</v>
      </c>
      <c r="H129" s="15">
        <v>1</v>
      </c>
      <c r="I129" s="15">
        <v>1</v>
      </c>
      <c r="J129" s="15" cm="1">
        <f t="array" ref="J129">H129*VLOOKUP($G129, Factor!$Y$4:$AA$36, 2, 0)*INDEX(Factor!$Y$41:$AA$87, _xlfn.XMATCH($C129, Factor!$Y$41:$Y$87, -1), 2)</f>
        <v>132</v>
      </c>
      <c r="K129" s="15" cm="1">
        <f t="array" ref="K129">I129*VLOOKUP($G129, Factor!$Y$4:$AA$36, 3, 0)*INDEX(Factor!$Y$41:$AA$87, _xlfn.XMATCH($C129, Factor!$Y$41:$Y$87, -1), 3)</f>
        <v>5500</v>
      </c>
      <c r="L129" s="16"/>
    </row>
    <row r="130" spans="1:12" ht="15.75" customHeight="1" x14ac:dyDescent="0.2">
      <c r="A130" s="17" t="str">
        <f>"engine_"&amp;VLOOKUP(F130, Factor!$BW$4:$BX$6, 2, 0)&amp;"_"&amp;D130&amp;"_"&amp;VLOOKUP(E130, Factor!$BY$4:$BZ$13, 2, 0)</f>
        <v>engine_Li_T7_006</v>
      </c>
      <c r="B130" s="18" t="str">
        <f t="shared" si="4"/>
        <v>T7 경량형 군용엔진팩</v>
      </c>
      <c r="C130" s="18">
        <f>VLOOKUP(D130, Factor!$X$41:$Y$50, 2, 0)</f>
        <v>7000</v>
      </c>
      <c r="D130" s="18" t="s">
        <v>303</v>
      </c>
      <c r="E130" s="18" t="s">
        <v>591</v>
      </c>
      <c r="F130" s="55" t="s">
        <v>657</v>
      </c>
      <c r="G130" s="18" t="str">
        <f t="shared" si="3"/>
        <v>경량형 군용</v>
      </c>
      <c r="H130" s="18">
        <v>1</v>
      </c>
      <c r="I130" s="18">
        <v>1</v>
      </c>
      <c r="J130" s="18" cm="1">
        <f t="array" ref="J130">H130*VLOOKUP($G130, Factor!$Y$4:$AA$36, 2, 0)*INDEX(Factor!$Y$41:$AA$87, _xlfn.XMATCH($C130, Factor!$Y$41:$Y$87, -1), 2)</f>
        <v>154</v>
      </c>
      <c r="K130" s="18" cm="1">
        <f t="array" ref="K130">I130*VLOOKUP($G130, Factor!$Y$4:$AA$36, 3, 0)*INDEX(Factor!$Y$41:$AA$87, _xlfn.XMATCH($C130, Factor!$Y$41:$Y$87, -1), 3)</f>
        <v>6600.0000000000009</v>
      </c>
      <c r="L130" s="19"/>
    </row>
    <row r="131" spans="1:12" ht="15.75" customHeight="1" x14ac:dyDescent="0.2">
      <c r="A131" s="14" t="str">
        <f>"engine_"&amp;VLOOKUP(F131, Factor!$BW$4:$BX$6, 2, 0)&amp;"_"&amp;D131&amp;"_"&amp;VLOOKUP(E131, Factor!$BY$4:$BZ$13, 2, 0)</f>
        <v>engine_No_T8_001</v>
      </c>
      <c r="B131" s="15" t="str">
        <f t="shared" si="4"/>
        <v>T8 표준 4기통엔진팩</v>
      </c>
      <c r="C131" s="15">
        <f>VLOOKUP(D131, Factor!$X$41:$Y$50, 2, 0)</f>
        <v>8000</v>
      </c>
      <c r="D131" s="15" t="s">
        <v>326</v>
      </c>
      <c r="E131" s="15" t="s">
        <v>662</v>
      </c>
      <c r="F131" s="56" t="s">
        <v>582</v>
      </c>
      <c r="G131" s="15" t="str">
        <f t="shared" si="3"/>
        <v>표준 4기통</v>
      </c>
      <c r="H131" s="15">
        <v>1</v>
      </c>
      <c r="I131" s="15">
        <v>1</v>
      </c>
      <c r="J131" s="15" cm="1">
        <f t="array" ref="J131">H131*VLOOKUP($G131, Factor!$Y$4:$AA$36, 2, 0)*INDEX(Factor!$Y$41:$AA$87, _xlfn.XMATCH($C131, Factor!$Y$41:$Y$87, -1), 2)</f>
        <v>24</v>
      </c>
      <c r="K131" s="15" cm="1">
        <f t="array" ref="K131">I131*VLOOKUP($G131, Factor!$Y$4:$AA$36, 3, 0)*INDEX(Factor!$Y$41:$AA$87, _xlfn.XMATCH($C131, Factor!$Y$41:$Y$87, -1), 3)</f>
        <v>1200</v>
      </c>
      <c r="L131" s="16"/>
    </row>
    <row r="132" spans="1:12" ht="15.75" customHeight="1" x14ac:dyDescent="0.2">
      <c r="A132" s="17" t="str">
        <f>"engine_"&amp;VLOOKUP(F132, Factor!$BW$4:$BX$6, 2, 0)&amp;"_"&amp;D132&amp;"_"&amp;VLOOKUP(E132, Factor!$BY$4:$BZ$13, 2, 0)</f>
        <v>engine_No_T8_002</v>
      </c>
      <c r="B132" s="18" t="str">
        <f t="shared" si="4"/>
        <v>T8 표준 6기통엔진팩</v>
      </c>
      <c r="C132" s="18">
        <f>VLOOKUP(D132, Factor!$X$41:$Y$50, 2, 0)</f>
        <v>8000</v>
      </c>
      <c r="D132" s="18" t="s">
        <v>326</v>
      </c>
      <c r="E132" s="18" t="s">
        <v>658</v>
      </c>
      <c r="F132" s="55" t="s">
        <v>582</v>
      </c>
      <c r="G132" s="18" t="str">
        <f t="shared" si="3"/>
        <v>표준 6기통</v>
      </c>
      <c r="H132" s="18">
        <v>1</v>
      </c>
      <c r="I132" s="18">
        <v>1</v>
      </c>
      <c r="J132" s="18" cm="1">
        <f t="array" ref="J132">H132*VLOOKUP($G132, Factor!$Y$4:$AA$36, 2, 0)*INDEX(Factor!$Y$41:$AA$87, _xlfn.XMATCH($C132, Factor!$Y$41:$Y$87, -1), 2)</f>
        <v>48</v>
      </c>
      <c r="K132" s="18" cm="1">
        <f t="array" ref="K132">I132*VLOOKUP($G132, Factor!$Y$4:$AA$36, 3, 0)*INDEX(Factor!$Y$41:$AA$87, _xlfn.XMATCH($C132, Factor!$Y$41:$Y$87, -1), 3)</f>
        <v>2400</v>
      </c>
      <c r="L132" s="19"/>
    </row>
    <row r="133" spans="1:12" ht="15.75" customHeight="1" x14ac:dyDescent="0.2">
      <c r="A133" s="14" t="str">
        <f>"engine_"&amp;VLOOKUP(F133, Factor!$BW$4:$BX$6, 2, 0)&amp;"_"&amp;D133&amp;"_"&amp;VLOOKUP(E133, Factor!$BY$4:$BZ$13, 2, 0)</f>
        <v>engine_No_T8_003</v>
      </c>
      <c r="B133" s="15" t="str">
        <f t="shared" si="4"/>
        <v>T8 표준 8기통엔진팩</v>
      </c>
      <c r="C133" s="15">
        <f>VLOOKUP(D133, Factor!$X$41:$Y$50, 2, 0)</f>
        <v>8000</v>
      </c>
      <c r="D133" s="15" t="s">
        <v>304</v>
      </c>
      <c r="E133" s="15" t="s">
        <v>659</v>
      </c>
      <c r="F133" s="56" t="s">
        <v>582</v>
      </c>
      <c r="G133" s="15" t="str">
        <f t="shared" si="3"/>
        <v>표준 8기통</v>
      </c>
      <c r="H133" s="15">
        <v>1</v>
      </c>
      <c r="I133" s="15">
        <v>1</v>
      </c>
      <c r="J133" s="15" cm="1">
        <f t="array" ref="J133">H133*VLOOKUP($G133, Factor!$Y$4:$AA$36, 2, 0)*INDEX(Factor!$Y$41:$AA$87, _xlfn.XMATCH($C133, Factor!$Y$41:$Y$87, -1), 2)</f>
        <v>96</v>
      </c>
      <c r="K133" s="15" cm="1">
        <f t="array" ref="K133">I133*VLOOKUP($G133, Factor!$Y$4:$AA$36, 3, 0)*INDEX(Factor!$Y$41:$AA$87, _xlfn.XMATCH($C133, Factor!$Y$41:$Y$87, -1), 3)</f>
        <v>4800</v>
      </c>
      <c r="L133" s="16"/>
    </row>
    <row r="134" spans="1:12" ht="15.75" customHeight="1" x14ac:dyDescent="0.2">
      <c r="A134" s="17" t="str">
        <f>"engine_"&amp;VLOOKUP(F134, Factor!$BW$4:$BX$6, 2, 0)&amp;"_"&amp;D134&amp;"_"&amp;VLOOKUP(E134, Factor!$BY$4:$BZ$13, 2, 0)</f>
        <v>engine_No_T8_004</v>
      </c>
      <c r="B134" s="18" t="str">
        <f t="shared" si="4"/>
        <v>T8 표준 10기통엔진팩</v>
      </c>
      <c r="C134" s="18">
        <f>VLOOKUP(D134, Factor!$X$41:$Y$50, 2, 0)</f>
        <v>8000</v>
      </c>
      <c r="D134" s="18" t="s">
        <v>304</v>
      </c>
      <c r="E134" s="18" t="s">
        <v>660</v>
      </c>
      <c r="F134" s="55" t="s">
        <v>582</v>
      </c>
      <c r="G134" s="18" t="str">
        <f t="shared" ref="G134:G184" si="5">F134&amp;" "&amp;E134</f>
        <v>표준 10기통</v>
      </c>
      <c r="H134" s="18">
        <v>1</v>
      </c>
      <c r="I134" s="18">
        <v>1</v>
      </c>
      <c r="J134" s="18" cm="1">
        <f t="array" ref="J134">H134*VLOOKUP($G134, Factor!$Y$4:$AA$36, 2, 0)*INDEX(Factor!$Y$41:$AA$87, _xlfn.XMATCH($C134, Factor!$Y$41:$Y$87, -1), 2)</f>
        <v>120</v>
      </c>
      <c r="K134" s="18" cm="1">
        <f t="array" ref="K134">I134*VLOOKUP($G134, Factor!$Y$4:$AA$36, 3, 0)*INDEX(Factor!$Y$41:$AA$87, _xlfn.XMATCH($C134, Factor!$Y$41:$Y$87, -1), 3)</f>
        <v>7200</v>
      </c>
      <c r="L134" s="19"/>
    </row>
    <row r="135" spans="1:12" ht="15.75" customHeight="1" x14ac:dyDescent="0.2">
      <c r="A135" s="14" t="str">
        <f>"engine_"&amp;VLOOKUP(F135, Factor!$BW$4:$BX$6, 2, 0)&amp;"_"&amp;D135&amp;"_"&amp;VLOOKUP(E135, Factor!$BY$4:$BZ$13, 2, 0)</f>
        <v>engine_No_T8_005</v>
      </c>
      <c r="B135" s="15" t="str">
        <f t="shared" si="4"/>
        <v>T8 표준 12기통엔진팩</v>
      </c>
      <c r="C135" s="15">
        <f>VLOOKUP(D135, Factor!$X$41:$Y$50, 2, 0)</f>
        <v>8000</v>
      </c>
      <c r="D135" s="15" t="s">
        <v>304</v>
      </c>
      <c r="E135" s="15" t="s">
        <v>661</v>
      </c>
      <c r="F135" s="56" t="s">
        <v>582</v>
      </c>
      <c r="G135" s="15" t="str">
        <f t="shared" si="5"/>
        <v>표준 12기통</v>
      </c>
      <c r="H135" s="15">
        <v>1</v>
      </c>
      <c r="I135" s="15">
        <v>1</v>
      </c>
      <c r="J135" s="15" cm="1">
        <f t="array" ref="J135">H135*VLOOKUP($G135, Factor!$Y$4:$AA$36, 2, 0)*INDEX(Factor!$Y$41:$AA$87, _xlfn.XMATCH($C135, Factor!$Y$41:$Y$87, -1), 2)</f>
        <v>168</v>
      </c>
      <c r="K135" s="15" cm="1">
        <f t="array" ref="K135">I135*VLOOKUP($G135, Factor!$Y$4:$AA$36, 3, 0)*INDEX(Factor!$Y$41:$AA$87, _xlfn.XMATCH($C135, Factor!$Y$41:$Y$87, -1), 3)</f>
        <v>9600</v>
      </c>
      <c r="L135" s="16"/>
    </row>
    <row r="136" spans="1:12" ht="15.75" customHeight="1" x14ac:dyDescent="0.2">
      <c r="A136" s="17" t="str">
        <f>"engine_"&amp;VLOOKUP(F136, Factor!$BW$4:$BX$6, 2, 0)&amp;"_"&amp;D136&amp;"_"&amp;VLOOKUP(E136, Factor!$BY$4:$BZ$13, 2, 0)</f>
        <v>engine_No_T8_006</v>
      </c>
      <c r="B136" s="18" t="str">
        <f t="shared" si="4"/>
        <v>T8 표준 군용엔진팩</v>
      </c>
      <c r="C136" s="18">
        <f>VLOOKUP(D136, Factor!$X$41:$Y$50, 2, 0)</f>
        <v>8000</v>
      </c>
      <c r="D136" s="18" t="s">
        <v>304</v>
      </c>
      <c r="E136" s="18" t="s">
        <v>591</v>
      </c>
      <c r="F136" s="55" t="s">
        <v>582</v>
      </c>
      <c r="G136" s="18" t="str">
        <f t="shared" si="5"/>
        <v>표준 군용</v>
      </c>
      <c r="H136" s="18">
        <v>1</v>
      </c>
      <c r="I136" s="18">
        <v>1</v>
      </c>
      <c r="J136" s="18" cm="1">
        <f t="array" ref="J136">H136*VLOOKUP($G136, Factor!$Y$4:$AA$36, 2, 0)*INDEX(Factor!$Y$41:$AA$87, _xlfn.XMATCH($C136, Factor!$Y$41:$Y$87, -1), 2)</f>
        <v>216</v>
      </c>
      <c r="K136" s="18" cm="1">
        <f t="array" ref="K136">I136*VLOOKUP($G136, Factor!$Y$4:$AA$36, 3, 0)*INDEX(Factor!$Y$41:$AA$87, _xlfn.XMATCH($C136, Factor!$Y$41:$Y$87, -1), 3)</f>
        <v>14400</v>
      </c>
      <c r="L136" s="19"/>
    </row>
    <row r="137" spans="1:12" ht="15.75" customHeight="1" x14ac:dyDescent="0.2">
      <c r="A137" s="14" t="str">
        <f>"engine_"&amp;VLOOKUP(F137, Factor!$BW$4:$BX$6, 2, 0)&amp;"_"&amp;D137&amp;"_"&amp;VLOOKUP(E137, Factor!$BY$4:$BZ$13, 2, 0)</f>
        <v>engine_Hi_T8_001</v>
      </c>
      <c r="B137" s="15" t="str">
        <f t="shared" si="4"/>
        <v>T8 고성능 4기통엔진팩</v>
      </c>
      <c r="C137" s="15">
        <f>VLOOKUP(D137, Factor!$X$41:$Y$50, 2, 0)</f>
        <v>8000</v>
      </c>
      <c r="D137" s="15" t="s">
        <v>304</v>
      </c>
      <c r="E137" s="15" t="s">
        <v>662</v>
      </c>
      <c r="F137" s="56" t="s">
        <v>644</v>
      </c>
      <c r="G137" s="15" t="str">
        <f t="shared" si="5"/>
        <v>고성능 4기통</v>
      </c>
      <c r="H137" s="15">
        <v>1</v>
      </c>
      <c r="I137" s="15">
        <v>1</v>
      </c>
      <c r="J137" s="15" cm="1">
        <f t="array" ref="J137">H137*VLOOKUP($G137, Factor!$Y$4:$AA$36, 2, 0)*INDEX(Factor!$Y$41:$AA$87, _xlfn.XMATCH($C137, Factor!$Y$41:$Y$87, -1), 2)</f>
        <v>48</v>
      </c>
      <c r="K137" s="15" cm="1">
        <f t="array" ref="K137">I137*VLOOKUP($G137, Factor!$Y$4:$AA$36, 3, 0)*INDEX(Factor!$Y$41:$AA$87, _xlfn.XMATCH($C137, Factor!$Y$41:$Y$87, -1), 3)</f>
        <v>4320</v>
      </c>
      <c r="L137" s="16"/>
    </row>
    <row r="138" spans="1:12" ht="15.75" customHeight="1" x14ac:dyDescent="0.2">
      <c r="A138" s="17" t="str">
        <f>"engine_"&amp;VLOOKUP(F138, Factor!$BW$4:$BX$6, 2, 0)&amp;"_"&amp;D138&amp;"_"&amp;VLOOKUP(E138, Factor!$BY$4:$BZ$13, 2, 0)</f>
        <v>engine_Hi_T8_002</v>
      </c>
      <c r="B138" s="18" t="str">
        <f t="shared" si="4"/>
        <v>T8 고성능 6기통엔진팩</v>
      </c>
      <c r="C138" s="18">
        <f>VLOOKUP(D138, Factor!$X$41:$Y$50, 2, 0)</f>
        <v>8000</v>
      </c>
      <c r="D138" s="18" t="s">
        <v>304</v>
      </c>
      <c r="E138" s="18" t="s">
        <v>658</v>
      </c>
      <c r="F138" s="55" t="s">
        <v>644</v>
      </c>
      <c r="G138" s="18" t="str">
        <f t="shared" si="5"/>
        <v>고성능 6기통</v>
      </c>
      <c r="H138" s="18">
        <v>1</v>
      </c>
      <c r="I138" s="18">
        <v>1</v>
      </c>
      <c r="J138" s="18" cm="1">
        <f t="array" ref="J138">H138*VLOOKUP($G138, Factor!$Y$4:$AA$36, 2, 0)*INDEX(Factor!$Y$41:$AA$87, _xlfn.XMATCH($C138, Factor!$Y$41:$Y$87, -1), 2)</f>
        <v>96</v>
      </c>
      <c r="K138" s="18" cm="1">
        <f t="array" ref="K138">I138*VLOOKUP($G138, Factor!$Y$4:$AA$36, 3, 0)*INDEX(Factor!$Y$41:$AA$87, _xlfn.XMATCH($C138, Factor!$Y$41:$Y$87, -1), 3)</f>
        <v>7200</v>
      </c>
      <c r="L138" s="19"/>
    </row>
    <row r="139" spans="1:12" ht="15.75" customHeight="1" x14ac:dyDescent="0.2">
      <c r="A139" s="14" t="str">
        <f>"engine_"&amp;VLOOKUP(F139, Factor!$BW$4:$BX$6, 2, 0)&amp;"_"&amp;D139&amp;"_"&amp;VLOOKUP(E139, Factor!$BY$4:$BZ$13, 2, 0)</f>
        <v>engine_Hi_T8_003</v>
      </c>
      <c r="B139" s="15" t="str">
        <f t="shared" si="4"/>
        <v>T8 고성능 8기통엔진팩</v>
      </c>
      <c r="C139" s="15">
        <f>VLOOKUP(D139, Factor!$X$41:$Y$50, 2, 0)</f>
        <v>8000</v>
      </c>
      <c r="D139" s="15" t="s">
        <v>304</v>
      </c>
      <c r="E139" s="15" t="s">
        <v>659</v>
      </c>
      <c r="F139" s="56" t="s">
        <v>644</v>
      </c>
      <c r="G139" s="15" t="str">
        <f t="shared" si="5"/>
        <v>고성능 8기통</v>
      </c>
      <c r="H139" s="15">
        <v>1</v>
      </c>
      <c r="I139" s="15">
        <v>1</v>
      </c>
      <c r="J139" s="15" cm="1">
        <f t="array" ref="J139">H139*VLOOKUP($G139, Factor!$Y$4:$AA$36, 2, 0)*INDEX(Factor!$Y$41:$AA$87, _xlfn.XMATCH($C139, Factor!$Y$41:$Y$87, -1), 2)</f>
        <v>144</v>
      </c>
      <c r="K139" s="15" cm="1">
        <f t="array" ref="K139">I139*VLOOKUP($G139, Factor!$Y$4:$AA$36, 3, 0)*INDEX(Factor!$Y$41:$AA$87, _xlfn.XMATCH($C139, Factor!$Y$41:$Y$87, -1), 3)</f>
        <v>9600</v>
      </c>
      <c r="L139" s="16"/>
    </row>
    <row r="140" spans="1:12" ht="15.75" customHeight="1" x14ac:dyDescent="0.2">
      <c r="A140" s="17" t="str">
        <f>"engine_"&amp;VLOOKUP(F140, Factor!$BW$4:$BX$6, 2, 0)&amp;"_"&amp;D140&amp;"_"&amp;VLOOKUP(E140, Factor!$BY$4:$BZ$13, 2, 0)</f>
        <v>engine_Hi_T8_004</v>
      </c>
      <c r="B140" s="18" t="str">
        <f t="shared" si="4"/>
        <v>T8 고성능 10기통엔진팩</v>
      </c>
      <c r="C140" s="18">
        <f>VLOOKUP(D140, Factor!$X$41:$Y$50, 2, 0)</f>
        <v>8000</v>
      </c>
      <c r="D140" s="18" t="s">
        <v>304</v>
      </c>
      <c r="E140" s="18" t="s">
        <v>660</v>
      </c>
      <c r="F140" s="55" t="s">
        <v>644</v>
      </c>
      <c r="G140" s="18" t="str">
        <f t="shared" si="5"/>
        <v>고성능 10기통</v>
      </c>
      <c r="H140" s="18">
        <v>1</v>
      </c>
      <c r="I140" s="18">
        <v>1</v>
      </c>
      <c r="J140" s="18" cm="1">
        <f t="array" ref="J140">H140*VLOOKUP($G140, Factor!$Y$4:$AA$36, 2, 0)*INDEX(Factor!$Y$41:$AA$87, _xlfn.XMATCH($C140, Factor!$Y$41:$Y$87, -1), 2)</f>
        <v>120</v>
      </c>
      <c r="K140" s="18" cm="1">
        <f t="array" ref="K140">I140*VLOOKUP($G140, Factor!$Y$4:$AA$36, 3, 0)*INDEX(Factor!$Y$41:$AA$87, _xlfn.XMATCH($C140, Factor!$Y$41:$Y$87, -1), 3)</f>
        <v>7200</v>
      </c>
      <c r="L140" s="19"/>
    </row>
    <row r="141" spans="1:12" ht="15.75" customHeight="1" x14ac:dyDescent="0.2">
      <c r="A141" s="14" t="str">
        <f>"engine_"&amp;VLOOKUP(F141, Factor!$BW$4:$BX$6, 2, 0)&amp;"_"&amp;D141&amp;"_"&amp;VLOOKUP(E141, Factor!$BY$4:$BZ$13, 2, 0)</f>
        <v>engine_Hi_T8_005</v>
      </c>
      <c r="B141" s="15" t="str">
        <f t="shared" si="4"/>
        <v>T8 고성능 12기통엔진팩</v>
      </c>
      <c r="C141" s="15">
        <f>VLOOKUP(D141, Factor!$X$41:$Y$50, 2, 0)</f>
        <v>8000</v>
      </c>
      <c r="D141" s="15" t="s">
        <v>304</v>
      </c>
      <c r="E141" s="15" t="s">
        <v>661</v>
      </c>
      <c r="F141" s="56" t="s">
        <v>644</v>
      </c>
      <c r="G141" s="15" t="str">
        <f t="shared" si="5"/>
        <v>고성능 12기통</v>
      </c>
      <c r="H141" s="15">
        <v>1</v>
      </c>
      <c r="I141" s="15">
        <v>1</v>
      </c>
      <c r="J141" s="15" cm="1">
        <f t="array" ref="J141">H141*VLOOKUP($G141, Factor!$Y$4:$AA$36, 2, 0)*INDEX(Factor!$Y$41:$AA$87, _xlfn.XMATCH($C141, Factor!$Y$41:$Y$87, -1), 2)</f>
        <v>288</v>
      </c>
      <c r="K141" s="15" cm="1">
        <f t="array" ref="K141">I141*VLOOKUP($G141, Factor!$Y$4:$AA$36, 3, 0)*INDEX(Factor!$Y$41:$AA$87, _xlfn.XMATCH($C141, Factor!$Y$41:$Y$87, -1), 3)</f>
        <v>14400</v>
      </c>
      <c r="L141" s="16"/>
    </row>
    <row r="142" spans="1:12" ht="15.75" customHeight="1" x14ac:dyDescent="0.2">
      <c r="A142" s="17" t="str">
        <f>"engine_"&amp;VLOOKUP(F142, Factor!$BW$4:$BX$6, 2, 0)&amp;"_"&amp;D142&amp;"_"&amp;VLOOKUP(E142, Factor!$BY$4:$BZ$13, 2, 0)</f>
        <v>engine_Hi_T8_006</v>
      </c>
      <c r="B142" s="18" t="str">
        <f t="shared" si="4"/>
        <v>T8 고성능 군용엔진팩</v>
      </c>
      <c r="C142" s="18">
        <f>VLOOKUP(D142, Factor!$X$41:$Y$50, 2, 0)</f>
        <v>8000</v>
      </c>
      <c r="D142" s="18" t="s">
        <v>304</v>
      </c>
      <c r="E142" s="18" t="s">
        <v>591</v>
      </c>
      <c r="F142" s="55" t="s">
        <v>644</v>
      </c>
      <c r="G142" s="18" t="str">
        <f t="shared" si="5"/>
        <v>고성능 군용</v>
      </c>
      <c r="H142" s="18">
        <v>1</v>
      </c>
      <c r="I142" s="18">
        <v>1</v>
      </c>
      <c r="J142" s="18" cm="1">
        <f t="array" ref="J142">H142*VLOOKUP($G142, Factor!$Y$4:$AA$36, 2, 0)*INDEX(Factor!$Y$41:$AA$87, _xlfn.XMATCH($C142, Factor!$Y$41:$Y$87, -1), 2)</f>
        <v>360</v>
      </c>
      <c r="K142" s="18" cm="1">
        <f t="array" ref="K142">I142*VLOOKUP($G142, Factor!$Y$4:$AA$36, 3, 0)*INDEX(Factor!$Y$41:$AA$87, _xlfn.XMATCH($C142, Factor!$Y$41:$Y$87, -1), 3)</f>
        <v>28800</v>
      </c>
      <c r="L142" s="19"/>
    </row>
    <row r="143" spans="1:12" ht="15.75" customHeight="1" x14ac:dyDescent="0.2">
      <c r="A143" s="14" t="str">
        <f>"engine_"&amp;VLOOKUP(F143, Factor!$BW$4:$BX$6, 2, 0)&amp;"_"&amp;D143&amp;"_"&amp;VLOOKUP(E143, Factor!$BY$4:$BZ$13, 2, 0)</f>
        <v>engine_Li_T8_001</v>
      </c>
      <c r="B143" s="15" t="str">
        <f t="shared" si="4"/>
        <v>T8 경량형 4기통엔진팩</v>
      </c>
      <c r="C143" s="15">
        <f>VLOOKUP(D143, Factor!$X$41:$Y$50, 2, 0)</f>
        <v>8000</v>
      </c>
      <c r="D143" s="15" t="s">
        <v>304</v>
      </c>
      <c r="E143" s="15" t="s">
        <v>662</v>
      </c>
      <c r="F143" s="56" t="s">
        <v>657</v>
      </c>
      <c r="G143" s="15" t="str">
        <f t="shared" si="5"/>
        <v>경량형 4기통</v>
      </c>
      <c r="H143" s="15">
        <v>1</v>
      </c>
      <c r="I143" s="15">
        <v>1</v>
      </c>
      <c r="J143" s="15" cm="1">
        <f t="array" ref="J143">H143*VLOOKUP($G143, Factor!$Y$4:$AA$36, 2, 0)*INDEX(Factor!$Y$41:$AA$87, _xlfn.XMATCH($C143, Factor!$Y$41:$Y$87, -1), 2)</f>
        <v>16.8</v>
      </c>
      <c r="K143" s="15" cm="1">
        <f t="array" ref="K143">I143*VLOOKUP($G143, Factor!$Y$4:$AA$36, 3, 0)*INDEX(Factor!$Y$41:$AA$87, _xlfn.XMATCH($C143, Factor!$Y$41:$Y$87, -1), 3)</f>
        <v>720</v>
      </c>
      <c r="L143" s="16"/>
    </row>
    <row r="144" spans="1:12" ht="15.75" customHeight="1" x14ac:dyDescent="0.2">
      <c r="A144" s="17" t="str">
        <f>"engine_"&amp;VLOOKUP(F144, Factor!$BW$4:$BX$6, 2, 0)&amp;"_"&amp;D144&amp;"_"&amp;VLOOKUP(E144, Factor!$BY$4:$BZ$13, 2, 0)</f>
        <v>engine_Li_T8_002</v>
      </c>
      <c r="B144" s="18" t="str">
        <f t="shared" si="4"/>
        <v>T8 경량형 6기통엔진팩</v>
      </c>
      <c r="C144" s="18">
        <f>VLOOKUP(D144, Factor!$X$41:$Y$50, 2, 0)</f>
        <v>8000</v>
      </c>
      <c r="D144" s="18" t="s">
        <v>304</v>
      </c>
      <c r="E144" s="18" t="s">
        <v>658</v>
      </c>
      <c r="F144" s="55" t="s">
        <v>657</v>
      </c>
      <c r="G144" s="18" t="str">
        <f t="shared" si="5"/>
        <v>경량형 6기통</v>
      </c>
      <c r="H144" s="18">
        <v>1</v>
      </c>
      <c r="I144" s="18">
        <v>1</v>
      </c>
      <c r="J144" s="18" cm="1">
        <f t="array" ref="J144">H144*VLOOKUP($G144, Factor!$Y$4:$AA$36, 2, 0)*INDEX(Factor!$Y$41:$AA$87, _xlfn.XMATCH($C144, Factor!$Y$41:$Y$87, -1), 2)</f>
        <v>36</v>
      </c>
      <c r="K144" s="18" cm="1">
        <f t="array" ref="K144">I144*VLOOKUP($G144, Factor!$Y$4:$AA$36, 3, 0)*INDEX(Factor!$Y$41:$AA$87, _xlfn.XMATCH($C144, Factor!$Y$41:$Y$87, -1), 3)</f>
        <v>1680</v>
      </c>
      <c r="L144" s="19"/>
    </row>
    <row r="145" spans="1:12" ht="15.75" customHeight="1" x14ac:dyDescent="0.2">
      <c r="A145" s="14" t="str">
        <f>"engine_"&amp;VLOOKUP(F145, Factor!$BW$4:$BX$6, 2, 0)&amp;"_"&amp;D145&amp;"_"&amp;VLOOKUP(E145, Factor!$BY$4:$BZ$13, 2, 0)</f>
        <v>engine_Li_T8_003</v>
      </c>
      <c r="B145" s="15" t="str">
        <f t="shared" si="4"/>
        <v>T8 경량형 8기통엔진팩</v>
      </c>
      <c r="C145" s="15">
        <f>VLOOKUP(D145, Factor!$X$41:$Y$50, 2, 0)</f>
        <v>8000</v>
      </c>
      <c r="D145" s="15" t="s">
        <v>304</v>
      </c>
      <c r="E145" s="15" t="s">
        <v>659</v>
      </c>
      <c r="F145" s="56" t="s">
        <v>657</v>
      </c>
      <c r="G145" s="15" t="str">
        <f t="shared" si="5"/>
        <v>경량형 8기통</v>
      </c>
      <c r="H145" s="15">
        <v>1</v>
      </c>
      <c r="I145" s="15">
        <v>1</v>
      </c>
      <c r="J145" s="15" cm="1">
        <f t="array" ref="J145">H145*VLOOKUP($G145, Factor!$Y$4:$AA$36, 2, 0)*INDEX(Factor!$Y$41:$AA$87, _xlfn.XMATCH($C145, Factor!$Y$41:$Y$87, -1), 2)</f>
        <v>72</v>
      </c>
      <c r="K145" s="15" cm="1">
        <f t="array" ref="K145">I145*VLOOKUP($G145, Factor!$Y$4:$AA$36, 3, 0)*INDEX(Factor!$Y$41:$AA$87, _xlfn.XMATCH($C145, Factor!$Y$41:$Y$87, -1), 3)</f>
        <v>2880</v>
      </c>
      <c r="L145" s="16"/>
    </row>
    <row r="146" spans="1:12" ht="15.75" customHeight="1" x14ac:dyDescent="0.2">
      <c r="A146" s="17" t="str">
        <f>"engine_"&amp;VLOOKUP(F146, Factor!$BW$4:$BX$6, 2, 0)&amp;"_"&amp;D146&amp;"_"&amp;VLOOKUP(E146, Factor!$BY$4:$BZ$13, 2, 0)</f>
        <v>engine_Li_T8_004</v>
      </c>
      <c r="B146" s="18" t="str">
        <f t="shared" si="4"/>
        <v>T8 경량형 10기통엔진팩</v>
      </c>
      <c r="C146" s="18">
        <f>VLOOKUP(D146, Factor!$X$41:$Y$50, 2, 0)</f>
        <v>8000</v>
      </c>
      <c r="D146" s="18" t="s">
        <v>304</v>
      </c>
      <c r="E146" s="18" t="s">
        <v>660</v>
      </c>
      <c r="F146" s="55" t="s">
        <v>657</v>
      </c>
      <c r="G146" s="18" t="str">
        <f t="shared" si="5"/>
        <v>경량형 10기통</v>
      </c>
      <c r="H146" s="18">
        <v>1</v>
      </c>
      <c r="I146" s="18">
        <v>1</v>
      </c>
      <c r="J146" s="18" cm="1">
        <f t="array" ref="J146">H146*VLOOKUP($G146, Factor!$Y$4:$AA$36, 2, 0)*INDEX(Factor!$Y$41:$AA$87, _xlfn.XMATCH($C146, Factor!$Y$41:$Y$87, -1), 2)</f>
        <v>96</v>
      </c>
      <c r="K146" s="18" cm="1">
        <f t="array" ref="K146">I146*VLOOKUP($G146, Factor!$Y$4:$AA$36, 3, 0)*INDEX(Factor!$Y$41:$AA$87, _xlfn.XMATCH($C146, Factor!$Y$41:$Y$87, -1), 3)</f>
        <v>4320</v>
      </c>
      <c r="L146" s="19"/>
    </row>
    <row r="147" spans="1:12" ht="15.75" customHeight="1" x14ac:dyDescent="0.2">
      <c r="A147" s="14" t="str">
        <f>"engine_"&amp;VLOOKUP(F147, Factor!$BW$4:$BX$6, 2, 0)&amp;"_"&amp;D147&amp;"_"&amp;VLOOKUP(E147, Factor!$BY$4:$BZ$13, 2, 0)</f>
        <v>engine_Li_T8_005</v>
      </c>
      <c r="B147" s="15" t="str">
        <f t="shared" si="4"/>
        <v>T8 경량형 12기통엔진팩</v>
      </c>
      <c r="C147" s="15">
        <f>VLOOKUP(D147, Factor!$X$41:$Y$50, 2, 0)</f>
        <v>8000</v>
      </c>
      <c r="D147" s="15" t="s">
        <v>304</v>
      </c>
      <c r="E147" s="15" t="s">
        <v>661</v>
      </c>
      <c r="F147" s="56" t="s">
        <v>657</v>
      </c>
      <c r="G147" s="15" t="str">
        <f t="shared" si="5"/>
        <v>경량형 12기통</v>
      </c>
      <c r="H147" s="15">
        <v>1</v>
      </c>
      <c r="I147" s="15">
        <v>1</v>
      </c>
      <c r="J147" s="15" cm="1">
        <f t="array" ref="J147">H147*VLOOKUP($G147, Factor!$Y$4:$AA$36, 2, 0)*INDEX(Factor!$Y$41:$AA$87, _xlfn.XMATCH($C147, Factor!$Y$41:$Y$87, -1), 2)</f>
        <v>144</v>
      </c>
      <c r="K147" s="15" cm="1">
        <f t="array" ref="K147">I147*VLOOKUP($G147, Factor!$Y$4:$AA$36, 3, 0)*INDEX(Factor!$Y$41:$AA$87, _xlfn.XMATCH($C147, Factor!$Y$41:$Y$87, -1), 3)</f>
        <v>6000</v>
      </c>
      <c r="L147" s="16"/>
    </row>
    <row r="148" spans="1:12" ht="15.75" customHeight="1" x14ac:dyDescent="0.2">
      <c r="A148" s="17" t="str">
        <f>"engine_"&amp;VLOOKUP(F148, Factor!$BW$4:$BX$6, 2, 0)&amp;"_"&amp;D148&amp;"_"&amp;VLOOKUP(E148, Factor!$BY$4:$BZ$13, 2, 0)</f>
        <v>engine_Li_T8_006</v>
      </c>
      <c r="B148" s="18" t="str">
        <f t="shared" si="4"/>
        <v>T8 경량형 군용엔진팩</v>
      </c>
      <c r="C148" s="18">
        <f>VLOOKUP(D148, Factor!$X$41:$Y$50, 2, 0)</f>
        <v>8000</v>
      </c>
      <c r="D148" s="18" t="s">
        <v>304</v>
      </c>
      <c r="E148" s="18" t="s">
        <v>591</v>
      </c>
      <c r="F148" s="55" t="s">
        <v>657</v>
      </c>
      <c r="G148" s="18" t="str">
        <f t="shared" si="5"/>
        <v>경량형 군용</v>
      </c>
      <c r="H148" s="18">
        <v>1</v>
      </c>
      <c r="I148" s="18">
        <v>1</v>
      </c>
      <c r="J148" s="18" cm="1">
        <f t="array" ref="J148">H148*VLOOKUP($G148, Factor!$Y$4:$AA$36, 2, 0)*INDEX(Factor!$Y$41:$AA$87, _xlfn.XMATCH($C148, Factor!$Y$41:$Y$87, -1), 2)</f>
        <v>168</v>
      </c>
      <c r="K148" s="18" cm="1">
        <f t="array" ref="K148">I148*VLOOKUP($G148, Factor!$Y$4:$AA$36, 3, 0)*INDEX(Factor!$Y$41:$AA$87, _xlfn.XMATCH($C148, Factor!$Y$41:$Y$87, -1), 3)</f>
        <v>7200</v>
      </c>
      <c r="L148" s="19"/>
    </row>
    <row r="149" spans="1:12" ht="15.75" customHeight="1" x14ac:dyDescent="0.2">
      <c r="A149" s="14" t="str">
        <f>"engine_"&amp;VLOOKUP(F149, Factor!$BW$4:$BX$6, 2, 0)&amp;"_"&amp;D149&amp;"_"&amp;VLOOKUP(E149, Factor!$BY$4:$BZ$13, 2, 0)</f>
        <v>engine_No_T9_001</v>
      </c>
      <c r="B149" s="15" t="str">
        <f t="shared" si="4"/>
        <v>T9 표준 4기통엔진팩</v>
      </c>
      <c r="C149" s="15">
        <f>VLOOKUP(D149, Factor!$X$41:$Y$50, 2, 0)</f>
        <v>9000</v>
      </c>
      <c r="D149" s="15" t="s">
        <v>327</v>
      </c>
      <c r="E149" s="15" t="s">
        <v>662</v>
      </c>
      <c r="F149" s="56" t="s">
        <v>582</v>
      </c>
      <c r="G149" s="15" t="str">
        <f t="shared" si="5"/>
        <v>표준 4기통</v>
      </c>
      <c r="H149" s="15">
        <v>1</v>
      </c>
      <c r="I149" s="15">
        <v>1</v>
      </c>
      <c r="J149" s="15" cm="1">
        <f t="array" ref="J149">H149*VLOOKUP($G149, Factor!$Y$4:$AA$36, 2, 0)*INDEX(Factor!$Y$41:$AA$87, _xlfn.XMATCH($C149, Factor!$Y$41:$Y$87, -1), 2)</f>
        <v>26</v>
      </c>
      <c r="K149" s="15" cm="1">
        <f t="array" ref="K149">I149*VLOOKUP($G149, Factor!$Y$4:$AA$36, 3, 0)*INDEX(Factor!$Y$41:$AA$87, _xlfn.XMATCH($C149, Factor!$Y$41:$Y$87, -1), 3)</f>
        <v>1300</v>
      </c>
      <c r="L149" s="16"/>
    </row>
    <row r="150" spans="1:12" ht="15.75" customHeight="1" x14ac:dyDescent="0.2">
      <c r="A150" s="17" t="str">
        <f>"engine_"&amp;VLOOKUP(F150, Factor!$BW$4:$BX$6, 2, 0)&amp;"_"&amp;D150&amp;"_"&amp;VLOOKUP(E150, Factor!$BY$4:$BZ$13, 2, 0)</f>
        <v>engine_No_T9_002</v>
      </c>
      <c r="B150" s="18" t="str">
        <f t="shared" si="4"/>
        <v>T9 표준 6기통엔진팩</v>
      </c>
      <c r="C150" s="18">
        <f>VLOOKUP(D150, Factor!$X$41:$Y$50, 2, 0)</f>
        <v>9000</v>
      </c>
      <c r="D150" s="18" t="s">
        <v>327</v>
      </c>
      <c r="E150" s="18" t="s">
        <v>658</v>
      </c>
      <c r="F150" s="55" t="s">
        <v>582</v>
      </c>
      <c r="G150" s="18" t="str">
        <f t="shared" si="5"/>
        <v>표준 6기통</v>
      </c>
      <c r="H150" s="18">
        <v>1</v>
      </c>
      <c r="I150" s="18">
        <v>1</v>
      </c>
      <c r="J150" s="18" cm="1">
        <f t="array" ref="J150">H150*VLOOKUP($G150, Factor!$Y$4:$AA$36, 2, 0)*INDEX(Factor!$Y$41:$AA$87, _xlfn.XMATCH($C150, Factor!$Y$41:$Y$87, -1), 2)</f>
        <v>52</v>
      </c>
      <c r="K150" s="18" cm="1">
        <f t="array" ref="K150">I150*VLOOKUP($G150, Factor!$Y$4:$AA$36, 3, 0)*INDEX(Factor!$Y$41:$AA$87, _xlfn.XMATCH($C150, Factor!$Y$41:$Y$87, -1), 3)</f>
        <v>2600</v>
      </c>
      <c r="L150" s="19"/>
    </row>
    <row r="151" spans="1:12" ht="15.75" customHeight="1" x14ac:dyDescent="0.2">
      <c r="A151" s="14" t="str">
        <f>"engine_"&amp;VLOOKUP(F151, Factor!$BW$4:$BX$6, 2, 0)&amp;"_"&amp;D151&amp;"_"&amp;VLOOKUP(E151, Factor!$BY$4:$BZ$13, 2, 0)</f>
        <v>engine_No_T9_003</v>
      </c>
      <c r="B151" s="15" t="str">
        <f t="shared" si="4"/>
        <v>T9 표준 8기통엔진팩</v>
      </c>
      <c r="C151" s="15">
        <f>VLOOKUP(D151, Factor!$X$41:$Y$50, 2, 0)</f>
        <v>9000</v>
      </c>
      <c r="D151" s="15" t="s">
        <v>305</v>
      </c>
      <c r="E151" s="15" t="s">
        <v>659</v>
      </c>
      <c r="F151" s="56" t="s">
        <v>582</v>
      </c>
      <c r="G151" s="15" t="str">
        <f t="shared" si="5"/>
        <v>표준 8기통</v>
      </c>
      <c r="H151" s="15">
        <v>1</v>
      </c>
      <c r="I151" s="15">
        <v>1</v>
      </c>
      <c r="J151" s="15" cm="1">
        <f t="array" ref="J151">H151*VLOOKUP($G151, Factor!$Y$4:$AA$36, 2, 0)*INDEX(Factor!$Y$41:$AA$87, _xlfn.XMATCH($C151, Factor!$Y$41:$Y$87, -1), 2)</f>
        <v>104</v>
      </c>
      <c r="K151" s="15" cm="1">
        <f t="array" ref="K151">I151*VLOOKUP($G151, Factor!$Y$4:$AA$36, 3, 0)*INDEX(Factor!$Y$41:$AA$87, _xlfn.XMATCH($C151, Factor!$Y$41:$Y$87, -1), 3)</f>
        <v>5200</v>
      </c>
      <c r="L151" s="16"/>
    </row>
    <row r="152" spans="1:12" ht="15.75" customHeight="1" x14ac:dyDescent="0.2">
      <c r="A152" s="17" t="str">
        <f>"engine_"&amp;VLOOKUP(F152, Factor!$BW$4:$BX$6, 2, 0)&amp;"_"&amp;D152&amp;"_"&amp;VLOOKUP(E152, Factor!$BY$4:$BZ$13, 2, 0)</f>
        <v>engine_No_T9_004</v>
      </c>
      <c r="B152" s="18" t="str">
        <f t="shared" si="4"/>
        <v>T9 표준 10기통엔진팩</v>
      </c>
      <c r="C152" s="18">
        <f>VLOOKUP(D152, Factor!$X$41:$Y$50, 2, 0)</f>
        <v>9000</v>
      </c>
      <c r="D152" s="18" t="s">
        <v>305</v>
      </c>
      <c r="E152" s="18" t="s">
        <v>660</v>
      </c>
      <c r="F152" s="55" t="s">
        <v>582</v>
      </c>
      <c r="G152" s="18" t="str">
        <f t="shared" si="5"/>
        <v>표준 10기통</v>
      </c>
      <c r="H152" s="18">
        <v>1</v>
      </c>
      <c r="I152" s="18">
        <v>1</v>
      </c>
      <c r="J152" s="18" cm="1">
        <f t="array" ref="J152">H152*VLOOKUP($G152, Factor!$Y$4:$AA$36, 2, 0)*INDEX(Factor!$Y$41:$AA$87, _xlfn.XMATCH($C152, Factor!$Y$41:$Y$87, -1), 2)</f>
        <v>130</v>
      </c>
      <c r="K152" s="18" cm="1">
        <f t="array" ref="K152">I152*VLOOKUP($G152, Factor!$Y$4:$AA$36, 3, 0)*INDEX(Factor!$Y$41:$AA$87, _xlfn.XMATCH($C152, Factor!$Y$41:$Y$87, -1), 3)</f>
        <v>7800</v>
      </c>
      <c r="L152" s="19"/>
    </row>
    <row r="153" spans="1:12" ht="15.75" customHeight="1" x14ac:dyDescent="0.2">
      <c r="A153" s="14" t="str">
        <f>"engine_"&amp;VLOOKUP(F153, Factor!$BW$4:$BX$6, 2, 0)&amp;"_"&amp;D153&amp;"_"&amp;VLOOKUP(E153, Factor!$BY$4:$BZ$13, 2, 0)</f>
        <v>engine_No_T9_005</v>
      </c>
      <c r="B153" s="15" t="str">
        <f t="shared" si="4"/>
        <v>T9 표준 12기통엔진팩</v>
      </c>
      <c r="C153" s="15">
        <f>VLOOKUP(D153, Factor!$X$41:$Y$50, 2, 0)</f>
        <v>9000</v>
      </c>
      <c r="D153" s="15" t="s">
        <v>305</v>
      </c>
      <c r="E153" s="15" t="s">
        <v>661</v>
      </c>
      <c r="F153" s="56" t="s">
        <v>582</v>
      </c>
      <c r="G153" s="15" t="str">
        <f t="shared" si="5"/>
        <v>표준 12기통</v>
      </c>
      <c r="H153" s="15">
        <v>1</v>
      </c>
      <c r="I153" s="15">
        <v>1</v>
      </c>
      <c r="J153" s="15" cm="1">
        <f t="array" ref="J153">H153*VLOOKUP($G153, Factor!$Y$4:$AA$36, 2, 0)*INDEX(Factor!$Y$41:$AA$87, _xlfn.XMATCH($C153, Factor!$Y$41:$Y$87, -1), 2)</f>
        <v>182</v>
      </c>
      <c r="K153" s="15" cm="1">
        <f t="array" ref="K153">I153*VLOOKUP($G153, Factor!$Y$4:$AA$36, 3, 0)*INDEX(Factor!$Y$41:$AA$87, _xlfn.XMATCH($C153, Factor!$Y$41:$Y$87, -1), 3)</f>
        <v>10400</v>
      </c>
      <c r="L153" s="16"/>
    </row>
    <row r="154" spans="1:12" ht="15.75" customHeight="1" x14ac:dyDescent="0.2">
      <c r="A154" s="17" t="str">
        <f>"engine_"&amp;VLOOKUP(F154, Factor!$BW$4:$BX$6, 2, 0)&amp;"_"&amp;D154&amp;"_"&amp;VLOOKUP(E154, Factor!$BY$4:$BZ$13, 2, 0)</f>
        <v>engine_No_T9_006</v>
      </c>
      <c r="B154" s="18" t="str">
        <f t="shared" si="4"/>
        <v>T9 표준 군용엔진팩</v>
      </c>
      <c r="C154" s="18">
        <f>VLOOKUP(D154, Factor!$X$41:$Y$50, 2, 0)</f>
        <v>9000</v>
      </c>
      <c r="D154" s="18" t="s">
        <v>305</v>
      </c>
      <c r="E154" s="18" t="s">
        <v>591</v>
      </c>
      <c r="F154" s="55" t="s">
        <v>582</v>
      </c>
      <c r="G154" s="18" t="str">
        <f t="shared" si="5"/>
        <v>표준 군용</v>
      </c>
      <c r="H154" s="18">
        <v>1</v>
      </c>
      <c r="I154" s="18">
        <v>1</v>
      </c>
      <c r="J154" s="18" cm="1">
        <f t="array" ref="J154">H154*VLOOKUP($G154, Factor!$Y$4:$AA$36, 2, 0)*INDEX(Factor!$Y$41:$AA$87, _xlfn.XMATCH($C154, Factor!$Y$41:$Y$87, -1), 2)</f>
        <v>234</v>
      </c>
      <c r="K154" s="18" cm="1">
        <f t="array" ref="K154">I154*VLOOKUP($G154, Factor!$Y$4:$AA$36, 3, 0)*INDEX(Factor!$Y$41:$AA$87, _xlfn.XMATCH($C154, Factor!$Y$41:$Y$87, -1), 3)</f>
        <v>15600</v>
      </c>
      <c r="L154" s="19"/>
    </row>
    <row r="155" spans="1:12" ht="15.75" customHeight="1" x14ac:dyDescent="0.2">
      <c r="A155" s="14" t="str">
        <f>"engine_"&amp;VLOOKUP(F155, Factor!$BW$4:$BX$6, 2, 0)&amp;"_"&amp;D155&amp;"_"&amp;VLOOKUP(E155, Factor!$BY$4:$BZ$13, 2, 0)</f>
        <v>engine_Hi_T9_001</v>
      </c>
      <c r="B155" s="15" t="str">
        <f t="shared" si="4"/>
        <v>T9 고성능 4기통엔진팩</v>
      </c>
      <c r="C155" s="15">
        <f>VLOOKUP(D155, Factor!$X$41:$Y$50, 2, 0)</f>
        <v>9000</v>
      </c>
      <c r="D155" s="15" t="s">
        <v>305</v>
      </c>
      <c r="E155" s="15" t="s">
        <v>662</v>
      </c>
      <c r="F155" s="56" t="s">
        <v>644</v>
      </c>
      <c r="G155" s="15" t="str">
        <f t="shared" si="5"/>
        <v>고성능 4기통</v>
      </c>
      <c r="H155" s="15">
        <v>1</v>
      </c>
      <c r="I155" s="15">
        <v>1</v>
      </c>
      <c r="J155" s="15" cm="1">
        <f t="array" ref="J155">H155*VLOOKUP($G155, Factor!$Y$4:$AA$36, 2, 0)*INDEX(Factor!$Y$41:$AA$87, _xlfn.XMATCH($C155, Factor!$Y$41:$Y$87, -1), 2)</f>
        <v>52</v>
      </c>
      <c r="K155" s="15" cm="1">
        <f t="array" ref="K155">I155*VLOOKUP($G155, Factor!$Y$4:$AA$36, 3, 0)*INDEX(Factor!$Y$41:$AA$87, _xlfn.XMATCH($C155, Factor!$Y$41:$Y$87, -1), 3)</f>
        <v>4680</v>
      </c>
      <c r="L155" s="16"/>
    </row>
    <row r="156" spans="1:12" ht="15.75" customHeight="1" x14ac:dyDescent="0.2">
      <c r="A156" s="17" t="str">
        <f>"engine_"&amp;VLOOKUP(F156, Factor!$BW$4:$BX$6, 2, 0)&amp;"_"&amp;D156&amp;"_"&amp;VLOOKUP(E156, Factor!$BY$4:$BZ$13, 2, 0)</f>
        <v>engine_Hi_T9_002</v>
      </c>
      <c r="B156" s="18" t="str">
        <f t="shared" si="4"/>
        <v>T9 고성능 6기통엔진팩</v>
      </c>
      <c r="C156" s="18">
        <f>VLOOKUP(D156, Factor!$X$41:$Y$50, 2, 0)</f>
        <v>9000</v>
      </c>
      <c r="D156" s="18" t="s">
        <v>305</v>
      </c>
      <c r="E156" s="18" t="s">
        <v>658</v>
      </c>
      <c r="F156" s="55" t="s">
        <v>644</v>
      </c>
      <c r="G156" s="18" t="str">
        <f t="shared" si="5"/>
        <v>고성능 6기통</v>
      </c>
      <c r="H156" s="18">
        <v>1</v>
      </c>
      <c r="I156" s="18">
        <v>1</v>
      </c>
      <c r="J156" s="18" cm="1">
        <f t="array" ref="J156">H156*VLOOKUP($G156, Factor!$Y$4:$AA$36, 2, 0)*INDEX(Factor!$Y$41:$AA$87, _xlfn.XMATCH($C156, Factor!$Y$41:$Y$87, -1), 2)</f>
        <v>104</v>
      </c>
      <c r="K156" s="18" cm="1">
        <f t="array" ref="K156">I156*VLOOKUP($G156, Factor!$Y$4:$AA$36, 3, 0)*INDEX(Factor!$Y$41:$AA$87, _xlfn.XMATCH($C156, Factor!$Y$41:$Y$87, -1), 3)</f>
        <v>7800</v>
      </c>
      <c r="L156" s="19"/>
    </row>
    <row r="157" spans="1:12" ht="15.75" customHeight="1" x14ac:dyDescent="0.2">
      <c r="A157" s="14" t="str">
        <f>"engine_"&amp;VLOOKUP(F157, Factor!$BW$4:$BX$6, 2, 0)&amp;"_"&amp;D157&amp;"_"&amp;VLOOKUP(E157, Factor!$BY$4:$BZ$13, 2, 0)</f>
        <v>engine_Hi_T9_003</v>
      </c>
      <c r="B157" s="15" t="str">
        <f t="shared" si="4"/>
        <v>T9 고성능 8기통엔진팩</v>
      </c>
      <c r="C157" s="15">
        <f>VLOOKUP(D157, Factor!$X$41:$Y$50, 2, 0)</f>
        <v>9000</v>
      </c>
      <c r="D157" s="15" t="s">
        <v>305</v>
      </c>
      <c r="E157" s="15" t="s">
        <v>659</v>
      </c>
      <c r="F157" s="56" t="s">
        <v>644</v>
      </c>
      <c r="G157" s="15" t="str">
        <f t="shared" si="5"/>
        <v>고성능 8기통</v>
      </c>
      <c r="H157" s="15">
        <v>1</v>
      </c>
      <c r="I157" s="15">
        <v>1</v>
      </c>
      <c r="J157" s="15" cm="1">
        <f t="array" ref="J157">H157*VLOOKUP($G157, Factor!$Y$4:$AA$36, 2, 0)*INDEX(Factor!$Y$41:$AA$87, _xlfn.XMATCH($C157, Factor!$Y$41:$Y$87, -1), 2)</f>
        <v>156</v>
      </c>
      <c r="K157" s="15" cm="1">
        <f t="array" ref="K157">I157*VLOOKUP($G157, Factor!$Y$4:$AA$36, 3, 0)*INDEX(Factor!$Y$41:$AA$87, _xlfn.XMATCH($C157, Factor!$Y$41:$Y$87, -1), 3)</f>
        <v>10400</v>
      </c>
      <c r="L157" s="16"/>
    </row>
    <row r="158" spans="1:12" ht="15.75" customHeight="1" x14ac:dyDescent="0.2">
      <c r="A158" s="17" t="str">
        <f>"engine_"&amp;VLOOKUP(F158, Factor!$BW$4:$BX$6, 2, 0)&amp;"_"&amp;D158&amp;"_"&amp;VLOOKUP(E158, Factor!$BY$4:$BZ$13, 2, 0)</f>
        <v>engine_Hi_T9_004</v>
      </c>
      <c r="B158" s="18" t="str">
        <f t="shared" si="4"/>
        <v>T9 고성능 10기통엔진팩</v>
      </c>
      <c r="C158" s="18">
        <f>VLOOKUP(D158, Factor!$X$41:$Y$50, 2, 0)</f>
        <v>9000</v>
      </c>
      <c r="D158" s="18" t="s">
        <v>305</v>
      </c>
      <c r="E158" s="18" t="s">
        <v>660</v>
      </c>
      <c r="F158" s="55" t="s">
        <v>644</v>
      </c>
      <c r="G158" s="18" t="str">
        <f t="shared" si="5"/>
        <v>고성능 10기통</v>
      </c>
      <c r="H158" s="18">
        <v>1</v>
      </c>
      <c r="I158" s="18">
        <v>1</v>
      </c>
      <c r="J158" s="18" cm="1">
        <f t="array" ref="J158">H158*VLOOKUP($G158, Factor!$Y$4:$AA$36, 2, 0)*INDEX(Factor!$Y$41:$AA$87, _xlfn.XMATCH($C158, Factor!$Y$41:$Y$87, -1), 2)</f>
        <v>130</v>
      </c>
      <c r="K158" s="18" cm="1">
        <f t="array" ref="K158">I158*VLOOKUP($G158, Factor!$Y$4:$AA$36, 3, 0)*INDEX(Factor!$Y$41:$AA$87, _xlfn.XMATCH($C158, Factor!$Y$41:$Y$87, -1), 3)</f>
        <v>7800</v>
      </c>
      <c r="L158" s="19"/>
    </row>
    <row r="159" spans="1:12" ht="15.75" customHeight="1" x14ac:dyDescent="0.2">
      <c r="A159" s="14" t="str">
        <f>"engine_"&amp;VLOOKUP(F159, Factor!$BW$4:$BX$6, 2, 0)&amp;"_"&amp;D159&amp;"_"&amp;VLOOKUP(E159, Factor!$BY$4:$BZ$13, 2, 0)</f>
        <v>engine_Hi_T9_005</v>
      </c>
      <c r="B159" s="15" t="str">
        <f t="shared" si="4"/>
        <v>T9 고성능 12기통엔진팩</v>
      </c>
      <c r="C159" s="15">
        <f>VLOOKUP(D159, Factor!$X$41:$Y$50, 2, 0)</f>
        <v>9000</v>
      </c>
      <c r="D159" s="15" t="s">
        <v>305</v>
      </c>
      <c r="E159" s="15" t="s">
        <v>661</v>
      </c>
      <c r="F159" s="56" t="s">
        <v>644</v>
      </c>
      <c r="G159" s="15" t="str">
        <f t="shared" si="5"/>
        <v>고성능 12기통</v>
      </c>
      <c r="H159" s="15">
        <v>1</v>
      </c>
      <c r="I159" s="15">
        <v>1</v>
      </c>
      <c r="J159" s="15" cm="1">
        <f t="array" ref="J159">H159*VLOOKUP($G159, Factor!$Y$4:$AA$36, 2, 0)*INDEX(Factor!$Y$41:$AA$87, _xlfn.XMATCH($C159, Factor!$Y$41:$Y$87, -1), 2)</f>
        <v>312</v>
      </c>
      <c r="K159" s="15" cm="1">
        <f t="array" ref="K159">I159*VLOOKUP($G159, Factor!$Y$4:$AA$36, 3, 0)*INDEX(Factor!$Y$41:$AA$87, _xlfn.XMATCH($C159, Factor!$Y$41:$Y$87, -1), 3)</f>
        <v>15600</v>
      </c>
      <c r="L159" s="16"/>
    </row>
    <row r="160" spans="1:12" ht="15.75" customHeight="1" x14ac:dyDescent="0.2">
      <c r="A160" s="17" t="str">
        <f>"engine_"&amp;VLOOKUP(F160, Factor!$BW$4:$BX$6, 2, 0)&amp;"_"&amp;D160&amp;"_"&amp;VLOOKUP(E160, Factor!$BY$4:$BZ$13, 2, 0)</f>
        <v>engine_Hi_T9_006</v>
      </c>
      <c r="B160" s="18" t="str">
        <f t="shared" si="4"/>
        <v>T9 고성능 군용엔진팩</v>
      </c>
      <c r="C160" s="18">
        <f>VLOOKUP(D160, Factor!$X$41:$Y$50, 2, 0)</f>
        <v>9000</v>
      </c>
      <c r="D160" s="18" t="s">
        <v>305</v>
      </c>
      <c r="E160" s="18" t="s">
        <v>591</v>
      </c>
      <c r="F160" s="55" t="s">
        <v>644</v>
      </c>
      <c r="G160" s="18" t="str">
        <f t="shared" si="5"/>
        <v>고성능 군용</v>
      </c>
      <c r="H160" s="18">
        <v>1</v>
      </c>
      <c r="I160" s="18">
        <v>1</v>
      </c>
      <c r="J160" s="18" cm="1">
        <f t="array" ref="J160">H160*VLOOKUP($G160, Factor!$Y$4:$AA$36, 2, 0)*INDEX(Factor!$Y$41:$AA$87, _xlfn.XMATCH($C160, Factor!$Y$41:$Y$87, -1), 2)</f>
        <v>390</v>
      </c>
      <c r="K160" s="18" cm="1">
        <f t="array" ref="K160">I160*VLOOKUP($G160, Factor!$Y$4:$AA$36, 3, 0)*INDEX(Factor!$Y$41:$AA$87, _xlfn.XMATCH($C160, Factor!$Y$41:$Y$87, -1), 3)</f>
        <v>31200</v>
      </c>
      <c r="L160" s="19"/>
    </row>
    <row r="161" spans="1:12" ht="15.75" customHeight="1" x14ac:dyDescent="0.2">
      <c r="A161" s="14" t="str">
        <f>"engine_"&amp;VLOOKUP(F161, Factor!$BW$4:$BX$6, 2, 0)&amp;"_"&amp;D161&amp;"_"&amp;VLOOKUP(E161, Factor!$BY$4:$BZ$13, 2, 0)</f>
        <v>engine_Li_T9_001</v>
      </c>
      <c r="B161" s="15" t="str">
        <f t="shared" si="4"/>
        <v>T9 경량형 4기통엔진팩</v>
      </c>
      <c r="C161" s="15">
        <f>VLOOKUP(D161, Factor!$X$41:$Y$50, 2, 0)</f>
        <v>9000</v>
      </c>
      <c r="D161" s="15" t="s">
        <v>305</v>
      </c>
      <c r="E161" s="15" t="s">
        <v>662</v>
      </c>
      <c r="F161" s="56" t="s">
        <v>657</v>
      </c>
      <c r="G161" s="15" t="str">
        <f t="shared" si="5"/>
        <v>경량형 4기통</v>
      </c>
      <c r="H161" s="15">
        <v>1</v>
      </c>
      <c r="I161" s="15">
        <v>1</v>
      </c>
      <c r="J161" s="15" cm="1">
        <f t="array" ref="J161">H161*VLOOKUP($G161, Factor!$Y$4:$AA$36, 2, 0)*INDEX(Factor!$Y$41:$AA$87, _xlfn.XMATCH($C161, Factor!$Y$41:$Y$87, -1), 2)</f>
        <v>18.2</v>
      </c>
      <c r="K161" s="15" cm="1">
        <f t="array" ref="K161">I161*VLOOKUP($G161, Factor!$Y$4:$AA$36, 3, 0)*INDEX(Factor!$Y$41:$AA$87, _xlfn.XMATCH($C161, Factor!$Y$41:$Y$87, -1), 3)</f>
        <v>780</v>
      </c>
      <c r="L161" s="16"/>
    </row>
    <row r="162" spans="1:12" ht="15.75" customHeight="1" x14ac:dyDescent="0.2">
      <c r="A162" s="17" t="str">
        <f>"engine_"&amp;VLOOKUP(F162, Factor!$BW$4:$BX$6, 2, 0)&amp;"_"&amp;D162&amp;"_"&amp;VLOOKUP(E162, Factor!$BY$4:$BZ$13, 2, 0)</f>
        <v>engine_Li_T9_002</v>
      </c>
      <c r="B162" s="18" t="str">
        <f t="shared" si="4"/>
        <v>T9 경량형 6기통엔진팩</v>
      </c>
      <c r="C162" s="18">
        <f>VLOOKUP(D162, Factor!$X$41:$Y$50, 2, 0)</f>
        <v>9000</v>
      </c>
      <c r="D162" s="18" t="s">
        <v>305</v>
      </c>
      <c r="E162" s="18" t="s">
        <v>658</v>
      </c>
      <c r="F162" s="55" t="s">
        <v>657</v>
      </c>
      <c r="G162" s="18" t="str">
        <f t="shared" si="5"/>
        <v>경량형 6기통</v>
      </c>
      <c r="H162" s="18">
        <v>1</v>
      </c>
      <c r="I162" s="18">
        <v>1</v>
      </c>
      <c r="J162" s="18" cm="1">
        <f t="array" ref="J162">H162*VLOOKUP($G162, Factor!$Y$4:$AA$36, 2, 0)*INDEX(Factor!$Y$41:$AA$87, _xlfn.XMATCH($C162, Factor!$Y$41:$Y$87, -1), 2)</f>
        <v>39</v>
      </c>
      <c r="K162" s="18" cm="1">
        <f t="array" ref="K162">I162*VLOOKUP($G162, Factor!$Y$4:$AA$36, 3, 0)*INDEX(Factor!$Y$41:$AA$87, _xlfn.XMATCH($C162, Factor!$Y$41:$Y$87, -1), 3)</f>
        <v>1820</v>
      </c>
      <c r="L162" s="19"/>
    </row>
    <row r="163" spans="1:12" ht="15.75" customHeight="1" x14ac:dyDescent="0.2">
      <c r="A163" s="14" t="str">
        <f>"engine_"&amp;VLOOKUP(F163, Factor!$BW$4:$BX$6, 2, 0)&amp;"_"&amp;D163&amp;"_"&amp;VLOOKUP(E163, Factor!$BY$4:$BZ$13, 2, 0)</f>
        <v>engine_Li_T9_003</v>
      </c>
      <c r="B163" s="15" t="str">
        <f t="shared" ref="B163:B184" si="6">D163&amp;" "&amp;G163&amp;"엔진팩"</f>
        <v>T9 경량형 8기통엔진팩</v>
      </c>
      <c r="C163" s="15">
        <f>VLOOKUP(D163, Factor!$X$41:$Y$50, 2, 0)</f>
        <v>9000</v>
      </c>
      <c r="D163" s="15" t="s">
        <v>305</v>
      </c>
      <c r="E163" s="15" t="s">
        <v>659</v>
      </c>
      <c r="F163" s="56" t="s">
        <v>657</v>
      </c>
      <c r="G163" s="15" t="str">
        <f t="shared" si="5"/>
        <v>경량형 8기통</v>
      </c>
      <c r="H163" s="15">
        <v>1</v>
      </c>
      <c r="I163" s="15">
        <v>1</v>
      </c>
      <c r="J163" s="15" cm="1">
        <f t="array" ref="J163">H163*VLOOKUP($G163, Factor!$Y$4:$AA$36, 2, 0)*INDEX(Factor!$Y$41:$AA$87, _xlfn.XMATCH($C163, Factor!$Y$41:$Y$87, -1), 2)</f>
        <v>78</v>
      </c>
      <c r="K163" s="15" cm="1">
        <f t="array" ref="K163">I163*VLOOKUP($G163, Factor!$Y$4:$AA$36, 3, 0)*INDEX(Factor!$Y$41:$AA$87, _xlfn.XMATCH($C163, Factor!$Y$41:$Y$87, -1), 3)</f>
        <v>3120</v>
      </c>
      <c r="L163" s="16"/>
    </row>
    <row r="164" spans="1:12" ht="15.75" customHeight="1" x14ac:dyDescent="0.2">
      <c r="A164" s="17" t="str">
        <f>"engine_"&amp;VLOOKUP(F164, Factor!$BW$4:$BX$6, 2, 0)&amp;"_"&amp;D164&amp;"_"&amp;VLOOKUP(E164, Factor!$BY$4:$BZ$13, 2, 0)</f>
        <v>engine_Li_T9_004</v>
      </c>
      <c r="B164" s="18" t="str">
        <f t="shared" si="6"/>
        <v>T9 경량형 10기통엔진팩</v>
      </c>
      <c r="C164" s="18">
        <f>VLOOKUP(D164, Factor!$X$41:$Y$50, 2, 0)</f>
        <v>9000</v>
      </c>
      <c r="D164" s="18" t="s">
        <v>305</v>
      </c>
      <c r="E164" s="18" t="s">
        <v>660</v>
      </c>
      <c r="F164" s="55" t="s">
        <v>657</v>
      </c>
      <c r="G164" s="18" t="str">
        <f t="shared" si="5"/>
        <v>경량형 10기통</v>
      </c>
      <c r="H164" s="18">
        <v>1</v>
      </c>
      <c r="I164" s="18">
        <v>1</v>
      </c>
      <c r="J164" s="18" cm="1">
        <f t="array" ref="J164">H164*VLOOKUP($G164, Factor!$Y$4:$AA$36, 2, 0)*INDEX(Factor!$Y$41:$AA$87, _xlfn.XMATCH($C164, Factor!$Y$41:$Y$87, -1), 2)</f>
        <v>104</v>
      </c>
      <c r="K164" s="18" cm="1">
        <f t="array" ref="K164">I164*VLOOKUP($G164, Factor!$Y$4:$AA$36, 3, 0)*INDEX(Factor!$Y$41:$AA$87, _xlfn.XMATCH($C164, Factor!$Y$41:$Y$87, -1), 3)</f>
        <v>4680</v>
      </c>
      <c r="L164" s="19"/>
    </row>
    <row r="165" spans="1:12" ht="15.75" customHeight="1" x14ac:dyDescent="0.2">
      <c r="A165" s="14" t="str">
        <f>"engine_"&amp;VLOOKUP(F165, Factor!$BW$4:$BX$6, 2, 0)&amp;"_"&amp;D165&amp;"_"&amp;VLOOKUP(E165, Factor!$BY$4:$BZ$13, 2, 0)</f>
        <v>engine_Li_T9_005</v>
      </c>
      <c r="B165" s="15" t="str">
        <f t="shared" si="6"/>
        <v>T9 경량형 12기통엔진팩</v>
      </c>
      <c r="C165" s="15">
        <f>VLOOKUP(D165, Factor!$X$41:$Y$50, 2, 0)</f>
        <v>9000</v>
      </c>
      <c r="D165" s="15" t="s">
        <v>305</v>
      </c>
      <c r="E165" s="15" t="s">
        <v>661</v>
      </c>
      <c r="F165" s="56" t="s">
        <v>657</v>
      </c>
      <c r="G165" s="15" t="str">
        <f t="shared" si="5"/>
        <v>경량형 12기통</v>
      </c>
      <c r="H165" s="15">
        <v>1</v>
      </c>
      <c r="I165" s="15">
        <v>1</v>
      </c>
      <c r="J165" s="15" cm="1">
        <f t="array" ref="J165">H165*VLOOKUP($G165, Factor!$Y$4:$AA$36, 2, 0)*INDEX(Factor!$Y$41:$AA$87, _xlfn.XMATCH($C165, Factor!$Y$41:$Y$87, -1), 2)</f>
        <v>156</v>
      </c>
      <c r="K165" s="15" cm="1">
        <f t="array" ref="K165">I165*VLOOKUP($G165, Factor!$Y$4:$AA$36, 3, 0)*INDEX(Factor!$Y$41:$AA$87, _xlfn.XMATCH($C165, Factor!$Y$41:$Y$87, -1), 3)</f>
        <v>6500</v>
      </c>
      <c r="L165" s="16"/>
    </row>
    <row r="166" spans="1:12" ht="15.75" customHeight="1" x14ac:dyDescent="0.2">
      <c r="A166" s="17" t="str">
        <f>"engine_"&amp;VLOOKUP(F166, Factor!$BW$4:$BX$6, 2, 0)&amp;"_"&amp;D166&amp;"_"&amp;VLOOKUP(E166, Factor!$BY$4:$BZ$13, 2, 0)</f>
        <v>engine_Li_T9_006</v>
      </c>
      <c r="B166" s="18" t="str">
        <f t="shared" si="6"/>
        <v>T9 경량형 군용엔진팩</v>
      </c>
      <c r="C166" s="18">
        <f>VLOOKUP(D166, Factor!$X$41:$Y$50, 2, 0)</f>
        <v>9000</v>
      </c>
      <c r="D166" s="18" t="s">
        <v>305</v>
      </c>
      <c r="E166" s="18" t="s">
        <v>591</v>
      </c>
      <c r="F166" s="55" t="s">
        <v>657</v>
      </c>
      <c r="G166" s="18" t="str">
        <f t="shared" si="5"/>
        <v>경량형 군용</v>
      </c>
      <c r="H166" s="18">
        <v>1</v>
      </c>
      <c r="I166" s="18">
        <v>1</v>
      </c>
      <c r="J166" s="18" cm="1">
        <f t="array" ref="J166">H166*VLOOKUP($G166, Factor!$Y$4:$AA$36, 2, 0)*INDEX(Factor!$Y$41:$AA$87, _xlfn.XMATCH($C166, Factor!$Y$41:$Y$87, -1), 2)</f>
        <v>182</v>
      </c>
      <c r="K166" s="18" cm="1">
        <f t="array" ref="K166">I166*VLOOKUP($G166, Factor!$Y$4:$AA$36, 3, 0)*INDEX(Factor!$Y$41:$AA$87, _xlfn.XMATCH($C166, Factor!$Y$41:$Y$87, -1), 3)</f>
        <v>7800</v>
      </c>
      <c r="L166" s="19"/>
    </row>
    <row r="167" spans="1:12" ht="15.75" customHeight="1" x14ac:dyDescent="0.2">
      <c r="A167" s="14" t="str">
        <f>"engine_"&amp;VLOOKUP(F167, Factor!$BW$4:$BX$6, 2, 0)&amp;"_"&amp;D167&amp;"_"&amp;VLOOKUP(E167, Factor!$BY$4:$BZ$13, 2, 0)</f>
        <v>engine_No_T10_001</v>
      </c>
      <c r="B167" s="15" t="str">
        <f t="shared" si="6"/>
        <v>T10 표준 4기통엔진팩</v>
      </c>
      <c r="C167" s="15">
        <f>VLOOKUP(D167, Factor!$X$41:$Y$50, 2, 0)</f>
        <v>10000</v>
      </c>
      <c r="D167" s="15" t="s">
        <v>328</v>
      </c>
      <c r="E167" s="15" t="s">
        <v>662</v>
      </c>
      <c r="F167" s="56" t="s">
        <v>582</v>
      </c>
      <c r="G167" s="15" t="str">
        <f t="shared" si="5"/>
        <v>표준 4기통</v>
      </c>
      <c r="H167" s="15">
        <v>1</v>
      </c>
      <c r="I167" s="15">
        <v>1</v>
      </c>
      <c r="J167" s="15" cm="1">
        <f t="array" ref="J167">H167*VLOOKUP($G167, Factor!$Y$4:$AA$36, 2, 0)*INDEX(Factor!$Y$41:$AA$87, _xlfn.XMATCH($C167, Factor!$Y$41:$Y$87, -1), 2)</f>
        <v>28</v>
      </c>
      <c r="K167" s="15" cm="1">
        <f t="array" ref="K167">I167*VLOOKUP($G167, Factor!$Y$4:$AA$36, 3, 0)*INDEX(Factor!$Y$41:$AA$87, _xlfn.XMATCH($C167, Factor!$Y$41:$Y$87, -1), 3)</f>
        <v>1400</v>
      </c>
      <c r="L167" s="16"/>
    </row>
    <row r="168" spans="1:12" ht="15.75" customHeight="1" x14ac:dyDescent="0.2">
      <c r="A168" s="17" t="str">
        <f>"engine_"&amp;VLOOKUP(F168, Factor!$BW$4:$BX$6, 2, 0)&amp;"_"&amp;D168&amp;"_"&amp;VLOOKUP(E168, Factor!$BY$4:$BZ$13, 2, 0)</f>
        <v>engine_No_T10_002</v>
      </c>
      <c r="B168" s="18" t="str">
        <f t="shared" si="6"/>
        <v>T10 표준 6기통엔진팩</v>
      </c>
      <c r="C168" s="18">
        <f>VLOOKUP(D168, Factor!$X$41:$Y$50, 2, 0)</f>
        <v>10000</v>
      </c>
      <c r="D168" s="18" t="s">
        <v>328</v>
      </c>
      <c r="E168" s="18" t="s">
        <v>658</v>
      </c>
      <c r="F168" s="55" t="s">
        <v>582</v>
      </c>
      <c r="G168" s="18" t="str">
        <f t="shared" si="5"/>
        <v>표준 6기통</v>
      </c>
      <c r="H168" s="18">
        <v>1</v>
      </c>
      <c r="I168" s="18">
        <v>1</v>
      </c>
      <c r="J168" s="18" cm="1">
        <f t="array" ref="J168">H168*VLOOKUP($G168, Factor!$Y$4:$AA$36, 2, 0)*INDEX(Factor!$Y$41:$AA$87, _xlfn.XMATCH($C168, Factor!$Y$41:$Y$87, -1), 2)</f>
        <v>56</v>
      </c>
      <c r="K168" s="18" cm="1">
        <f t="array" ref="K168">I168*VLOOKUP($G168, Factor!$Y$4:$AA$36, 3, 0)*INDEX(Factor!$Y$41:$AA$87, _xlfn.XMATCH($C168, Factor!$Y$41:$Y$87, -1), 3)</f>
        <v>2800</v>
      </c>
      <c r="L168" s="19"/>
    </row>
    <row r="169" spans="1:12" ht="15.75" customHeight="1" x14ac:dyDescent="0.2">
      <c r="A169" s="14" t="str">
        <f>"engine_"&amp;VLOOKUP(F169, Factor!$BW$4:$BX$6, 2, 0)&amp;"_"&amp;D169&amp;"_"&amp;VLOOKUP(E169, Factor!$BY$4:$BZ$13, 2, 0)</f>
        <v>engine_No_T10_003</v>
      </c>
      <c r="B169" s="15" t="str">
        <f t="shared" si="6"/>
        <v>T10 표준 8기통엔진팩</v>
      </c>
      <c r="C169" s="15">
        <f>VLOOKUP(D169, Factor!$X$41:$Y$50, 2, 0)</f>
        <v>10000</v>
      </c>
      <c r="D169" s="15" t="s">
        <v>306</v>
      </c>
      <c r="E169" s="15" t="s">
        <v>659</v>
      </c>
      <c r="F169" s="56" t="s">
        <v>582</v>
      </c>
      <c r="G169" s="15" t="str">
        <f t="shared" si="5"/>
        <v>표준 8기통</v>
      </c>
      <c r="H169" s="15">
        <v>1</v>
      </c>
      <c r="I169" s="15">
        <v>1</v>
      </c>
      <c r="J169" s="15" cm="1">
        <f t="array" ref="J169">H169*VLOOKUP($G169, Factor!$Y$4:$AA$36, 2, 0)*INDEX(Factor!$Y$41:$AA$87, _xlfn.XMATCH($C169, Factor!$Y$41:$Y$87, -1), 2)</f>
        <v>112</v>
      </c>
      <c r="K169" s="15" cm="1">
        <f t="array" ref="K169">I169*VLOOKUP($G169, Factor!$Y$4:$AA$36, 3, 0)*INDEX(Factor!$Y$41:$AA$87, _xlfn.XMATCH($C169, Factor!$Y$41:$Y$87, -1), 3)</f>
        <v>5600</v>
      </c>
      <c r="L169" s="16"/>
    </row>
    <row r="170" spans="1:12" ht="15.75" customHeight="1" x14ac:dyDescent="0.2">
      <c r="A170" s="17" t="str">
        <f>"engine_"&amp;VLOOKUP(F170, Factor!$BW$4:$BX$6, 2, 0)&amp;"_"&amp;D170&amp;"_"&amp;VLOOKUP(E170, Factor!$BY$4:$BZ$13, 2, 0)</f>
        <v>engine_No_T10_004</v>
      </c>
      <c r="B170" s="18" t="str">
        <f t="shared" si="6"/>
        <v>T10 표준 10기통엔진팩</v>
      </c>
      <c r="C170" s="18">
        <f>VLOOKUP(D170, Factor!$X$41:$Y$50, 2, 0)</f>
        <v>10000</v>
      </c>
      <c r="D170" s="18" t="s">
        <v>306</v>
      </c>
      <c r="E170" s="18" t="s">
        <v>660</v>
      </c>
      <c r="F170" s="55" t="s">
        <v>582</v>
      </c>
      <c r="G170" s="18" t="str">
        <f t="shared" si="5"/>
        <v>표준 10기통</v>
      </c>
      <c r="H170" s="18">
        <v>1</v>
      </c>
      <c r="I170" s="18">
        <v>1</v>
      </c>
      <c r="J170" s="18" cm="1">
        <f t="array" ref="J170">H170*VLOOKUP($G170, Factor!$Y$4:$AA$36, 2, 0)*INDEX(Factor!$Y$41:$AA$87, _xlfn.XMATCH($C170, Factor!$Y$41:$Y$87, -1), 2)</f>
        <v>140</v>
      </c>
      <c r="K170" s="18" cm="1">
        <f t="array" ref="K170">I170*VLOOKUP($G170, Factor!$Y$4:$AA$36, 3, 0)*INDEX(Factor!$Y$41:$AA$87, _xlfn.XMATCH($C170, Factor!$Y$41:$Y$87, -1), 3)</f>
        <v>8400</v>
      </c>
      <c r="L170" s="19"/>
    </row>
    <row r="171" spans="1:12" ht="15.75" customHeight="1" x14ac:dyDescent="0.2">
      <c r="A171" s="14" t="str">
        <f>"engine_"&amp;VLOOKUP(F171, Factor!$BW$4:$BX$6, 2, 0)&amp;"_"&amp;D171&amp;"_"&amp;VLOOKUP(E171, Factor!$BY$4:$BZ$13, 2, 0)</f>
        <v>engine_No_T10_005</v>
      </c>
      <c r="B171" s="15" t="str">
        <f t="shared" si="6"/>
        <v>T10 표준 12기통엔진팩</v>
      </c>
      <c r="C171" s="15">
        <f>VLOOKUP(D171, Factor!$X$41:$Y$50, 2, 0)</f>
        <v>10000</v>
      </c>
      <c r="D171" s="15" t="s">
        <v>306</v>
      </c>
      <c r="E171" s="15" t="s">
        <v>661</v>
      </c>
      <c r="F171" s="56" t="s">
        <v>582</v>
      </c>
      <c r="G171" s="15" t="str">
        <f t="shared" si="5"/>
        <v>표준 12기통</v>
      </c>
      <c r="H171" s="15">
        <v>1</v>
      </c>
      <c r="I171" s="15">
        <v>1</v>
      </c>
      <c r="J171" s="15" cm="1">
        <f t="array" ref="J171">H171*VLOOKUP($G171, Factor!$Y$4:$AA$36, 2, 0)*INDEX(Factor!$Y$41:$AA$87, _xlfn.XMATCH($C171, Factor!$Y$41:$Y$87, -1), 2)</f>
        <v>196</v>
      </c>
      <c r="K171" s="15" cm="1">
        <f t="array" ref="K171">I171*VLOOKUP($G171, Factor!$Y$4:$AA$36, 3, 0)*INDEX(Factor!$Y$41:$AA$87, _xlfn.XMATCH($C171, Factor!$Y$41:$Y$87, -1), 3)</f>
        <v>11200</v>
      </c>
      <c r="L171" s="16"/>
    </row>
    <row r="172" spans="1:12" ht="15.75" customHeight="1" x14ac:dyDescent="0.2">
      <c r="A172" s="17" t="str">
        <f>"engine_"&amp;VLOOKUP(F172, Factor!$BW$4:$BX$6, 2, 0)&amp;"_"&amp;D172&amp;"_"&amp;VLOOKUP(E172, Factor!$BY$4:$BZ$13, 2, 0)</f>
        <v>engine_No_T10_006</v>
      </c>
      <c r="B172" s="18" t="str">
        <f t="shared" si="6"/>
        <v>T10 표준 군용엔진팩</v>
      </c>
      <c r="C172" s="18">
        <f>VLOOKUP(D172, Factor!$X$41:$Y$50, 2, 0)</f>
        <v>10000</v>
      </c>
      <c r="D172" s="18" t="s">
        <v>306</v>
      </c>
      <c r="E172" s="18" t="s">
        <v>591</v>
      </c>
      <c r="F172" s="55" t="s">
        <v>582</v>
      </c>
      <c r="G172" s="18" t="str">
        <f t="shared" si="5"/>
        <v>표준 군용</v>
      </c>
      <c r="H172" s="18">
        <v>1</v>
      </c>
      <c r="I172" s="18">
        <v>1</v>
      </c>
      <c r="J172" s="18" cm="1">
        <f t="array" ref="J172">H172*VLOOKUP($G172, Factor!$Y$4:$AA$36, 2, 0)*INDEX(Factor!$Y$41:$AA$87, _xlfn.XMATCH($C172, Factor!$Y$41:$Y$87, -1), 2)</f>
        <v>251.99999999999997</v>
      </c>
      <c r="K172" s="18" cm="1">
        <f t="array" ref="K172">I172*VLOOKUP($G172, Factor!$Y$4:$AA$36, 3, 0)*INDEX(Factor!$Y$41:$AA$87, _xlfn.XMATCH($C172, Factor!$Y$41:$Y$87, -1), 3)</f>
        <v>16800</v>
      </c>
      <c r="L172" s="19"/>
    </row>
    <row r="173" spans="1:12" ht="15.75" customHeight="1" x14ac:dyDescent="0.2">
      <c r="A173" s="14" t="str">
        <f>"engine_"&amp;VLOOKUP(F173, Factor!$BW$4:$BX$6, 2, 0)&amp;"_"&amp;D173&amp;"_"&amp;VLOOKUP(E173, Factor!$BY$4:$BZ$13, 2, 0)</f>
        <v>engine_Hi_T10_001</v>
      </c>
      <c r="B173" s="15" t="str">
        <f t="shared" si="6"/>
        <v>T10 고성능 4기통엔진팩</v>
      </c>
      <c r="C173" s="15">
        <f>VLOOKUP(D173, Factor!$X$41:$Y$50, 2, 0)</f>
        <v>10000</v>
      </c>
      <c r="D173" s="15" t="s">
        <v>306</v>
      </c>
      <c r="E173" s="15" t="s">
        <v>662</v>
      </c>
      <c r="F173" s="56" t="s">
        <v>644</v>
      </c>
      <c r="G173" s="15" t="str">
        <f t="shared" si="5"/>
        <v>고성능 4기통</v>
      </c>
      <c r="H173" s="15">
        <v>1</v>
      </c>
      <c r="I173" s="15">
        <v>1</v>
      </c>
      <c r="J173" s="15" cm="1">
        <f t="array" ref="J173">H173*VLOOKUP($G173, Factor!$Y$4:$AA$36, 2, 0)*INDEX(Factor!$Y$41:$AA$87, _xlfn.XMATCH($C173, Factor!$Y$41:$Y$87, -1), 2)</f>
        <v>56</v>
      </c>
      <c r="K173" s="15" cm="1">
        <f t="array" ref="K173">I173*VLOOKUP($G173, Factor!$Y$4:$AA$36, 3, 0)*INDEX(Factor!$Y$41:$AA$87, _xlfn.XMATCH($C173, Factor!$Y$41:$Y$87, -1), 3)</f>
        <v>5040</v>
      </c>
      <c r="L173" s="16"/>
    </row>
    <row r="174" spans="1:12" ht="15.75" customHeight="1" x14ac:dyDescent="0.2">
      <c r="A174" s="17" t="str">
        <f>"engine_"&amp;VLOOKUP(F174, Factor!$BW$4:$BX$6, 2, 0)&amp;"_"&amp;D174&amp;"_"&amp;VLOOKUP(E174, Factor!$BY$4:$BZ$13, 2, 0)</f>
        <v>engine_Hi_T10_002</v>
      </c>
      <c r="B174" s="18" t="str">
        <f t="shared" si="6"/>
        <v>T10 고성능 6기통엔진팩</v>
      </c>
      <c r="C174" s="18">
        <f>VLOOKUP(D174, Factor!$X$41:$Y$50, 2, 0)</f>
        <v>10000</v>
      </c>
      <c r="D174" s="18" t="s">
        <v>306</v>
      </c>
      <c r="E174" s="18" t="s">
        <v>658</v>
      </c>
      <c r="F174" s="55" t="s">
        <v>644</v>
      </c>
      <c r="G174" s="18" t="str">
        <f t="shared" si="5"/>
        <v>고성능 6기통</v>
      </c>
      <c r="H174" s="18">
        <v>1</v>
      </c>
      <c r="I174" s="18">
        <v>1</v>
      </c>
      <c r="J174" s="18" cm="1">
        <f t="array" ref="J174">H174*VLOOKUP($G174, Factor!$Y$4:$AA$36, 2, 0)*INDEX(Factor!$Y$41:$AA$87, _xlfn.XMATCH($C174, Factor!$Y$41:$Y$87, -1), 2)</f>
        <v>112</v>
      </c>
      <c r="K174" s="18" cm="1">
        <f t="array" ref="K174">I174*VLOOKUP($G174, Factor!$Y$4:$AA$36, 3, 0)*INDEX(Factor!$Y$41:$AA$87, _xlfn.XMATCH($C174, Factor!$Y$41:$Y$87, -1), 3)</f>
        <v>8400</v>
      </c>
      <c r="L174" s="19"/>
    </row>
    <row r="175" spans="1:12" ht="15.75" customHeight="1" x14ac:dyDescent="0.2">
      <c r="A175" s="14" t="str">
        <f>"engine_"&amp;VLOOKUP(F175, Factor!$BW$4:$BX$6, 2, 0)&amp;"_"&amp;D175&amp;"_"&amp;VLOOKUP(E175, Factor!$BY$4:$BZ$13, 2, 0)</f>
        <v>engine_Hi_T10_003</v>
      </c>
      <c r="B175" s="15" t="str">
        <f t="shared" si="6"/>
        <v>T10 고성능 8기통엔진팩</v>
      </c>
      <c r="C175" s="15">
        <f>VLOOKUP(D175, Factor!$X$41:$Y$50, 2, 0)</f>
        <v>10000</v>
      </c>
      <c r="D175" s="15" t="s">
        <v>306</v>
      </c>
      <c r="E175" s="15" t="s">
        <v>659</v>
      </c>
      <c r="F175" s="56" t="s">
        <v>644</v>
      </c>
      <c r="G175" s="15" t="str">
        <f t="shared" si="5"/>
        <v>고성능 8기통</v>
      </c>
      <c r="H175" s="15">
        <v>1</v>
      </c>
      <c r="I175" s="15">
        <v>1</v>
      </c>
      <c r="J175" s="15" cm="1">
        <f t="array" ref="J175">H175*VLOOKUP($G175, Factor!$Y$4:$AA$36, 2, 0)*INDEX(Factor!$Y$41:$AA$87, _xlfn.XMATCH($C175, Factor!$Y$41:$Y$87, -1), 2)</f>
        <v>168</v>
      </c>
      <c r="K175" s="15" cm="1">
        <f t="array" ref="K175">I175*VLOOKUP($G175, Factor!$Y$4:$AA$36, 3, 0)*INDEX(Factor!$Y$41:$AA$87, _xlfn.XMATCH($C175, Factor!$Y$41:$Y$87, -1), 3)</f>
        <v>11200</v>
      </c>
      <c r="L175" s="16"/>
    </row>
    <row r="176" spans="1:12" ht="15.75" customHeight="1" x14ac:dyDescent="0.2">
      <c r="A176" s="17" t="str">
        <f>"engine_"&amp;VLOOKUP(F176, Factor!$BW$4:$BX$6, 2, 0)&amp;"_"&amp;D176&amp;"_"&amp;VLOOKUP(E176, Factor!$BY$4:$BZ$13, 2, 0)</f>
        <v>engine_Hi_T10_004</v>
      </c>
      <c r="B176" s="18" t="str">
        <f t="shared" si="6"/>
        <v>T10 고성능 10기통엔진팩</v>
      </c>
      <c r="C176" s="18">
        <f>VLOOKUP(D176, Factor!$X$41:$Y$50, 2, 0)</f>
        <v>10000</v>
      </c>
      <c r="D176" s="18" t="s">
        <v>306</v>
      </c>
      <c r="E176" s="18" t="s">
        <v>660</v>
      </c>
      <c r="F176" s="55" t="s">
        <v>644</v>
      </c>
      <c r="G176" s="18" t="str">
        <f t="shared" si="5"/>
        <v>고성능 10기통</v>
      </c>
      <c r="H176" s="18">
        <v>1</v>
      </c>
      <c r="I176" s="18">
        <v>1</v>
      </c>
      <c r="J176" s="18" cm="1">
        <f t="array" ref="J176">H176*VLOOKUP($G176, Factor!$Y$4:$AA$36, 2, 0)*INDEX(Factor!$Y$41:$AA$87, _xlfn.XMATCH($C176, Factor!$Y$41:$Y$87, -1), 2)</f>
        <v>140</v>
      </c>
      <c r="K176" s="18" cm="1">
        <f t="array" ref="K176">I176*VLOOKUP($G176, Factor!$Y$4:$AA$36, 3, 0)*INDEX(Factor!$Y$41:$AA$87, _xlfn.XMATCH($C176, Factor!$Y$41:$Y$87, -1), 3)</f>
        <v>8400</v>
      </c>
      <c r="L176" s="19"/>
    </row>
    <row r="177" spans="1:12" ht="15.75" customHeight="1" x14ac:dyDescent="0.2">
      <c r="A177" s="14" t="str">
        <f>"engine_"&amp;VLOOKUP(F177, Factor!$BW$4:$BX$6, 2, 0)&amp;"_"&amp;D177&amp;"_"&amp;VLOOKUP(E177, Factor!$BY$4:$BZ$13, 2, 0)</f>
        <v>engine_Hi_T10_005</v>
      </c>
      <c r="B177" s="15" t="str">
        <f t="shared" si="6"/>
        <v>T10 고성능 12기통엔진팩</v>
      </c>
      <c r="C177" s="15">
        <f>VLOOKUP(D177, Factor!$X$41:$Y$50, 2, 0)</f>
        <v>10000</v>
      </c>
      <c r="D177" s="15" t="s">
        <v>306</v>
      </c>
      <c r="E177" s="15" t="s">
        <v>661</v>
      </c>
      <c r="F177" s="56" t="s">
        <v>644</v>
      </c>
      <c r="G177" s="15" t="str">
        <f t="shared" si="5"/>
        <v>고성능 12기통</v>
      </c>
      <c r="H177" s="15">
        <v>1</v>
      </c>
      <c r="I177" s="15">
        <v>1</v>
      </c>
      <c r="J177" s="15" cm="1">
        <f t="array" ref="J177">H177*VLOOKUP($G177, Factor!$Y$4:$AA$36, 2, 0)*INDEX(Factor!$Y$41:$AA$87, _xlfn.XMATCH($C177, Factor!$Y$41:$Y$87, -1), 2)</f>
        <v>336</v>
      </c>
      <c r="K177" s="15" cm="1">
        <f t="array" ref="K177">I177*VLOOKUP($G177, Factor!$Y$4:$AA$36, 3, 0)*INDEX(Factor!$Y$41:$AA$87, _xlfn.XMATCH($C177, Factor!$Y$41:$Y$87, -1), 3)</f>
        <v>16800</v>
      </c>
      <c r="L177" s="16"/>
    </row>
    <row r="178" spans="1:12" ht="15.75" customHeight="1" x14ac:dyDescent="0.2">
      <c r="A178" s="17" t="str">
        <f>"engine_"&amp;VLOOKUP(F178, Factor!$BW$4:$BX$6, 2, 0)&amp;"_"&amp;D178&amp;"_"&amp;VLOOKUP(E178, Factor!$BY$4:$BZ$13, 2, 0)</f>
        <v>engine_Hi_T10_006</v>
      </c>
      <c r="B178" s="18" t="str">
        <f t="shared" si="6"/>
        <v>T10 고성능 군용엔진팩</v>
      </c>
      <c r="C178" s="18">
        <f>VLOOKUP(D178, Factor!$X$41:$Y$50, 2, 0)</f>
        <v>10000</v>
      </c>
      <c r="D178" s="18" t="s">
        <v>306</v>
      </c>
      <c r="E178" s="18" t="s">
        <v>591</v>
      </c>
      <c r="F178" s="55" t="s">
        <v>644</v>
      </c>
      <c r="G178" s="18" t="str">
        <f t="shared" si="5"/>
        <v>고성능 군용</v>
      </c>
      <c r="H178" s="18">
        <v>1</v>
      </c>
      <c r="I178" s="18">
        <v>1</v>
      </c>
      <c r="J178" s="18" cm="1">
        <f t="array" ref="J178">H178*VLOOKUP($G178, Factor!$Y$4:$AA$36, 2, 0)*INDEX(Factor!$Y$41:$AA$87, _xlfn.XMATCH($C178, Factor!$Y$41:$Y$87, -1), 2)</f>
        <v>420</v>
      </c>
      <c r="K178" s="18" cm="1">
        <f t="array" ref="K178">I178*VLOOKUP($G178, Factor!$Y$4:$AA$36, 3, 0)*INDEX(Factor!$Y$41:$AA$87, _xlfn.XMATCH($C178, Factor!$Y$41:$Y$87, -1), 3)</f>
        <v>33600</v>
      </c>
      <c r="L178" s="19"/>
    </row>
    <row r="179" spans="1:12" ht="15.75" customHeight="1" x14ac:dyDescent="0.2">
      <c r="A179" s="14" t="str">
        <f>"engine_"&amp;VLOOKUP(F179, Factor!$BW$4:$BX$6, 2, 0)&amp;"_"&amp;D179&amp;"_"&amp;VLOOKUP(E179, Factor!$BY$4:$BZ$13, 2, 0)</f>
        <v>engine_Li_T10_001</v>
      </c>
      <c r="B179" s="15" t="str">
        <f t="shared" si="6"/>
        <v>T10 경량형 4기통엔진팩</v>
      </c>
      <c r="C179" s="15">
        <f>VLOOKUP(D179, Factor!$X$41:$Y$50, 2, 0)</f>
        <v>10000</v>
      </c>
      <c r="D179" s="15" t="s">
        <v>306</v>
      </c>
      <c r="E179" s="15" t="s">
        <v>662</v>
      </c>
      <c r="F179" s="56" t="s">
        <v>657</v>
      </c>
      <c r="G179" s="15" t="str">
        <f t="shared" si="5"/>
        <v>경량형 4기통</v>
      </c>
      <c r="H179" s="15">
        <v>1</v>
      </c>
      <c r="I179" s="15">
        <v>1</v>
      </c>
      <c r="J179" s="15" cm="1">
        <f t="array" ref="J179">H179*VLOOKUP($G179, Factor!$Y$4:$AA$36, 2, 0)*INDEX(Factor!$Y$41:$AA$87, _xlfn.XMATCH($C179, Factor!$Y$41:$Y$87, -1), 2)</f>
        <v>19.599999999999998</v>
      </c>
      <c r="K179" s="15" cm="1">
        <f t="array" ref="K179">I179*VLOOKUP($G179, Factor!$Y$4:$AA$36, 3, 0)*INDEX(Factor!$Y$41:$AA$87, _xlfn.XMATCH($C179, Factor!$Y$41:$Y$87, -1), 3)</f>
        <v>840</v>
      </c>
      <c r="L179" s="16"/>
    </row>
    <row r="180" spans="1:12" ht="15.75" customHeight="1" x14ac:dyDescent="0.2">
      <c r="A180" s="17" t="str">
        <f>"engine_"&amp;VLOOKUP(F180, Factor!$BW$4:$BX$6, 2, 0)&amp;"_"&amp;D180&amp;"_"&amp;VLOOKUP(E180, Factor!$BY$4:$BZ$13, 2, 0)</f>
        <v>engine_Li_T10_002</v>
      </c>
      <c r="B180" s="18" t="str">
        <f t="shared" si="6"/>
        <v>T10 경량형 6기통엔진팩</v>
      </c>
      <c r="C180" s="18">
        <f>VLOOKUP(D180, Factor!$X$41:$Y$50, 2, 0)</f>
        <v>10000</v>
      </c>
      <c r="D180" s="18" t="s">
        <v>306</v>
      </c>
      <c r="E180" s="18" t="s">
        <v>658</v>
      </c>
      <c r="F180" s="55" t="s">
        <v>657</v>
      </c>
      <c r="G180" s="18" t="str">
        <f t="shared" si="5"/>
        <v>경량형 6기통</v>
      </c>
      <c r="H180" s="18">
        <v>1</v>
      </c>
      <c r="I180" s="18">
        <v>1</v>
      </c>
      <c r="J180" s="18" cm="1">
        <f t="array" ref="J180">H180*VLOOKUP($G180, Factor!$Y$4:$AA$36, 2, 0)*INDEX(Factor!$Y$41:$AA$87, _xlfn.XMATCH($C180, Factor!$Y$41:$Y$87, -1), 2)</f>
        <v>42</v>
      </c>
      <c r="K180" s="18" cm="1">
        <f t="array" ref="K180">I180*VLOOKUP($G180, Factor!$Y$4:$AA$36, 3, 0)*INDEX(Factor!$Y$41:$AA$87, _xlfn.XMATCH($C180, Factor!$Y$41:$Y$87, -1), 3)</f>
        <v>1959.9999999999998</v>
      </c>
      <c r="L180" s="19"/>
    </row>
    <row r="181" spans="1:12" ht="15.75" customHeight="1" x14ac:dyDescent="0.2">
      <c r="A181" s="14" t="str">
        <f>"engine_"&amp;VLOOKUP(F181, Factor!$BW$4:$BX$6, 2, 0)&amp;"_"&amp;D181&amp;"_"&amp;VLOOKUP(E181, Factor!$BY$4:$BZ$13, 2, 0)</f>
        <v>engine_Li_T10_003</v>
      </c>
      <c r="B181" s="15" t="str">
        <f t="shared" si="6"/>
        <v>T10 경량형 8기통엔진팩</v>
      </c>
      <c r="C181" s="15">
        <f>VLOOKUP(D181, Factor!$X$41:$Y$50, 2, 0)</f>
        <v>10000</v>
      </c>
      <c r="D181" s="15" t="s">
        <v>306</v>
      </c>
      <c r="E181" s="15" t="s">
        <v>659</v>
      </c>
      <c r="F181" s="56" t="s">
        <v>657</v>
      </c>
      <c r="G181" s="15" t="str">
        <f t="shared" si="5"/>
        <v>경량형 8기통</v>
      </c>
      <c r="H181" s="15">
        <v>1</v>
      </c>
      <c r="I181" s="15">
        <v>1</v>
      </c>
      <c r="J181" s="15" cm="1">
        <f t="array" ref="J181">H181*VLOOKUP($G181, Factor!$Y$4:$AA$36, 2, 0)*INDEX(Factor!$Y$41:$AA$87, _xlfn.XMATCH($C181, Factor!$Y$41:$Y$87, -1), 2)</f>
        <v>84</v>
      </c>
      <c r="K181" s="15" cm="1">
        <f t="array" ref="K181">I181*VLOOKUP($G181, Factor!$Y$4:$AA$36, 3, 0)*INDEX(Factor!$Y$41:$AA$87, _xlfn.XMATCH($C181, Factor!$Y$41:$Y$87, -1), 3)</f>
        <v>3360</v>
      </c>
      <c r="L181" s="16"/>
    </row>
    <row r="182" spans="1:12" ht="15.75" customHeight="1" x14ac:dyDescent="0.2">
      <c r="A182" s="17" t="str">
        <f>"engine_"&amp;VLOOKUP(F182, Factor!$BW$4:$BX$6, 2, 0)&amp;"_"&amp;D182&amp;"_"&amp;VLOOKUP(E182, Factor!$BY$4:$BZ$13, 2, 0)</f>
        <v>engine_Li_T10_004</v>
      </c>
      <c r="B182" s="18" t="str">
        <f t="shared" si="6"/>
        <v>T10 경량형 10기통엔진팩</v>
      </c>
      <c r="C182" s="18">
        <f>VLOOKUP(D182, Factor!$X$41:$Y$50, 2, 0)</f>
        <v>10000</v>
      </c>
      <c r="D182" s="18" t="s">
        <v>306</v>
      </c>
      <c r="E182" s="18" t="s">
        <v>660</v>
      </c>
      <c r="F182" s="55" t="s">
        <v>657</v>
      </c>
      <c r="G182" s="18" t="str">
        <f t="shared" si="5"/>
        <v>경량형 10기통</v>
      </c>
      <c r="H182" s="18">
        <v>1</v>
      </c>
      <c r="I182" s="18">
        <v>1</v>
      </c>
      <c r="J182" s="18" cm="1">
        <f t="array" ref="J182">H182*VLOOKUP($G182, Factor!$Y$4:$AA$36, 2, 0)*INDEX(Factor!$Y$41:$AA$87, _xlfn.XMATCH($C182, Factor!$Y$41:$Y$87, -1), 2)</f>
        <v>112</v>
      </c>
      <c r="K182" s="18" cm="1">
        <f t="array" ref="K182">I182*VLOOKUP($G182, Factor!$Y$4:$AA$36, 3, 0)*INDEX(Factor!$Y$41:$AA$87, _xlfn.XMATCH($C182, Factor!$Y$41:$Y$87, -1), 3)</f>
        <v>5040</v>
      </c>
      <c r="L182" s="19"/>
    </row>
    <row r="183" spans="1:12" ht="15.75" customHeight="1" x14ac:dyDescent="0.2">
      <c r="A183" s="14" t="str">
        <f>"engine_"&amp;VLOOKUP(F183, Factor!$BW$4:$BX$6, 2, 0)&amp;"_"&amp;D183&amp;"_"&amp;VLOOKUP(E183, Factor!$BY$4:$BZ$13, 2, 0)</f>
        <v>engine_Li_T10_005</v>
      </c>
      <c r="B183" s="15" t="str">
        <f t="shared" si="6"/>
        <v>T10 경량형 12기통엔진팩</v>
      </c>
      <c r="C183" s="15">
        <f>VLOOKUP(D183, Factor!$X$41:$Y$50, 2, 0)</f>
        <v>10000</v>
      </c>
      <c r="D183" s="15" t="s">
        <v>306</v>
      </c>
      <c r="E183" s="15" t="s">
        <v>661</v>
      </c>
      <c r="F183" s="56" t="s">
        <v>657</v>
      </c>
      <c r="G183" s="15" t="str">
        <f t="shared" si="5"/>
        <v>경량형 12기통</v>
      </c>
      <c r="H183" s="15">
        <v>1</v>
      </c>
      <c r="I183" s="15">
        <v>1</v>
      </c>
      <c r="J183" s="15" cm="1">
        <f t="array" ref="J183">H183*VLOOKUP($G183, Factor!$Y$4:$AA$36, 2, 0)*INDEX(Factor!$Y$41:$AA$87, _xlfn.XMATCH($C183, Factor!$Y$41:$Y$87, -1), 2)</f>
        <v>168</v>
      </c>
      <c r="K183" s="15" cm="1">
        <f t="array" ref="K183">I183*VLOOKUP($G183, Factor!$Y$4:$AA$36, 3, 0)*INDEX(Factor!$Y$41:$AA$87, _xlfn.XMATCH($C183, Factor!$Y$41:$Y$87, -1), 3)</f>
        <v>7000</v>
      </c>
      <c r="L183" s="16"/>
    </row>
    <row r="184" spans="1:12" ht="15.75" customHeight="1" x14ac:dyDescent="0.2">
      <c r="A184" s="17" t="str">
        <f>"engine_"&amp;VLOOKUP(F184, Factor!$BW$4:$BX$6, 2, 0)&amp;"_"&amp;D184&amp;"_"&amp;VLOOKUP(E184, Factor!$BY$4:$BZ$13, 2, 0)</f>
        <v>engine_Li_T10_006</v>
      </c>
      <c r="B184" s="18" t="str">
        <f t="shared" si="6"/>
        <v>T10 경량형 군용엔진팩</v>
      </c>
      <c r="C184" s="18">
        <f>VLOOKUP(D184, Factor!$X$41:$Y$50, 2, 0)</f>
        <v>10000</v>
      </c>
      <c r="D184" s="18" t="s">
        <v>306</v>
      </c>
      <c r="E184" s="18" t="s">
        <v>591</v>
      </c>
      <c r="F184" s="55" t="s">
        <v>657</v>
      </c>
      <c r="G184" s="18" t="str">
        <f t="shared" si="5"/>
        <v>경량형 군용</v>
      </c>
      <c r="H184" s="18">
        <v>1</v>
      </c>
      <c r="I184" s="18">
        <v>1</v>
      </c>
      <c r="J184" s="18" cm="1">
        <f t="array" ref="J184">H184*VLOOKUP($G184, Factor!$Y$4:$AA$36, 2, 0)*INDEX(Factor!$Y$41:$AA$87, _xlfn.XMATCH($C184, Factor!$Y$41:$Y$87, -1), 2)</f>
        <v>196</v>
      </c>
      <c r="K184" s="18" cm="1">
        <f t="array" ref="K184">I184*VLOOKUP($G184, Factor!$Y$4:$AA$36, 3, 0)*INDEX(Factor!$Y$41:$AA$87, _xlfn.XMATCH($C184, Factor!$Y$41:$Y$87, -1), 3)</f>
        <v>8400</v>
      </c>
      <c r="L184" s="19"/>
    </row>
  </sheetData>
  <mergeCells count="1">
    <mergeCell ref="A1:L1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54"/>
  <sheetViews>
    <sheetView zoomScale="75" zoomScaleNormal="75" workbookViewId="0">
      <pane ySplit="4" topLeftCell="A71" activePane="bottomLeft" state="frozen"/>
      <selection pane="bottomLeft" activeCell="J20" sqref="J20"/>
    </sheetView>
  </sheetViews>
  <sheetFormatPr defaultColWidth="12.5703125" defaultRowHeight="15.75" customHeight="1" x14ac:dyDescent="0.2"/>
  <cols>
    <col min="1" max="4" width="22.7109375" style="13" customWidth="1"/>
    <col min="5" max="5" width="25" style="13" customWidth="1"/>
    <col min="6" max="6" width="24.42578125" style="13" customWidth="1"/>
    <col min="7" max="7" width="22.7109375" style="13" customWidth="1"/>
    <col min="8" max="8" width="24" style="13" customWidth="1"/>
    <col min="9" max="9" width="22.7109375" style="13" customWidth="1"/>
    <col min="10" max="10" width="18.7109375" style="13" customWidth="1"/>
    <col min="11" max="11" width="22.7109375" style="13" customWidth="1"/>
    <col min="12" max="12" width="57.85546875" style="13" customWidth="1"/>
    <col min="13" max="16384" width="12.5703125" style="13"/>
  </cols>
  <sheetData>
    <row r="1" spans="1:12" ht="99.95" customHeight="1" x14ac:dyDescent="0.2">
      <c r="A1" s="67" t="s">
        <v>534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2" ht="15.75" customHeight="1" x14ac:dyDescent="0.2">
      <c r="A2" s="32" t="s">
        <v>105</v>
      </c>
      <c r="B2" s="32" t="s">
        <v>107</v>
      </c>
      <c r="C2" s="32" t="s">
        <v>113</v>
      </c>
      <c r="D2" s="32" t="s">
        <v>525</v>
      </c>
      <c r="E2" s="32" t="s">
        <v>535</v>
      </c>
      <c r="F2" s="32" t="s">
        <v>536</v>
      </c>
      <c r="G2" s="46" t="s">
        <v>537</v>
      </c>
      <c r="H2" s="32" t="s">
        <v>538</v>
      </c>
      <c r="I2" s="32" t="s">
        <v>539</v>
      </c>
      <c r="J2" s="32" t="s">
        <v>110</v>
      </c>
      <c r="K2" s="32" t="s">
        <v>115</v>
      </c>
      <c r="L2" s="32" t="s">
        <v>118</v>
      </c>
    </row>
    <row r="3" spans="1:12" ht="12.75" x14ac:dyDescent="0.2">
      <c r="A3" s="25" t="s">
        <v>13</v>
      </c>
      <c r="B3" s="25" t="s">
        <v>13</v>
      </c>
      <c r="C3" s="25" t="s">
        <v>28</v>
      </c>
      <c r="D3" s="42" t="s">
        <v>201</v>
      </c>
      <c r="E3" s="42" t="s">
        <v>201</v>
      </c>
      <c r="F3" s="42" t="s">
        <v>201</v>
      </c>
      <c r="G3" s="44" t="s">
        <v>201</v>
      </c>
      <c r="H3" s="31" t="s">
        <v>533</v>
      </c>
      <c r="I3" s="31" t="s">
        <v>533</v>
      </c>
      <c r="J3" s="25" t="s">
        <v>28</v>
      </c>
      <c r="K3" s="25" t="s">
        <v>28</v>
      </c>
      <c r="L3" s="25" t="s">
        <v>13</v>
      </c>
    </row>
    <row r="4" spans="1:12" ht="12.75" x14ac:dyDescent="0.2">
      <c r="A4" s="9" t="s">
        <v>104</v>
      </c>
      <c r="B4" s="9" t="s">
        <v>106</v>
      </c>
      <c r="C4" s="9" t="s">
        <v>112</v>
      </c>
      <c r="D4" s="9" t="s">
        <v>194</v>
      </c>
      <c r="E4" s="9" t="s">
        <v>194</v>
      </c>
      <c r="F4" s="9" t="s">
        <v>194</v>
      </c>
      <c r="G4" s="9" t="s">
        <v>194</v>
      </c>
      <c r="H4" s="9" t="s">
        <v>109</v>
      </c>
      <c r="I4" s="9" t="s">
        <v>114</v>
      </c>
      <c r="J4" s="9" t="s">
        <v>109</v>
      </c>
      <c r="K4" s="9" t="s">
        <v>114</v>
      </c>
      <c r="L4" s="9" t="s">
        <v>117</v>
      </c>
    </row>
    <row r="5" spans="1:12" ht="15.75" customHeight="1" x14ac:dyDescent="0.2">
      <c r="A5" s="14" t="str">
        <f>"generator_"&amp;VLOOKUP(F5, Factor!$CC$4:$CD$6, 2, 0)&amp;"_"&amp;D5&amp;"_"&amp;VLOOKUP(Generator!E5, Factor!$CE$4:$CF$13, 2, 0)</f>
        <v>generator_Sm_T1_001</v>
      </c>
      <c r="B5" s="15" t="str">
        <f>D5&amp;" "&amp;G5&amp;"제네레이터"</f>
        <v>T1 소형 표준제네레이터</v>
      </c>
      <c r="C5" s="15">
        <f>VLOOKUP(D5, Factor!$AC$41:$AD$50, 2, 0)</f>
        <v>1000</v>
      </c>
      <c r="D5" s="15" t="s">
        <v>297</v>
      </c>
      <c r="E5" s="56" t="s">
        <v>582</v>
      </c>
      <c r="F5" s="56" t="s">
        <v>664</v>
      </c>
      <c r="G5" s="15" t="str">
        <f>F5&amp;" "&amp;E5</f>
        <v>소형 표준</v>
      </c>
      <c r="H5" s="15">
        <v>1</v>
      </c>
      <c r="I5" s="15">
        <v>1</v>
      </c>
      <c r="J5" s="15" cm="1">
        <f t="array" ref="J5">H5*VLOOKUP($G5, Factor!$AD$4:$AF$36, 2, 0)*INDEX(Factor!$AD$41:$AF$87, _xlfn.XMATCH($C5, Factor!$AD$41:$AD$87, -1), 2)</f>
        <v>100</v>
      </c>
      <c r="K5" s="15" cm="1">
        <f t="array" ref="K5">I5*VLOOKUP($G5, Factor!$AD$4:$AF$36, 3, 0)*INDEX(Factor!$AD$41:$AF$87, _xlfn.XMATCH($C5, Factor!$AD$41:$AD$87, -1), 3)</f>
        <v>500</v>
      </c>
      <c r="L5" s="16"/>
    </row>
    <row r="6" spans="1:12" ht="15.75" customHeight="1" x14ac:dyDescent="0.2">
      <c r="A6" s="17" t="str">
        <f>"generator_"&amp;VLOOKUP(F6, Factor!$CC$4:$CD$6, 2, 0)&amp;"_"&amp;D6&amp;"_"&amp;VLOOKUP(Generator!E6, Factor!$CE$4:$CF$13, 2, 0)</f>
        <v>generator_Sm_T1_002</v>
      </c>
      <c r="B6" s="18" t="str">
        <f t="shared" ref="B6:B34" si="0">D6&amp;" "&amp;G6&amp;"제네레이터"</f>
        <v>T1 소형 고성능제네레이터</v>
      </c>
      <c r="C6" s="18">
        <f>VLOOKUP(D6, Factor!$AC$41:$AD$50, 2, 0)</f>
        <v>1000</v>
      </c>
      <c r="D6" s="18" t="s">
        <v>297</v>
      </c>
      <c r="E6" s="55" t="s">
        <v>644</v>
      </c>
      <c r="F6" s="55" t="s">
        <v>664</v>
      </c>
      <c r="G6" s="18" t="str">
        <f t="shared" ref="G6:G69" si="1">F6&amp;" "&amp;E6</f>
        <v>소형 고성능</v>
      </c>
      <c r="H6" s="18">
        <v>1</v>
      </c>
      <c r="I6" s="18">
        <v>1</v>
      </c>
      <c r="J6" s="18" cm="1">
        <f t="array" ref="J6">H6*VLOOKUP($G6, Factor!$AD$4:$AF$36, 2, 0)*INDEX(Factor!$AD$41:$AF$87, _xlfn.XMATCH($C6, Factor!$AD$41:$AD$87, -1), 2)</f>
        <v>500</v>
      </c>
      <c r="K6" s="20" cm="1">
        <f t="array" ref="K6">I6*VLOOKUP($G6, Factor!$AD$4:$AF$36, 3, 0)*INDEX(Factor!$AD$41:$AF$87, _xlfn.XMATCH($C6, Factor!$AD$41:$AD$87, -1), 3)</f>
        <v>900</v>
      </c>
      <c r="L6" s="19"/>
    </row>
    <row r="7" spans="1:12" ht="15.75" customHeight="1" x14ac:dyDescent="0.2">
      <c r="A7" s="14" t="str">
        <f>"generator_"&amp;VLOOKUP(F7, Factor!$CC$4:$CD$6, 2, 0)&amp;"_"&amp;D7&amp;"_"&amp;VLOOKUP(Generator!E7, Factor!$CE$4:$CF$13, 2, 0)</f>
        <v>generator_Sm_T1_003</v>
      </c>
      <c r="B7" s="15" t="str">
        <f t="shared" si="0"/>
        <v>T1 소형 경량제네레이터</v>
      </c>
      <c r="C7" s="15">
        <f>VLOOKUP(D7, Factor!$AC$41:$AD$50, 2, 0)</f>
        <v>1000</v>
      </c>
      <c r="D7" s="15" t="s">
        <v>296</v>
      </c>
      <c r="E7" s="56" t="s">
        <v>585</v>
      </c>
      <c r="F7" s="56" t="s">
        <v>664</v>
      </c>
      <c r="G7" s="15" t="str">
        <f t="shared" si="1"/>
        <v>소형 경량</v>
      </c>
      <c r="H7" s="15">
        <v>1</v>
      </c>
      <c r="I7" s="15">
        <v>1</v>
      </c>
      <c r="J7" s="15" cm="1">
        <f t="array" ref="J7">H7*VLOOKUP($G7, Factor!$AD$4:$AF$36, 2, 0)*INDEX(Factor!$AD$41:$AF$87, _xlfn.XMATCH($C7, Factor!$AD$41:$AD$87, -1), 2)</f>
        <v>70</v>
      </c>
      <c r="K7" s="21" cm="1">
        <f t="array" ref="K7">I7*VLOOKUP($G7, Factor!$AD$4:$AF$36, 3, 0)*INDEX(Factor!$AD$41:$AF$87, _xlfn.XMATCH($C7, Factor!$AD$41:$AD$87, -1), 3)</f>
        <v>200</v>
      </c>
      <c r="L7" s="16"/>
    </row>
    <row r="8" spans="1:12" ht="15.75" customHeight="1" x14ac:dyDescent="0.2">
      <c r="A8" s="17" t="str">
        <f>"generator_"&amp;VLOOKUP(F8, Factor!$CC$4:$CD$6, 2, 0)&amp;"_"&amp;D8&amp;"_"&amp;VLOOKUP(Generator!E8, Factor!$CE$4:$CF$13, 2, 0)</f>
        <v>generator_Sm_T1_004</v>
      </c>
      <c r="B8" s="18" t="str">
        <f t="shared" si="0"/>
        <v>T1 소형 재생제네레이터</v>
      </c>
      <c r="C8" s="18">
        <f>VLOOKUP(D8, Factor!$AC$41:$AD$50, 2, 0)</f>
        <v>1000</v>
      </c>
      <c r="D8" s="18" t="s">
        <v>296</v>
      </c>
      <c r="E8" s="55" t="s">
        <v>646</v>
      </c>
      <c r="F8" s="55" t="s">
        <v>664</v>
      </c>
      <c r="G8" s="18" t="str">
        <f t="shared" si="1"/>
        <v>소형 재생</v>
      </c>
      <c r="H8" s="18">
        <v>1</v>
      </c>
      <c r="I8" s="18">
        <v>1</v>
      </c>
      <c r="J8" s="18" cm="1">
        <f t="array" ref="J8">H8*VLOOKUP($G8, Factor!$AD$4:$AF$36, 2, 0)*INDEX(Factor!$AD$41:$AF$87, _xlfn.XMATCH($C8, Factor!$AD$41:$AD$87, -1), 2)</f>
        <v>140</v>
      </c>
      <c r="K8" s="20" cm="1">
        <f t="array" ref="K8">I8*VLOOKUP($G8, Factor!$AD$4:$AF$36, 3, 0)*INDEX(Factor!$AD$41:$AF$87, _xlfn.XMATCH($C8, Factor!$AD$41:$AD$87, -1), 3)</f>
        <v>700</v>
      </c>
      <c r="L8" s="19"/>
    </row>
    <row r="9" spans="1:12" ht="15.75" customHeight="1" x14ac:dyDescent="0.2">
      <c r="A9" s="14" t="str">
        <f>"generator_"&amp;VLOOKUP(F9, Factor!$CC$4:$CD$6, 2, 0)&amp;"_"&amp;D9&amp;"_"&amp;VLOOKUP(Generator!E9, Factor!$CE$4:$CF$13, 2, 0)</f>
        <v>generator_Sm_T1_005</v>
      </c>
      <c r="B9" s="15" t="str">
        <f t="shared" si="0"/>
        <v>T1 소형 듀얼코어제네레이터</v>
      </c>
      <c r="C9" s="15">
        <f>VLOOKUP(D9, Factor!$AC$41:$AD$50, 2, 0)</f>
        <v>1000</v>
      </c>
      <c r="D9" s="15" t="s">
        <v>296</v>
      </c>
      <c r="E9" s="56" t="s">
        <v>650</v>
      </c>
      <c r="F9" s="56" t="s">
        <v>664</v>
      </c>
      <c r="G9" s="15" t="str">
        <f t="shared" si="1"/>
        <v>소형 듀얼코어</v>
      </c>
      <c r="H9" s="15">
        <v>1</v>
      </c>
      <c r="I9" s="15">
        <v>1</v>
      </c>
      <c r="J9" s="15" cm="1">
        <f t="array" ref="J9">H9*VLOOKUP($G9, Factor!$AD$4:$AF$36, 2, 0)*INDEX(Factor!$AD$41:$AF$87, _xlfn.XMATCH($C9, Factor!$AD$41:$AD$87, -1), 2)</f>
        <v>800</v>
      </c>
      <c r="K9" s="21" cm="1">
        <f t="array" ref="K9">I9*VLOOKUP($G9, Factor!$AD$4:$AF$36, 3, 0)*INDEX(Factor!$AD$41:$AF$87, _xlfn.XMATCH($C9, Factor!$AD$41:$AD$87, -1), 3)</f>
        <v>1500</v>
      </c>
      <c r="L9" s="16"/>
    </row>
    <row r="10" spans="1:12" ht="15.75" customHeight="1" x14ac:dyDescent="0.2">
      <c r="A10" s="17" t="str">
        <f>"generator_"&amp;VLOOKUP(F10, Factor!$CC$4:$CD$6, 2, 0)&amp;"_"&amp;D10&amp;"_"&amp;VLOOKUP(Generator!E10, Factor!$CE$4:$CF$13, 2, 0)</f>
        <v>generator_No_T1_001</v>
      </c>
      <c r="B10" s="18" t="str">
        <f t="shared" si="0"/>
        <v>T1 표준 표준제네레이터</v>
      </c>
      <c r="C10" s="18">
        <f>VLOOKUP(D10, Factor!$AC$41:$AD$50, 2, 0)</f>
        <v>1000</v>
      </c>
      <c r="D10" s="18" t="s">
        <v>296</v>
      </c>
      <c r="E10" s="55" t="s">
        <v>582</v>
      </c>
      <c r="F10" s="55" t="s">
        <v>582</v>
      </c>
      <c r="G10" s="18" t="str">
        <f t="shared" si="1"/>
        <v>표준 표준</v>
      </c>
      <c r="H10" s="18">
        <v>1</v>
      </c>
      <c r="I10" s="18">
        <v>1</v>
      </c>
      <c r="J10" s="18" cm="1">
        <f t="array" ref="J10">H10*VLOOKUP($G10, Factor!$AD$4:$AF$36, 2, 0)*INDEX(Factor!$AD$41:$AF$87, _xlfn.XMATCH($C10, Factor!$AD$41:$AD$87, -1), 2)</f>
        <v>100</v>
      </c>
      <c r="K10" s="20" cm="1">
        <f t="array" ref="K10">I10*VLOOKUP($G10, Factor!$AD$4:$AF$36, 3, 0)*INDEX(Factor!$AD$41:$AF$87, _xlfn.XMATCH($C10, Factor!$AD$41:$AD$87, -1), 3)</f>
        <v>500</v>
      </c>
      <c r="L10" s="19"/>
    </row>
    <row r="11" spans="1:12" ht="15.75" customHeight="1" x14ac:dyDescent="0.2">
      <c r="A11" s="14" t="str">
        <f>"generator_"&amp;VLOOKUP(F11, Factor!$CC$4:$CD$6, 2, 0)&amp;"_"&amp;D11&amp;"_"&amp;VLOOKUP(Generator!E11, Factor!$CE$4:$CF$13, 2, 0)</f>
        <v>generator_No_T1_002</v>
      </c>
      <c r="B11" s="15" t="str">
        <f t="shared" si="0"/>
        <v>T1 표준 고성능제네레이터</v>
      </c>
      <c r="C11" s="15">
        <f>VLOOKUP(D11, Factor!$AC$41:$AD$50, 2, 0)</f>
        <v>1000</v>
      </c>
      <c r="D11" s="15" t="s">
        <v>296</v>
      </c>
      <c r="E11" s="56" t="s">
        <v>644</v>
      </c>
      <c r="F11" s="56" t="s">
        <v>582</v>
      </c>
      <c r="G11" s="15" t="str">
        <f t="shared" si="1"/>
        <v>표준 고성능</v>
      </c>
      <c r="H11" s="15">
        <v>1</v>
      </c>
      <c r="I11" s="15">
        <v>1</v>
      </c>
      <c r="J11" s="15" cm="1">
        <f t="array" ref="J11">H11*VLOOKUP($G11, Factor!$AD$4:$AF$36, 2, 0)*INDEX(Factor!$AD$41:$AF$87, _xlfn.XMATCH($C11, Factor!$AD$41:$AD$87, -1), 2)</f>
        <v>500</v>
      </c>
      <c r="K11" s="21" cm="1">
        <f t="array" ref="K11">I11*VLOOKUP($G11, Factor!$AD$4:$AF$36, 3, 0)*INDEX(Factor!$AD$41:$AF$87, _xlfn.XMATCH($C11, Factor!$AD$41:$AD$87, -1), 3)</f>
        <v>900</v>
      </c>
      <c r="L11" s="16"/>
    </row>
    <row r="12" spans="1:12" ht="15.75" customHeight="1" x14ac:dyDescent="0.2">
      <c r="A12" s="17" t="str">
        <f>"generator_"&amp;VLOOKUP(F12, Factor!$CC$4:$CD$6, 2, 0)&amp;"_"&amp;D12&amp;"_"&amp;VLOOKUP(Generator!E12, Factor!$CE$4:$CF$13, 2, 0)</f>
        <v>generator_No_T1_003</v>
      </c>
      <c r="B12" s="18" t="str">
        <f t="shared" si="0"/>
        <v>T1 표준 경량제네레이터</v>
      </c>
      <c r="C12" s="18">
        <f>VLOOKUP(D12, Factor!$AC$41:$AD$50, 2, 0)</f>
        <v>1000</v>
      </c>
      <c r="D12" s="18" t="s">
        <v>296</v>
      </c>
      <c r="E12" s="55" t="s">
        <v>585</v>
      </c>
      <c r="F12" s="55" t="s">
        <v>582</v>
      </c>
      <c r="G12" s="18" t="str">
        <f t="shared" si="1"/>
        <v>표준 경량</v>
      </c>
      <c r="H12" s="18">
        <v>1</v>
      </c>
      <c r="I12" s="18">
        <v>1</v>
      </c>
      <c r="J12" s="18" cm="1">
        <f t="array" ref="J12">H12*VLOOKUP($G12, Factor!$AD$4:$AF$36, 2, 0)*INDEX(Factor!$AD$41:$AF$87, _xlfn.XMATCH($C12, Factor!$AD$41:$AD$87, -1), 2)</f>
        <v>70</v>
      </c>
      <c r="K12" s="20" cm="1">
        <f t="array" ref="K12">I12*VLOOKUP($G12, Factor!$AD$4:$AF$36, 3, 0)*INDEX(Factor!$AD$41:$AF$87, _xlfn.XMATCH($C12, Factor!$AD$41:$AD$87, -1), 3)</f>
        <v>200</v>
      </c>
      <c r="L12" s="19"/>
    </row>
    <row r="13" spans="1:12" ht="15.75" customHeight="1" x14ac:dyDescent="0.2">
      <c r="A13" s="14" t="str">
        <f>"generator_"&amp;VLOOKUP(F13, Factor!$CC$4:$CD$6, 2, 0)&amp;"_"&amp;D13&amp;"_"&amp;VLOOKUP(Generator!E13, Factor!$CE$4:$CF$13, 2, 0)</f>
        <v>generator_No_T1_004</v>
      </c>
      <c r="B13" s="15" t="str">
        <f t="shared" si="0"/>
        <v>T1 표준 재생제네레이터</v>
      </c>
      <c r="C13" s="15">
        <f>VLOOKUP(D13, Factor!$AC$41:$AD$50, 2, 0)</f>
        <v>1000</v>
      </c>
      <c r="D13" s="15" t="s">
        <v>296</v>
      </c>
      <c r="E13" s="56" t="s">
        <v>646</v>
      </c>
      <c r="F13" s="56" t="s">
        <v>582</v>
      </c>
      <c r="G13" s="15" t="str">
        <f t="shared" si="1"/>
        <v>표준 재생</v>
      </c>
      <c r="H13" s="15">
        <v>1</v>
      </c>
      <c r="I13" s="15">
        <v>1</v>
      </c>
      <c r="J13" s="15" cm="1">
        <f t="array" ref="J13">H13*VLOOKUP($G13, Factor!$AD$4:$AF$36, 2, 0)*INDEX(Factor!$AD$41:$AF$87, _xlfn.XMATCH($C13, Factor!$AD$41:$AD$87, -1), 2)</f>
        <v>140</v>
      </c>
      <c r="K13" s="21" cm="1">
        <f t="array" ref="K13">I13*VLOOKUP($G13, Factor!$AD$4:$AF$36, 3, 0)*INDEX(Factor!$AD$41:$AF$87, _xlfn.XMATCH($C13, Factor!$AD$41:$AD$87, -1), 3)</f>
        <v>700</v>
      </c>
      <c r="L13" s="16"/>
    </row>
    <row r="14" spans="1:12" ht="15.75" customHeight="1" x14ac:dyDescent="0.2">
      <c r="A14" s="17" t="str">
        <f>"generator_"&amp;VLOOKUP(F14, Factor!$CC$4:$CD$6, 2, 0)&amp;"_"&amp;D14&amp;"_"&amp;VLOOKUP(Generator!E14, Factor!$CE$4:$CF$13, 2, 0)</f>
        <v>generator_No_T1_005</v>
      </c>
      <c r="B14" s="18" t="str">
        <f t="shared" si="0"/>
        <v>T1 표준 듀얼코어제네레이터</v>
      </c>
      <c r="C14" s="18">
        <f>VLOOKUP(D14, Factor!$AC$41:$AD$50, 2, 0)</f>
        <v>1000</v>
      </c>
      <c r="D14" s="18" t="s">
        <v>296</v>
      </c>
      <c r="E14" s="55" t="s">
        <v>650</v>
      </c>
      <c r="F14" s="55" t="s">
        <v>582</v>
      </c>
      <c r="G14" s="18" t="str">
        <f t="shared" si="1"/>
        <v>표준 듀얼코어</v>
      </c>
      <c r="H14" s="18">
        <v>1</v>
      </c>
      <c r="I14" s="18">
        <v>1</v>
      </c>
      <c r="J14" s="18" cm="1">
        <f t="array" ref="J14">H14*VLOOKUP($G14, Factor!$AD$4:$AF$36, 2, 0)*INDEX(Factor!$AD$41:$AF$87, _xlfn.XMATCH($C14, Factor!$AD$41:$AD$87, -1), 2)</f>
        <v>800</v>
      </c>
      <c r="K14" s="20" cm="1">
        <f t="array" ref="K14">I14*VLOOKUP($G14, Factor!$AD$4:$AF$36, 3, 0)*INDEX(Factor!$AD$41:$AF$87, _xlfn.XMATCH($C14, Factor!$AD$41:$AD$87, -1), 3)</f>
        <v>1500</v>
      </c>
      <c r="L14" s="19"/>
    </row>
    <row r="15" spans="1:12" ht="15.75" customHeight="1" x14ac:dyDescent="0.2">
      <c r="A15" s="14" t="str">
        <f>"generator_"&amp;VLOOKUP(F15, Factor!$CC$4:$CD$6, 2, 0)&amp;"_"&amp;D15&amp;"_"&amp;VLOOKUP(Generator!E15, Factor!$CE$4:$CF$13, 2, 0)</f>
        <v>generator_Bi_T1_001</v>
      </c>
      <c r="B15" s="15" t="str">
        <f t="shared" si="0"/>
        <v>T1 대형 표준제네레이터</v>
      </c>
      <c r="C15" s="15">
        <f>VLOOKUP(D15, Factor!$AC$41:$AD$50, 2, 0)</f>
        <v>1000</v>
      </c>
      <c r="D15" s="15" t="s">
        <v>296</v>
      </c>
      <c r="E15" s="56" t="s">
        <v>582</v>
      </c>
      <c r="F15" s="56" t="s">
        <v>583</v>
      </c>
      <c r="G15" s="15" t="str">
        <f t="shared" si="1"/>
        <v>대형 표준</v>
      </c>
      <c r="H15" s="15">
        <v>1</v>
      </c>
      <c r="I15" s="15">
        <v>1</v>
      </c>
      <c r="J15" s="15" cm="1">
        <f t="array" ref="J15">H15*VLOOKUP($G15, Factor!$AD$4:$AF$36, 2, 0)*INDEX(Factor!$AD$41:$AF$87, _xlfn.XMATCH($C15, Factor!$AD$41:$AD$87, -1), 2)</f>
        <v>100</v>
      </c>
      <c r="K15" s="21" cm="1">
        <f t="array" ref="K15">I15*VLOOKUP($G15, Factor!$AD$4:$AF$36, 3, 0)*INDEX(Factor!$AD$41:$AF$87, _xlfn.XMATCH($C15, Factor!$AD$41:$AD$87, -1), 3)</f>
        <v>500</v>
      </c>
      <c r="L15" s="16"/>
    </row>
    <row r="16" spans="1:12" ht="15.75" customHeight="1" x14ac:dyDescent="0.2">
      <c r="A16" s="17" t="str">
        <f>"generator_"&amp;VLOOKUP(F16, Factor!$CC$4:$CD$6, 2, 0)&amp;"_"&amp;D16&amp;"_"&amp;VLOOKUP(Generator!E16, Factor!$CE$4:$CF$13, 2, 0)</f>
        <v>generator_Bi_T1_002</v>
      </c>
      <c r="B16" s="18" t="str">
        <f t="shared" si="0"/>
        <v>T1 대형 고성능제네레이터</v>
      </c>
      <c r="C16" s="18">
        <f>VLOOKUP(D16, Factor!$AC$41:$AD$50, 2, 0)</f>
        <v>1000</v>
      </c>
      <c r="D16" s="18" t="s">
        <v>296</v>
      </c>
      <c r="E16" s="55" t="s">
        <v>644</v>
      </c>
      <c r="F16" s="55" t="s">
        <v>583</v>
      </c>
      <c r="G16" s="18" t="str">
        <f t="shared" si="1"/>
        <v>대형 고성능</v>
      </c>
      <c r="H16" s="18">
        <v>1</v>
      </c>
      <c r="I16" s="18">
        <v>1</v>
      </c>
      <c r="J16" s="18" cm="1">
        <f t="array" ref="J16">H16*VLOOKUP($G16, Factor!$AD$4:$AF$36, 2, 0)*INDEX(Factor!$AD$41:$AF$87, _xlfn.XMATCH($C16, Factor!$AD$41:$AD$87, -1), 2)</f>
        <v>500</v>
      </c>
      <c r="K16" s="20" cm="1">
        <f t="array" ref="K16">I16*VLOOKUP($G16, Factor!$AD$4:$AF$36, 3, 0)*INDEX(Factor!$AD$41:$AF$87, _xlfn.XMATCH($C16, Factor!$AD$41:$AD$87, -1), 3)</f>
        <v>900</v>
      </c>
      <c r="L16" s="19"/>
    </row>
    <row r="17" spans="1:12" ht="15.75" customHeight="1" x14ac:dyDescent="0.2">
      <c r="A17" s="14" t="str">
        <f>"generator_"&amp;VLOOKUP(F17, Factor!$CC$4:$CD$6, 2, 0)&amp;"_"&amp;D17&amp;"_"&amp;VLOOKUP(Generator!E17, Factor!$CE$4:$CF$13, 2, 0)</f>
        <v>generator_Bi_T1_003</v>
      </c>
      <c r="B17" s="15" t="str">
        <f t="shared" si="0"/>
        <v>T1 대형 경량제네레이터</v>
      </c>
      <c r="C17" s="15">
        <f>VLOOKUP(D17, Factor!$AC$41:$AD$50, 2, 0)</f>
        <v>1000</v>
      </c>
      <c r="D17" s="15" t="s">
        <v>296</v>
      </c>
      <c r="E17" s="56" t="s">
        <v>585</v>
      </c>
      <c r="F17" s="56" t="s">
        <v>583</v>
      </c>
      <c r="G17" s="15" t="str">
        <f t="shared" si="1"/>
        <v>대형 경량</v>
      </c>
      <c r="H17" s="15">
        <v>1</v>
      </c>
      <c r="I17" s="15">
        <v>1</v>
      </c>
      <c r="J17" s="15" cm="1">
        <f t="array" ref="J17">H17*VLOOKUP($G17, Factor!$AD$4:$AF$36, 2, 0)*INDEX(Factor!$AD$41:$AF$87, _xlfn.XMATCH($C17, Factor!$AD$41:$AD$87, -1), 2)</f>
        <v>70</v>
      </c>
      <c r="K17" s="21" cm="1">
        <f t="array" ref="K17">I17*VLOOKUP($G17, Factor!$AD$4:$AF$36, 3, 0)*INDEX(Factor!$AD$41:$AF$87, _xlfn.XMATCH($C17, Factor!$AD$41:$AD$87, -1), 3)</f>
        <v>200</v>
      </c>
      <c r="L17" s="16"/>
    </row>
    <row r="18" spans="1:12" ht="15.75" customHeight="1" x14ac:dyDescent="0.2">
      <c r="A18" s="17" t="str">
        <f>"generator_"&amp;VLOOKUP(F18, Factor!$CC$4:$CD$6, 2, 0)&amp;"_"&amp;D18&amp;"_"&amp;VLOOKUP(Generator!E18, Factor!$CE$4:$CF$13, 2, 0)</f>
        <v>generator_Bi_T1_004</v>
      </c>
      <c r="B18" s="18" t="str">
        <f t="shared" si="0"/>
        <v>T1 대형 재생제네레이터</v>
      </c>
      <c r="C18" s="18">
        <f>VLOOKUP(D18, Factor!$AC$41:$AD$50, 2, 0)</f>
        <v>1000</v>
      </c>
      <c r="D18" s="18" t="s">
        <v>296</v>
      </c>
      <c r="E18" s="55" t="s">
        <v>646</v>
      </c>
      <c r="F18" s="55" t="s">
        <v>583</v>
      </c>
      <c r="G18" s="18" t="str">
        <f t="shared" si="1"/>
        <v>대형 재생</v>
      </c>
      <c r="H18" s="18">
        <v>1</v>
      </c>
      <c r="I18" s="18">
        <v>1</v>
      </c>
      <c r="J18" s="18" cm="1">
        <f t="array" ref="J18">H18*VLOOKUP($G18, Factor!$AD$4:$AF$36, 2, 0)*INDEX(Factor!$AD$41:$AF$87, _xlfn.XMATCH($C18, Factor!$AD$41:$AD$87, -1), 2)</f>
        <v>140</v>
      </c>
      <c r="K18" s="20" cm="1">
        <f t="array" ref="K18">I18*VLOOKUP($G18, Factor!$AD$4:$AF$36, 3, 0)*INDEX(Factor!$AD$41:$AF$87, _xlfn.XMATCH($C18, Factor!$AD$41:$AD$87, -1), 3)</f>
        <v>700</v>
      </c>
      <c r="L18" s="19"/>
    </row>
    <row r="19" spans="1:12" ht="15.75" customHeight="1" x14ac:dyDescent="0.2">
      <c r="A19" s="14" t="str">
        <f>"generator_"&amp;VLOOKUP(F19, Factor!$CC$4:$CD$6, 2, 0)&amp;"_"&amp;D19&amp;"_"&amp;VLOOKUP(Generator!E19, Factor!$CE$4:$CF$13, 2, 0)</f>
        <v>generator_Bi_T1_005</v>
      </c>
      <c r="B19" s="15" t="str">
        <f t="shared" si="0"/>
        <v>T1 대형 듀얼코어제네레이터</v>
      </c>
      <c r="C19" s="15">
        <f>VLOOKUP(D19, Factor!$AC$41:$AD$50, 2, 0)</f>
        <v>1000</v>
      </c>
      <c r="D19" s="15" t="s">
        <v>296</v>
      </c>
      <c r="E19" s="56" t="s">
        <v>650</v>
      </c>
      <c r="F19" s="56" t="s">
        <v>583</v>
      </c>
      <c r="G19" s="15" t="str">
        <f t="shared" si="1"/>
        <v>대형 듀얼코어</v>
      </c>
      <c r="H19" s="15">
        <v>1</v>
      </c>
      <c r="I19" s="15">
        <v>1</v>
      </c>
      <c r="J19" s="15" cm="1">
        <f t="array" ref="J19">H19*VLOOKUP($G19, Factor!$AD$4:$AF$36, 2, 0)*INDEX(Factor!$AD$41:$AF$87, _xlfn.XMATCH($C19, Factor!$AD$41:$AD$87, -1), 2)</f>
        <v>800</v>
      </c>
      <c r="K19" s="21" cm="1">
        <f t="array" ref="K19">I19*VLOOKUP($G19, Factor!$AD$4:$AF$36, 3, 0)*INDEX(Factor!$AD$41:$AF$87, _xlfn.XMATCH($C19, Factor!$AD$41:$AD$87, -1), 3)</f>
        <v>1500</v>
      </c>
      <c r="L19" s="16"/>
    </row>
    <row r="20" spans="1:12" ht="15.75" customHeight="1" x14ac:dyDescent="0.2">
      <c r="A20" s="17" t="str">
        <f>"generator_"&amp;VLOOKUP(F20, Factor!$CC$4:$CD$6, 2, 0)&amp;"_"&amp;D20&amp;"_"&amp;VLOOKUP(Generator!E20, Factor!$CE$4:$CF$13, 2, 0)</f>
        <v>generator_Sm_T2_001</v>
      </c>
      <c r="B20" s="18" t="str">
        <f t="shared" si="0"/>
        <v>T2 소형 표준제네레이터</v>
      </c>
      <c r="C20" s="18">
        <f>VLOOKUP(D20, Factor!$AC$41:$AD$50, 2, 0)</f>
        <v>2000</v>
      </c>
      <c r="D20" s="18" t="s">
        <v>320</v>
      </c>
      <c r="E20" s="55" t="s">
        <v>582</v>
      </c>
      <c r="F20" s="55" t="s">
        <v>664</v>
      </c>
      <c r="G20" s="18" t="str">
        <f t="shared" si="1"/>
        <v>소형 표준</v>
      </c>
      <c r="H20" s="18">
        <v>1</v>
      </c>
      <c r="I20" s="18">
        <v>1</v>
      </c>
      <c r="J20" s="18" cm="1">
        <f t="array" ref="J20">H20*VLOOKUP($G20, Factor!$AD$4:$AF$36, 2, 0)*INDEX(Factor!$AD$41:$AF$87, _xlfn.XMATCH($C20, Factor!$AD$41:$AD$87, -1), 2)</f>
        <v>120</v>
      </c>
      <c r="K20" s="20" cm="1">
        <f t="array" ref="K20">I20*VLOOKUP($G20, Factor!$AD$4:$AF$36, 3, 0)*INDEX(Factor!$AD$41:$AF$87, _xlfn.XMATCH($C20, Factor!$AD$41:$AD$87, -1), 3)</f>
        <v>600</v>
      </c>
      <c r="L20" s="19"/>
    </row>
    <row r="21" spans="1:12" ht="15.75" customHeight="1" x14ac:dyDescent="0.2">
      <c r="A21" s="14" t="str">
        <f>"generator_"&amp;VLOOKUP(F21, Factor!$CC$4:$CD$6, 2, 0)&amp;"_"&amp;D21&amp;"_"&amp;VLOOKUP(Generator!E21, Factor!$CE$4:$CF$13, 2, 0)</f>
        <v>generator_Sm_T2_002</v>
      </c>
      <c r="B21" s="15" t="str">
        <f t="shared" si="0"/>
        <v>T2 소형 고성능제네레이터</v>
      </c>
      <c r="C21" s="15">
        <f>VLOOKUP(D21, Factor!$AC$41:$AD$50, 2, 0)</f>
        <v>2000</v>
      </c>
      <c r="D21" s="15" t="s">
        <v>320</v>
      </c>
      <c r="E21" s="56" t="s">
        <v>644</v>
      </c>
      <c r="F21" s="56" t="s">
        <v>664</v>
      </c>
      <c r="G21" s="15" t="str">
        <f t="shared" si="1"/>
        <v>소형 고성능</v>
      </c>
      <c r="H21" s="15">
        <v>1</v>
      </c>
      <c r="I21" s="15">
        <v>1</v>
      </c>
      <c r="J21" s="15" cm="1">
        <f t="array" ref="J21">H21*VLOOKUP($G21, Factor!$AD$4:$AF$36, 2, 0)*INDEX(Factor!$AD$41:$AF$87, _xlfn.XMATCH($C21, Factor!$AD$41:$AD$87, -1), 2)</f>
        <v>600</v>
      </c>
      <c r="K21" s="21" cm="1">
        <f t="array" ref="K21">I21*VLOOKUP($G21, Factor!$AD$4:$AF$36, 3, 0)*INDEX(Factor!$AD$41:$AF$87, _xlfn.XMATCH($C21, Factor!$AD$41:$AD$87, -1), 3)</f>
        <v>1080</v>
      </c>
      <c r="L21" s="16"/>
    </row>
    <row r="22" spans="1:12" ht="15.75" customHeight="1" x14ac:dyDescent="0.2">
      <c r="A22" s="17" t="str">
        <f>"generator_"&amp;VLOOKUP(F22, Factor!$CC$4:$CD$6, 2, 0)&amp;"_"&amp;D22&amp;"_"&amp;VLOOKUP(Generator!E22, Factor!$CE$4:$CF$13, 2, 0)</f>
        <v>generator_Sm_T2_003</v>
      </c>
      <c r="B22" s="18" t="str">
        <f t="shared" si="0"/>
        <v>T2 소형 경량제네레이터</v>
      </c>
      <c r="C22" s="18">
        <f>VLOOKUP(D22, Factor!$AC$41:$AD$50, 2, 0)</f>
        <v>2000</v>
      </c>
      <c r="D22" s="18" t="s">
        <v>298</v>
      </c>
      <c r="E22" s="55" t="s">
        <v>585</v>
      </c>
      <c r="F22" s="55" t="s">
        <v>664</v>
      </c>
      <c r="G22" s="18" t="str">
        <f t="shared" si="1"/>
        <v>소형 경량</v>
      </c>
      <c r="H22" s="18">
        <v>1</v>
      </c>
      <c r="I22" s="18">
        <v>1</v>
      </c>
      <c r="J22" s="18" cm="1">
        <f t="array" ref="J22">H22*VLOOKUP($G22, Factor!$AD$4:$AF$36, 2, 0)*INDEX(Factor!$AD$41:$AF$87, _xlfn.XMATCH($C22, Factor!$AD$41:$AD$87, -1), 2)</f>
        <v>84</v>
      </c>
      <c r="K22" s="20" cm="1">
        <f t="array" ref="K22">I22*VLOOKUP($G22, Factor!$AD$4:$AF$36, 3, 0)*INDEX(Factor!$AD$41:$AF$87, _xlfn.XMATCH($C22, Factor!$AD$41:$AD$87, -1), 3)</f>
        <v>240</v>
      </c>
      <c r="L22" s="19"/>
    </row>
    <row r="23" spans="1:12" ht="15.75" customHeight="1" x14ac:dyDescent="0.2">
      <c r="A23" s="14" t="str">
        <f>"generator_"&amp;VLOOKUP(F23, Factor!$CC$4:$CD$6, 2, 0)&amp;"_"&amp;D23&amp;"_"&amp;VLOOKUP(Generator!E23, Factor!$CE$4:$CF$13, 2, 0)</f>
        <v>generator_Sm_T2_004</v>
      </c>
      <c r="B23" s="15" t="str">
        <f t="shared" si="0"/>
        <v>T2 소형 재생제네레이터</v>
      </c>
      <c r="C23" s="15">
        <f>VLOOKUP(D23, Factor!$AC$41:$AD$50, 2, 0)</f>
        <v>2000</v>
      </c>
      <c r="D23" s="15" t="s">
        <v>298</v>
      </c>
      <c r="E23" s="56" t="s">
        <v>646</v>
      </c>
      <c r="F23" s="56" t="s">
        <v>664</v>
      </c>
      <c r="G23" s="15" t="str">
        <f t="shared" si="1"/>
        <v>소형 재생</v>
      </c>
      <c r="H23" s="15">
        <v>1</v>
      </c>
      <c r="I23" s="15">
        <v>1</v>
      </c>
      <c r="J23" s="15" cm="1">
        <f t="array" ref="J23">H23*VLOOKUP($G23, Factor!$AD$4:$AF$36, 2, 0)*INDEX(Factor!$AD$41:$AF$87, _xlfn.XMATCH($C23, Factor!$AD$41:$AD$87, -1), 2)</f>
        <v>168</v>
      </c>
      <c r="K23" s="21" cm="1">
        <f t="array" ref="K23">I23*VLOOKUP($G23, Factor!$AD$4:$AF$36, 3, 0)*INDEX(Factor!$AD$41:$AF$87, _xlfn.XMATCH($C23, Factor!$AD$41:$AD$87, -1), 3)</f>
        <v>840</v>
      </c>
      <c r="L23" s="16"/>
    </row>
    <row r="24" spans="1:12" ht="15.75" customHeight="1" x14ac:dyDescent="0.2">
      <c r="A24" s="17" t="str">
        <f>"generator_"&amp;VLOOKUP(F24, Factor!$CC$4:$CD$6, 2, 0)&amp;"_"&amp;D24&amp;"_"&amp;VLOOKUP(Generator!E24, Factor!$CE$4:$CF$13, 2, 0)</f>
        <v>generator_Sm_T2_005</v>
      </c>
      <c r="B24" s="18" t="str">
        <f t="shared" si="0"/>
        <v>T2 소형 듀얼코어제네레이터</v>
      </c>
      <c r="C24" s="18">
        <f>VLOOKUP(D24, Factor!$AC$41:$AD$50, 2, 0)</f>
        <v>2000</v>
      </c>
      <c r="D24" s="18" t="s">
        <v>298</v>
      </c>
      <c r="E24" s="55" t="s">
        <v>650</v>
      </c>
      <c r="F24" s="55" t="s">
        <v>664</v>
      </c>
      <c r="G24" s="18" t="str">
        <f t="shared" si="1"/>
        <v>소형 듀얼코어</v>
      </c>
      <c r="H24" s="18">
        <v>1</v>
      </c>
      <c r="I24" s="18">
        <v>1</v>
      </c>
      <c r="J24" s="18" cm="1">
        <f t="array" ref="J24">H24*VLOOKUP($G24, Factor!$AD$4:$AF$36, 2, 0)*INDEX(Factor!$AD$41:$AF$87, _xlfn.XMATCH($C24, Factor!$AD$41:$AD$87, -1), 2)</f>
        <v>960</v>
      </c>
      <c r="K24" s="20" cm="1">
        <f t="array" ref="K24">I24*VLOOKUP($G24, Factor!$AD$4:$AF$36, 3, 0)*INDEX(Factor!$AD$41:$AF$87, _xlfn.XMATCH($C24, Factor!$AD$41:$AD$87, -1), 3)</f>
        <v>1800</v>
      </c>
      <c r="L24" s="19"/>
    </row>
    <row r="25" spans="1:12" ht="15.75" customHeight="1" x14ac:dyDescent="0.2">
      <c r="A25" s="14" t="str">
        <f>"generator_"&amp;VLOOKUP(F25, Factor!$CC$4:$CD$6, 2, 0)&amp;"_"&amp;D25&amp;"_"&amp;VLOOKUP(Generator!E25, Factor!$CE$4:$CF$13, 2, 0)</f>
        <v>generator_No_T2_001</v>
      </c>
      <c r="B25" s="15" t="str">
        <f t="shared" si="0"/>
        <v>T2 표준 표준제네레이터</v>
      </c>
      <c r="C25" s="15">
        <f>VLOOKUP(D25, Factor!$AC$41:$AD$50, 2, 0)</f>
        <v>2000</v>
      </c>
      <c r="D25" s="15" t="s">
        <v>298</v>
      </c>
      <c r="E25" s="56" t="s">
        <v>582</v>
      </c>
      <c r="F25" s="56" t="s">
        <v>582</v>
      </c>
      <c r="G25" s="15" t="str">
        <f t="shared" si="1"/>
        <v>표준 표준</v>
      </c>
      <c r="H25" s="15">
        <v>1</v>
      </c>
      <c r="I25" s="15">
        <v>1</v>
      </c>
      <c r="J25" s="15" cm="1">
        <f t="array" ref="J25">H25*VLOOKUP($G25, Factor!$AD$4:$AF$36, 2, 0)*INDEX(Factor!$AD$41:$AF$87, _xlfn.XMATCH($C25, Factor!$AD$41:$AD$87, -1), 2)</f>
        <v>120</v>
      </c>
      <c r="K25" s="21" cm="1">
        <f t="array" ref="K25">I25*VLOOKUP($G25, Factor!$AD$4:$AF$36, 3, 0)*INDEX(Factor!$AD$41:$AF$87, _xlfn.XMATCH($C25, Factor!$AD$41:$AD$87, -1), 3)</f>
        <v>600</v>
      </c>
      <c r="L25" s="16"/>
    </row>
    <row r="26" spans="1:12" ht="15.75" customHeight="1" x14ac:dyDescent="0.2">
      <c r="A26" s="17" t="str">
        <f>"generator_"&amp;VLOOKUP(F26, Factor!$CC$4:$CD$6, 2, 0)&amp;"_"&amp;D26&amp;"_"&amp;VLOOKUP(Generator!E26, Factor!$CE$4:$CF$13, 2, 0)</f>
        <v>generator_No_T2_002</v>
      </c>
      <c r="B26" s="18" t="str">
        <f t="shared" si="0"/>
        <v>T2 표준 고성능제네레이터</v>
      </c>
      <c r="C26" s="18">
        <f>VLOOKUP(D26, Factor!$AC$41:$AD$50, 2, 0)</f>
        <v>2000</v>
      </c>
      <c r="D26" s="18" t="s">
        <v>298</v>
      </c>
      <c r="E26" s="55" t="s">
        <v>644</v>
      </c>
      <c r="F26" s="55" t="s">
        <v>582</v>
      </c>
      <c r="G26" s="18" t="str">
        <f t="shared" si="1"/>
        <v>표준 고성능</v>
      </c>
      <c r="H26" s="18">
        <v>1</v>
      </c>
      <c r="I26" s="18">
        <v>1</v>
      </c>
      <c r="J26" s="18" cm="1">
        <f t="array" ref="J26">H26*VLOOKUP($G26, Factor!$AD$4:$AF$36, 2, 0)*INDEX(Factor!$AD$41:$AF$87, _xlfn.XMATCH($C26, Factor!$AD$41:$AD$87, -1), 2)</f>
        <v>600</v>
      </c>
      <c r="K26" s="20" cm="1">
        <f t="array" ref="K26">I26*VLOOKUP($G26, Factor!$AD$4:$AF$36, 3, 0)*INDEX(Factor!$AD$41:$AF$87, _xlfn.XMATCH($C26, Factor!$AD$41:$AD$87, -1), 3)</f>
        <v>1080</v>
      </c>
      <c r="L26" s="19"/>
    </row>
    <row r="27" spans="1:12" ht="15.75" customHeight="1" x14ac:dyDescent="0.2">
      <c r="A27" s="14" t="str">
        <f>"generator_"&amp;VLOOKUP(F27, Factor!$CC$4:$CD$6, 2, 0)&amp;"_"&amp;D27&amp;"_"&amp;VLOOKUP(Generator!E27, Factor!$CE$4:$CF$13, 2, 0)</f>
        <v>generator_No_T2_003</v>
      </c>
      <c r="B27" s="15" t="str">
        <f t="shared" si="0"/>
        <v>T2 표준 경량제네레이터</v>
      </c>
      <c r="C27" s="15">
        <f>VLOOKUP(D27, Factor!$AC$41:$AD$50, 2, 0)</f>
        <v>2000</v>
      </c>
      <c r="D27" s="15" t="s">
        <v>298</v>
      </c>
      <c r="E27" s="56" t="s">
        <v>585</v>
      </c>
      <c r="F27" s="56" t="s">
        <v>582</v>
      </c>
      <c r="G27" s="15" t="str">
        <f t="shared" si="1"/>
        <v>표준 경량</v>
      </c>
      <c r="H27" s="15">
        <v>1</v>
      </c>
      <c r="I27" s="15">
        <v>1</v>
      </c>
      <c r="J27" s="15" cm="1">
        <f t="array" ref="J27">H27*VLOOKUP($G27, Factor!$AD$4:$AF$36, 2, 0)*INDEX(Factor!$AD$41:$AF$87, _xlfn.XMATCH($C27, Factor!$AD$41:$AD$87, -1), 2)</f>
        <v>84</v>
      </c>
      <c r="K27" s="21" cm="1">
        <f t="array" ref="K27">I27*VLOOKUP($G27, Factor!$AD$4:$AF$36, 3, 0)*INDEX(Factor!$AD$41:$AF$87, _xlfn.XMATCH($C27, Factor!$AD$41:$AD$87, -1), 3)</f>
        <v>240</v>
      </c>
      <c r="L27" s="16"/>
    </row>
    <row r="28" spans="1:12" ht="15.75" customHeight="1" x14ac:dyDescent="0.2">
      <c r="A28" s="17" t="str">
        <f>"generator_"&amp;VLOOKUP(F28, Factor!$CC$4:$CD$6, 2, 0)&amp;"_"&amp;D28&amp;"_"&amp;VLOOKUP(Generator!E28, Factor!$CE$4:$CF$13, 2, 0)</f>
        <v>generator_No_T2_004</v>
      </c>
      <c r="B28" s="18" t="str">
        <f t="shared" si="0"/>
        <v>T2 표준 재생제네레이터</v>
      </c>
      <c r="C28" s="18">
        <f>VLOOKUP(D28, Factor!$AC$41:$AD$50, 2, 0)</f>
        <v>2000</v>
      </c>
      <c r="D28" s="18" t="s">
        <v>298</v>
      </c>
      <c r="E28" s="55" t="s">
        <v>646</v>
      </c>
      <c r="F28" s="55" t="s">
        <v>582</v>
      </c>
      <c r="G28" s="18" t="str">
        <f t="shared" si="1"/>
        <v>표준 재생</v>
      </c>
      <c r="H28" s="18">
        <v>1</v>
      </c>
      <c r="I28" s="18">
        <v>1</v>
      </c>
      <c r="J28" s="18" cm="1">
        <f t="array" ref="J28">H28*VLOOKUP($G28, Factor!$AD$4:$AF$36, 2, 0)*INDEX(Factor!$AD$41:$AF$87, _xlfn.XMATCH($C28, Factor!$AD$41:$AD$87, -1), 2)</f>
        <v>168</v>
      </c>
      <c r="K28" s="20" cm="1">
        <f t="array" ref="K28">I28*VLOOKUP($G28, Factor!$AD$4:$AF$36, 3, 0)*INDEX(Factor!$AD$41:$AF$87, _xlfn.XMATCH($C28, Factor!$AD$41:$AD$87, -1), 3)</f>
        <v>840</v>
      </c>
      <c r="L28" s="19"/>
    </row>
    <row r="29" spans="1:12" ht="15.75" customHeight="1" x14ac:dyDescent="0.2">
      <c r="A29" s="14" t="str">
        <f>"generator_"&amp;VLOOKUP(F29, Factor!$CC$4:$CD$6, 2, 0)&amp;"_"&amp;D29&amp;"_"&amp;VLOOKUP(Generator!E29, Factor!$CE$4:$CF$13, 2, 0)</f>
        <v>generator_No_T2_005</v>
      </c>
      <c r="B29" s="15" t="str">
        <f t="shared" si="0"/>
        <v>T2 표준 듀얼코어제네레이터</v>
      </c>
      <c r="C29" s="15">
        <f>VLOOKUP(D29, Factor!$AC$41:$AD$50, 2, 0)</f>
        <v>2000</v>
      </c>
      <c r="D29" s="15" t="s">
        <v>298</v>
      </c>
      <c r="E29" s="56" t="s">
        <v>650</v>
      </c>
      <c r="F29" s="56" t="s">
        <v>582</v>
      </c>
      <c r="G29" s="15" t="str">
        <f t="shared" si="1"/>
        <v>표준 듀얼코어</v>
      </c>
      <c r="H29" s="15">
        <v>1</v>
      </c>
      <c r="I29" s="15">
        <v>1</v>
      </c>
      <c r="J29" s="15" cm="1">
        <f t="array" ref="J29">H29*VLOOKUP($G29, Factor!$AD$4:$AF$36, 2, 0)*INDEX(Factor!$AD$41:$AF$87, _xlfn.XMATCH($C29, Factor!$AD$41:$AD$87, -1), 2)</f>
        <v>960</v>
      </c>
      <c r="K29" s="21" cm="1">
        <f t="array" ref="K29">I29*VLOOKUP($G29, Factor!$AD$4:$AF$36, 3, 0)*INDEX(Factor!$AD$41:$AF$87, _xlfn.XMATCH($C29, Factor!$AD$41:$AD$87, -1), 3)</f>
        <v>1800</v>
      </c>
      <c r="L29" s="16"/>
    </row>
    <row r="30" spans="1:12" ht="15.75" customHeight="1" x14ac:dyDescent="0.2">
      <c r="A30" s="17" t="str">
        <f>"generator_"&amp;VLOOKUP(F30, Factor!$CC$4:$CD$6, 2, 0)&amp;"_"&amp;D30&amp;"_"&amp;VLOOKUP(Generator!E30, Factor!$CE$4:$CF$13, 2, 0)</f>
        <v>generator_Bi_T2_001</v>
      </c>
      <c r="B30" s="18" t="str">
        <f t="shared" si="0"/>
        <v>T2 대형 표준제네레이터</v>
      </c>
      <c r="C30" s="18">
        <f>VLOOKUP(D30, Factor!$AC$41:$AD$50, 2, 0)</f>
        <v>2000</v>
      </c>
      <c r="D30" s="18" t="s">
        <v>298</v>
      </c>
      <c r="E30" s="55" t="s">
        <v>582</v>
      </c>
      <c r="F30" s="55" t="s">
        <v>583</v>
      </c>
      <c r="G30" s="18" t="str">
        <f t="shared" si="1"/>
        <v>대형 표준</v>
      </c>
      <c r="H30" s="18">
        <v>1</v>
      </c>
      <c r="I30" s="18">
        <v>1</v>
      </c>
      <c r="J30" s="18" cm="1">
        <f t="array" ref="J30">H30*VLOOKUP($G30, Factor!$AD$4:$AF$36, 2, 0)*INDEX(Factor!$AD$41:$AF$87, _xlfn.XMATCH($C30, Factor!$AD$41:$AD$87, -1), 2)</f>
        <v>120</v>
      </c>
      <c r="K30" s="20" cm="1">
        <f t="array" ref="K30">I30*VLOOKUP($G30, Factor!$AD$4:$AF$36, 3, 0)*INDEX(Factor!$AD$41:$AF$87, _xlfn.XMATCH($C30, Factor!$AD$41:$AD$87, -1), 3)</f>
        <v>600</v>
      </c>
      <c r="L30" s="19"/>
    </row>
    <row r="31" spans="1:12" ht="15.75" customHeight="1" x14ac:dyDescent="0.2">
      <c r="A31" s="14" t="str">
        <f>"generator_"&amp;VLOOKUP(F31, Factor!$CC$4:$CD$6, 2, 0)&amp;"_"&amp;D31&amp;"_"&amp;VLOOKUP(Generator!E31, Factor!$CE$4:$CF$13, 2, 0)</f>
        <v>generator_Bi_T2_002</v>
      </c>
      <c r="B31" s="15" t="str">
        <f t="shared" si="0"/>
        <v>T2 대형 고성능제네레이터</v>
      </c>
      <c r="C31" s="15">
        <f>VLOOKUP(D31, Factor!$AC$41:$AD$50, 2, 0)</f>
        <v>2000</v>
      </c>
      <c r="D31" s="15" t="s">
        <v>298</v>
      </c>
      <c r="E31" s="56" t="s">
        <v>644</v>
      </c>
      <c r="F31" s="56" t="s">
        <v>583</v>
      </c>
      <c r="G31" s="15" t="str">
        <f t="shared" si="1"/>
        <v>대형 고성능</v>
      </c>
      <c r="H31" s="15">
        <v>1</v>
      </c>
      <c r="I31" s="15">
        <v>1</v>
      </c>
      <c r="J31" s="15" cm="1">
        <f t="array" ref="J31">H31*VLOOKUP($G31, Factor!$AD$4:$AF$36, 2, 0)*INDEX(Factor!$AD$41:$AF$87, _xlfn.XMATCH($C31, Factor!$AD$41:$AD$87, -1), 2)</f>
        <v>600</v>
      </c>
      <c r="K31" s="21" cm="1">
        <f t="array" ref="K31">I31*VLOOKUP($G31, Factor!$AD$4:$AF$36, 3, 0)*INDEX(Factor!$AD$41:$AF$87, _xlfn.XMATCH($C31, Factor!$AD$41:$AD$87, -1), 3)</f>
        <v>1080</v>
      </c>
      <c r="L31" s="16"/>
    </row>
    <row r="32" spans="1:12" ht="15.75" customHeight="1" x14ac:dyDescent="0.2">
      <c r="A32" s="17" t="str">
        <f>"generator_"&amp;VLOOKUP(F32, Factor!$CC$4:$CD$6, 2, 0)&amp;"_"&amp;D32&amp;"_"&amp;VLOOKUP(Generator!E32, Factor!$CE$4:$CF$13, 2, 0)</f>
        <v>generator_Bi_T2_003</v>
      </c>
      <c r="B32" s="18" t="str">
        <f t="shared" si="0"/>
        <v>T2 대형 경량제네레이터</v>
      </c>
      <c r="C32" s="18">
        <f>VLOOKUP(D32, Factor!$AC$41:$AD$50, 2, 0)</f>
        <v>2000</v>
      </c>
      <c r="D32" s="18" t="s">
        <v>298</v>
      </c>
      <c r="E32" s="55" t="s">
        <v>585</v>
      </c>
      <c r="F32" s="55" t="s">
        <v>583</v>
      </c>
      <c r="G32" s="18" t="str">
        <f t="shared" si="1"/>
        <v>대형 경량</v>
      </c>
      <c r="H32" s="18">
        <v>1</v>
      </c>
      <c r="I32" s="18">
        <v>1</v>
      </c>
      <c r="J32" s="18" cm="1">
        <f t="array" ref="J32">H32*VLOOKUP($G32, Factor!$AD$4:$AF$36, 2, 0)*INDEX(Factor!$AD$41:$AF$87, _xlfn.XMATCH($C32, Factor!$AD$41:$AD$87, -1), 2)</f>
        <v>84</v>
      </c>
      <c r="K32" s="20" cm="1">
        <f t="array" ref="K32">I32*VLOOKUP($G32, Factor!$AD$4:$AF$36, 3, 0)*INDEX(Factor!$AD$41:$AF$87, _xlfn.XMATCH($C32, Factor!$AD$41:$AD$87, -1), 3)</f>
        <v>240</v>
      </c>
      <c r="L32" s="19"/>
    </row>
    <row r="33" spans="1:12" ht="15.75" customHeight="1" x14ac:dyDescent="0.2">
      <c r="A33" s="14" t="str">
        <f>"generator_"&amp;VLOOKUP(F33, Factor!$CC$4:$CD$6, 2, 0)&amp;"_"&amp;D33&amp;"_"&amp;VLOOKUP(Generator!E33, Factor!$CE$4:$CF$13, 2, 0)</f>
        <v>generator_Bi_T2_004</v>
      </c>
      <c r="B33" s="15" t="str">
        <f t="shared" si="0"/>
        <v>T2 대형 재생제네레이터</v>
      </c>
      <c r="C33" s="15">
        <f>VLOOKUP(D33, Factor!$AC$41:$AD$50, 2, 0)</f>
        <v>2000</v>
      </c>
      <c r="D33" s="15" t="s">
        <v>298</v>
      </c>
      <c r="E33" s="56" t="s">
        <v>646</v>
      </c>
      <c r="F33" s="56" t="s">
        <v>583</v>
      </c>
      <c r="G33" s="15" t="str">
        <f t="shared" si="1"/>
        <v>대형 재생</v>
      </c>
      <c r="H33" s="15">
        <v>1</v>
      </c>
      <c r="I33" s="15">
        <v>1</v>
      </c>
      <c r="J33" s="15" cm="1">
        <f t="array" ref="J33">H33*VLOOKUP($G33, Factor!$AD$4:$AF$36, 2, 0)*INDEX(Factor!$AD$41:$AF$87, _xlfn.XMATCH($C33, Factor!$AD$41:$AD$87, -1), 2)</f>
        <v>168</v>
      </c>
      <c r="K33" s="21" cm="1">
        <f t="array" ref="K33">I33*VLOOKUP($G33, Factor!$AD$4:$AF$36, 3, 0)*INDEX(Factor!$AD$41:$AF$87, _xlfn.XMATCH($C33, Factor!$AD$41:$AD$87, -1), 3)</f>
        <v>840</v>
      </c>
      <c r="L33" s="16"/>
    </row>
    <row r="34" spans="1:12" ht="15.75" customHeight="1" x14ac:dyDescent="0.2">
      <c r="A34" s="17" t="str">
        <f>"generator_"&amp;VLOOKUP(F34, Factor!$CC$4:$CD$6, 2, 0)&amp;"_"&amp;D34&amp;"_"&amp;VLOOKUP(Generator!E34, Factor!$CE$4:$CF$13, 2, 0)</f>
        <v>generator_Bi_T2_005</v>
      </c>
      <c r="B34" s="18" t="str">
        <f t="shared" si="0"/>
        <v>T2 대형 듀얼코어제네레이터</v>
      </c>
      <c r="C34" s="18">
        <f>VLOOKUP(D34, Factor!$AC$41:$AD$50, 2, 0)</f>
        <v>2000</v>
      </c>
      <c r="D34" s="18" t="s">
        <v>298</v>
      </c>
      <c r="E34" s="55" t="s">
        <v>650</v>
      </c>
      <c r="F34" s="55" t="s">
        <v>583</v>
      </c>
      <c r="G34" s="18" t="str">
        <f t="shared" si="1"/>
        <v>대형 듀얼코어</v>
      </c>
      <c r="H34" s="18">
        <v>1</v>
      </c>
      <c r="I34" s="18">
        <v>1</v>
      </c>
      <c r="J34" s="18" cm="1">
        <f t="array" ref="J34">H34*VLOOKUP($G34, Factor!$AD$4:$AF$36, 2, 0)*INDEX(Factor!$AD$41:$AF$87, _xlfn.XMATCH($C34, Factor!$AD$41:$AD$87, -1), 2)</f>
        <v>960</v>
      </c>
      <c r="K34" s="20" cm="1">
        <f t="array" ref="K34">I34*VLOOKUP($G34, Factor!$AD$4:$AF$36, 3, 0)*INDEX(Factor!$AD$41:$AF$87, _xlfn.XMATCH($C34, Factor!$AD$41:$AD$87, -1), 3)</f>
        <v>1800</v>
      </c>
      <c r="L34" s="19"/>
    </row>
    <row r="35" spans="1:12" ht="15.75" customHeight="1" x14ac:dyDescent="0.2">
      <c r="A35" s="14" t="str">
        <f>"generator_"&amp;VLOOKUP(F35, Factor!$CC$4:$CD$6, 2, 0)&amp;"_"&amp;D35&amp;"_"&amp;VLOOKUP(Generator!E35, Factor!$CE$4:$CF$13, 2, 0)</f>
        <v>generator_Sm_T3_001</v>
      </c>
      <c r="B35" s="15" t="str">
        <f t="shared" ref="B35:B98" si="2">D35&amp;" "&amp;G35&amp;"제네레이터"</f>
        <v>T3 소형 표준제네레이터</v>
      </c>
      <c r="C35" s="15">
        <f>VLOOKUP(D35, Factor!$AC$41:$AD$50, 2, 0)</f>
        <v>3000</v>
      </c>
      <c r="D35" s="15" t="s">
        <v>321</v>
      </c>
      <c r="E35" s="56" t="s">
        <v>582</v>
      </c>
      <c r="F35" s="56" t="s">
        <v>664</v>
      </c>
      <c r="G35" s="15" t="str">
        <f t="shared" si="1"/>
        <v>소형 표준</v>
      </c>
      <c r="H35" s="15">
        <v>1</v>
      </c>
      <c r="I35" s="15">
        <v>1</v>
      </c>
      <c r="J35" s="15" cm="1">
        <f t="array" ref="J35">H35*VLOOKUP($G35, Factor!$AD$4:$AF$36, 2, 0)*INDEX(Factor!$AD$41:$AF$87, _xlfn.XMATCH($C35, Factor!$AD$41:$AD$87, -1), 2)</f>
        <v>140</v>
      </c>
      <c r="K35" s="21" cm="1">
        <f t="array" ref="K35">I35*VLOOKUP($G35, Factor!$AD$4:$AF$36, 3, 0)*INDEX(Factor!$AD$41:$AF$87, _xlfn.XMATCH($C35, Factor!$AD$41:$AD$87, -1), 3)</f>
        <v>700</v>
      </c>
      <c r="L35" s="16"/>
    </row>
    <row r="36" spans="1:12" ht="15.75" customHeight="1" x14ac:dyDescent="0.2">
      <c r="A36" s="17" t="str">
        <f>"generator_"&amp;VLOOKUP(F36, Factor!$CC$4:$CD$6, 2, 0)&amp;"_"&amp;D36&amp;"_"&amp;VLOOKUP(Generator!E36, Factor!$CE$4:$CF$13, 2, 0)</f>
        <v>generator_Sm_T3_002</v>
      </c>
      <c r="B36" s="18" t="str">
        <f t="shared" si="2"/>
        <v>T3 소형 고성능제네레이터</v>
      </c>
      <c r="C36" s="18">
        <f>VLOOKUP(D36, Factor!$AC$41:$AD$50, 2, 0)</f>
        <v>3000</v>
      </c>
      <c r="D36" s="18" t="s">
        <v>321</v>
      </c>
      <c r="E36" s="55" t="s">
        <v>644</v>
      </c>
      <c r="F36" s="55" t="s">
        <v>664</v>
      </c>
      <c r="G36" s="18" t="str">
        <f t="shared" si="1"/>
        <v>소형 고성능</v>
      </c>
      <c r="H36" s="18">
        <v>1</v>
      </c>
      <c r="I36" s="18">
        <v>1</v>
      </c>
      <c r="J36" s="18" cm="1">
        <f t="array" ref="J36">H36*VLOOKUP($G36, Factor!$AD$4:$AF$36, 2, 0)*INDEX(Factor!$AD$41:$AF$87, _xlfn.XMATCH($C36, Factor!$AD$41:$AD$87, -1), 2)</f>
        <v>700</v>
      </c>
      <c r="K36" s="20" cm="1">
        <f t="array" ref="K36">I36*VLOOKUP($G36, Factor!$AD$4:$AF$36, 3, 0)*INDEX(Factor!$AD$41:$AF$87, _xlfn.XMATCH($C36, Factor!$AD$41:$AD$87, -1), 3)</f>
        <v>1260</v>
      </c>
      <c r="L36" s="19"/>
    </row>
    <row r="37" spans="1:12" ht="15.75" customHeight="1" x14ac:dyDescent="0.2">
      <c r="A37" s="14" t="str">
        <f>"generator_"&amp;VLOOKUP(F37, Factor!$CC$4:$CD$6, 2, 0)&amp;"_"&amp;D37&amp;"_"&amp;VLOOKUP(Generator!E37, Factor!$CE$4:$CF$13, 2, 0)</f>
        <v>generator_Sm_T3_003</v>
      </c>
      <c r="B37" s="15" t="str">
        <f t="shared" si="2"/>
        <v>T3 소형 경량제네레이터</v>
      </c>
      <c r="C37" s="15">
        <f>VLOOKUP(D37, Factor!$AC$41:$AD$50, 2, 0)</f>
        <v>3000</v>
      </c>
      <c r="D37" s="15" t="s">
        <v>299</v>
      </c>
      <c r="E37" s="56" t="s">
        <v>585</v>
      </c>
      <c r="F37" s="56" t="s">
        <v>664</v>
      </c>
      <c r="G37" s="15" t="str">
        <f t="shared" si="1"/>
        <v>소형 경량</v>
      </c>
      <c r="H37" s="15">
        <v>1</v>
      </c>
      <c r="I37" s="15">
        <v>1</v>
      </c>
      <c r="J37" s="15" cm="1">
        <f t="array" ref="J37">H37*VLOOKUP($G37, Factor!$AD$4:$AF$36, 2, 0)*INDEX(Factor!$AD$41:$AF$87, _xlfn.XMATCH($C37, Factor!$AD$41:$AD$87, -1), 2)</f>
        <v>98</v>
      </c>
      <c r="K37" s="21" cm="1">
        <f t="array" ref="K37">I37*VLOOKUP($G37, Factor!$AD$4:$AF$36, 3, 0)*INDEX(Factor!$AD$41:$AF$87, _xlfn.XMATCH($C37, Factor!$AD$41:$AD$87, -1), 3)</f>
        <v>280</v>
      </c>
      <c r="L37" s="16"/>
    </row>
    <row r="38" spans="1:12" ht="15.75" customHeight="1" x14ac:dyDescent="0.2">
      <c r="A38" s="17" t="str">
        <f>"generator_"&amp;VLOOKUP(F38, Factor!$CC$4:$CD$6, 2, 0)&amp;"_"&amp;D38&amp;"_"&amp;VLOOKUP(Generator!E38, Factor!$CE$4:$CF$13, 2, 0)</f>
        <v>generator_Sm_T3_004</v>
      </c>
      <c r="B38" s="18" t="str">
        <f t="shared" si="2"/>
        <v>T3 소형 재생제네레이터</v>
      </c>
      <c r="C38" s="18">
        <f>VLOOKUP(D38, Factor!$AC$41:$AD$50, 2, 0)</f>
        <v>3000</v>
      </c>
      <c r="D38" s="18" t="s">
        <v>299</v>
      </c>
      <c r="E38" s="55" t="s">
        <v>646</v>
      </c>
      <c r="F38" s="55" t="s">
        <v>664</v>
      </c>
      <c r="G38" s="18" t="str">
        <f t="shared" si="1"/>
        <v>소형 재생</v>
      </c>
      <c r="H38" s="18">
        <v>1</v>
      </c>
      <c r="I38" s="18">
        <v>1</v>
      </c>
      <c r="J38" s="18" cm="1">
        <f t="array" ref="J38">H38*VLOOKUP($G38, Factor!$AD$4:$AF$36, 2, 0)*INDEX(Factor!$AD$41:$AF$87, _xlfn.XMATCH($C38, Factor!$AD$41:$AD$87, -1), 2)</f>
        <v>196</v>
      </c>
      <c r="K38" s="20" cm="1">
        <f t="array" ref="K38">I38*VLOOKUP($G38, Factor!$AD$4:$AF$36, 3, 0)*INDEX(Factor!$AD$41:$AF$87, _xlfn.XMATCH($C38, Factor!$AD$41:$AD$87, -1), 3)</f>
        <v>979.99999999999989</v>
      </c>
      <c r="L38" s="19"/>
    </row>
    <row r="39" spans="1:12" ht="15.75" customHeight="1" x14ac:dyDescent="0.2">
      <c r="A39" s="14" t="str">
        <f>"generator_"&amp;VLOOKUP(F39, Factor!$CC$4:$CD$6, 2, 0)&amp;"_"&amp;D39&amp;"_"&amp;VLOOKUP(Generator!E39, Factor!$CE$4:$CF$13, 2, 0)</f>
        <v>generator_Sm_T3_005</v>
      </c>
      <c r="B39" s="15" t="str">
        <f t="shared" si="2"/>
        <v>T3 소형 듀얼코어제네레이터</v>
      </c>
      <c r="C39" s="15">
        <f>VLOOKUP(D39, Factor!$AC$41:$AD$50, 2, 0)</f>
        <v>3000</v>
      </c>
      <c r="D39" s="15" t="s">
        <v>299</v>
      </c>
      <c r="E39" s="56" t="s">
        <v>650</v>
      </c>
      <c r="F39" s="56" t="s">
        <v>664</v>
      </c>
      <c r="G39" s="15" t="str">
        <f t="shared" si="1"/>
        <v>소형 듀얼코어</v>
      </c>
      <c r="H39" s="15">
        <v>1</v>
      </c>
      <c r="I39" s="15">
        <v>1</v>
      </c>
      <c r="J39" s="15" cm="1">
        <f t="array" ref="J39">H39*VLOOKUP($G39, Factor!$AD$4:$AF$36, 2, 0)*INDEX(Factor!$AD$41:$AF$87, _xlfn.XMATCH($C39, Factor!$AD$41:$AD$87, -1), 2)</f>
        <v>1120</v>
      </c>
      <c r="K39" s="21" cm="1">
        <f t="array" ref="K39">I39*VLOOKUP($G39, Factor!$AD$4:$AF$36, 3, 0)*INDEX(Factor!$AD$41:$AF$87, _xlfn.XMATCH($C39, Factor!$AD$41:$AD$87, -1), 3)</f>
        <v>2100</v>
      </c>
      <c r="L39" s="16"/>
    </row>
    <row r="40" spans="1:12" ht="15.75" customHeight="1" x14ac:dyDescent="0.2">
      <c r="A40" s="17" t="str">
        <f>"generator_"&amp;VLOOKUP(F40, Factor!$CC$4:$CD$6, 2, 0)&amp;"_"&amp;D40&amp;"_"&amp;VLOOKUP(Generator!E40, Factor!$CE$4:$CF$13, 2, 0)</f>
        <v>generator_No_T3_001</v>
      </c>
      <c r="B40" s="18" t="str">
        <f t="shared" si="2"/>
        <v>T3 표준 표준제네레이터</v>
      </c>
      <c r="C40" s="18">
        <f>VLOOKUP(D40, Factor!$AC$41:$AD$50, 2, 0)</f>
        <v>3000</v>
      </c>
      <c r="D40" s="18" t="s">
        <v>299</v>
      </c>
      <c r="E40" s="55" t="s">
        <v>582</v>
      </c>
      <c r="F40" s="55" t="s">
        <v>582</v>
      </c>
      <c r="G40" s="18" t="str">
        <f t="shared" si="1"/>
        <v>표준 표준</v>
      </c>
      <c r="H40" s="18">
        <v>1</v>
      </c>
      <c r="I40" s="18">
        <v>1</v>
      </c>
      <c r="J40" s="18" cm="1">
        <f t="array" ref="J40">H40*VLOOKUP($G40, Factor!$AD$4:$AF$36, 2, 0)*INDEX(Factor!$AD$41:$AF$87, _xlfn.XMATCH($C40, Factor!$AD$41:$AD$87, -1), 2)</f>
        <v>140</v>
      </c>
      <c r="K40" s="20" cm="1">
        <f t="array" ref="K40">I40*VLOOKUP($G40, Factor!$AD$4:$AF$36, 3, 0)*INDEX(Factor!$AD$41:$AF$87, _xlfn.XMATCH($C40, Factor!$AD$41:$AD$87, -1), 3)</f>
        <v>700</v>
      </c>
      <c r="L40" s="19"/>
    </row>
    <row r="41" spans="1:12" ht="15.75" customHeight="1" x14ac:dyDescent="0.2">
      <c r="A41" s="14" t="str">
        <f>"generator_"&amp;VLOOKUP(F41, Factor!$CC$4:$CD$6, 2, 0)&amp;"_"&amp;D41&amp;"_"&amp;VLOOKUP(Generator!E41, Factor!$CE$4:$CF$13, 2, 0)</f>
        <v>generator_No_T3_002</v>
      </c>
      <c r="B41" s="15" t="str">
        <f t="shared" si="2"/>
        <v>T3 표준 고성능제네레이터</v>
      </c>
      <c r="C41" s="15">
        <f>VLOOKUP(D41, Factor!$AC$41:$AD$50, 2, 0)</f>
        <v>3000</v>
      </c>
      <c r="D41" s="15" t="s">
        <v>299</v>
      </c>
      <c r="E41" s="56" t="s">
        <v>644</v>
      </c>
      <c r="F41" s="56" t="s">
        <v>582</v>
      </c>
      <c r="G41" s="15" t="str">
        <f t="shared" si="1"/>
        <v>표준 고성능</v>
      </c>
      <c r="H41" s="15">
        <v>1</v>
      </c>
      <c r="I41" s="15">
        <v>1</v>
      </c>
      <c r="J41" s="15" cm="1">
        <f t="array" ref="J41">H41*VLOOKUP($G41, Factor!$AD$4:$AF$36, 2, 0)*INDEX(Factor!$AD$41:$AF$87, _xlfn.XMATCH($C41, Factor!$AD$41:$AD$87, -1), 2)</f>
        <v>700</v>
      </c>
      <c r="K41" s="21" cm="1">
        <f t="array" ref="K41">I41*VLOOKUP($G41, Factor!$AD$4:$AF$36, 3, 0)*INDEX(Factor!$AD$41:$AF$87, _xlfn.XMATCH($C41, Factor!$AD$41:$AD$87, -1), 3)</f>
        <v>1260</v>
      </c>
      <c r="L41" s="16"/>
    </row>
    <row r="42" spans="1:12" ht="15.75" customHeight="1" x14ac:dyDescent="0.2">
      <c r="A42" s="17" t="str">
        <f>"generator_"&amp;VLOOKUP(F42, Factor!$CC$4:$CD$6, 2, 0)&amp;"_"&amp;D42&amp;"_"&amp;VLOOKUP(Generator!E42, Factor!$CE$4:$CF$13, 2, 0)</f>
        <v>generator_No_T3_003</v>
      </c>
      <c r="B42" s="18" t="str">
        <f t="shared" si="2"/>
        <v>T3 표준 경량제네레이터</v>
      </c>
      <c r="C42" s="18">
        <f>VLOOKUP(D42, Factor!$AC$41:$AD$50, 2, 0)</f>
        <v>3000</v>
      </c>
      <c r="D42" s="18" t="s">
        <v>299</v>
      </c>
      <c r="E42" s="55" t="s">
        <v>585</v>
      </c>
      <c r="F42" s="55" t="s">
        <v>582</v>
      </c>
      <c r="G42" s="18" t="str">
        <f t="shared" si="1"/>
        <v>표준 경량</v>
      </c>
      <c r="H42" s="18">
        <v>1</v>
      </c>
      <c r="I42" s="18">
        <v>1</v>
      </c>
      <c r="J42" s="18" cm="1">
        <f t="array" ref="J42">H42*VLOOKUP($G42, Factor!$AD$4:$AF$36, 2, 0)*INDEX(Factor!$AD$41:$AF$87, _xlfn.XMATCH($C42, Factor!$AD$41:$AD$87, -1), 2)</f>
        <v>98</v>
      </c>
      <c r="K42" s="20" cm="1">
        <f t="array" ref="K42">I42*VLOOKUP($G42, Factor!$AD$4:$AF$36, 3, 0)*INDEX(Factor!$AD$41:$AF$87, _xlfn.XMATCH($C42, Factor!$AD$41:$AD$87, -1), 3)</f>
        <v>280</v>
      </c>
      <c r="L42" s="19"/>
    </row>
    <row r="43" spans="1:12" ht="15.75" customHeight="1" x14ac:dyDescent="0.2">
      <c r="A43" s="14" t="str">
        <f>"generator_"&amp;VLOOKUP(F43, Factor!$CC$4:$CD$6, 2, 0)&amp;"_"&amp;D43&amp;"_"&amp;VLOOKUP(Generator!E43, Factor!$CE$4:$CF$13, 2, 0)</f>
        <v>generator_No_T3_004</v>
      </c>
      <c r="B43" s="15" t="str">
        <f t="shared" si="2"/>
        <v>T3 표준 재생제네레이터</v>
      </c>
      <c r="C43" s="15">
        <f>VLOOKUP(D43, Factor!$AC$41:$AD$50, 2, 0)</f>
        <v>3000</v>
      </c>
      <c r="D43" s="15" t="s">
        <v>299</v>
      </c>
      <c r="E43" s="56" t="s">
        <v>646</v>
      </c>
      <c r="F43" s="56" t="s">
        <v>582</v>
      </c>
      <c r="G43" s="15" t="str">
        <f t="shared" si="1"/>
        <v>표준 재생</v>
      </c>
      <c r="H43" s="15">
        <v>1</v>
      </c>
      <c r="I43" s="15">
        <v>1</v>
      </c>
      <c r="J43" s="15" cm="1">
        <f t="array" ref="J43">H43*VLOOKUP($G43, Factor!$AD$4:$AF$36, 2, 0)*INDEX(Factor!$AD$41:$AF$87, _xlfn.XMATCH($C43, Factor!$AD$41:$AD$87, -1), 2)</f>
        <v>196</v>
      </c>
      <c r="K43" s="21" cm="1">
        <f t="array" ref="K43">I43*VLOOKUP($G43, Factor!$AD$4:$AF$36, 3, 0)*INDEX(Factor!$AD$41:$AF$87, _xlfn.XMATCH($C43, Factor!$AD$41:$AD$87, -1), 3)</f>
        <v>979.99999999999989</v>
      </c>
      <c r="L43" s="16"/>
    </row>
    <row r="44" spans="1:12" ht="15.75" customHeight="1" x14ac:dyDescent="0.2">
      <c r="A44" s="17" t="str">
        <f>"generator_"&amp;VLOOKUP(F44, Factor!$CC$4:$CD$6, 2, 0)&amp;"_"&amp;D44&amp;"_"&amp;VLOOKUP(Generator!E44, Factor!$CE$4:$CF$13, 2, 0)</f>
        <v>generator_No_T3_005</v>
      </c>
      <c r="B44" s="18" t="str">
        <f t="shared" si="2"/>
        <v>T3 표준 듀얼코어제네레이터</v>
      </c>
      <c r="C44" s="18">
        <f>VLOOKUP(D44, Factor!$AC$41:$AD$50, 2, 0)</f>
        <v>3000</v>
      </c>
      <c r="D44" s="18" t="s">
        <v>299</v>
      </c>
      <c r="E44" s="55" t="s">
        <v>650</v>
      </c>
      <c r="F44" s="55" t="s">
        <v>582</v>
      </c>
      <c r="G44" s="18" t="str">
        <f t="shared" si="1"/>
        <v>표준 듀얼코어</v>
      </c>
      <c r="H44" s="18">
        <v>1</v>
      </c>
      <c r="I44" s="18">
        <v>1</v>
      </c>
      <c r="J44" s="18" cm="1">
        <f t="array" ref="J44">H44*VLOOKUP($G44, Factor!$AD$4:$AF$36, 2, 0)*INDEX(Factor!$AD$41:$AF$87, _xlfn.XMATCH($C44, Factor!$AD$41:$AD$87, -1), 2)</f>
        <v>1120</v>
      </c>
      <c r="K44" s="20" cm="1">
        <f t="array" ref="K44">I44*VLOOKUP($G44, Factor!$AD$4:$AF$36, 3, 0)*INDEX(Factor!$AD$41:$AF$87, _xlfn.XMATCH($C44, Factor!$AD$41:$AD$87, -1), 3)</f>
        <v>2100</v>
      </c>
      <c r="L44" s="19"/>
    </row>
    <row r="45" spans="1:12" ht="15.75" customHeight="1" x14ac:dyDescent="0.2">
      <c r="A45" s="14" t="str">
        <f>"generator_"&amp;VLOOKUP(F45, Factor!$CC$4:$CD$6, 2, 0)&amp;"_"&amp;D45&amp;"_"&amp;VLOOKUP(Generator!E45, Factor!$CE$4:$CF$13, 2, 0)</f>
        <v>generator_Bi_T3_001</v>
      </c>
      <c r="B45" s="15" t="str">
        <f t="shared" si="2"/>
        <v>T3 대형 표준제네레이터</v>
      </c>
      <c r="C45" s="15">
        <f>VLOOKUP(D45, Factor!$AC$41:$AD$50, 2, 0)</f>
        <v>3000</v>
      </c>
      <c r="D45" s="15" t="s">
        <v>299</v>
      </c>
      <c r="E45" s="56" t="s">
        <v>582</v>
      </c>
      <c r="F45" s="56" t="s">
        <v>583</v>
      </c>
      <c r="G45" s="15" t="str">
        <f t="shared" si="1"/>
        <v>대형 표준</v>
      </c>
      <c r="H45" s="15">
        <v>1</v>
      </c>
      <c r="I45" s="15">
        <v>1</v>
      </c>
      <c r="J45" s="15" cm="1">
        <f t="array" ref="J45">H45*VLOOKUP($G45, Factor!$AD$4:$AF$36, 2, 0)*INDEX(Factor!$AD$41:$AF$87, _xlfn.XMATCH($C45, Factor!$AD$41:$AD$87, -1), 2)</f>
        <v>140</v>
      </c>
      <c r="K45" s="21" cm="1">
        <f t="array" ref="K45">I45*VLOOKUP($G45, Factor!$AD$4:$AF$36, 3, 0)*INDEX(Factor!$AD$41:$AF$87, _xlfn.XMATCH($C45, Factor!$AD$41:$AD$87, -1), 3)</f>
        <v>700</v>
      </c>
      <c r="L45" s="16"/>
    </row>
    <row r="46" spans="1:12" ht="15.75" customHeight="1" x14ac:dyDescent="0.2">
      <c r="A46" s="17" t="str">
        <f>"generator_"&amp;VLOOKUP(F46, Factor!$CC$4:$CD$6, 2, 0)&amp;"_"&amp;D46&amp;"_"&amp;VLOOKUP(Generator!E46, Factor!$CE$4:$CF$13, 2, 0)</f>
        <v>generator_Bi_T3_002</v>
      </c>
      <c r="B46" s="18" t="str">
        <f t="shared" si="2"/>
        <v>T3 대형 고성능제네레이터</v>
      </c>
      <c r="C46" s="18">
        <f>VLOOKUP(D46, Factor!$AC$41:$AD$50, 2, 0)</f>
        <v>3000</v>
      </c>
      <c r="D46" s="18" t="s">
        <v>299</v>
      </c>
      <c r="E46" s="55" t="s">
        <v>644</v>
      </c>
      <c r="F46" s="55" t="s">
        <v>583</v>
      </c>
      <c r="G46" s="18" t="str">
        <f t="shared" si="1"/>
        <v>대형 고성능</v>
      </c>
      <c r="H46" s="18">
        <v>1</v>
      </c>
      <c r="I46" s="18">
        <v>1</v>
      </c>
      <c r="J46" s="18" cm="1">
        <f t="array" ref="J46">H46*VLOOKUP($G46, Factor!$AD$4:$AF$36, 2, 0)*INDEX(Factor!$AD$41:$AF$87, _xlfn.XMATCH($C46, Factor!$AD$41:$AD$87, -1), 2)</f>
        <v>700</v>
      </c>
      <c r="K46" s="20" cm="1">
        <f t="array" ref="K46">I46*VLOOKUP($G46, Factor!$AD$4:$AF$36, 3, 0)*INDEX(Factor!$AD$41:$AF$87, _xlfn.XMATCH($C46, Factor!$AD$41:$AD$87, -1), 3)</f>
        <v>1260</v>
      </c>
      <c r="L46" s="19"/>
    </row>
    <row r="47" spans="1:12" ht="15.75" customHeight="1" x14ac:dyDescent="0.2">
      <c r="A47" s="14" t="str">
        <f>"generator_"&amp;VLOOKUP(F47, Factor!$CC$4:$CD$6, 2, 0)&amp;"_"&amp;D47&amp;"_"&amp;VLOOKUP(Generator!E47, Factor!$CE$4:$CF$13, 2, 0)</f>
        <v>generator_Bi_T3_003</v>
      </c>
      <c r="B47" s="15" t="str">
        <f t="shared" si="2"/>
        <v>T3 대형 경량제네레이터</v>
      </c>
      <c r="C47" s="15">
        <f>VLOOKUP(D47, Factor!$AC$41:$AD$50, 2, 0)</f>
        <v>3000</v>
      </c>
      <c r="D47" s="15" t="s">
        <v>299</v>
      </c>
      <c r="E47" s="56" t="s">
        <v>585</v>
      </c>
      <c r="F47" s="56" t="s">
        <v>583</v>
      </c>
      <c r="G47" s="15" t="str">
        <f t="shared" si="1"/>
        <v>대형 경량</v>
      </c>
      <c r="H47" s="15">
        <v>1</v>
      </c>
      <c r="I47" s="15">
        <v>1</v>
      </c>
      <c r="J47" s="15" cm="1">
        <f t="array" ref="J47">H47*VLOOKUP($G47, Factor!$AD$4:$AF$36, 2, 0)*INDEX(Factor!$AD$41:$AF$87, _xlfn.XMATCH($C47, Factor!$AD$41:$AD$87, -1), 2)</f>
        <v>98</v>
      </c>
      <c r="K47" s="21" cm="1">
        <f t="array" ref="K47">I47*VLOOKUP($G47, Factor!$AD$4:$AF$36, 3, 0)*INDEX(Factor!$AD$41:$AF$87, _xlfn.XMATCH($C47, Factor!$AD$41:$AD$87, -1), 3)</f>
        <v>280</v>
      </c>
      <c r="L47" s="16"/>
    </row>
    <row r="48" spans="1:12" ht="15.75" customHeight="1" x14ac:dyDescent="0.2">
      <c r="A48" s="17" t="str">
        <f>"generator_"&amp;VLOOKUP(F48, Factor!$CC$4:$CD$6, 2, 0)&amp;"_"&amp;D48&amp;"_"&amp;VLOOKUP(Generator!E48, Factor!$CE$4:$CF$13, 2, 0)</f>
        <v>generator_Bi_T3_004</v>
      </c>
      <c r="B48" s="18" t="str">
        <f t="shared" si="2"/>
        <v>T3 대형 재생제네레이터</v>
      </c>
      <c r="C48" s="18">
        <f>VLOOKUP(D48, Factor!$AC$41:$AD$50, 2, 0)</f>
        <v>3000</v>
      </c>
      <c r="D48" s="18" t="s">
        <v>299</v>
      </c>
      <c r="E48" s="55" t="s">
        <v>646</v>
      </c>
      <c r="F48" s="55" t="s">
        <v>583</v>
      </c>
      <c r="G48" s="18" t="str">
        <f t="shared" si="1"/>
        <v>대형 재생</v>
      </c>
      <c r="H48" s="18">
        <v>1</v>
      </c>
      <c r="I48" s="18">
        <v>1</v>
      </c>
      <c r="J48" s="18" cm="1">
        <f t="array" ref="J48">H48*VLOOKUP($G48, Factor!$AD$4:$AF$36, 2, 0)*INDEX(Factor!$AD$41:$AF$87, _xlfn.XMATCH($C48, Factor!$AD$41:$AD$87, -1), 2)</f>
        <v>196</v>
      </c>
      <c r="K48" s="20" cm="1">
        <f t="array" ref="K48">I48*VLOOKUP($G48, Factor!$AD$4:$AF$36, 3, 0)*INDEX(Factor!$AD$41:$AF$87, _xlfn.XMATCH($C48, Factor!$AD$41:$AD$87, -1), 3)</f>
        <v>979.99999999999989</v>
      </c>
      <c r="L48" s="19"/>
    </row>
    <row r="49" spans="1:12" ht="15.75" customHeight="1" x14ac:dyDescent="0.2">
      <c r="A49" s="14" t="str">
        <f>"generator_"&amp;VLOOKUP(F49, Factor!$CC$4:$CD$6, 2, 0)&amp;"_"&amp;D49&amp;"_"&amp;VLOOKUP(Generator!E49, Factor!$CE$4:$CF$13, 2, 0)</f>
        <v>generator_Bi_T3_005</v>
      </c>
      <c r="B49" s="15" t="str">
        <f t="shared" si="2"/>
        <v>T3 대형 듀얼코어제네레이터</v>
      </c>
      <c r="C49" s="15">
        <f>VLOOKUP(D49, Factor!$AC$41:$AD$50, 2, 0)</f>
        <v>3000</v>
      </c>
      <c r="D49" s="15" t="s">
        <v>299</v>
      </c>
      <c r="E49" s="56" t="s">
        <v>650</v>
      </c>
      <c r="F49" s="56" t="s">
        <v>583</v>
      </c>
      <c r="G49" s="15" t="str">
        <f t="shared" si="1"/>
        <v>대형 듀얼코어</v>
      </c>
      <c r="H49" s="15">
        <v>1</v>
      </c>
      <c r="I49" s="15">
        <v>1</v>
      </c>
      <c r="J49" s="15" cm="1">
        <f t="array" ref="J49">H49*VLOOKUP($G49, Factor!$AD$4:$AF$36, 2, 0)*INDEX(Factor!$AD$41:$AF$87, _xlfn.XMATCH($C49, Factor!$AD$41:$AD$87, -1), 2)</f>
        <v>1120</v>
      </c>
      <c r="K49" s="21" cm="1">
        <f t="array" ref="K49">I49*VLOOKUP($G49, Factor!$AD$4:$AF$36, 3, 0)*INDEX(Factor!$AD$41:$AF$87, _xlfn.XMATCH($C49, Factor!$AD$41:$AD$87, -1), 3)</f>
        <v>2100</v>
      </c>
      <c r="L49" s="16"/>
    </row>
    <row r="50" spans="1:12" ht="15.75" customHeight="1" x14ac:dyDescent="0.2">
      <c r="A50" s="17" t="str">
        <f>"generator_"&amp;VLOOKUP(F50, Factor!$CC$4:$CD$6, 2, 0)&amp;"_"&amp;D50&amp;"_"&amp;VLOOKUP(Generator!E50, Factor!$CE$4:$CF$13, 2, 0)</f>
        <v>generator_Sm_T4_001</v>
      </c>
      <c r="B50" s="18" t="str">
        <f t="shared" si="2"/>
        <v>T4 소형 표준제네레이터</v>
      </c>
      <c r="C50" s="18">
        <f>VLOOKUP(D50, Factor!$AC$41:$AD$50, 2, 0)</f>
        <v>4000</v>
      </c>
      <c r="D50" s="18" t="s">
        <v>323</v>
      </c>
      <c r="E50" s="55" t="s">
        <v>582</v>
      </c>
      <c r="F50" s="55" t="s">
        <v>664</v>
      </c>
      <c r="G50" s="18" t="str">
        <f t="shared" si="1"/>
        <v>소형 표준</v>
      </c>
      <c r="H50" s="18">
        <v>1</v>
      </c>
      <c r="I50" s="18">
        <v>1</v>
      </c>
      <c r="J50" s="18" cm="1">
        <f t="array" ref="J50">H50*VLOOKUP($G50, Factor!$AD$4:$AF$36, 2, 0)*INDEX(Factor!$AD$41:$AF$87, _xlfn.XMATCH($C50, Factor!$AD$41:$AD$87, -1), 2)</f>
        <v>160</v>
      </c>
      <c r="K50" s="20" cm="1">
        <f t="array" ref="K50">I50*VLOOKUP($G50, Factor!$AD$4:$AF$36, 3, 0)*INDEX(Factor!$AD$41:$AF$87, _xlfn.XMATCH($C50, Factor!$AD$41:$AD$87, -1), 3)</f>
        <v>800</v>
      </c>
      <c r="L50" s="19"/>
    </row>
    <row r="51" spans="1:12" ht="15.75" customHeight="1" x14ac:dyDescent="0.2">
      <c r="A51" s="14" t="str">
        <f>"generator_"&amp;VLOOKUP(F51, Factor!$CC$4:$CD$6, 2, 0)&amp;"_"&amp;D51&amp;"_"&amp;VLOOKUP(Generator!E51, Factor!$CE$4:$CF$13, 2, 0)</f>
        <v>generator_Sm_T4_002</v>
      </c>
      <c r="B51" s="15" t="str">
        <f t="shared" si="2"/>
        <v>T4 소형 고성능제네레이터</v>
      </c>
      <c r="C51" s="15">
        <f>VLOOKUP(D51, Factor!$AC$41:$AD$50, 2, 0)</f>
        <v>4000</v>
      </c>
      <c r="D51" s="15" t="s">
        <v>323</v>
      </c>
      <c r="E51" s="56" t="s">
        <v>644</v>
      </c>
      <c r="F51" s="56" t="s">
        <v>664</v>
      </c>
      <c r="G51" s="15" t="str">
        <f t="shared" si="1"/>
        <v>소형 고성능</v>
      </c>
      <c r="H51" s="15">
        <v>1</v>
      </c>
      <c r="I51" s="15">
        <v>1</v>
      </c>
      <c r="J51" s="15" cm="1">
        <f t="array" ref="J51">H51*VLOOKUP($G51, Factor!$AD$4:$AF$36, 2, 0)*INDEX(Factor!$AD$41:$AF$87, _xlfn.XMATCH($C51, Factor!$AD$41:$AD$87, -1), 2)</f>
        <v>800</v>
      </c>
      <c r="K51" s="21" cm="1">
        <f t="array" ref="K51">I51*VLOOKUP($G51, Factor!$AD$4:$AF$36, 3, 0)*INDEX(Factor!$AD$41:$AF$87, _xlfn.XMATCH($C51, Factor!$AD$41:$AD$87, -1), 3)</f>
        <v>1440</v>
      </c>
      <c r="L51" s="16"/>
    </row>
    <row r="52" spans="1:12" ht="15.75" customHeight="1" x14ac:dyDescent="0.2">
      <c r="A52" s="17" t="str">
        <f>"generator_"&amp;VLOOKUP(F52, Factor!$CC$4:$CD$6, 2, 0)&amp;"_"&amp;D52&amp;"_"&amp;VLOOKUP(Generator!E52, Factor!$CE$4:$CF$13, 2, 0)</f>
        <v>generator_Sm_T4_003</v>
      </c>
      <c r="B52" s="18" t="str">
        <f t="shared" si="2"/>
        <v>T4 소형 경량제네레이터</v>
      </c>
      <c r="C52" s="18">
        <f>VLOOKUP(D52, Factor!$AC$41:$AD$50, 2, 0)</f>
        <v>4000</v>
      </c>
      <c r="D52" s="18" t="s">
        <v>300</v>
      </c>
      <c r="E52" s="55" t="s">
        <v>585</v>
      </c>
      <c r="F52" s="55" t="s">
        <v>664</v>
      </c>
      <c r="G52" s="18" t="str">
        <f t="shared" si="1"/>
        <v>소형 경량</v>
      </c>
      <c r="H52" s="18">
        <v>1</v>
      </c>
      <c r="I52" s="18">
        <v>1</v>
      </c>
      <c r="J52" s="18" cm="1">
        <f t="array" ref="J52">H52*VLOOKUP($G52, Factor!$AD$4:$AF$36, 2, 0)*INDEX(Factor!$AD$41:$AF$87, _xlfn.XMATCH($C52, Factor!$AD$41:$AD$87, -1), 2)</f>
        <v>112</v>
      </c>
      <c r="K52" s="20" cm="1">
        <f t="array" ref="K52">I52*VLOOKUP($G52, Factor!$AD$4:$AF$36, 3, 0)*INDEX(Factor!$AD$41:$AF$87, _xlfn.XMATCH($C52, Factor!$AD$41:$AD$87, -1), 3)</f>
        <v>320</v>
      </c>
      <c r="L52" s="19"/>
    </row>
    <row r="53" spans="1:12" ht="15.75" customHeight="1" x14ac:dyDescent="0.2">
      <c r="A53" s="14" t="str">
        <f>"generator_"&amp;VLOOKUP(F53, Factor!$CC$4:$CD$6, 2, 0)&amp;"_"&amp;D53&amp;"_"&amp;VLOOKUP(Generator!E53, Factor!$CE$4:$CF$13, 2, 0)</f>
        <v>generator_Sm_T4_004</v>
      </c>
      <c r="B53" s="15" t="str">
        <f t="shared" si="2"/>
        <v>T4 소형 재생제네레이터</v>
      </c>
      <c r="C53" s="15">
        <f>VLOOKUP(D53, Factor!$AC$41:$AD$50, 2, 0)</f>
        <v>4000</v>
      </c>
      <c r="D53" s="15" t="s">
        <v>300</v>
      </c>
      <c r="E53" s="56" t="s">
        <v>646</v>
      </c>
      <c r="F53" s="56" t="s">
        <v>664</v>
      </c>
      <c r="G53" s="15" t="str">
        <f t="shared" si="1"/>
        <v>소형 재생</v>
      </c>
      <c r="H53" s="15">
        <v>1</v>
      </c>
      <c r="I53" s="15">
        <v>1</v>
      </c>
      <c r="J53" s="15" cm="1">
        <f t="array" ref="J53">H53*VLOOKUP($G53, Factor!$AD$4:$AF$36, 2, 0)*INDEX(Factor!$AD$41:$AF$87, _xlfn.XMATCH($C53, Factor!$AD$41:$AD$87, -1), 2)</f>
        <v>224</v>
      </c>
      <c r="K53" s="21" cm="1">
        <f t="array" ref="K53">I53*VLOOKUP($G53, Factor!$AD$4:$AF$36, 3, 0)*INDEX(Factor!$AD$41:$AF$87, _xlfn.XMATCH($C53, Factor!$AD$41:$AD$87, -1), 3)</f>
        <v>1120</v>
      </c>
      <c r="L53" s="16"/>
    </row>
    <row r="54" spans="1:12" ht="15.75" customHeight="1" x14ac:dyDescent="0.2">
      <c r="A54" s="17" t="str">
        <f>"generator_"&amp;VLOOKUP(F54, Factor!$CC$4:$CD$6, 2, 0)&amp;"_"&amp;D54&amp;"_"&amp;VLOOKUP(Generator!E54, Factor!$CE$4:$CF$13, 2, 0)</f>
        <v>generator_Sm_T4_005</v>
      </c>
      <c r="B54" s="18" t="str">
        <f t="shared" si="2"/>
        <v>T4 소형 듀얼코어제네레이터</v>
      </c>
      <c r="C54" s="18">
        <f>VLOOKUP(D54, Factor!$AC$41:$AD$50, 2, 0)</f>
        <v>4000</v>
      </c>
      <c r="D54" s="18" t="s">
        <v>300</v>
      </c>
      <c r="E54" s="55" t="s">
        <v>650</v>
      </c>
      <c r="F54" s="55" t="s">
        <v>664</v>
      </c>
      <c r="G54" s="18" t="str">
        <f t="shared" si="1"/>
        <v>소형 듀얼코어</v>
      </c>
      <c r="H54" s="18">
        <v>1</v>
      </c>
      <c r="I54" s="18">
        <v>1</v>
      </c>
      <c r="J54" s="18" cm="1">
        <f t="array" ref="J54">H54*VLOOKUP($G54, Factor!$AD$4:$AF$36, 2, 0)*INDEX(Factor!$AD$41:$AF$87, _xlfn.XMATCH($C54, Factor!$AD$41:$AD$87, -1), 2)</f>
        <v>1280</v>
      </c>
      <c r="K54" s="20" cm="1">
        <f t="array" ref="K54">I54*VLOOKUP($G54, Factor!$AD$4:$AF$36, 3, 0)*INDEX(Factor!$AD$41:$AF$87, _xlfn.XMATCH($C54, Factor!$AD$41:$AD$87, -1), 3)</f>
        <v>2400</v>
      </c>
      <c r="L54" s="19"/>
    </row>
    <row r="55" spans="1:12" ht="15.75" customHeight="1" x14ac:dyDescent="0.2">
      <c r="A55" s="14" t="str">
        <f>"generator_"&amp;VLOOKUP(F55, Factor!$CC$4:$CD$6, 2, 0)&amp;"_"&amp;D55&amp;"_"&amp;VLOOKUP(Generator!E55, Factor!$CE$4:$CF$13, 2, 0)</f>
        <v>generator_No_T4_001</v>
      </c>
      <c r="B55" s="15" t="str">
        <f t="shared" si="2"/>
        <v>T4 표준 표준제네레이터</v>
      </c>
      <c r="C55" s="15">
        <f>VLOOKUP(D55, Factor!$AC$41:$AD$50, 2, 0)</f>
        <v>4000</v>
      </c>
      <c r="D55" s="15" t="s">
        <v>300</v>
      </c>
      <c r="E55" s="56" t="s">
        <v>582</v>
      </c>
      <c r="F55" s="56" t="s">
        <v>582</v>
      </c>
      <c r="G55" s="15" t="str">
        <f t="shared" si="1"/>
        <v>표준 표준</v>
      </c>
      <c r="H55" s="15">
        <v>1</v>
      </c>
      <c r="I55" s="15">
        <v>1</v>
      </c>
      <c r="J55" s="15" cm="1">
        <f t="array" ref="J55">H55*VLOOKUP($G55, Factor!$AD$4:$AF$36, 2, 0)*INDEX(Factor!$AD$41:$AF$87, _xlfn.XMATCH($C55, Factor!$AD$41:$AD$87, -1), 2)</f>
        <v>160</v>
      </c>
      <c r="K55" s="21" cm="1">
        <f t="array" ref="K55">I55*VLOOKUP($G55, Factor!$AD$4:$AF$36, 3, 0)*INDEX(Factor!$AD$41:$AF$87, _xlfn.XMATCH($C55, Factor!$AD$41:$AD$87, -1), 3)</f>
        <v>800</v>
      </c>
      <c r="L55" s="16"/>
    </row>
    <row r="56" spans="1:12" ht="15.75" customHeight="1" x14ac:dyDescent="0.2">
      <c r="A56" s="17" t="str">
        <f>"generator_"&amp;VLOOKUP(F56, Factor!$CC$4:$CD$6, 2, 0)&amp;"_"&amp;D56&amp;"_"&amp;VLOOKUP(Generator!E56, Factor!$CE$4:$CF$13, 2, 0)</f>
        <v>generator_No_T4_002</v>
      </c>
      <c r="B56" s="18" t="str">
        <f t="shared" si="2"/>
        <v>T4 표준 고성능제네레이터</v>
      </c>
      <c r="C56" s="18">
        <f>VLOOKUP(D56, Factor!$AC$41:$AD$50, 2, 0)</f>
        <v>4000</v>
      </c>
      <c r="D56" s="18" t="s">
        <v>300</v>
      </c>
      <c r="E56" s="55" t="s">
        <v>644</v>
      </c>
      <c r="F56" s="55" t="s">
        <v>582</v>
      </c>
      <c r="G56" s="18" t="str">
        <f t="shared" si="1"/>
        <v>표준 고성능</v>
      </c>
      <c r="H56" s="18">
        <v>1</v>
      </c>
      <c r="I56" s="18">
        <v>1</v>
      </c>
      <c r="J56" s="18" cm="1">
        <f t="array" ref="J56">H56*VLOOKUP($G56, Factor!$AD$4:$AF$36, 2, 0)*INDEX(Factor!$AD$41:$AF$87, _xlfn.XMATCH($C56, Factor!$AD$41:$AD$87, -1), 2)</f>
        <v>800</v>
      </c>
      <c r="K56" s="20" cm="1">
        <f t="array" ref="K56">I56*VLOOKUP($G56, Factor!$AD$4:$AF$36, 3, 0)*INDEX(Factor!$AD$41:$AF$87, _xlfn.XMATCH($C56, Factor!$AD$41:$AD$87, -1), 3)</f>
        <v>1440</v>
      </c>
      <c r="L56" s="19"/>
    </row>
    <row r="57" spans="1:12" ht="15.75" customHeight="1" x14ac:dyDescent="0.2">
      <c r="A57" s="14" t="str">
        <f>"generator_"&amp;VLOOKUP(F57, Factor!$CC$4:$CD$6, 2, 0)&amp;"_"&amp;D57&amp;"_"&amp;VLOOKUP(Generator!E57, Factor!$CE$4:$CF$13, 2, 0)</f>
        <v>generator_No_T4_003</v>
      </c>
      <c r="B57" s="15" t="str">
        <f t="shared" si="2"/>
        <v>T4 표준 경량제네레이터</v>
      </c>
      <c r="C57" s="15">
        <f>VLOOKUP(D57, Factor!$AC$41:$AD$50, 2, 0)</f>
        <v>4000</v>
      </c>
      <c r="D57" s="15" t="s">
        <v>300</v>
      </c>
      <c r="E57" s="56" t="s">
        <v>585</v>
      </c>
      <c r="F57" s="56" t="s">
        <v>582</v>
      </c>
      <c r="G57" s="15" t="str">
        <f t="shared" si="1"/>
        <v>표준 경량</v>
      </c>
      <c r="H57" s="15">
        <v>1</v>
      </c>
      <c r="I57" s="15">
        <v>1</v>
      </c>
      <c r="J57" s="15" cm="1">
        <f t="array" ref="J57">H57*VLOOKUP($G57, Factor!$AD$4:$AF$36, 2, 0)*INDEX(Factor!$AD$41:$AF$87, _xlfn.XMATCH($C57, Factor!$AD$41:$AD$87, -1), 2)</f>
        <v>112</v>
      </c>
      <c r="K57" s="21" cm="1">
        <f t="array" ref="K57">I57*VLOOKUP($G57, Factor!$AD$4:$AF$36, 3, 0)*INDEX(Factor!$AD$41:$AF$87, _xlfn.XMATCH($C57, Factor!$AD$41:$AD$87, -1), 3)</f>
        <v>320</v>
      </c>
      <c r="L57" s="16"/>
    </row>
    <row r="58" spans="1:12" ht="15.75" customHeight="1" x14ac:dyDescent="0.2">
      <c r="A58" s="17" t="str">
        <f>"generator_"&amp;VLOOKUP(F58, Factor!$CC$4:$CD$6, 2, 0)&amp;"_"&amp;D58&amp;"_"&amp;VLOOKUP(Generator!E58, Factor!$CE$4:$CF$13, 2, 0)</f>
        <v>generator_No_T4_004</v>
      </c>
      <c r="B58" s="18" t="str">
        <f t="shared" si="2"/>
        <v>T4 표준 재생제네레이터</v>
      </c>
      <c r="C58" s="18">
        <f>VLOOKUP(D58, Factor!$AC$41:$AD$50, 2, 0)</f>
        <v>4000</v>
      </c>
      <c r="D58" s="18" t="s">
        <v>300</v>
      </c>
      <c r="E58" s="55" t="s">
        <v>646</v>
      </c>
      <c r="F58" s="55" t="s">
        <v>582</v>
      </c>
      <c r="G58" s="18" t="str">
        <f t="shared" si="1"/>
        <v>표준 재생</v>
      </c>
      <c r="H58" s="18">
        <v>1</v>
      </c>
      <c r="I58" s="18">
        <v>1</v>
      </c>
      <c r="J58" s="18" cm="1">
        <f t="array" ref="J58">H58*VLOOKUP($G58, Factor!$AD$4:$AF$36, 2, 0)*INDEX(Factor!$AD$41:$AF$87, _xlfn.XMATCH($C58, Factor!$AD$41:$AD$87, -1), 2)</f>
        <v>224</v>
      </c>
      <c r="K58" s="20" cm="1">
        <f t="array" ref="K58">I58*VLOOKUP($G58, Factor!$AD$4:$AF$36, 3, 0)*INDEX(Factor!$AD$41:$AF$87, _xlfn.XMATCH($C58, Factor!$AD$41:$AD$87, -1), 3)</f>
        <v>1120</v>
      </c>
      <c r="L58" s="19"/>
    </row>
    <row r="59" spans="1:12" ht="15.75" customHeight="1" x14ac:dyDescent="0.2">
      <c r="A59" s="14" t="str">
        <f>"generator_"&amp;VLOOKUP(F59, Factor!$CC$4:$CD$6, 2, 0)&amp;"_"&amp;D59&amp;"_"&amp;VLOOKUP(Generator!E59, Factor!$CE$4:$CF$13, 2, 0)</f>
        <v>generator_No_T4_005</v>
      </c>
      <c r="B59" s="15" t="str">
        <f t="shared" si="2"/>
        <v>T4 표준 듀얼코어제네레이터</v>
      </c>
      <c r="C59" s="15">
        <f>VLOOKUP(D59, Factor!$AC$41:$AD$50, 2, 0)</f>
        <v>4000</v>
      </c>
      <c r="D59" s="15" t="s">
        <v>300</v>
      </c>
      <c r="E59" s="56" t="s">
        <v>650</v>
      </c>
      <c r="F59" s="56" t="s">
        <v>582</v>
      </c>
      <c r="G59" s="15" t="str">
        <f t="shared" si="1"/>
        <v>표준 듀얼코어</v>
      </c>
      <c r="H59" s="15">
        <v>1</v>
      </c>
      <c r="I59" s="15">
        <v>1</v>
      </c>
      <c r="J59" s="15" cm="1">
        <f t="array" ref="J59">H59*VLOOKUP($G59, Factor!$AD$4:$AF$36, 2, 0)*INDEX(Factor!$AD$41:$AF$87, _xlfn.XMATCH($C59, Factor!$AD$41:$AD$87, -1), 2)</f>
        <v>1280</v>
      </c>
      <c r="K59" s="21" cm="1">
        <f t="array" ref="K59">I59*VLOOKUP($G59, Factor!$AD$4:$AF$36, 3, 0)*INDEX(Factor!$AD$41:$AF$87, _xlfn.XMATCH($C59, Factor!$AD$41:$AD$87, -1), 3)</f>
        <v>2400</v>
      </c>
      <c r="L59" s="16"/>
    </row>
    <row r="60" spans="1:12" ht="15.75" customHeight="1" x14ac:dyDescent="0.2">
      <c r="A60" s="17" t="str">
        <f>"generator_"&amp;VLOOKUP(F60, Factor!$CC$4:$CD$6, 2, 0)&amp;"_"&amp;D60&amp;"_"&amp;VLOOKUP(Generator!E60, Factor!$CE$4:$CF$13, 2, 0)</f>
        <v>generator_Bi_T4_001</v>
      </c>
      <c r="B60" s="18" t="str">
        <f t="shared" si="2"/>
        <v>T4 대형 표준제네레이터</v>
      </c>
      <c r="C60" s="18">
        <f>VLOOKUP(D60, Factor!$AC$41:$AD$50, 2, 0)</f>
        <v>4000</v>
      </c>
      <c r="D60" s="18" t="s">
        <v>300</v>
      </c>
      <c r="E60" s="55" t="s">
        <v>582</v>
      </c>
      <c r="F60" s="55" t="s">
        <v>583</v>
      </c>
      <c r="G60" s="18" t="str">
        <f t="shared" si="1"/>
        <v>대형 표준</v>
      </c>
      <c r="H60" s="18">
        <v>1</v>
      </c>
      <c r="I60" s="18">
        <v>1</v>
      </c>
      <c r="J60" s="18" cm="1">
        <f t="array" ref="J60">H60*VLOOKUP($G60, Factor!$AD$4:$AF$36, 2, 0)*INDEX(Factor!$AD$41:$AF$87, _xlfn.XMATCH($C60, Factor!$AD$41:$AD$87, -1), 2)</f>
        <v>160</v>
      </c>
      <c r="K60" s="20" cm="1">
        <f t="array" ref="K60">I60*VLOOKUP($G60, Factor!$AD$4:$AF$36, 3, 0)*INDEX(Factor!$AD$41:$AF$87, _xlfn.XMATCH($C60, Factor!$AD$41:$AD$87, -1), 3)</f>
        <v>800</v>
      </c>
      <c r="L60" s="19"/>
    </row>
    <row r="61" spans="1:12" ht="15.75" customHeight="1" x14ac:dyDescent="0.2">
      <c r="A61" s="14" t="str">
        <f>"generator_"&amp;VLOOKUP(F61, Factor!$CC$4:$CD$6, 2, 0)&amp;"_"&amp;D61&amp;"_"&amp;VLOOKUP(Generator!E61, Factor!$CE$4:$CF$13, 2, 0)</f>
        <v>generator_Bi_T4_002</v>
      </c>
      <c r="B61" s="15" t="str">
        <f t="shared" si="2"/>
        <v>T4 대형 고성능제네레이터</v>
      </c>
      <c r="C61" s="15">
        <f>VLOOKUP(D61, Factor!$AC$41:$AD$50, 2, 0)</f>
        <v>4000</v>
      </c>
      <c r="D61" s="15" t="s">
        <v>300</v>
      </c>
      <c r="E61" s="56" t="s">
        <v>644</v>
      </c>
      <c r="F61" s="56" t="s">
        <v>583</v>
      </c>
      <c r="G61" s="15" t="str">
        <f t="shared" si="1"/>
        <v>대형 고성능</v>
      </c>
      <c r="H61" s="15">
        <v>1</v>
      </c>
      <c r="I61" s="15">
        <v>1</v>
      </c>
      <c r="J61" s="15" cm="1">
        <f t="array" ref="J61">H61*VLOOKUP($G61, Factor!$AD$4:$AF$36, 2, 0)*INDEX(Factor!$AD$41:$AF$87, _xlfn.XMATCH($C61, Factor!$AD$41:$AD$87, -1), 2)</f>
        <v>800</v>
      </c>
      <c r="K61" s="21" cm="1">
        <f t="array" ref="K61">I61*VLOOKUP($G61, Factor!$AD$4:$AF$36, 3, 0)*INDEX(Factor!$AD$41:$AF$87, _xlfn.XMATCH($C61, Factor!$AD$41:$AD$87, -1), 3)</f>
        <v>1440</v>
      </c>
      <c r="L61" s="16"/>
    </row>
    <row r="62" spans="1:12" ht="15.75" customHeight="1" x14ac:dyDescent="0.2">
      <c r="A62" s="17" t="str">
        <f>"generator_"&amp;VLOOKUP(F62, Factor!$CC$4:$CD$6, 2, 0)&amp;"_"&amp;D62&amp;"_"&amp;VLOOKUP(Generator!E62, Factor!$CE$4:$CF$13, 2, 0)</f>
        <v>generator_Bi_T4_003</v>
      </c>
      <c r="B62" s="18" t="str">
        <f t="shared" si="2"/>
        <v>T4 대형 경량제네레이터</v>
      </c>
      <c r="C62" s="18">
        <f>VLOOKUP(D62, Factor!$AC$41:$AD$50, 2, 0)</f>
        <v>4000</v>
      </c>
      <c r="D62" s="18" t="s">
        <v>300</v>
      </c>
      <c r="E62" s="55" t="s">
        <v>585</v>
      </c>
      <c r="F62" s="55" t="s">
        <v>583</v>
      </c>
      <c r="G62" s="18" t="str">
        <f t="shared" si="1"/>
        <v>대형 경량</v>
      </c>
      <c r="H62" s="18">
        <v>1</v>
      </c>
      <c r="I62" s="18">
        <v>1</v>
      </c>
      <c r="J62" s="18" cm="1">
        <f t="array" ref="J62">H62*VLOOKUP($G62, Factor!$AD$4:$AF$36, 2, 0)*INDEX(Factor!$AD$41:$AF$87, _xlfn.XMATCH($C62, Factor!$AD$41:$AD$87, -1), 2)</f>
        <v>112</v>
      </c>
      <c r="K62" s="20" cm="1">
        <f t="array" ref="K62">I62*VLOOKUP($G62, Factor!$AD$4:$AF$36, 3, 0)*INDEX(Factor!$AD$41:$AF$87, _xlfn.XMATCH($C62, Factor!$AD$41:$AD$87, -1), 3)</f>
        <v>320</v>
      </c>
      <c r="L62" s="19"/>
    </row>
    <row r="63" spans="1:12" ht="15.75" customHeight="1" x14ac:dyDescent="0.2">
      <c r="A63" s="14" t="str">
        <f>"generator_"&amp;VLOOKUP(F63, Factor!$CC$4:$CD$6, 2, 0)&amp;"_"&amp;D63&amp;"_"&amp;VLOOKUP(Generator!E63, Factor!$CE$4:$CF$13, 2, 0)</f>
        <v>generator_Bi_T4_004</v>
      </c>
      <c r="B63" s="15" t="str">
        <f t="shared" si="2"/>
        <v>T4 대형 재생제네레이터</v>
      </c>
      <c r="C63" s="15">
        <f>VLOOKUP(D63, Factor!$AC$41:$AD$50, 2, 0)</f>
        <v>4000</v>
      </c>
      <c r="D63" s="15" t="s">
        <v>300</v>
      </c>
      <c r="E63" s="56" t="s">
        <v>646</v>
      </c>
      <c r="F63" s="56" t="s">
        <v>583</v>
      </c>
      <c r="G63" s="15" t="str">
        <f t="shared" si="1"/>
        <v>대형 재생</v>
      </c>
      <c r="H63" s="15">
        <v>1</v>
      </c>
      <c r="I63" s="15">
        <v>1</v>
      </c>
      <c r="J63" s="15" cm="1">
        <f t="array" ref="J63">H63*VLOOKUP($G63, Factor!$AD$4:$AF$36, 2, 0)*INDEX(Factor!$AD$41:$AF$87, _xlfn.XMATCH($C63, Factor!$AD$41:$AD$87, -1), 2)</f>
        <v>224</v>
      </c>
      <c r="K63" s="21" cm="1">
        <f t="array" ref="K63">I63*VLOOKUP($G63, Factor!$AD$4:$AF$36, 3, 0)*INDEX(Factor!$AD$41:$AF$87, _xlfn.XMATCH($C63, Factor!$AD$41:$AD$87, -1), 3)</f>
        <v>1120</v>
      </c>
      <c r="L63" s="16"/>
    </row>
    <row r="64" spans="1:12" ht="15.75" customHeight="1" x14ac:dyDescent="0.2">
      <c r="A64" s="17" t="str">
        <f>"generator_"&amp;VLOOKUP(F64, Factor!$CC$4:$CD$6, 2, 0)&amp;"_"&amp;D64&amp;"_"&amp;VLOOKUP(Generator!E64, Factor!$CE$4:$CF$13, 2, 0)</f>
        <v>generator_Bi_T4_005</v>
      </c>
      <c r="B64" s="18" t="str">
        <f t="shared" si="2"/>
        <v>T4 대형 듀얼코어제네레이터</v>
      </c>
      <c r="C64" s="18">
        <f>VLOOKUP(D64, Factor!$AC$41:$AD$50, 2, 0)</f>
        <v>4000</v>
      </c>
      <c r="D64" s="18" t="s">
        <v>300</v>
      </c>
      <c r="E64" s="55" t="s">
        <v>650</v>
      </c>
      <c r="F64" s="55" t="s">
        <v>583</v>
      </c>
      <c r="G64" s="18" t="str">
        <f t="shared" si="1"/>
        <v>대형 듀얼코어</v>
      </c>
      <c r="H64" s="18">
        <v>1</v>
      </c>
      <c r="I64" s="18">
        <v>1</v>
      </c>
      <c r="J64" s="18" cm="1">
        <f t="array" ref="J64">H64*VLOOKUP($G64, Factor!$AD$4:$AF$36, 2, 0)*INDEX(Factor!$AD$41:$AF$87, _xlfn.XMATCH($C64, Factor!$AD$41:$AD$87, -1), 2)</f>
        <v>1280</v>
      </c>
      <c r="K64" s="20" cm="1">
        <f t="array" ref="K64">I64*VLOOKUP($G64, Factor!$AD$4:$AF$36, 3, 0)*INDEX(Factor!$AD$41:$AF$87, _xlfn.XMATCH($C64, Factor!$AD$41:$AD$87, -1), 3)</f>
        <v>2400</v>
      </c>
      <c r="L64" s="19"/>
    </row>
    <row r="65" spans="1:12" ht="15.75" customHeight="1" x14ac:dyDescent="0.2">
      <c r="A65" s="14" t="str">
        <f>"generator_"&amp;VLOOKUP(F65, Factor!$CC$4:$CD$6, 2, 0)&amp;"_"&amp;D65&amp;"_"&amp;VLOOKUP(Generator!E65, Factor!$CE$4:$CF$13, 2, 0)</f>
        <v>generator_Sm_T5_001</v>
      </c>
      <c r="B65" s="15" t="str">
        <f t="shared" si="2"/>
        <v>T5 소형 표준제네레이터</v>
      </c>
      <c r="C65" s="15">
        <f>VLOOKUP(D65, Factor!$AC$41:$AD$50, 2, 0)</f>
        <v>5000</v>
      </c>
      <c r="D65" s="15" t="s">
        <v>324</v>
      </c>
      <c r="E65" s="56" t="s">
        <v>582</v>
      </c>
      <c r="F65" s="56" t="s">
        <v>664</v>
      </c>
      <c r="G65" s="15" t="str">
        <f t="shared" si="1"/>
        <v>소형 표준</v>
      </c>
      <c r="H65" s="15">
        <v>1</v>
      </c>
      <c r="I65" s="15">
        <v>1</v>
      </c>
      <c r="J65" s="15" cm="1">
        <f t="array" ref="J65">H65*VLOOKUP($G65, Factor!$AD$4:$AF$36, 2, 0)*INDEX(Factor!$AD$41:$AF$87, _xlfn.XMATCH($C65, Factor!$AD$41:$AD$87, -1), 2)</f>
        <v>180</v>
      </c>
      <c r="K65" s="21" cm="1">
        <f t="array" ref="K65">I65*VLOOKUP($G65, Factor!$AD$4:$AF$36, 3, 0)*INDEX(Factor!$AD$41:$AF$87, _xlfn.XMATCH($C65, Factor!$AD$41:$AD$87, -1), 3)</f>
        <v>900</v>
      </c>
      <c r="L65" s="16"/>
    </row>
    <row r="66" spans="1:12" ht="15.75" customHeight="1" x14ac:dyDescent="0.2">
      <c r="A66" s="17" t="str">
        <f>"generator_"&amp;VLOOKUP(F66, Factor!$CC$4:$CD$6, 2, 0)&amp;"_"&amp;D66&amp;"_"&amp;VLOOKUP(Generator!E66, Factor!$CE$4:$CF$13, 2, 0)</f>
        <v>generator_Sm_T5_002</v>
      </c>
      <c r="B66" s="18" t="str">
        <f t="shared" si="2"/>
        <v>T5 소형 고성능제네레이터</v>
      </c>
      <c r="C66" s="18">
        <f>VLOOKUP(D66, Factor!$AC$41:$AD$50, 2, 0)</f>
        <v>5000</v>
      </c>
      <c r="D66" s="18" t="s">
        <v>324</v>
      </c>
      <c r="E66" s="55" t="s">
        <v>644</v>
      </c>
      <c r="F66" s="55" t="s">
        <v>664</v>
      </c>
      <c r="G66" s="18" t="str">
        <f t="shared" si="1"/>
        <v>소형 고성능</v>
      </c>
      <c r="H66" s="18">
        <v>1</v>
      </c>
      <c r="I66" s="18">
        <v>1</v>
      </c>
      <c r="J66" s="18" cm="1">
        <f t="array" ref="J66">H66*VLOOKUP($G66, Factor!$AD$4:$AF$36, 2, 0)*INDEX(Factor!$AD$41:$AF$87, _xlfn.XMATCH($C66, Factor!$AD$41:$AD$87, -1), 2)</f>
        <v>900</v>
      </c>
      <c r="K66" s="20" cm="1">
        <f t="array" ref="K66">I66*VLOOKUP($G66, Factor!$AD$4:$AF$36, 3, 0)*INDEX(Factor!$AD$41:$AF$87, _xlfn.XMATCH($C66, Factor!$AD$41:$AD$87, -1), 3)</f>
        <v>1620</v>
      </c>
      <c r="L66" s="19"/>
    </row>
    <row r="67" spans="1:12" ht="15.75" customHeight="1" x14ac:dyDescent="0.2">
      <c r="A67" s="14" t="str">
        <f>"generator_"&amp;VLOOKUP(F67, Factor!$CC$4:$CD$6, 2, 0)&amp;"_"&amp;D67&amp;"_"&amp;VLOOKUP(Generator!E67, Factor!$CE$4:$CF$13, 2, 0)</f>
        <v>generator_Sm_T5_003</v>
      </c>
      <c r="B67" s="15" t="str">
        <f t="shared" si="2"/>
        <v>T5 소형 경량제네레이터</v>
      </c>
      <c r="C67" s="15">
        <f>VLOOKUP(D67, Factor!$AC$41:$AD$50, 2, 0)</f>
        <v>5000</v>
      </c>
      <c r="D67" s="15" t="s">
        <v>301</v>
      </c>
      <c r="E67" s="56" t="s">
        <v>585</v>
      </c>
      <c r="F67" s="56" t="s">
        <v>664</v>
      </c>
      <c r="G67" s="15" t="str">
        <f t="shared" si="1"/>
        <v>소형 경량</v>
      </c>
      <c r="H67" s="15">
        <v>1</v>
      </c>
      <c r="I67" s="15">
        <v>1</v>
      </c>
      <c r="J67" s="15" cm="1">
        <f t="array" ref="J67">H67*VLOOKUP($G67, Factor!$AD$4:$AF$36, 2, 0)*INDEX(Factor!$AD$41:$AF$87, _xlfn.XMATCH($C67, Factor!$AD$41:$AD$87, -1), 2)</f>
        <v>126</v>
      </c>
      <c r="K67" s="21" cm="1">
        <f t="array" ref="K67">I67*VLOOKUP($G67, Factor!$AD$4:$AF$36, 3, 0)*INDEX(Factor!$AD$41:$AF$87, _xlfn.XMATCH($C67, Factor!$AD$41:$AD$87, -1), 3)</f>
        <v>360</v>
      </c>
      <c r="L67" s="16"/>
    </row>
    <row r="68" spans="1:12" ht="15.75" customHeight="1" x14ac:dyDescent="0.2">
      <c r="A68" s="17" t="str">
        <f>"generator_"&amp;VLOOKUP(F68, Factor!$CC$4:$CD$6, 2, 0)&amp;"_"&amp;D68&amp;"_"&amp;VLOOKUP(Generator!E68, Factor!$CE$4:$CF$13, 2, 0)</f>
        <v>generator_Sm_T5_004</v>
      </c>
      <c r="B68" s="18" t="str">
        <f t="shared" si="2"/>
        <v>T5 소형 재생제네레이터</v>
      </c>
      <c r="C68" s="18">
        <f>VLOOKUP(D68, Factor!$AC$41:$AD$50, 2, 0)</f>
        <v>5000</v>
      </c>
      <c r="D68" s="18" t="s">
        <v>301</v>
      </c>
      <c r="E68" s="55" t="s">
        <v>646</v>
      </c>
      <c r="F68" s="55" t="s">
        <v>664</v>
      </c>
      <c r="G68" s="18" t="str">
        <f t="shared" si="1"/>
        <v>소형 재생</v>
      </c>
      <c r="H68" s="18">
        <v>1</v>
      </c>
      <c r="I68" s="18">
        <v>1</v>
      </c>
      <c r="J68" s="18" cm="1">
        <f t="array" ref="J68">H68*VLOOKUP($G68, Factor!$AD$4:$AF$36, 2, 0)*INDEX(Factor!$AD$41:$AF$87, _xlfn.XMATCH($C68, Factor!$AD$41:$AD$87, -1), 2)</f>
        <v>252</v>
      </c>
      <c r="K68" s="20" cm="1">
        <f t="array" ref="K68">I68*VLOOKUP($G68, Factor!$AD$4:$AF$36, 3, 0)*INDEX(Factor!$AD$41:$AF$87, _xlfn.XMATCH($C68, Factor!$AD$41:$AD$87, -1), 3)</f>
        <v>1260</v>
      </c>
      <c r="L68" s="19"/>
    </row>
    <row r="69" spans="1:12" ht="15.75" customHeight="1" x14ac:dyDescent="0.2">
      <c r="A69" s="14" t="str">
        <f>"generator_"&amp;VLOOKUP(F69, Factor!$CC$4:$CD$6, 2, 0)&amp;"_"&amp;D69&amp;"_"&amp;VLOOKUP(Generator!E69, Factor!$CE$4:$CF$13, 2, 0)</f>
        <v>generator_Sm_T5_005</v>
      </c>
      <c r="B69" s="15" t="str">
        <f t="shared" si="2"/>
        <v>T5 소형 듀얼코어제네레이터</v>
      </c>
      <c r="C69" s="15">
        <f>VLOOKUP(D69, Factor!$AC$41:$AD$50, 2, 0)</f>
        <v>5000</v>
      </c>
      <c r="D69" s="15" t="s">
        <v>301</v>
      </c>
      <c r="E69" s="56" t="s">
        <v>650</v>
      </c>
      <c r="F69" s="56" t="s">
        <v>664</v>
      </c>
      <c r="G69" s="15" t="str">
        <f t="shared" si="1"/>
        <v>소형 듀얼코어</v>
      </c>
      <c r="H69" s="15">
        <v>1</v>
      </c>
      <c r="I69" s="15">
        <v>1</v>
      </c>
      <c r="J69" s="15" cm="1">
        <f t="array" ref="J69">H69*VLOOKUP($G69, Factor!$AD$4:$AF$36, 2, 0)*INDEX(Factor!$AD$41:$AF$87, _xlfn.XMATCH($C69, Factor!$AD$41:$AD$87, -1), 2)</f>
        <v>1440</v>
      </c>
      <c r="K69" s="21" cm="1">
        <f t="array" ref="K69">I69*VLOOKUP($G69, Factor!$AD$4:$AF$36, 3, 0)*INDEX(Factor!$AD$41:$AF$87, _xlfn.XMATCH($C69, Factor!$AD$41:$AD$87, -1), 3)</f>
        <v>2700</v>
      </c>
      <c r="L69" s="16"/>
    </row>
    <row r="70" spans="1:12" ht="15.75" customHeight="1" x14ac:dyDescent="0.2">
      <c r="A70" s="17" t="str">
        <f>"generator_"&amp;VLOOKUP(F70, Factor!$CC$4:$CD$6, 2, 0)&amp;"_"&amp;D70&amp;"_"&amp;VLOOKUP(Generator!E70, Factor!$CE$4:$CF$13, 2, 0)</f>
        <v>generator_No_T5_001</v>
      </c>
      <c r="B70" s="18" t="str">
        <f t="shared" si="2"/>
        <v>T5 표준 표준제네레이터</v>
      </c>
      <c r="C70" s="18">
        <f>VLOOKUP(D70, Factor!$AC$41:$AD$50, 2, 0)</f>
        <v>5000</v>
      </c>
      <c r="D70" s="18" t="s">
        <v>301</v>
      </c>
      <c r="E70" s="55" t="s">
        <v>582</v>
      </c>
      <c r="F70" s="55" t="s">
        <v>582</v>
      </c>
      <c r="G70" s="18" t="str">
        <f t="shared" ref="G70:G133" si="3">F70&amp;" "&amp;E70</f>
        <v>표준 표준</v>
      </c>
      <c r="H70" s="18">
        <v>1</v>
      </c>
      <c r="I70" s="18">
        <v>1</v>
      </c>
      <c r="J70" s="18" cm="1">
        <f t="array" ref="J70">H70*VLOOKUP($G70, Factor!$AD$4:$AF$36, 2, 0)*INDEX(Factor!$AD$41:$AF$87, _xlfn.XMATCH($C70, Factor!$AD$41:$AD$87, -1), 2)</f>
        <v>180</v>
      </c>
      <c r="K70" s="20" cm="1">
        <f t="array" ref="K70">I70*VLOOKUP($G70, Factor!$AD$4:$AF$36, 3, 0)*INDEX(Factor!$AD$41:$AF$87, _xlfn.XMATCH($C70, Factor!$AD$41:$AD$87, -1), 3)</f>
        <v>900</v>
      </c>
      <c r="L70" s="19"/>
    </row>
    <row r="71" spans="1:12" ht="15.75" customHeight="1" x14ac:dyDescent="0.2">
      <c r="A71" s="14" t="str">
        <f>"generator_"&amp;VLOOKUP(F71, Factor!$CC$4:$CD$6, 2, 0)&amp;"_"&amp;D71&amp;"_"&amp;VLOOKUP(Generator!E71, Factor!$CE$4:$CF$13, 2, 0)</f>
        <v>generator_No_T5_002</v>
      </c>
      <c r="B71" s="15" t="str">
        <f t="shared" si="2"/>
        <v>T5 표준 고성능제네레이터</v>
      </c>
      <c r="C71" s="15">
        <f>VLOOKUP(D71, Factor!$AC$41:$AD$50, 2, 0)</f>
        <v>5000</v>
      </c>
      <c r="D71" s="15" t="s">
        <v>301</v>
      </c>
      <c r="E71" s="56" t="s">
        <v>644</v>
      </c>
      <c r="F71" s="56" t="s">
        <v>582</v>
      </c>
      <c r="G71" s="15" t="str">
        <f t="shared" si="3"/>
        <v>표준 고성능</v>
      </c>
      <c r="H71" s="15">
        <v>1</v>
      </c>
      <c r="I71" s="15">
        <v>1</v>
      </c>
      <c r="J71" s="15" cm="1">
        <f t="array" ref="J71">H71*VLOOKUP($G71, Factor!$AD$4:$AF$36, 2, 0)*INDEX(Factor!$AD$41:$AF$87, _xlfn.XMATCH($C71, Factor!$AD$41:$AD$87, -1), 2)</f>
        <v>900</v>
      </c>
      <c r="K71" s="21" cm="1">
        <f t="array" ref="K71">I71*VLOOKUP($G71, Factor!$AD$4:$AF$36, 3, 0)*INDEX(Factor!$AD$41:$AF$87, _xlfn.XMATCH($C71, Factor!$AD$41:$AD$87, -1), 3)</f>
        <v>1620</v>
      </c>
      <c r="L71" s="16"/>
    </row>
    <row r="72" spans="1:12" ht="15.75" customHeight="1" x14ac:dyDescent="0.2">
      <c r="A72" s="17" t="str">
        <f>"generator_"&amp;VLOOKUP(F72, Factor!$CC$4:$CD$6, 2, 0)&amp;"_"&amp;D72&amp;"_"&amp;VLOOKUP(Generator!E72, Factor!$CE$4:$CF$13, 2, 0)</f>
        <v>generator_No_T5_003</v>
      </c>
      <c r="B72" s="18" t="str">
        <f t="shared" si="2"/>
        <v>T5 표준 경량제네레이터</v>
      </c>
      <c r="C72" s="18">
        <f>VLOOKUP(D72, Factor!$AC$41:$AD$50, 2, 0)</f>
        <v>5000</v>
      </c>
      <c r="D72" s="18" t="s">
        <v>301</v>
      </c>
      <c r="E72" s="55" t="s">
        <v>585</v>
      </c>
      <c r="F72" s="55" t="s">
        <v>582</v>
      </c>
      <c r="G72" s="18" t="str">
        <f t="shared" si="3"/>
        <v>표준 경량</v>
      </c>
      <c r="H72" s="18">
        <v>1</v>
      </c>
      <c r="I72" s="18">
        <v>1</v>
      </c>
      <c r="J72" s="18" cm="1">
        <f t="array" ref="J72">H72*VLOOKUP($G72, Factor!$AD$4:$AF$36, 2, 0)*INDEX(Factor!$AD$41:$AF$87, _xlfn.XMATCH($C72, Factor!$AD$41:$AD$87, -1), 2)</f>
        <v>126</v>
      </c>
      <c r="K72" s="20" cm="1">
        <f t="array" ref="K72">I72*VLOOKUP($G72, Factor!$AD$4:$AF$36, 3, 0)*INDEX(Factor!$AD$41:$AF$87, _xlfn.XMATCH($C72, Factor!$AD$41:$AD$87, -1), 3)</f>
        <v>360</v>
      </c>
      <c r="L72" s="19"/>
    </row>
    <row r="73" spans="1:12" ht="15.75" customHeight="1" x14ac:dyDescent="0.2">
      <c r="A73" s="14" t="str">
        <f>"generator_"&amp;VLOOKUP(F73, Factor!$CC$4:$CD$6, 2, 0)&amp;"_"&amp;D73&amp;"_"&amp;VLOOKUP(Generator!E73, Factor!$CE$4:$CF$13, 2, 0)</f>
        <v>generator_No_T5_004</v>
      </c>
      <c r="B73" s="15" t="str">
        <f t="shared" si="2"/>
        <v>T5 표준 재생제네레이터</v>
      </c>
      <c r="C73" s="15">
        <f>VLOOKUP(D73, Factor!$AC$41:$AD$50, 2, 0)</f>
        <v>5000</v>
      </c>
      <c r="D73" s="15" t="s">
        <v>301</v>
      </c>
      <c r="E73" s="56" t="s">
        <v>646</v>
      </c>
      <c r="F73" s="56" t="s">
        <v>582</v>
      </c>
      <c r="G73" s="15" t="str">
        <f t="shared" si="3"/>
        <v>표준 재생</v>
      </c>
      <c r="H73" s="15">
        <v>1</v>
      </c>
      <c r="I73" s="15">
        <v>1</v>
      </c>
      <c r="J73" s="15" cm="1">
        <f t="array" ref="J73">H73*VLOOKUP($G73, Factor!$AD$4:$AF$36, 2, 0)*INDEX(Factor!$AD$41:$AF$87, _xlfn.XMATCH($C73, Factor!$AD$41:$AD$87, -1), 2)</f>
        <v>252</v>
      </c>
      <c r="K73" s="21" cm="1">
        <f t="array" ref="K73">I73*VLOOKUP($G73, Factor!$AD$4:$AF$36, 3, 0)*INDEX(Factor!$AD$41:$AF$87, _xlfn.XMATCH($C73, Factor!$AD$41:$AD$87, -1), 3)</f>
        <v>1260</v>
      </c>
      <c r="L73" s="16"/>
    </row>
    <row r="74" spans="1:12" ht="15.75" customHeight="1" x14ac:dyDescent="0.2">
      <c r="A74" s="17" t="str">
        <f>"generator_"&amp;VLOOKUP(F74, Factor!$CC$4:$CD$6, 2, 0)&amp;"_"&amp;D74&amp;"_"&amp;VLOOKUP(Generator!E74, Factor!$CE$4:$CF$13, 2, 0)</f>
        <v>generator_No_T5_005</v>
      </c>
      <c r="B74" s="18" t="str">
        <f t="shared" si="2"/>
        <v>T5 표준 듀얼코어제네레이터</v>
      </c>
      <c r="C74" s="18">
        <f>VLOOKUP(D74, Factor!$AC$41:$AD$50, 2, 0)</f>
        <v>5000</v>
      </c>
      <c r="D74" s="18" t="s">
        <v>301</v>
      </c>
      <c r="E74" s="55" t="s">
        <v>650</v>
      </c>
      <c r="F74" s="55" t="s">
        <v>582</v>
      </c>
      <c r="G74" s="18" t="str">
        <f t="shared" si="3"/>
        <v>표준 듀얼코어</v>
      </c>
      <c r="H74" s="18">
        <v>1</v>
      </c>
      <c r="I74" s="18">
        <v>1</v>
      </c>
      <c r="J74" s="18" cm="1">
        <f t="array" ref="J74">H74*VLOOKUP($G74, Factor!$AD$4:$AF$36, 2, 0)*INDEX(Factor!$AD$41:$AF$87, _xlfn.XMATCH($C74, Factor!$AD$41:$AD$87, -1), 2)</f>
        <v>1440</v>
      </c>
      <c r="K74" s="20" cm="1">
        <f t="array" ref="K74">I74*VLOOKUP($G74, Factor!$AD$4:$AF$36, 3, 0)*INDEX(Factor!$AD$41:$AF$87, _xlfn.XMATCH($C74, Factor!$AD$41:$AD$87, -1), 3)</f>
        <v>2700</v>
      </c>
      <c r="L74" s="19"/>
    </row>
    <row r="75" spans="1:12" ht="15.75" customHeight="1" x14ac:dyDescent="0.2">
      <c r="A75" s="14" t="str">
        <f>"generator_"&amp;VLOOKUP(F75, Factor!$CC$4:$CD$6, 2, 0)&amp;"_"&amp;D75&amp;"_"&amp;VLOOKUP(Generator!E75, Factor!$CE$4:$CF$13, 2, 0)</f>
        <v>generator_Bi_T5_001</v>
      </c>
      <c r="B75" s="15" t="str">
        <f t="shared" si="2"/>
        <v>T5 대형 표준제네레이터</v>
      </c>
      <c r="C75" s="15">
        <f>VLOOKUP(D75, Factor!$AC$41:$AD$50, 2, 0)</f>
        <v>5000</v>
      </c>
      <c r="D75" s="15" t="s">
        <v>301</v>
      </c>
      <c r="E75" s="56" t="s">
        <v>582</v>
      </c>
      <c r="F75" s="56" t="s">
        <v>583</v>
      </c>
      <c r="G75" s="15" t="str">
        <f t="shared" si="3"/>
        <v>대형 표준</v>
      </c>
      <c r="H75" s="15">
        <v>1</v>
      </c>
      <c r="I75" s="15">
        <v>1</v>
      </c>
      <c r="J75" s="15" cm="1">
        <f t="array" ref="J75">H75*VLOOKUP($G75, Factor!$AD$4:$AF$36, 2, 0)*INDEX(Factor!$AD$41:$AF$87, _xlfn.XMATCH($C75, Factor!$AD$41:$AD$87, -1), 2)</f>
        <v>180</v>
      </c>
      <c r="K75" s="21" cm="1">
        <f t="array" ref="K75">I75*VLOOKUP($G75, Factor!$AD$4:$AF$36, 3, 0)*INDEX(Factor!$AD$41:$AF$87, _xlfn.XMATCH($C75, Factor!$AD$41:$AD$87, -1), 3)</f>
        <v>900</v>
      </c>
      <c r="L75" s="16"/>
    </row>
    <row r="76" spans="1:12" ht="15.75" customHeight="1" x14ac:dyDescent="0.2">
      <c r="A76" s="17" t="str">
        <f>"generator_"&amp;VLOOKUP(F76, Factor!$CC$4:$CD$6, 2, 0)&amp;"_"&amp;D76&amp;"_"&amp;VLOOKUP(Generator!E76, Factor!$CE$4:$CF$13, 2, 0)</f>
        <v>generator_Bi_T5_002</v>
      </c>
      <c r="B76" s="18" t="str">
        <f t="shared" si="2"/>
        <v>T5 대형 고성능제네레이터</v>
      </c>
      <c r="C76" s="18">
        <f>VLOOKUP(D76, Factor!$AC$41:$AD$50, 2, 0)</f>
        <v>5000</v>
      </c>
      <c r="D76" s="18" t="s">
        <v>301</v>
      </c>
      <c r="E76" s="55" t="s">
        <v>644</v>
      </c>
      <c r="F76" s="55" t="s">
        <v>583</v>
      </c>
      <c r="G76" s="18" t="str">
        <f t="shared" si="3"/>
        <v>대형 고성능</v>
      </c>
      <c r="H76" s="18">
        <v>1</v>
      </c>
      <c r="I76" s="18">
        <v>1</v>
      </c>
      <c r="J76" s="18" cm="1">
        <f t="array" ref="J76">H76*VLOOKUP($G76, Factor!$AD$4:$AF$36, 2, 0)*INDEX(Factor!$AD$41:$AF$87, _xlfn.XMATCH($C76, Factor!$AD$41:$AD$87, -1), 2)</f>
        <v>900</v>
      </c>
      <c r="K76" s="20" cm="1">
        <f t="array" ref="K76">I76*VLOOKUP($G76, Factor!$AD$4:$AF$36, 3, 0)*INDEX(Factor!$AD$41:$AF$87, _xlfn.XMATCH($C76, Factor!$AD$41:$AD$87, -1), 3)</f>
        <v>1620</v>
      </c>
      <c r="L76" s="19"/>
    </row>
    <row r="77" spans="1:12" ht="15.75" customHeight="1" x14ac:dyDescent="0.2">
      <c r="A77" s="14" t="str">
        <f>"generator_"&amp;VLOOKUP(F77, Factor!$CC$4:$CD$6, 2, 0)&amp;"_"&amp;D77&amp;"_"&amp;VLOOKUP(Generator!E77, Factor!$CE$4:$CF$13, 2, 0)</f>
        <v>generator_Bi_T5_003</v>
      </c>
      <c r="B77" s="15" t="str">
        <f t="shared" si="2"/>
        <v>T5 대형 경량제네레이터</v>
      </c>
      <c r="C77" s="15">
        <f>VLOOKUP(D77, Factor!$AC$41:$AD$50, 2, 0)</f>
        <v>5000</v>
      </c>
      <c r="D77" s="15" t="s">
        <v>301</v>
      </c>
      <c r="E77" s="56" t="s">
        <v>585</v>
      </c>
      <c r="F77" s="56" t="s">
        <v>583</v>
      </c>
      <c r="G77" s="15" t="str">
        <f t="shared" si="3"/>
        <v>대형 경량</v>
      </c>
      <c r="H77" s="15">
        <v>1</v>
      </c>
      <c r="I77" s="15">
        <v>1</v>
      </c>
      <c r="J77" s="15" cm="1">
        <f t="array" ref="J77">H77*VLOOKUP($G77, Factor!$AD$4:$AF$36, 2, 0)*INDEX(Factor!$AD$41:$AF$87, _xlfn.XMATCH($C77, Factor!$AD$41:$AD$87, -1), 2)</f>
        <v>126</v>
      </c>
      <c r="K77" s="21" cm="1">
        <f t="array" ref="K77">I77*VLOOKUP($G77, Factor!$AD$4:$AF$36, 3, 0)*INDEX(Factor!$AD$41:$AF$87, _xlfn.XMATCH($C77, Factor!$AD$41:$AD$87, -1), 3)</f>
        <v>360</v>
      </c>
      <c r="L77" s="16"/>
    </row>
    <row r="78" spans="1:12" ht="15.75" customHeight="1" x14ac:dyDescent="0.2">
      <c r="A78" s="17" t="str">
        <f>"generator_"&amp;VLOOKUP(F78, Factor!$CC$4:$CD$6, 2, 0)&amp;"_"&amp;D78&amp;"_"&amp;VLOOKUP(Generator!E78, Factor!$CE$4:$CF$13, 2, 0)</f>
        <v>generator_Bi_T5_004</v>
      </c>
      <c r="B78" s="18" t="str">
        <f t="shared" si="2"/>
        <v>T5 대형 재생제네레이터</v>
      </c>
      <c r="C78" s="18">
        <f>VLOOKUP(D78, Factor!$AC$41:$AD$50, 2, 0)</f>
        <v>5000</v>
      </c>
      <c r="D78" s="18" t="s">
        <v>301</v>
      </c>
      <c r="E78" s="55" t="s">
        <v>646</v>
      </c>
      <c r="F78" s="55" t="s">
        <v>583</v>
      </c>
      <c r="G78" s="18" t="str">
        <f t="shared" si="3"/>
        <v>대형 재생</v>
      </c>
      <c r="H78" s="18">
        <v>1</v>
      </c>
      <c r="I78" s="18">
        <v>1</v>
      </c>
      <c r="J78" s="18" cm="1">
        <f t="array" ref="J78">H78*VLOOKUP($G78, Factor!$AD$4:$AF$36, 2, 0)*INDEX(Factor!$AD$41:$AF$87, _xlfn.XMATCH($C78, Factor!$AD$41:$AD$87, -1), 2)</f>
        <v>252</v>
      </c>
      <c r="K78" s="20" cm="1">
        <f t="array" ref="K78">I78*VLOOKUP($G78, Factor!$AD$4:$AF$36, 3, 0)*INDEX(Factor!$AD$41:$AF$87, _xlfn.XMATCH($C78, Factor!$AD$41:$AD$87, -1), 3)</f>
        <v>1260</v>
      </c>
      <c r="L78" s="19"/>
    </row>
    <row r="79" spans="1:12" ht="15.75" customHeight="1" x14ac:dyDescent="0.2">
      <c r="A79" s="14" t="str">
        <f>"generator_"&amp;VLOOKUP(F79, Factor!$CC$4:$CD$6, 2, 0)&amp;"_"&amp;D79&amp;"_"&amp;VLOOKUP(Generator!E79, Factor!$CE$4:$CF$13, 2, 0)</f>
        <v>generator_Bi_T5_005</v>
      </c>
      <c r="B79" s="15" t="str">
        <f t="shared" si="2"/>
        <v>T5 대형 듀얼코어제네레이터</v>
      </c>
      <c r="C79" s="15">
        <f>VLOOKUP(D79, Factor!$AC$41:$AD$50, 2, 0)</f>
        <v>5000</v>
      </c>
      <c r="D79" s="15" t="s">
        <v>301</v>
      </c>
      <c r="E79" s="56" t="s">
        <v>650</v>
      </c>
      <c r="F79" s="56" t="s">
        <v>583</v>
      </c>
      <c r="G79" s="15" t="str">
        <f t="shared" si="3"/>
        <v>대형 듀얼코어</v>
      </c>
      <c r="H79" s="15">
        <v>1</v>
      </c>
      <c r="I79" s="15">
        <v>1</v>
      </c>
      <c r="J79" s="15" cm="1">
        <f t="array" ref="J79">H79*VLOOKUP($G79, Factor!$AD$4:$AF$36, 2, 0)*INDEX(Factor!$AD$41:$AF$87, _xlfn.XMATCH($C79, Factor!$AD$41:$AD$87, -1), 2)</f>
        <v>1440</v>
      </c>
      <c r="K79" s="21" cm="1">
        <f t="array" ref="K79">I79*VLOOKUP($G79, Factor!$AD$4:$AF$36, 3, 0)*INDEX(Factor!$AD$41:$AF$87, _xlfn.XMATCH($C79, Factor!$AD$41:$AD$87, -1), 3)</f>
        <v>2700</v>
      </c>
      <c r="L79" s="16"/>
    </row>
    <row r="80" spans="1:12" ht="15.75" customHeight="1" x14ac:dyDescent="0.2">
      <c r="A80" s="17" t="str">
        <f>"generator_"&amp;VLOOKUP(F80, Factor!$CC$4:$CD$6, 2, 0)&amp;"_"&amp;D80&amp;"_"&amp;VLOOKUP(Generator!E80, Factor!$CE$4:$CF$13, 2, 0)</f>
        <v>generator_Sm_T6_001</v>
      </c>
      <c r="B80" s="18" t="str">
        <f t="shared" si="2"/>
        <v>T6 소형 표준제네레이터</v>
      </c>
      <c r="C80" s="18">
        <f>VLOOKUP(D80, Factor!$AC$41:$AD$50, 2, 0)</f>
        <v>6000</v>
      </c>
      <c r="D80" s="18" t="s">
        <v>322</v>
      </c>
      <c r="E80" s="55" t="s">
        <v>582</v>
      </c>
      <c r="F80" s="55" t="s">
        <v>664</v>
      </c>
      <c r="G80" s="18" t="str">
        <f t="shared" si="3"/>
        <v>소형 표준</v>
      </c>
      <c r="H80" s="18">
        <v>1</v>
      </c>
      <c r="I80" s="18">
        <v>1</v>
      </c>
      <c r="J80" s="18" cm="1">
        <f t="array" ref="J80">H80*VLOOKUP($G80, Factor!$AD$4:$AF$36, 2, 0)*INDEX(Factor!$AD$41:$AF$87, _xlfn.XMATCH($C80, Factor!$AD$41:$AD$87, -1), 2)</f>
        <v>200</v>
      </c>
      <c r="K80" s="20" cm="1">
        <f t="array" ref="K80">I80*VLOOKUP($G80, Factor!$AD$4:$AF$36, 3, 0)*INDEX(Factor!$AD$41:$AF$87, _xlfn.XMATCH($C80, Factor!$AD$41:$AD$87, -1), 3)</f>
        <v>1000</v>
      </c>
      <c r="L80" s="19"/>
    </row>
    <row r="81" spans="1:12" ht="15.75" customHeight="1" x14ac:dyDescent="0.2">
      <c r="A81" s="14" t="str">
        <f>"generator_"&amp;VLOOKUP(F81, Factor!$CC$4:$CD$6, 2, 0)&amp;"_"&amp;D81&amp;"_"&amp;VLOOKUP(Generator!E81, Factor!$CE$4:$CF$13, 2, 0)</f>
        <v>generator_Sm_T6_002</v>
      </c>
      <c r="B81" s="15" t="str">
        <f t="shared" si="2"/>
        <v>T6 소형 고성능제네레이터</v>
      </c>
      <c r="C81" s="15">
        <f>VLOOKUP(D81, Factor!$AC$41:$AD$50, 2, 0)</f>
        <v>6000</v>
      </c>
      <c r="D81" s="15" t="s">
        <v>322</v>
      </c>
      <c r="E81" s="56" t="s">
        <v>644</v>
      </c>
      <c r="F81" s="56" t="s">
        <v>664</v>
      </c>
      <c r="G81" s="15" t="str">
        <f t="shared" si="3"/>
        <v>소형 고성능</v>
      </c>
      <c r="H81" s="15">
        <v>1</v>
      </c>
      <c r="I81" s="15">
        <v>1</v>
      </c>
      <c r="J81" s="15" cm="1">
        <f t="array" ref="J81">H81*VLOOKUP($G81, Factor!$AD$4:$AF$36, 2, 0)*INDEX(Factor!$AD$41:$AF$87, _xlfn.XMATCH($C81, Factor!$AD$41:$AD$87, -1), 2)</f>
        <v>1000</v>
      </c>
      <c r="K81" s="21" cm="1">
        <f t="array" ref="K81">I81*VLOOKUP($G81, Factor!$AD$4:$AF$36, 3, 0)*INDEX(Factor!$AD$41:$AF$87, _xlfn.XMATCH($C81, Factor!$AD$41:$AD$87, -1), 3)</f>
        <v>1800</v>
      </c>
      <c r="L81" s="16"/>
    </row>
    <row r="82" spans="1:12" ht="15.75" customHeight="1" x14ac:dyDescent="0.2">
      <c r="A82" s="17" t="str">
        <f>"generator_"&amp;VLOOKUP(F82, Factor!$CC$4:$CD$6, 2, 0)&amp;"_"&amp;D82&amp;"_"&amp;VLOOKUP(Generator!E82, Factor!$CE$4:$CF$13, 2, 0)</f>
        <v>generator_Sm_T6_003</v>
      </c>
      <c r="B82" s="18" t="str">
        <f t="shared" si="2"/>
        <v>T6 소형 경량제네레이터</v>
      </c>
      <c r="C82" s="18">
        <f>VLOOKUP(D82, Factor!$AC$41:$AD$50, 2, 0)</f>
        <v>6000</v>
      </c>
      <c r="D82" s="18" t="s">
        <v>302</v>
      </c>
      <c r="E82" s="55" t="s">
        <v>585</v>
      </c>
      <c r="F82" s="55" t="s">
        <v>664</v>
      </c>
      <c r="G82" s="18" t="str">
        <f t="shared" si="3"/>
        <v>소형 경량</v>
      </c>
      <c r="H82" s="18">
        <v>1</v>
      </c>
      <c r="I82" s="18">
        <v>1</v>
      </c>
      <c r="J82" s="18" cm="1">
        <f t="array" ref="J82">H82*VLOOKUP($G82, Factor!$AD$4:$AF$36, 2, 0)*INDEX(Factor!$AD$41:$AF$87, _xlfn.XMATCH($C82, Factor!$AD$41:$AD$87, -1), 2)</f>
        <v>140</v>
      </c>
      <c r="K82" s="20" cm="1">
        <f t="array" ref="K82">I82*VLOOKUP($G82, Factor!$AD$4:$AF$36, 3, 0)*INDEX(Factor!$AD$41:$AF$87, _xlfn.XMATCH($C82, Factor!$AD$41:$AD$87, -1), 3)</f>
        <v>400</v>
      </c>
      <c r="L82" s="19"/>
    </row>
    <row r="83" spans="1:12" ht="15.75" customHeight="1" x14ac:dyDescent="0.2">
      <c r="A83" s="14" t="str">
        <f>"generator_"&amp;VLOOKUP(F83, Factor!$CC$4:$CD$6, 2, 0)&amp;"_"&amp;D83&amp;"_"&amp;VLOOKUP(Generator!E83, Factor!$CE$4:$CF$13, 2, 0)</f>
        <v>generator_Sm_T6_004</v>
      </c>
      <c r="B83" s="15" t="str">
        <f t="shared" si="2"/>
        <v>T6 소형 재생제네레이터</v>
      </c>
      <c r="C83" s="15">
        <f>VLOOKUP(D83, Factor!$AC$41:$AD$50, 2, 0)</f>
        <v>6000</v>
      </c>
      <c r="D83" s="15" t="s">
        <v>302</v>
      </c>
      <c r="E83" s="56" t="s">
        <v>646</v>
      </c>
      <c r="F83" s="56" t="s">
        <v>664</v>
      </c>
      <c r="G83" s="15" t="str">
        <f t="shared" si="3"/>
        <v>소형 재생</v>
      </c>
      <c r="H83" s="15">
        <v>1</v>
      </c>
      <c r="I83" s="15">
        <v>1</v>
      </c>
      <c r="J83" s="15" cm="1">
        <f t="array" ref="J83">H83*VLOOKUP($G83, Factor!$AD$4:$AF$36, 2, 0)*INDEX(Factor!$AD$41:$AF$87, _xlfn.XMATCH($C83, Factor!$AD$41:$AD$87, -1), 2)</f>
        <v>280</v>
      </c>
      <c r="K83" s="21" cm="1">
        <f t="array" ref="K83">I83*VLOOKUP($G83, Factor!$AD$4:$AF$36, 3, 0)*INDEX(Factor!$AD$41:$AF$87, _xlfn.XMATCH($C83, Factor!$AD$41:$AD$87, -1), 3)</f>
        <v>1400</v>
      </c>
      <c r="L83" s="16"/>
    </row>
    <row r="84" spans="1:12" ht="15.75" customHeight="1" x14ac:dyDescent="0.2">
      <c r="A84" s="17" t="str">
        <f>"generator_"&amp;VLOOKUP(F84, Factor!$CC$4:$CD$6, 2, 0)&amp;"_"&amp;D84&amp;"_"&amp;VLOOKUP(Generator!E84, Factor!$CE$4:$CF$13, 2, 0)</f>
        <v>generator_Sm_T6_005</v>
      </c>
      <c r="B84" s="18" t="str">
        <f t="shared" si="2"/>
        <v>T6 소형 듀얼코어제네레이터</v>
      </c>
      <c r="C84" s="18">
        <f>VLOOKUP(D84, Factor!$AC$41:$AD$50, 2, 0)</f>
        <v>6000</v>
      </c>
      <c r="D84" s="18" t="s">
        <v>302</v>
      </c>
      <c r="E84" s="55" t="s">
        <v>650</v>
      </c>
      <c r="F84" s="55" t="s">
        <v>664</v>
      </c>
      <c r="G84" s="18" t="str">
        <f t="shared" si="3"/>
        <v>소형 듀얼코어</v>
      </c>
      <c r="H84" s="18">
        <v>1</v>
      </c>
      <c r="I84" s="18">
        <v>1</v>
      </c>
      <c r="J84" s="18" cm="1">
        <f t="array" ref="J84">H84*VLOOKUP($G84, Factor!$AD$4:$AF$36, 2, 0)*INDEX(Factor!$AD$41:$AF$87, _xlfn.XMATCH($C84, Factor!$AD$41:$AD$87, -1), 2)</f>
        <v>1600</v>
      </c>
      <c r="K84" s="20" cm="1">
        <f t="array" ref="K84">I84*VLOOKUP($G84, Factor!$AD$4:$AF$36, 3, 0)*INDEX(Factor!$AD$41:$AF$87, _xlfn.XMATCH($C84, Factor!$AD$41:$AD$87, -1), 3)</f>
        <v>3000</v>
      </c>
      <c r="L84" s="19"/>
    </row>
    <row r="85" spans="1:12" ht="15.75" customHeight="1" x14ac:dyDescent="0.2">
      <c r="A85" s="14" t="str">
        <f>"generator_"&amp;VLOOKUP(F85, Factor!$CC$4:$CD$6, 2, 0)&amp;"_"&amp;D85&amp;"_"&amp;VLOOKUP(Generator!E85, Factor!$CE$4:$CF$13, 2, 0)</f>
        <v>generator_No_T6_001</v>
      </c>
      <c r="B85" s="15" t="str">
        <f t="shared" si="2"/>
        <v>T6 표준 표준제네레이터</v>
      </c>
      <c r="C85" s="15">
        <f>VLOOKUP(D85, Factor!$AC$41:$AD$50, 2, 0)</f>
        <v>6000</v>
      </c>
      <c r="D85" s="15" t="s">
        <v>302</v>
      </c>
      <c r="E85" s="56" t="s">
        <v>582</v>
      </c>
      <c r="F85" s="56" t="s">
        <v>582</v>
      </c>
      <c r="G85" s="15" t="str">
        <f t="shared" si="3"/>
        <v>표준 표준</v>
      </c>
      <c r="H85" s="15">
        <v>1</v>
      </c>
      <c r="I85" s="15">
        <v>1</v>
      </c>
      <c r="J85" s="15" cm="1">
        <f t="array" ref="J85">H85*VLOOKUP($G85, Factor!$AD$4:$AF$36, 2, 0)*INDEX(Factor!$AD$41:$AF$87, _xlfn.XMATCH($C85, Factor!$AD$41:$AD$87, -1), 2)</f>
        <v>200</v>
      </c>
      <c r="K85" s="21" cm="1">
        <f t="array" ref="K85">I85*VLOOKUP($G85, Factor!$AD$4:$AF$36, 3, 0)*INDEX(Factor!$AD$41:$AF$87, _xlfn.XMATCH($C85, Factor!$AD$41:$AD$87, -1), 3)</f>
        <v>1000</v>
      </c>
      <c r="L85" s="16"/>
    </row>
    <row r="86" spans="1:12" ht="15.75" customHeight="1" x14ac:dyDescent="0.2">
      <c r="A86" s="17" t="str">
        <f>"generator_"&amp;VLOOKUP(F86, Factor!$CC$4:$CD$6, 2, 0)&amp;"_"&amp;D86&amp;"_"&amp;VLOOKUP(Generator!E86, Factor!$CE$4:$CF$13, 2, 0)</f>
        <v>generator_No_T6_002</v>
      </c>
      <c r="B86" s="18" t="str">
        <f t="shared" si="2"/>
        <v>T6 표준 고성능제네레이터</v>
      </c>
      <c r="C86" s="18">
        <f>VLOOKUP(D86, Factor!$AC$41:$AD$50, 2, 0)</f>
        <v>6000</v>
      </c>
      <c r="D86" s="18" t="s">
        <v>302</v>
      </c>
      <c r="E86" s="55" t="s">
        <v>644</v>
      </c>
      <c r="F86" s="55" t="s">
        <v>582</v>
      </c>
      <c r="G86" s="18" t="str">
        <f t="shared" si="3"/>
        <v>표준 고성능</v>
      </c>
      <c r="H86" s="18">
        <v>1</v>
      </c>
      <c r="I86" s="18">
        <v>1</v>
      </c>
      <c r="J86" s="18" cm="1">
        <f t="array" ref="J86">H86*VLOOKUP($G86, Factor!$AD$4:$AF$36, 2, 0)*INDEX(Factor!$AD$41:$AF$87, _xlfn.XMATCH($C86, Factor!$AD$41:$AD$87, -1), 2)</f>
        <v>1000</v>
      </c>
      <c r="K86" s="20" cm="1">
        <f t="array" ref="K86">I86*VLOOKUP($G86, Factor!$AD$4:$AF$36, 3, 0)*INDEX(Factor!$AD$41:$AF$87, _xlfn.XMATCH($C86, Factor!$AD$41:$AD$87, -1), 3)</f>
        <v>1800</v>
      </c>
      <c r="L86" s="19"/>
    </row>
    <row r="87" spans="1:12" ht="15.75" customHeight="1" x14ac:dyDescent="0.2">
      <c r="A87" s="14" t="str">
        <f>"generator_"&amp;VLOOKUP(F87, Factor!$CC$4:$CD$6, 2, 0)&amp;"_"&amp;D87&amp;"_"&amp;VLOOKUP(Generator!E87, Factor!$CE$4:$CF$13, 2, 0)</f>
        <v>generator_No_T6_003</v>
      </c>
      <c r="B87" s="15" t="str">
        <f t="shared" si="2"/>
        <v>T6 표준 경량제네레이터</v>
      </c>
      <c r="C87" s="15">
        <f>VLOOKUP(D87, Factor!$AC$41:$AD$50, 2, 0)</f>
        <v>6000</v>
      </c>
      <c r="D87" s="15" t="s">
        <v>302</v>
      </c>
      <c r="E87" s="56" t="s">
        <v>585</v>
      </c>
      <c r="F87" s="56" t="s">
        <v>582</v>
      </c>
      <c r="G87" s="15" t="str">
        <f t="shared" si="3"/>
        <v>표준 경량</v>
      </c>
      <c r="H87" s="15">
        <v>1</v>
      </c>
      <c r="I87" s="15">
        <v>1</v>
      </c>
      <c r="J87" s="15" cm="1">
        <f t="array" ref="J87">H87*VLOOKUP($G87, Factor!$AD$4:$AF$36, 2, 0)*INDEX(Factor!$AD$41:$AF$87, _xlfn.XMATCH($C87, Factor!$AD$41:$AD$87, -1), 2)</f>
        <v>140</v>
      </c>
      <c r="K87" s="21" cm="1">
        <f t="array" ref="K87">I87*VLOOKUP($G87, Factor!$AD$4:$AF$36, 3, 0)*INDEX(Factor!$AD$41:$AF$87, _xlfn.XMATCH($C87, Factor!$AD$41:$AD$87, -1), 3)</f>
        <v>400</v>
      </c>
      <c r="L87" s="16"/>
    </row>
    <row r="88" spans="1:12" ht="15.75" customHeight="1" x14ac:dyDescent="0.2">
      <c r="A88" s="17" t="str">
        <f>"generator_"&amp;VLOOKUP(F88, Factor!$CC$4:$CD$6, 2, 0)&amp;"_"&amp;D88&amp;"_"&amp;VLOOKUP(Generator!E88, Factor!$CE$4:$CF$13, 2, 0)</f>
        <v>generator_No_T6_004</v>
      </c>
      <c r="B88" s="18" t="str">
        <f t="shared" si="2"/>
        <v>T6 표준 재생제네레이터</v>
      </c>
      <c r="C88" s="18">
        <f>VLOOKUP(D88, Factor!$AC$41:$AD$50, 2, 0)</f>
        <v>6000</v>
      </c>
      <c r="D88" s="18" t="s">
        <v>302</v>
      </c>
      <c r="E88" s="55" t="s">
        <v>646</v>
      </c>
      <c r="F88" s="55" t="s">
        <v>582</v>
      </c>
      <c r="G88" s="18" t="str">
        <f t="shared" si="3"/>
        <v>표준 재생</v>
      </c>
      <c r="H88" s="18">
        <v>1</v>
      </c>
      <c r="I88" s="18">
        <v>1</v>
      </c>
      <c r="J88" s="18" cm="1">
        <f t="array" ref="J88">H88*VLOOKUP($G88, Factor!$AD$4:$AF$36, 2, 0)*INDEX(Factor!$AD$41:$AF$87, _xlfn.XMATCH($C88, Factor!$AD$41:$AD$87, -1), 2)</f>
        <v>280</v>
      </c>
      <c r="K88" s="20" cm="1">
        <f t="array" ref="K88">I88*VLOOKUP($G88, Factor!$AD$4:$AF$36, 3, 0)*INDEX(Factor!$AD$41:$AF$87, _xlfn.XMATCH($C88, Factor!$AD$41:$AD$87, -1), 3)</f>
        <v>1400</v>
      </c>
      <c r="L88" s="19"/>
    </row>
    <row r="89" spans="1:12" ht="15.75" customHeight="1" x14ac:dyDescent="0.2">
      <c r="A89" s="14" t="str">
        <f>"generator_"&amp;VLOOKUP(F89, Factor!$CC$4:$CD$6, 2, 0)&amp;"_"&amp;D89&amp;"_"&amp;VLOOKUP(Generator!E89, Factor!$CE$4:$CF$13, 2, 0)</f>
        <v>generator_No_T6_005</v>
      </c>
      <c r="B89" s="15" t="str">
        <f t="shared" si="2"/>
        <v>T6 표준 듀얼코어제네레이터</v>
      </c>
      <c r="C89" s="15">
        <f>VLOOKUP(D89, Factor!$AC$41:$AD$50, 2, 0)</f>
        <v>6000</v>
      </c>
      <c r="D89" s="15" t="s">
        <v>302</v>
      </c>
      <c r="E89" s="56" t="s">
        <v>650</v>
      </c>
      <c r="F89" s="56" t="s">
        <v>582</v>
      </c>
      <c r="G89" s="15" t="str">
        <f t="shared" si="3"/>
        <v>표준 듀얼코어</v>
      </c>
      <c r="H89" s="15">
        <v>1</v>
      </c>
      <c r="I89" s="15">
        <v>1</v>
      </c>
      <c r="J89" s="15" cm="1">
        <f t="array" ref="J89">H89*VLOOKUP($G89, Factor!$AD$4:$AF$36, 2, 0)*INDEX(Factor!$AD$41:$AF$87, _xlfn.XMATCH($C89, Factor!$AD$41:$AD$87, -1), 2)</f>
        <v>1600</v>
      </c>
      <c r="K89" s="21" cm="1">
        <f t="array" ref="K89">I89*VLOOKUP($G89, Factor!$AD$4:$AF$36, 3, 0)*INDEX(Factor!$AD$41:$AF$87, _xlfn.XMATCH($C89, Factor!$AD$41:$AD$87, -1), 3)</f>
        <v>3000</v>
      </c>
      <c r="L89" s="16"/>
    </row>
    <row r="90" spans="1:12" ht="15.75" customHeight="1" x14ac:dyDescent="0.2">
      <c r="A90" s="17" t="str">
        <f>"generator_"&amp;VLOOKUP(F90, Factor!$CC$4:$CD$6, 2, 0)&amp;"_"&amp;D90&amp;"_"&amp;VLOOKUP(Generator!E90, Factor!$CE$4:$CF$13, 2, 0)</f>
        <v>generator_Bi_T6_001</v>
      </c>
      <c r="B90" s="18" t="str">
        <f t="shared" si="2"/>
        <v>T6 대형 표준제네레이터</v>
      </c>
      <c r="C90" s="18">
        <f>VLOOKUP(D90, Factor!$AC$41:$AD$50, 2, 0)</f>
        <v>6000</v>
      </c>
      <c r="D90" s="18" t="s">
        <v>302</v>
      </c>
      <c r="E90" s="55" t="s">
        <v>582</v>
      </c>
      <c r="F90" s="55" t="s">
        <v>583</v>
      </c>
      <c r="G90" s="18" t="str">
        <f t="shared" si="3"/>
        <v>대형 표준</v>
      </c>
      <c r="H90" s="18">
        <v>1</v>
      </c>
      <c r="I90" s="18">
        <v>1</v>
      </c>
      <c r="J90" s="18" cm="1">
        <f t="array" ref="J90">H90*VLOOKUP($G90, Factor!$AD$4:$AF$36, 2, 0)*INDEX(Factor!$AD$41:$AF$87, _xlfn.XMATCH($C90, Factor!$AD$41:$AD$87, -1), 2)</f>
        <v>200</v>
      </c>
      <c r="K90" s="20" cm="1">
        <f t="array" ref="K90">I90*VLOOKUP($G90, Factor!$AD$4:$AF$36, 3, 0)*INDEX(Factor!$AD$41:$AF$87, _xlfn.XMATCH($C90, Factor!$AD$41:$AD$87, -1), 3)</f>
        <v>1000</v>
      </c>
      <c r="L90" s="19"/>
    </row>
    <row r="91" spans="1:12" ht="15.75" customHeight="1" x14ac:dyDescent="0.2">
      <c r="A91" s="14" t="str">
        <f>"generator_"&amp;VLOOKUP(F91, Factor!$CC$4:$CD$6, 2, 0)&amp;"_"&amp;D91&amp;"_"&amp;VLOOKUP(Generator!E91, Factor!$CE$4:$CF$13, 2, 0)</f>
        <v>generator_Bi_T6_002</v>
      </c>
      <c r="B91" s="15" t="str">
        <f t="shared" si="2"/>
        <v>T6 대형 고성능제네레이터</v>
      </c>
      <c r="C91" s="15">
        <f>VLOOKUP(D91, Factor!$AC$41:$AD$50, 2, 0)</f>
        <v>6000</v>
      </c>
      <c r="D91" s="15" t="s">
        <v>302</v>
      </c>
      <c r="E91" s="56" t="s">
        <v>644</v>
      </c>
      <c r="F91" s="56" t="s">
        <v>583</v>
      </c>
      <c r="G91" s="15" t="str">
        <f t="shared" si="3"/>
        <v>대형 고성능</v>
      </c>
      <c r="H91" s="15">
        <v>1</v>
      </c>
      <c r="I91" s="15">
        <v>1</v>
      </c>
      <c r="J91" s="15" cm="1">
        <f t="array" ref="J91">H91*VLOOKUP($G91, Factor!$AD$4:$AF$36, 2, 0)*INDEX(Factor!$AD$41:$AF$87, _xlfn.XMATCH($C91, Factor!$AD$41:$AD$87, -1), 2)</f>
        <v>1000</v>
      </c>
      <c r="K91" s="21" cm="1">
        <f t="array" ref="K91">I91*VLOOKUP($G91, Factor!$AD$4:$AF$36, 3, 0)*INDEX(Factor!$AD$41:$AF$87, _xlfn.XMATCH($C91, Factor!$AD$41:$AD$87, -1), 3)</f>
        <v>1800</v>
      </c>
      <c r="L91" s="16"/>
    </row>
    <row r="92" spans="1:12" ht="15.75" customHeight="1" x14ac:dyDescent="0.2">
      <c r="A92" s="17" t="str">
        <f>"generator_"&amp;VLOOKUP(F92, Factor!$CC$4:$CD$6, 2, 0)&amp;"_"&amp;D92&amp;"_"&amp;VLOOKUP(Generator!E92, Factor!$CE$4:$CF$13, 2, 0)</f>
        <v>generator_Bi_T6_003</v>
      </c>
      <c r="B92" s="18" t="str">
        <f t="shared" si="2"/>
        <v>T6 대형 경량제네레이터</v>
      </c>
      <c r="C92" s="18">
        <f>VLOOKUP(D92, Factor!$AC$41:$AD$50, 2, 0)</f>
        <v>6000</v>
      </c>
      <c r="D92" s="18" t="s">
        <v>302</v>
      </c>
      <c r="E92" s="55" t="s">
        <v>585</v>
      </c>
      <c r="F92" s="55" t="s">
        <v>583</v>
      </c>
      <c r="G92" s="18" t="str">
        <f t="shared" si="3"/>
        <v>대형 경량</v>
      </c>
      <c r="H92" s="18">
        <v>1</v>
      </c>
      <c r="I92" s="18">
        <v>1</v>
      </c>
      <c r="J92" s="18" cm="1">
        <f t="array" ref="J92">H92*VLOOKUP($G92, Factor!$AD$4:$AF$36, 2, 0)*INDEX(Factor!$AD$41:$AF$87, _xlfn.XMATCH($C92, Factor!$AD$41:$AD$87, -1), 2)</f>
        <v>140</v>
      </c>
      <c r="K92" s="20" cm="1">
        <f t="array" ref="K92">I92*VLOOKUP($G92, Factor!$AD$4:$AF$36, 3, 0)*INDEX(Factor!$AD$41:$AF$87, _xlfn.XMATCH($C92, Factor!$AD$41:$AD$87, -1), 3)</f>
        <v>400</v>
      </c>
      <c r="L92" s="19"/>
    </row>
    <row r="93" spans="1:12" ht="15.75" customHeight="1" x14ac:dyDescent="0.2">
      <c r="A93" s="14" t="str">
        <f>"generator_"&amp;VLOOKUP(F93, Factor!$CC$4:$CD$6, 2, 0)&amp;"_"&amp;D93&amp;"_"&amp;VLOOKUP(Generator!E93, Factor!$CE$4:$CF$13, 2, 0)</f>
        <v>generator_Bi_T6_004</v>
      </c>
      <c r="B93" s="15" t="str">
        <f t="shared" si="2"/>
        <v>T6 대형 재생제네레이터</v>
      </c>
      <c r="C93" s="15">
        <f>VLOOKUP(D93, Factor!$AC$41:$AD$50, 2, 0)</f>
        <v>6000</v>
      </c>
      <c r="D93" s="15" t="s">
        <v>302</v>
      </c>
      <c r="E93" s="56" t="s">
        <v>646</v>
      </c>
      <c r="F93" s="56" t="s">
        <v>583</v>
      </c>
      <c r="G93" s="15" t="str">
        <f t="shared" si="3"/>
        <v>대형 재생</v>
      </c>
      <c r="H93" s="15">
        <v>1</v>
      </c>
      <c r="I93" s="15">
        <v>1</v>
      </c>
      <c r="J93" s="15" cm="1">
        <f t="array" ref="J93">H93*VLOOKUP($G93, Factor!$AD$4:$AF$36, 2, 0)*INDEX(Factor!$AD$41:$AF$87, _xlfn.XMATCH($C93, Factor!$AD$41:$AD$87, -1), 2)</f>
        <v>280</v>
      </c>
      <c r="K93" s="21" cm="1">
        <f t="array" ref="K93">I93*VLOOKUP($G93, Factor!$AD$4:$AF$36, 3, 0)*INDEX(Factor!$AD$41:$AF$87, _xlfn.XMATCH($C93, Factor!$AD$41:$AD$87, -1), 3)</f>
        <v>1400</v>
      </c>
      <c r="L93" s="16"/>
    </row>
    <row r="94" spans="1:12" ht="15.75" customHeight="1" x14ac:dyDescent="0.2">
      <c r="A94" s="17" t="str">
        <f>"generator_"&amp;VLOOKUP(F94, Factor!$CC$4:$CD$6, 2, 0)&amp;"_"&amp;D94&amp;"_"&amp;VLOOKUP(Generator!E94, Factor!$CE$4:$CF$13, 2, 0)</f>
        <v>generator_Bi_T6_005</v>
      </c>
      <c r="B94" s="18" t="str">
        <f t="shared" si="2"/>
        <v>T6 대형 듀얼코어제네레이터</v>
      </c>
      <c r="C94" s="18">
        <f>VLOOKUP(D94, Factor!$AC$41:$AD$50, 2, 0)</f>
        <v>6000</v>
      </c>
      <c r="D94" s="18" t="s">
        <v>302</v>
      </c>
      <c r="E94" s="55" t="s">
        <v>650</v>
      </c>
      <c r="F94" s="55" t="s">
        <v>583</v>
      </c>
      <c r="G94" s="18" t="str">
        <f t="shared" si="3"/>
        <v>대형 듀얼코어</v>
      </c>
      <c r="H94" s="18">
        <v>1</v>
      </c>
      <c r="I94" s="18">
        <v>1</v>
      </c>
      <c r="J94" s="18" cm="1">
        <f t="array" ref="J94">H94*VLOOKUP($G94, Factor!$AD$4:$AF$36, 2, 0)*INDEX(Factor!$AD$41:$AF$87, _xlfn.XMATCH($C94, Factor!$AD$41:$AD$87, -1), 2)</f>
        <v>1600</v>
      </c>
      <c r="K94" s="20" cm="1">
        <f t="array" ref="K94">I94*VLOOKUP($G94, Factor!$AD$4:$AF$36, 3, 0)*INDEX(Factor!$AD$41:$AF$87, _xlfn.XMATCH($C94, Factor!$AD$41:$AD$87, -1), 3)</f>
        <v>3000</v>
      </c>
      <c r="L94" s="19"/>
    </row>
    <row r="95" spans="1:12" ht="15.75" customHeight="1" x14ac:dyDescent="0.2">
      <c r="A95" s="14" t="str">
        <f>"generator_"&amp;VLOOKUP(F95, Factor!$CC$4:$CD$6, 2, 0)&amp;"_"&amp;D95&amp;"_"&amp;VLOOKUP(Generator!E95, Factor!$CE$4:$CF$13, 2, 0)</f>
        <v>generator_Sm_T7_001</v>
      </c>
      <c r="B95" s="15" t="str">
        <f t="shared" si="2"/>
        <v>T7 소형 표준제네레이터</v>
      </c>
      <c r="C95" s="15">
        <f>VLOOKUP(D95, Factor!$AC$41:$AD$50, 2, 0)</f>
        <v>7000</v>
      </c>
      <c r="D95" s="15" t="s">
        <v>325</v>
      </c>
      <c r="E95" s="56" t="s">
        <v>582</v>
      </c>
      <c r="F95" s="56" t="s">
        <v>664</v>
      </c>
      <c r="G95" s="15" t="str">
        <f t="shared" si="3"/>
        <v>소형 표준</v>
      </c>
      <c r="H95" s="15">
        <v>1</v>
      </c>
      <c r="I95" s="15">
        <v>1</v>
      </c>
      <c r="J95" s="15" cm="1">
        <f t="array" ref="J95">H95*VLOOKUP($G95, Factor!$AD$4:$AF$36, 2, 0)*INDEX(Factor!$AD$41:$AF$87, _xlfn.XMATCH($C95, Factor!$AD$41:$AD$87, -1), 2)</f>
        <v>220.00000000000003</v>
      </c>
      <c r="K95" s="21" cm="1">
        <f t="array" ref="K95">I95*VLOOKUP($G95, Factor!$AD$4:$AF$36, 3, 0)*INDEX(Factor!$AD$41:$AF$87, _xlfn.XMATCH($C95, Factor!$AD$41:$AD$87, -1), 3)</f>
        <v>1100</v>
      </c>
      <c r="L95" s="16"/>
    </row>
    <row r="96" spans="1:12" ht="15.75" customHeight="1" x14ac:dyDescent="0.2">
      <c r="A96" s="17" t="str">
        <f>"generator_"&amp;VLOOKUP(F96, Factor!$CC$4:$CD$6, 2, 0)&amp;"_"&amp;D96&amp;"_"&amp;VLOOKUP(Generator!E96, Factor!$CE$4:$CF$13, 2, 0)</f>
        <v>generator_Sm_T7_002</v>
      </c>
      <c r="B96" s="18" t="str">
        <f t="shared" si="2"/>
        <v>T7 소형 고성능제네레이터</v>
      </c>
      <c r="C96" s="18">
        <f>VLOOKUP(D96, Factor!$AC$41:$AD$50, 2, 0)</f>
        <v>7000</v>
      </c>
      <c r="D96" s="18" t="s">
        <v>325</v>
      </c>
      <c r="E96" s="55" t="s">
        <v>644</v>
      </c>
      <c r="F96" s="55" t="s">
        <v>664</v>
      </c>
      <c r="G96" s="18" t="str">
        <f t="shared" si="3"/>
        <v>소형 고성능</v>
      </c>
      <c r="H96" s="18">
        <v>1</v>
      </c>
      <c r="I96" s="18">
        <v>1</v>
      </c>
      <c r="J96" s="18" cm="1">
        <f t="array" ref="J96">H96*VLOOKUP($G96, Factor!$AD$4:$AF$36, 2, 0)*INDEX(Factor!$AD$41:$AF$87, _xlfn.XMATCH($C96, Factor!$AD$41:$AD$87, -1), 2)</f>
        <v>1100</v>
      </c>
      <c r="K96" s="20" cm="1">
        <f t="array" ref="K96">I96*VLOOKUP($G96, Factor!$AD$4:$AF$36, 3, 0)*INDEX(Factor!$AD$41:$AF$87, _xlfn.XMATCH($C96, Factor!$AD$41:$AD$87, -1), 3)</f>
        <v>1980.0000000000002</v>
      </c>
      <c r="L96" s="19"/>
    </row>
    <row r="97" spans="1:12" ht="15.75" customHeight="1" x14ac:dyDescent="0.2">
      <c r="A97" s="14" t="str">
        <f>"generator_"&amp;VLOOKUP(F97, Factor!$CC$4:$CD$6, 2, 0)&amp;"_"&amp;D97&amp;"_"&amp;VLOOKUP(Generator!E97, Factor!$CE$4:$CF$13, 2, 0)</f>
        <v>generator_Sm_T7_003</v>
      </c>
      <c r="B97" s="15" t="str">
        <f t="shared" si="2"/>
        <v>T7 소형 경량제네레이터</v>
      </c>
      <c r="C97" s="15">
        <f>VLOOKUP(D97, Factor!$AC$41:$AD$50, 2, 0)</f>
        <v>7000</v>
      </c>
      <c r="D97" s="15" t="s">
        <v>303</v>
      </c>
      <c r="E97" s="56" t="s">
        <v>585</v>
      </c>
      <c r="F97" s="56" t="s">
        <v>664</v>
      </c>
      <c r="G97" s="15" t="str">
        <f t="shared" si="3"/>
        <v>소형 경량</v>
      </c>
      <c r="H97" s="15">
        <v>1</v>
      </c>
      <c r="I97" s="15">
        <v>1</v>
      </c>
      <c r="J97" s="15" cm="1">
        <f t="array" ref="J97">H97*VLOOKUP($G97, Factor!$AD$4:$AF$36, 2, 0)*INDEX(Factor!$AD$41:$AF$87, _xlfn.XMATCH($C97, Factor!$AD$41:$AD$87, -1), 2)</f>
        <v>154</v>
      </c>
      <c r="K97" s="21" cm="1">
        <f t="array" ref="K97">I97*VLOOKUP($G97, Factor!$AD$4:$AF$36, 3, 0)*INDEX(Factor!$AD$41:$AF$87, _xlfn.XMATCH($C97, Factor!$AD$41:$AD$87, -1), 3)</f>
        <v>440.00000000000006</v>
      </c>
      <c r="L97" s="16"/>
    </row>
    <row r="98" spans="1:12" ht="15.75" customHeight="1" x14ac:dyDescent="0.2">
      <c r="A98" s="17" t="str">
        <f>"generator_"&amp;VLOOKUP(F98, Factor!$CC$4:$CD$6, 2, 0)&amp;"_"&amp;D98&amp;"_"&amp;VLOOKUP(Generator!E98, Factor!$CE$4:$CF$13, 2, 0)</f>
        <v>generator_Sm_T7_004</v>
      </c>
      <c r="B98" s="18" t="str">
        <f t="shared" si="2"/>
        <v>T7 소형 재생제네레이터</v>
      </c>
      <c r="C98" s="18">
        <f>VLOOKUP(D98, Factor!$AC$41:$AD$50, 2, 0)</f>
        <v>7000</v>
      </c>
      <c r="D98" s="18" t="s">
        <v>303</v>
      </c>
      <c r="E98" s="55" t="s">
        <v>646</v>
      </c>
      <c r="F98" s="55" t="s">
        <v>664</v>
      </c>
      <c r="G98" s="18" t="str">
        <f t="shared" si="3"/>
        <v>소형 재생</v>
      </c>
      <c r="H98" s="18">
        <v>1</v>
      </c>
      <c r="I98" s="18">
        <v>1</v>
      </c>
      <c r="J98" s="18" cm="1">
        <f t="array" ref="J98">H98*VLOOKUP($G98, Factor!$AD$4:$AF$36, 2, 0)*INDEX(Factor!$AD$41:$AF$87, _xlfn.XMATCH($C98, Factor!$AD$41:$AD$87, -1), 2)</f>
        <v>308</v>
      </c>
      <c r="K98" s="20" cm="1">
        <f t="array" ref="K98">I98*VLOOKUP($G98, Factor!$AD$4:$AF$36, 3, 0)*INDEX(Factor!$AD$41:$AF$87, _xlfn.XMATCH($C98, Factor!$AD$41:$AD$87, -1), 3)</f>
        <v>1540.0000000000002</v>
      </c>
      <c r="L98" s="19"/>
    </row>
    <row r="99" spans="1:12" ht="15.75" customHeight="1" x14ac:dyDescent="0.2">
      <c r="A99" s="14" t="str">
        <f>"generator_"&amp;VLOOKUP(F99, Factor!$CC$4:$CD$6, 2, 0)&amp;"_"&amp;D99&amp;"_"&amp;VLOOKUP(Generator!E99, Factor!$CE$4:$CF$13, 2, 0)</f>
        <v>generator_Sm_T7_005</v>
      </c>
      <c r="B99" s="15" t="str">
        <f t="shared" ref="B99:B154" si="4">D99&amp;" "&amp;G99&amp;"제네레이터"</f>
        <v>T7 소형 듀얼코어제네레이터</v>
      </c>
      <c r="C99" s="15">
        <f>VLOOKUP(D99, Factor!$AC$41:$AD$50, 2, 0)</f>
        <v>7000</v>
      </c>
      <c r="D99" s="15" t="s">
        <v>303</v>
      </c>
      <c r="E99" s="56" t="s">
        <v>650</v>
      </c>
      <c r="F99" s="56" t="s">
        <v>664</v>
      </c>
      <c r="G99" s="15" t="str">
        <f t="shared" si="3"/>
        <v>소형 듀얼코어</v>
      </c>
      <c r="H99" s="15">
        <v>1</v>
      </c>
      <c r="I99" s="15">
        <v>1</v>
      </c>
      <c r="J99" s="15" cm="1">
        <f t="array" ref="J99">H99*VLOOKUP($G99, Factor!$AD$4:$AF$36, 2, 0)*INDEX(Factor!$AD$41:$AF$87, _xlfn.XMATCH($C99, Factor!$AD$41:$AD$87, -1), 2)</f>
        <v>1760.0000000000002</v>
      </c>
      <c r="K99" s="21" cm="1">
        <f t="array" ref="K99">I99*VLOOKUP($G99, Factor!$AD$4:$AF$36, 3, 0)*INDEX(Factor!$AD$41:$AF$87, _xlfn.XMATCH($C99, Factor!$AD$41:$AD$87, -1), 3)</f>
        <v>3300.0000000000005</v>
      </c>
      <c r="L99" s="16"/>
    </row>
    <row r="100" spans="1:12" ht="15.75" customHeight="1" x14ac:dyDescent="0.2">
      <c r="A100" s="17" t="str">
        <f>"generator_"&amp;VLOOKUP(F100, Factor!$CC$4:$CD$6, 2, 0)&amp;"_"&amp;D100&amp;"_"&amp;VLOOKUP(Generator!E100, Factor!$CE$4:$CF$13, 2, 0)</f>
        <v>generator_No_T7_001</v>
      </c>
      <c r="B100" s="18" t="str">
        <f t="shared" si="4"/>
        <v>T7 표준 표준제네레이터</v>
      </c>
      <c r="C100" s="18">
        <f>VLOOKUP(D100, Factor!$AC$41:$AD$50, 2, 0)</f>
        <v>7000</v>
      </c>
      <c r="D100" s="18" t="s">
        <v>303</v>
      </c>
      <c r="E100" s="55" t="s">
        <v>582</v>
      </c>
      <c r="F100" s="55" t="s">
        <v>582</v>
      </c>
      <c r="G100" s="18" t="str">
        <f t="shared" si="3"/>
        <v>표준 표준</v>
      </c>
      <c r="H100" s="18">
        <v>1</v>
      </c>
      <c r="I100" s="18">
        <v>1</v>
      </c>
      <c r="J100" s="18" cm="1">
        <f t="array" ref="J100">H100*VLOOKUP($G100, Factor!$AD$4:$AF$36, 2, 0)*INDEX(Factor!$AD$41:$AF$87, _xlfn.XMATCH($C100, Factor!$AD$41:$AD$87, -1), 2)</f>
        <v>220.00000000000003</v>
      </c>
      <c r="K100" s="20" cm="1">
        <f t="array" ref="K100">I100*VLOOKUP($G100, Factor!$AD$4:$AF$36, 3, 0)*INDEX(Factor!$AD$41:$AF$87, _xlfn.XMATCH($C100, Factor!$AD$41:$AD$87, -1), 3)</f>
        <v>1100</v>
      </c>
      <c r="L100" s="19"/>
    </row>
    <row r="101" spans="1:12" ht="15.75" customHeight="1" x14ac:dyDescent="0.2">
      <c r="A101" s="14" t="str">
        <f>"generator_"&amp;VLOOKUP(F101, Factor!$CC$4:$CD$6, 2, 0)&amp;"_"&amp;D101&amp;"_"&amp;VLOOKUP(Generator!E101, Factor!$CE$4:$CF$13, 2, 0)</f>
        <v>generator_No_T7_002</v>
      </c>
      <c r="B101" s="15" t="str">
        <f t="shared" si="4"/>
        <v>T7 표준 고성능제네레이터</v>
      </c>
      <c r="C101" s="15">
        <f>VLOOKUP(D101, Factor!$AC$41:$AD$50, 2, 0)</f>
        <v>7000</v>
      </c>
      <c r="D101" s="15" t="s">
        <v>303</v>
      </c>
      <c r="E101" s="56" t="s">
        <v>644</v>
      </c>
      <c r="F101" s="56" t="s">
        <v>582</v>
      </c>
      <c r="G101" s="15" t="str">
        <f t="shared" si="3"/>
        <v>표준 고성능</v>
      </c>
      <c r="H101" s="15">
        <v>1</v>
      </c>
      <c r="I101" s="15">
        <v>1</v>
      </c>
      <c r="J101" s="15" cm="1">
        <f t="array" ref="J101">H101*VLOOKUP($G101, Factor!$AD$4:$AF$36, 2, 0)*INDEX(Factor!$AD$41:$AF$87, _xlfn.XMATCH($C101, Factor!$AD$41:$AD$87, -1), 2)</f>
        <v>1100</v>
      </c>
      <c r="K101" s="21" cm="1">
        <f t="array" ref="K101">I101*VLOOKUP($G101, Factor!$AD$4:$AF$36, 3, 0)*INDEX(Factor!$AD$41:$AF$87, _xlfn.XMATCH($C101, Factor!$AD$41:$AD$87, -1), 3)</f>
        <v>1980.0000000000002</v>
      </c>
      <c r="L101" s="16"/>
    </row>
    <row r="102" spans="1:12" ht="15.75" customHeight="1" x14ac:dyDescent="0.2">
      <c r="A102" s="17" t="str">
        <f>"generator_"&amp;VLOOKUP(F102, Factor!$CC$4:$CD$6, 2, 0)&amp;"_"&amp;D102&amp;"_"&amp;VLOOKUP(Generator!E102, Factor!$CE$4:$CF$13, 2, 0)</f>
        <v>generator_No_T7_003</v>
      </c>
      <c r="B102" s="18" t="str">
        <f t="shared" si="4"/>
        <v>T7 표준 경량제네레이터</v>
      </c>
      <c r="C102" s="18">
        <f>VLOOKUP(D102, Factor!$AC$41:$AD$50, 2, 0)</f>
        <v>7000</v>
      </c>
      <c r="D102" s="18" t="s">
        <v>303</v>
      </c>
      <c r="E102" s="55" t="s">
        <v>585</v>
      </c>
      <c r="F102" s="55" t="s">
        <v>582</v>
      </c>
      <c r="G102" s="18" t="str">
        <f t="shared" si="3"/>
        <v>표준 경량</v>
      </c>
      <c r="H102" s="18">
        <v>1</v>
      </c>
      <c r="I102" s="18">
        <v>1</v>
      </c>
      <c r="J102" s="18" cm="1">
        <f t="array" ref="J102">H102*VLOOKUP($G102, Factor!$AD$4:$AF$36, 2, 0)*INDEX(Factor!$AD$41:$AF$87, _xlfn.XMATCH($C102, Factor!$AD$41:$AD$87, -1), 2)</f>
        <v>154</v>
      </c>
      <c r="K102" s="20" cm="1">
        <f t="array" ref="K102">I102*VLOOKUP($G102, Factor!$AD$4:$AF$36, 3, 0)*INDEX(Factor!$AD$41:$AF$87, _xlfn.XMATCH($C102, Factor!$AD$41:$AD$87, -1), 3)</f>
        <v>440.00000000000006</v>
      </c>
      <c r="L102" s="19"/>
    </row>
    <row r="103" spans="1:12" ht="15.75" customHeight="1" x14ac:dyDescent="0.2">
      <c r="A103" s="14" t="str">
        <f>"generator_"&amp;VLOOKUP(F103, Factor!$CC$4:$CD$6, 2, 0)&amp;"_"&amp;D103&amp;"_"&amp;VLOOKUP(Generator!E103, Factor!$CE$4:$CF$13, 2, 0)</f>
        <v>generator_No_T7_004</v>
      </c>
      <c r="B103" s="15" t="str">
        <f t="shared" si="4"/>
        <v>T7 표준 재생제네레이터</v>
      </c>
      <c r="C103" s="15">
        <f>VLOOKUP(D103, Factor!$AC$41:$AD$50, 2, 0)</f>
        <v>7000</v>
      </c>
      <c r="D103" s="15" t="s">
        <v>303</v>
      </c>
      <c r="E103" s="56" t="s">
        <v>646</v>
      </c>
      <c r="F103" s="56" t="s">
        <v>582</v>
      </c>
      <c r="G103" s="15" t="str">
        <f t="shared" si="3"/>
        <v>표준 재생</v>
      </c>
      <c r="H103" s="15">
        <v>1</v>
      </c>
      <c r="I103" s="15">
        <v>1</v>
      </c>
      <c r="J103" s="15" cm="1">
        <f t="array" ref="J103">H103*VLOOKUP($G103, Factor!$AD$4:$AF$36, 2, 0)*INDEX(Factor!$AD$41:$AF$87, _xlfn.XMATCH($C103, Factor!$AD$41:$AD$87, -1), 2)</f>
        <v>308</v>
      </c>
      <c r="K103" s="21" cm="1">
        <f t="array" ref="K103">I103*VLOOKUP($G103, Factor!$AD$4:$AF$36, 3, 0)*INDEX(Factor!$AD$41:$AF$87, _xlfn.XMATCH($C103, Factor!$AD$41:$AD$87, -1), 3)</f>
        <v>1540.0000000000002</v>
      </c>
      <c r="L103" s="16"/>
    </row>
    <row r="104" spans="1:12" ht="15.75" customHeight="1" x14ac:dyDescent="0.2">
      <c r="A104" s="17" t="str">
        <f>"generator_"&amp;VLOOKUP(F104, Factor!$CC$4:$CD$6, 2, 0)&amp;"_"&amp;D104&amp;"_"&amp;VLOOKUP(Generator!E104, Factor!$CE$4:$CF$13, 2, 0)</f>
        <v>generator_No_T7_005</v>
      </c>
      <c r="B104" s="18" t="str">
        <f t="shared" si="4"/>
        <v>T7 표준 듀얼코어제네레이터</v>
      </c>
      <c r="C104" s="18">
        <f>VLOOKUP(D104, Factor!$AC$41:$AD$50, 2, 0)</f>
        <v>7000</v>
      </c>
      <c r="D104" s="18" t="s">
        <v>303</v>
      </c>
      <c r="E104" s="55" t="s">
        <v>650</v>
      </c>
      <c r="F104" s="55" t="s">
        <v>582</v>
      </c>
      <c r="G104" s="18" t="str">
        <f t="shared" si="3"/>
        <v>표준 듀얼코어</v>
      </c>
      <c r="H104" s="18">
        <v>1</v>
      </c>
      <c r="I104" s="18">
        <v>1</v>
      </c>
      <c r="J104" s="18" cm="1">
        <f t="array" ref="J104">H104*VLOOKUP($G104, Factor!$AD$4:$AF$36, 2, 0)*INDEX(Factor!$AD$41:$AF$87, _xlfn.XMATCH($C104, Factor!$AD$41:$AD$87, -1), 2)</f>
        <v>1760.0000000000002</v>
      </c>
      <c r="K104" s="20" cm="1">
        <f t="array" ref="K104">I104*VLOOKUP($G104, Factor!$AD$4:$AF$36, 3, 0)*INDEX(Factor!$AD$41:$AF$87, _xlfn.XMATCH($C104, Factor!$AD$41:$AD$87, -1), 3)</f>
        <v>3300.0000000000005</v>
      </c>
      <c r="L104" s="19"/>
    </row>
    <row r="105" spans="1:12" ht="15.75" customHeight="1" x14ac:dyDescent="0.2">
      <c r="A105" s="14" t="str">
        <f>"generator_"&amp;VLOOKUP(F105, Factor!$CC$4:$CD$6, 2, 0)&amp;"_"&amp;D105&amp;"_"&amp;VLOOKUP(Generator!E105, Factor!$CE$4:$CF$13, 2, 0)</f>
        <v>generator_Bi_T7_001</v>
      </c>
      <c r="B105" s="15" t="str">
        <f t="shared" si="4"/>
        <v>T7 대형 표준제네레이터</v>
      </c>
      <c r="C105" s="15">
        <f>VLOOKUP(D105, Factor!$AC$41:$AD$50, 2, 0)</f>
        <v>7000</v>
      </c>
      <c r="D105" s="15" t="s">
        <v>303</v>
      </c>
      <c r="E105" s="56" t="s">
        <v>582</v>
      </c>
      <c r="F105" s="56" t="s">
        <v>583</v>
      </c>
      <c r="G105" s="15" t="str">
        <f t="shared" si="3"/>
        <v>대형 표준</v>
      </c>
      <c r="H105" s="15">
        <v>1</v>
      </c>
      <c r="I105" s="15">
        <v>1</v>
      </c>
      <c r="J105" s="15" cm="1">
        <f t="array" ref="J105">H105*VLOOKUP($G105, Factor!$AD$4:$AF$36, 2, 0)*INDEX(Factor!$AD$41:$AF$87, _xlfn.XMATCH($C105, Factor!$AD$41:$AD$87, -1), 2)</f>
        <v>220.00000000000003</v>
      </c>
      <c r="K105" s="21" cm="1">
        <f t="array" ref="K105">I105*VLOOKUP($G105, Factor!$AD$4:$AF$36, 3, 0)*INDEX(Factor!$AD$41:$AF$87, _xlfn.XMATCH($C105, Factor!$AD$41:$AD$87, -1), 3)</f>
        <v>1100</v>
      </c>
      <c r="L105" s="16"/>
    </row>
    <row r="106" spans="1:12" ht="15.75" customHeight="1" x14ac:dyDescent="0.2">
      <c r="A106" s="17" t="str">
        <f>"generator_"&amp;VLOOKUP(F106, Factor!$CC$4:$CD$6, 2, 0)&amp;"_"&amp;D106&amp;"_"&amp;VLOOKUP(Generator!E106, Factor!$CE$4:$CF$13, 2, 0)</f>
        <v>generator_Bi_T7_002</v>
      </c>
      <c r="B106" s="18" t="str">
        <f t="shared" si="4"/>
        <v>T7 대형 고성능제네레이터</v>
      </c>
      <c r="C106" s="18">
        <f>VLOOKUP(D106, Factor!$AC$41:$AD$50, 2, 0)</f>
        <v>7000</v>
      </c>
      <c r="D106" s="18" t="s">
        <v>303</v>
      </c>
      <c r="E106" s="55" t="s">
        <v>644</v>
      </c>
      <c r="F106" s="55" t="s">
        <v>583</v>
      </c>
      <c r="G106" s="18" t="str">
        <f t="shared" si="3"/>
        <v>대형 고성능</v>
      </c>
      <c r="H106" s="18">
        <v>1</v>
      </c>
      <c r="I106" s="18">
        <v>1</v>
      </c>
      <c r="J106" s="18" cm="1">
        <f t="array" ref="J106">H106*VLOOKUP($G106, Factor!$AD$4:$AF$36, 2, 0)*INDEX(Factor!$AD$41:$AF$87, _xlfn.XMATCH($C106, Factor!$AD$41:$AD$87, -1), 2)</f>
        <v>1100</v>
      </c>
      <c r="K106" s="20" cm="1">
        <f t="array" ref="K106">I106*VLOOKUP($G106, Factor!$AD$4:$AF$36, 3, 0)*INDEX(Factor!$AD$41:$AF$87, _xlfn.XMATCH($C106, Factor!$AD$41:$AD$87, -1), 3)</f>
        <v>1980.0000000000002</v>
      </c>
      <c r="L106" s="19"/>
    </row>
    <row r="107" spans="1:12" ht="15.75" customHeight="1" x14ac:dyDescent="0.2">
      <c r="A107" s="14" t="str">
        <f>"generator_"&amp;VLOOKUP(F107, Factor!$CC$4:$CD$6, 2, 0)&amp;"_"&amp;D107&amp;"_"&amp;VLOOKUP(Generator!E107, Factor!$CE$4:$CF$13, 2, 0)</f>
        <v>generator_Bi_T7_003</v>
      </c>
      <c r="B107" s="15" t="str">
        <f t="shared" si="4"/>
        <v>T7 대형 경량제네레이터</v>
      </c>
      <c r="C107" s="15">
        <f>VLOOKUP(D107, Factor!$AC$41:$AD$50, 2, 0)</f>
        <v>7000</v>
      </c>
      <c r="D107" s="15" t="s">
        <v>303</v>
      </c>
      <c r="E107" s="56" t="s">
        <v>585</v>
      </c>
      <c r="F107" s="56" t="s">
        <v>583</v>
      </c>
      <c r="G107" s="15" t="str">
        <f t="shared" si="3"/>
        <v>대형 경량</v>
      </c>
      <c r="H107" s="15">
        <v>1</v>
      </c>
      <c r="I107" s="15">
        <v>1</v>
      </c>
      <c r="J107" s="15" cm="1">
        <f t="array" ref="J107">H107*VLOOKUP($G107, Factor!$AD$4:$AF$36, 2, 0)*INDEX(Factor!$AD$41:$AF$87, _xlfn.XMATCH($C107, Factor!$AD$41:$AD$87, -1), 2)</f>
        <v>154</v>
      </c>
      <c r="K107" s="21" cm="1">
        <f t="array" ref="K107">I107*VLOOKUP($G107, Factor!$AD$4:$AF$36, 3, 0)*INDEX(Factor!$AD$41:$AF$87, _xlfn.XMATCH($C107, Factor!$AD$41:$AD$87, -1), 3)</f>
        <v>440.00000000000006</v>
      </c>
      <c r="L107" s="16"/>
    </row>
    <row r="108" spans="1:12" ht="15.75" customHeight="1" x14ac:dyDescent="0.2">
      <c r="A108" s="17" t="str">
        <f>"generator_"&amp;VLOOKUP(F108, Factor!$CC$4:$CD$6, 2, 0)&amp;"_"&amp;D108&amp;"_"&amp;VLOOKUP(Generator!E108, Factor!$CE$4:$CF$13, 2, 0)</f>
        <v>generator_Bi_T7_004</v>
      </c>
      <c r="B108" s="18" t="str">
        <f t="shared" si="4"/>
        <v>T7 대형 재생제네레이터</v>
      </c>
      <c r="C108" s="18">
        <f>VLOOKUP(D108, Factor!$AC$41:$AD$50, 2, 0)</f>
        <v>7000</v>
      </c>
      <c r="D108" s="18" t="s">
        <v>303</v>
      </c>
      <c r="E108" s="55" t="s">
        <v>646</v>
      </c>
      <c r="F108" s="55" t="s">
        <v>583</v>
      </c>
      <c r="G108" s="18" t="str">
        <f t="shared" si="3"/>
        <v>대형 재생</v>
      </c>
      <c r="H108" s="18">
        <v>1</v>
      </c>
      <c r="I108" s="18">
        <v>1</v>
      </c>
      <c r="J108" s="18" cm="1">
        <f t="array" ref="J108">H108*VLOOKUP($G108, Factor!$AD$4:$AF$36, 2, 0)*INDEX(Factor!$AD$41:$AF$87, _xlfn.XMATCH($C108, Factor!$AD$41:$AD$87, -1), 2)</f>
        <v>308</v>
      </c>
      <c r="K108" s="20" cm="1">
        <f t="array" ref="K108">I108*VLOOKUP($G108, Factor!$AD$4:$AF$36, 3, 0)*INDEX(Factor!$AD$41:$AF$87, _xlfn.XMATCH($C108, Factor!$AD$41:$AD$87, -1), 3)</f>
        <v>1540.0000000000002</v>
      </c>
      <c r="L108" s="19"/>
    </row>
    <row r="109" spans="1:12" ht="15.75" customHeight="1" x14ac:dyDescent="0.2">
      <c r="A109" s="14" t="str">
        <f>"generator_"&amp;VLOOKUP(F109, Factor!$CC$4:$CD$6, 2, 0)&amp;"_"&amp;D109&amp;"_"&amp;VLOOKUP(Generator!E109, Factor!$CE$4:$CF$13, 2, 0)</f>
        <v>generator_Bi_T7_005</v>
      </c>
      <c r="B109" s="15" t="str">
        <f t="shared" si="4"/>
        <v>T7 대형 듀얼코어제네레이터</v>
      </c>
      <c r="C109" s="15">
        <f>VLOOKUP(D109, Factor!$AC$41:$AD$50, 2, 0)</f>
        <v>7000</v>
      </c>
      <c r="D109" s="15" t="s">
        <v>303</v>
      </c>
      <c r="E109" s="56" t="s">
        <v>650</v>
      </c>
      <c r="F109" s="56" t="s">
        <v>583</v>
      </c>
      <c r="G109" s="15" t="str">
        <f t="shared" si="3"/>
        <v>대형 듀얼코어</v>
      </c>
      <c r="H109" s="15">
        <v>1</v>
      </c>
      <c r="I109" s="15">
        <v>1</v>
      </c>
      <c r="J109" s="15" cm="1">
        <f t="array" ref="J109">H109*VLOOKUP($G109, Factor!$AD$4:$AF$36, 2, 0)*INDEX(Factor!$AD$41:$AF$87, _xlfn.XMATCH($C109, Factor!$AD$41:$AD$87, -1), 2)</f>
        <v>1760.0000000000002</v>
      </c>
      <c r="K109" s="21" cm="1">
        <f t="array" ref="K109">I109*VLOOKUP($G109, Factor!$AD$4:$AF$36, 3, 0)*INDEX(Factor!$AD$41:$AF$87, _xlfn.XMATCH($C109, Factor!$AD$41:$AD$87, -1), 3)</f>
        <v>3300.0000000000005</v>
      </c>
      <c r="L109" s="16"/>
    </row>
    <row r="110" spans="1:12" ht="15.75" customHeight="1" x14ac:dyDescent="0.2">
      <c r="A110" s="17" t="str">
        <f>"generator_"&amp;VLOOKUP(F110, Factor!$CC$4:$CD$6, 2, 0)&amp;"_"&amp;D110&amp;"_"&amp;VLOOKUP(Generator!E110, Factor!$CE$4:$CF$13, 2, 0)</f>
        <v>generator_Sm_T8_001</v>
      </c>
      <c r="B110" s="18" t="str">
        <f t="shared" si="4"/>
        <v>T8 소형 표준제네레이터</v>
      </c>
      <c r="C110" s="18">
        <f>VLOOKUP(D110, Factor!$AC$41:$AD$50, 2, 0)</f>
        <v>8000</v>
      </c>
      <c r="D110" s="18" t="s">
        <v>326</v>
      </c>
      <c r="E110" s="55" t="s">
        <v>582</v>
      </c>
      <c r="F110" s="55" t="s">
        <v>664</v>
      </c>
      <c r="G110" s="18" t="str">
        <f t="shared" si="3"/>
        <v>소형 표준</v>
      </c>
      <c r="H110" s="18">
        <v>1</v>
      </c>
      <c r="I110" s="18">
        <v>1</v>
      </c>
      <c r="J110" s="18" cm="1">
        <f t="array" ref="J110">H110*VLOOKUP($G110, Factor!$AD$4:$AF$36, 2, 0)*INDEX(Factor!$AD$41:$AF$87, _xlfn.XMATCH($C110, Factor!$AD$41:$AD$87, -1), 2)</f>
        <v>240</v>
      </c>
      <c r="K110" s="20" cm="1">
        <f t="array" ref="K110">I110*VLOOKUP($G110, Factor!$AD$4:$AF$36, 3, 0)*INDEX(Factor!$AD$41:$AF$87, _xlfn.XMATCH($C110, Factor!$AD$41:$AD$87, -1), 3)</f>
        <v>1200</v>
      </c>
      <c r="L110" s="19"/>
    </row>
    <row r="111" spans="1:12" ht="15.75" customHeight="1" x14ac:dyDescent="0.2">
      <c r="A111" s="14" t="str">
        <f>"generator_"&amp;VLOOKUP(F111, Factor!$CC$4:$CD$6, 2, 0)&amp;"_"&amp;D111&amp;"_"&amp;VLOOKUP(Generator!E111, Factor!$CE$4:$CF$13, 2, 0)</f>
        <v>generator_Sm_T8_002</v>
      </c>
      <c r="B111" s="15" t="str">
        <f t="shared" si="4"/>
        <v>T8 소형 고성능제네레이터</v>
      </c>
      <c r="C111" s="15">
        <f>VLOOKUP(D111, Factor!$AC$41:$AD$50, 2, 0)</f>
        <v>8000</v>
      </c>
      <c r="D111" s="15" t="s">
        <v>326</v>
      </c>
      <c r="E111" s="56" t="s">
        <v>644</v>
      </c>
      <c r="F111" s="56" t="s">
        <v>664</v>
      </c>
      <c r="G111" s="15" t="str">
        <f t="shared" si="3"/>
        <v>소형 고성능</v>
      </c>
      <c r="H111" s="15">
        <v>1</v>
      </c>
      <c r="I111" s="15">
        <v>1</v>
      </c>
      <c r="J111" s="15" cm="1">
        <f t="array" ref="J111">H111*VLOOKUP($G111, Factor!$AD$4:$AF$36, 2, 0)*INDEX(Factor!$AD$41:$AF$87, _xlfn.XMATCH($C111, Factor!$AD$41:$AD$87, -1), 2)</f>
        <v>1200</v>
      </c>
      <c r="K111" s="21" cm="1">
        <f t="array" ref="K111">I111*VLOOKUP($G111, Factor!$AD$4:$AF$36, 3, 0)*INDEX(Factor!$AD$41:$AF$87, _xlfn.XMATCH($C111, Factor!$AD$41:$AD$87, -1), 3)</f>
        <v>2160</v>
      </c>
      <c r="L111" s="16"/>
    </row>
    <row r="112" spans="1:12" ht="15.75" customHeight="1" x14ac:dyDescent="0.2">
      <c r="A112" s="17" t="str">
        <f>"generator_"&amp;VLOOKUP(F112, Factor!$CC$4:$CD$6, 2, 0)&amp;"_"&amp;D112&amp;"_"&amp;VLOOKUP(Generator!E112, Factor!$CE$4:$CF$13, 2, 0)</f>
        <v>generator_Sm_T8_003</v>
      </c>
      <c r="B112" s="18" t="str">
        <f t="shared" si="4"/>
        <v>T8 소형 경량제네레이터</v>
      </c>
      <c r="C112" s="18">
        <f>VLOOKUP(D112, Factor!$AC$41:$AD$50, 2, 0)</f>
        <v>8000</v>
      </c>
      <c r="D112" s="18" t="s">
        <v>304</v>
      </c>
      <c r="E112" s="55" t="s">
        <v>585</v>
      </c>
      <c r="F112" s="55" t="s">
        <v>664</v>
      </c>
      <c r="G112" s="18" t="str">
        <f t="shared" si="3"/>
        <v>소형 경량</v>
      </c>
      <c r="H112" s="18">
        <v>1</v>
      </c>
      <c r="I112" s="18">
        <v>1</v>
      </c>
      <c r="J112" s="18" cm="1">
        <f t="array" ref="J112">H112*VLOOKUP($G112, Factor!$AD$4:$AF$36, 2, 0)*INDEX(Factor!$AD$41:$AF$87, _xlfn.XMATCH($C112, Factor!$AD$41:$AD$87, -1), 2)</f>
        <v>168</v>
      </c>
      <c r="K112" s="20" cm="1">
        <f t="array" ref="K112">I112*VLOOKUP($G112, Factor!$AD$4:$AF$36, 3, 0)*INDEX(Factor!$AD$41:$AF$87, _xlfn.XMATCH($C112, Factor!$AD$41:$AD$87, -1), 3)</f>
        <v>480</v>
      </c>
      <c r="L112" s="19"/>
    </row>
    <row r="113" spans="1:12" ht="15.75" customHeight="1" x14ac:dyDescent="0.2">
      <c r="A113" s="14" t="str">
        <f>"generator_"&amp;VLOOKUP(F113, Factor!$CC$4:$CD$6, 2, 0)&amp;"_"&amp;D113&amp;"_"&amp;VLOOKUP(Generator!E113, Factor!$CE$4:$CF$13, 2, 0)</f>
        <v>generator_Sm_T8_004</v>
      </c>
      <c r="B113" s="15" t="str">
        <f t="shared" si="4"/>
        <v>T8 소형 재생제네레이터</v>
      </c>
      <c r="C113" s="15">
        <f>VLOOKUP(D113, Factor!$AC$41:$AD$50, 2, 0)</f>
        <v>8000</v>
      </c>
      <c r="D113" s="15" t="s">
        <v>304</v>
      </c>
      <c r="E113" s="56" t="s">
        <v>646</v>
      </c>
      <c r="F113" s="56" t="s">
        <v>664</v>
      </c>
      <c r="G113" s="15" t="str">
        <f t="shared" si="3"/>
        <v>소형 재생</v>
      </c>
      <c r="H113" s="15">
        <v>1</v>
      </c>
      <c r="I113" s="15">
        <v>1</v>
      </c>
      <c r="J113" s="15" cm="1">
        <f t="array" ref="J113">H113*VLOOKUP($G113, Factor!$AD$4:$AF$36, 2, 0)*INDEX(Factor!$AD$41:$AF$87, _xlfn.XMATCH($C113, Factor!$AD$41:$AD$87, -1), 2)</f>
        <v>336</v>
      </c>
      <c r="K113" s="21" cm="1">
        <f t="array" ref="K113">I113*VLOOKUP($G113, Factor!$AD$4:$AF$36, 3, 0)*INDEX(Factor!$AD$41:$AF$87, _xlfn.XMATCH($C113, Factor!$AD$41:$AD$87, -1), 3)</f>
        <v>1680</v>
      </c>
      <c r="L113" s="16"/>
    </row>
    <row r="114" spans="1:12" ht="15.75" customHeight="1" x14ac:dyDescent="0.2">
      <c r="A114" s="17" t="str">
        <f>"generator_"&amp;VLOOKUP(F114, Factor!$CC$4:$CD$6, 2, 0)&amp;"_"&amp;D114&amp;"_"&amp;VLOOKUP(Generator!E114, Factor!$CE$4:$CF$13, 2, 0)</f>
        <v>generator_Sm_T8_005</v>
      </c>
      <c r="B114" s="18" t="str">
        <f t="shared" si="4"/>
        <v>T8 소형 듀얼코어제네레이터</v>
      </c>
      <c r="C114" s="18">
        <f>VLOOKUP(D114, Factor!$AC$41:$AD$50, 2, 0)</f>
        <v>8000</v>
      </c>
      <c r="D114" s="18" t="s">
        <v>304</v>
      </c>
      <c r="E114" s="55" t="s">
        <v>650</v>
      </c>
      <c r="F114" s="55" t="s">
        <v>664</v>
      </c>
      <c r="G114" s="18" t="str">
        <f t="shared" si="3"/>
        <v>소형 듀얼코어</v>
      </c>
      <c r="H114" s="18">
        <v>1</v>
      </c>
      <c r="I114" s="18">
        <v>1</v>
      </c>
      <c r="J114" s="18" cm="1">
        <f t="array" ref="J114">H114*VLOOKUP($G114, Factor!$AD$4:$AF$36, 2, 0)*INDEX(Factor!$AD$41:$AF$87, _xlfn.XMATCH($C114, Factor!$AD$41:$AD$87, -1), 2)</f>
        <v>1920</v>
      </c>
      <c r="K114" s="20" cm="1">
        <f t="array" ref="K114">I114*VLOOKUP($G114, Factor!$AD$4:$AF$36, 3, 0)*INDEX(Factor!$AD$41:$AF$87, _xlfn.XMATCH($C114, Factor!$AD$41:$AD$87, -1), 3)</f>
        <v>3600</v>
      </c>
      <c r="L114" s="19"/>
    </row>
    <row r="115" spans="1:12" ht="15.75" customHeight="1" x14ac:dyDescent="0.2">
      <c r="A115" s="14" t="str">
        <f>"generator_"&amp;VLOOKUP(F115, Factor!$CC$4:$CD$6, 2, 0)&amp;"_"&amp;D115&amp;"_"&amp;VLOOKUP(Generator!E115, Factor!$CE$4:$CF$13, 2, 0)</f>
        <v>generator_No_T8_001</v>
      </c>
      <c r="B115" s="15" t="str">
        <f t="shared" si="4"/>
        <v>T8 표준 표준제네레이터</v>
      </c>
      <c r="C115" s="15">
        <f>VLOOKUP(D115, Factor!$AC$41:$AD$50, 2, 0)</f>
        <v>8000</v>
      </c>
      <c r="D115" s="15" t="s">
        <v>304</v>
      </c>
      <c r="E115" s="56" t="s">
        <v>582</v>
      </c>
      <c r="F115" s="56" t="s">
        <v>582</v>
      </c>
      <c r="G115" s="15" t="str">
        <f t="shared" si="3"/>
        <v>표준 표준</v>
      </c>
      <c r="H115" s="15">
        <v>1</v>
      </c>
      <c r="I115" s="15">
        <v>1</v>
      </c>
      <c r="J115" s="15" cm="1">
        <f t="array" ref="J115">H115*VLOOKUP($G115, Factor!$AD$4:$AF$36, 2, 0)*INDEX(Factor!$AD$41:$AF$87, _xlfn.XMATCH($C115, Factor!$AD$41:$AD$87, -1), 2)</f>
        <v>240</v>
      </c>
      <c r="K115" s="21" cm="1">
        <f t="array" ref="K115">I115*VLOOKUP($G115, Factor!$AD$4:$AF$36, 3, 0)*INDEX(Factor!$AD$41:$AF$87, _xlfn.XMATCH($C115, Factor!$AD$41:$AD$87, -1), 3)</f>
        <v>1200</v>
      </c>
      <c r="L115" s="16"/>
    </row>
    <row r="116" spans="1:12" ht="15.75" customHeight="1" x14ac:dyDescent="0.2">
      <c r="A116" s="17" t="str">
        <f>"generator_"&amp;VLOOKUP(F116, Factor!$CC$4:$CD$6, 2, 0)&amp;"_"&amp;D116&amp;"_"&amp;VLOOKUP(Generator!E116, Factor!$CE$4:$CF$13, 2, 0)</f>
        <v>generator_No_T8_002</v>
      </c>
      <c r="B116" s="18" t="str">
        <f t="shared" si="4"/>
        <v>T8 표준 고성능제네레이터</v>
      </c>
      <c r="C116" s="18">
        <f>VLOOKUP(D116, Factor!$AC$41:$AD$50, 2, 0)</f>
        <v>8000</v>
      </c>
      <c r="D116" s="18" t="s">
        <v>304</v>
      </c>
      <c r="E116" s="55" t="s">
        <v>644</v>
      </c>
      <c r="F116" s="55" t="s">
        <v>582</v>
      </c>
      <c r="G116" s="18" t="str">
        <f t="shared" si="3"/>
        <v>표준 고성능</v>
      </c>
      <c r="H116" s="18">
        <v>1</v>
      </c>
      <c r="I116" s="18">
        <v>1</v>
      </c>
      <c r="J116" s="18" cm="1">
        <f t="array" ref="J116">H116*VLOOKUP($G116, Factor!$AD$4:$AF$36, 2, 0)*INDEX(Factor!$AD$41:$AF$87, _xlfn.XMATCH($C116, Factor!$AD$41:$AD$87, -1), 2)</f>
        <v>1200</v>
      </c>
      <c r="K116" s="20" cm="1">
        <f t="array" ref="K116">I116*VLOOKUP($G116, Factor!$AD$4:$AF$36, 3, 0)*INDEX(Factor!$AD$41:$AF$87, _xlfn.XMATCH($C116, Factor!$AD$41:$AD$87, -1), 3)</f>
        <v>2160</v>
      </c>
      <c r="L116" s="19"/>
    </row>
    <row r="117" spans="1:12" ht="15.75" customHeight="1" x14ac:dyDescent="0.2">
      <c r="A117" s="14" t="str">
        <f>"generator_"&amp;VLOOKUP(F117, Factor!$CC$4:$CD$6, 2, 0)&amp;"_"&amp;D117&amp;"_"&amp;VLOOKUP(Generator!E117, Factor!$CE$4:$CF$13, 2, 0)</f>
        <v>generator_No_T8_003</v>
      </c>
      <c r="B117" s="15" t="str">
        <f t="shared" si="4"/>
        <v>T8 표준 경량제네레이터</v>
      </c>
      <c r="C117" s="15">
        <f>VLOOKUP(D117, Factor!$AC$41:$AD$50, 2, 0)</f>
        <v>8000</v>
      </c>
      <c r="D117" s="15" t="s">
        <v>304</v>
      </c>
      <c r="E117" s="56" t="s">
        <v>585</v>
      </c>
      <c r="F117" s="56" t="s">
        <v>582</v>
      </c>
      <c r="G117" s="15" t="str">
        <f t="shared" si="3"/>
        <v>표준 경량</v>
      </c>
      <c r="H117" s="15">
        <v>1</v>
      </c>
      <c r="I117" s="15">
        <v>1</v>
      </c>
      <c r="J117" s="15" cm="1">
        <f t="array" ref="J117">H117*VLOOKUP($G117, Factor!$AD$4:$AF$36, 2, 0)*INDEX(Factor!$AD$41:$AF$87, _xlfn.XMATCH($C117, Factor!$AD$41:$AD$87, -1), 2)</f>
        <v>168</v>
      </c>
      <c r="K117" s="21" cm="1">
        <f t="array" ref="K117">I117*VLOOKUP($G117, Factor!$AD$4:$AF$36, 3, 0)*INDEX(Factor!$AD$41:$AF$87, _xlfn.XMATCH($C117, Factor!$AD$41:$AD$87, -1), 3)</f>
        <v>480</v>
      </c>
      <c r="L117" s="16"/>
    </row>
    <row r="118" spans="1:12" ht="15.75" customHeight="1" x14ac:dyDescent="0.2">
      <c r="A118" s="17" t="str">
        <f>"generator_"&amp;VLOOKUP(F118, Factor!$CC$4:$CD$6, 2, 0)&amp;"_"&amp;D118&amp;"_"&amp;VLOOKUP(Generator!E118, Factor!$CE$4:$CF$13, 2, 0)</f>
        <v>generator_No_T8_004</v>
      </c>
      <c r="B118" s="18" t="str">
        <f t="shared" si="4"/>
        <v>T8 표준 재생제네레이터</v>
      </c>
      <c r="C118" s="18">
        <f>VLOOKUP(D118, Factor!$AC$41:$AD$50, 2, 0)</f>
        <v>8000</v>
      </c>
      <c r="D118" s="18" t="s">
        <v>304</v>
      </c>
      <c r="E118" s="55" t="s">
        <v>646</v>
      </c>
      <c r="F118" s="55" t="s">
        <v>582</v>
      </c>
      <c r="G118" s="18" t="str">
        <f t="shared" si="3"/>
        <v>표준 재생</v>
      </c>
      <c r="H118" s="18">
        <v>1</v>
      </c>
      <c r="I118" s="18">
        <v>1</v>
      </c>
      <c r="J118" s="18" cm="1">
        <f t="array" ref="J118">H118*VLOOKUP($G118, Factor!$AD$4:$AF$36, 2, 0)*INDEX(Factor!$AD$41:$AF$87, _xlfn.XMATCH($C118, Factor!$AD$41:$AD$87, -1), 2)</f>
        <v>336</v>
      </c>
      <c r="K118" s="20" cm="1">
        <f t="array" ref="K118">I118*VLOOKUP($G118, Factor!$AD$4:$AF$36, 3, 0)*INDEX(Factor!$AD$41:$AF$87, _xlfn.XMATCH($C118, Factor!$AD$41:$AD$87, -1), 3)</f>
        <v>1680</v>
      </c>
      <c r="L118" s="19"/>
    </row>
    <row r="119" spans="1:12" ht="15.75" customHeight="1" x14ac:dyDescent="0.2">
      <c r="A119" s="14" t="str">
        <f>"generator_"&amp;VLOOKUP(F119, Factor!$CC$4:$CD$6, 2, 0)&amp;"_"&amp;D119&amp;"_"&amp;VLOOKUP(Generator!E119, Factor!$CE$4:$CF$13, 2, 0)</f>
        <v>generator_No_T8_005</v>
      </c>
      <c r="B119" s="15" t="str">
        <f t="shared" si="4"/>
        <v>T8 표준 듀얼코어제네레이터</v>
      </c>
      <c r="C119" s="15">
        <f>VLOOKUP(D119, Factor!$AC$41:$AD$50, 2, 0)</f>
        <v>8000</v>
      </c>
      <c r="D119" s="15" t="s">
        <v>304</v>
      </c>
      <c r="E119" s="56" t="s">
        <v>650</v>
      </c>
      <c r="F119" s="56" t="s">
        <v>582</v>
      </c>
      <c r="G119" s="15" t="str">
        <f t="shared" si="3"/>
        <v>표준 듀얼코어</v>
      </c>
      <c r="H119" s="15">
        <v>1</v>
      </c>
      <c r="I119" s="15">
        <v>1</v>
      </c>
      <c r="J119" s="15" cm="1">
        <f t="array" ref="J119">H119*VLOOKUP($G119, Factor!$AD$4:$AF$36, 2, 0)*INDEX(Factor!$AD$41:$AF$87, _xlfn.XMATCH($C119, Factor!$AD$41:$AD$87, -1), 2)</f>
        <v>1920</v>
      </c>
      <c r="K119" s="21" cm="1">
        <f t="array" ref="K119">I119*VLOOKUP($G119, Factor!$AD$4:$AF$36, 3, 0)*INDEX(Factor!$AD$41:$AF$87, _xlfn.XMATCH($C119, Factor!$AD$41:$AD$87, -1), 3)</f>
        <v>3600</v>
      </c>
      <c r="L119" s="16"/>
    </row>
    <row r="120" spans="1:12" ht="15.75" customHeight="1" x14ac:dyDescent="0.2">
      <c r="A120" s="17" t="str">
        <f>"generator_"&amp;VLOOKUP(F120, Factor!$CC$4:$CD$6, 2, 0)&amp;"_"&amp;D120&amp;"_"&amp;VLOOKUP(Generator!E120, Factor!$CE$4:$CF$13, 2, 0)</f>
        <v>generator_Bi_T8_001</v>
      </c>
      <c r="B120" s="18" t="str">
        <f t="shared" si="4"/>
        <v>T8 대형 표준제네레이터</v>
      </c>
      <c r="C120" s="18">
        <f>VLOOKUP(D120, Factor!$AC$41:$AD$50, 2, 0)</f>
        <v>8000</v>
      </c>
      <c r="D120" s="18" t="s">
        <v>304</v>
      </c>
      <c r="E120" s="55" t="s">
        <v>582</v>
      </c>
      <c r="F120" s="55" t="s">
        <v>583</v>
      </c>
      <c r="G120" s="18" t="str">
        <f t="shared" si="3"/>
        <v>대형 표준</v>
      </c>
      <c r="H120" s="18">
        <v>1</v>
      </c>
      <c r="I120" s="18">
        <v>1</v>
      </c>
      <c r="J120" s="18" cm="1">
        <f t="array" ref="J120">H120*VLOOKUP($G120, Factor!$AD$4:$AF$36, 2, 0)*INDEX(Factor!$AD$41:$AF$87, _xlfn.XMATCH($C120, Factor!$AD$41:$AD$87, -1), 2)</f>
        <v>240</v>
      </c>
      <c r="K120" s="20" cm="1">
        <f t="array" ref="K120">I120*VLOOKUP($G120, Factor!$AD$4:$AF$36, 3, 0)*INDEX(Factor!$AD$41:$AF$87, _xlfn.XMATCH($C120, Factor!$AD$41:$AD$87, -1), 3)</f>
        <v>1200</v>
      </c>
      <c r="L120" s="19"/>
    </row>
    <row r="121" spans="1:12" ht="15.75" customHeight="1" x14ac:dyDescent="0.2">
      <c r="A121" s="14" t="str">
        <f>"generator_"&amp;VLOOKUP(F121, Factor!$CC$4:$CD$6, 2, 0)&amp;"_"&amp;D121&amp;"_"&amp;VLOOKUP(Generator!E121, Factor!$CE$4:$CF$13, 2, 0)</f>
        <v>generator_Bi_T8_002</v>
      </c>
      <c r="B121" s="15" t="str">
        <f t="shared" si="4"/>
        <v>T8 대형 고성능제네레이터</v>
      </c>
      <c r="C121" s="15">
        <f>VLOOKUP(D121, Factor!$AC$41:$AD$50, 2, 0)</f>
        <v>8000</v>
      </c>
      <c r="D121" s="15" t="s">
        <v>304</v>
      </c>
      <c r="E121" s="56" t="s">
        <v>644</v>
      </c>
      <c r="F121" s="56" t="s">
        <v>583</v>
      </c>
      <c r="G121" s="15" t="str">
        <f t="shared" si="3"/>
        <v>대형 고성능</v>
      </c>
      <c r="H121" s="15">
        <v>1</v>
      </c>
      <c r="I121" s="15">
        <v>1</v>
      </c>
      <c r="J121" s="15" cm="1">
        <f t="array" ref="J121">H121*VLOOKUP($G121, Factor!$AD$4:$AF$36, 2, 0)*INDEX(Factor!$AD$41:$AF$87, _xlfn.XMATCH($C121, Factor!$AD$41:$AD$87, -1), 2)</f>
        <v>1200</v>
      </c>
      <c r="K121" s="21" cm="1">
        <f t="array" ref="K121">I121*VLOOKUP($G121, Factor!$AD$4:$AF$36, 3, 0)*INDEX(Factor!$AD$41:$AF$87, _xlfn.XMATCH($C121, Factor!$AD$41:$AD$87, -1), 3)</f>
        <v>2160</v>
      </c>
      <c r="L121" s="16"/>
    </row>
    <row r="122" spans="1:12" ht="15.75" customHeight="1" x14ac:dyDescent="0.2">
      <c r="A122" s="17" t="str">
        <f>"generator_"&amp;VLOOKUP(F122, Factor!$CC$4:$CD$6, 2, 0)&amp;"_"&amp;D122&amp;"_"&amp;VLOOKUP(Generator!E122, Factor!$CE$4:$CF$13, 2, 0)</f>
        <v>generator_Bi_T8_003</v>
      </c>
      <c r="B122" s="18" t="str">
        <f t="shared" si="4"/>
        <v>T8 대형 경량제네레이터</v>
      </c>
      <c r="C122" s="18">
        <f>VLOOKUP(D122, Factor!$AC$41:$AD$50, 2, 0)</f>
        <v>8000</v>
      </c>
      <c r="D122" s="18" t="s">
        <v>304</v>
      </c>
      <c r="E122" s="55" t="s">
        <v>585</v>
      </c>
      <c r="F122" s="55" t="s">
        <v>583</v>
      </c>
      <c r="G122" s="18" t="str">
        <f t="shared" si="3"/>
        <v>대형 경량</v>
      </c>
      <c r="H122" s="18">
        <v>1</v>
      </c>
      <c r="I122" s="18">
        <v>1</v>
      </c>
      <c r="J122" s="18" cm="1">
        <f t="array" ref="J122">H122*VLOOKUP($G122, Factor!$AD$4:$AF$36, 2, 0)*INDEX(Factor!$AD$41:$AF$87, _xlfn.XMATCH($C122, Factor!$AD$41:$AD$87, -1), 2)</f>
        <v>168</v>
      </c>
      <c r="K122" s="20" cm="1">
        <f t="array" ref="K122">I122*VLOOKUP($G122, Factor!$AD$4:$AF$36, 3, 0)*INDEX(Factor!$AD$41:$AF$87, _xlfn.XMATCH($C122, Factor!$AD$41:$AD$87, -1), 3)</f>
        <v>480</v>
      </c>
      <c r="L122" s="19"/>
    </row>
    <row r="123" spans="1:12" ht="15.75" customHeight="1" x14ac:dyDescent="0.2">
      <c r="A123" s="14" t="str">
        <f>"generator_"&amp;VLOOKUP(F123, Factor!$CC$4:$CD$6, 2, 0)&amp;"_"&amp;D123&amp;"_"&amp;VLOOKUP(Generator!E123, Factor!$CE$4:$CF$13, 2, 0)</f>
        <v>generator_Bi_T8_004</v>
      </c>
      <c r="B123" s="15" t="str">
        <f t="shared" si="4"/>
        <v>T8 대형 재생제네레이터</v>
      </c>
      <c r="C123" s="15">
        <f>VLOOKUP(D123, Factor!$AC$41:$AD$50, 2, 0)</f>
        <v>8000</v>
      </c>
      <c r="D123" s="15" t="s">
        <v>304</v>
      </c>
      <c r="E123" s="56" t="s">
        <v>646</v>
      </c>
      <c r="F123" s="56" t="s">
        <v>583</v>
      </c>
      <c r="G123" s="15" t="str">
        <f t="shared" si="3"/>
        <v>대형 재생</v>
      </c>
      <c r="H123" s="15">
        <v>1</v>
      </c>
      <c r="I123" s="15">
        <v>1</v>
      </c>
      <c r="J123" s="15" cm="1">
        <f t="array" ref="J123">H123*VLOOKUP($G123, Factor!$AD$4:$AF$36, 2, 0)*INDEX(Factor!$AD$41:$AF$87, _xlfn.XMATCH($C123, Factor!$AD$41:$AD$87, -1), 2)</f>
        <v>336</v>
      </c>
      <c r="K123" s="21" cm="1">
        <f t="array" ref="K123">I123*VLOOKUP($G123, Factor!$AD$4:$AF$36, 3, 0)*INDEX(Factor!$AD$41:$AF$87, _xlfn.XMATCH($C123, Factor!$AD$41:$AD$87, -1), 3)</f>
        <v>1680</v>
      </c>
      <c r="L123" s="16"/>
    </row>
    <row r="124" spans="1:12" ht="15.75" customHeight="1" x14ac:dyDescent="0.2">
      <c r="A124" s="17" t="str">
        <f>"generator_"&amp;VLOOKUP(F124, Factor!$CC$4:$CD$6, 2, 0)&amp;"_"&amp;D124&amp;"_"&amp;VLOOKUP(Generator!E124, Factor!$CE$4:$CF$13, 2, 0)</f>
        <v>generator_Bi_T8_005</v>
      </c>
      <c r="B124" s="18" t="str">
        <f t="shared" si="4"/>
        <v>T8 대형 듀얼코어제네레이터</v>
      </c>
      <c r="C124" s="18">
        <f>VLOOKUP(D124, Factor!$AC$41:$AD$50, 2, 0)</f>
        <v>8000</v>
      </c>
      <c r="D124" s="18" t="s">
        <v>304</v>
      </c>
      <c r="E124" s="55" t="s">
        <v>650</v>
      </c>
      <c r="F124" s="55" t="s">
        <v>583</v>
      </c>
      <c r="G124" s="18" t="str">
        <f t="shared" si="3"/>
        <v>대형 듀얼코어</v>
      </c>
      <c r="H124" s="18">
        <v>1</v>
      </c>
      <c r="I124" s="18">
        <v>1</v>
      </c>
      <c r="J124" s="18" cm="1">
        <f t="array" ref="J124">H124*VLOOKUP($G124, Factor!$AD$4:$AF$36, 2, 0)*INDEX(Factor!$AD$41:$AF$87, _xlfn.XMATCH($C124, Factor!$AD$41:$AD$87, -1), 2)</f>
        <v>1920</v>
      </c>
      <c r="K124" s="20" cm="1">
        <f t="array" ref="K124">I124*VLOOKUP($G124, Factor!$AD$4:$AF$36, 3, 0)*INDEX(Factor!$AD$41:$AF$87, _xlfn.XMATCH($C124, Factor!$AD$41:$AD$87, -1), 3)</f>
        <v>3600</v>
      </c>
      <c r="L124" s="19"/>
    </row>
    <row r="125" spans="1:12" ht="15.75" customHeight="1" x14ac:dyDescent="0.2">
      <c r="A125" s="14" t="str">
        <f>"generator_"&amp;VLOOKUP(F125, Factor!$CC$4:$CD$6, 2, 0)&amp;"_"&amp;D125&amp;"_"&amp;VLOOKUP(Generator!E125, Factor!$CE$4:$CF$13, 2, 0)</f>
        <v>generator_Sm_T9_001</v>
      </c>
      <c r="B125" s="15" t="str">
        <f t="shared" si="4"/>
        <v>T9 소형 표준제네레이터</v>
      </c>
      <c r="C125" s="15">
        <f>VLOOKUP(D125, Factor!$AC$41:$AD$50, 2, 0)</f>
        <v>9000</v>
      </c>
      <c r="D125" s="15" t="s">
        <v>327</v>
      </c>
      <c r="E125" s="56" t="s">
        <v>582</v>
      </c>
      <c r="F125" s="56" t="s">
        <v>664</v>
      </c>
      <c r="G125" s="15" t="str">
        <f t="shared" si="3"/>
        <v>소형 표준</v>
      </c>
      <c r="H125" s="15">
        <v>1</v>
      </c>
      <c r="I125" s="15">
        <v>1</v>
      </c>
      <c r="J125" s="15" cm="1">
        <f t="array" ref="J125">H125*VLOOKUP($G125, Factor!$AD$4:$AF$36, 2, 0)*INDEX(Factor!$AD$41:$AF$87, _xlfn.XMATCH($C125, Factor!$AD$41:$AD$87, -1), 2)</f>
        <v>260</v>
      </c>
      <c r="K125" s="21" cm="1">
        <f t="array" ref="K125">I125*VLOOKUP($G125, Factor!$AD$4:$AF$36, 3, 0)*INDEX(Factor!$AD$41:$AF$87, _xlfn.XMATCH($C125, Factor!$AD$41:$AD$87, -1), 3)</f>
        <v>1300</v>
      </c>
      <c r="L125" s="16"/>
    </row>
    <row r="126" spans="1:12" ht="15.75" customHeight="1" x14ac:dyDescent="0.2">
      <c r="A126" s="17" t="str">
        <f>"generator_"&amp;VLOOKUP(F126, Factor!$CC$4:$CD$6, 2, 0)&amp;"_"&amp;D126&amp;"_"&amp;VLOOKUP(Generator!E126, Factor!$CE$4:$CF$13, 2, 0)</f>
        <v>generator_Sm_T9_002</v>
      </c>
      <c r="B126" s="18" t="str">
        <f t="shared" si="4"/>
        <v>T9 소형 고성능제네레이터</v>
      </c>
      <c r="C126" s="18">
        <f>VLOOKUP(D126, Factor!$AC$41:$AD$50, 2, 0)</f>
        <v>9000</v>
      </c>
      <c r="D126" s="18" t="s">
        <v>327</v>
      </c>
      <c r="E126" s="55" t="s">
        <v>644</v>
      </c>
      <c r="F126" s="55" t="s">
        <v>664</v>
      </c>
      <c r="G126" s="18" t="str">
        <f t="shared" si="3"/>
        <v>소형 고성능</v>
      </c>
      <c r="H126" s="18">
        <v>1</v>
      </c>
      <c r="I126" s="18">
        <v>1</v>
      </c>
      <c r="J126" s="18" cm="1">
        <f t="array" ref="J126">H126*VLOOKUP($G126, Factor!$AD$4:$AF$36, 2, 0)*INDEX(Factor!$AD$41:$AF$87, _xlfn.XMATCH($C126, Factor!$AD$41:$AD$87, -1), 2)</f>
        <v>1300</v>
      </c>
      <c r="K126" s="20" cm="1">
        <f t="array" ref="K126">I126*VLOOKUP($G126, Factor!$AD$4:$AF$36, 3, 0)*INDEX(Factor!$AD$41:$AF$87, _xlfn.XMATCH($C126, Factor!$AD$41:$AD$87, -1), 3)</f>
        <v>2340</v>
      </c>
      <c r="L126" s="19"/>
    </row>
    <row r="127" spans="1:12" ht="15.75" customHeight="1" x14ac:dyDescent="0.2">
      <c r="A127" s="14" t="str">
        <f>"generator_"&amp;VLOOKUP(F127, Factor!$CC$4:$CD$6, 2, 0)&amp;"_"&amp;D127&amp;"_"&amp;VLOOKUP(Generator!E127, Factor!$CE$4:$CF$13, 2, 0)</f>
        <v>generator_Sm_T9_003</v>
      </c>
      <c r="B127" s="15" t="str">
        <f t="shared" si="4"/>
        <v>T9 소형 경량제네레이터</v>
      </c>
      <c r="C127" s="15">
        <f>VLOOKUP(D127, Factor!$AC$41:$AD$50, 2, 0)</f>
        <v>9000</v>
      </c>
      <c r="D127" s="15" t="s">
        <v>305</v>
      </c>
      <c r="E127" s="56" t="s">
        <v>585</v>
      </c>
      <c r="F127" s="56" t="s">
        <v>664</v>
      </c>
      <c r="G127" s="15" t="str">
        <f t="shared" si="3"/>
        <v>소형 경량</v>
      </c>
      <c r="H127" s="15">
        <v>1</v>
      </c>
      <c r="I127" s="15">
        <v>1</v>
      </c>
      <c r="J127" s="15" cm="1">
        <f t="array" ref="J127">H127*VLOOKUP($G127, Factor!$AD$4:$AF$36, 2, 0)*INDEX(Factor!$AD$41:$AF$87, _xlfn.XMATCH($C127, Factor!$AD$41:$AD$87, -1), 2)</f>
        <v>182</v>
      </c>
      <c r="K127" s="21" cm="1">
        <f t="array" ref="K127">I127*VLOOKUP($G127, Factor!$AD$4:$AF$36, 3, 0)*INDEX(Factor!$AD$41:$AF$87, _xlfn.XMATCH($C127, Factor!$AD$41:$AD$87, -1), 3)</f>
        <v>520</v>
      </c>
      <c r="L127" s="16"/>
    </row>
    <row r="128" spans="1:12" ht="15.75" customHeight="1" x14ac:dyDescent="0.2">
      <c r="A128" s="17" t="str">
        <f>"generator_"&amp;VLOOKUP(F128, Factor!$CC$4:$CD$6, 2, 0)&amp;"_"&amp;D128&amp;"_"&amp;VLOOKUP(Generator!E128, Factor!$CE$4:$CF$13, 2, 0)</f>
        <v>generator_Sm_T9_004</v>
      </c>
      <c r="B128" s="18" t="str">
        <f t="shared" si="4"/>
        <v>T9 소형 재생제네레이터</v>
      </c>
      <c r="C128" s="18">
        <f>VLOOKUP(D128, Factor!$AC$41:$AD$50, 2, 0)</f>
        <v>9000</v>
      </c>
      <c r="D128" s="18" t="s">
        <v>305</v>
      </c>
      <c r="E128" s="55" t="s">
        <v>646</v>
      </c>
      <c r="F128" s="55" t="s">
        <v>664</v>
      </c>
      <c r="G128" s="18" t="str">
        <f t="shared" si="3"/>
        <v>소형 재생</v>
      </c>
      <c r="H128" s="18">
        <v>1</v>
      </c>
      <c r="I128" s="18">
        <v>1</v>
      </c>
      <c r="J128" s="18" cm="1">
        <f t="array" ref="J128">H128*VLOOKUP($G128, Factor!$AD$4:$AF$36, 2, 0)*INDEX(Factor!$AD$41:$AF$87, _xlfn.XMATCH($C128, Factor!$AD$41:$AD$87, -1), 2)</f>
        <v>364</v>
      </c>
      <c r="K128" s="20" cm="1">
        <f t="array" ref="K128">I128*VLOOKUP($G128, Factor!$AD$4:$AF$36, 3, 0)*INDEX(Factor!$AD$41:$AF$87, _xlfn.XMATCH($C128, Factor!$AD$41:$AD$87, -1), 3)</f>
        <v>1820</v>
      </c>
      <c r="L128" s="19"/>
    </row>
    <row r="129" spans="1:12" ht="15.75" customHeight="1" x14ac:dyDescent="0.2">
      <c r="A129" s="14" t="str">
        <f>"generator_"&amp;VLOOKUP(F129, Factor!$CC$4:$CD$6, 2, 0)&amp;"_"&amp;D129&amp;"_"&amp;VLOOKUP(Generator!E129, Factor!$CE$4:$CF$13, 2, 0)</f>
        <v>generator_Sm_T9_005</v>
      </c>
      <c r="B129" s="15" t="str">
        <f t="shared" si="4"/>
        <v>T9 소형 듀얼코어제네레이터</v>
      </c>
      <c r="C129" s="15">
        <f>VLOOKUP(D129, Factor!$AC$41:$AD$50, 2, 0)</f>
        <v>9000</v>
      </c>
      <c r="D129" s="15" t="s">
        <v>305</v>
      </c>
      <c r="E129" s="56" t="s">
        <v>650</v>
      </c>
      <c r="F129" s="56" t="s">
        <v>664</v>
      </c>
      <c r="G129" s="15" t="str">
        <f t="shared" si="3"/>
        <v>소형 듀얼코어</v>
      </c>
      <c r="H129" s="15">
        <v>1</v>
      </c>
      <c r="I129" s="15">
        <v>1</v>
      </c>
      <c r="J129" s="15" cm="1">
        <f t="array" ref="J129">H129*VLOOKUP($G129, Factor!$AD$4:$AF$36, 2, 0)*INDEX(Factor!$AD$41:$AF$87, _xlfn.XMATCH($C129, Factor!$AD$41:$AD$87, -1), 2)</f>
        <v>2080</v>
      </c>
      <c r="K129" s="21" cm="1">
        <f t="array" ref="K129">I129*VLOOKUP($G129, Factor!$AD$4:$AF$36, 3, 0)*INDEX(Factor!$AD$41:$AF$87, _xlfn.XMATCH($C129, Factor!$AD$41:$AD$87, -1), 3)</f>
        <v>3900</v>
      </c>
      <c r="L129" s="16"/>
    </row>
    <row r="130" spans="1:12" ht="15.75" customHeight="1" x14ac:dyDescent="0.2">
      <c r="A130" s="17" t="str">
        <f>"generator_"&amp;VLOOKUP(F130, Factor!$CC$4:$CD$6, 2, 0)&amp;"_"&amp;D130&amp;"_"&amp;VLOOKUP(Generator!E130, Factor!$CE$4:$CF$13, 2, 0)</f>
        <v>generator_No_T9_001</v>
      </c>
      <c r="B130" s="18" t="str">
        <f t="shared" si="4"/>
        <v>T9 표준 표준제네레이터</v>
      </c>
      <c r="C130" s="18">
        <f>VLOOKUP(D130, Factor!$AC$41:$AD$50, 2, 0)</f>
        <v>9000</v>
      </c>
      <c r="D130" s="18" t="s">
        <v>305</v>
      </c>
      <c r="E130" s="55" t="s">
        <v>582</v>
      </c>
      <c r="F130" s="55" t="s">
        <v>582</v>
      </c>
      <c r="G130" s="18" t="str">
        <f t="shared" si="3"/>
        <v>표준 표준</v>
      </c>
      <c r="H130" s="18">
        <v>1</v>
      </c>
      <c r="I130" s="18">
        <v>1</v>
      </c>
      <c r="J130" s="18" cm="1">
        <f t="array" ref="J130">H130*VLOOKUP($G130, Factor!$AD$4:$AF$36, 2, 0)*INDEX(Factor!$AD$41:$AF$87, _xlfn.XMATCH($C130, Factor!$AD$41:$AD$87, -1), 2)</f>
        <v>260</v>
      </c>
      <c r="K130" s="20" cm="1">
        <f t="array" ref="K130">I130*VLOOKUP($G130, Factor!$AD$4:$AF$36, 3, 0)*INDEX(Factor!$AD$41:$AF$87, _xlfn.XMATCH($C130, Factor!$AD$41:$AD$87, -1), 3)</f>
        <v>1300</v>
      </c>
      <c r="L130" s="19"/>
    </row>
    <row r="131" spans="1:12" ht="15.75" customHeight="1" x14ac:dyDescent="0.2">
      <c r="A131" s="14" t="str">
        <f>"generator_"&amp;VLOOKUP(F131, Factor!$CC$4:$CD$6, 2, 0)&amp;"_"&amp;D131&amp;"_"&amp;VLOOKUP(Generator!E131, Factor!$CE$4:$CF$13, 2, 0)</f>
        <v>generator_No_T9_002</v>
      </c>
      <c r="B131" s="15" t="str">
        <f t="shared" si="4"/>
        <v>T9 표준 고성능제네레이터</v>
      </c>
      <c r="C131" s="15">
        <f>VLOOKUP(D131, Factor!$AC$41:$AD$50, 2, 0)</f>
        <v>9000</v>
      </c>
      <c r="D131" s="15" t="s">
        <v>305</v>
      </c>
      <c r="E131" s="56" t="s">
        <v>644</v>
      </c>
      <c r="F131" s="56" t="s">
        <v>582</v>
      </c>
      <c r="G131" s="15" t="str">
        <f t="shared" si="3"/>
        <v>표준 고성능</v>
      </c>
      <c r="H131" s="15">
        <v>1</v>
      </c>
      <c r="I131" s="15">
        <v>1</v>
      </c>
      <c r="J131" s="15" cm="1">
        <f t="array" ref="J131">H131*VLOOKUP($G131, Factor!$AD$4:$AF$36, 2, 0)*INDEX(Factor!$AD$41:$AF$87, _xlfn.XMATCH($C131, Factor!$AD$41:$AD$87, -1), 2)</f>
        <v>1300</v>
      </c>
      <c r="K131" s="21" cm="1">
        <f t="array" ref="K131">I131*VLOOKUP($G131, Factor!$AD$4:$AF$36, 3, 0)*INDEX(Factor!$AD$41:$AF$87, _xlfn.XMATCH($C131, Factor!$AD$41:$AD$87, -1), 3)</f>
        <v>2340</v>
      </c>
      <c r="L131" s="16"/>
    </row>
    <row r="132" spans="1:12" ht="15.75" customHeight="1" x14ac:dyDescent="0.2">
      <c r="A132" s="17" t="str">
        <f>"generator_"&amp;VLOOKUP(F132, Factor!$CC$4:$CD$6, 2, 0)&amp;"_"&amp;D132&amp;"_"&amp;VLOOKUP(Generator!E132, Factor!$CE$4:$CF$13, 2, 0)</f>
        <v>generator_No_T9_003</v>
      </c>
      <c r="B132" s="18" t="str">
        <f t="shared" si="4"/>
        <v>T9 표준 경량제네레이터</v>
      </c>
      <c r="C132" s="18">
        <f>VLOOKUP(D132, Factor!$AC$41:$AD$50, 2, 0)</f>
        <v>9000</v>
      </c>
      <c r="D132" s="18" t="s">
        <v>305</v>
      </c>
      <c r="E132" s="55" t="s">
        <v>585</v>
      </c>
      <c r="F132" s="55" t="s">
        <v>582</v>
      </c>
      <c r="G132" s="18" t="str">
        <f t="shared" si="3"/>
        <v>표준 경량</v>
      </c>
      <c r="H132" s="18">
        <v>1</v>
      </c>
      <c r="I132" s="18">
        <v>1</v>
      </c>
      <c r="J132" s="18" cm="1">
        <f t="array" ref="J132">H132*VLOOKUP($G132, Factor!$AD$4:$AF$36, 2, 0)*INDEX(Factor!$AD$41:$AF$87, _xlfn.XMATCH($C132, Factor!$AD$41:$AD$87, -1), 2)</f>
        <v>182</v>
      </c>
      <c r="K132" s="20" cm="1">
        <f t="array" ref="K132">I132*VLOOKUP($G132, Factor!$AD$4:$AF$36, 3, 0)*INDEX(Factor!$AD$41:$AF$87, _xlfn.XMATCH($C132, Factor!$AD$41:$AD$87, -1), 3)</f>
        <v>520</v>
      </c>
      <c r="L132" s="19"/>
    </row>
    <row r="133" spans="1:12" ht="15.75" customHeight="1" x14ac:dyDescent="0.2">
      <c r="A133" s="14" t="str">
        <f>"generator_"&amp;VLOOKUP(F133, Factor!$CC$4:$CD$6, 2, 0)&amp;"_"&amp;D133&amp;"_"&amp;VLOOKUP(Generator!E133, Factor!$CE$4:$CF$13, 2, 0)</f>
        <v>generator_No_T9_004</v>
      </c>
      <c r="B133" s="15" t="str">
        <f t="shared" si="4"/>
        <v>T9 표준 재생제네레이터</v>
      </c>
      <c r="C133" s="15">
        <f>VLOOKUP(D133, Factor!$AC$41:$AD$50, 2, 0)</f>
        <v>9000</v>
      </c>
      <c r="D133" s="15" t="s">
        <v>305</v>
      </c>
      <c r="E133" s="56" t="s">
        <v>646</v>
      </c>
      <c r="F133" s="56" t="s">
        <v>582</v>
      </c>
      <c r="G133" s="15" t="str">
        <f t="shared" si="3"/>
        <v>표준 재생</v>
      </c>
      <c r="H133" s="15">
        <v>1</v>
      </c>
      <c r="I133" s="15">
        <v>1</v>
      </c>
      <c r="J133" s="15" cm="1">
        <f t="array" ref="J133">H133*VLOOKUP($G133, Factor!$AD$4:$AF$36, 2, 0)*INDEX(Factor!$AD$41:$AF$87, _xlfn.XMATCH($C133, Factor!$AD$41:$AD$87, -1), 2)</f>
        <v>364</v>
      </c>
      <c r="K133" s="21" cm="1">
        <f t="array" ref="K133">I133*VLOOKUP($G133, Factor!$AD$4:$AF$36, 3, 0)*INDEX(Factor!$AD$41:$AF$87, _xlfn.XMATCH($C133, Factor!$AD$41:$AD$87, -1), 3)</f>
        <v>1820</v>
      </c>
      <c r="L133" s="16"/>
    </row>
    <row r="134" spans="1:12" ht="15.75" customHeight="1" x14ac:dyDescent="0.2">
      <c r="A134" s="17" t="str">
        <f>"generator_"&amp;VLOOKUP(F134, Factor!$CC$4:$CD$6, 2, 0)&amp;"_"&amp;D134&amp;"_"&amp;VLOOKUP(Generator!E134, Factor!$CE$4:$CF$13, 2, 0)</f>
        <v>generator_No_T9_005</v>
      </c>
      <c r="B134" s="18" t="str">
        <f t="shared" si="4"/>
        <v>T9 표준 듀얼코어제네레이터</v>
      </c>
      <c r="C134" s="18">
        <f>VLOOKUP(D134, Factor!$AC$41:$AD$50, 2, 0)</f>
        <v>9000</v>
      </c>
      <c r="D134" s="18" t="s">
        <v>305</v>
      </c>
      <c r="E134" s="55" t="s">
        <v>650</v>
      </c>
      <c r="F134" s="55" t="s">
        <v>582</v>
      </c>
      <c r="G134" s="18" t="str">
        <f t="shared" ref="G134:G154" si="5">F134&amp;" "&amp;E134</f>
        <v>표준 듀얼코어</v>
      </c>
      <c r="H134" s="18">
        <v>1</v>
      </c>
      <c r="I134" s="18">
        <v>1</v>
      </c>
      <c r="J134" s="18" cm="1">
        <f t="array" ref="J134">H134*VLOOKUP($G134, Factor!$AD$4:$AF$36, 2, 0)*INDEX(Factor!$AD$41:$AF$87, _xlfn.XMATCH($C134, Factor!$AD$41:$AD$87, -1), 2)</f>
        <v>2080</v>
      </c>
      <c r="K134" s="20" cm="1">
        <f t="array" ref="K134">I134*VLOOKUP($G134, Factor!$AD$4:$AF$36, 3, 0)*INDEX(Factor!$AD$41:$AF$87, _xlfn.XMATCH($C134, Factor!$AD$41:$AD$87, -1), 3)</f>
        <v>3900</v>
      </c>
      <c r="L134" s="19"/>
    </row>
    <row r="135" spans="1:12" ht="15.75" customHeight="1" x14ac:dyDescent="0.2">
      <c r="A135" s="14" t="str">
        <f>"generator_"&amp;VLOOKUP(F135, Factor!$CC$4:$CD$6, 2, 0)&amp;"_"&amp;D135&amp;"_"&amp;VLOOKUP(Generator!E135, Factor!$CE$4:$CF$13, 2, 0)</f>
        <v>generator_Bi_T9_001</v>
      </c>
      <c r="B135" s="15" t="str">
        <f t="shared" si="4"/>
        <v>T9 대형 표준제네레이터</v>
      </c>
      <c r="C135" s="15">
        <f>VLOOKUP(D135, Factor!$AC$41:$AD$50, 2, 0)</f>
        <v>9000</v>
      </c>
      <c r="D135" s="15" t="s">
        <v>305</v>
      </c>
      <c r="E135" s="56" t="s">
        <v>582</v>
      </c>
      <c r="F135" s="56" t="s">
        <v>583</v>
      </c>
      <c r="G135" s="15" t="str">
        <f t="shared" si="5"/>
        <v>대형 표준</v>
      </c>
      <c r="H135" s="15">
        <v>1</v>
      </c>
      <c r="I135" s="15">
        <v>1</v>
      </c>
      <c r="J135" s="15" cm="1">
        <f t="array" ref="J135">H135*VLOOKUP($G135, Factor!$AD$4:$AF$36, 2, 0)*INDEX(Factor!$AD$41:$AF$87, _xlfn.XMATCH($C135, Factor!$AD$41:$AD$87, -1), 2)</f>
        <v>260</v>
      </c>
      <c r="K135" s="21" cm="1">
        <f t="array" ref="K135">I135*VLOOKUP($G135, Factor!$AD$4:$AF$36, 3, 0)*INDEX(Factor!$AD$41:$AF$87, _xlfn.XMATCH($C135, Factor!$AD$41:$AD$87, -1), 3)</f>
        <v>1300</v>
      </c>
      <c r="L135" s="16"/>
    </row>
    <row r="136" spans="1:12" ht="15.75" customHeight="1" x14ac:dyDescent="0.2">
      <c r="A136" s="17" t="str">
        <f>"generator_"&amp;VLOOKUP(F136, Factor!$CC$4:$CD$6, 2, 0)&amp;"_"&amp;D136&amp;"_"&amp;VLOOKUP(Generator!E136, Factor!$CE$4:$CF$13, 2, 0)</f>
        <v>generator_Bi_T9_002</v>
      </c>
      <c r="B136" s="18" t="str">
        <f t="shared" si="4"/>
        <v>T9 대형 고성능제네레이터</v>
      </c>
      <c r="C136" s="18">
        <f>VLOOKUP(D136, Factor!$AC$41:$AD$50, 2, 0)</f>
        <v>9000</v>
      </c>
      <c r="D136" s="18" t="s">
        <v>305</v>
      </c>
      <c r="E136" s="55" t="s">
        <v>644</v>
      </c>
      <c r="F136" s="55" t="s">
        <v>583</v>
      </c>
      <c r="G136" s="18" t="str">
        <f t="shared" si="5"/>
        <v>대형 고성능</v>
      </c>
      <c r="H136" s="18">
        <v>1</v>
      </c>
      <c r="I136" s="18">
        <v>1</v>
      </c>
      <c r="J136" s="18" cm="1">
        <f t="array" ref="J136">H136*VLOOKUP($G136, Factor!$AD$4:$AF$36, 2, 0)*INDEX(Factor!$AD$41:$AF$87, _xlfn.XMATCH($C136, Factor!$AD$41:$AD$87, -1), 2)</f>
        <v>1300</v>
      </c>
      <c r="K136" s="20" cm="1">
        <f t="array" ref="K136">I136*VLOOKUP($G136, Factor!$AD$4:$AF$36, 3, 0)*INDEX(Factor!$AD$41:$AF$87, _xlfn.XMATCH($C136, Factor!$AD$41:$AD$87, -1), 3)</f>
        <v>2340</v>
      </c>
      <c r="L136" s="19"/>
    </row>
    <row r="137" spans="1:12" ht="15.75" customHeight="1" x14ac:dyDescent="0.2">
      <c r="A137" s="14" t="str">
        <f>"generator_"&amp;VLOOKUP(F137, Factor!$CC$4:$CD$6, 2, 0)&amp;"_"&amp;D137&amp;"_"&amp;VLOOKUP(Generator!E137, Factor!$CE$4:$CF$13, 2, 0)</f>
        <v>generator_Bi_T9_003</v>
      </c>
      <c r="B137" s="15" t="str">
        <f t="shared" si="4"/>
        <v>T9 대형 경량제네레이터</v>
      </c>
      <c r="C137" s="15">
        <f>VLOOKUP(D137, Factor!$AC$41:$AD$50, 2, 0)</f>
        <v>9000</v>
      </c>
      <c r="D137" s="15" t="s">
        <v>305</v>
      </c>
      <c r="E137" s="56" t="s">
        <v>585</v>
      </c>
      <c r="F137" s="56" t="s">
        <v>583</v>
      </c>
      <c r="G137" s="15" t="str">
        <f t="shared" si="5"/>
        <v>대형 경량</v>
      </c>
      <c r="H137" s="15">
        <v>1</v>
      </c>
      <c r="I137" s="15">
        <v>1</v>
      </c>
      <c r="J137" s="15" cm="1">
        <f t="array" ref="J137">H137*VLOOKUP($G137, Factor!$AD$4:$AF$36, 2, 0)*INDEX(Factor!$AD$41:$AF$87, _xlfn.XMATCH($C137, Factor!$AD$41:$AD$87, -1), 2)</f>
        <v>182</v>
      </c>
      <c r="K137" s="21" cm="1">
        <f t="array" ref="K137">I137*VLOOKUP($G137, Factor!$AD$4:$AF$36, 3, 0)*INDEX(Factor!$AD$41:$AF$87, _xlfn.XMATCH($C137, Factor!$AD$41:$AD$87, -1), 3)</f>
        <v>520</v>
      </c>
      <c r="L137" s="16"/>
    </row>
    <row r="138" spans="1:12" ht="15.75" customHeight="1" x14ac:dyDescent="0.2">
      <c r="A138" s="17" t="str">
        <f>"generator_"&amp;VLOOKUP(F138, Factor!$CC$4:$CD$6, 2, 0)&amp;"_"&amp;D138&amp;"_"&amp;VLOOKUP(Generator!E138, Factor!$CE$4:$CF$13, 2, 0)</f>
        <v>generator_Bi_T9_004</v>
      </c>
      <c r="B138" s="18" t="str">
        <f t="shared" si="4"/>
        <v>T9 대형 재생제네레이터</v>
      </c>
      <c r="C138" s="18">
        <f>VLOOKUP(D138, Factor!$AC$41:$AD$50, 2, 0)</f>
        <v>9000</v>
      </c>
      <c r="D138" s="18" t="s">
        <v>305</v>
      </c>
      <c r="E138" s="55" t="s">
        <v>646</v>
      </c>
      <c r="F138" s="55" t="s">
        <v>583</v>
      </c>
      <c r="G138" s="18" t="str">
        <f t="shared" si="5"/>
        <v>대형 재생</v>
      </c>
      <c r="H138" s="18">
        <v>1</v>
      </c>
      <c r="I138" s="18">
        <v>1</v>
      </c>
      <c r="J138" s="18" cm="1">
        <f t="array" ref="J138">H138*VLOOKUP($G138, Factor!$AD$4:$AF$36, 2, 0)*INDEX(Factor!$AD$41:$AF$87, _xlfn.XMATCH($C138, Factor!$AD$41:$AD$87, -1), 2)</f>
        <v>364</v>
      </c>
      <c r="K138" s="20" cm="1">
        <f t="array" ref="K138">I138*VLOOKUP($G138, Factor!$AD$4:$AF$36, 3, 0)*INDEX(Factor!$AD$41:$AF$87, _xlfn.XMATCH($C138, Factor!$AD$41:$AD$87, -1), 3)</f>
        <v>1820</v>
      </c>
      <c r="L138" s="19"/>
    </row>
    <row r="139" spans="1:12" ht="15.75" customHeight="1" x14ac:dyDescent="0.2">
      <c r="A139" s="14" t="str">
        <f>"generator_"&amp;VLOOKUP(F139, Factor!$CC$4:$CD$6, 2, 0)&amp;"_"&amp;D139&amp;"_"&amp;VLOOKUP(Generator!E139, Factor!$CE$4:$CF$13, 2, 0)</f>
        <v>generator_Bi_T9_005</v>
      </c>
      <c r="B139" s="15" t="str">
        <f t="shared" si="4"/>
        <v>T9 대형 듀얼코어제네레이터</v>
      </c>
      <c r="C139" s="15">
        <f>VLOOKUP(D139, Factor!$AC$41:$AD$50, 2, 0)</f>
        <v>9000</v>
      </c>
      <c r="D139" s="15" t="s">
        <v>305</v>
      </c>
      <c r="E139" s="56" t="s">
        <v>650</v>
      </c>
      <c r="F139" s="56" t="s">
        <v>583</v>
      </c>
      <c r="G139" s="15" t="str">
        <f t="shared" si="5"/>
        <v>대형 듀얼코어</v>
      </c>
      <c r="H139" s="15">
        <v>1</v>
      </c>
      <c r="I139" s="15">
        <v>1</v>
      </c>
      <c r="J139" s="15" cm="1">
        <f t="array" ref="J139">H139*VLOOKUP($G139, Factor!$AD$4:$AF$36, 2, 0)*INDEX(Factor!$AD$41:$AF$87, _xlfn.XMATCH($C139, Factor!$AD$41:$AD$87, -1), 2)</f>
        <v>2080</v>
      </c>
      <c r="K139" s="21" cm="1">
        <f t="array" ref="K139">I139*VLOOKUP($G139, Factor!$AD$4:$AF$36, 3, 0)*INDEX(Factor!$AD$41:$AF$87, _xlfn.XMATCH($C139, Factor!$AD$41:$AD$87, -1), 3)</f>
        <v>3900</v>
      </c>
      <c r="L139" s="16"/>
    </row>
    <row r="140" spans="1:12" ht="15.75" customHeight="1" x14ac:dyDescent="0.2">
      <c r="A140" s="17" t="str">
        <f>"generator_"&amp;VLOOKUP(F140, Factor!$CC$4:$CD$6, 2, 0)&amp;"_"&amp;D140&amp;"_"&amp;VLOOKUP(Generator!E140, Factor!$CE$4:$CF$13, 2, 0)</f>
        <v>generator_Sm_T10_001</v>
      </c>
      <c r="B140" s="18" t="str">
        <f t="shared" si="4"/>
        <v>T10 소형 표준제네레이터</v>
      </c>
      <c r="C140" s="18">
        <f>VLOOKUP(D140, Factor!$AC$41:$AD$50, 2, 0)</f>
        <v>10000</v>
      </c>
      <c r="D140" s="18" t="s">
        <v>328</v>
      </c>
      <c r="E140" s="55" t="s">
        <v>582</v>
      </c>
      <c r="F140" s="55" t="s">
        <v>664</v>
      </c>
      <c r="G140" s="18" t="str">
        <f t="shared" si="5"/>
        <v>소형 표준</v>
      </c>
      <c r="H140" s="18">
        <v>1</v>
      </c>
      <c r="I140" s="18">
        <v>1</v>
      </c>
      <c r="J140" s="18" cm="1">
        <f t="array" ref="J140">H140*VLOOKUP($G140, Factor!$AD$4:$AF$36, 2, 0)*INDEX(Factor!$AD$41:$AF$87, _xlfn.XMATCH($C140, Factor!$AD$41:$AD$87, -1), 2)</f>
        <v>280</v>
      </c>
      <c r="K140" s="20" cm="1">
        <f t="array" ref="K140">I140*VLOOKUP($G140, Factor!$AD$4:$AF$36, 3, 0)*INDEX(Factor!$AD$41:$AF$87, _xlfn.XMATCH($C140, Factor!$AD$41:$AD$87, -1), 3)</f>
        <v>1400</v>
      </c>
      <c r="L140" s="19"/>
    </row>
    <row r="141" spans="1:12" ht="15.75" customHeight="1" x14ac:dyDescent="0.2">
      <c r="A141" s="14" t="str">
        <f>"generator_"&amp;VLOOKUP(F141, Factor!$CC$4:$CD$6, 2, 0)&amp;"_"&amp;D141&amp;"_"&amp;VLOOKUP(Generator!E141, Factor!$CE$4:$CF$13, 2, 0)</f>
        <v>generator_Sm_T10_002</v>
      </c>
      <c r="B141" s="15" t="str">
        <f t="shared" si="4"/>
        <v>T10 소형 고성능제네레이터</v>
      </c>
      <c r="C141" s="15">
        <f>VLOOKUP(D141, Factor!$AC$41:$AD$50, 2, 0)</f>
        <v>10000</v>
      </c>
      <c r="D141" s="15" t="s">
        <v>328</v>
      </c>
      <c r="E141" s="56" t="s">
        <v>644</v>
      </c>
      <c r="F141" s="56" t="s">
        <v>664</v>
      </c>
      <c r="G141" s="15" t="str">
        <f t="shared" si="5"/>
        <v>소형 고성능</v>
      </c>
      <c r="H141" s="15">
        <v>1</v>
      </c>
      <c r="I141" s="15">
        <v>1</v>
      </c>
      <c r="J141" s="15" cm="1">
        <f t="array" ref="J141">H141*VLOOKUP($G141, Factor!$AD$4:$AF$36, 2, 0)*INDEX(Factor!$AD$41:$AF$87, _xlfn.XMATCH($C141, Factor!$AD$41:$AD$87, -1), 2)</f>
        <v>1400</v>
      </c>
      <c r="K141" s="21" cm="1">
        <f t="array" ref="K141">I141*VLOOKUP($G141, Factor!$AD$4:$AF$36, 3, 0)*INDEX(Factor!$AD$41:$AF$87, _xlfn.XMATCH($C141, Factor!$AD$41:$AD$87, -1), 3)</f>
        <v>2520</v>
      </c>
      <c r="L141" s="16"/>
    </row>
    <row r="142" spans="1:12" ht="15.75" customHeight="1" x14ac:dyDescent="0.2">
      <c r="A142" s="17" t="str">
        <f>"generator_"&amp;VLOOKUP(F142, Factor!$CC$4:$CD$6, 2, 0)&amp;"_"&amp;D142&amp;"_"&amp;VLOOKUP(Generator!E142, Factor!$CE$4:$CF$13, 2, 0)</f>
        <v>generator_Sm_T10_003</v>
      </c>
      <c r="B142" s="18" t="str">
        <f t="shared" si="4"/>
        <v>T10 소형 경량제네레이터</v>
      </c>
      <c r="C142" s="18">
        <f>VLOOKUP(D142, Factor!$AC$41:$AD$50, 2, 0)</f>
        <v>10000</v>
      </c>
      <c r="D142" s="18" t="s">
        <v>306</v>
      </c>
      <c r="E142" s="55" t="s">
        <v>585</v>
      </c>
      <c r="F142" s="55" t="s">
        <v>664</v>
      </c>
      <c r="G142" s="18" t="str">
        <f t="shared" si="5"/>
        <v>소형 경량</v>
      </c>
      <c r="H142" s="18">
        <v>1</v>
      </c>
      <c r="I142" s="18">
        <v>1</v>
      </c>
      <c r="J142" s="18" cm="1">
        <f t="array" ref="J142">H142*VLOOKUP($G142, Factor!$AD$4:$AF$36, 2, 0)*INDEX(Factor!$AD$41:$AF$87, _xlfn.XMATCH($C142, Factor!$AD$41:$AD$87, -1), 2)</f>
        <v>196</v>
      </c>
      <c r="K142" s="20" cm="1">
        <f t="array" ref="K142">I142*VLOOKUP($G142, Factor!$AD$4:$AF$36, 3, 0)*INDEX(Factor!$AD$41:$AF$87, _xlfn.XMATCH($C142, Factor!$AD$41:$AD$87, -1), 3)</f>
        <v>560</v>
      </c>
      <c r="L142" s="19"/>
    </row>
    <row r="143" spans="1:12" ht="15.75" customHeight="1" x14ac:dyDescent="0.2">
      <c r="A143" s="14" t="str">
        <f>"generator_"&amp;VLOOKUP(F143, Factor!$CC$4:$CD$6, 2, 0)&amp;"_"&amp;D143&amp;"_"&amp;VLOOKUP(Generator!E143, Factor!$CE$4:$CF$13, 2, 0)</f>
        <v>generator_Sm_T10_004</v>
      </c>
      <c r="B143" s="15" t="str">
        <f t="shared" si="4"/>
        <v>T10 소형 재생제네레이터</v>
      </c>
      <c r="C143" s="15">
        <f>VLOOKUP(D143, Factor!$AC$41:$AD$50, 2, 0)</f>
        <v>10000</v>
      </c>
      <c r="D143" s="15" t="s">
        <v>306</v>
      </c>
      <c r="E143" s="56" t="s">
        <v>646</v>
      </c>
      <c r="F143" s="56" t="s">
        <v>664</v>
      </c>
      <c r="G143" s="15" t="str">
        <f t="shared" si="5"/>
        <v>소형 재생</v>
      </c>
      <c r="H143" s="15">
        <v>1</v>
      </c>
      <c r="I143" s="15">
        <v>1</v>
      </c>
      <c r="J143" s="15" cm="1">
        <f t="array" ref="J143">H143*VLOOKUP($G143, Factor!$AD$4:$AF$36, 2, 0)*INDEX(Factor!$AD$41:$AF$87, _xlfn.XMATCH($C143, Factor!$AD$41:$AD$87, -1), 2)</f>
        <v>392</v>
      </c>
      <c r="K143" s="21" cm="1">
        <f t="array" ref="K143">I143*VLOOKUP($G143, Factor!$AD$4:$AF$36, 3, 0)*INDEX(Factor!$AD$41:$AF$87, _xlfn.XMATCH($C143, Factor!$AD$41:$AD$87, -1), 3)</f>
        <v>1959.9999999999998</v>
      </c>
      <c r="L143" s="16"/>
    </row>
    <row r="144" spans="1:12" ht="15.75" customHeight="1" x14ac:dyDescent="0.2">
      <c r="A144" s="17" t="str">
        <f>"generator_"&amp;VLOOKUP(F144, Factor!$CC$4:$CD$6, 2, 0)&amp;"_"&amp;D144&amp;"_"&amp;VLOOKUP(Generator!E144, Factor!$CE$4:$CF$13, 2, 0)</f>
        <v>generator_Sm_T10_005</v>
      </c>
      <c r="B144" s="18" t="str">
        <f t="shared" si="4"/>
        <v>T10 소형 듀얼코어제네레이터</v>
      </c>
      <c r="C144" s="18">
        <f>VLOOKUP(D144, Factor!$AC$41:$AD$50, 2, 0)</f>
        <v>10000</v>
      </c>
      <c r="D144" s="18" t="s">
        <v>306</v>
      </c>
      <c r="E144" s="55" t="s">
        <v>650</v>
      </c>
      <c r="F144" s="55" t="s">
        <v>664</v>
      </c>
      <c r="G144" s="18" t="str">
        <f t="shared" si="5"/>
        <v>소형 듀얼코어</v>
      </c>
      <c r="H144" s="18">
        <v>1</v>
      </c>
      <c r="I144" s="18">
        <v>1</v>
      </c>
      <c r="J144" s="18" cm="1">
        <f t="array" ref="J144">H144*VLOOKUP($G144, Factor!$AD$4:$AF$36, 2, 0)*INDEX(Factor!$AD$41:$AF$87, _xlfn.XMATCH($C144, Factor!$AD$41:$AD$87, -1), 2)</f>
        <v>2240</v>
      </c>
      <c r="K144" s="20" cm="1">
        <f t="array" ref="K144">I144*VLOOKUP($G144, Factor!$AD$4:$AF$36, 3, 0)*INDEX(Factor!$AD$41:$AF$87, _xlfn.XMATCH($C144, Factor!$AD$41:$AD$87, -1), 3)</f>
        <v>4200</v>
      </c>
      <c r="L144" s="19"/>
    </row>
    <row r="145" spans="1:12" ht="15.75" customHeight="1" x14ac:dyDescent="0.2">
      <c r="A145" s="14" t="str">
        <f>"generator_"&amp;VLOOKUP(F145, Factor!$CC$4:$CD$6, 2, 0)&amp;"_"&amp;D145&amp;"_"&amp;VLOOKUP(Generator!E145, Factor!$CE$4:$CF$13, 2, 0)</f>
        <v>generator_No_T10_001</v>
      </c>
      <c r="B145" s="15" t="str">
        <f t="shared" si="4"/>
        <v>T10 표준 표준제네레이터</v>
      </c>
      <c r="C145" s="15">
        <f>VLOOKUP(D145, Factor!$AC$41:$AD$50, 2, 0)</f>
        <v>10000</v>
      </c>
      <c r="D145" s="15" t="s">
        <v>306</v>
      </c>
      <c r="E145" s="56" t="s">
        <v>582</v>
      </c>
      <c r="F145" s="56" t="s">
        <v>582</v>
      </c>
      <c r="G145" s="15" t="str">
        <f t="shared" si="5"/>
        <v>표준 표준</v>
      </c>
      <c r="H145" s="15">
        <v>1</v>
      </c>
      <c r="I145" s="15">
        <v>1</v>
      </c>
      <c r="J145" s="15" cm="1">
        <f t="array" ref="J145">H145*VLOOKUP($G145, Factor!$AD$4:$AF$36, 2, 0)*INDEX(Factor!$AD$41:$AF$87, _xlfn.XMATCH($C145, Factor!$AD$41:$AD$87, -1), 2)</f>
        <v>280</v>
      </c>
      <c r="K145" s="21" cm="1">
        <f t="array" ref="K145">I145*VLOOKUP($G145, Factor!$AD$4:$AF$36, 3, 0)*INDEX(Factor!$AD$41:$AF$87, _xlfn.XMATCH($C145, Factor!$AD$41:$AD$87, -1), 3)</f>
        <v>1400</v>
      </c>
      <c r="L145" s="16"/>
    </row>
    <row r="146" spans="1:12" ht="15.75" customHeight="1" x14ac:dyDescent="0.2">
      <c r="A146" s="17" t="str">
        <f>"generator_"&amp;VLOOKUP(F146, Factor!$CC$4:$CD$6, 2, 0)&amp;"_"&amp;D146&amp;"_"&amp;VLOOKUP(Generator!E146, Factor!$CE$4:$CF$13, 2, 0)</f>
        <v>generator_No_T10_002</v>
      </c>
      <c r="B146" s="18" t="str">
        <f t="shared" si="4"/>
        <v>T10 표준 고성능제네레이터</v>
      </c>
      <c r="C146" s="18">
        <f>VLOOKUP(D146, Factor!$AC$41:$AD$50, 2, 0)</f>
        <v>10000</v>
      </c>
      <c r="D146" s="18" t="s">
        <v>306</v>
      </c>
      <c r="E146" s="55" t="s">
        <v>644</v>
      </c>
      <c r="F146" s="55" t="s">
        <v>582</v>
      </c>
      <c r="G146" s="18" t="str">
        <f t="shared" si="5"/>
        <v>표준 고성능</v>
      </c>
      <c r="H146" s="18">
        <v>1</v>
      </c>
      <c r="I146" s="18">
        <v>1</v>
      </c>
      <c r="J146" s="18" cm="1">
        <f t="array" ref="J146">H146*VLOOKUP($G146, Factor!$AD$4:$AF$36, 2, 0)*INDEX(Factor!$AD$41:$AF$87, _xlfn.XMATCH($C146, Factor!$AD$41:$AD$87, -1), 2)</f>
        <v>1400</v>
      </c>
      <c r="K146" s="20" cm="1">
        <f t="array" ref="K146">I146*VLOOKUP($G146, Factor!$AD$4:$AF$36, 3, 0)*INDEX(Factor!$AD$41:$AF$87, _xlfn.XMATCH($C146, Factor!$AD$41:$AD$87, -1), 3)</f>
        <v>2520</v>
      </c>
      <c r="L146" s="19"/>
    </row>
    <row r="147" spans="1:12" ht="15.75" customHeight="1" x14ac:dyDescent="0.2">
      <c r="A147" s="14" t="str">
        <f>"generator_"&amp;VLOOKUP(F147, Factor!$CC$4:$CD$6, 2, 0)&amp;"_"&amp;D147&amp;"_"&amp;VLOOKUP(Generator!E147, Factor!$CE$4:$CF$13, 2, 0)</f>
        <v>generator_No_T10_003</v>
      </c>
      <c r="B147" s="15" t="str">
        <f t="shared" si="4"/>
        <v>T10 표준 경량제네레이터</v>
      </c>
      <c r="C147" s="15">
        <f>VLOOKUP(D147, Factor!$AC$41:$AD$50, 2, 0)</f>
        <v>10000</v>
      </c>
      <c r="D147" s="15" t="s">
        <v>306</v>
      </c>
      <c r="E147" s="56" t="s">
        <v>585</v>
      </c>
      <c r="F147" s="56" t="s">
        <v>582</v>
      </c>
      <c r="G147" s="15" t="str">
        <f t="shared" si="5"/>
        <v>표준 경량</v>
      </c>
      <c r="H147" s="15">
        <v>1</v>
      </c>
      <c r="I147" s="15">
        <v>1</v>
      </c>
      <c r="J147" s="15" cm="1">
        <f t="array" ref="J147">H147*VLOOKUP($G147, Factor!$AD$4:$AF$36, 2, 0)*INDEX(Factor!$AD$41:$AF$87, _xlfn.XMATCH($C147, Factor!$AD$41:$AD$87, -1), 2)</f>
        <v>196</v>
      </c>
      <c r="K147" s="21" cm="1">
        <f t="array" ref="K147">I147*VLOOKUP($G147, Factor!$AD$4:$AF$36, 3, 0)*INDEX(Factor!$AD$41:$AF$87, _xlfn.XMATCH($C147, Factor!$AD$41:$AD$87, -1), 3)</f>
        <v>560</v>
      </c>
      <c r="L147" s="16"/>
    </row>
    <row r="148" spans="1:12" ht="15.75" customHeight="1" x14ac:dyDescent="0.2">
      <c r="A148" s="17" t="str">
        <f>"generator_"&amp;VLOOKUP(F148, Factor!$CC$4:$CD$6, 2, 0)&amp;"_"&amp;D148&amp;"_"&amp;VLOOKUP(Generator!E148, Factor!$CE$4:$CF$13, 2, 0)</f>
        <v>generator_No_T10_004</v>
      </c>
      <c r="B148" s="18" t="str">
        <f t="shared" si="4"/>
        <v>T10 표준 재생제네레이터</v>
      </c>
      <c r="C148" s="18">
        <f>VLOOKUP(D148, Factor!$AC$41:$AD$50, 2, 0)</f>
        <v>10000</v>
      </c>
      <c r="D148" s="18" t="s">
        <v>306</v>
      </c>
      <c r="E148" s="55" t="s">
        <v>646</v>
      </c>
      <c r="F148" s="55" t="s">
        <v>582</v>
      </c>
      <c r="G148" s="18" t="str">
        <f t="shared" si="5"/>
        <v>표준 재생</v>
      </c>
      <c r="H148" s="18">
        <v>1</v>
      </c>
      <c r="I148" s="18">
        <v>1</v>
      </c>
      <c r="J148" s="18" cm="1">
        <f t="array" ref="J148">H148*VLOOKUP($G148, Factor!$AD$4:$AF$36, 2, 0)*INDEX(Factor!$AD$41:$AF$87, _xlfn.XMATCH($C148, Factor!$AD$41:$AD$87, -1), 2)</f>
        <v>392</v>
      </c>
      <c r="K148" s="20" cm="1">
        <f t="array" ref="K148">I148*VLOOKUP($G148, Factor!$AD$4:$AF$36, 3, 0)*INDEX(Factor!$AD$41:$AF$87, _xlfn.XMATCH($C148, Factor!$AD$41:$AD$87, -1), 3)</f>
        <v>1959.9999999999998</v>
      </c>
      <c r="L148" s="19"/>
    </row>
    <row r="149" spans="1:12" ht="15.75" customHeight="1" x14ac:dyDescent="0.2">
      <c r="A149" s="14" t="str">
        <f>"generator_"&amp;VLOOKUP(F149, Factor!$CC$4:$CD$6, 2, 0)&amp;"_"&amp;D149&amp;"_"&amp;VLOOKUP(Generator!E149, Factor!$CE$4:$CF$13, 2, 0)</f>
        <v>generator_No_T10_005</v>
      </c>
      <c r="B149" s="15" t="str">
        <f t="shared" si="4"/>
        <v>T10 표준 듀얼코어제네레이터</v>
      </c>
      <c r="C149" s="15">
        <f>VLOOKUP(D149, Factor!$AC$41:$AD$50, 2, 0)</f>
        <v>10000</v>
      </c>
      <c r="D149" s="15" t="s">
        <v>306</v>
      </c>
      <c r="E149" s="56" t="s">
        <v>650</v>
      </c>
      <c r="F149" s="56" t="s">
        <v>582</v>
      </c>
      <c r="G149" s="15" t="str">
        <f t="shared" si="5"/>
        <v>표준 듀얼코어</v>
      </c>
      <c r="H149" s="15">
        <v>1</v>
      </c>
      <c r="I149" s="15">
        <v>1</v>
      </c>
      <c r="J149" s="15" cm="1">
        <f t="array" ref="J149">H149*VLOOKUP($G149, Factor!$AD$4:$AF$36, 2, 0)*INDEX(Factor!$AD$41:$AF$87, _xlfn.XMATCH($C149, Factor!$AD$41:$AD$87, -1), 2)</f>
        <v>2240</v>
      </c>
      <c r="K149" s="21" cm="1">
        <f t="array" ref="K149">I149*VLOOKUP($G149, Factor!$AD$4:$AF$36, 3, 0)*INDEX(Factor!$AD$41:$AF$87, _xlfn.XMATCH($C149, Factor!$AD$41:$AD$87, -1), 3)</f>
        <v>4200</v>
      </c>
      <c r="L149" s="16"/>
    </row>
    <row r="150" spans="1:12" ht="15.75" customHeight="1" x14ac:dyDescent="0.2">
      <c r="A150" s="17" t="str">
        <f>"generator_"&amp;VLOOKUP(F150, Factor!$CC$4:$CD$6, 2, 0)&amp;"_"&amp;D150&amp;"_"&amp;VLOOKUP(Generator!E150, Factor!$CE$4:$CF$13, 2, 0)</f>
        <v>generator_Bi_T10_001</v>
      </c>
      <c r="B150" s="18" t="str">
        <f t="shared" si="4"/>
        <v>T10 대형 표준제네레이터</v>
      </c>
      <c r="C150" s="18">
        <f>VLOOKUP(D150, Factor!$AC$41:$AD$50, 2, 0)</f>
        <v>10000</v>
      </c>
      <c r="D150" s="18" t="s">
        <v>306</v>
      </c>
      <c r="E150" s="55" t="s">
        <v>582</v>
      </c>
      <c r="F150" s="55" t="s">
        <v>583</v>
      </c>
      <c r="G150" s="18" t="str">
        <f t="shared" si="5"/>
        <v>대형 표준</v>
      </c>
      <c r="H150" s="18">
        <v>1</v>
      </c>
      <c r="I150" s="18">
        <v>1</v>
      </c>
      <c r="J150" s="18" cm="1">
        <f t="array" ref="J150">H150*VLOOKUP($G150, Factor!$AD$4:$AF$36, 2, 0)*INDEX(Factor!$AD$41:$AF$87, _xlfn.XMATCH($C150, Factor!$AD$41:$AD$87, -1), 2)</f>
        <v>280</v>
      </c>
      <c r="K150" s="20" cm="1">
        <f t="array" ref="K150">I150*VLOOKUP($G150, Factor!$AD$4:$AF$36, 3, 0)*INDEX(Factor!$AD$41:$AF$87, _xlfn.XMATCH($C150, Factor!$AD$41:$AD$87, -1), 3)</f>
        <v>1400</v>
      </c>
      <c r="L150" s="19"/>
    </row>
    <row r="151" spans="1:12" ht="15.75" customHeight="1" x14ac:dyDescent="0.2">
      <c r="A151" s="14" t="str">
        <f>"generator_"&amp;VLOOKUP(F151, Factor!$CC$4:$CD$6, 2, 0)&amp;"_"&amp;D151&amp;"_"&amp;VLOOKUP(Generator!E151, Factor!$CE$4:$CF$13, 2, 0)</f>
        <v>generator_Bi_T10_002</v>
      </c>
      <c r="B151" s="15" t="str">
        <f t="shared" si="4"/>
        <v>T10 대형 고성능제네레이터</v>
      </c>
      <c r="C151" s="15">
        <f>VLOOKUP(D151, Factor!$AC$41:$AD$50, 2, 0)</f>
        <v>10000</v>
      </c>
      <c r="D151" s="15" t="s">
        <v>306</v>
      </c>
      <c r="E151" s="56" t="s">
        <v>644</v>
      </c>
      <c r="F151" s="56" t="s">
        <v>583</v>
      </c>
      <c r="G151" s="15" t="str">
        <f t="shared" si="5"/>
        <v>대형 고성능</v>
      </c>
      <c r="H151" s="15">
        <v>1</v>
      </c>
      <c r="I151" s="15">
        <v>1</v>
      </c>
      <c r="J151" s="15" cm="1">
        <f t="array" ref="J151">H151*VLOOKUP($G151, Factor!$AD$4:$AF$36, 2, 0)*INDEX(Factor!$AD$41:$AF$87, _xlfn.XMATCH($C151, Factor!$AD$41:$AD$87, -1), 2)</f>
        <v>1400</v>
      </c>
      <c r="K151" s="21" cm="1">
        <f t="array" ref="K151">I151*VLOOKUP($G151, Factor!$AD$4:$AF$36, 3, 0)*INDEX(Factor!$AD$41:$AF$87, _xlfn.XMATCH($C151, Factor!$AD$41:$AD$87, -1), 3)</f>
        <v>2520</v>
      </c>
      <c r="L151" s="16"/>
    </row>
    <row r="152" spans="1:12" ht="15.75" customHeight="1" x14ac:dyDescent="0.2">
      <c r="A152" s="17" t="str">
        <f>"generator_"&amp;VLOOKUP(F152, Factor!$CC$4:$CD$6, 2, 0)&amp;"_"&amp;D152&amp;"_"&amp;VLOOKUP(Generator!E152, Factor!$CE$4:$CF$13, 2, 0)</f>
        <v>generator_Bi_T10_003</v>
      </c>
      <c r="B152" s="18" t="str">
        <f t="shared" si="4"/>
        <v>T10 대형 경량제네레이터</v>
      </c>
      <c r="C152" s="18">
        <f>VLOOKUP(D152, Factor!$AC$41:$AD$50, 2, 0)</f>
        <v>10000</v>
      </c>
      <c r="D152" s="18" t="s">
        <v>306</v>
      </c>
      <c r="E152" s="55" t="s">
        <v>585</v>
      </c>
      <c r="F152" s="55" t="s">
        <v>583</v>
      </c>
      <c r="G152" s="18" t="str">
        <f t="shared" si="5"/>
        <v>대형 경량</v>
      </c>
      <c r="H152" s="18">
        <v>1</v>
      </c>
      <c r="I152" s="18">
        <v>1</v>
      </c>
      <c r="J152" s="18" cm="1">
        <f t="array" ref="J152">H152*VLOOKUP($G152, Factor!$AD$4:$AF$36, 2, 0)*INDEX(Factor!$AD$41:$AF$87, _xlfn.XMATCH($C152, Factor!$AD$41:$AD$87, -1), 2)</f>
        <v>196</v>
      </c>
      <c r="K152" s="20" cm="1">
        <f t="array" ref="K152">I152*VLOOKUP($G152, Factor!$AD$4:$AF$36, 3, 0)*INDEX(Factor!$AD$41:$AF$87, _xlfn.XMATCH($C152, Factor!$AD$41:$AD$87, -1), 3)</f>
        <v>560</v>
      </c>
      <c r="L152" s="19"/>
    </row>
    <row r="153" spans="1:12" ht="15.75" customHeight="1" x14ac:dyDescent="0.2">
      <c r="A153" s="14" t="str">
        <f>"generator_"&amp;VLOOKUP(F153, Factor!$CC$4:$CD$6, 2, 0)&amp;"_"&amp;D153&amp;"_"&amp;VLOOKUP(Generator!E153, Factor!$CE$4:$CF$13, 2, 0)</f>
        <v>generator_Bi_T10_004</v>
      </c>
      <c r="B153" s="15" t="str">
        <f t="shared" si="4"/>
        <v>T10 대형 재생제네레이터</v>
      </c>
      <c r="C153" s="15">
        <f>VLOOKUP(D153, Factor!$AC$41:$AD$50, 2, 0)</f>
        <v>10000</v>
      </c>
      <c r="D153" s="15" t="s">
        <v>306</v>
      </c>
      <c r="E153" s="56" t="s">
        <v>646</v>
      </c>
      <c r="F153" s="56" t="s">
        <v>583</v>
      </c>
      <c r="G153" s="15" t="str">
        <f t="shared" si="5"/>
        <v>대형 재생</v>
      </c>
      <c r="H153" s="15">
        <v>1</v>
      </c>
      <c r="I153" s="15">
        <v>1</v>
      </c>
      <c r="J153" s="15" cm="1">
        <f t="array" ref="J153">H153*VLOOKUP($G153, Factor!$AD$4:$AF$36, 2, 0)*INDEX(Factor!$AD$41:$AF$87, _xlfn.XMATCH($C153, Factor!$AD$41:$AD$87, -1), 2)</f>
        <v>392</v>
      </c>
      <c r="K153" s="21" cm="1">
        <f t="array" ref="K153">I153*VLOOKUP($G153, Factor!$AD$4:$AF$36, 3, 0)*INDEX(Factor!$AD$41:$AF$87, _xlfn.XMATCH($C153, Factor!$AD$41:$AD$87, -1), 3)</f>
        <v>1959.9999999999998</v>
      </c>
      <c r="L153" s="16"/>
    </row>
    <row r="154" spans="1:12" ht="15.75" customHeight="1" x14ac:dyDescent="0.2">
      <c r="A154" s="17" t="str">
        <f>"generator_"&amp;VLOOKUP(F154, Factor!$CC$4:$CD$6, 2, 0)&amp;"_"&amp;D154&amp;"_"&amp;VLOOKUP(Generator!E154, Factor!$CE$4:$CF$13, 2, 0)</f>
        <v>generator_Bi_T10_005</v>
      </c>
      <c r="B154" s="18" t="str">
        <f t="shared" si="4"/>
        <v>T10 대형 듀얼코어제네레이터</v>
      </c>
      <c r="C154" s="18">
        <f>VLOOKUP(D154, Factor!$AC$41:$AD$50, 2, 0)</f>
        <v>10000</v>
      </c>
      <c r="D154" s="18" t="s">
        <v>306</v>
      </c>
      <c r="E154" s="55" t="s">
        <v>650</v>
      </c>
      <c r="F154" s="55" t="s">
        <v>583</v>
      </c>
      <c r="G154" s="18" t="str">
        <f t="shared" si="5"/>
        <v>대형 듀얼코어</v>
      </c>
      <c r="H154" s="18">
        <v>1</v>
      </c>
      <c r="I154" s="18">
        <v>1</v>
      </c>
      <c r="J154" s="18" cm="1">
        <f t="array" ref="J154">H154*VLOOKUP($G154, Factor!$AD$4:$AF$36, 2, 0)*INDEX(Factor!$AD$41:$AF$87, _xlfn.XMATCH($C154, Factor!$AD$41:$AD$87, -1), 2)</f>
        <v>2240</v>
      </c>
      <c r="K154" s="20" cm="1">
        <f t="array" ref="K154">I154*VLOOKUP($G154, Factor!$AD$4:$AF$36, 3, 0)*INDEX(Factor!$AD$41:$AF$87, _xlfn.XMATCH($C154, Factor!$AD$41:$AD$87, -1), 3)</f>
        <v>4200</v>
      </c>
      <c r="L154" s="19"/>
    </row>
  </sheetData>
  <mergeCells count="1">
    <mergeCell ref="A1:L1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24"/>
  <sheetViews>
    <sheetView zoomScale="75" zoomScaleNormal="75" workbookViewId="0">
      <pane ySplit="4" topLeftCell="A5" activePane="bottomLeft" state="frozen"/>
      <selection pane="bottomLeft" activeCell="H131" sqref="H131"/>
    </sheetView>
  </sheetViews>
  <sheetFormatPr defaultColWidth="12.5703125" defaultRowHeight="15.75" customHeight="1" x14ac:dyDescent="0.2"/>
  <cols>
    <col min="1" max="1" width="22.7109375" style="13" customWidth="1"/>
    <col min="2" max="2" width="25.7109375" style="13" customWidth="1"/>
    <col min="3" max="11" width="22.7109375" style="13" customWidth="1"/>
    <col min="12" max="12" width="46.140625" style="13" customWidth="1"/>
    <col min="13" max="16384" width="12.5703125" style="13"/>
  </cols>
  <sheetData>
    <row r="1" spans="1:13" ht="99.95" customHeight="1" x14ac:dyDescent="0.2">
      <c r="A1" s="67" t="s">
        <v>540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</row>
    <row r="2" spans="1:13" ht="15.75" customHeight="1" x14ac:dyDescent="0.2">
      <c r="A2" s="32" t="s">
        <v>121</v>
      </c>
      <c r="B2" s="32" t="s">
        <v>123</v>
      </c>
      <c r="C2" s="32" t="s">
        <v>129</v>
      </c>
      <c r="D2" s="32" t="s">
        <v>541</v>
      </c>
      <c r="E2" s="32" t="s">
        <v>542</v>
      </c>
      <c r="F2" s="32" t="s">
        <v>542</v>
      </c>
      <c r="G2" s="46" t="s">
        <v>543</v>
      </c>
      <c r="H2" s="32" t="s">
        <v>544</v>
      </c>
      <c r="I2" s="32" t="s">
        <v>545</v>
      </c>
      <c r="J2" s="32" t="s">
        <v>126</v>
      </c>
      <c r="K2" s="32" t="s">
        <v>131</v>
      </c>
      <c r="L2" s="32" t="s">
        <v>134</v>
      </c>
    </row>
    <row r="3" spans="1:13" ht="12.75" x14ac:dyDescent="0.2">
      <c r="A3" s="25" t="s">
        <v>13</v>
      </c>
      <c r="B3" s="25" t="s">
        <v>13</v>
      </c>
      <c r="C3" s="25" t="s">
        <v>28</v>
      </c>
      <c r="D3" s="31" t="s">
        <v>201</v>
      </c>
      <c r="E3" s="31" t="s">
        <v>201</v>
      </c>
      <c r="F3" s="31" t="s">
        <v>201</v>
      </c>
      <c r="G3" s="44" t="s">
        <v>201</v>
      </c>
      <c r="H3" s="31" t="s">
        <v>202</v>
      </c>
      <c r="I3" s="31" t="s">
        <v>202</v>
      </c>
      <c r="J3" s="25" t="s">
        <v>24</v>
      </c>
      <c r="K3" s="25" t="s">
        <v>28</v>
      </c>
      <c r="L3" s="25" t="s">
        <v>13</v>
      </c>
    </row>
    <row r="4" spans="1:13" ht="12.75" x14ac:dyDescent="0.2">
      <c r="A4" s="9" t="s">
        <v>120</v>
      </c>
      <c r="B4" s="9" t="s">
        <v>122</v>
      </c>
      <c r="C4" s="9" t="s">
        <v>203</v>
      </c>
      <c r="D4" s="9" t="s">
        <v>195</v>
      </c>
      <c r="E4" s="9" t="s">
        <v>195</v>
      </c>
      <c r="F4" s="9" t="s">
        <v>195</v>
      </c>
      <c r="G4" s="9" t="s">
        <v>195</v>
      </c>
      <c r="H4" s="9" t="s">
        <v>125</v>
      </c>
      <c r="I4" s="9" t="s">
        <v>169</v>
      </c>
      <c r="J4" s="9" t="s">
        <v>125</v>
      </c>
      <c r="K4" s="9" t="s">
        <v>169</v>
      </c>
      <c r="L4" s="9" t="s">
        <v>133</v>
      </c>
    </row>
    <row r="5" spans="1:13" ht="15.75" customHeight="1" x14ac:dyDescent="0.2">
      <c r="A5" s="15" t="str">
        <f>"break_"&amp;VLOOKUP(F5, Factor!$CI$4:$CJ$6, 2, 0)&amp;"_"&amp;D5&amp;"_"&amp;VLOOKUP(E5, Factor!$CK$4:$CL$13, 2, 0)</f>
        <v>break_Mac_T1_001</v>
      </c>
      <c r="B5" s="15" t="str">
        <f>D5&amp;" "&amp;G5&amp;"제동장치"</f>
        <v>T1 표준 기계식제동장치</v>
      </c>
      <c r="C5" s="15">
        <f>VLOOKUP(D5, Factor!$AH$41:$AI$50, 2, 0)</f>
        <v>1000</v>
      </c>
      <c r="D5" s="15" t="s">
        <v>297</v>
      </c>
      <c r="E5" s="56" t="s">
        <v>582</v>
      </c>
      <c r="F5" s="56" t="s">
        <v>692</v>
      </c>
      <c r="G5" s="15" t="str">
        <f>E5&amp;" "&amp;F5</f>
        <v>표준 기계식</v>
      </c>
      <c r="H5" s="15">
        <v>1</v>
      </c>
      <c r="I5" s="15">
        <v>1</v>
      </c>
      <c r="J5" s="15" cm="1">
        <f t="array" ref="J5">H5*VLOOKUP($G5, Factor!$AI$4:$AK$36, 2, 0)*INDEX(Factor!$AI$41:$AK$87, _xlfn.XMATCH($C5, Factor!$AI$41:$AI$87, -1), 2)</f>
        <v>5</v>
      </c>
      <c r="K5" s="15" cm="1">
        <f t="array" ref="K5">I5*VLOOKUP($G5, Factor!$AI$4:$AK$36, 3, 0)*INDEX(Factor!$AI$41:$AK$87, _xlfn.XMATCH($C5, Factor!$AI$41:$AI$87, -1), 3)</f>
        <v>300</v>
      </c>
      <c r="L5" s="16"/>
    </row>
    <row r="6" spans="1:13" ht="15.75" customHeight="1" x14ac:dyDescent="0.2">
      <c r="A6" s="18" t="str">
        <f>"break_"&amp;VLOOKUP(F6, Factor!$CI$4:$CJ$6, 2, 0)&amp;"_"&amp;D6&amp;"_"&amp;VLOOKUP(E6, Factor!$CK$4:$CL$13, 2, 0)</f>
        <v>break_Mac_T1_002</v>
      </c>
      <c r="B6" s="18" t="str">
        <f t="shared" ref="B6:B34" si="0">D6&amp;" "&amp;G6&amp;"제동장치"</f>
        <v>T1 고성능 기계식제동장치</v>
      </c>
      <c r="C6" s="18">
        <f>VLOOKUP(D6, Factor!$AH$41:$AI$50, 2, 0)</f>
        <v>1000</v>
      </c>
      <c r="D6" s="18" t="s">
        <v>297</v>
      </c>
      <c r="E6" s="55" t="s">
        <v>644</v>
      </c>
      <c r="F6" s="55" t="s">
        <v>692</v>
      </c>
      <c r="G6" s="18" t="str">
        <f t="shared" ref="G6:G34" si="1">E6&amp;" "&amp;F6</f>
        <v>고성능 기계식</v>
      </c>
      <c r="H6" s="18">
        <v>1</v>
      </c>
      <c r="I6" s="18">
        <v>1</v>
      </c>
      <c r="J6" s="18" cm="1">
        <f t="array" ref="J6">H6*VLOOKUP($G6, Factor!$AI$4:$AK$36, 2, 0)*INDEX(Factor!$AI$41:$AK$87, _xlfn.XMATCH($C6, Factor!$AI$41:$AI$87, -1), 2)</f>
        <v>10</v>
      </c>
      <c r="K6" s="18" cm="1">
        <f t="array" ref="K6">I6*VLOOKUP($G6, Factor!$AI$4:$AK$36, 3, 0)*INDEX(Factor!$AI$41:$AK$87, _xlfn.XMATCH($C6, Factor!$AI$41:$AI$87, -1), 3)</f>
        <v>600</v>
      </c>
      <c r="L6" s="19"/>
    </row>
    <row r="7" spans="1:13" ht="15.75" customHeight="1" x14ac:dyDescent="0.2">
      <c r="A7" s="15" t="str">
        <f>"break_"&amp;VLOOKUP(F7, Factor!$CI$4:$CJ$6, 2, 0)&amp;"_"&amp;D7&amp;"_"&amp;VLOOKUP(E7, Factor!$CK$4:$CL$13, 2, 0)</f>
        <v>break_Mac_T1_003</v>
      </c>
      <c r="B7" s="15" t="str">
        <f t="shared" si="0"/>
        <v>T1 경량 기계식제동장치</v>
      </c>
      <c r="C7" s="15">
        <f>VLOOKUP(D7, Factor!$AH$41:$AI$50, 2, 0)</f>
        <v>1000</v>
      </c>
      <c r="D7" s="15" t="s">
        <v>296</v>
      </c>
      <c r="E7" s="56" t="s">
        <v>585</v>
      </c>
      <c r="F7" s="56" t="s">
        <v>692</v>
      </c>
      <c r="G7" s="15" t="str">
        <f t="shared" si="1"/>
        <v>경량 기계식</v>
      </c>
      <c r="H7" s="15">
        <v>1</v>
      </c>
      <c r="I7" s="15">
        <v>1</v>
      </c>
      <c r="J7" s="15" cm="1">
        <f t="array" ref="J7">H7*VLOOKUP($G7, Factor!$AI$4:$AK$36, 2, 0)*INDEX(Factor!$AI$41:$AK$87, _xlfn.XMATCH($C7, Factor!$AI$41:$AI$87, -1), 2)</f>
        <v>3</v>
      </c>
      <c r="K7" s="15" cm="1">
        <f t="array" ref="K7">I7*VLOOKUP($G7, Factor!$AI$4:$AK$36, 3, 0)*INDEX(Factor!$AI$41:$AK$87, _xlfn.XMATCH($C7, Factor!$AI$41:$AI$87, -1), 3)</f>
        <v>100</v>
      </c>
      <c r="L7" s="16"/>
    </row>
    <row r="8" spans="1:13" ht="15.75" customHeight="1" x14ac:dyDescent="0.2">
      <c r="A8" s="18" t="str">
        <f>"break_"&amp;VLOOKUP(F8, Factor!$CI$4:$CJ$6, 2, 0)&amp;"_"&amp;D8&amp;"_"&amp;VLOOKUP(E8, Factor!$CK$4:$CL$13, 2, 0)</f>
        <v>break_Mac_T1_004</v>
      </c>
      <c r="B8" s="18" t="str">
        <f t="shared" si="0"/>
        <v>T1 화물용 기계식제동장치</v>
      </c>
      <c r="C8" s="18">
        <f>VLOOKUP(D8, Factor!$AH$41:$AI$50, 2, 0)</f>
        <v>1000</v>
      </c>
      <c r="D8" s="18" t="s">
        <v>296</v>
      </c>
      <c r="E8" s="55" t="s">
        <v>648</v>
      </c>
      <c r="F8" s="55" t="s">
        <v>692</v>
      </c>
      <c r="G8" s="18" t="str">
        <f t="shared" si="1"/>
        <v>화물용 기계식</v>
      </c>
      <c r="H8" s="18">
        <v>1</v>
      </c>
      <c r="I8" s="18">
        <v>1</v>
      </c>
      <c r="J8" s="18" cm="1">
        <f t="array" ref="J8">H8*VLOOKUP($G8, Factor!$AI$4:$AK$36, 2, 0)*INDEX(Factor!$AI$41:$AK$87, _xlfn.XMATCH($C8, Factor!$AI$41:$AI$87, -1), 2)</f>
        <v>12</v>
      </c>
      <c r="K8" s="18" cm="1">
        <f t="array" ref="K8">I8*VLOOKUP($G8, Factor!$AI$4:$AK$36, 3, 0)*INDEX(Factor!$AI$41:$AK$87, _xlfn.XMATCH($C8, Factor!$AI$41:$AI$87, -1), 3)</f>
        <v>800</v>
      </c>
      <c r="L8" s="19"/>
    </row>
    <row r="9" spans="1:13" ht="15.75" customHeight="1" x14ac:dyDescent="0.2">
      <c r="A9" s="15" t="str">
        <f>"break_"&amp;VLOOKUP(F9, Factor!$CI$4:$CJ$6, 2, 0)&amp;"_"&amp;D9&amp;"_"&amp;VLOOKUP(E9, Factor!$CK$4:$CL$13, 2, 0)</f>
        <v>break_Hyd_T1_001</v>
      </c>
      <c r="B9" s="15" t="str">
        <f t="shared" si="0"/>
        <v>T1 표준 유압식제동장치</v>
      </c>
      <c r="C9" s="15">
        <f>VLOOKUP(D9, Factor!$AH$41:$AI$50, 2, 0)</f>
        <v>1000</v>
      </c>
      <c r="D9" s="15" t="s">
        <v>296</v>
      </c>
      <c r="E9" s="56" t="s">
        <v>582</v>
      </c>
      <c r="F9" s="56" t="s">
        <v>693</v>
      </c>
      <c r="G9" s="15" t="str">
        <f t="shared" si="1"/>
        <v>표준 유압식</v>
      </c>
      <c r="H9" s="15">
        <v>1</v>
      </c>
      <c r="I9" s="15">
        <v>1</v>
      </c>
      <c r="J9" s="15" cm="1">
        <f t="array" ref="J9">H9*VLOOKUP($G9, Factor!$AI$4:$AK$36, 2, 0)*INDEX(Factor!$AI$41:$AK$87, _xlfn.XMATCH($C9, Factor!$AI$41:$AI$87, -1), 2)</f>
        <v>5.5</v>
      </c>
      <c r="K9" s="15" cm="1">
        <f t="array" ref="K9">I9*VLOOKUP($G9, Factor!$AI$4:$AK$36, 3, 0)*INDEX(Factor!$AI$41:$AK$87, _xlfn.XMATCH($C9, Factor!$AI$41:$AI$87, -1), 3)</f>
        <v>280</v>
      </c>
      <c r="L9" s="16"/>
    </row>
    <row r="10" spans="1:13" ht="15.75" customHeight="1" x14ac:dyDescent="0.2">
      <c r="A10" s="18" t="str">
        <f>"break_"&amp;VLOOKUP(F10, Factor!$CI$4:$CJ$6, 2, 0)&amp;"_"&amp;D10&amp;"_"&amp;VLOOKUP(E10, Factor!$CK$4:$CL$13, 2, 0)</f>
        <v>break_Hyd_T1_002</v>
      </c>
      <c r="B10" s="18" t="str">
        <f t="shared" si="0"/>
        <v>T1 고성능 유압식제동장치</v>
      </c>
      <c r="C10" s="18">
        <f>VLOOKUP(D10, Factor!$AH$41:$AI$50, 2, 0)</f>
        <v>1000</v>
      </c>
      <c r="D10" s="18" t="s">
        <v>296</v>
      </c>
      <c r="E10" s="55" t="s">
        <v>644</v>
      </c>
      <c r="F10" s="55" t="s">
        <v>693</v>
      </c>
      <c r="G10" s="18" t="str">
        <f t="shared" si="1"/>
        <v>고성능 유압식</v>
      </c>
      <c r="H10" s="18">
        <v>1</v>
      </c>
      <c r="I10" s="18">
        <v>1</v>
      </c>
      <c r="J10" s="18" cm="1">
        <f t="array" ref="J10">H10*VLOOKUP($G10, Factor!$AI$4:$AK$36, 2, 0)*INDEX(Factor!$AI$41:$AK$87, _xlfn.XMATCH($C10, Factor!$AI$41:$AI$87, -1), 2)</f>
        <v>10.5</v>
      </c>
      <c r="K10" s="18" cm="1">
        <f t="array" ref="K10">I10*VLOOKUP($G10, Factor!$AI$4:$AK$36, 3, 0)*INDEX(Factor!$AI$41:$AK$87, _xlfn.XMATCH($C10, Factor!$AI$41:$AI$87, -1), 3)</f>
        <v>550</v>
      </c>
      <c r="L10" s="19"/>
    </row>
    <row r="11" spans="1:13" ht="15.75" customHeight="1" x14ac:dyDescent="0.2">
      <c r="A11" s="15" t="str">
        <f>"break_"&amp;VLOOKUP(F11, Factor!$CI$4:$CJ$6, 2, 0)&amp;"_"&amp;D11&amp;"_"&amp;VLOOKUP(E11, Factor!$CK$4:$CL$13, 2, 0)</f>
        <v>break_Hyd_T1_003</v>
      </c>
      <c r="B11" s="15" t="str">
        <f t="shared" si="0"/>
        <v>T1 경량 유압식제동장치</v>
      </c>
      <c r="C11" s="15">
        <f>VLOOKUP(D11, Factor!$AH$41:$AI$50, 2, 0)</f>
        <v>1000</v>
      </c>
      <c r="D11" s="15" t="s">
        <v>296</v>
      </c>
      <c r="E11" s="56" t="s">
        <v>585</v>
      </c>
      <c r="F11" s="56" t="s">
        <v>693</v>
      </c>
      <c r="G11" s="15" t="str">
        <f t="shared" si="1"/>
        <v>경량 유압식</v>
      </c>
      <c r="H11" s="15">
        <v>1</v>
      </c>
      <c r="I11" s="15">
        <v>1</v>
      </c>
      <c r="J11" s="15" cm="1">
        <f t="array" ref="J11">H11*VLOOKUP($G11, Factor!$AI$4:$AK$36, 2, 0)*INDEX(Factor!$AI$41:$AK$87, _xlfn.XMATCH($C11, Factor!$AI$41:$AI$87, -1), 2)</f>
        <v>3.5</v>
      </c>
      <c r="K11" s="15" cm="1">
        <f t="array" ref="K11">I11*VLOOKUP($G11, Factor!$AI$4:$AK$36, 3, 0)*INDEX(Factor!$AI$41:$AK$87, _xlfn.XMATCH($C11, Factor!$AI$41:$AI$87, -1), 3)</f>
        <v>90</v>
      </c>
      <c r="L11" s="16"/>
    </row>
    <row r="12" spans="1:13" ht="15.75" customHeight="1" x14ac:dyDescent="0.2">
      <c r="A12" s="18" t="str">
        <f>"break_"&amp;VLOOKUP(F12, Factor!$CI$4:$CJ$6, 2, 0)&amp;"_"&amp;D12&amp;"_"&amp;VLOOKUP(E12, Factor!$CK$4:$CL$13, 2, 0)</f>
        <v>break_Hyd_T1_004</v>
      </c>
      <c r="B12" s="18" t="str">
        <f t="shared" si="0"/>
        <v>T1 화물용 유압식제동장치</v>
      </c>
      <c r="C12" s="18">
        <f>VLOOKUP(D12, Factor!$AH$41:$AI$50, 2, 0)</f>
        <v>1000</v>
      </c>
      <c r="D12" s="18" t="s">
        <v>296</v>
      </c>
      <c r="E12" s="55" t="s">
        <v>648</v>
      </c>
      <c r="F12" s="55" t="s">
        <v>693</v>
      </c>
      <c r="G12" s="18" t="str">
        <f t="shared" si="1"/>
        <v>화물용 유압식</v>
      </c>
      <c r="H12" s="18">
        <v>1</v>
      </c>
      <c r="I12" s="18">
        <v>1</v>
      </c>
      <c r="J12" s="18" cm="1">
        <f t="array" ref="J12">H12*VLOOKUP($G12, Factor!$AI$4:$AK$36, 2, 0)*INDEX(Factor!$AI$41:$AK$87, _xlfn.XMATCH($C12, Factor!$AI$41:$AI$87, -1), 2)</f>
        <v>12.5</v>
      </c>
      <c r="K12" s="18" cm="1">
        <f t="array" ref="K12">I12*VLOOKUP($G12, Factor!$AI$4:$AK$36, 3, 0)*INDEX(Factor!$AI$41:$AK$87, _xlfn.XMATCH($C12, Factor!$AI$41:$AI$87, -1), 3)</f>
        <v>750</v>
      </c>
      <c r="L12" s="19"/>
      <c r="M12" s="13" t="s">
        <v>208</v>
      </c>
    </row>
    <row r="13" spans="1:13" ht="15.75" customHeight="1" x14ac:dyDescent="0.2">
      <c r="A13" s="15" t="str">
        <f>"break_"&amp;VLOOKUP(F13, Factor!$CI$4:$CJ$6, 2, 0)&amp;"_"&amp;D13&amp;"_"&amp;VLOOKUP(E13, Factor!$CK$4:$CL$13, 2, 0)</f>
        <v>break_Elc_T1_001</v>
      </c>
      <c r="B13" s="15" t="str">
        <f t="shared" si="0"/>
        <v>T1 표준 전자식제동장치</v>
      </c>
      <c r="C13" s="15">
        <f>VLOOKUP(D13, Factor!$AH$41:$AI$50, 2, 0)</f>
        <v>1000</v>
      </c>
      <c r="D13" s="15" t="s">
        <v>296</v>
      </c>
      <c r="E13" s="56" t="s">
        <v>582</v>
      </c>
      <c r="F13" s="56" t="s">
        <v>694</v>
      </c>
      <c r="G13" s="15" t="str">
        <f t="shared" si="1"/>
        <v>표준 전자식</v>
      </c>
      <c r="H13" s="15">
        <v>1</v>
      </c>
      <c r="I13" s="15">
        <v>1</v>
      </c>
      <c r="J13" s="15" cm="1">
        <f t="array" ref="J13">H13*VLOOKUP($G13, Factor!$AI$4:$AK$36, 2, 0)*INDEX(Factor!$AI$41:$AK$87, _xlfn.XMATCH($C13, Factor!$AI$41:$AI$87, -1), 2)</f>
        <v>4.5</v>
      </c>
      <c r="K13" s="15" cm="1">
        <f t="array" ref="K13">I13*VLOOKUP($G13, Factor!$AI$4:$AK$36, 3, 0)*INDEX(Factor!$AI$41:$AK$87, _xlfn.XMATCH($C13, Factor!$AI$41:$AI$87, -1), 3)</f>
        <v>250</v>
      </c>
      <c r="L13" s="16"/>
    </row>
    <row r="14" spans="1:13" ht="15.75" customHeight="1" x14ac:dyDescent="0.2">
      <c r="A14" s="18" t="str">
        <f>"break_"&amp;VLOOKUP(F14, Factor!$CI$4:$CJ$6, 2, 0)&amp;"_"&amp;D14&amp;"_"&amp;VLOOKUP(E14, Factor!$CK$4:$CL$13, 2, 0)</f>
        <v>break_Elc_T1_002</v>
      </c>
      <c r="B14" s="18" t="str">
        <f t="shared" si="0"/>
        <v>T1 고성능 전자식제동장치</v>
      </c>
      <c r="C14" s="18">
        <f>VLOOKUP(D14, Factor!$AH$41:$AI$50, 2, 0)</f>
        <v>1000</v>
      </c>
      <c r="D14" s="18" t="s">
        <v>296</v>
      </c>
      <c r="E14" s="55" t="s">
        <v>644</v>
      </c>
      <c r="F14" s="55" t="s">
        <v>694</v>
      </c>
      <c r="G14" s="18" t="str">
        <f t="shared" si="1"/>
        <v>고성능 전자식</v>
      </c>
      <c r="H14" s="18">
        <v>1</v>
      </c>
      <c r="I14" s="18">
        <v>1</v>
      </c>
      <c r="J14" s="18" cm="1">
        <f t="array" ref="J14">H14*VLOOKUP($G14, Factor!$AI$4:$AK$36, 2, 0)*INDEX(Factor!$AI$41:$AK$87, _xlfn.XMATCH($C14, Factor!$AI$41:$AI$87, -1), 2)</f>
        <v>9.5</v>
      </c>
      <c r="K14" s="18" cm="1">
        <f t="array" ref="K14">I14*VLOOKUP($G14, Factor!$AI$4:$AK$36, 3, 0)*INDEX(Factor!$AI$41:$AK$87, _xlfn.XMATCH($C14, Factor!$AI$41:$AI$87, -1), 3)</f>
        <v>500</v>
      </c>
      <c r="L14" s="19"/>
    </row>
    <row r="15" spans="1:13" ht="15.75" customHeight="1" x14ac:dyDescent="0.2">
      <c r="A15" s="15" t="str">
        <f>"break_"&amp;VLOOKUP(F15, Factor!$CI$4:$CJ$6, 2, 0)&amp;"_"&amp;D15&amp;"_"&amp;VLOOKUP(E15, Factor!$CK$4:$CL$13, 2, 0)</f>
        <v>break_Elc_T1_003</v>
      </c>
      <c r="B15" s="15" t="str">
        <f t="shared" si="0"/>
        <v>T1 경량 전자식제동장치</v>
      </c>
      <c r="C15" s="15">
        <f>VLOOKUP(D15, Factor!$AH$41:$AI$50, 2, 0)</f>
        <v>1000</v>
      </c>
      <c r="D15" s="15" t="s">
        <v>296</v>
      </c>
      <c r="E15" s="56" t="s">
        <v>585</v>
      </c>
      <c r="F15" s="56" t="s">
        <v>694</v>
      </c>
      <c r="G15" s="15" t="str">
        <f t="shared" si="1"/>
        <v>경량 전자식</v>
      </c>
      <c r="H15" s="15">
        <v>1</v>
      </c>
      <c r="I15" s="15">
        <v>1</v>
      </c>
      <c r="J15" s="15" cm="1">
        <f t="array" ref="J15">H15*VLOOKUP($G15, Factor!$AI$4:$AK$36, 2, 0)*INDEX(Factor!$AI$41:$AK$87, _xlfn.XMATCH($C15, Factor!$AI$41:$AI$87, -1), 2)</f>
        <v>2.5</v>
      </c>
      <c r="K15" s="15" cm="1">
        <f t="array" ref="K15">I15*VLOOKUP($G15, Factor!$AI$4:$AK$36, 3, 0)*INDEX(Factor!$AI$41:$AK$87, _xlfn.XMATCH($C15, Factor!$AI$41:$AI$87, -1), 3)</f>
        <v>70</v>
      </c>
      <c r="L15" s="16"/>
    </row>
    <row r="16" spans="1:13" ht="15.75" customHeight="1" x14ac:dyDescent="0.2">
      <c r="A16" s="18" t="str">
        <f>"break_"&amp;VLOOKUP(F16, Factor!$CI$4:$CJ$6, 2, 0)&amp;"_"&amp;D16&amp;"_"&amp;VLOOKUP(E16, Factor!$CK$4:$CL$13, 2, 0)</f>
        <v>break_Elc_T1_004</v>
      </c>
      <c r="B16" s="18" t="str">
        <f t="shared" si="0"/>
        <v>T1 화물용 전자식제동장치</v>
      </c>
      <c r="C16" s="18">
        <f>VLOOKUP(D16, Factor!$AH$41:$AI$50, 2, 0)</f>
        <v>1000</v>
      </c>
      <c r="D16" s="18" t="s">
        <v>296</v>
      </c>
      <c r="E16" s="55" t="s">
        <v>648</v>
      </c>
      <c r="F16" s="55" t="s">
        <v>694</v>
      </c>
      <c r="G16" s="18" t="str">
        <f t="shared" si="1"/>
        <v>화물용 전자식</v>
      </c>
      <c r="H16" s="18">
        <v>1</v>
      </c>
      <c r="I16" s="18">
        <v>1</v>
      </c>
      <c r="J16" s="18" cm="1">
        <f t="array" ref="J16">H16*VLOOKUP($G16, Factor!$AI$4:$AK$36, 2, 0)*INDEX(Factor!$AI$41:$AK$87, _xlfn.XMATCH($C16, Factor!$AI$41:$AI$87, -1), 2)</f>
        <v>11.5</v>
      </c>
      <c r="K16" s="18" cm="1">
        <f t="array" ref="K16">I16*VLOOKUP($G16, Factor!$AI$4:$AK$36, 3, 0)*INDEX(Factor!$AI$41:$AK$87, _xlfn.XMATCH($C16, Factor!$AI$41:$AI$87, -1), 3)</f>
        <v>700</v>
      </c>
      <c r="L16" s="19"/>
    </row>
    <row r="17" spans="1:12" ht="15.75" customHeight="1" x14ac:dyDescent="0.2">
      <c r="A17" s="15" t="str">
        <f>"break_"&amp;VLOOKUP(F17, Factor!$CI$4:$CJ$6, 2, 0)&amp;"_"&amp;D17&amp;"_"&amp;VLOOKUP(E17, Factor!$CK$4:$CL$13, 2, 0)</f>
        <v>break_Mac_T2_001</v>
      </c>
      <c r="B17" s="15" t="str">
        <f t="shared" si="0"/>
        <v>T2 표준 기계식제동장치</v>
      </c>
      <c r="C17" s="15">
        <f>VLOOKUP(D17, Factor!$AH$41:$AI$50, 2, 0)</f>
        <v>2000</v>
      </c>
      <c r="D17" s="15" t="s">
        <v>320</v>
      </c>
      <c r="E17" s="56" t="s">
        <v>582</v>
      </c>
      <c r="F17" s="56" t="s">
        <v>692</v>
      </c>
      <c r="G17" s="15" t="str">
        <f t="shared" si="1"/>
        <v>표준 기계식</v>
      </c>
      <c r="H17" s="15">
        <v>1</v>
      </c>
      <c r="I17" s="15">
        <v>1</v>
      </c>
      <c r="J17" s="15" cm="1">
        <f t="array" ref="J17">H17*VLOOKUP($G17, Factor!$AI$4:$AK$36, 2, 0)*INDEX(Factor!$AI$41:$AK$87, _xlfn.XMATCH($C17, Factor!$AI$41:$AI$87, -1), 2)</f>
        <v>6</v>
      </c>
      <c r="K17" s="15" cm="1">
        <f t="array" ref="K17">I17*VLOOKUP($G17, Factor!$AI$4:$AK$36, 3, 0)*INDEX(Factor!$AI$41:$AK$87, _xlfn.XMATCH($C17, Factor!$AI$41:$AI$87, -1), 3)</f>
        <v>360</v>
      </c>
      <c r="L17" s="16"/>
    </row>
    <row r="18" spans="1:12" ht="15.75" customHeight="1" x14ac:dyDescent="0.2">
      <c r="A18" s="18" t="str">
        <f>"break_"&amp;VLOOKUP(F18, Factor!$CI$4:$CJ$6, 2, 0)&amp;"_"&amp;D18&amp;"_"&amp;VLOOKUP(E18, Factor!$CK$4:$CL$13, 2, 0)</f>
        <v>break_Mac_T2_002</v>
      </c>
      <c r="B18" s="18" t="str">
        <f t="shared" si="0"/>
        <v>T2 고성능 기계식제동장치</v>
      </c>
      <c r="C18" s="18">
        <f>VLOOKUP(D18, Factor!$AH$41:$AI$50, 2, 0)</f>
        <v>2000</v>
      </c>
      <c r="D18" s="18" t="s">
        <v>320</v>
      </c>
      <c r="E18" s="55" t="s">
        <v>644</v>
      </c>
      <c r="F18" s="55" t="s">
        <v>692</v>
      </c>
      <c r="G18" s="18" t="str">
        <f t="shared" si="1"/>
        <v>고성능 기계식</v>
      </c>
      <c r="H18" s="18">
        <v>1</v>
      </c>
      <c r="I18" s="18">
        <v>1</v>
      </c>
      <c r="J18" s="18" cm="1">
        <f t="array" ref="J18">H18*VLOOKUP($G18, Factor!$AI$4:$AK$36, 2, 0)*INDEX(Factor!$AI$41:$AK$87, _xlfn.XMATCH($C18, Factor!$AI$41:$AI$87, -1), 2)</f>
        <v>12</v>
      </c>
      <c r="K18" s="18" cm="1">
        <f t="array" ref="K18">I18*VLOOKUP($G18, Factor!$AI$4:$AK$36, 3, 0)*INDEX(Factor!$AI$41:$AK$87, _xlfn.XMATCH($C18, Factor!$AI$41:$AI$87, -1), 3)</f>
        <v>720</v>
      </c>
      <c r="L18" s="19"/>
    </row>
    <row r="19" spans="1:12" ht="15.75" customHeight="1" x14ac:dyDescent="0.2">
      <c r="A19" s="15" t="str">
        <f>"break_"&amp;VLOOKUP(F19, Factor!$CI$4:$CJ$6, 2, 0)&amp;"_"&amp;D19&amp;"_"&amp;VLOOKUP(E19, Factor!$CK$4:$CL$13, 2, 0)</f>
        <v>break_Mac_T2_003</v>
      </c>
      <c r="B19" s="15" t="str">
        <f t="shared" si="0"/>
        <v>T2 경량 기계식제동장치</v>
      </c>
      <c r="C19" s="15">
        <f>VLOOKUP(D19, Factor!$AH$41:$AI$50, 2, 0)</f>
        <v>2000</v>
      </c>
      <c r="D19" s="15" t="s">
        <v>298</v>
      </c>
      <c r="E19" s="56" t="s">
        <v>585</v>
      </c>
      <c r="F19" s="56" t="s">
        <v>692</v>
      </c>
      <c r="G19" s="15" t="str">
        <f t="shared" si="1"/>
        <v>경량 기계식</v>
      </c>
      <c r="H19" s="15">
        <v>1</v>
      </c>
      <c r="I19" s="15">
        <v>1</v>
      </c>
      <c r="J19" s="15" cm="1">
        <f t="array" ref="J19">H19*VLOOKUP($G19, Factor!$AI$4:$AK$36, 2, 0)*INDEX(Factor!$AI$41:$AK$87, _xlfn.XMATCH($C19, Factor!$AI$41:$AI$87, -1), 2)</f>
        <v>3.5999999999999996</v>
      </c>
      <c r="K19" s="15" cm="1">
        <f t="array" ref="K19">I19*VLOOKUP($G19, Factor!$AI$4:$AK$36, 3, 0)*INDEX(Factor!$AI$41:$AK$87, _xlfn.XMATCH($C19, Factor!$AI$41:$AI$87, -1), 3)</f>
        <v>120</v>
      </c>
      <c r="L19" s="16"/>
    </row>
    <row r="20" spans="1:12" ht="15.75" customHeight="1" x14ac:dyDescent="0.2">
      <c r="A20" s="18" t="str">
        <f>"break_"&amp;VLOOKUP(F20, Factor!$CI$4:$CJ$6, 2, 0)&amp;"_"&amp;D20&amp;"_"&amp;VLOOKUP(E20, Factor!$CK$4:$CL$13, 2, 0)</f>
        <v>break_Mac_T2_004</v>
      </c>
      <c r="B20" s="18" t="str">
        <f t="shared" si="0"/>
        <v>T2 화물용 기계식제동장치</v>
      </c>
      <c r="C20" s="18">
        <f>VLOOKUP(D20, Factor!$AH$41:$AI$50, 2, 0)</f>
        <v>2000</v>
      </c>
      <c r="D20" s="18" t="s">
        <v>298</v>
      </c>
      <c r="E20" s="55" t="s">
        <v>648</v>
      </c>
      <c r="F20" s="55" t="s">
        <v>692</v>
      </c>
      <c r="G20" s="18" t="str">
        <f t="shared" si="1"/>
        <v>화물용 기계식</v>
      </c>
      <c r="H20" s="18">
        <v>1</v>
      </c>
      <c r="I20" s="18">
        <v>1</v>
      </c>
      <c r="J20" s="18" cm="1">
        <f t="array" ref="J20">H20*VLOOKUP($G20, Factor!$AI$4:$AK$36, 2, 0)*INDEX(Factor!$AI$41:$AK$87, _xlfn.XMATCH($C20, Factor!$AI$41:$AI$87, -1), 2)</f>
        <v>14.399999999999999</v>
      </c>
      <c r="K20" s="18" cm="1">
        <f t="array" ref="K20">I20*VLOOKUP($G20, Factor!$AI$4:$AK$36, 3, 0)*INDEX(Factor!$AI$41:$AK$87, _xlfn.XMATCH($C20, Factor!$AI$41:$AI$87, -1), 3)</f>
        <v>960</v>
      </c>
      <c r="L20" s="19"/>
    </row>
    <row r="21" spans="1:12" ht="15.75" customHeight="1" x14ac:dyDescent="0.2">
      <c r="A21" s="15" t="str">
        <f>"break_"&amp;VLOOKUP(F21, Factor!$CI$4:$CJ$6, 2, 0)&amp;"_"&amp;D21&amp;"_"&amp;VLOOKUP(E21, Factor!$CK$4:$CL$13, 2, 0)</f>
        <v>break_Hyd_T2_001</v>
      </c>
      <c r="B21" s="15" t="str">
        <f t="shared" si="0"/>
        <v>T2 표준 유압식제동장치</v>
      </c>
      <c r="C21" s="15">
        <f>VLOOKUP(D21, Factor!$AH$41:$AI$50, 2, 0)</f>
        <v>2000</v>
      </c>
      <c r="D21" s="15" t="s">
        <v>298</v>
      </c>
      <c r="E21" s="56" t="s">
        <v>582</v>
      </c>
      <c r="F21" s="56" t="s">
        <v>693</v>
      </c>
      <c r="G21" s="15" t="str">
        <f t="shared" si="1"/>
        <v>표준 유압식</v>
      </c>
      <c r="H21" s="15">
        <v>1</v>
      </c>
      <c r="I21" s="15">
        <v>1</v>
      </c>
      <c r="J21" s="15" cm="1">
        <f t="array" ref="J21">H21*VLOOKUP($G21, Factor!$AI$4:$AK$36, 2, 0)*INDEX(Factor!$AI$41:$AK$87, _xlfn.XMATCH($C21, Factor!$AI$41:$AI$87, -1), 2)</f>
        <v>6.6</v>
      </c>
      <c r="K21" s="15" cm="1">
        <f t="array" ref="K21">I21*VLOOKUP($G21, Factor!$AI$4:$AK$36, 3, 0)*INDEX(Factor!$AI$41:$AK$87, _xlfn.XMATCH($C21, Factor!$AI$41:$AI$87, -1), 3)</f>
        <v>336</v>
      </c>
      <c r="L21" s="16"/>
    </row>
    <row r="22" spans="1:12" ht="15.75" customHeight="1" x14ac:dyDescent="0.2">
      <c r="A22" s="18" t="str">
        <f>"break_"&amp;VLOOKUP(F22, Factor!$CI$4:$CJ$6, 2, 0)&amp;"_"&amp;D22&amp;"_"&amp;VLOOKUP(E22, Factor!$CK$4:$CL$13, 2, 0)</f>
        <v>break_Hyd_T2_002</v>
      </c>
      <c r="B22" s="18" t="str">
        <f t="shared" si="0"/>
        <v>T2 고성능 유압식제동장치</v>
      </c>
      <c r="C22" s="18">
        <f>VLOOKUP(D22, Factor!$AH$41:$AI$50, 2, 0)</f>
        <v>2000</v>
      </c>
      <c r="D22" s="18" t="s">
        <v>298</v>
      </c>
      <c r="E22" s="55" t="s">
        <v>644</v>
      </c>
      <c r="F22" s="55" t="s">
        <v>693</v>
      </c>
      <c r="G22" s="18" t="str">
        <f t="shared" si="1"/>
        <v>고성능 유압식</v>
      </c>
      <c r="H22" s="18">
        <v>1</v>
      </c>
      <c r="I22" s="18">
        <v>1</v>
      </c>
      <c r="J22" s="18" cm="1">
        <f t="array" ref="J22">H22*VLOOKUP($G22, Factor!$AI$4:$AK$36, 2, 0)*INDEX(Factor!$AI$41:$AK$87, _xlfn.XMATCH($C22, Factor!$AI$41:$AI$87, -1), 2)</f>
        <v>12.6</v>
      </c>
      <c r="K22" s="18" cm="1">
        <f t="array" ref="K22">I22*VLOOKUP($G22, Factor!$AI$4:$AK$36, 3, 0)*INDEX(Factor!$AI$41:$AK$87, _xlfn.XMATCH($C22, Factor!$AI$41:$AI$87, -1), 3)</f>
        <v>660</v>
      </c>
      <c r="L22" s="19"/>
    </row>
    <row r="23" spans="1:12" ht="15.75" customHeight="1" x14ac:dyDescent="0.2">
      <c r="A23" s="15" t="str">
        <f>"break_"&amp;VLOOKUP(F23, Factor!$CI$4:$CJ$6, 2, 0)&amp;"_"&amp;D23&amp;"_"&amp;VLOOKUP(E23, Factor!$CK$4:$CL$13, 2, 0)</f>
        <v>break_Hyd_T2_003</v>
      </c>
      <c r="B23" s="15" t="str">
        <f t="shared" si="0"/>
        <v>T2 경량 유압식제동장치</v>
      </c>
      <c r="C23" s="15">
        <f>VLOOKUP(D23, Factor!$AH$41:$AI$50, 2, 0)</f>
        <v>2000</v>
      </c>
      <c r="D23" s="15" t="s">
        <v>298</v>
      </c>
      <c r="E23" s="56" t="s">
        <v>585</v>
      </c>
      <c r="F23" s="56" t="s">
        <v>693</v>
      </c>
      <c r="G23" s="15" t="str">
        <f t="shared" si="1"/>
        <v>경량 유압식</v>
      </c>
      <c r="H23" s="15">
        <v>1</v>
      </c>
      <c r="I23" s="15">
        <v>1</v>
      </c>
      <c r="J23" s="15" cm="1">
        <f t="array" ref="J23">H23*VLOOKUP($G23, Factor!$AI$4:$AK$36, 2, 0)*INDEX(Factor!$AI$41:$AK$87, _xlfn.XMATCH($C23, Factor!$AI$41:$AI$87, -1), 2)</f>
        <v>4.2</v>
      </c>
      <c r="K23" s="15" cm="1">
        <f t="array" ref="K23">I23*VLOOKUP($G23, Factor!$AI$4:$AK$36, 3, 0)*INDEX(Factor!$AI$41:$AK$87, _xlfn.XMATCH($C23, Factor!$AI$41:$AI$87, -1), 3)</f>
        <v>108</v>
      </c>
      <c r="L23" s="16"/>
    </row>
    <row r="24" spans="1:12" ht="15.75" customHeight="1" x14ac:dyDescent="0.2">
      <c r="A24" s="18" t="str">
        <f>"break_"&amp;VLOOKUP(F24, Factor!$CI$4:$CJ$6, 2, 0)&amp;"_"&amp;D24&amp;"_"&amp;VLOOKUP(E24, Factor!$CK$4:$CL$13, 2, 0)</f>
        <v>break_Hyd_T2_004</v>
      </c>
      <c r="B24" s="18" t="str">
        <f t="shared" si="0"/>
        <v>T2 화물용 유압식제동장치</v>
      </c>
      <c r="C24" s="18">
        <f>VLOOKUP(D24, Factor!$AH$41:$AI$50, 2, 0)</f>
        <v>2000</v>
      </c>
      <c r="D24" s="18" t="s">
        <v>298</v>
      </c>
      <c r="E24" s="55" t="s">
        <v>648</v>
      </c>
      <c r="F24" s="55" t="s">
        <v>693</v>
      </c>
      <c r="G24" s="18" t="str">
        <f t="shared" si="1"/>
        <v>화물용 유압식</v>
      </c>
      <c r="H24" s="18">
        <v>1</v>
      </c>
      <c r="I24" s="18">
        <v>1</v>
      </c>
      <c r="J24" s="18" cm="1">
        <f t="array" ref="J24">H24*VLOOKUP($G24, Factor!$AI$4:$AK$36, 2, 0)*INDEX(Factor!$AI$41:$AK$87, _xlfn.XMATCH($C24, Factor!$AI$41:$AI$87, -1), 2)</f>
        <v>15</v>
      </c>
      <c r="K24" s="18" cm="1">
        <f t="array" ref="K24">I24*VLOOKUP($G24, Factor!$AI$4:$AK$36, 3, 0)*INDEX(Factor!$AI$41:$AK$87, _xlfn.XMATCH($C24, Factor!$AI$41:$AI$87, -1), 3)</f>
        <v>900</v>
      </c>
      <c r="L24" s="19"/>
    </row>
    <row r="25" spans="1:12" ht="15.75" customHeight="1" x14ac:dyDescent="0.2">
      <c r="A25" s="15" t="str">
        <f>"break_"&amp;VLOOKUP(F25, Factor!$CI$4:$CJ$6, 2, 0)&amp;"_"&amp;D25&amp;"_"&amp;VLOOKUP(E25, Factor!$CK$4:$CL$13, 2, 0)</f>
        <v>break_Elc_T2_001</v>
      </c>
      <c r="B25" s="15" t="str">
        <f t="shared" si="0"/>
        <v>T2 표준 전자식제동장치</v>
      </c>
      <c r="C25" s="15">
        <f>VLOOKUP(D25, Factor!$AH$41:$AI$50, 2, 0)</f>
        <v>2000</v>
      </c>
      <c r="D25" s="15" t="s">
        <v>298</v>
      </c>
      <c r="E25" s="56" t="s">
        <v>582</v>
      </c>
      <c r="F25" s="56" t="s">
        <v>694</v>
      </c>
      <c r="G25" s="15" t="str">
        <f t="shared" si="1"/>
        <v>표준 전자식</v>
      </c>
      <c r="H25" s="15">
        <v>1</v>
      </c>
      <c r="I25" s="15">
        <v>1</v>
      </c>
      <c r="J25" s="15" cm="1">
        <f t="array" ref="J25">H25*VLOOKUP($G25, Factor!$AI$4:$AK$36, 2, 0)*INDEX(Factor!$AI$41:$AK$87, _xlfn.XMATCH($C25, Factor!$AI$41:$AI$87, -1), 2)</f>
        <v>5.3999999999999995</v>
      </c>
      <c r="K25" s="15" cm="1">
        <f t="array" ref="K25">I25*VLOOKUP($G25, Factor!$AI$4:$AK$36, 3, 0)*INDEX(Factor!$AI$41:$AK$87, _xlfn.XMATCH($C25, Factor!$AI$41:$AI$87, -1), 3)</f>
        <v>300</v>
      </c>
      <c r="L25" s="16"/>
    </row>
    <row r="26" spans="1:12" ht="15.75" customHeight="1" x14ac:dyDescent="0.2">
      <c r="A26" s="18" t="str">
        <f>"break_"&amp;VLOOKUP(F26, Factor!$CI$4:$CJ$6, 2, 0)&amp;"_"&amp;D26&amp;"_"&amp;VLOOKUP(E26, Factor!$CK$4:$CL$13, 2, 0)</f>
        <v>break_Elc_T2_002</v>
      </c>
      <c r="B26" s="18" t="str">
        <f t="shared" si="0"/>
        <v>T2 고성능 전자식제동장치</v>
      </c>
      <c r="C26" s="18">
        <f>VLOOKUP(D26, Factor!$AH$41:$AI$50, 2, 0)</f>
        <v>2000</v>
      </c>
      <c r="D26" s="18" t="s">
        <v>298</v>
      </c>
      <c r="E26" s="55" t="s">
        <v>644</v>
      </c>
      <c r="F26" s="55" t="s">
        <v>694</v>
      </c>
      <c r="G26" s="18" t="str">
        <f t="shared" si="1"/>
        <v>고성능 전자식</v>
      </c>
      <c r="H26" s="18">
        <v>1</v>
      </c>
      <c r="I26" s="18">
        <v>1</v>
      </c>
      <c r="J26" s="18" cm="1">
        <f t="array" ref="J26">H26*VLOOKUP($G26, Factor!$AI$4:$AK$36, 2, 0)*INDEX(Factor!$AI$41:$AK$87, _xlfn.XMATCH($C26, Factor!$AI$41:$AI$87, -1), 2)</f>
        <v>11.4</v>
      </c>
      <c r="K26" s="18" cm="1">
        <f t="array" ref="K26">I26*VLOOKUP($G26, Factor!$AI$4:$AK$36, 3, 0)*INDEX(Factor!$AI$41:$AK$87, _xlfn.XMATCH($C26, Factor!$AI$41:$AI$87, -1), 3)</f>
        <v>600</v>
      </c>
      <c r="L26" s="19"/>
    </row>
    <row r="27" spans="1:12" ht="15.75" customHeight="1" x14ac:dyDescent="0.2">
      <c r="A27" s="15" t="str">
        <f>"break_"&amp;VLOOKUP(F27, Factor!$CI$4:$CJ$6, 2, 0)&amp;"_"&amp;D27&amp;"_"&amp;VLOOKUP(E27, Factor!$CK$4:$CL$13, 2, 0)</f>
        <v>break_Elc_T2_003</v>
      </c>
      <c r="B27" s="15" t="str">
        <f t="shared" si="0"/>
        <v>T2 경량 전자식제동장치</v>
      </c>
      <c r="C27" s="15">
        <f>VLOOKUP(D27, Factor!$AH$41:$AI$50, 2, 0)</f>
        <v>2000</v>
      </c>
      <c r="D27" s="15" t="s">
        <v>298</v>
      </c>
      <c r="E27" s="56" t="s">
        <v>585</v>
      </c>
      <c r="F27" s="56" t="s">
        <v>694</v>
      </c>
      <c r="G27" s="15" t="str">
        <f t="shared" si="1"/>
        <v>경량 전자식</v>
      </c>
      <c r="H27" s="15">
        <v>1</v>
      </c>
      <c r="I27" s="15">
        <v>1</v>
      </c>
      <c r="J27" s="15" cm="1">
        <f t="array" ref="J27">H27*VLOOKUP($G27, Factor!$AI$4:$AK$36, 2, 0)*INDEX(Factor!$AI$41:$AK$87, _xlfn.XMATCH($C27, Factor!$AI$41:$AI$87, -1), 2)</f>
        <v>3</v>
      </c>
      <c r="K27" s="15" cm="1">
        <f t="array" ref="K27">I27*VLOOKUP($G27, Factor!$AI$4:$AK$36, 3, 0)*INDEX(Factor!$AI$41:$AK$87, _xlfn.XMATCH($C27, Factor!$AI$41:$AI$87, -1), 3)</f>
        <v>84</v>
      </c>
      <c r="L27" s="16"/>
    </row>
    <row r="28" spans="1:12" ht="15.75" customHeight="1" x14ac:dyDescent="0.2">
      <c r="A28" s="18" t="str">
        <f>"break_"&amp;VLOOKUP(F28, Factor!$CI$4:$CJ$6, 2, 0)&amp;"_"&amp;D28&amp;"_"&amp;VLOOKUP(E28, Factor!$CK$4:$CL$13, 2, 0)</f>
        <v>break_Elc_T2_004</v>
      </c>
      <c r="B28" s="18" t="str">
        <f t="shared" si="0"/>
        <v>T2 화물용 전자식제동장치</v>
      </c>
      <c r="C28" s="18">
        <f>VLOOKUP(D28, Factor!$AH$41:$AI$50, 2, 0)</f>
        <v>2000</v>
      </c>
      <c r="D28" s="18" t="s">
        <v>298</v>
      </c>
      <c r="E28" s="55" t="s">
        <v>648</v>
      </c>
      <c r="F28" s="55" t="s">
        <v>694</v>
      </c>
      <c r="G28" s="18" t="str">
        <f t="shared" si="1"/>
        <v>화물용 전자식</v>
      </c>
      <c r="H28" s="18">
        <v>1</v>
      </c>
      <c r="I28" s="18">
        <v>1</v>
      </c>
      <c r="J28" s="18" cm="1">
        <f t="array" ref="J28">H28*VLOOKUP($G28, Factor!$AI$4:$AK$36, 2, 0)*INDEX(Factor!$AI$41:$AK$87, _xlfn.XMATCH($C28, Factor!$AI$41:$AI$87, -1), 2)</f>
        <v>13.799999999999999</v>
      </c>
      <c r="K28" s="18" cm="1">
        <f t="array" ref="K28">I28*VLOOKUP($G28, Factor!$AI$4:$AK$36, 3, 0)*INDEX(Factor!$AI$41:$AK$87, _xlfn.XMATCH($C28, Factor!$AI$41:$AI$87, -1), 3)</f>
        <v>840</v>
      </c>
      <c r="L28" s="19"/>
    </row>
    <row r="29" spans="1:12" ht="15.75" customHeight="1" x14ac:dyDescent="0.2">
      <c r="A29" s="15" t="str">
        <f>"break_"&amp;VLOOKUP(F29, Factor!$CI$4:$CJ$6, 2, 0)&amp;"_"&amp;D29&amp;"_"&amp;VLOOKUP(E29, Factor!$CK$4:$CL$13, 2, 0)</f>
        <v>break_Mac_T3_001</v>
      </c>
      <c r="B29" s="15" t="str">
        <f t="shared" si="0"/>
        <v>T3 표준 기계식제동장치</v>
      </c>
      <c r="C29" s="15">
        <f>VLOOKUP(D29, Factor!$AH$41:$AI$50, 2, 0)</f>
        <v>3000</v>
      </c>
      <c r="D29" s="15" t="s">
        <v>321</v>
      </c>
      <c r="E29" s="56" t="s">
        <v>582</v>
      </c>
      <c r="F29" s="56" t="s">
        <v>692</v>
      </c>
      <c r="G29" s="15" t="str">
        <f t="shared" si="1"/>
        <v>표준 기계식</v>
      </c>
      <c r="H29" s="15">
        <v>1</v>
      </c>
      <c r="I29" s="15">
        <v>1</v>
      </c>
      <c r="J29" s="15" cm="1">
        <f t="array" ref="J29">H29*VLOOKUP($G29, Factor!$AI$4:$AK$36, 2, 0)*INDEX(Factor!$AI$41:$AK$87, _xlfn.XMATCH($C29, Factor!$AI$41:$AI$87, -1), 2)</f>
        <v>7</v>
      </c>
      <c r="K29" s="15" cm="1">
        <f t="array" ref="K29">I29*VLOOKUP($G29, Factor!$AI$4:$AK$36, 3, 0)*INDEX(Factor!$AI$41:$AK$87, _xlfn.XMATCH($C29, Factor!$AI$41:$AI$87, -1), 3)</f>
        <v>420</v>
      </c>
      <c r="L29" s="16"/>
    </row>
    <row r="30" spans="1:12" ht="15.75" customHeight="1" x14ac:dyDescent="0.2">
      <c r="A30" s="18" t="str">
        <f>"break_"&amp;VLOOKUP(F30, Factor!$CI$4:$CJ$6, 2, 0)&amp;"_"&amp;D30&amp;"_"&amp;VLOOKUP(E30, Factor!$CK$4:$CL$13, 2, 0)</f>
        <v>break_Mac_T3_002</v>
      </c>
      <c r="B30" s="18" t="str">
        <f t="shared" si="0"/>
        <v>T3 고성능 기계식제동장치</v>
      </c>
      <c r="C30" s="18">
        <f>VLOOKUP(D30, Factor!$AH$41:$AI$50, 2, 0)</f>
        <v>3000</v>
      </c>
      <c r="D30" s="18" t="s">
        <v>321</v>
      </c>
      <c r="E30" s="55" t="s">
        <v>644</v>
      </c>
      <c r="F30" s="55" t="s">
        <v>692</v>
      </c>
      <c r="G30" s="18" t="str">
        <f t="shared" si="1"/>
        <v>고성능 기계식</v>
      </c>
      <c r="H30" s="18">
        <v>1</v>
      </c>
      <c r="I30" s="18">
        <v>1</v>
      </c>
      <c r="J30" s="18" cm="1">
        <f t="array" ref="J30">H30*VLOOKUP($G30, Factor!$AI$4:$AK$36, 2, 0)*INDEX(Factor!$AI$41:$AK$87, _xlfn.XMATCH($C30, Factor!$AI$41:$AI$87, -1), 2)</f>
        <v>14</v>
      </c>
      <c r="K30" s="18" cm="1">
        <f t="array" ref="K30">I30*VLOOKUP($G30, Factor!$AI$4:$AK$36, 3, 0)*INDEX(Factor!$AI$41:$AK$87, _xlfn.XMATCH($C30, Factor!$AI$41:$AI$87, -1), 3)</f>
        <v>840</v>
      </c>
      <c r="L30" s="19"/>
    </row>
    <row r="31" spans="1:12" ht="15.75" customHeight="1" x14ac:dyDescent="0.2">
      <c r="A31" s="15" t="str">
        <f>"break_"&amp;VLOOKUP(F31, Factor!$CI$4:$CJ$6, 2, 0)&amp;"_"&amp;D31&amp;"_"&amp;VLOOKUP(E31, Factor!$CK$4:$CL$13, 2, 0)</f>
        <v>break_Mac_T3_003</v>
      </c>
      <c r="B31" s="15" t="str">
        <f t="shared" si="0"/>
        <v>T3 경량 기계식제동장치</v>
      </c>
      <c r="C31" s="15">
        <f>VLOOKUP(D31, Factor!$AH$41:$AI$50, 2, 0)</f>
        <v>3000</v>
      </c>
      <c r="D31" s="15" t="s">
        <v>299</v>
      </c>
      <c r="E31" s="56" t="s">
        <v>585</v>
      </c>
      <c r="F31" s="56" t="s">
        <v>692</v>
      </c>
      <c r="G31" s="15" t="str">
        <f t="shared" si="1"/>
        <v>경량 기계식</v>
      </c>
      <c r="H31" s="15">
        <v>1</v>
      </c>
      <c r="I31" s="15">
        <v>1</v>
      </c>
      <c r="J31" s="15" cm="1">
        <f t="array" ref="J31">H31*VLOOKUP($G31, Factor!$AI$4:$AK$36, 2, 0)*INDEX(Factor!$AI$41:$AK$87, _xlfn.XMATCH($C31, Factor!$AI$41:$AI$87, -1), 2)</f>
        <v>4.1999999999999993</v>
      </c>
      <c r="K31" s="15" cm="1">
        <f t="array" ref="K31">I31*VLOOKUP($G31, Factor!$AI$4:$AK$36, 3, 0)*INDEX(Factor!$AI$41:$AK$87, _xlfn.XMATCH($C31, Factor!$AI$41:$AI$87, -1), 3)</f>
        <v>140</v>
      </c>
      <c r="L31" s="16"/>
    </row>
    <row r="32" spans="1:12" ht="15.75" customHeight="1" x14ac:dyDescent="0.2">
      <c r="A32" s="18" t="str">
        <f>"break_"&amp;VLOOKUP(F32, Factor!$CI$4:$CJ$6, 2, 0)&amp;"_"&amp;D32&amp;"_"&amp;VLOOKUP(E32, Factor!$CK$4:$CL$13, 2, 0)</f>
        <v>break_Mac_T3_004</v>
      </c>
      <c r="B32" s="18" t="str">
        <f t="shared" si="0"/>
        <v>T3 화물용 기계식제동장치</v>
      </c>
      <c r="C32" s="18">
        <f>VLOOKUP(D32, Factor!$AH$41:$AI$50, 2, 0)</f>
        <v>3000</v>
      </c>
      <c r="D32" s="18" t="s">
        <v>299</v>
      </c>
      <c r="E32" s="55" t="s">
        <v>648</v>
      </c>
      <c r="F32" s="55" t="s">
        <v>692</v>
      </c>
      <c r="G32" s="18" t="str">
        <f t="shared" si="1"/>
        <v>화물용 기계식</v>
      </c>
      <c r="H32" s="18">
        <v>1</v>
      </c>
      <c r="I32" s="18">
        <v>1</v>
      </c>
      <c r="J32" s="18" cm="1">
        <f t="array" ref="J32">H32*VLOOKUP($G32, Factor!$AI$4:$AK$36, 2, 0)*INDEX(Factor!$AI$41:$AK$87, _xlfn.XMATCH($C32, Factor!$AI$41:$AI$87, -1), 2)</f>
        <v>16.799999999999997</v>
      </c>
      <c r="K32" s="18" cm="1">
        <f t="array" ref="K32">I32*VLOOKUP($G32, Factor!$AI$4:$AK$36, 3, 0)*INDEX(Factor!$AI$41:$AK$87, _xlfn.XMATCH($C32, Factor!$AI$41:$AI$87, -1), 3)</f>
        <v>1120</v>
      </c>
      <c r="L32" s="19"/>
    </row>
    <row r="33" spans="1:12" ht="15.75" customHeight="1" x14ac:dyDescent="0.2">
      <c r="A33" s="15" t="str">
        <f>"break_"&amp;VLOOKUP(F33, Factor!$CI$4:$CJ$6, 2, 0)&amp;"_"&amp;D33&amp;"_"&amp;VLOOKUP(E33, Factor!$CK$4:$CL$13, 2, 0)</f>
        <v>break_Hyd_T3_001</v>
      </c>
      <c r="B33" s="15" t="str">
        <f t="shared" si="0"/>
        <v>T3 표준 유압식제동장치</v>
      </c>
      <c r="C33" s="15">
        <f>VLOOKUP(D33, Factor!$AH$41:$AI$50, 2, 0)</f>
        <v>3000</v>
      </c>
      <c r="D33" s="15" t="s">
        <v>299</v>
      </c>
      <c r="E33" s="56" t="s">
        <v>582</v>
      </c>
      <c r="F33" s="56" t="s">
        <v>693</v>
      </c>
      <c r="G33" s="15" t="str">
        <f t="shared" si="1"/>
        <v>표준 유압식</v>
      </c>
      <c r="H33" s="15">
        <v>1</v>
      </c>
      <c r="I33" s="15">
        <v>1</v>
      </c>
      <c r="J33" s="15" cm="1">
        <f t="array" ref="J33">H33*VLOOKUP($G33, Factor!$AI$4:$AK$36, 2, 0)*INDEX(Factor!$AI$41:$AK$87, _xlfn.XMATCH($C33, Factor!$AI$41:$AI$87, -1), 2)</f>
        <v>7.6999999999999993</v>
      </c>
      <c r="K33" s="15" cm="1">
        <f t="array" ref="K33">I33*VLOOKUP($G33, Factor!$AI$4:$AK$36, 3, 0)*INDEX(Factor!$AI$41:$AK$87, _xlfn.XMATCH($C33, Factor!$AI$41:$AI$87, -1), 3)</f>
        <v>392</v>
      </c>
      <c r="L33" s="16"/>
    </row>
    <row r="34" spans="1:12" ht="15.75" customHeight="1" x14ac:dyDescent="0.2">
      <c r="A34" s="18" t="str">
        <f>"break_"&amp;VLOOKUP(F34, Factor!$CI$4:$CJ$6, 2, 0)&amp;"_"&amp;D34&amp;"_"&amp;VLOOKUP(E34, Factor!$CK$4:$CL$13, 2, 0)</f>
        <v>break_Hyd_T3_002</v>
      </c>
      <c r="B34" s="18" t="str">
        <f t="shared" si="0"/>
        <v>T3 고성능 유압식제동장치</v>
      </c>
      <c r="C34" s="18">
        <f>VLOOKUP(D34, Factor!$AH$41:$AI$50, 2, 0)</f>
        <v>3000</v>
      </c>
      <c r="D34" s="18" t="s">
        <v>299</v>
      </c>
      <c r="E34" s="55" t="s">
        <v>644</v>
      </c>
      <c r="F34" s="55" t="s">
        <v>693</v>
      </c>
      <c r="G34" s="18" t="str">
        <f t="shared" si="1"/>
        <v>고성능 유압식</v>
      </c>
      <c r="H34" s="18">
        <v>1</v>
      </c>
      <c r="I34" s="18">
        <v>1</v>
      </c>
      <c r="J34" s="18" cm="1">
        <f t="array" ref="J34">H34*VLOOKUP($G34, Factor!$AI$4:$AK$36, 2, 0)*INDEX(Factor!$AI$41:$AK$87, _xlfn.XMATCH($C34, Factor!$AI$41:$AI$87, -1), 2)</f>
        <v>14.7</v>
      </c>
      <c r="K34" s="18" cm="1">
        <f t="array" ref="K34">I34*VLOOKUP($G34, Factor!$AI$4:$AK$36, 3, 0)*INDEX(Factor!$AI$41:$AK$87, _xlfn.XMATCH($C34, Factor!$AI$41:$AI$87, -1), 3)</f>
        <v>770</v>
      </c>
      <c r="L34" s="19"/>
    </row>
    <row r="35" spans="1:12" ht="15.75" customHeight="1" x14ac:dyDescent="0.2">
      <c r="A35" s="15" t="str">
        <f>"break_"&amp;VLOOKUP(F35, Factor!$CI$4:$CJ$6, 2, 0)&amp;"_"&amp;D35&amp;"_"&amp;VLOOKUP(E35, Factor!$CK$4:$CL$13, 2, 0)</f>
        <v>break_Hyd_T3_003</v>
      </c>
      <c r="B35" s="15" t="str">
        <f t="shared" ref="B35:B98" si="2">D35&amp;" "&amp;G35&amp;"제동장치"</f>
        <v>T3 경량 유압식제동장치</v>
      </c>
      <c r="C35" s="15">
        <f>VLOOKUP(D35, Factor!$AH$41:$AI$50, 2, 0)</f>
        <v>3000</v>
      </c>
      <c r="D35" s="15" t="s">
        <v>299</v>
      </c>
      <c r="E35" s="56" t="s">
        <v>585</v>
      </c>
      <c r="F35" s="56" t="s">
        <v>693</v>
      </c>
      <c r="G35" s="15" t="str">
        <f t="shared" ref="G35:G98" si="3">E35&amp;" "&amp;F35</f>
        <v>경량 유압식</v>
      </c>
      <c r="H35" s="15">
        <v>1</v>
      </c>
      <c r="I35" s="15">
        <v>1</v>
      </c>
      <c r="J35" s="15" cm="1">
        <f t="array" ref="J35">H35*VLOOKUP($G35, Factor!$AI$4:$AK$36, 2, 0)*INDEX(Factor!$AI$41:$AK$87, _xlfn.XMATCH($C35, Factor!$AI$41:$AI$87, -1), 2)</f>
        <v>4.8999999999999995</v>
      </c>
      <c r="K35" s="15" cm="1">
        <f t="array" ref="K35">I35*VLOOKUP($G35, Factor!$AI$4:$AK$36, 3, 0)*INDEX(Factor!$AI$41:$AK$87, _xlfn.XMATCH($C35, Factor!$AI$41:$AI$87, -1), 3)</f>
        <v>125.99999999999999</v>
      </c>
      <c r="L35" s="16"/>
    </row>
    <row r="36" spans="1:12" ht="15.75" customHeight="1" x14ac:dyDescent="0.2">
      <c r="A36" s="18" t="str">
        <f>"break_"&amp;VLOOKUP(F36, Factor!$CI$4:$CJ$6, 2, 0)&amp;"_"&amp;D36&amp;"_"&amp;VLOOKUP(E36, Factor!$CK$4:$CL$13, 2, 0)</f>
        <v>break_Hyd_T3_004</v>
      </c>
      <c r="B36" s="18" t="str">
        <f t="shared" si="2"/>
        <v>T3 화물용 유압식제동장치</v>
      </c>
      <c r="C36" s="18">
        <f>VLOOKUP(D36, Factor!$AH$41:$AI$50, 2, 0)</f>
        <v>3000</v>
      </c>
      <c r="D36" s="18" t="s">
        <v>299</v>
      </c>
      <c r="E36" s="55" t="s">
        <v>648</v>
      </c>
      <c r="F36" s="55" t="s">
        <v>693</v>
      </c>
      <c r="G36" s="18" t="str">
        <f t="shared" si="3"/>
        <v>화물용 유압식</v>
      </c>
      <c r="H36" s="18">
        <v>1</v>
      </c>
      <c r="I36" s="18">
        <v>1</v>
      </c>
      <c r="J36" s="18" cm="1">
        <f t="array" ref="J36">H36*VLOOKUP($G36, Factor!$AI$4:$AK$36, 2, 0)*INDEX(Factor!$AI$41:$AK$87, _xlfn.XMATCH($C36, Factor!$AI$41:$AI$87, -1), 2)</f>
        <v>17.5</v>
      </c>
      <c r="K36" s="18" cm="1">
        <f t="array" ref="K36">I36*VLOOKUP($G36, Factor!$AI$4:$AK$36, 3, 0)*INDEX(Factor!$AI$41:$AK$87, _xlfn.XMATCH($C36, Factor!$AI$41:$AI$87, -1), 3)</f>
        <v>1050</v>
      </c>
      <c r="L36" s="19"/>
    </row>
    <row r="37" spans="1:12" ht="15.75" customHeight="1" x14ac:dyDescent="0.2">
      <c r="A37" s="15" t="str">
        <f>"break_"&amp;VLOOKUP(F37, Factor!$CI$4:$CJ$6, 2, 0)&amp;"_"&amp;D37&amp;"_"&amp;VLOOKUP(E37, Factor!$CK$4:$CL$13, 2, 0)</f>
        <v>break_Elc_T3_001</v>
      </c>
      <c r="B37" s="15" t="str">
        <f t="shared" si="2"/>
        <v>T3 표준 전자식제동장치</v>
      </c>
      <c r="C37" s="15">
        <f>VLOOKUP(D37, Factor!$AH$41:$AI$50, 2, 0)</f>
        <v>3000</v>
      </c>
      <c r="D37" s="15" t="s">
        <v>299</v>
      </c>
      <c r="E37" s="56" t="s">
        <v>582</v>
      </c>
      <c r="F37" s="56" t="s">
        <v>694</v>
      </c>
      <c r="G37" s="15" t="str">
        <f t="shared" si="3"/>
        <v>표준 전자식</v>
      </c>
      <c r="H37" s="15">
        <v>1</v>
      </c>
      <c r="I37" s="15">
        <v>1</v>
      </c>
      <c r="J37" s="15" cm="1">
        <f t="array" ref="J37">H37*VLOOKUP($G37, Factor!$AI$4:$AK$36, 2, 0)*INDEX(Factor!$AI$41:$AK$87, _xlfn.XMATCH($C37, Factor!$AI$41:$AI$87, -1), 2)</f>
        <v>6.3</v>
      </c>
      <c r="K37" s="15" cm="1">
        <f t="array" ref="K37">I37*VLOOKUP($G37, Factor!$AI$4:$AK$36, 3, 0)*INDEX(Factor!$AI$41:$AK$87, _xlfn.XMATCH($C37, Factor!$AI$41:$AI$87, -1), 3)</f>
        <v>350</v>
      </c>
      <c r="L37" s="16"/>
    </row>
    <row r="38" spans="1:12" ht="15.75" customHeight="1" x14ac:dyDescent="0.2">
      <c r="A38" s="18" t="str">
        <f>"break_"&amp;VLOOKUP(F38, Factor!$CI$4:$CJ$6, 2, 0)&amp;"_"&amp;D38&amp;"_"&amp;VLOOKUP(E38, Factor!$CK$4:$CL$13, 2, 0)</f>
        <v>break_Elc_T3_002</v>
      </c>
      <c r="B38" s="18" t="str">
        <f t="shared" si="2"/>
        <v>T3 고성능 전자식제동장치</v>
      </c>
      <c r="C38" s="18">
        <f>VLOOKUP(D38, Factor!$AH$41:$AI$50, 2, 0)</f>
        <v>3000</v>
      </c>
      <c r="D38" s="18" t="s">
        <v>299</v>
      </c>
      <c r="E38" s="55" t="s">
        <v>644</v>
      </c>
      <c r="F38" s="55" t="s">
        <v>694</v>
      </c>
      <c r="G38" s="18" t="str">
        <f t="shared" si="3"/>
        <v>고성능 전자식</v>
      </c>
      <c r="H38" s="18">
        <v>1</v>
      </c>
      <c r="I38" s="18">
        <v>1</v>
      </c>
      <c r="J38" s="18" cm="1">
        <f t="array" ref="J38">H38*VLOOKUP($G38, Factor!$AI$4:$AK$36, 2, 0)*INDEX(Factor!$AI$41:$AK$87, _xlfn.XMATCH($C38, Factor!$AI$41:$AI$87, -1), 2)</f>
        <v>13.299999999999999</v>
      </c>
      <c r="K38" s="18" cm="1">
        <f t="array" ref="K38">I38*VLOOKUP($G38, Factor!$AI$4:$AK$36, 3, 0)*INDEX(Factor!$AI$41:$AK$87, _xlfn.XMATCH($C38, Factor!$AI$41:$AI$87, -1), 3)</f>
        <v>700</v>
      </c>
      <c r="L38" s="19"/>
    </row>
    <row r="39" spans="1:12" ht="15.75" customHeight="1" x14ac:dyDescent="0.2">
      <c r="A39" s="15" t="str">
        <f>"break_"&amp;VLOOKUP(F39, Factor!$CI$4:$CJ$6, 2, 0)&amp;"_"&amp;D39&amp;"_"&amp;VLOOKUP(E39, Factor!$CK$4:$CL$13, 2, 0)</f>
        <v>break_Elc_T3_003</v>
      </c>
      <c r="B39" s="15" t="str">
        <f t="shared" si="2"/>
        <v>T3 경량 전자식제동장치</v>
      </c>
      <c r="C39" s="15">
        <f>VLOOKUP(D39, Factor!$AH$41:$AI$50, 2, 0)</f>
        <v>3000</v>
      </c>
      <c r="D39" s="15" t="s">
        <v>299</v>
      </c>
      <c r="E39" s="56" t="s">
        <v>585</v>
      </c>
      <c r="F39" s="56" t="s">
        <v>694</v>
      </c>
      <c r="G39" s="15" t="str">
        <f t="shared" si="3"/>
        <v>경량 전자식</v>
      </c>
      <c r="H39" s="15">
        <v>1</v>
      </c>
      <c r="I39" s="15">
        <v>1</v>
      </c>
      <c r="J39" s="15" cm="1">
        <f t="array" ref="J39">H39*VLOOKUP($G39, Factor!$AI$4:$AK$36, 2, 0)*INDEX(Factor!$AI$41:$AK$87, _xlfn.XMATCH($C39, Factor!$AI$41:$AI$87, -1), 2)</f>
        <v>3.5</v>
      </c>
      <c r="K39" s="15" cm="1">
        <f t="array" ref="K39">I39*VLOOKUP($G39, Factor!$AI$4:$AK$36, 3, 0)*INDEX(Factor!$AI$41:$AK$87, _xlfn.XMATCH($C39, Factor!$AI$41:$AI$87, -1), 3)</f>
        <v>98</v>
      </c>
      <c r="L39" s="16"/>
    </row>
    <row r="40" spans="1:12" ht="15.75" customHeight="1" x14ac:dyDescent="0.2">
      <c r="A40" s="18" t="str">
        <f>"break_"&amp;VLOOKUP(F40, Factor!$CI$4:$CJ$6, 2, 0)&amp;"_"&amp;D40&amp;"_"&amp;VLOOKUP(E40, Factor!$CK$4:$CL$13, 2, 0)</f>
        <v>break_Elc_T3_004</v>
      </c>
      <c r="B40" s="18" t="str">
        <f t="shared" si="2"/>
        <v>T3 화물용 전자식제동장치</v>
      </c>
      <c r="C40" s="18">
        <f>VLOOKUP(D40, Factor!$AH$41:$AI$50, 2, 0)</f>
        <v>3000</v>
      </c>
      <c r="D40" s="18" t="s">
        <v>299</v>
      </c>
      <c r="E40" s="55" t="s">
        <v>648</v>
      </c>
      <c r="F40" s="55" t="s">
        <v>694</v>
      </c>
      <c r="G40" s="18" t="str">
        <f t="shared" si="3"/>
        <v>화물용 전자식</v>
      </c>
      <c r="H40" s="18">
        <v>1</v>
      </c>
      <c r="I40" s="18">
        <v>1</v>
      </c>
      <c r="J40" s="18" cm="1">
        <f t="array" ref="J40">H40*VLOOKUP($G40, Factor!$AI$4:$AK$36, 2, 0)*INDEX(Factor!$AI$41:$AK$87, _xlfn.XMATCH($C40, Factor!$AI$41:$AI$87, -1), 2)</f>
        <v>16.099999999999998</v>
      </c>
      <c r="K40" s="18" cm="1">
        <f t="array" ref="K40">I40*VLOOKUP($G40, Factor!$AI$4:$AK$36, 3, 0)*INDEX(Factor!$AI$41:$AK$87, _xlfn.XMATCH($C40, Factor!$AI$41:$AI$87, -1), 3)</f>
        <v>979.99999999999989</v>
      </c>
      <c r="L40" s="19"/>
    </row>
    <row r="41" spans="1:12" ht="15.75" customHeight="1" x14ac:dyDescent="0.2">
      <c r="A41" s="15" t="str">
        <f>"break_"&amp;VLOOKUP(F41, Factor!$CI$4:$CJ$6, 2, 0)&amp;"_"&amp;D41&amp;"_"&amp;VLOOKUP(E41, Factor!$CK$4:$CL$13, 2, 0)</f>
        <v>break_Mac_T4_001</v>
      </c>
      <c r="B41" s="15" t="str">
        <f t="shared" si="2"/>
        <v>T4 표준 기계식제동장치</v>
      </c>
      <c r="C41" s="15">
        <f>VLOOKUP(D41, Factor!$AH$41:$AI$50, 2, 0)</f>
        <v>4000</v>
      </c>
      <c r="D41" s="15" t="s">
        <v>323</v>
      </c>
      <c r="E41" s="56" t="s">
        <v>582</v>
      </c>
      <c r="F41" s="56" t="s">
        <v>692</v>
      </c>
      <c r="G41" s="15" t="str">
        <f t="shared" si="3"/>
        <v>표준 기계식</v>
      </c>
      <c r="H41" s="15">
        <v>1</v>
      </c>
      <c r="I41" s="15">
        <v>1</v>
      </c>
      <c r="J41" s="15" cm="1">
        <f t="array" ref="J41">H41*VLOOKUP($G41, Factor!$AI$4:$AK$36, 2, 0)*INDEX(Factor!$AI$41:$AK$87, _xlfn.XMATCH($C41, Factor!$AI$41:$AI$87, -1), 2)</f>
        <v>8</v>
      </c>
      <c r="K41" s="15" cm="1">
        <f t="array" ref="K41">I41*VLOOKUP($G41, Factor!$AI$4:$AK$36, 3, 0)*INDEX(Factor!$AI$41:$AK$87, _xlfn.XMATCH($C41, Factor!$AI$41:$AI$87, -1), 3)</f>
        <v>480</v>
      </c>
      <c r="L41" s="16"/>
    </row>
    <row r="42" spans="1:12" ht="15.75" customHeight="1" x14ac:dyDescent="0.2">
      <c r="A42" s="18" t="str">
        <f>"break_"&amp;VLOOKUP(F42, Factor!$CI$4:$CJ$6, 2, 0)&amp;"_"&amp;D42&amp;"_"&amp;VLOOKUP(E42, Factor!$CK$4:$CL$13, 2, 0)</f>
        <v>break_Mac_T4_002</v>
      </c>
      <c r="B42" s="18" t="str">
        <f t="shared" si="2"/>
        <v>T4 고성능 기계식제동장치</v>
      </c>
      <c r="C42" s="18">
        <f>VLOOKUP(D42, Factor!$AH$41:$AI$50, 2, 0)</f>
        <v>4000</v>
      </c>
      <c r="D42" s="18" t="s">
        <v>323</v>
      </c>
      <c r="E42" s="55" t="s">
        <v>644</v>
      </c>
      <c r="F42" s="55" t="s">
        <v>692</v>
      </c>
      <c r="G42" s="18" t="str">
        <f t="shared" si="3"/>
        <v>고성능 기계식</v>
      </c>
      <c r="H42" s="18">
        <v>1</v>
      </c>
      <c r="I42" s="18">
        <v>1</v>
      </c>
      <c r="J42" s="18" cm="1">
        <f t="array" ref="J42">H42*VLOOKUP($G42, Factor!$AI$4:$AK$36, 2, 0)*INDEX(Factor!$AI$41:$AK$87, _xlfn.XMATCH($C42, Factor!$AI$41:$AI$87, -1), 2)</f>
        <v>16</v>
      </c>
      <c r="K42" s="18" cm="1">
        <f t="array" ref="K42">I42*VLOOKUP($G42, Factor!$AI$4:$AK$36, 3, 0)*INDEX(Factor!$AI$41:$AK$87, _xlfn.XMATCH($C42, Factor!$AI$41:$AI$87, -1), 3)</f>
        <v>960</v>
      </c>
      <c r="L42" s="19"/>
    </row>
    <row r="43" spans="1:12" ht="15.75" customHeight="1" x14ac:dyDescent="0.2">
      <c r="A43" s="15" t="str">
        <f>"break_"&amp;VLOOKUP(F43, Factor!$CI$4:$CJ$6, 2, 0)&amp;"_"&amp;D43&amp;"_"&amp;VLOOKUP(E43, Factor!$CK$4:$CL$13, 2, 0)</f>
        <v>break_Mac_T4_003</v>
      </c>
      <c r="B43" s="15" t="str">
        <f t="shared" si="2"/>
        <v>T4 경량 기계식제동장치</v>
      </c>
      <c r="C43" s="15">
        <f>VLOOKUP(D43, Factor!$AH$41:$AI$50, 2, 0)</f>
        <v>4000</v>
      </c>
      <c r="D43" s="15" t="s">
        <v>300</v>
      </c>
      <c r="E43" s="56" t="s">
        <v>585</v>
      </c>
      <c r="F43" s="56" t="s">
        <v>692</v>
      </c>
      <c r="G43" s="15" t="str">
        <f t="shared" si="3"/>
        <v>경량 기계식</v>
      </c>
      <c r="H43" s="15">
        <v>1</v>
      </c>
      <c r="I43" s="15">
        <v>1</v>
      </c>
      <c r="J43" s="15" cm="1">
        <f t="array" ref="J43">H43*VLOOKUP($G43, Factor!$AI$4:$AK$36, 2, 0)*INDEX(Factor!$AI$41:$AK$87, _xlfn.XMATCH($C43, Factor!$AI$41:$AI$87, -1), 2)</f>
        <v>4.8000000000000007</v>
      </c>
      <c r="K43" s="15" cm="1">
        <f t="array" ref="K43">I43*VLOOKUP($G43, Factor!$AI$4:$AK$36, 3, 0)*INDEX(Factor!$AI$41:$AK$87, _xlfn.XMATCH($C43, Factor!$AI$41:$AI$87, -1), 3)</f>
        <v>160</v>
      </c>
      <c r="L43" s="16"/>
    </row>
    <row r="44" spans="1:12" ht="15.75" customHeight="1" x14ac:dyDescent="0.2">
      <c r="A44" s="18" t="str">
        <f>"break_"&amp;VLOOKUP(F44, Factor!$CI$4:$CJ$6, 2, 0)&amp;"_"&amp;D44&amp;"_"&amp;VLOOKUP(E44, Factor!$CK$4:$CL$13, 2, 0)</f>
        <v>break_Mac_T4_004</v>
      </c>
      <c r="B44" s="18" t="str">
        <f t="shared" si="2"/>
        <v>T4 화물용 기계식제동장치</v>
      </c>
      <c r="C44" s="18">
        <f>VLOOKUP(D44, Factor!$AH$41:$AI$50, 2, 0)</f>
        <v>4000</v>
      </c>
      <c r="D44" s="18" t="s">
        <v>300</v>
      </c>
      <c r="E44" s="55" t="s">
        <v>648</v>
      </c>
      <c r="F44" s="55" t="s">
        <v>692</v>
      </c>
      <c r="G44" s="18" t="str">
        <f t="shared" si="3"/>
        <v>화물용 기계식</v>
      </c>
      <c r="H44" s="18">
        <v>1</v>
      </c>
      <c r="I44" s="18">
        <v>1</v>
      </c>
      <c r="J44" s="18" cm="1">
        <f t="array" ref="J44">H44*VLOOKUP($G44, Factor!$AI$4:$AK$36, 2, 0)*INDEX(Factor!$AI$41:$AK$87, _xlfn.XMATCH($C44, Factor!$AI$41:$AI$87, -1), 2)</f>
        <v>19.200000000000003</v>
      </c>
      <c r="K44" s="18" cm="1">
        <f t="array" ref="K44">I44*VLOOKUP($G44, Factor!$AI$4:$AK$36, 3, 0)*INDEX(Factor!$AI$41:$AK$87, _xlfn.XMATCH($C44, Factor!$AI$41:$AI$87, -1), 3)</f>
        <v>1280</v>
      </c>
      <c r="L44" s="19"/>
    </row>
    <row r="45" spans="1:12" ht="15.75" customHeight="1" x14ac:dyDescent="0.2">
      <c r="A45" s="15" t="str">
        <f>"break_"&amp;VLOOKUP(F45, Factor!$CI$4:$CJ$6, 2, 0)&amp;"_"&amp;D45&amp;"_"&amp;VLOOKUP(E45, Factor!$CK$4:$CL$13, 2, 0)</f>
        <v>break_Hyd_T4_001</v>
      </c>
      <c r="B45" s="15" t="str">
        <f t="shared" si="2"/>
        <v>T4 표준 유압식제동장치</v>
      </c>
      <c r="C45" s="15">
        <f>VLOOKUP(D45, Factor!$AH$41:$AI$50, 2, 0)</f>
        <v>4000</v>
      </c>
      <c r="D45" s="15" t="s">
        <v>300</v>
      </c>
      <c r="E45" s="56" t="s">
        <v>582</v>
      </c>
      <c r="F45" s="56" t="s">
        <v>693</v>
      </c>
      <c r="G45" s="15" t="str">
        <f t="shared" si="3"/>
        <v>표준 유압식</v>
      </c>
      <c r="H45" s="15">
        <v>1</v>
      </c>
      <c r="I45" s="15">
        <v>1</v>
      </c>
      <c r="J45" s="15" cm="1">
        <f t="array" ref="J45">H45*VLOOKUP($G45, Factor!$AI$4:$AK$36, 2, 0)*INDEX(Factor!$AI$41:$AK$87, _xlfn.XMATCH($C45, Factor!$AI$41:$AI$87, -1), 2)</f>
        <v>8.8000000000000007</v>
      </c>
      <c r="K45" s="15" cm="1">
        <f t="array" ref="K45">I45*VLOOKUP($G45, Factor!$AI$4:$AK$36, 3, 0)*INDEX(Factor!$AI$41:$AK$87, _xlfn.XMATCH($C45, Factor!$AI$41:$AI$87, -1), 3)</f>
        <v>448</v>
      </c>
      <c r="L45" s="16"/>
    </row>
    <row r="46" spans="1:12" ht="15.75" customHeight="1" x14ac:dyDescent="0.2">
      <c r="A46" s="18" t="str">
        <f>"break_"&amp;VLOOKUP(F46, Factor!$CI$4:$CJ$6, 2, 0)&amp;"_"&amp;D46&amp;"_"&amp;VLOOKUP(E46, Factor!$CK$4:$CL$13, 2, 0)</f>
        <v>break_Hyd_T4_002</v>
      </c>
      <c r="B46" s="18" t="str">
        <f t="shared" si="2"/>
        <v>T4 고성능 유압식제동장치</v>
      </c>
      <c r="C46" s="18">
        <f>VLOOKUP(D46, Factor!$AH$41:$AI$50, 2, 0)</f>
        <v>4000</v>
      </c>
      <c r="D46" s="18" t="s">
        <v>300</v>
      </c>
      <c r="E46" s="55" t="s">
        <v>644</v>
      </c>
      <c r="F46" s="55" t="s">
        <v>693</v>
      </c>
      <c r="G46" s="18" t="str">
        <f t="shared" si="3"/>
        <v>고성능 유압식</v>
      </c>
      <c r="H46" s="18">
        <v>1</v>
      </c>
      <c r="I46" s="18">
        <v>1</v>
      </c>
      <c r="J46" s="18" cm="1">
        <f t="array" ref="J46">H46*VLOOKUP($G46, Factor!$AI$4:$AK$36, 2, 0)*INDEX(Factor!$AI$41:$AK$87, _xlfn.XMATCH($C46, Factor!$AI$41:$AI$87, -1), 2)</f>
        <v>16.8</v>
      </c>
      <c r="K46" s="18" cm="1">
        <f t="array" ref="K46">I46*VLOOKUP($G46, Factor!$AI$4:$AK$36, 3, 0)*INDEX(Factor!$AI$41:$AK$87, _xlfn.XMATCH($C46, Factor!$AI$41:$AI$87, -1), 3)</f>
        <v>880</v>
      </c>
      <c r="L46" s="19"/>
    </row>
    <row r="47" spans="1:12" ht="15.75" customHeight="1" x14ac:dyDescent="0.2">
      <c r="A47" s="15" t="str">
        <f>"break_"&amp;VLOOKUP(F47, Factor!$CI$4:$CJ$6, 2, 0)&amp;"_"&amp;D47&amp;"_"&amp;VLOOKUP(E47, Factor!$CK$4:$CL$13, 2, 0)</f>
        <v>break_Hyd_T4_003</v>
      </c>
      <c r="B47" s="15" t="str">
        <f t="shared" si="2"/>
        <v>T4 경량 유압식제동장치</v>
      </c>
      <c r="C47" s="15">
        <f>VLOOKUP(D47, Factor!$AH$41:$AI$50, 2, 0)</f>
        <v>4000</v>
      </c>
      <c r="D47" s="15" t="s">
        <v>300</v>
      </c>
      <c r="E47" s="56" t="s">
        <v>585</v>
      </c>
      <c r="F47" s="56" t="s">
        <v>693</v>
      </c>
      <c r="G47" s="15" t="str">
        <f t="shared" si="3"/>
        <v>경량 유압식</v>
      </c>
      <c r="H47" s="15">
        <v>1</v>
      </c>
      <c r="I47" s="15">
        <v>1</v>
      </c>
      <c r="J47" s="15" cm="1">
        <f t="array" ref="J47">H47*VLOOKUP($G47, Factor!$AI$4:$AK$36, 2, 0)*INDEX(Factor!$AI$41:$AK$87, _xlfn.XMATCH($C47, Factor!$AI$41:$AI$87, -1), 2)</f>
        <v>5.6000000000000005</v>
      </c>
      <c r="K47" s="15" cm="1">
        <f t="array" ref="K47">I47*VLOOKUP($G47, Factor!$AI$4:$AK$36, 3, 0)*INDEX(Factor!$AI$41:$AK$87, _xlfn.XMATCH($C47, Factor!$AI$41:$AI$87, -1), 3)</f>
        <v>144</v>
      </c>
      <c r="L47" s="16"/>
    </row>
    <row r="48" spans="1:12" ht="15.75" customHeight="1" x14ac:dyDescent="0.2">
      <c r="A48" s="18" t="str">
        <f>"break_"&amp;VLOOKUP(F48, Factor!$CI$4:$CJ$6, 2, 0)&amp;"_"&amp;D48&amp;"_"&amp;VLOOKUP(E48, Factor!$CK$4:$CL$13, 2, 0)</f>
        <v>break_Hyd_T4_004</v>
      </c>
      <c r="B48" s="18" t="str">
        <f t="shared" si="2"/>
        <v>T4 화물용 유압식제동장치</v>
      </c>
      <c r="C48" s="18">
        <f>VLOOKUP(D48, Factor!$AH$41:$AI$50, 2, 0)</f>
        <v>4000</v>
      </c>
      <c r="D48" s="18" t="s">
        <v>300</v>
      </c>
      <c r="E48" s="55" t="s">
        <v>648</v>
      </c>
      <c r="F48" s="55" t="s">
        <v>693</v>
      </c>
      <c r="G48" s="18" t="str">
        <f t="shared" si="3"/>
        <v>화물용 유압식</v>
      </c>
      <c r="H48" s="18">
        <v>1</v>
      </c>
      <c r="I48" s="18">
        <v>1</v>
      </c>
      <c r="J48" s="18" cm="1">
        <f t="array" ref="J48">H48*VLOOKUP($G48, Factor!$AI$4:$AK$36, 2, 0)*INDEX(Factor!$AI$41:$AK$87, _xlfn.XMATCH($C48, Factor!$AI$41:$AI$87, -1), 2)</f>
        <v>20</v>
      </c>
      <c r="K48" s="18" cm="1">
        <f t="array" ref="K48">I48*VLOOKUP($G48, Factor!$AI$4:$AK$36, 3, 0)*INDEX(Factor!$AI$41:$AK$87, _xlfn.XMATCH($C48, Factor!$AI$41:$AI$87, -1), 3)</f>
        <v>1200</v>
      </c>
      <c r="L48" s="19"/>
    </row>
    <row r="49" spans="1:12" ht="15.75" customHeight="1" x14ac:dyDescent="0.2">
      <c r="A49" s="15" t="str">
        <f>"break_"&amp;VLOOKUP(F49, Factor!$CI$4:$CJ$6, 2, 0)&amp;"_"&amp;D49&amp;"_"&amp;VLOOKUP(E49, Factor!$CK$4:$CL$13, 2, 0)</f>
        <v>break_Elc_T4_001</v>
      </c>
      <c r="B49" s="15" t="str">
        <f t="shared" si="2"/>
        <v>T4 표준 전자식제동장치</v>
      </c>
      <c r="C49" s="15">
        <f>VLOOKUP(D49, Factor!$AH$41:$AI$50, 2, 0)</f>
        <v>4000</v>
      </c>
      <c r="D49" s="15" t="s">
        <v>300</v>
      </c>
      <c r="E49" s="56" t="s">
        <v>582</v>
      </c>
      <c r="F49" s="56" t="s">
        <v>694</v>
      </c>
      <c r="G49" s="15" t="str">
        <f t="shared" si="3"/>
        <v>표준 전자식</v>
      </c>
      <c r="H49" s="15">
        <v>1</v>
      </c>
      <c r="I49" s="15">
        <v>1</v>
      </c>
      <c r="J49" s="15" cm="1">
        <f t="array" ref="J49">H49*VLOOKUP($G49, Factor!$AI$4:$AK$36, 2, 0)*INDEX(Factor!$AI$41:$AK$87, _xlfn.XMATCH($C49, Factor!$AI$41:$AI$87, -1), 2)</f>
        <v>7.2</v>
      </c>
      <c r="K49" s="15" cm="1">
        <f t="array" ref="K49">I49*VLOOKUP($G49, Factor!$AI$4:$AK$36, 3, 0)*INDEX(Factor!$AI$41:$AK$87, _xlfn.XMATCH($C49, Factor!$AI$41:$AI$87, -1), 3)</f>
        <v>400</v>
      </c>
      <c r="L49" s="16"/>
    </row>
    <row r="50" spans="1:12" ht="15.75" customHeight="1" x14ac:dyDescent="0.2">
      <c r="A50" s="18" t="str">
        <f>"break_"&amp;VLOOKUP(F50, Factor!$CI$4:$CJ$6, 2, 0)&amp;"_"&amp;D50&amp;"_"&amp;VLOOKUP(E50, Factor!$CK$4:$CL$13, 2, 0)</f>
        <v>break_Elc_T4_002</v>
      </c>
      <c r="B50" s="18" t="str">
        <f t="shared" si="2"/>
        <v>T4 고성능 전자식제동장치</v>
      </c>
      <c r="C50" s="18">
        <f>VLOOKUP(D50, Factor!$AH$41:$AI$50, 2, 0)</f>
        <v>4000</v>
      </c>
      <c r="D50" s="18" t="s">
        <v>300</v>
      </c>
      <c r="E50" s="55" t="s">
        <v>644</v>
      </c>
      <c r="F50" s="55" t="s">
        <v>694</v>
      </c>
      <c r="G50" s="18" t="str">
        <f t="shared" si="3"/>
        <v>고성능 전자식</v>
      </c>
      <c r="H50" s="18">
        <v>1</v>
      </c>
      <c r="I50" s="18">
        <v>1</v>
      </c>
      <c r="J50" s="18" cm="1">
        <f t="array" ref="J50">H50*VLOOKUP($G50, Factor!$AI$4:$AK$36, 2, 0)*INDEX(Factor!$AI$41:$AK$87, _xlfn.XMATCH($C50, Factor!$AI$41:$AI$87, -1), 2)</f>
        <v>15.200000000000001</v>
      </c>
      <c r="K50" s="18" cm="1">
        <f t="array" ref="K50">I50*VLOOKUP($G50, Factor!$AI$4:$AK$36, 3, 0)*INDEX(Factor!$AI$41:$AK$87, _xlfn.XMATCH($C50, Factor!$AI$41:$AI$87, -1), 3)</f>
        <v>800</v>
      </c>
      <c r="L50" s="19"/>
    </row>
    <row r="51" spans="1:12" ht="15.75" customHeight="1" x14ac:dyDescent="0.2">
      <c r="A51" s="15" t="str">
        <f>"break_"&amp;VLOOKUP(F51, Factor!$CI$4:$CJ$6, 2, 0)&amp;"_"&amp;D51&amp;"_"&amp;VLOOKUP(E51, Factor!$CK$4:$CL$13, 2, 0)</f>
        <v>break_Elc_T4_003</v>
      </c>
      <c r="B51" s="15" t="str">
        <f t="shared" si="2"/>
        <v>T4 경량 전자식제동장치</v>
      </c>
      <c r="C51" s="15">
        <f>VLOOKUP(D51, Factor!$AH$41:$AI$50, 2, 0)</f>
        <v>4000</v>
      </c>
      <c r="D51" s="15" t="s">
        <v>300</v>
      </c>
      <c r="E51" s="56" t="s">
        <v>585</v>
      </c>
      <c r="F51" s="56" t="s">
        <v>694</v>
      </c>
      <c r="G51" s="15" t="str">
        <f t="shared" si="3"/>
        <v>경량 전자식</v>
      </c>
      <c r="H51" s="15">
        <v>1</v>
      </c>
      <c r="I51" s="15">
        <v>1</v>
      </c>
      <c r="J51" s="15" cm="1">
        <f t="array" ref="J51">H51*VLOOKUP($G51, Factor!$AI$4:$AK$36, 2, 0)*INDEX(Factor!$AI$41:$AK$87, _xlfn.XMATCH($C51, Factor!$AI$41:$AI$87, -1), 2)</f>
        <v>4</v>
      </c>
      <c r="K51" s="15" cm="1">
        <f t="array" ref="K51">I51*VLOOKUP($G51, Factor!$AI$4:$AK$36, 3, 0)*INDEX(Factor!$AI$41:$AK$87, _xlfn.XMATCH($C51, Factor!$AI$41:$AI$87, -1), 3)</f>
        <v>112</v>
      </c>
      <c r="L51" s="16"/>
    </row>
    <row r="52" spans="1:12" ht="15.75" customHeight="1" x14ac:dyDescent="0.2">
      <c r="A52" s="18" t="str">
        <f>"break_"&amp;VLOOKUP(F52, Factor!$CI$4:$CJ$6, 2, 0)&amp;"_"&amp;D52&amp;"_"&amp;VLOOKUP(E52, Factor!$CK$4:$CL$13, 2, 0)</f>
        <v>break_Elc_T4_004</v>
      </c>
      <c r="B52" s="18" t="str">
        <f t="shared" si="2"/>
        <v>T4 화물용 전자식제동장치</v>
      </c>
      <c r="C52" s="18">
        <f>VLOOKUP(D52, Factor!$AH$41:$AI$50, 2, 0)</f>
        <v>4000</v>
      </c>
      <c r="D52" s="18" t="s">
        <v>300</v>
      </c>
      <c r="E52" s="55" t="s">
        <v>648</v>
      </c>
      <c r="F52" s="55" t="s">
        <v>694</v>
      </c>
      <c r="G52" s="18" t="str">
        <f t="shared" si="3"/>
        <v>화물용 전자식</v>
      </c>
      <c r="H52" s="18">
        <v>1</v>
      </c>
      <c r="I52" s="18">
        <v>1</v>
      </c>
      <c r="J52" s="18" cm="1">
        <f t="array" ref="J52">H52*VLOOKUP($G52, Factor!$AI$4:$AK$36, 2, 0)*INDEX(Factor!$AI$41:$AK$87, _xlfn.XMATCH($C52, Factor!$AI$41:$AI$87, -1), 2)</f>
        <v>18.400000000000002</v>
      </c>
      <c r="K52" s="18" cm="1">
        <f t="array" ref="K52">I52*VLOOKUP($G52, Factor!$AI$4:$AK$36, 3, 0)*INDEX(Factor!$AI$41:$AK$87, _xlfn.XMATCH($C52, Factor!$AI$41:$AI$87, -1), 3)</f>
        <v>1120</v>
      </c>
      <c r="L52" s="19"/>
    </row>
    <row r="53" spans="1:12" ht="15.75" customHeight="1" x14ac:dyDescent="0.2">
      <c r="A53" s="15" t="str">
        <f>"break_"&amp;VLOOKUP(F53, Factor!$CI$4:$CJ$6, 2, 0)&amp;"_"&amp;D53&amp;"_"&amp;VLOOKUP(E53, Factor!$CK$4:$CL$13, 2, 0)</f>
        <v>break_Mac_T5_001</v>
      </c>
      <c r="B53" s="15" t="str">
        <f t="shared" si="2"/>
        <v>T5 표준 기계식제동장치</v>
      </c>
      <c r="C53" s="15">
        <f>VLOOKUP(D53, Factor!$AH$41:$AI$50, 2, 0)</f>
        <v>5000</v>
      </c>
      <c r="D53" s="15" t="s">
        <v>324</v>
      </c>
      <c r="E53" s="56" t="s">
        <v>582</v>
      </c>
      <c r="F53" s="56" t="s">
        <v>692</v>
      </c>
      <c r="G53" s="15" t="str">
        <f t="shared" si="3"/>
        <v>표준 기계식</v>
      </c>
      <c r="H53" s="15">
        <v>1</v>
      </c>
      <c r="I53" s="15">
        <v>1</v>
      </c>
      <c r="J53" s="15" cm="1">
        <f t="array" ref="J53">H53*VLOOKUP($G53, Factor!$AI$4:$AK$36, 2, 0)*INDEX(Factor!$AI$41:$AK$87, _xlfn.XMATCH($C53, Factor!$AI$41:$AI$87, -1), 2)</f>
        <v>9</v>
      </c>
      <c r="K53" s="15" cm="1">
        <f t="array" ref="K53">I53*VLOOKUP($G53, Factor!$AI$4:$AK$36, 3, 0)*INDEX(Factor!$AI$41:$AK$87, _xlfn.XMATCH($C53, Factor!$AI$41:$AI$87, -1), 3)</f>
        <v>540</v>
      </c>
      <c r="L53" s="16"/>
    </row>
    <row r="54" spans="1:12" ht="15.75" customHeight="1" x14ac:dyDescent="0.2">
      <c r="A54" s="18" t="str">
        <f>"break_"&amp;VLOOKUP(F54, Factor!$CI$4:$CJ$6, 2, 0)&amp;"_"&amp;D54&amp;"_"&amp;VLOOKUP(E54, Factor!$CK$4:$CL$13, 2, 0)</f>
        <v>break_Mac_T5_002</v>
      </c>
      <c r="B54" s="18" t="str">
        <f t="shared" si="2"/>
        <v>T5 고성능 기계식제동장치</v>
      </c>
      <c r="C54" s="18">
        <f>VLOOKUP(D54, Factor!$AH$41:$AI$50, 2, 0)</f>
        <v>5000</v>
      </c>
      <c r="D54" s="18" t="s">
        <v>324</v>
      </c>
      <c r="E54" s="55" t="s">
        <v>644</v>
      </c>
      <c r="F54" s="55" t="s">
        <v>692</v>
      </c>
      <c r="G54" s="18" t="str">
        <f t="shared" si="3"/>
        <v>고성능 기계식</v>
      </c>
      <c r="H54" s="18">
        <v>1</v>
      </c>
      <c r="I54" s="18">
        <v>1</v>
      </c>
      <c r="J54" s="18" cm="1">
        <f t="array" ref="J54">H54*VLOOKUP($G54, Factor!$AI$4:$AK$36, 2, 0)*INDEX(Factor!$AI$41:$AK$87, _xlfn.XMATCH($C54, Factor!$AI$41:$AI$87, -1), 2)</f>
        <v>18</v>
      </c>
      <c r="K54" s="18" cm="1">
        <f t="array" ref="K54">I54*VLOOKUP($G54, Factor!$AI$4:$AK$36, 3, 0)*INDEX(Factor!$AI$41:$AK$87, _xlfn.XMATCH($C54, Factor!$AI$41:$AI$87, -1), 3)</f>
        <v>1080</v>
      </c>
      <c r="L54" s="19"/>
    </row>
    <row r="55" spans="1:12" ht="15.75" customHeight="1" x14ac:dyDescent="0.2">
      <c r="A55" s="15" t="str">
        <f>"break_"&amp;VLOOKUP(F55, Factor!$CI$4:$CJ$6, 2, 0)&amp;"_"&amp;D55&amp;"_"&amp;VLOOKUP(E55, Factor!$CK$4:$CL$13, 2, 0)</f>
        <v>break_Mac_T5_003</v>
      </c>
      <c r="B55" s="15" t="str">
        <f t="shared" si="2"/>
        <v>T5 경량 기계식제동장치</v>
      </c>
      <c r="C55" s="15">
        <f>VLOOKUP(D55, Factor!$AH$41:$AI$50, 2, 0)</f>
        <v>5000</v>
      </c>
      <c r="D55" s="15" t="s">
        <v>301</v>
      </c>
      <c r="E55" s="56" t="s">
        <v>585</v>
      </c>
      <c r="F55" s="56" t="s">
        <v>692</v>
      </c>
      <c r="G55" s="15" t="str">
        <f t="shared" si="3"/>
        <v>경량 기계식</v>
      </c>
      <c r="H55" s="15">
        <v>1</v>
      </c>
      <c r="I55" s="15">
        <v>1</v>
      </c>
      <c r="J55" s="15" cm="1">
        <f t="array" ref="J55">H55*VLOOKUP($G55, Factor!$AI$4:$AK$36, 2, 0)*INDEX(Factor!$AI$41:$AK$87, _xlfn.XMATCH($C55, Factor!$AI$41:$AI$87, -1), 2)</f>
        <v>5.4</v>
      </c>
      <c r="K55" s="15" cm="1">
        <f t="array" ref="K55">I55*VLOOKUP($G55, Factor!$AI$4:$AK$36, 3, 0)*INDEX(Factor!$AI$41:$AK$87, _xlfn.XMATCH($C55, Factor!$AI$41:$AI$87, -1), 3)</f>
        <v>180</v>
      </c>
      <c r="L55" s="16"/>
    </row>
    <row r="56" spans="1:12" ht="15.75" customHeight="1" x14ac:dyDescent="0.2">
      <c r="A56" s="18" t="str">
        <f>"break_"&amp;VLOOKUP(F56, Factor!$CI$4:$CJ$6, 2, 0)&amp;"_"&amp;D56&amp;"_"&amp;VLOOKUP(E56, Factor!$CK$4:$CL$13, 2, 0)</f>
        <v>break_Mac_T5_004</v>
      </c>
      <c r="B56" s="18" t="str">
        <f t="shared" si="2"/>
        <v>T5 화물용 기계식제동장치</v>
      </c>
      <c r="C56" s="18">
        <f>VLOOKUP(D56, Factor!$AH$41:$AI$50, 2, 0)</f>
        <v>5000</v>
      </c>
      <c r="D56" s="18" t="s">
        <v>301</v>
      </c>
      <c r="E56" s="55" t="s">
        <v>648</v>
      </c>
      <c r="F56" s="55" t="s">
        <v>692</v>
      </c>
      <c r="G56" s="18" t="str">
        <f t="shared" si="3"/>
        <v>화물용 기계식</v>
      </c>
      <c r="H56" s="18">
        <v>1</v>
      </c>
      <c r="I56" s="18">
        <v>1</v>
      </c>
      <c r="J56" s="18" cm="1">
        <f t="array" ref="J56">H56*VLOOKUP($G56, Factor!$AI$4:$AK$36, 2, 0)*INDEX(Factor!$AI$41:$AK$87, _xlfn.XMATCH($C56, Factor!$AI$41:$AI$87, -1), 2)</f>
        <v>21.6</v>
      </c>
      <c r="K56" s="18" cm="1">
        <f t="array" ref="K56">I56*VLOOKUP($G56, Factor!$AI$4:$AK$36, 3, 0)*INDEX(Factor!$AI$41:$AK$87, _xlfn.XMATCH($C56, Factor!$AI$41:$AI$87, -1), 3)</f>
        <v>1440</v>
      </c>
      <c r="L56" s="19"/>
    </row>
    <row r="57" spans="1:12" ht="15.75" customHeight="1" x14ac:dyDescent="0.2">
      <c r="A57" s="15" t="str">
        <f>"break_"&amp;VLOOKUP(F57, Factor!$CI$4:$CJ$6, 2, 0)&amp;"_"&amp;D57&amp;"_"&amp;VLOOKUP(E57, Factor!$CK$4:$CL$13, 2, 0)</f>
        <v>break_Hyd_T5_001</v>
      </c>
      <c r="B57" s="15" t="str">
        <f t="shared" si="2"/>
        <v>T5 표준 유압식제동장치</v>
      </c>
      <c r="C57" s="15">
        <f>VLOOKUP(D57, Factor!$AH$41:$AI$50, 2, 0)</f>
        <v>5000</v>
      </c>
      <c r="D57" s="15" t="s">
        <v>301</v>
      </c>
      <c r="E57" s="56" t="s">
        <v>582</v>
      </c>
      <c r="F57" s="56" t="s">
        <v>693</v>
      </c>
      <c r="G57" s="15" t="str">
        <f t="shared" si="3"/>
        <v>표준 유압식</v>
      </c>
      <c r="H57" s="15">
        <v>1</v>
      </c>
      <c r="I57" s="15">
        <v>1</v>
      </c>
      <c r="J57" s="15" cm="1">
        <f t="array" ref="J57">H57*VLOOKUP($G57, Factor!$AI$4:$AK$36, 2, 0)*INDEX(Factor!$AI$41:$AK$87, _xlfn.XMATCH($C57, Factor!$AI$41:$AI$87, -1), 2)</f>
        <v>9.9</v>
      </c>
      <c r="K57" s="15" cm="1">
        <f t="array" ref="K57">I57*VLOOKUP($G57, Factor!$AI$4:$AK$36, 3, 0)*INDEX(Factor!$AI$41:$AK$87, _xlfn.XMATCH($C57, Factor!$AI$41:$AI$87, -1), 3)</f>
        <v>504</v>
      </c>
      <c r="L57" s="16"/>
    </row>
    <row r="58" spans="1:12" ht="15.75" customHeight="1" x14ac:dyDescent="0.2">
      <c r="A58" s="18" t="str">
        <f>"break_"&amp;VLOOKUP(F58, Factor!$CI$4:$CJ$6, 2, 0)&amp;"_"&amp;D58&amp;"_"&amp;VLOOKUP(E58, Factor!$CK$4:$CL$13, 2, 0)</f>
        <v>break_Hyd_T5_002</v>
      </c>
      <c r="B58" s="18" t="str">
        <f t="shared" si="2"/>
        <v>T5 고성능 유압식제동장치</v>
      </c>
      <c r="C58" s="18">
        <f>VLOOKUP(D58, Factor!$AH$41:$AI$50, 2, 0)</f>
        <v>5000</v>
      </c>
      <c r="D58" s="18" t="s">
        <v>301</v>
      </c>
      <c r="E58" s="55" t="s">
        <v>644</v>
      </c>
      <c r="F58" s="55" t="s">
        <v>693</v>
      </c>
      <c r="G58" s="18" t="str">
        <f t="shared" si="3"/>
        <v>고성능 유압식</v>
      </c>
      <c r="H58" s="18">
        <v>1</v>
      </c>
      <c r="I58" s="18">
        <v>1</v>
      </c>
      <c r="J58" s="18" cm="1">
        <f t="array" ref="J58">H58*VLOOKUP($G58, Factor!$AI$4:$AK$36, 2, 0)*INDEX(Factor!$AI$41:$AK$87, _xlfn.XMATCH($C58, Factor!$AI$41:$AI$87, -1), 2)</f>
        <v>18.900000000000002</v>
      </c>
      <c r="K58" s="18" cm="1">
        <f t="array" ref="K58">I58*VLOOKUP($G58, Factor!$AI$4:$AK$36, 3, 0)*INDEX(Factor!$AI$41:$AK$87, _xlfn.XMATCH($C58, Factor!$AI$41:$AI$87, -1), 3)</f>
        <v>990</v>
      </c>
      <c r="L58" s="19"/>
    </row>
    <row r="59" spans="1:12" ht="15.75" customHeight="1" x14ac:dyDescent="0.2">
      <c r="A59" s="15" t="str">
        <f>"break_"&amp;VLOOKUP(F59, Factor!$CI$4:$CJ$6, 2, 0)&amp;"_"&amp;D59&amp;"_"&amp;VLOOKUP(E59, Factor!$CK$4:$CL$13, 2, 0)</f>
        <v>break_Hyd_T5_003</v>
      </c>
      <c r="B59" s="15" t="str">
        <f t="shared" si="2"/>
        <v>T5 경량 유압식제동장치</v>
      </c>
      <c r="C59" s="15">
        <f>VLOOKUP(D59, Factor!$AH$41:$AI$50, 2, 0)</f>
        <v>5000</v>
      </c>
      <c r="D59" s="15" t="s">
        <v>301</v>
      </c>
      <c r="E59" s="56" t="s">
        <v>585</v>
      </c>
      <c r="F59" s="56" t="s">
        <v>693</v>
      </c>
      <c r="G59" s="15" t="str">
        <f t="shared" si="3"/>
        <v>경량 유압식</v>
      </c>
      <c r="H59" s="15">
        <v>1</v>
      </c>
      <c r="I59" s="15">
        <v>1</v>
      </c>
      <c r="J59" s="15" cm="1">
        <f t="array" ref="J59">H59*VLOOKUP($G59, Factor!$AI$4:$AK$36, 2, 0)*INDEX(Factor!$AI$41:$AK$87, _xlfn.XMATCH($C59, Factor!$AI$41:$AI$87, -1), 2)</f>
        <v>6.3</v>
      </c>
      <c r="K59" s="15" cm="1">
        <f t="array" ref="K59">I59*VLOOKUP($G59, Factor!$AI$4:$AK$36, 3, 0)*INDEX(Factor!$AI$41:$AK$87, _xlfn.XMATCH($C59, Factor!$AI$41:$AI$87, -1), 3)</f>
        <v>162</v>
      </c>
      <c r="L59" s="16"/>
    </row>
    <row r="60" spans="1:12" ht="15.75" customHeight="1" x14ac:dyDescent="0.2">
      <c r="A60" s="18" t="str">
        <f>"break_"&amp;VLOOKUP(F60, Factor!$CI$4:$CJ$6, 2, 0)&amp;"_"&amp;D60&amp;"_"&amp;VLOOKUP(E60, Factor!$CK$4:$CL$13, 2, 0)</f>
        <v>break_Hyd_T5_004</v>
      </c>
      <c r="B60" s="18" t="str">
        <f t="shared" si="2"/>
        <v>T5 화물용 유압식제동장치</v>
      </c>
      <c r="C60" s="18">
        <f>VLOOKUP(D60, Factor!$AH$41:$AI$50, 2, 0)</f>
        <v>5000</v>
      </c>
      <c r="D60" s="18" t="s">
        <v>301</v>
      </c>
      <c r="E60" s="55" t="s">
        <v>648</v>
      </c>
      <c r="F60" s="55" t="s">
        <v>693</v>
      </c>
      <c r="G60" s="18" t="str">
        <f t="shared" si="3"/>
        <v>화물용 유압식</v>
      </c>
      <c r="H60" s="18">
        <v>1</v>
      </c>
      <c r="I60" s="18">
        <v>1</v>
      </c>
      <c r="J60" s="18" cm="1">
        <f t="array" ref="J60">H60*VLOOKUP($G60, Factor!$AI$4:$AK$36, 2, 0)*INDEX(Factor!$AI$41:$AK$87, _xlfn.XMATCH($C60, Factor!$AI$41:$AI$87, -1), 2)</f>
        <v>22.5</v>
      </c>
      <c r="K60" s="18" cm="1">
        <f t="array" ref="K60">I60*VLOOKUP($G60, Factor!$AI$4:$AK$36, 3, 0)*INDEX(Factor!$AI$41:$AK$87, _xlfn.XMATCH($C60, Factor!$AI$41:$AI$87, -1), 3)</f>
        <v>1350</v>
      </c>
      <c r="L60" s="19"/>
    </row>
    <row r="61" spans="1:12" ht="15.75" customHeight="1" x14ac:dyDescent="0.2">
      <c r="A61" s="15" t="str">
        <f>"break_"&amp;VLOOKUP(F61, Factor!$CI$4:$CJ$6, 2, 0)&amp;"_"&amp;D61&amp;"_"&amp;VLOOKUP(E61, Factor!$CK$4:$CL$13, 2, 0)</f>
        <v>break_Elc_T5_001</v>
      </c>
      <c r="B61" s="15" t="str">
        <f t="shared" si="2"/>
        <v>T5 표준 전자식제동장치</v>
      </c>
      <c r="C61" s="15">
        <f>VLOOKUP(D61, Factor!$AH$41:$AI$50, 2, 0)</f>
        <v>5000</v>
      </c>
      <c r="D61" s="15" t="s">
        <v>301</v>
      </c>
      <c r="E61" s="56" t="s">
        <v>582</v>
      </c>
      <c r="F61" s="56" t="s">
        <v>694</v>
      </c>
      <c r="G61" s="15" t="str">
        <f t="shared" si="3"/>
        <v>표준 전자식</v>
      </c>
      <c r="H61" s="15">
        <v>1</v>
      </c>
      <c r="I61" s="15">
        <v>1</v>
      </c>
      <c r="J61" s="15" cm="1">
        <f t="array" ref="J61">H61*VLOOKUP($G61, Factor!$AI$4:$AK$36, 2, 0)*INDEX(Factor!$AI$41:$AK$87, _xlfn.XMATCH($C61, Factor!$AI$41:$AI$87, -1), 2)</f>
        <v>8.1</v>
      </c>
      <c r="K61" s="15" cm="1">
        <f t="array" ref="K61">I61*VLOOKUP($G61, Factor!$AI$4:$AK$36, 3, 0)*INDEX(Factor!$AI$41:$AK$87, _xlfn.XMATCH($C61, Factor!$AI$41:$AI$87, -1), 3)</f>
        <v>450</v>
      </c>
      <c r="L61" s="16"/>
    </row>
    <row r="62" spans="1:12" ht="15.75" customHeight="1" x14ac:dyDescent="0.2">
      <c r="A62" s="18" t="str">
        <f>"break_"&amp;VLOOKUP(F62, Factor!$CI$4:$CJ$6, 2, 0)&amp;"_"&amp;D62&amp;"_"&amp;VLOOKUP(E62, Factor!$CK$4:$CL$13, 2, 0)</f>
        <v>break_Elc_T5_002</v>
      </c>
      <c r="B62" s="18" t="str">
        <f t="shared" si="2"/>
        <v>T5 고성능 전자식제동장치</v>
      </c>
      <c r="C62" s="18">
        <f>VLOOKUP(D62, Factor!$AH$41:$AI$50, 2, 0)</f>
        <v>5000</v>
      </c>
      <c r="D62" s="18" t="s">
        <v>301</v>
      </c>
      <c r="E62" s="55" t="s">
        <v>644</v>
      </c>
      <c r="F62" s="55" t="s">
        <v>694</v>
      </c>
      <c r="G62" s="18" t="str">
        <f t="shared" si="3"/>
        <v>고성능 전자식</v>
      </c>
      <c r="H62" s="18">
        <v>1</v>
      </c>
      <c r="I62" s="18">
        <v>1</v>
      </c>
      <c r="J62" s="18" cm="1">
        <f t="array" ref="J62">H62*VLOOKUP($G62, Factor!$AI$4:$AK$36, 2, 0)*INDEX(Factor!$AI$41:$AK$87, _xlfn.XMATCH($C62, Factor!$AI$41:$AI$87, -1), 2)</f>
        <v>17.100000000000001</v>
      </c>
      <c r="K62" s="18" cm="1">
        <f t="array" ref="K62">I62*VLOOKUP($G62, Factor!$AI$4:$AK$36, 3, 0)*INDEX(Factor!$AI$41:$AK$87, _xlfn.XMATCH($C62, Factor!$AI$41:$AI$87, -1), 3)</f>
        <v>900</v>
      </c>
      <c r="L62" s="19"/>
    </row>
    <row r="63" spans="1:12" ht="15.75" customHeight="1" x14ac:dyDescent="0.2">
      <c r="A63" s="15" t="str">
        <f>"break_"&amp;VLOOKUP(F63, Factor!$CI$4:$CJ$6, 2, 0)&amp;"_"&amp;D63&amp;"_"&amp;VLOOKUP(E63, Factor!$CK$4:$CL$13, 2, 0)</f>
        <v>break_Elc_T5_003</v>
      </c>
      <c r="B63" s="15" t="str">
        <f t="shared" si="2"/>
        <v>T5 경량 전자식제동장치</v>
      </c>
      <c r="C63" s="15">
        <f>VLOOKUP(D63, Factor!$AH$41:$AI$50, 2, 0)</f>
        <v>5000</v>
      </c>
      <c r="D63" s="15" t="s">
        <v>301</v>
      </c>
      <c r="E63" s="56" t="s">
        <v>585</v>
      </c>
      <c r="F63" s="56" t="s">
        <v>694</v>
      </c>
      <c r="G63" s="15" t="str">
        <f t="shared" si="3"/>
        <v>경량 전자식</v>
      </c>
      <c r="H63" s="15">
        <v>1</v>
      </c>
      <c r="I63" s="15">
        <v>1</v>
      </c>
      <c r="J63" s="15" cm="1">
        <f t="array" ref="J63">H63*VLOOKUP($G63, Factor!$AI$4:$AK$36, 2, 0)*INDEX(Factor!$AI$41:$AK$87, _xlfn.XMATCH($C63, Factor!$AI$41:$AI$87, -1), 2)</f>
        <v>4.5</v>
      </c>
      <c r="K63" s="15" cm="1">
        <f t="array" ref="K63">I63*VLOOKUP($G63, Factor!$AI$4:$AK$36, 3, 0)*INDEX(Factor!$AI$41:$AK$87, _xlfn.XMATCH($C63, Factor!$AI$41:$AI$87, -1), 3)</f>
        <v>126</v>
      </c>
      <c r="L63" s="16"/>
    </row>
    <row r="64" spans="1:12" ht="15.75" customHeight="1" x14ac:dyDescent="0.2">
      <c r="A64" s="18" t="str">
        <f>"break_"&amp;VLOOKUP(F64, Factor!$CI$4:$CJ$6, 2, 0)&amp;"_"&amp;D64&amp;"_"&amp;VLOOKUP(E64, Factor!$CK$4:$CL$13, 2, 0)</f>
        <v>break_Elc_T5_004</v>
      </c>
      <c r="B64" s="18" t="str">
        <f t="shared" si="2"/>
        <v>T5 화물용 전자식제동장치</v>
      </c>
      <c r="C64" s="18">
        <f>VLOOKUP(D64, Factor!$AH$41:$AI$50, 2, 0)</f>
        <v>5000</v>
      </c>
      <c r="D64" s="18" t="s">
        <v>301</v>
      </c>
      <c r="E64" s="55" t="s">
        <v>648</v>
      </c>
      <c r="F64" s="55" t="s">
        <v>694</v>
      </c>
      <c r="G64" s="18" t="str">
        <f t="shared" si="3"/>
        <v>화물용 전자식</v>
      </c>
      <c r="H64" s="18">
        <v>1</v>
      </c>
      <c r="I64" s="18">
        <v>1</v>
      </c>
      <c r="J64" s="18" cm="1">
        <f t="array" ref="J64">H64*VLOOKUP($G64, Factor!$AI$4:$AK$36, 2, 0)*INDEX(Factor!$AI$41:$AK$87, _xlfn.XMATCH($C64, Factor!$AI$41:$AI$87, -1), 2)</f>
        <v>20.7</v>
      </c>
      <c r="K64" s="18" cm="1">
        <f t="array" ref="K64">I64*VLOOKUP($G64, Factor!$AI$4:$AK$36, 3, 0)*INDEX(Factor!$AI$41:$AK$87, _xlfn.XMATCH($C64, Factor!$AI$41:$AI$87, -1), 3)</f>
        <v>1260</v>
      </c>
      <c r="L64" s="19"/>
    </row>
    <row r="65" spans="1:12" ht="15.75" customHeight="1" x14ac:dyDescent="0.2">
      <c r="A65" s="15" t="str">
        <f>"break_"&amp;VLOOKUP(F65, Factor!$CI$4:$CJ$6, 2, 0)&amp;"_"&amp;D65&amp;"_"&amp;VLOOKUP(E65, Factor!$CK$4:$CL$13, 2, 0)</f>
        <v>break_Mac_T6_001</v>
      </c>
      <c r="B65" s="15" t="str">
        <f t="shared" si="2"/>
        <v>T6 표준 기계식제동장치</v>
      </c>
      <c r="C65" s="15">
        <f>VLOOKUP(D65, Factor!$AH$41:$AI$50, 2, 0)</f>
        <v>6000</v>
      </c>
      <c r="D65" s="15" t="s">
        <v>322</v>
      </c>
      <c r="E65" s="56" t="s">
        <v>582</v>
      </c>
      <c r="F65" s="56" t="s">
        <v>692</v>
      </c>
      <c r="G65" s="15" t="str">
        <f t="shared" si="3"/>
        <v>표준 기계식</v>
      </c>
      <c r="H65" s="15">
        <v>1</v>
      </c>
      <c r="I65" s="15">
        <v>1</v>
      </c>
      <c r="J65" s="15" cm="1">
        <f t="array" ref="J65">H65*VLOOKUP($G65, Factor!$AI$4:$AK$36, 2, 0)*INDEX(Factor!$AI$41:$AK$87, _xlfn.XMATCH($C65, Factor!$AI$41:$AI$87, -1), 2)</f>
        <v>10</v>
      </c>
      <c r="K65" s="15" cm="1">
        <f t="array" ref="K65">I65*VLOOKUP($G65, Factor!$AI$4:$AK$36, 3, 0)*INDEX(Factor!$AI$41:$AK$87, _xlfn.XMATCH($C65, Factor!$AI$41:$AI$87, -1), 3)</f>
        <v>600</v>
      </c>
      <c r="L65" s="16"/>
    </row>
    <row r="66" spans="1:12" ht="15.75" customHeight="1" x14ac:dyDescent="0.2">
      <c r="A66" s="18" t="str">
        <f>"break_"&amp;VLOOKUP(F66, Factor!$CI$4:$CJ$6, 2, 0)&amp;"_"&amp;D66&amp;"_"&amp;VLOOKUP(E66, Factor!$CK$4:$CL$13, 2, 0)</f>
        <v>break_Mac_T6_002</v>
      </c>
      <c r="B66" s="18" t="str">
        <f t="shared" si="2"/>
        <v>T6 고성능 기계식제동장치</v>
      </c>
      <c r="C66" s="18">
        <f>VLOOKUP(D66, Factor!$AH$41:$AI$50, 2, 0)</f>
        <v>6000</v>
      </c>
      <c r="D66" s="18" t="s">
        <v>322</v>
      </c>
      <c r="E66" s="55" t="s">
        <v>644</v>
      </c>
      <c r="F66" s="55" t="s">
        <v>692</v>
      </c>
      <c r="G66" s="18" t="str">
        <f t="shared" si="3"/>
        <v>고성능 기계식</v>
      </c>
      <c r="H66" s="18">
        <v>1</v>
      </c>
      <c r="I66" s="18">
        <v>1</v>
      </c>
      <c r="J66" s="18" cm="1">
        <f t="array" ref="J66">H66*VLOOKUP($G66, Factor!$AI$4:$AK$36, 2, 0)*INDEX(Factor!$AI$41:$AK$87, _xlfn.XMATCH($C66, Factor!$AI$41:$AI$87, -1), 2)</f>
        <v>20</v>
      </c>
      <c r="K66" s="18" cm="1">
        <f t="array" ref="K66">I66*VLOOKUP($G66, Factor!$AI$4:$AK$36, 3, 0)*INDEX(Factor!$AI$41:$AK$87, _xlfn.XMATCH($C66, Factor!$AI$41:$AI$87, -1), 3)</f>
        <v>1200</v>
      </c>
      <c r="L66" s="19"/>
    </row>
    <row r="67" spans="1:12" ht="15.75" customHeight="1" x14ac:dyDescent="0.2">
      <c r="A67" s="15" t="str">
        <f>"break_"&amp;VLOOKUP(F67, Factor!$CI$4:$CJ$6, 2, 0)&amp;"_"&amp;D67&amp;"_"&amp;VLOOKUP(E67, Factor!$CK$4:$CL$13, 2, 0)</f>
        <v>break_Mac_T6_003</v>
      </c>
      <c r="B67" s="15" t="str">
        <f t="shared" si="2"/>
        <v>T6 경량 기계식제동장치</v>
      </c>
      <c r="C67" s="15">
        <f>VLOOKUP(D67, Factor!$AH$41:$AI$50, 2, 0)</f>
        <v>6000</v>
      </c>
      <c r="D67" s="15" t="s">
        <v>302</v>
      </c>
      <c r="E67" s="56" t="s">
        <v>585</v>
      </c>
      <c r="F67" s="56" t="s">
        <v>692</v>
      </c>
      <c r="G67" s="15" t="str">
        <f t="shared" si="3"/>
        <v>경량 기계식</v>
      </c>
      <c r="H67" s="15">
        <v>1</v>
      </c>
      <c r="I67" s="15">
        <v>1</v>
      </c>
      <c r="J67" s="15" cm="1">
        <f t="array" ref="J67">H67*VLOOKUP($G67, Factor!$AI$4:$AK$36, 2, 0)*INDEX(Factor!$AI$41:$AK$87, _xlfn.XMATCH($C67, Factor!$AI$41:$AI$87, -1), 2)</f>
        <v>6</v>
      </c>
      <c r="K67" s="15" cm="1">
        <f t="array" ref="K67">I67*VLOOKUP($G67, Factor!$AI$4:$AK$36, 3, 0)*INDEX(Factor!$AI$41:$AK$87, _xlfn.XMATCH($C67, Factor!$AI$41:$AI$87, -1), 3)</f>
        <v>200</v>
      </c>
      <c r="L67" s="16"/>
    </row>
    <row r="68" spans="1:12" ht="15.75" customHeight="1" x14ac:dyDescent="0.2">
      <c r="A68" s="18" t="str">
        <f>"break_"&amp;VLOOKUP(F68, Factor!$CI$4:$CJ$6, 2, 0)&amp;"_"&amp;D68&amp;"_"&amp;VLOOKUP(E68, Factor!$CK$4:$CL$13, 2, 0)</f>
        <v>break_Mac_T6_004</v>
      </c>
      <c r="B68" s="18" t="str">
        <f t="shared" si="2"/>
        <v>T6 화물용 기계식제동장치</v>
      </c>
      <c r="C68" s="18">
        <f>VLOOKUP(D68, Factor!$AH$41:$AI$50, 2, 0)</f>
        <v>6000</v>
      </c>
      <c r="D68" s="18" t="s">
        <v>302</v>
      </c>
      <c r="E68" s="55" t="s">
        <v>648</v>
      </c>
      <c r="F68" s="55" t="s">
        <v>692</v>
      </c>
      <c r="G68" s="18" t="str">
        <f t="shared" si="3"/>
        <v>화물용 기계식</v>
      </c>
      <c r="H68" s="18">
        <v>1</v>
      </c>
      <c r="I68" s="18">
        <v>1</v>
      </c>
      <c r="J68" s="18" cm="1">
        <f t="array" ref="J68">H68*VLOOKUP($G68, Factor!$AI$4:$AK$36, 2, 0)*INDEX(Factor!$AI$41:$AK$87, _xlfn.XMATCH($C68, Factor!$AI$41:$AI$87, -1), 2)</f>
        <v>24</v>
      </c>
      <c r="K68" s="18" cm="1">
        <f t="array" ref="K68">I68*VLOOKUP($G68, Factor!$AI$4:$AK$36, 3, 0)*INDEX(Factor!$AI$41:$AK$87, _xlfn.XMATCH($C68, Factor!$AI$41:$AI$87, -1), 3)</f>
        <v>1600</v>
      </c>
      <c r="L68" s="19"/>
    </row>
    <row r="69" spans="1:12" ht="15.75" customHeight="1" x14ac:dyDescent="0.2">
      <c r="A69" s="15" t="str">
        <f>"break_"&amp;VLOOKUP(F69, Factor!$CI$4:$CJ$6, 2, 0)&amp;"_"&amp;D69&amp;"_"&amp;VLOOKUP(E69, Factor!$CK$4:$CL$13, 2, 0)</f>
        <v>break_Hyd_T6_001</v>
      </c>
      <c r="B69" s="15" t="str">
        <f t="shared" si="2"/>
        <v>T6 표준 유압식제동장치</v>
      </c>
      <c r="C69" s="15">
        <f>VLOOKUP(D69, Factor!$AH$41:$AI$50, 2, 0)</f>
        <v>6000</v>
      </c>
      <c r="D69" s="15" t="s">
        <v>302</v>
      </c>
      <c r="E69" s="56" t="s">
        <v>582</v>
      </c>
      <c r="F69" s="56" t="s">
        <v>693</v>
      </c>
      <c r="G69" s="15" t="str">
        <f t="shared" si="3"/>
        <v>표준 유압식</v>
      </c>
      <c r="H69" s="15">
        <v>1</v>
      </c>
      <c r="I69" s="15">
        <v>1</v>
      </c>
      <c r="J69" s="15" cm="1">
        <f t="array" ref="J69">H69*VLOOKUP($G69, Factor!$AI$4:$AK$36, 2, 0)*INDEX(Factor!$AI$41:$AK$87, _xlfn.XMATCH($C69, Factor!$AI$41:$AI$87, -1), 2)</f>
        <v>11</v>
      </c>
      <c r="K69" s="15" cm="1">
        <f t="array" ref="K69">I69*VLOOKUP($G69, Factor!$AI$4:$AK$36, 3, 0)*INDEX(Factor!$AI$41:$AK$87, _xlfn.XMATCH($C69, Factor!$AI$41:$AI$87, -1), 3)</f>
        <v>560</v>
      </c>
      <c r="L69" s="16"/>
    </row>
    <row r="70" spans="1:12" ht="15.75" customHeight="1" x14ac:dyDescent="0.2">
      <c r="A70" s="18" t="str">
        <f>"break_"&amp;VLOOKUP(F70, Factor!$CI$4:$CJ$6, 2, 0)&amp;"_"&amp;D70&amp;"_"&amp;VLOOKUP(E70, Factor!$CK$4:$CL$13, 2, 0)</f>
        <v>break_Hyd_T6_002</v>
      </c>
      <c r="B70" s="18" t="str">
        <f t="shared" si="2"/>
        <v>T6 고성능 유압식제동장치</v>
      </c>
      <c r="C70" s="18">
        <f>VLOOKUP(D70, Factor!$AH$41:$AI$50, 2, 0)</f>
        <v>6000</v>
      </c>
      <c r="D70" s="18" t="s">
        <v>302</v>
      </c>
      <c r="E70" s="55" t="s">
        <v>644</v>
      </c>
      <c r="F70" s="55" t="s">
        <v>693</v>
      </c>
      <c r="G70" s="18" t="str">
        <f t="shared" si="3"/>
        <v>고성능 유압식</v>
      </c>
      <c r="H70" s="18">
        <v>1</v>
      </c>
      <c r="I70" s="18">
        <v>1</v>
      </c>
      <c r="J70" s="18" cm="1">
        <f t="array" ref="J70">H70*VLOOKUP($G70, Factor!$AI$4:$AK$36, 2, 0)*INDEX(Factor!$AI$41:$AK$87, _xlfn.XMATCH($C70, Factor!$AI$41:$AI$87, -1), 2)</f>
        <v>21</v>
      </c>
      <c r="K70" s="18" cm="1">
        <f t="array" ref="K70">I70*VLOOKUP($G70, Factor!$AI$4:$AK$36, 3, 0)*INDEX(Factor!$AI$41:$AK$87, _xlfn.XMATCH($C70, Factor!$AI$41:$AI$87, -1), 3)</f>
        <v>1100</v>
      </c>
      <c r="L70" s="19"/>
    </row>
    <row r="71" spans="1:12" ht="15.75" customHeight="1" x14ac:dyDescent="0.2">
      <c r="A71" s="15" t="str">
        <f>"break_"&amp;VLOOKUP(F71, Factor!$CI$4:$CJ$6, 2, 0)&amp;"_"&amp;D71&amp;"_"&amp;VLOOKUP(E71, Factor!$CK$4:$CL$13, 2, 0)</f>
        <v>break_Hyd_T6_003</v>
      </c>
      <c r="B71" s="15" t="str">
        <f t="shared" si="2"/>
        <v>T6 경량 유압식제동장치</v>
      </c>
      <c r="C71" s="15">
        <f>VLOOKUP(D71, Factor!$AH$41:$AI$50, 2, 0)</f>
        <v>6000</v>
      </c>
      <c r="D71" s="15" t="s">
        <v>302</v>
      </c>
      <c r="E71" s="56" t="s">
        <v>585</v>
      </c>
      <c r="F71" s="56" t="s">
        <v>693</v>
      </c>
      <c r="G71" s="15" t="str">
        <f t="shared" si="3"/>
        <v>경량 유압식</v>
      </c>
      <c r="H71" s="15">
        <v>1</v>
      </c>
      <c r="I71" s="15">
        <v>1</v>
      </c>
      <c r="J71" s="15" cm="1">
        <f t="array" ref="J71">H71*VLOOKUP($G71, Factor!$AI$4:$AK$36, 2, 0)*INDEX(Factor!$AI$41:$AK$87, _xlfn.XMATCH($C71, Factor!$AI$41:$AI$87, -1), 2)</f>
        <v>7</v>
      </c>
      <c r="K71" s="15" cm="1">
        <f t="array" ref="K71">I71*VLOOKUP($G71, Factor!$AI$4:$AK$36, 3, 0)*INDEX(Factor!$AI$41:$AK$87, _xlfn.XMATCH($C71, Factor!$AI$41:$AI$87, -1), 3)</f>
        <v>180</v>
      </c>
      <c r="L71" s="16"/>
    </row>
    <row r="72" spans="1:12" ht="15.75" customHeight="1" x14ac:dyDescent="0.2">
      <c r="A72" s="18" t="str">
        <f>"break_"&amp;VLOOKUP(F72, Factor!$CI$4:$CJ$6, 2, 0)&amp;"_"&amp;D72&amp;"_"&amp;VLOOKUP(E72, Factor!$CK$4:$CL$13, 2, 0)</f>
        <v>break_Hyd_T6_004</v>
      </c>
      <c r="B72" s="18" t="str">
        <f t="shared" si="2"/>
        <v>T6 화물용 유압식제동장치</v>
      </c>
      <c r="C72" s="18">
        <f>VLOOKUP(D72, Factor!$AH$41:$AI$50, 2, 0)</f>
        <v>6000</v>
      </c>
      <c r="D72" s="18" t="s">
        <v>302</v>
      </c>
      <c r="E72" s="55" t="s">
        <v>648</v>
      </c>
      <c r="F72" s="55" t="s">
        <v>693</v>
      </c>
      <c r="G72" s="18" t="str">
        <f t="shared" si="3"/>
        <v>화물용 유압식</v>
      </c>
      <c r="H72" s="18">
        <v>1</v>
      </c>
      <c r="I72" s="18">
        <v>1</v>
      </c>
      <c r="J72" s="18" cm="1">
        <f t="array" ref="J72">H72*VLOOKUP($G72, Factor!$AI$4:$AK$36, 2, 0)*INDEX(Factor!$AI$41:$AK$87, _xlfn.XMATCH($C72, Factor!$AI$41:$AI$87, -1), 2)</f>
        <v>25</v>
      </c>
      <c r="K72" s="18" cm="1">
        <f t="array" ref="K72">I72*VLOOKUP($G72, Factor!$AI$4:$AK$36, 3, 0)*INDEX(Factor!$AI$41:$AK$87, _xlfn.XMATCH($C72, Factor!$AI$41:$AI$87, -1), 3)</f>
        <v>1500</v>
      </c>
      <c r="L72" s="19"/>
    </row>
    <row r="73" spans="1:12" ht="15.75" customHeight="1" x14ac:dyDescent="0.2">
      <c r="A73" s="15" t="str">
        <f>"break_"&amp;VLOOKUP(F73, Factor!$CI$4:$CJ$6, 2, 0)&amp;"_"&amp;D73&amp;"_"&amp;VLOOKUP(E73, Factor!$CK$4:$CL$13, 2, 0)</f>
        <v>break_Elc_T6_001</v>
      </c>
      <c r="B73" s="15" t="str">
        <f t="shared" si="2"/>
        <v>T6 표준 전자식제동장치</v>
      </c>
      <c r="C73" s="15">
        <f>VLOOKUP(D73, Factor!$AH$41:$AI$50, 2, 0)</f>
        <v>6000</v>
      </c>
      <c r="D73" s="15" t="s">
        <v>302</v>
      </c>
      <c r="E73" s="56" t="s">
        <v>582</v>
      </c>
      <c r="F73" s="56" t="s">
        <v>694</v>
      </c>
      <c r="G73" s="15" t="str">
        <f t="shared" si="3"/>
        <v>표준 전자식</v>
      </c>
      <c r="H73" s="15">
        <v>1</v>
      </c>
      <c r="I73" s="15">
        <v>1</v>
      </c>
      <c r="J73" s="15" cm="1">
        <f t="array" ref="J73">H73*VLOOKUP($G73, Factor!$AI$4:$AK$36, 2, 0)*INDEX(Factor!$AI$41:$AK$87, _xlfn.XMATCH($C73, Factor!$AI$41:$AI$87, -1), 2)</f>
        <v>9</v>
      </c>
      <c r="K73" s="15" cm="1">
        <f t="array" ref="K73">I73*VLOOKUP($G73, Factor!$AI$4:$AK$36, 3, 0)*INDEX(Factor!$AI$41:$AK$87, _xlfn.XMATCH($C73, Factor!$AI$41:$AI$87, -1), 3)</f>
        <v>500</v>
      </c>
      <c r="L73" s="16"/>
    </row>
    <row r="74" spans="1:12" ht="15.75" customHeight="1" x14ac:dyDescent="0.2">
      <c r="A74" s="18" t="str">
        <f>"break_"&amp;VLOOKUP(F74, Factor!$CI$4:$CJ$6, 2, 0)&amp;"_"&amp;D74&amp;"_"&amp;VLOOKUP(E74, Factor!$CK$4:$CL$13, 2, 0)</f>
        <v>break_Elc_T6_002</v>
      </c>
      <c r="B74" s="18" t="str">
        <f t="shared" si="2"/>
        <v>T6 고성능 전자식제동장치</v>
      </c>
      <c r="C74" s="18">
        <f>VLOOKUP(D74, Factor!$AH$41:$AI$50, 2, 0)</f>
        <v>6000</v>
      </c>
      <c r="D74" s="18" t="s">
        <v>302</v>
      </c>
      <c r="E74" s="55" t="s">
        <v>644</v>
      </c>
      <c r="F74" s="55" t="s">
        <v>694</v>
      </c>
      <c r="G74" s="18" t="str">
        <f t="shared" si="3"/>
        <v>고성능 전자식</v>
      </c>
      <c r="H74" s="18">
        <v>1</v>
      </c>
      <c r="I74" s="18">
        <v>1</v>
      </c>
      <c r="J74" s="18" cm="1">
        <f t="array" ref="J74">H74*VLOOKUP($G74, Factor!$AI$4:$AK$36, 2, 0)*INDEX(Factor!$AI$41:$AK$87, _xlfn.XMATCH($C74, Factor!$AI$41:$AI$87, -1), 2)</f>
        <v>19</v>
      </c>
      <c r="K74" s="18" cm="1">
        <f t="array" ref="K74">I74*VLOOKUP($G74, Factor!$AI$4:$AK$36, 3, 0)*INDEX(Factor!$AI$41:$AK$87, _xlfn.XMATCH($C74, Factor!$AI$41:$AI$87, -1), 3)</f>
        <v>1000</v>
      </c>
      <c r="L74" s="19"/>
    </row>
    <row r="75" spans="1:12" ht="15.75" customHeight="1" x14ac:dyDescent="0.2">
      <c r="A75" s="15" t="str">
        <f>"break_"&amp;VLOOKUP(F75, Factor!$CI$4:$CJ$6, 2, 0)&amp;"_"&amp;D75&amp;"_"&amp;VLOOKUP(E75, Factor!$CK$4:$CL$13, 2, 0)</f>
        <v>break_Elc_T6_003</v>
      </c>
      <c r="B75" s="15" t="str">
        <f t="shared" si="2"/>
        <v>T6 경량 전자식제동장치</v>
      </c>
      <c r="C75" s="15">
        <f>VLOOKUP(D75, Factor!$AH$41:$AI$50, 2, 0)</f>
        <v>6000</v>
      </c>
      <c r="D75" s="15" t="s">
        <v>302</v>
      </c>
      <c r="E75" s="56" t="s">
        <v>585</v>
      </c>
      <c r="F75" s="56" t="s">
        <v>694</v>
      </c>
      <c r="G75" s="15" t="str">
        <f t="shared" si="3"/>
        <v>경량 전자식</v>
      </c>
      <c r="H75" s="15">
        <v>1</v>
      </c>
      <c r="I75" s="15">
        <v>1</v>
      </c>
      <c r="J75" s="15" cm="1">
        <f t="array" ref="J75">H75*VLOOKUP($G75, Factor!$AI$4:$AK$36, 2, 0)*INDEX(Factor!$AI$41:$AK$87, _xlfn.XMATCH($C75, Factor!$AI$41:$AI$87, -1), 2)</f>
        <v>5</v>
      </c>
      <c r="K75" s="15" cm="1">
        <f t="array" ref="K75">I75*VLOOKUP($G75, Factor!$AI$4:$AK$36, 3, 0)*INDEX(Factor!$AI$41:$AK$87, _xlfn.XMATCH($C75, Factor!$AI$41:$AI$87, -1), 3)</f>
        <v>140</v>
      </c>
      <c r="L75" s="16"/>
    </row>
    <row r="76" spans="1:12" ht="15.75" customHeight="1" x14ac:dyDescent="0.2">
      <c r="A76" s="18" t="str">
        <f>"break_"&amp;VLOOKUP(F76, Factor!$CI$4:$CJ$6, 2, 0)&amp;"_"&amp;D76&amp;"_"&amp;VLOOKUP(E76, Factor!$CK$4:$CL$13, 2, 0)</f>
        <v>break_Elc_T6_004</v>
      </c>
      <c r="B76" s="18" t="str">
        <f t="shared" si="2"/>
        <v>T6 화물용 전자식제동장치</v>
      </c>
      <c r="C76" s="18">
        <f>VLOOKUP(D76, Factor!$AH$41:$AI$50, 2, 0)</f>
        <v>6000</v>
      </c>
      <c r="D76" s="18" t="s">
        <v>302</v>
      </c>
      <c r="E76" s="55" t="s">
        <v>648</v>
      </c>
      <c r="F76" s="55" t="s">
        <v>694</v>
      </c>
      <c r="G76" s="18" t="str">
        <f t="shared" si="3"/>
        <v>화물용 전자식</v>
      </c>
      <c r="H76" s="18">
        <v>1</v>
      </c>
      <c r="I76" s="18">
        <v>1</v>
      </c>
      <c r="J76" s="18" cm="1">
        <f t="array" ref="J76">H76*VLOOKUP($G76, Factor!$AI$4:$AK$36, 2, 0)*INDEX(Factor!$AI$41:$AK$87, _xlfn.XMATCH($C76, Factor!$AI$41:$AI$87, -1), 2)</f>
        <v>23</v>
      </c>
      <c r="K76" s="18" cm="1">
        <f t="array" ref="K76">I76*VLOOKUP($G76, Factor!$AI$4:$AK$36, 3, 0)*INDEX(Factor!$AI$41:$AK$87, _xlfn.XMATCH($C76, Factor!$AI$41:$AI$87, -1), 3)</f>
        <v>1400</v>
      </c>
      <c r="L76" s="19"/>
    </row>
    <row r="77" spans="1:12" ht="15.75" customHeight="1" x14ac:dyDescent="0.2">
      <c r="A77" s="15" t="str">
        <f>"break_"&amp;VLOOKUP(F77, Factor!$CI$4:$CJ$6, 2, 0)&amp;"_"&amp;D77&amp;"_"&amp;VLOOKUP(E77, Factor!$CK$4:$CL$13, 2, 0)</f>
        <v>break_Mac_T7_001</v>
      </c>
      <c r="B77" s="15" t="str">
        <f t="shared" si="2"/>
        <v>T7 표준 기계식제동장치</v>
      </c>
      <c r="C77" s="15">
        <f>VLOOKUP(D77, Factor!$AH$41:$AI$50, 2, 0)</f>
        <v>7000</v>
      </c>
      <c r="D77" s="15" t="s">
        <v>325</v>
      </c>
      <c r="E77" s="56" t="s">
        <v>582</v>
      </c>
      <c r="F77" s="56" t="s">
        <v>692</v>
      </c>
      <c r="G77" s="15" t="str">
        <f t="shared" si="3"/>
        <v>표준 기계식</v>
      </c>
      <c r="H77" s="15">
        <v>1</v>
      </c>
      <c r="I77" s="15">
        <v>1</v>
      </c>
      <c r="J77" s="15" cm="1">
        <f t="array" ref="J77">H77*VLOOKUP($G77, Factor!$AI$4:$AK$36, 2, 0)*INDEX(Factor!$AI$41:$AK$87, _xlfn.XMATCH($C77, Factor!$AI$41:$AI$87, -1), 2)</f>
        <v>11</v>
      </c>
      <c r="K77" s="15" cm="1">
        <f t="array" ref="K77">I77*VLOOKUP($G77, Factor!$AI$4:$AK$36, 3, 0)*INDEX(Factor!$AI$41:$AK$87, _xlfn.XMATCH($C77, Factor!$AI$41:$AI$87, -1), 3)</f>
        <v>660</v>
      </c>
      <c r="L77" s="16"/>
    </row>
    <row r="78" spans="1:12" ht="15.75" customHeight="1" x14ac:dyDescent="0.2">
      <c r="A78" s="18" t="str">
        <f>"break_"&amp;VLOOKUP(F78, Factor!$CI$4:$CJ$6, 2, 0)&amp;"_"&amp;D78&amp;"_"&amp;VLOOKUP(E78, Factor!$CK$4:$CL$13, 2, 0)</f>
        <v>break_Mac_T7_002</v>
      </c>
      <c r="B78" s="18" t="str">
        <f t="shared" si="2"/>
        <v>T7 고성능 기계식제동장치</v>
      </c>
      <c r="C78" s="18">
        <f>VLOOKUP(D78, Factor!$AH$41:$AI$50, 2, 0)</f>
        <v>7000</v>
      </c>
      <c r="D78" s="18" t="s">
        <v>325</v>
      </c>
      <c r="E78" s="55" t="s">
        <v>644</v>
      </c>
      <c r="F78" s="55" t="s">
        <v>692</v>
      </c>
      <c r="G78" s="18" t="str">
        <f t="shared" si="3"/>
        <v>고성능 기계식</v>
      </c>
      <c r="H78" s="18">
        <v>1</v>
      </c>
      <c r="I78" s="18">
        <v>1</v>
      </c>
      <c r="J78" s="18" cm="1">
        <f t="array" ref="J78">H78*VLOOKUP($G78, Factor!$AI$4:$AK$36, 2, 0)*INDEX(Factor!$AI$41:$AK$87, _xlfn.XMATCH($C78, Factor!$AI$41:$AI$87, -1), 2)</f>
        <v>22</v>
      </c>
      <c r="K78" s="18" cm="1">
        <f t="array" ref="K78">I78*VLOOKUP($G78, Factor!$AI$4:$AK$36, 3, 0)*INDEX(Factor!$AI$41:$AK$87, _xlfn.XMATCH($C78, Factor!$AI$41:$AI$87, -1), 3)</f>
        <v>1320</v>
      </c>
      <c r="L78" s="19"/>
    </row>
    <row r="79" spans="1:12" ht="15.75" customHeight="1" x14ac:dyDescent="0.2">
      <c r="A79" s="15" t="str">
        <f>"break_"&amp;VLOOKUP(F79, Factor!$CI$4:$CJ$6, 2, 0)&amp;"_"&amp;D79&amp;"_"&amp;VLOOKUP(E79, Factor!$CK$4:$CL$13, 2, 0)</f>
        <v>break_Mac_T7_003</v>
      </c>
      <c r="B79" s="15" t="str">
        <f t="shared" si="2"/>
        <v>T7 경량 기계식제동장치</v>
      </c>
      <c r="C79" s="15">
        <f>VLOOKUP(D79, Factor!$AH$41:$AI$50, 2, 0)</f>
        <v>7000</v>
      </c>
      <c r="D79" s="15" t="s">
        <v>303</v>
      </c>
      <c r="E79" s="56" t="s">
        <v>585</v>
      </c>
      <c r="F79" s="56" t="s">
        <v>692</v>
      </c>
      <c r="G79" s="15" t="str">
        <f t="shared" si="3"/>
        <v>경량 기계식</v>
      </c>
      <c r="H79" s="15">
        <v>1</v>
      </c>
      <c r="I79" s="15">
        <v>1</v>
      </c>
      <c r="J79" s="15" cm="1">
        <f t="array" ref="J79">H79*VLOOKUP($G79, Factor!$AI$4:$AK$36, 2, 0)*INDEX(Factor!$AI$41:$AK$87, _xlfn.XMATCH($C79, Factor!$AI$41:$AI$87, -1), 2)</f>
        <v>6.6000000000000005</v>
      </c>
      <c r="K79" s="15" cm="1">
        <f t="array" ref="K79">I79*VLOOKUP($G79, Factor!$AI$4:$AK$36, 3, 0)*INDEX(Factor!$AI$41:$AK$87, _xlfn.XMATCH($C79, Factor!$AI$41:$AI$87, -1), 3)</f>
        <v>220.00000000000003</v>
      </c>
      <c r="L79" s="16"/>
    </row>
    <row r="80" spans="1:12" ht="15.75" customHeight="1" x14ac:dyDescent="0.2">
      <c r="A80" s="18" t="str">
        <f>"break_"&amp;VLOOKUP(F80, Factor!$CI$4:$CJ$6, 2, 0)&amp;"_"&amp;D80&amp;"_"&amp;VLOOKUP(E80, Factor!$CK$4:$CL$13, 2, 0)</f>
        <v>break_Mac_T7_004</v>
      </c>
      <c r="B80" s="18" t="str">
        <f t="shared" si="2"/>
        <v>T7 화물용 기계식제동장치</v>
      </c>
      <c r="C80" s="18">
        <f>VLOOKUP(D80, Factor!$AH$41:$AI$50, 2, 0)</f>
        <v>7000</v>
      </c>
      <c r="D80" s="18" t="s">
        <v>303</v>
      </c>
      <c r="E80" s="55" t="s">
        <v>648</v>
      </c>
      <c r="F80" s="55" t="s">
        <v>692</v>
      </c>
      <c r="G80" s="18" t="str">
        <f t="shared" si="3"/>
        <v>화물용 기계식</v>
      </c>
      <c r="H80" s="18">
        <v>1</v>
      </c>
      <c r="I80" s="18">
        <v>1</v>
      </c>
      <c r="J80" s="18" cm="1">
        <f t="array" ref="J80">H80*VLOOKUP($G80, Factor!$AI$4:$AK$36, 2, 0)*INDEX(Factor!$AI$41:$AK$87, _xlfn.XMATCH($C80, Factor!$AI$41:$AI$87, -1), 2)</f>
        <v>26.400000000000002</v>
      </c>
      <c r="K80" s="18" cm="1">
        <f t="array" ref="K80">I80*VLOOKUP($G80, Factor!$AI$4:$AK$36, 3, 0)*INDEX(Factor!$AI$41:$AK$87, _xlfn.XMATCH($C80, Factor!$AI$41:$AI$87, -1), 3)</f>
        <v>1760.0000000000002</v>
      </c>
      <c r="L80" s="19"/>
    </row>
    <row r="81" spans="1:12" ht="15.75" customHeight="1" x14ac:dyDescent="0.2">
      <c r="A81" s="15" t="str">
        <f>"break_"&amp;VLOOKUP(F81, Factor!$CI$4:$CJ$6, 2, 0)&amp;"_"&amp;D81&amp;"_"&amp;VLOOKUP(E81, Factor!$CK$4:$CL$13, 2, 0)</f>
        <v>break_Hyd_T7_001</v>
      </c>
      <c r="B81" s="15" t="str">
        <f t="shared" si="2"/>
        <v>T7 표준 유압식제동장치</v>
      </c>
      <c r="C81" s="15">
        <f>VLOOKUP(D81, Factor!$AH$41:$AI$50, 2, 0)</f>
        <v>7000</v>
      </c>
      <c r="D81" s="15" t="s">
        <v>303</v>
      </c>
      <c r="E81" s="56" t="s">
        <v>582</v>
      </c>
      <c r="F81" s="56" t="s">
        <v>693</v>
      </c>
      <c r="G81" s="15" t="str">
        <f t="shared" si="3"/>
        <v>표준 유압식</v>
      </c>
      <c r="H81" s="15">
        <v>1</v>
      </c>
      <c r="I81" s="15">
        <v>1</v>
      </c>
      <c r="J81" s="15" cm="1">
        <f t="array" ref="J81">H81*VLOOKUP($G81, Factor!$AI$4:$AK$36, 2, 0)*INDEX(Factor!$AI$41:$AK$87, _xlfn.XMATCH($C81, Factor!$AI$41:$AI$87, -1), 2)</f>
        <v>12.100000000000001</v>
      </c>
      <c r="K81" s="15" cm="1">
        <f t="array" ref="K81">I81*VLOOKUP($G81, Factor!$AI$4:$AK$36, 3, 0)*INDEX(Factor!$AI$41:$AK$87, _xlfn.XMATCH($C81, Factor!$AI$41:$AI$87, -1), 3)</f>
        <v>616</v>
      </c>
      <c r="L81" s="16"/>
    </row>
    <row r="82" spans="1:12" ht="15.75" customHeight="1" x14ac:dyDescent="0.2">
      <c r="A82" s="18" t="str">
        <f>"break_"&amp;VLOOKUP(F82, Factor!$CI$4:$CJ$6, 2, 0)&amp;"_"&amp;D82&amp;"_"&amp;VLOOKUP(E82, Factor!$CK$4:$CL$13, 2, 0)</f>
        <v>break_Hyd_T7_002</v>
      </c>
      <c r="B82" s="18" t="str">
        <f t="shared" si="2"/>
        <v>T7 고성능 유압식제동장치</v>
      </c>
      <c r="C82" s="18">
        <f>VLOOKUP(D82, Factor!$AH$41:$AI$50, 2, 0)</f>
        <v>7000</v>
      </c>
      <c r="D82" s="18" t="s">
        <v>303</v>
      </c>
      <c r="E82" s="55" t="s">
        <v>644</v>
      </c>
      <c r="F82" s="55" t="s">
        <v>693</v>
      </c>
      <c r="G82" s="18" t="str">
        <f t="shared" si="3"/>
        <v>고성능 유압식</v>
      </c>
      <c r="H82" s="18">
        <v>1</v>
      </c>
      <c r="I82" s="18">
        <v>1</v>
      </c>
      <c r="J82" s="18" cm="1">
        <f t="array" ref="J82">H82*VLOOKUP($G82, Factor!$AI$4:$AK$36, 2, 0)*INDEX(Factor!$AI$41:$AK$87, _xlfn.XMATCH($C82, Factor!$AI$41:$AI$87, -1), 2)</f>
        <v>23.1</v>
      </c>
      <c r="K82" s="18" cm="1">
        <f t="array" ref="K82">I82*VLOOKUP($G82, Factor!$AI$4:$AK$36, 3, 0)*INDEX(Factor!$AI$41:$AK$87, _xlfn.XMATCH($C82, Factor!$AI$41:$AI$87, -1), 3)</f>
        <v>1210</v>
      </c>
      <c r="L82" s="19"/>
    </row>
    <row r="83" spans="1:12" ht="15.75" customHeight="1" x14ac:dyDescent="0.2">
      <c r="A83" s="15" t="str">
        <f>"break_"&amp;VLOOKUP(F83, Factor!$CI$4:$CJ$6, 2, 0)&amp;"_"&amp;D83&amp;"_"&amp;VLOOKUP(E83, Factor!$CK$4:$CL$13, 2, 0)</f>
        <v>break_Hyd_T7_003</v>
      </c>
      <c r="B83" s="15" t="str">
        <f t="shared" si="2"/>
        <v>T7 경량 유압식제동장치</v>
      </c>
      <c r="C83" s="15">
        <f>VLOOKUP(D83, Factor!$AH$41:$AI$50, 2, 0)</f>
        <v>7000</v>
      </c>
      <c r="D83" s="15" t="s">
        <v>303</v>
      </c>
      <c r="E83" s="56" t="s">
        <v>585</v>
      </c>
      <c r="F83" s="56" t="s">
        <v>693</v>
      </c>
      <c r="G83" s="15" t="str">
        <f t="shared" si="3"/>
        <v>경량 유압식</v>
      </c>
      <c r="H83" s="15">
        <v>1</v>
      </c>
      <c r="I83" s="15">
        <v>1</v>
      </c>
      <c r="J83" s="15" cm="1">
        <f t="array" ref="J83">H83*VLOOKUP($G83, Factor!$AI$4:$AK$36, 2, 0)*INDEX(Factor!$AI$41:$AK$87, _xlfn.XMATCH($C83, Factor!$AI$41:$AI$87, -1), 2)</f>
        <v>7.7000000000000011</v>
      </c>
      <c r="K83" s="15" cm="1">
        <f t="array" ref="K83">I83*VLOOKUP($G83, Factor!$AI$4:$AK$36, 3, 0)*INDEX(Factor!$AI$41:$AK$87, _xlfn.XMATCH($C83, Factor!$AI$41:$AI$87, -1), 3)</f>
        <v>198.00000000000003</v>
      </c>
      <c r="L83" s="16"/>
    </row>
    <row r="84" spans="1:12" ht="15.75" customHeight="1" x14ac:dyDescent="0.2">
      <c r="A84" s="18" t="str">
        <f>"break_"&amp;VLOOKUP(F84, Factor!$CI$4:$CJ$6, 2, 0)&amp;"_"&amp;D84&amp;"_"&amp;VLOOKUP(E84, Factor!$CK$4:$CL$13, 2, 0)</f>
        <v>break_Hyd_T7_004</v>
      </c>
      <c r="B84" s="18" t="str">
        <f t="shared" si="2"/>
        <v>T7 화물용 유압식제동장치</v>
      </c>
      <c r="C84" s="18">
        <f>VLOOKUP(D84, Factor!$AH$41:$AI$50, 2, 0)</f>
        <v>7000</v>
      </c>
      <c r="D84" s="18" t="s">
        <v>303</v>
      </c>
      <c r="E84" s="55" t="s">
        <v>648</v>
      </c>
      <c r="F84" s="55" t="s">
        <v>693</v>
      </c>
      <c r="G84" s="18" t="str">
        <f t="shared" si="3"/>
        <v>화물용 유압식</v>
      </c>
      <c r="H84" s="18">
        <v>1</v>
      </c>
      <c r="I84" s="18">
        <v>1</v>
      </c>
      <c r="J84" s="18" cm="1">
        <f t="array" ref="J84">H84*VLOOKUP($G84, Factor!$AI$4:$AK$36, 2, 0)*INDEX(Factor!$AI$41:$AK$87, _xlfn.XMATCH($C84, Factor!$AI$41:$AI$87, -1), 2)</f>
        <v>27.500000000000004</v>
      </c>
      <c r="K84" s="18" cm="1">
        <f t="array" ref="K84">I84*VLOOKUP($G84, Factor!$AI$4:$AK$36, 3, 0)*INDEX(Factor!$AI$41:$AK$87, _xlfn.XMATCH($C84, Factor!$AI$41:$AI$87, -1), 3)</f>
        <v>1650.0000000000002</v>
      </c>
      <c r="L84" s="19"/>
    </row>
    <row r="85" spans="1:12" ht="15.75" customHeight="1" x14ac:dyDescent="0.2">
      <c r="A85" s="15" t="str">
        <f>"break_"&amp;VLOOKUP(F85, Factor!$CI$4:$CJ$6, 2, 0)&amp;"_"&amp;D85&amp;"_"&amp;VLOOKUP(E85, Factor!$CK$4:$CL$13, 2, 0)</f>
        <v>break_Elc_T7_001</v>
      </c>
      <c r="B85" s="15" t="str">
        <f t="shared" si="2"/>
        <v>T7 표준 전자식제동장치</v>
      </c>
      <c r="C85" s="15">
        <f>VLOOKUP(D85, Factor!$AH$41:$AI$50, 2, 0)</f>
        <v>7000</v>
      </c>
      <c r="D85" s="15" t="s">
        <v>303</v>
      </c>
      <c r="E85" s="56" t="s">
        <v>582</v>
      </c>
      <c r="F85" s="56" t="s">
        <v>694</v>
      </c>
      <c r="G85" s="15" t="str">
        <f t="shared" si="3"/>
        <v>표준 전자식</v>
      </c>
      <c r="H85" s="15">
        <v>1</v>
      </c>
      <c r="I85" s="15">
        <v>1</v>
      </c>
      <c r="J85" s="15" cm="1">
        <f t="array" ref="J85">H85*VLOOKUP($G85, Factor!$AI$4:$AK$36, 2, 0)*INDEX(Factor!$AI$41:$AK$87, _xlfn.XMATCH($C85, Factor!$AI$41:$AI$87, -1), 2)</f>
        <v>9.9</v>
      </c>
      <c r="K85" s="15" cm="1">
        <f t="array" ref="K85">I85*VLOOKUP($G85, Factor!$AI$4:$AK$36, 3, 0)*INDEX(Factor!$AI$41:$AK$87, _xlfn.XMATCH($C85, Factor!$AI$41:$AI$87, -1), 3)</f>
        <v>550</v>
      </c>
      <c r="L85" s="16"/>
    </row>
    <row r="86" spans="1:12" ht="15.75" customHeight="1" x14ac:dyDescent="0.2">
      <c r="A86" s="18" t="str">
        <f>"break_"&amp;VLOOKUP(F86, Factor!$CI$4:$CJ$6, 2, 0)&amp;"_"&amp;D86&amp;"_"&amp;VLOOKUP(E86, Factor!$CK$4:$CL$13, 2, 0)</f>
        <v>break_Elc_T7_002</v>
      </c>
      <c r="B86" s="18" t="str">
        <f t="shared" si="2"/>
        <v>T7 고성능 전자식제동장치</v>
      </c>
      <c r="C86" s="18">
        <f>VLOOKUP(D86, Factor!$AH$41:$AI$50, 2, 0)</f>
        <v>7000</v>
      </c>
      <c r="D86" s="18" t="s">
        <v>303</v>
      </c>
      <c r="E86" s="55" t="s">
        <v>644</v>
      </c>
      <c r="F86" s="55" t="s">
        <v>694</v>
      </c>
      <c r="G86" s="18" t="str">
        <f t="shared" si="3"/>
        <v>고성능 전자식</v>
      </c>
      <c r="H86" s="18">
        <v>1</v>
      </c>
      <c r="I86" s="18">
        <v>1</v>
      </c>
      <c r="J86" s="18" cm="1">
        <f t="array" ref="J86">H86*VLOOKUP($G86, Factor!$AI$4:$AK$36, 2, 0)*INDEX(Factor!$AI$41:$AK$87, _xlfn.XMATCH($C86, Factor!$AI$41:$AI$87, -1), 2)</f>
        <v>20.900000000000002</v>
      </c>
      <c r="K86" s="18" cm="1">
        <f t="array" ref="K86">I86*VLOOKUP($G86, Factor!$AI$4:$AK$36, 3, 0)*INDEX(Factor!$AI$41:$AK$87, _xlfn.XMATCH($C86, Factor!$AI$41:$AI$87, -1), 3)</f>
        <v>1100</v>
      </c>
      <c r="L86" s="19"/>
    </row>
    <row r="87" spans="1:12" ht="15.75" customHeight="1" x14ac:dyDescent="0.2">
      <c r="A87" s="15" t="str">
        <f>"break_"&amp;VLOOKUP(F87, Factor!$CI$4:$CJ$6, 2, 0)&amp;"_"&amp;D87&amp;"_"&amp;VLOOKUP(E87, Factor!$CK$4:$CL$13, 2, 0)</f>
        <v>break_Elc_T7_003</v>
      </c>
      <c r="B87" s="15" t="str">
        <f t="shared" si="2"/>
        <v>T7 경량 전자식제동장치</v>
      </c>
      <c r="C87" s="15">
        <f>VLOOKUP(D87, Factor!$AH$41:$AI$50, 2, 0)</f>
        <v>7000</v>
      </c>
      <c r="D87" s="15" t="s">
        <v>303</v>
      </c>
      <c r="E87" s="56" t="s">
        <v>585</v>
      </c>
      <c r="F87" s="56" t="s">
        <v>694</v>
      </c>
      <c r="G87" s="15" t="str">
        <f t="shared" si="3"/>
        <v>경량 전자식</v>
      </c>
      <c r="H87" s="15">
        <v>1</v>
      </c>
      <c r="I87" s="15">
        <v>1</v>
      </c>
      <c r="J87" s="15" cm="1">
        <f t="array" ref="J87">H87*VLOOKUP($G87, Factor!$AI$4:$AK$36, 2, 0)*INDEX(Factor!$AI$41:$AK$87, _xlfn.XMATCH($C87, Factor!$AI$41:$AI$87, -1), 2)</f>
        <v>5.5</v>
      </c>
      <c r="K87" s="15" cm="1">
        <f t="array" ref="K87">I87*VLOOKUP($G87, Factor!$AI$4:$AK$36, 3, 0)*INDEX(Factor!$AI$41:$AK$87, _xlfn.XMATCH($C87, Factor!$AI$41:$AI$87, -1), 3)</f>
        <v>154</v>
      </c>
      <c r="L87" s="16"/>
    </row>
    <row r="88" spans="1:12" ht="15.75" customHeight="1" x14ac:dyDescent="0.2">
      <c r="A88" s="18" t="str">
        <f>"break_"&amp;VLOOKUP(F88, Factor!$CI$4:$CJ$6, 2, 0)&amp;"_"&amp;D88&amp;"_"&amp;VLOOKUP(E88, Factor!$CK$4:$CL$13, 2, 0)</f>
        <v>break_Elc_T7_004</v>
      </c>
      <c r="B88" s="18" t="str">
        <f t="shared" si="2"/>
        <v>T7 화물용 전자식제동장치</v>
      </c>
      <c r="C88" s="18">
        <f>VLOOKUP(D88, Factor!$AH$41:$AI$50, 2, 0)</f>
        <v>7000</v>
      </c>
      <c r="D88" s="18" t="s">
        <v>303</v>
      </c>
      <c r="E88" s="55" t="s">
        <v>648</v>
      </c>
      <c r="F88" s="55" t="s">
        <v>694</v>
      </c>
      <c r="G88" s="18" t="str">
        <f t="shared" si="3"/>
        <v>화물용 전자식</v>
      </c>
      <c r="H88" s="18">
        <v>1</v>
      </c>
      <c r="I88" s="18">
        <v>1</v>
      </c>
      <c r="J88" s="18" cm="1">
        <f t="array" ref="J88">H88*VLOOKUP($G88, Factor!$AI$4:$AK$36, 2, 0)*INDEX(Factor!$AI$41:$AK$87, _xlfn.XMATCH($C88, Factor!$AI$41:$AI$87, -1), 2)</f>
        <v>25.3</v>
      </c>
      <c r="K88" s="18" cm="1">
        <f t="array" ref="K88">I88*VLOOKUP($G88, Factor!$AI$4:$AK$36, 3, 0)*INDEX(Factor!$AI$41:$AK$87, _xlfn.XMATCH($C88, Factor!$AI$41:$AI$87, -1), 3)</f>
        <v>1540.0000000000002</v>
      </c>
      <c r="L88" s="19"/>
    </row>
    <row r="89" spans="1:12" ht="15.75" customHeight="1" x14ac:dyDescent="0.2">
      <c r="A89" s="15" t="str">
        <f>"break_"&amp;VLOOKUP(F89, Factor!$CI$4:$CJ$6, 2, 0)&amp;"_"&amp;D89&amp;"_"&amp;VLOOKUP(E89, Factor!$CK$4:$CL$13, 2, 0)</f>
        <v>break_Mac_T8_001</v>
      </c>
      <c r="B89" s="15" t="str">
        <f t="shared" si="2"/>
        <v>T8 표준 기계식제동장치</v>
      </c>
      <c r="C89" s="15">
        <f>VLOOKUP(D89, Factor!$AH$41:$AI$50, 2, 0)</f>
        <v>8000</v>
      </c>
      <c r="D89" s="15" t="s">
        <v>326</v>
      </c>
      <c r="E89" s="56" t="s">
        <v>582</v>
      </c>
      <c r="F89" s="56" t="s">
        <v>692</v>
      </c>
      <c r="G89" s="15" t="str">
        <f t="shared" si="3"/>
        <v>표준 기계식</v>
      </c>
      <c r="H89" s="15">
        <v>1</v>
      </c>
      <c r="I89" s="15">
        <v>1</v>
      </c>
      <c r="J89" s="15" cm="1">
        <f t="array" ref="J89">H89*VLOOKUP($G89, Factor!$AI$4:$AK$36, 2, 0)*INDEX(Factor!$AI$41:$AK$87, _xlfn.XMATCH($C89, Factor!$AI$41:$AI$87, -1), 2)</f>
        <v>12</v>
      </c>
      <c r="K89" s="15" cm="1">
        <f t="array" ref="K89">I89*VLOOKUP($G89, Factor!$AI$4:$AK$36, 3, 0)*INDEX(Factor!$AI$41:$AK$87, _xlfn.XMATCH($C89, Factor!$AI$41:$AI$87, -1), 3)</f>
        <v>720</v>
      </c>
      <c r="L89" s="16"/>
    </row>
    <row r="90" spans="1:12" ht="15.75" customHeight="1" x14ac:dyDescent="0.2">
      <c r="A90" s="18" t="str">
        <f>"break_"&amp;VLOOKUP(F90, Factor!$CI$4:$CJ$6, 2, 0)&amp;"_"&amp;D90&amp;"_"&amp;VLOOKUP(E90, Factor!$CK$4:$CL$13, 2, 0)</f>
        <v>break_Mac_T8_002</v>
      </c>
      <c r="B90" s="18" t="str">
        <f t="shared" si="2"/>
        <v>T8 고성능 기계식제동장치</v>
      </c>
      <c r="C90" s="18">
        <f>VLOOKUP(D90, Factor!$AH$41:$AI$50, 2, 0)</f>
        <v>8000</v>
      </c>
      <c r="D90" s="18" t="s">
        <v>326</v>
      </c>
      <c r="E90" s="55" t="s">
        <v>644</v>
      </c>
      <c r="F90" s="55" t="s">
        <v>692</v>
      </c>
      <c r="G90" s="18" t="str">
        <f t="shared" si="3"/>
        <v>고성능 기계식</v>
      </c>
      <c r="H90" s="18">
        <v>1</v>
      </c>
      <c r="I90" s="18">
        <v>1</v>
      </c>
      <c r="J90" s="18" cm="1">
        <f t="array" ref="J90">H90*VLOOKUP($G90, Factor!$AI$4:$AK$36, 2, 0)*INDEX(Factor!$AI$41:$AK$87, _xlfn.XMATCH($C90, Factor!$AI$41:$AI$87, -1), 2)</f>
        <v>24</v>
      </c>
      <c r="K90" s="18" cm="1">
        <f t="array" ref="K90">I90*VLOOKUP($G90, Factor!$AI$4:$AK$36, 3, 0)*INDEX(Factor!$AI$41:$AK$87, _xlfn.XMATCH($C90, Factor!$AI$41:$AI$87, -1), 3)</f>
        <v>1440</v>
      </c>
      <c r="L90" s="19"/>
    </row>
    <row r="91" spans="1:12" ht="15.75" customHeight="1" x14ac:dyDescent="0.2">
      <c r="A91" s="15" t="str">
        <f>"break_"&amp;VLOOKUP(F91, Factor!$CI$4:$CJ$6, 2, 0)&amp;"_"&amp;D91&amp;"_"&amp;VLOOKUP(E91, Factor!$CK$4:$CL$13, 2, 0)</f>
        <v>break_Mac_T8_003</v>
      </c>
      <c r="B91" s="15" t="str">
        <f t="shared" si="2"/>
        <v>T8 경량 기계식제동장치</v>
      </c>
      <c r="C91" s="15">
        <f>VLOOKUP(D91, Factor!$AH$41:$AI$50, 2, 0)</f>
        <v>8000</v>
      </c>
      <c r="D91" s="15" t="s">
        <v>304</v>
      </c>
      <c r="E91" s="56" t="s">
        <v>585</v>
      </c>
      <c r="F91" s="56" t="s">
        <v>692</v>
      </c>
      <c r="G91" s="15" t="str">
        <f t="shared" si="3"/>
        <v>경량 기계식</v>
      </c>
      <c r="H91" s="15">
        <v>1</v>
      </c>
      <c r="I91" s="15">
        <v>1</v>
      </c>
      <c r="J91" s="15" cm="1">
        <f t="array" ref="J91">H91*VLOOKUP($G91, Factor!$AI$4:$AK$36, 2, 0)*INDEX(Factor!$AI$41:$AK$87, _xlfn.XMATCH($C91, Factor!$AI$41:$AI$87, -1), 2)</f>
        <v>7.1999999999999993</v>
      </c>
      <c r="K91" s="15" cm="1">
        <f t="array" ref="K91">I91*VLOOKUP($G91, Factor!$AI$4:$AK$36, 3, 0)*INDEX(Factor!$AI$41:$AK$87, _xlfn.XMATCH($C91, Factor!$AI$41:$AI$87, -1), 3)</f>
        <v>240</v>
      </c>
      <c r="L91" s="16"/>
    </row>
    <row r="92" spans="1:12" ht="15.75" customHeight="1" x14ac:dyDescent="0.2">
      <c r="A92" s="18" t="str">
        <f>"break_"&amp;VLOOKUP(F92, Factor!$CI$4:$CJ$6, 2, 0)&amp;"_"&amp;D92&amp;"_"&amp;VLOOKUP(E92, Factor!$CK$4:$CL$13, 2, 0)</f>
        <v>break_Mac_T8_004</v>
      </c>
      <c r="B92" s="18" t="str">
        <f t="shared" si="2"/>
        <v>T8 화물용 기계식제동장치</v>
      </c>
      <c r="C92" s="18">
        <f>VLOOKUP(D92, Factor!$AH$41:$AI$50, 2, 0)</f>
        <v>8000</v>
      </c>
      <c r="D92" s="18" t="s">
        <v>304</v>
      </c>
      <c r="E92" s="55" t="s">
        <v>648</v>
      </c>
      <c r="F92" s="55" t="s">
        <v>692</v>
      </c>
      <c r="G92" s="18" t="str">
        <f t="shared" si="3"/>
        <v>화물용 기계식</v>
      </c>
      <c r="H92" s="18">
        <v>1</v>
      </c>
      <c r="I92" s="18">
        <v>1</v>
      </c>
      <c r="J92" s="18" cm="1">
        <f t="array" ref="J92">H92*VLOOKUP($G92, Factor!$AI$4:$AK$36, 2, 0)*INDEX(Factor!$AI$41:$AK$87, _xlfn.XMATCH($C92, Factor!$AI$41:$AI$87, -1), 2)</f>
        <v>28.799999999999997</v>
      </c>
      <c r="K92" s="18" cm="1">
        <f t="array" ref="K92">I92*VLOOKUP($G92, Factor!$AI$4:$AK$36, 3, 0)*INDEX(Factor!$AI$41:$AK$87, _xlfn.XMATCH($C92, Factor!$AI$41:$AI$87, -1), 3)</f>
        <v>1920</v>
      </c>
      <c r="L92" s="19"/>
    </row>
    <row r="93" spans="1:12" ht="15.75" customHeight="1" x14ac:dyDescent="0.2">
      <c r="A93" s="15" t="str">
        <f>"break_"&amp;VLOOKUP(F93, Factor!$CI$4:$CJ$6, 2, 0)&amp;"_"&amp;D93&amp;"_"&amp;VLOOKUP(E93, Factor!$CK$4:$CL$13, 2, 0)</f>
        <v>break_Hyd_T8_001</v>
      </c>
      <c r="B93" s="15" t="str">
        <f t="shared" si="2"/>
        <v>T8 표준 유압식제동장치</v>
      </c>
      <c r="C93" s="15">
        <f>VLOOKUP(D93, Factor!$AH$41:$AI$50, 2, 0)</f>
        <v>8000</v>
      </c>
      <c r="D93" s="15" t="s">
        <v>304</v>
      </c>
      <c r="E93" s="56" t="s">
        <v>582</v>
      </c>
      <c r="F93" s="56" t="s">
        <v>693</v>
      </c>
      <c r="G93" s="15" t="str">
        <f t="shared" si="3"/>
        <v>표준 유압식</v>
      </c>
      <c r="H93" s="15">
        <v>1</v>
      </c>
      <c r="I93" s="15">
        <v>1</v>
      </c>
      <c r="J93" s="15" cm="1">
        <f t="array" ref="J93">H93*VLOOKUP($G93, Factor!$AI$4:$AK$36, 2, 0)*INDEX(Factor!$AI$41:$AK$87, _xlfn.XMATCH($C93, Factor!$AI$41:$AI$87, -1), 2)</f>
        <v>13.2</v>
      </c>
      <c r="K93" s="15" cm="1">
        <f t="array" ref="K93">I93*VLOOKUP($G93, Factor!$AI$4:$AK$36, 3, 0)*INDEX(Factor!$AI$41:$AK$87, _xlfn.XMATCH($C93, Factor!$AI$41:$AI$87, -1), 3)</f>
        <v>672</v>
      </c>
      <c r="L93" s="16"/>
    </row>
    <row r="94" spans="1:12" ht="15.75" customHeight="1" x14ac:dyDescent="0.2">
      <c r="A94" s="18" t="str">
        <f>"break_"&amp;VLOOKUP(F94, Factor!$CI$4:$CJ$6, 2, 0)&amp;"_"&amp;D94&amp;"_"&amp;VLOOKUP(E94, Factor!$CK$4:$CL$13, 2, 0)</f>
        <v>break_Hyd_T8_002</v>
      </c>
      <c r="B94" s="18" t="str">
        <f t="shared" si="2"/>
        <v>T8 고성능 유압식제동장치</v>
      </c>
      <c r="C94" s="18">
        <f>VLOOKUP(D94, Factor!$AH$41:$AI$50, 2, 0)</f>
        <v>8000</v>
      </c>
      <c r="D94" s="18" t="s">
        <v>304</v>
      </c>
      <c r="E94" s="55" t="s">
        <v>644</v>
      </c>
      <c r="F94" s="55" t="s">
        <v>693</v>
      </c>
      <c r="G94" s="18" t="str">
        <f t="shared" si="3"/>
        <v>고성능 유압식</v>
      </c>
      <c r="H94" s="18">
        <v>1</v>
      </c>
      <c r="I94" s="18">
        <v>1</v>
      </c>
      <c r="J94" s="18" cm="1">
        <f t="array" ref="J94">H94*VLOOKUP($G94, Factor!$AI$4:$AK$36, 2, 0)*INDEX(Factor!$AI$41:$AK$87, _xlfn.XMATCH($C94, Factor!$AI$41:$AI$87, -1), 2)</f>
        <v>25.2</v>
      </c>
      <c r="K94" s="18" cm="1">
        <f t="array" ref="K94">I94*VLOOKUP($G94, Factor!$AI$4:$AK$36, 3, 0)*INDEX(Factor!$AI$41:$AK$87, _xlfn.XMATCH($C94, Factor!$AI$41:$AI$87, -1), 3)</f>
        <v>1320</v>
      </c>
      <c r="L94" s="19"/>
    </row>
    <row r="95" spans="1:12" ht="15.75" customHeight="1" x14ac:dyDescent="0.2">
      <c r="A95" s="15" t="str">
        <f>"break_"&amp;VLOOKUP(F95, Factor!$CI$4:$CJ$6, 2, 0)&amp;"_"&amp;D95&amp;"_"&amp;VLOOKUP(E95, Factor!$CK$4:$CL$13, 2, 0)</f>
        <v>break_Hyd_T8_003</v>
      </c>
      <c r="B95" s="15" t="str">
        <f t="shared" si="2"/>
        <v>T8 경량 유압식제동장치</v>
      </c>
      <c r="C95" s="15">
        <f>VLOOKUP(D95, Factor!$AH$41:$AI$50, 2, 0)</f>
        <v>8000</v>
      </c>
      <c r="D95" s="15" t="s">
        <v>304</v>
      </c>
      <c r="E95" s="56" t="s">
        <v>585</v>
      </c>
      <c r="F95" s="56" t="s">
        <v>693</v>
      </c>
      <c r="G95" s="15" t="str">
        <f t="shared" si="3"/>
        <v>경량 유압식</v>
      </c>
      <c r="H95" s="15">
        <v>1</v>
      </c>
      <c r="I95" s="15">
        <v>1</v>
      </c>
      <c r="J95" s="15" cm="1">
        <f t="array" ref="J95">H95*VLOOKUP($G95, Factor!$AI$4:$AK$36, 2, 0)*INDEX(Factor!$AI$41:$AK$87, _xlfn.XMATCH($C95, Factor!$AI$41:$AI$87, -1), 2)</f>
        <v>8.4</v>
      </c>
      <c r="K95" s="15" cm="1">
        <f t="array" ref="K95">I95*VLOOKUP($G95, Factor!$AI$4:$AK$36, 3, 0)*INDEX(Factor!$AI$41:$AK$87, _xlfn.XMATCH($C95, Factor!$AI$41:$AI$87, -1), 3)</f>
        <v>216</v>
      </c>
      <c r="L95" s="16"/>
    </row>
    <row r="96" spans="1:12" ht="15.75" customHeight="1" x14ac:dyDescent="0.2">
      <c r="A96" s="18" t="str">
        <f>"break_"&amp;VLOOKUP(F96, Factor!$CI$4:$CJ$6, 2, 0)&amp;"_"&amp;D96&amp;"_"&amp;VLOOKUP(E96, Factor!$CK$4:$CL$13, 2, 0)</f>
        <v>break_Hyd_T8_004</v>
      </c>
      <c r="B96" s="18" t="str">
        <f t="shared" si="2"/>
        <v>T8 화물용 유압식제동장치</v>
      </c>
      <c r="C96" s="18">
        <f>VLOOKUP(D96, Factor!$AH$41:$AI$50, 2, 0)</f>
        <v>8000</v>
      </c>
      <c r="D96" s="18" t="s">
        <v>304</v>
      </c>
      <c r="E96" s="55" t="s">
        <v>648</v>
      </c>
      <c r="F96" s="55" t="s">
        <v>693</v>
      </c>
      <c r="G96" s="18" t="str">
        <f t="shared" si="3"/>
        <v>화물용 유압식</v>
      </c>
      <c r="H96" s="18">
        <v>1</v>
      </c>
      <c r="I96" s="18">
        <v>1</v>
      </c>
      <c r="J96" s="18" cm="1">
        <f t="array" ref="J96">H96*VLOOKUP($G96, Factor!$AI$4:$AK$36, 2, 0)*INDEX(Factor!$AI$41:$AK$87, _xlfn.XMATCH($C96, Factor!$AI$41:$AI$87, -1), 2)</f>
        <v>30</v>
      </c>
      <c r="K96" s="18" cm="1">
        <f t="array" ref="K96">I96*VLOOKUP($G96, Factor!$AI$4:$AK$36, 3, 0)*INDEX(Factor!$AI$41:$AK$87, _xlfn.XMATCH($C96, Factor!$AI$41:$AI$87, -1), 3)</f>
        <v>1800</v>
      </c>
      <c r="L96" s="19"/>
    </row>
    <row r="97" spans="1:12" ht="15.75" customHeight="1" x14ac:dyDescent="0.2">
      <c r="A97" s="15" t="str">
        <f>"break_"&amp;VLOOKUP(F97, Factor!$CI$4:$CJ$6, 2, 0)&amp;"_"&amp;D97&amp;"_"&amp;VLOOKUP(E97, Factor!$CK$4:$CL$13, 2, 0)</f>
        <v>break_Elc_T8_001</v>
      </c>
      <c r="B97" s="15" t="str">
        <f t="shared" si="2"/>
        <v>T8 표준 전자식제동장치</v>
      </c>
      <c r="C97" s="15">
        <f>VLOOKUP(D97, Factor!$AH$41:$AI$50, 2, 0)</f>
        <v>8000</v>
      </c>
      <c r="D97" s="15" t="s">
        <v>304</v>
      </c>
      <c r="E97" s="56" t="s">
        <v>582</v>
      </c>
      <c r="F97" s="56" t="s">
        <v>694</v>
      </c>
      <c r="G97" s="15" t="str">
        <f t="shared" si="3"/>
        <v>표준 전자식</v>
      </c>
      <c r="H97" s="15">
        <v>1</v>
      </c>
      <c r="I97" s="15">
        <v>1</v>
      </c>
      <c r="J97" s="15" cm="1">
        <f t="array" ref="J97">H97*VLOOKUP($G97, Factor!$AI$4:$AK$36, 2, 0)*INDEX(Factor!$AI$41:$AK$87, _xlfn.XMATCH($C97, Factor!$AI$41:$AI$87, -1), 2)</f>
        <v>10.799999999999999</v>
      </c>
      <c r="K97" s="15" cm="1">
        <f t="array" ref="K97">I97*VLOOKUP($G97, Factor!$AI$4:$AK$36, 3, 0)*INDEX(Factor!$AI$41:$AK$87, _xlfn.XMATCH($C97, Factor!$AI$41:$AI$87, -1), 3)</f>
        <v>600</v>
      </c>
      <c r="L97" s="16"/>
    </row>
    <row r="98" spans="1:12" ht="15.75" customHeight="1" x14ac:dyDescent="0.2">
      <c r="A98" s="18" t="str">
        <f>"break_"&amp;VLOOKUP(F98, Factor!$CI$4:$CJ$6, 2, 0)&amp;"_"&amp;D98&amp;"_"&amp;VLOOKUP(E98, Factor!$CK$4:$CL$13, 2, 0)</f>
        <v>break_Elc_T8_002</v>
      </c>
      <c r="B98" s="18" t="str">
        <f t="shared" si="2"/>
        <v>T8 고성능 전자식제동장치</v>
      </c>
      <c r="C98" s="18">
        <f>VLOOKUP(D98, Factor!$AH$41:$AI$50, 2, 0)</f>
        <v>8000</v>
      </c>
      <c r="D98" s="18" t="s">
        <v>304</v>
      </c>
      <c r="E98" s="55" t="s">
        <v>644</v>
      </c>
      <c r="F98" s="55" t="s">
        <v>694</v>
      </c>
      <c r="G98" s="18" t="str">
        <f t="shared" si="3"/>
        <v>고성능 전자식</v>
      </c>
      <c r="H98" s="18">
        <v>1</v>
      </c>
      <c r="I98" s="18">
        <v>1</v>
      </c>
      <c r="J98" s="18" cm="1">
        <f t="array" ref="J98">H98*VLOOKUP($G98, Factor!$AI$4:$AK$36, 2, 0)*INDEX(Factor!$AI$41:$AK$87, _xlfn.XMATCH($C98, Factor!$AI$41:$AI$87, -1), 2)</f>
        <v>22.8</v>
      </c>
      <c r="K98" s="18" cm="1">
        <f t="array" ref="K98">I98*VLOOKUP($G98, Factor!$AI$4:$AK$36, 3, 0)*INDEX(Factor!$AI$41:$AK$87, _xlfn.XMATCH($C98, Factor!$AI$41:$AI$87, -1), 3)</f>
        <v>1200</v>
      </c>
      <c r="L98" s="19"/>
    </row>
    <row r="99" spans="1:12" ht="15.75" customHeight="1" x14ac:dyDescent="0.2">
      <c r="A99" s="15" t="str">
        <f>"break_"&amp;VLOOKUP(F99, Factor!$CI$4:$CJ$6, 2, 0)&amp;"_"&amp;D99&amp;"_"&amp;VLOOKUP(E99, Factor!$CK$4:$CL$13, 2, 0)</f>
        <v>break_Elc_T8_003</v>
      </c>
      <c r="B99" s="15" t="str">
        <f t="shared" ref="B99:B124" si="4">D99&amp;" "&amp;G99&amp;"제동장치"</f>
        <v>T8 경량 전자식제동장치</v>
      </c>
      <c r="C99" s="15">
        <f>VLOOKUP(D99, Factor!$AH$41:$AI$50, 2, 0)</f>
        <v>8000</v>
      </c>
      <c r="D99" s="15" t="s">
        <v>304</v>
      </c>
      <c r="E99" s="56" t="s">
        <v>585</v>
      </c>
      <c r="F99" s="56" t="s">
        <v>694</v>
      </c>
      <c r="G99" s="15" t="str">
        <f t="shared" ref="G99:G124" si="5">E99&amp;" "&amp;F99</f>
        <v>경량 전자식</v>
      </c>
      <c r="H99" s="15">
        <v>1</v>
      </c>
      <c r="I99" s="15">
        <v>1</v>
      </c>
      <c r="J99" s="15" cm="1">
        <f t="array" ref="J99">H99*VLOOKUP($G99, Factor!$AI$4:$AK$36, 2, 0)*INDEX(Factor!$AI$41:$AK$87, _xlfn.XMATCH($C99, Factor!$AI$41:$AI$87, -1), 2)</f>
        <v>6</v>
      </c>
      <c r="K99" s="15" cm="1">
        <f t="array" ref="K99">I99*VLOOKUP($G99, Factor!$AI$4:$AK$36, 3, 0)*INDEX(Factor!$AI$41:$AK$87, _xlfn.XMATCH($C99, Factor!$AI$41:$AI$87, -1), 3)</f>
        <v>168</v>
      </c>
      <c r="L99" s="16"/>
    </row>
    <row r="100" spans="1:12" ht="15.75" customHeight="1" x14ac:dyDescent="0.2">
      <c r="A100" s="18" t="str">
        <f>"break_"&amp;VLOOKUP(F100, Factor!$CI$4:$CJ$6, 2, 0)&amp;"_"&amp;D100&amp;"_"&amp;VLOOKUP(E100, Factor!$CK$4:$CL$13, 2, 0)</f>
        <v>break_Elc_T8_004</v>
      </c>
      <c r="B100" s="18" t="str">
        <f t="shared" si="4"/>
        <v>T8 화물용 전자식제동장치</v>
      </c>
      <c r="C100" s="18">
        <f>VLOOKUP(D100, Factor!$AH$41:$AI$50, 2, 0)</f>
        <v>8000</v>
      </c>
      <c r="D100" s="18" t="s">
        <v>304</v>
      </c>
      <c r="E100" s="55" t="s">
        <v>648</v>
      </c>
      <c r="F100" s="55" t="s">
        <v>694</v>
      </c>
      <c r="G100" s="18" t="str">
        <f t="shared" si="5"/>
        <v>화물용 전자식</v>
      </c>
      <c r="H100" s="18">
        <v>1</v>
      </c>
      <c r="I100" s="18">
        <v>1</v>
      </c>
      <c r="J100" s="18" cm="1">
        <f t="array" ref="J100">H100*VLOOKUP($G100, Factor!$AI$4:$AK$36, 2, 0)*INDEX(Factor!$AI$41:$AK$87, _xlfn.XMATCH($C100, Factor!$AI$41:$AI$87, -1), 2)</f>
        <v>27.599999999999998</v>
      </c>
      <c r="K100" s="18" cm="1">
        <f t="array" ref="K100">I100*VLOOKUP($G100, Factor!$AI$4:$AK$36, 3, 0)*INDEX(Factor!$AI$41:$AK$87, _xlfn.XMATCH($C100, Factor!$AI$41:$AI$87, -1), 3)</f>
        <v>1680</v>
      </c>
      <c r="L100" s="19"/>
    </row>
    <row r="101" spans="1:12" ht="15.75" customHeight="1" x14ac:dyDescent="0.2">
      <c r="A101" s="15" t="str">
        <f>"break_"&amp;VLOOKUP(F101, Factor!$CI$4:$CJ$6, 2, 0)&amp;"_"&amp;D101&amp;"_"&amp;VLOOKUP(E101, Factor!$CK$4:$CL$13, 2, 0)</f>
        <v>break_Mac_T9_001</v>
      </c>
      <c r="B101" s="15" t="str">
        <f t="shared" si="4"/>
        <v>T9 표준 기계식제동장치</v>
      </c>
      <c r="C101" s="15">
        <f>VLOOKUP(D101, Factor!$AH$41:$AI$50, 2, 0)</f>
        <v>9000</v>
      </c>
      <c r="D101" s="15" t="s">
        <v>327</v>
      </c>
      <c r="E101" s="56" t="s">
        <v>582</v>
      </c>
      <c r="F101" s="56" t="s">
        <v>692</v>
      </c>
      <c r="G101" s="15" t="str">
        <f t="shared" si="5"/>
        <v>표준 기계식</v>
      </c>
      <c r="H101" s="15">
        <v>1</v>
      </c>
      <c r="I101" s="15">
        <v>1</v>
      </c>
      <c r="J101" s="15" cm="1">
        <f t="array" ref="J101">H101*VLOOKUP($G101, Factor!$AI$4:$AK$36, 2, 0)*INDEX(Factor!$AI$41:$AK$87, _xlfn.XMATCH($C101, Factor!$AI$41:$AI$87, -1), 2)</f>
        <v>13</v>
      </c>
      <c r="K101" s="15" cm="1">
        <f t="array" ref="K101">I101*VLOOKUP($G101, Factor!$AI$4:$AK$36, 3, 0)*INDEX(Factor!$AI$41:$AK$87, _xlfn.XMATCH($C101, Factor!$AI$41:$AI$87, -1), 3)</f>
        <v>780</v>
      </c>
      <c r="L101" s="16"/>
    </row>
    <row r="102" spans="1:12" ht="15.75" customHeight="1" x14ac:dyDescent="0.2">
      <c r="A102" s="18" t="str">
        <f>"break_"&amp;VLOOKUP(F102, Factor!$CI$4:$CJ$6, 2, 0)&amp;"_"&amp;D102&amp;"_"&amp;VLOOKUP(E102, Factor!$CK$4:$CL$13, 2, 0)</f>
        <v>break_Mac_T9_002</v>
      </c>
      <c r="B102" s="18" t="str">
        <f t="shared" si="4"/>
        <v>T9 고성능 기계식제동장치</v>
      </c>
      <c r="C102" s="18">
        <f>VLOOKUP(D102, Factor!$AH$41:$AI$50, 2, 0)</f>
        <v>9000</v>
      </c>
      <c r="D102" s="18" t="s">
        <v>327</v>
      </c>
      <c r="E102" s="55" t="s">
        <v>644</v>
      </c>
      <c r="F102" s="55" t="s">
        <v>692</v>
      </c>
      <c r="G102" s="18" t="str">
        <f t="shared" si="5"/>
        <v>고성능 기계식</v>
      </c>
      <c r="H102" s="18">
        <v>1</v>
      </c>
      <c r="I102" s="18">
        <v>1</v>
      </c>
      <c r="J102" s="18" cm="1">
        <f t="array" ref="J102">H102*VLOOKUP($G102, Factor!$AI$4:$AK$36, 2, 0)*INDEX(Factor!$AI$41:$AK$87, _xlfn.XMATCH($C102, Factor!$AI$41:$AI$87, -1), 2)</f>
        <v>26</v>
      </c>
      <c r="K102" s="18" cm="1">
        <f t="array" ref="K102">I102*VLOOKUP($G102, Factor!$AI$4:$AK$36, 3, 0)*INDEX(Factor!$AI$41:$AK$87, _xlfn.XMATCH($C102, Factor!$AI$41:$AI$87, -1), 3)</f>
        <v>1560</v>
      </c>
      <c r="L102" s="19"/>
    </row>
    <row r="103" spans="1:12" ht="15.75" customHeight="1" x14ac:dyDescent="0.2">
      <c r="A103" s="15" t="str">
        <f>"break_"&amp;VLOOKUP(F103, Factor!$CI$4:$CJ$6, 2, 0)&amp;"_"&amp;D103&amp;"_"&amp;VLOOKUP(E103, Factor!$CK$4:$CL$13, 2, 0)</f>
        <v>break_Mac_T9_003</v>
      </c>
      <c r="B103" s="15" t="str">
        <f t="shared" si="4"/>
        <v>T9 경량 기계식제동장치</v>
      </c>
      <c r="C103" s="15">
        <f>VLOOKUP(D103, Factor!$AH$41:$AI$50, 2, 0)</f>
        <v>9000</v>
      </c>
      <c r="D103" s="15" t="s">
        <v>305</v>
      </c>
      <c r="E103" s="56" t="s">
        <v>585</v>
      </c>
      <c r="F103" s="56" t="s">
        <v>692</v>
      </c>
      <c r="G103" s="15" t="str">
        <f t="shared" si="5"/>
        <v>경량 기계식</v>
      </c>
      <c r="H103" s="15">
        <v>1</v>
      </c>
      <c r="I103" s="15">
        <v>1</v>
      </c>
      <c r="J103" s="15" cm="1">
        <f t="array" ref="J103">H103*VLOOKUP($G103, Factor!$AI$4:$AK$36, 2, 0)*INDEX(Factor!$AI$41:$AK$87, _xlfn.XMATCH($C103, Factor!$AI$41:$AI$87, -1), 2)</f>
        <v>7.8000000000000007</v>
      </c>
      <c r="K103" s="15" cm="1">
        <f t="array" ref="K103">I103*VLOOKUP($G103, Factor!$AI$4:$AK$36, 3, 0)*INDEX(Factor!$AI$41:$AK$87, _xlfn.XMATCH($C103, Factor!$AI$41:$AI$87, -1), 3)</f>
        <v>260</v>
      </c>
      <c r="L103" s="16"/>
    </row>
    <row r="104" spans="1:12" ht="15.75" customHeight="1" x14ac:dyDescent="0.2">
      <c r="A104" s="18" t="str">
        <f>"break_"&amp;VLOOKUP(F104, Factor!$CI$4:$CJ$6, 2, 0)&amp;"_"&amp;D104&amp;"_"&amp;VLOOKUP(E104, Factor!$CK$4:$CL$13, 2, 0)</f>
        <v>break_Mac_T9_004</v>
      </c>
      <c r="B104" s="18" t="str">
        <f t="shared" si="4"/>
        <v>T9 화물용 기계식제동장치</v>
      </c>
      <c r="C104" s="18">
        <f>VLOOKUP(D104, Factor!$AH$41:$AI$50, 2, 0)</f>
        <v>9000</v>
      </c>
      <c r="D104" s="18" t="s">
        <v>305</v>
      </c>
      <c r="E104" s="55" t="s">
        <v>648</v>
      </c>
      <c r="F104" s="55" t="s">
        <v>692</v>
      </c>
      <c r="G104" s="18" t="str">
        <f t="shared" si="5"/>
        <v>화물용 기계식</v>
      </c>
      <c r="H104" s="18">
        <v>1</v>
      </c>
      <c r="I104" s="18">
        <v>1</v>
      </c>
      <c r="J104" s="18" cm="1">
        <f t="array" ref="J104">H104*VLOOKUP($G104, Factor!$AI$4:$AK$36, 2, 0)*INDEX(Factor!$AI$41:$AK$87, _xlfn.XMATCH($C104, Factor!$AI$41:$AI$87, -1), 2)</f>
        <v>31.200000000000003</v>
      </c>
      <c r="K104" s="18" cm="1">
        <f t="array" ref="K104">I104*VLOOKUP($G104, Factor!$AI$4:$AK$36, 3, 0)*INDEX(Factor!$AI$41:$AK$87, _xlfn.XMATCH($C104, Factor!$AI$41:$AI$87, -1), 3)</f>
        <v>2080</v>
      </c>
      <c r="L104" s="19"/>
    </row>
    <row r="105" spans="1:12" ht="15.75" customHeight="1" x14ac:dyDescent="0.2">
      <c r="A105" s="15" t="str">
        <f>"break_"&amp;VLOOKUP(F105, Factor!$CI$4:$CJ$6, 2, 0)&amp;"_"&amp;D105&amp;"_"&amp;VLOOKUP(E105, Factor!$CK$4:$CL$13, 2, 0)</f>
        <v>break_Hyd_T9_001</v>
      </c>
      <c r="B105" s="15" t="str">
        <f t="shared" si="4"/>
        <v>T9 표준 유압식제동장치</v>
      </c>
      <c r="C105" s="15">
        <f>VLOOKUP(D105, Factor!$AH$41:$AI$50, 2, 0)</f>
        <v>9000</v>
      </c>
      <c r="D105" s="15" t="s">
        <v>305</v>
      </c>
      <c r="E105" s="56" t="s">
        <v>582</v>
      </c>
      <c r="F105" s="56" t="s">
        <v>693</v>
      </c>
      <c r="G105" s="15" t="str">
        <f t="shared" si="5"/>
        <v>표준 유압식</v>
      </c>
      <c r="H105" s="15">
        <v>1</v>
      </c>
      <c r="I105" s="15">
        <v>1</v>
      </c>
      <c r="J105" s="15" cm="1">
        <f t="array" ref="J105">H105*VLOOKUP($G105, Factor!$AI$4:$AK$36, 2, 0)*INDEX(Factor!$AI$41:$AK$87, _xlfn.XMATCH($C105, Factor!$AI$41:$AI$87, -1), 2)</f>
        <v>14.3</v>
      </c>
      <c r="K105" s="15" cm="1">
        <f t="array" ref="K105">I105*VLOOKUP($G105, Factor!$AI$4:$AK$36, 3, 0)*INDEX(Factor!$AI$41:$AK$87, _xlfn.XMATCH($C105, Factor!$AI$41:$AI$87, -1), 3)</f>
        <v>728</v>
      </c>
      <c r="L105" s="16"/>
    </row>
    <row r="106" spans="1:12" ht="15.75" customHeight="1" x14ac:dyDescent="0.2">
      <c r="A106" s="18" t="str">
        <f>"break_"&amp;VLOOKUP(F106, Factor!$CI$4:$CJ$6, 2, 0)&amp;"_"&amp;D106&amp;"_"&amp;VLOOKUP(E106, Factor!$CK$4:$CL$13, 2, 0)</f>
        <v>break_Hyd_T9_002</v>
      </c>
      <c r="B106" s="18" t="str">
        <f t="shared" si="4"/>
        <v>T9 고성능 유압식제동장치</v>
      </c>
      <c r="C106" s="18">
        <f>VLOOKUP(D106, Factor!$AH$41:$AI$50, 2, 0)</f>
        <v>9000</v>
      </c>
      <c r="D106" s="18" t="s">
        <v>305</v>
      </c>
      <c r="E106" s="55" t="s">
        <v>644</v>
      </c>
      <c r="F106" s="55" t="s">
        <v>693</v>
      </c>
      <c r="G106" s="18" t="str">
        <f t="shared" si="5"/>
        <v>고성능 유압식</v>
      </c>
      <c r="H106" s="18">
        <v>1</v>
      </c>
      <c r="I106" s="18">
        <v>1</v>
      </c>
      <c r="J106" s="18" cm="1">
        <f t="array" ref="J106">H106*VLOOKUP($G106, Factor!$AI$4:$AK$36, 2, 0)*INDEX(Factor!$AI$41:$AK$87, _xlfn.XMATCH($C106, Factor!$AI$41:$AI$87, -1), 2)</f>
        <v>27.3</v>
      </c>
      <c r="K106" s="18" cm="1">
        <f t="array" ref="K106">I106*VLOOKUP($G106, Factor!$AI$4:$AK$36, 3, 0)*INDEX(Factor!$AI$41:$AK$87, _xlfn.XMATCH($C106, Factor!$AI$41:$AI$87, -1), 3)</f>
        <v>1430</v>
      </c>
      <c r="L106" s="19"/>
    </row>
    <row r="107" spans="1:12" ht="15.75" customHeight="1" x14ac:dyDescent="0.2">
      <c r="A107" s="15" t="str">
        <f>"break_"&amp;VLOOKUP(F107, Factor!$CI$4:$CJ$6, 2, 0)&amp;"_"&amp;D107&amp;"_"&amp;VLOOKUP(E107, Factor!$CK$4:$CL$13, 2, 0)</f>
        <v>break_Hyd_T9_003</v>
      </c>
      <c r="B107" s="15" t="str">
        <f t="shared" si="4"/>
        <v>T9 경량 유압식제동장치</v>
      </c>
      <c r="C107" s="15">
        <f>VLOOKUP(D107, Factor!$AH$41:$AI$50, 2, 0)</f>
        <v>9000</v>
      </c>
      <c r="D107" s="15" t="s">
        <v>305</v>
      </c>
      <c r="E107" s="56" t="s">
        <v>585</v>
      </c>
      <c r="F107" s="56" t="s">
        <v>693</v>
      </c>
      <c r="G107" s="15" t="str">
        <f t="shared" si="5"/>
        <v>경량 유압식</v>
      </c>
      <c r="H107" s="15">
        <v>1</v>
      </c>
      <c r="I107" s="15">
        <v>1</v>
      </c>
      <c r="J107" s="15" cm="1">
        <f t="array" ref="J107">H107*VLOOKUP($G107, Factor!$AI$4:$AK$36, 2, 0)*INDEX(Factor!$AI$41:$AK$87, _xlfn.XMATCH($C107, Factor!$AI$41:$AI$87, -1), 2)</f>
        <v>9.1</v>
      </c>
      <c r="K107" s="15" cm="1">
        <f t="array" ref="K107">I107*VLOOKUP($G107, Factor!$AI$4:$AK$36, 3, 0)*INDEX(Factor!$AI$41:$AK$87, _xlfn.XMATCH($C107, Factor!$AI$41:$AI$87, -1), 3)</f>
        <v>234</v>
      </c>
      <c r="L107" s="16"/>
    </row>
    <row r="108" spans="1:12" ht="15.75" customHeight="1" x14ac:dyDescent="0.2">
      <c r="A108" s="18" t="str">
        <f>"break_"&amp;VLOOKUP(F108, Factor!$CI$4:$CJ$6, 2, 0)&amp;"_"&amp;D108&amp;"_"&amp;VLOOKUP(E108, Factor!$CK$4:$CL$13, 2, 0)</f>
        <v>break_Hyd_T9_004</v>
      </c>
      <c r="B108" s="18" t="str">
        <f t="shared" si="4"/>
        <v>T9 화물용 유압식제동장치</v>
      </c>
      <c r="C108" s="18">
        <f>VLOOKUP(D108, Factor!$AH$41:$AI$50, 2, 0)</f>
        <v>9000</v>
      </c>
      <c r="D108" s="18" t="s">
        <v>305</v>
      </c>
      <c r="E108" s="55" t="s">
        <v>648</v>
      </c>
      <c r="F108" s="55" t="s">
        <v>693</v>
      </c>
      <c r="G108" s="18" t="str">
        <f t="shared" si="5"/>
        <v>화물용 유압식</v>
      </c>
      <c r="H108" s="18">
        <v>1</v>
      </c>
      <c r="I108" s="18">
        <v>1</v>
      </c>
      <c r="J108" s="18" cm="1">
        <f t="array" ref="J108">H108*VLOOKUP($G108, Factor!$AI$4:$AK$36, 2, 0)*INDEX(Factor!$AI$41:$AK$87, _xlfn.XMATCH($C108, Factor!$AI$41:$AI$87, -1), 2)</f>
        <v>32.5</v>
      </c>
      <c r="K108" s="18" cm="1">
        <f t="array" ref="K108">I108*VLOOKUP($G108, Factor!$AI$4:$AK$36, 3, 0)*INDEX(Factor!$AI$41:$AK$87, _xlfn.XMATCH($C108, Factor!$AI$41:$AI$87, -1), 3)</f>
        <v>1950</v>
      </c>
      <c r="L108" s="19"/>
    </row>
    <row r="109" spans="1:12" ht="15.75" customHeight="1" x14ac:dyDescent="0.2">
      <c r="A109" s="15" t="str">
        <f>"break_"&amp;VLOOKUP(F109, Factor!$CI$4:$CJ$6, 2, 0)&amp;"_"&amp;D109&amp;"_"&amp;VLOOKUP(E109, Factor!$CK$4:$CL$13, 2, 0)</f>
        <v>break_Elc_T9_001</v>
      </c>
      <c r="B109" s="15" t="str">
        <f t="shared" si="4"/>
        <v>T9 표준 전자식제동장치</v>
      </c>
      <c r="C109" s="15">
        <f>VLOOKUP(D109, Factor!$AH$41:$AI$50, 2, 0)</f>
        <v>9000</v>
      </c>
      <c r="D109" s="15" t="s">
        <v>305</v>
      </c>
      <c r="E109" s="56" t="s">
        <v>582</v>
      </c>
      <c r="F109" s="56" t="s">
        <v>694</v>
      </c>
      <c r="G109" s="15" t="str">
        <f t="shared" si="5"/>
        <v>표준 전자식</v>
      </c>
      <c r="H109" s="15">
        <v>1</v>
      </c>
      <c r="I109" s="15">
        <v>1</v>
      </c>
      <c r="J109" s="15" cm="1">
        <f t="array" ref="J109">H109*VLOOKUP($G109, Factor!$AI$4:$AK$36, 2, 0)*INDEX(Factor!$AI$41:$AK$87, _xlfn.XMATCH($C109, Factor!$AI$41:$AI$87, -1), 2)</f>
        <v>11.700000000000001</v>
      </c>
      <c r="K109" s="15" cm="1">
        <f t="array" ref="K109">I109*VLOOKUP($G109, Factor!$AI$4:$AK$36, 3, 0)*INDEX(Factor!$AI$41:$AK$87, _xlfn.XMATCH($C109, Factor!$AI$41:$AI$87, -1), 3)</f>
        <v>650</v>
      </c>
      <c r="L109" s="16"/>
    </row>
    <row r="110" spans="1:12" ht="15.75" customHeight="1" x14ac:dyDescent="0.2">
      <c r="A110" s="18" t="str">
        <f>"break_"&amp;VLOOKUP(F110, Factor!$CI$4:$CJ$6, 2, 0)&amp;"_"&amp;D110&amp;"_"&amp;VLOOKUP(E110, Factor!$CK$4:$CL$13, 2, 0)</f>
        <v>break_Elc_T9_002</v>
      </c>
      <c r="B110" s="18" t="str">
        <f t="shared" si="4"/>
        <v>T9 고성능 전자식제동장치</v>
      </c>
      <c r="C110" s="18">
        <f>VLOOKUP(D110, Factor!$AH$41:$AI$50, 2, 0)</f>
        <v>9000</v>
      </c>
      <c r="D110" s="18" t="s">
        <v>305</v>
      </c>
      <c r="E110" s="55" t="s">
        <v>644</v>
      </c>
      <c r="F110" s="55" t="s">
        <v>694</v>
      </c>
      <c r="G110" s="18" t="str">
        <f t="shared" si="5"/>
        <v>고성능 전자식</v>
      </c>
      <c r="H110" s="18">
        <v>1</v>
      </c>
      <c r="I110" s="18">
        <v>1</v>
      </c>
      <c r="J110" s="18" cm="1">
        <f t="array" ref="J110">H110*VLOOKUP($G110, Factor!$AI$4:$AK$36, 2, 0)*INDEX(Factor!$AI$41:$AK$87, _xlfn.XMATCH($C110, Factor!$AI$41:$AI$87, -1), 2)</f>
        <v>24.7</v>
      </c>
      <c r="K110" s="18" cm="1">
        <f t="array" ref="K110">I110*VLOOKUP($G110, Factor!$AI$4:$AK$36, 3, 0)*INDEX(Factor!$AI$41:$AK$87, _xlfn.XMATCH($C110, Factor!$AI$41:$AI$87, -1), 3)</f>
        <v>1300</v>
      </c>
      <c r="L110" s="19"/>
    </row>
    <row r="111" spans="1:12" ht="15.75" customHeight="1" x14ac:dyDescent="0.2">
      <c r="A111" s="15" t="str">
        <f>"break_"&amp;VLOOKUP(F111, Factor!$CI$4:$CJ$6, 2, 0)&amp;"_"&amp;D111&amp;"_"&amp;VLOOKUP(E111, Factor!$CK$4:$CL$13, 2, 0)</f>
        <v>break_Elc_T9_003</v>
      </c>
      <c r="B111" s="15" t="str">
        <f t="shared" si="4"/>
        <v>T9 경량 전자식제동장치</v>
      </c>
      <c r="C111" s="15">
        <f>VLOOKUP(D111, Factor!$AH$41:$AI$50, 2, 0)</f>
        <v>9000</v>
      </c>
      <c r="D111" s="15" t="s">
        <v>305</v>
      </c>
      <c r="E111" s="56" t="s">
        <v>585</v>
      </c>
      <c r="F111" s="56" t="s">
        <v>694</v>
      </c>
      <c r="G111" s="15" t="str">
        <f t="shared" si="5"/>
        <v>경량 전자식</v>
      </c>
      <c r="H111" s="15">
        <v>1</v>
      </c>
      <c r="I111" s="15">
        <v>1</v>
      </c>
      <c r="J111" s="15" cm="1">
        <f t="array" ref="J111">H111*VLOOKUP($G111, Factor!$AI$4:$AK$36, 2, 0)*INDEX(Factor!$AI$41:$AK$87, _xlfn.XMATCH($C111, Factor!$AI$41:$AI$87, -1), 2)</f>
        <v>6.5</v>
      </c>
      <c r="K111" s="15" cm="1">
        <f t="array" ref="K111">I111*VLOOKUP($G111, Factor!$AI$4:$AK$36, 3, 0)*INDEX(Factor!$AI$41:$AK$87, _xlfn.XMATCH($C111, Factor!$AI$41:$AI$87, -1), 3)</f>
        <v>182</v>
      </c>
      <c r="L111" s="16"/>
    </row>
    <row r="112" spans="1:12" ht="15.75" customHeight="1" x14ac:dyDescent="0.2">
      <c r="A112" s="18" t="str">
        <f>"break_"&amp;VLOOKUP(F112, Factor!$CI$4:$CJ$6, 2, 0)&amp;"_"&amp;D112&amp;"_"&amp;VLOOKUP(E112, Factor!$CK$4:$CL$13, 2, 0)</f>
        <v>break_Elc_T9_004</v>
      </c>
      <c r="B112" s="18" t="str">
        <f t="shared" si="4"/>
        <v>T9 화물용 전자식제동장치</v>
      </c>
      <c r="C112" s="18">
        <f>VLOOKUP(D112, Factor!$AH$41:$AI$50, 2, 0)</f>
        <v>9000</v>
      </c>
      <c r="D112" s="18" t="s">
        <v>305</v>
      </c>
      <c r="E112" s="55" t="s">
        <v>648</v>
      </c>
      <c r="F112" s="55" t="s">
        <v>694</v>
      </c>
      <c r="G112" s="18" t="str">
        <f t="shared" si="5"/>
        <v>화물용 전자식</v>
      </c>
      <c r="H112" s="18">
        <v>1</v>
      </c>
      <c r="I112" s="18">
        <v>1</v>
      </c>
      <c r="J112" s="18" cm="1">
        <f t="array" ref="J112">H112*VLOOKUP($G112, Factor!$AI$4:$AK$36, 2, 0)*INDEX(Factor!$AI$41:$AK$87, _xlfn.XMATCH($C112, Factor!$AI$41:$AI$87, -1), 2)</f>
        <v>29.900000000000002</v>
      </c>
      <c r="K112" s="18" cm="1">
        <f t="array" ref="K112">I112*VLOOKUP($G112, Factor!$AI$4:$AK$36, 3, 0)*INDEX(Factor!$AI$41:$AK$87, _xlfn.XMATCH($C112, Factor!$AI$41:$AI$87, -1), 3)</f>
        <v>1820</v>
      </c>
      <c r="L112" s="19"/>
    </row>
    <row r="113" spans="1:12" ht="15.75" customHeight="1" x14ac:dyDescent="0.2">
      <c r="A113" s="15" t="str">
        <f>"break_"&amp;VLOOKUP(F113, Factor!$CI$4:$CJ$6, 2, 0)&amp;"_"&amp;D113&amp;"_"&amp;VLOOKUP(E113, Factor!$CK$4:$CL$13, 2, 0)</f>
        <v>break_Mac_T10_001</v>
      </c>
      <c r="B113" s="15" t="str">
        <f t="shared" si="4"/>
        <v>T10 표준 기계식제동장치</v>
      </c>
      <c r="C113" s="15">
        <f>VLOOKUP(D113, Factor!$AH$41:$AI$50, 2, 0)</f>
        <v>10000</v>
      </c>
      <c r="D113" s="15" t="s">
        <v>328</v>
      </c>
      <c r="E113" s="56" t="s">
        <v>582</v>
      </c>
      <c r="F113" s="56" t="s">
        <v>692</v>
      </c>
      <c r="G113" s="15" t="str">
        <f t="shared" si="5"/>
        <v>표준 기계식</v>
      </c>
      <c r="H113" s="15">
        <v>1</v>
      </c>
      <c r="I113" s="15">
        <v>1</v>
      </c>
      <c r="J113" s="15" cm="1">
        <f t="array" ref="J113">H113*VLOOKUP($G113, Factor!$AI$4:$AK$36, 2, 0)*INDEX(Factor!$AI$41:$AK$87, _xlfn.XMATCH($C113, Factor!$AI$41:$AI$87, -1), 2)</f>
        <v>14</v>
      </c>
      <c r="K113" s="15" cm="1">
        <f t="array" ref="K113">I113*VLOOKUP($G113, Factor!$AI$4:$AK$36, 3, 0)*INDEX(Factor!$AI$41:$AK$87, _xlfn.XMATCH($C113, Factor!$AI$41:$AI$87, -1), 3)</f>
        <v>840</v>
      </c>
      <c r="L113" s="16"/>
    </row>
    <row r="114" spans="1:12" ht="15.75" customHeight="1" x14ac:dyDescent="0.2">
      <c r="A114" s="18" t="str">
        <f>"break_"&amp;VLOOKUP(F114, Factor!$CI$4:$CJ$6, 2, 0)&amp;"_"&amp;D114&amp;"_"&amp;VLOOKUP(E114, Factor!$CK$4:$CL$13, 2, 0)</f>
        <v>break_Mac_T10_002</v>
      </c>
      <c r="B114" s="18" t="str">
        <f t="shared" si="4"/>
        <v>T10 고성능 기계식제동장치</v>
      </c>
      <c r="C114" s="18">
        <f>VLOOKUP(D114, Factor!$AH$41:$AI$50, 2, 0)</f>
        <v>10000</v>
      </c>
      <c r="D114" s="18" t="s">
        <v>328</v>
      </c>
      <c r="E114" s="55" t="s">
        <v>644</v>
      </c>
      <c r="F114" s="55" t="s">
        <v>692</v>
      </c>
      <c r="G114" s="18" t="str">
        <f t="shared" si="5"/>
        <v>고성능 기계식</v>
      </c>
      <c r="H114" s="18">
        <v>1</v>
      </c>
      <c r="I114" s="18">
        <v>1</v>
      </c>
      <c r="J114" s="18" cm="1">
        <f t="array" ref="J114">H114*VLOOKUP($G114, Factor!$AI$4:$AK$36, 2, 0)*INDEX(Factor!$AI$41:$AK$87, _xlfn.XMATCH($C114, Factor!$AI$41:$AI$87, -1), 2)</f>
        <v>28</v>
      </c>
      <c r="K114" s="18" cm="1">
        <f t="array" ref="K114">I114*VLOOKUP($G114, Factor!$AI$4:$AK$36, 3, 0)*INDEX(Factor!$AI$41:$AK$87, _xlfn.XMATCH($C114, Factor!$AI$41:$AI$87, -1), 3)</f>
        <v>1680</v>
      </c>
      <c r="L114" s="19"/>
    </row>
    <row r="115" spans="1:12" ht="15.75" customHeight="1" x14ac:dyDescent="0.2">
      <c r="A115" s="15" t="str">
        <f>"break_"&amp;VLOOKUP(F115, Factor!$CI$4:$CJ$6, 2, 0)&amp;"_"&amp;D115&amp;"_"&amp;VLOOKUP(E115, Factor!$CK$4:$CL$13, 2, 0)</f>
        <v>break_Mac_T10_003</v>
      </c>
      <c r="B115" s="15" t="str">
        <f t="shared" si="4"/>
        <v>T10 경량 기계식제동장치</v>
      </c>
      <c r="C115" s="15">
        <f>VLOOKUP(D115, Factor!$AH$41:$AI$50, 2, 0)</f>
        <v>10000</v>
      </c>
      <c r="D115" s="15" t="s">
        <v>306</v>
      </c>
      <c r="E115" s="56" t="s">
        <v>585</v>
      </c>
      <c r="F115" s="56" t="s">
        <v>692</v>
      </c>
      <c r="G115" s="15" t="str">
        <f t="shared" si="5"/>
        <v>경량 기계식</v>
      </c>
      <c r="H115" s="15">
        <v>1</v>
      </c>
      <c r="I115" s="15">
        <v>1</v>
      </c>
      <c r="J115" s="15" cm="1">
        <f t="array" ref="J115">H115*VLOOKUP($G115, Factor!$AI$4:$AK$36, 2, 0)*INDEX(Factor!$AI$41:$AK$87, _xlfn.XMATCH($C115, Factor!$AI$41:$AI$87, -1), 2)</f>
        <v>8.3999999999999986</v>
      </c>
      <c r="K115" s="15" cm="1">
        <f t="array" ref="K115">I115*VLOOKUP($G115, Factor!$AI$4:$AK$36, 3, 0)*INDEX(Factor!$AI$41:$AK$87, _xlfn.XMATCH($C115, Factor!$AI$41:$AI$87, -1), 3)</f>
        <v>280</v>
      </c>
      <c r="L115" s="16"/>
    </row>
    <row r="116" spans="1:12" ht="15.75" customHeight="1" x14ac:dyDescent="0.2">
      <c r="A116" s="18" t="str">
        <f>"break_"&amp;VLOOKUP(F116, Factor!$CI$4:$CJ$6, 2, 0)&amp;"_"&amp;D116&amp;"_"&amp;VLOOKUP(E116, Factor!$CK$4:$CL$13, 2, 0)</f>
        <v>break_Mac_T10_004</v>
      </c>
      <c r="B116" s="18" t="str">
        <f t="shared" si="4"/>
        <v>T10 화물용 기계식제동장치</v>
      </c>
      <c r="C116" s="18">
        <f>VLOOKUP(D116, Factor!$AH$41:$AI$50, 2, 0)</f>
        <v>10000</v>
      </c>
      <c r="D116" s="18" t="s">
        <v>306</v>
      </c>
      <c r="E116" s="55" t="s">
        <v>648</v>
      </c>
      <c r="F116" s="55" t="s">
        <v>692</v>
      </c>
      <c r="G116" s="18" t="str">
        <f t="shared" si="5"/>
        <v>화물용 기계식</v>
      </c>
      <c r="H116" s="18">
        <v>1</v>
      </c>
      <c r="I116" s="18">
        <v>1</v>
      </c>
      <c r="J116" s="18" cm="1">
        <f t="array" ref="J116">H116*VLOOKUP($G116, Factor!$AI$4:$AK$36, 2, 0)*INDEX(Factor!$AI$41:$AK$87, _xlfn.XMATCH($C116, Factor!$AI$41:$AI$87, -1), 2)</f>
        <v>33.599999999999994</v>
      </c>
      <c r="K116" s="18" cm="1">
        <f t="array" ref="K116">I116*VLOOKUP($G116, Factor!$AI$4:$AK$36, 3, 0)*INDEX(Factor!$AI$41:$AK$87, _xlfn.XMATCH($C116, Factor!$AI$41:$AI$87, -1), 3)</f>
        <v>2240</v>
      </c>
      <c r="L116" s="19"/>
    </row>
    <row r="117" spans="1:12" ht="15.75" customHeight="1" x14ac:dyDescent="0.2">
      <c r="A117" s="15" t="str">
        <f>"break_"&amp;VLOOKUP(F117, Factor!$CI$4:$CJ$6, 2, 0)&amp;"_"&amp;D117&amp;"_"&amp;VLOOKUP(E117, Factor!$CK$4:$CL$13, 2, 0)</f>
        <v>break_Hyd_T10_001</v>
      </c>
      <c r="B117" s="15" t="str">
        <f t="shared" si="4"/>
        <v>T10 표준 유압식제동장치</v>
      </c>
      <c r="C117" s="15">
        <f>VLOOKUP(D117, Factor!$AH$41:$AI$50, 2, 0)</f>
        <v>10000</v>
      </c>
      <c r="D117" s="15" t="s">
        <v>306</v>
      </c>
      <c r="E117" s="56" t="s">
        <v>582</v>
      </c>
      <c r="F117" s="56" t="s">
        <v>693</v>
      </c>
      <c r="G117" s="15" t="str">
        <f t="shared" si="5"/>
        <v>표준 유압식</v>
      </c>
      <c r="H117" s="15">
        <v>1</v>
      </c>
      <c r="I117" s="15">
        <v>1</v>
      </c>
      <c r="J117" s="15" cm="1">
        <f t="array" ref="J117">H117*VLOOKUP($G117, Factor!$AI$4:$AK$36, 2, 0)*INDEX(Factor!$AI$41:$AK$87, _xlfn.XMATCH($C117, Factor!$AI$41:$AI$87, -1), 2)</f>
        <v>15.399999999999999</v>
      </c>
      <c r="K117" s="15" cm="1">
        <f t="array" ref="K117">I117*VLOOKUP($G117, Factor!$AI$4:$AK$36, 3, 0)*INDEX(Factor!$AI$41:$AK$87, _xlfn.XMATCH($C117, Factor!$AI$41:$AI$87, -1), 3)</f>
        <v>784</v>
      </c>
      <c r="L117" s="16"/>
    </row>
    <row r="118" spans="1:12" ht="15.75" customHeight="1" x14ac:dyDescent="0.2">
      <c r="A118" s="18" t="str">
        <f>"break_"&amp;VLOOKUP(F118, Factor!$CI$4:$CJ$6, 2, 0)&amp;"_"&amp;D118&amp;"_"&amp;VLOOKUP(E118, Factor!$CK$4:$CL$13, 2, 0)</f>
        <v>break_Hyd_T10_002</v>
      </c>
      <c r="B118" s="18" t="str">
        <f t="shared" si="4"/>
        <v>T10 고성능 유압식제동장치</v>
      </c>
      <c r="C118" s="18">
        <f>VLOOKUP(D118, Factor!$AH$41:$AI$50, 2, 0)</f>
        <v>10000</v>
      </c>
      <c r="D118" s="18" t="s">
        <v>306</v>
      </c>
      <c r="E118" s="55" t="s">
        <v>644</v>
      </c>
      <c r="F118" s="55" t="s">
        <v>693</v>
      </c>
      <c r="G118" s="18" t="str">
        <f t="shared" si="5"/>
        <v>고성능 유압식</v>
      </c>
      <c r="H118" s="18">
        <v>1</v>
      </c>
      <c r="I118" s="18">
        <v>1</v>
      </c>
      <c r="J118" s="18" cm="1">
        <f t="array" ref="J118">H118*VLOOKUP($G118, Factor!$AI$4:$AK$36, 2, 0)*INDEX(Factor!$AI$41:$AK$87, _xlfn.XMATCH($C118, Factor!$AI$41:$AI$87, -1), 2)</f>
        <v>29.4</v>
      </c>
      <c r="K118" s="18" cm="1">
        <f t="array" ref="K118">I118*VLOOKUP($G118, Factor!$AI$4:$AK$36, 3, 0)*INDEX(Factor!$AI$41:$AK$87, _xlfn.XMATCH($C118, Factor!$AI$41:$AI$87, -1), 3)</f>
        <v>1540</v>
      </c>
      <c r="L118" s="19"/>
    </row>
    <row r="119" spans="1:12" ht="15.75" customHeight="1" x14ac:dyDescent="0.2">
      <c r="A119" s="15" t="str">
        <f>"break_"&amp;VLOOKUP(F119, Factor!$CI$4:$CJ$6, 2, 0)&amp;"_"&amp;D119&amp;"_"&amp;VLOOKUP(E119, Factor!$CK$4:$CL$13, 2, 0)</f>
        <v>break_Hyd_T10_003</v>
      </c>
      <c r="B119" s="15" t="str">
        <f t="shared" si="4"/>
        <v>T10 경량 유압식제동장치</v>
      </c>
      <c r="C119" s="15">
        <f>VLOOKUP(D119, Factor!$AH$41:$AI$50, 2, 0)</f>
        <v>10000</v>
      </c>
      <c r="D119" s="15" t="s">
        <v>306</v>
      </c>
      <c r="E119" s="56" t="s">
        <v>585</v>
      </c>
      <c r="F119" s="56" t="s">
        <v>693</v>
      </c>
      <c r="G119" s="15" t="str">
        <f t="shared" si="5"/>
        <v>경량 유압식</v>
      </c>
      <c r="H119" s="15">
        <v>1</v>
      </c>
      <c r="I119" s="15">
        <v>1</v>
      </c>
      <c r="J119" s="15" cm="1">
        <f t="array" ref="J119">H119*VLOOKUP($G119, Factor!$AI$4:$AK$36, 2, 0)*INDEX(Factor!$AI$41:$AK$87, _xlfn.XMATCH($C119, Factor!$AI$41:$AI$87, -1), 2)</f>
        <v>9.7999999999999989</v>
      </c>
      <c r="K119" s="15" cm="1">
        <f t="array" ref="K119">I119*VLOOKUP($G119, Factor!$AI$4:$AK$36, 3, 0)*INDEX(Factor!$AI$41:$AK$87, _xlfn.XMATCH($C119, Factor!$AI$41:$AI$87, -1), 3)</f>
        <v>251.99999999999997</v>
      </c>
      <c r="L119" s="16"/>
    </row>
    <row r="120" spans="1:12" ht="15.75" customHeight="1" x14ac:dyDescent="0.2">
      <c r="A120" s="18" t="str">
        <f>"break_"&amp;VLOOKUP(F120, Factor!$CI$4:$CJ$6, 2, 0)&amp;"_"&amp;D120&amp;"_"&amp;VLOOKUP(E120, Factor!$CK$4:$CL$13, 2, 0)</f>
        <v>break_Hyd_T10_004</v>
      </c>
      <c r="B120" s="18" t="str">
        <f t="shared" si="4"/>
        <v>T10 화물용 유압식제동장치</v>
      </c>
      <c r="C120" s="18">
        <f>VLOOKUP(D120, Factor!$AH$41:$AI$50, 2, 0)</f>
        <v>10000</v>
      </c>
      <c r="D120" s="18" t="s">
        <v>306</v>
      </c>
      <c r="E120" s="55" t="s">
        <v>648</v>
      </c>
      <c r="F120" s="55" t="s">
        <v>693</v>
      </c>
      <c r="G120" s="18" t="str">
        <f t="shared" si="5"/>
        <v>화물용 유압식</v>
      </c>
      <c r="H120" s="18">
        <v>1</v>
      </c>
      <c r="I120" s="18">
        <v>1</v>
      </c>
      <c r="J120" s="18" cm="1">
        <f t="array" ref="J120">H120*VLOOKUP($G120, Factor!$AI$4:$AK$36, 2, 0)*INDEX(Factor!$AI$41:$AK$87, _xlfn.XMATCH($C120, Factor!$AI$41:$AI$87, -1), 2)</f>
        <v>35</v>
      </c>
      <c r="K120" s="18" cm="1">
        <f t="array" ref="K120">I120*VLOOKUP($G120, Factor!$AI$4:$AK$36, 3, 0)*INDEX(Factor!$AI$41:$AK$87, _xlfn.XMATCH($C120, Factor!$AI$41:$AI$87, -1), 3)</f>
        <v>2100</v>
      </c>
      <c r="L120" s="19"/>
    </row>
    <row r="121" spans="1:12" ht="15.75" customHeight="1" x14ac:dyDescent="0.2">
      <c r="A121" s="15" t="str">
        <f>"break_"&amp;VLOOKUP(F121, Factor!$CI$4:$CJ$6, 2, 0)&amp;"_"&amp;D121&amp;"_"&amp;VLOOKUP(E121, Factor!$CK$4:$CL$13, 2, 0)</f>
        <v>break_Elc_T10_001</v>
      </c>
      <c r="B121" s="15" t="str">
        <f t="shared" si="4"/>
        <v>T10 표준 전자식제동장치</v>
      </c>
      <c r="C121" s="15">
        <f>VLOOKUP(D121, Factor!$AH$41:$AI$50, 2, 0)</f>
        <v>10000</v>
      </c>
      <c r="D121" s="15" t="s">
        <v>306</v>
      </c>
      <c r="E121" s="56" t="s">
        <v>582</v>
      </c>
      <c r="F121" s="56" t="s">
        <v>694</v>
      </c>
      <c r="G121" s="15" t="str">
        <f t="shared" si="5"/>
        <v>표준 전자식</v>
      </c>
      <c r="H121" s="15">
        <v>1</v>
      </c>
      <c r="I121" s="15">
        <v>1</v>
      </c>
      <c r="J121" s="15" cm="1">
        <f t="array" ref="J121">H121*VLOOKUP($G121, Factor!$AI$4:$AK$36, 2, 0)*INDEX(Factor!$AI$41:$AK$87, _xlfn.XMATCH($C121, Factor!$AI$41:$AI$87, -1), 2)</f>
        <v>12.6</v>
      </c>
      <c r="K121" s="15" cm="1">
        <f t="array" ref="K121">I121*VLOOKUP($G121, Factor!$AI$4:$AK$36, 3, 0)*INDEX(Factor!$AI$41:$AK$87, _xlfn.XMATCH($C121, Factor!$AI$41:$AI$87, -1), 3)</f>
        <v>700</v>
      </c>
      <c r="L121" s="16"/>
    </row>
    <row r="122" spans="1:12" ht="15.75" customHeight="1" x14ac:dyDescent="0.2">
      <c r="A122" s="18" t="str">
        <f>"break_"&amp;VLOOKUP(F122, Factor!$CI$4:$CJ$6, 2, 0)&amp;"_"&amp;D122&amp;"_"&amp;VLOOKUP(E122, Factor!$CK$4:$CL$13, 2, 0)</f>
        <v>break_Elc_T10_002</v>
      </c>
      <c r="B122" s="18" t="str">
        <f t="shared" si="4"/>
        <v>T10 고성능 전자식제동장치</v>
      </c>
      <c r="C122" s="18">
        <f>VLOOKUP(D122, Factor!$AH$41:$AI$50, 2, 0)</f>
        <v>10000</v>
      </c>
      <c r="D122" s="18" t="s">
        <v>306</v>
      </c>
      <c r="E122" s="55" t="s">
        <v>644</v>
      </c>
      <c r="F122" s="55" t="s">
        <v>694</v>
      </c>
      <c r="G122" s="18" t="str">
        <f t="shared" si="5"/>
        <v>고성능 전자식</v>
      </c>
      <c r="H122" s="18">
        <v>1</v>
      </c>
      <c r="I122" s="18">
        <v>1</v>
      </c>
      <c r="J122" s="18" cm="1">
        <f t="array" ref="J122">H122*VLOOKUP($G122, Factor!$AI$4:$AK$36, 2, 0)*INDEX(Factor!$AI$41:$AK$87, _xlfn.XMATCH($C122, Factor!$AI$41:$AI$87, -1), 2)</f>
        <v>26.599999999999998</v>
      </c>
      <c r="K122" s="18" cm="1">
        <f t="array" ref="K122">I122*VLOOKUP($G122, Factor!$AI$4:$AK$36, 3, 0)*INDEX(Factor!$AI$41:$AK$87, _xlfn.XMATCH($C122, Factor!$AI$41:$AI$87, -1), 3)</f>
        <v>1400</v>
      </c>
      <c r="L122" s="19"/>
    </row>
    <row r="123" spans="1:12" ht="15.75" customHeight="1" x14ac:dyDescent="0.2">
      <c r="A123" s="15" t="str">
        <f>"break_"&amp;VLOOKUP(F123, Factor!$CI$4:$CJ$6, 2, 0)&amp;"_"&amp;D123&amp;"_"&amp;VLOOKUP(E123, Factor!$CK$4:$CL$13, 2, 0)</f>
        <v>break_Elc_T10_003</v>
      </c>
      <c r="B123" s="15" t="str">
        <f t="shared" si="4"/>
        <v>T10 경량 전자식제동장치</v>
      </c>
      <c r="C123" s="15">
        <f>VLOOKUP(D123, Factor!$AH$41:$AI$50, 2, 0)</f>
        <v>10000</v>
      </c>
      <c r="D123" s="15" t="s">
        <v>306</v>
      </c>
      <c r="E123" s="56" t="s">
        <v>585</v>
      </c>
      <c r="F123" s="56" t="s">
        <v>694</v>
      </c>
      <c r="G123" s="15" t="str">
        <f t="shared" si="5"/>
        <v>경량 전자식</v>
      </c>
      <c r="H123" s="15">
        <v>1</v>
      </c>
      <c r="I123" s="15">
        <v>1</v>
      </c>
      <c r="J123" s="15" cm="1">
        <f t="array" ref="J123">H123*VLOOKUP($G123, Factor!$AI$4:$AK$36, 2, 0)*INDEX(Factor!$AI$41:$AK$87, _xlfn.XMATCH($C123, Factor!$AI$41:$AI$87, -1), 2)</f>
        <v>7</v>
      </c>
      <c r="K123" s="15" cm="1">
        <f t="array" ref="K123">I123*VLOOKUP($G123, Factor!$AI$4:$AK$36, 3, 0)*INDEX(Factor!$AI$41:$AK$87, _xlfn.XMATCH($C123, Factor!$AI$41:$AI$87, -1), 3)</f>
        <v>196</v>
      </c>
      <c r="L123" s="16"/>
    </row>
    <row r="124" spans="1:12" ht="15.75" customHeight="1" x14ac:dyDescent="0.2">
      <c r="A124" s="18" t="str">
        <f>"break_"&amp;VLOOKUP(F124, Factor!$CI$4:$CJ$6, 2, 0)&amp;"_"&amp;D124&amp;"_"&amp;VLOOKUP(E124, Factor!$CK$4:$CL$13, 2, 0)</f>
        <v>break_Elc_T10_004</v>
      </c>
      <c r="B124" s="18" t="str">
        <f t="shared" si="4"/>
        <v>T10 화물용 전자식제동장치</v>
      </c>
      <c r="C124" s="18">
        <f>VLOOKUP(D124, Factor!$AH$41:$AI$50, 2, 0)</f>
        <v>10000</v>
      </c>
      <c r="D124" s="18" t="s">
        <v>306</v>
      </c>
      <c r="E124" s="55" t="s">
        <v>648</v>
      </c>
      <c r="F124" s="55" t="s">
        <v>694</v>
      </c>
      <c r="G124" s="18" t="str">
        <f t="shared" si="5"/>
        <v>화물용 전자식</v>
      </c>
      <c r="H124" s="18">
        <v>1</v>
      </c>
      <c r="I124" s="18">
        <v>1</v>
      </c>
      <c r="J124" s="18" cm="1">
        <f t="array" ref="J124">H124*VLOOKUP($G124, Factor!$AI$4:$AK$36, 2, 0)*INDEX(Factor!$AI$41:$AK$87, _xlfn.XMATCH($C124, Factor!$AI$41:$AI$87, -1), 2)</f>
        <v>32.199999999999996</v>
      </c>
      <c r="K124" s="18" cm="1">
        <f t="array" ref="K124">I124*VLOOKUP($G124, Factor!$AI$4:$AK$36, 3, 0)*INDEX(Factor!$AI$41:$AK$87, _xlfn.XMATCH($C124, Factor!$AI$41:$AI$87, -1), 3)</f>
        <v>1959.9999999999998</v>
      </c>
      <c r="L124" s="19"/>
    </row>
  </sheetData>
  <mergeCells count="1">
    <mergeCell ref="A1:L1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T214"/>
  <sheetViews>
    <sheetView zoomScale="75" zoomScaleNormal="75" workbookViewId="0">
      <pane ySplit="4" topLeftCell="A72" activePane="bottomLeft" state="frozen"/>
      <selection pane="bottomLeft" activeCell="C99" sqref="C99"/>
    </sheetView>
  </sheetViews>
  <sheetFormatPr defaultColWidth="12.5703125" defaultRowHeight="15.75" customHeight="1" x14ac:dyDescent="0.2"/>
  <cols>
    <col min="1" max="1" width="30.28515625" style="13" customWidth="1"/>
    <col min="2" max="8" width="22.7109375" style="13" customWidth="1"/>
    <col min="9" max="9" width="20.7109375" style="13" customWidth="1"/>
    <col min="10" max="10" width="25.42578125" style="13" customWidth="1"/>
    <col min="11" max="11" width="24.28515625" style="13" customWidth="1"/>
    <col min="12" max="12" width="31.42578125" style="13" customWidth="1"/>
    <col min="13" max="13" width="31.85546875" style="13" customWidth="1"/>
    <col min="14" max="14" width="20.7109375" style="13" customWidth="1"/>
    <col min="15" max="17" width="22.7109375" style="13" customWidth="1"/>
    <col min="18" max="18" width="21.42578125" style="13" customWidth="1"/>
    <col min="19" max="19" width="22.7109375" style="13" customWidth="1"/>
    <col min="20" max="20" width="34.28515625" style="13" customWidth="1"/>
    <col min="21" max="16384" width="12.5703125" style="13"/>
  </cols>
  <sheetData>
    <row r="1" spans="1:20" s="24" customFormat="1" ht="99.75" customHeight="1" x14ac:dyDescent="0.2">
      <c r="A1" s="67" t="s">
        <v>546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</row>
    <row r="2" spans="1:20" ht="15.75" customHeight="1" x14ac:dyDescent="0.2">
      <c r="A2" s="46" t="s">
        <v>547</v>
      </c>
      <c r="B2" s="46" t="s">
        <v>548</v>
      </c>
      <c r="C2" s="46" t="s">
        <v>549</v>
      </c>
      <c r="D2" s="46" t="s">
        <v>467</v>
      </c>
      <c r="E2" s="46" t="s">
        <v>550</v>
      </c>
      <c r="F2" s="46" t="s">
        <v>551</v>
      </c>
      <c r="G2" s="46" t="s">
        <v>552</v>
      </c>
      <c r="H2" s="46" t="s">
        <v>553</v>
      </c>
      <c r="I2" s="46" t="s">
        <v>554</v>
      </c>
      <c r="J2" s="46" t="s">
        <v>555</v>
      </c>
      <c r="K2" s="46" t="s">
        <v>556</v>
      </c>
      <c r="L2" s="46" t="s">
        <v>557</v>
      </c>
      <c r="M2" s="46" t="s">
        <v>558</v>
      </c>
      <c r="N2" s="46" t="s">
        <v>559</v>
      </c>
      <c r="O2" s="46" t="s">
        <v>560</v>
      </c>
      <c r="P2" s="46" t="s">
        <v>561</v>
      </c>
      <c r="Q2" s="46" t="s">
        <v>562</v>
      </c>
      <c r="R2" s="46" t="s">
        <v>563</v>
      </c>
      <c r="S2" s="46" t="s">
        <v>564</v>
      </c>
      <c r="T2" s="46" t="s">
        <v>565</v>
      </c>
    </row>
    <row r="3" spans="1:20" ht="12.75" x14ac:dyDescent="0.2">
      <c r="A3" s="25" t="s">
        <v>13</v>
      </c>
      <c r="B3" s="25" t="s">
        <v>13</v>
      </c>
      <c r="C3" s="25" t="s">
        <v>28</v>
      </c>
      <c r="D3" s="31" t="s">
        <v>566</v>
      </c>
      <c r="E3" s="31" t="s">
        <v>566</v>
      </c>
      <c r="F3" s="31" t="s">
        <v>566</v>
      </c>
      <c r="G3" s="44" t="s">
        <v>566</v>
      </c>
      <c r="H3" s="25" t="s">
        <v>13</v>
      </c>
      <c r="I3" s="25" t="s">
        <v>13</v>
      </c>
      <c r="J3" s="31" t="s">
        <v>533</v>
      </c>
      <c r="K3" s="31" t="s">
        <v>533</v>
      </c>
      <c r="L3" s="31" t="s">
        <v>533</v>
      </c>
      <c r="M3" s="31" t="s">
        <v>533</v>
      </c>
      <c r="N3" s="31" t="s">
        <v>533</v>
      </c>
      <c r="O3" s="25" t="s">
        <v>24</v>
      </c>
      <c r="P3" s="25" t="s">
        <v>24</v>
      </c>
      <c r="Q3" s="25" t="s">
        <v>28</v>
      </c>
      <c r="R3" s="25" t="s">
        <v>28</v>
      </c>
      <c r="S3" s="25" t="s">
        <v>28</v>
      </c>
      <c r="T3" s="25" t="s">
        <v>13</v>
      </c>
    </row>
    <row r="4" spans="1:20" ht="12.75" x14ac:dyDescent="0.2">
      <c r="A4" s="9" t="s">
        <v>348</v>
      </c>
      <c r="B4" s="9" t="s">
        <v>139</v>
      </c>
      <c r="C4" s="9" t="s">
        <v>159</v>
      </c>
      <c r="D4" s="9" t="s">
        <v>142</v>
      </c>
      <c r="E4" s="9" t="s">
        <v>142</v>
      </c>
      <c r="F4" s="9" t="s">
        <v>142</v>
      </c>
      <c r="G4" s="9" t="s">
        <v>142</v>
      </c>
      <c r="H4" s="9" t="s">
        <v>142</v>
      </c>
      <c r="I4" s="9" t="s">
        <v>151</v>
      </c>
      <c r="J4" s="9" t="s">
        <v>189</v>
      </c>
      <c r="K4" s="9" t="s">
        <v>148</v>
      </c>
      <c r="L4" s="9" t="s">
        <v>153</v>
      </c>
      <c r="M4" s="9" t="s">
        <v>156</v>
      </c>
      <c r="N4" s="9" t="s">
        <v>161</v>
      </c>
      <c r="O4" s="9" t="s">
        <v>145</v>
      </c>
      <c r="P4" s="9" t="s">
        <v>148</v>
      </c>
      <c r="Q4" s="9" t="s">
        <v>153</v>
      </c>
      <c r="R4" s="9" t="s">
        <v>156</v>
      </c>
      <c r="S4" s="9" t="s">
        <v>161</v>
      </c>
      <c r="T4" s="9" t="s">
        <v>164</v>
      </c>
    </row>
    <row r="5" spans="1:20" ht="15.75" customHeight="1" x14ac:dyDescent="0.25">
      <c r="A5" s="14" t="str">
        <f>"parlor_"&amp;VLOOKUP(F5, Factor!$CO$4:$CR$10, 4, 0)&amp;D5&amp;"_"&amp;VLOOKUP(E5, Factor!$CS$4:$CT$13, 2, 0)</f>
        <v>parlor_Prod_Food_T1_001</v>
      </c>
      <c r="B5" s="15" t="str">
        <f>D5&amp;" "&amp;G5</f>
        <v>T1 표준 스마트팜</v>
      </c>
      <c r="C5" s="15">
        <f>VLOOKUP(D5, Factor!$AM$41:$AN$50, 2, 0)</f>
        <v>5000</v>
      </c>
      <c r="D5" s="15" t="s">
        <v>297</v>
      </c>
      <c r="E5" s="53" t="s">
        <v>582</v>
      </c>
      <c r="F5" s="56" t="s">
        <v>695</v>
      </c>
      <c r="G5" s="15" t="str">
        <f>E5&amp;" "&amp;F5</f>
        <v>표준 스마트팜</v>
      </c>
      <c r="H5" s="15" t="str">
        <f>VLOOKUP(F5, Factor!$CO$4:$CR$10, 2, 0)</f>
        <v>생산</v>
      </c>
      <c r="I5" s="15" t="str">
        <f>VLOOKUP(F5, Factor!$CO$4:$CR$10, 3, 0)</f>
        <v>food</v>
      </c>
      <c r="J5" s="15">
        <v>1</v>
      </c>
      <c r="K5" s="15">
        <v>1</v>
      </c>
      <c r="L5" s="15">
        <v>1</v>
      </c>
      <c r="M5" s="15">
        <v>1</v>
      </c>
      <c r="N5" s="15">
        <v>1</v>
      </c>
      <c r="O5" s="15" cm="1">
        <f t="array" ref="O5">J5*VLOOKUP($H5, Factor!$AN$4:$AS$36, 2, 0)*INDEX(Factor!$AN$41:$AS$87, _xlfn.XMATCH($C5, Factor!$AN$41:$AN$87, -1), 2)*IFERROR(VLOOKUP($I5, Factor!$AU$4:$AX$9, 2, 0),1)*VLOOKUP($E5, Factor!$AU$41:$AZ$52, 2, 0)</f>
        <v>10</v>
      </c>
      <c r="P5" s="15" cm="1">
        <f t="array" ref="P5">K5*VLOOKUP($H5, Factor!$AN$4:$AS$36, 3, 0)*INDEX(Factor!$AN$41:$AS$87, _xlfn.XMATCH($C5, Factor!$AN$41:$AN$87, -1), 3)*IFERROR(VLOOKUP($I5, Factor!$AU$4:$AX$9, 3, 0),1)*VLOOKUP($E5, Factor!$AU$41:$AZ$52, 3, 0)</f>
        <v>0</v>
      </c>
      <c r="Q5" s="15" cm="1">
        <f t="array" ref="Q5">L5*VLOOKUP($H5, Factor!$AN$4:$AS$36, 4, 0)*INDEX(Factor!$AN$41:$AS$87, _xlfn.XMATCH($C5, Factor!$AN$41:$AN$87, -1), 4)*VLOOKUP($E5, Factor!$AU$41:$AZ$52, 4, 0)</f>
        <v>1</v>
      </c>
      <c r="R5" s="15" cm="1">
        <f t="array" ref="R5">M5*VLOOKUP($H5, Factor!$AN$4:$AS$36, 5, 0)*INDEX(Factor!$AN$41:$AS$87, _xlfn.XMATCH($C5, Factor!$AN$41:$AN$87, -1), 5)*VLOOKUP($E5, Factor!$AU$41:$AZ$52, 5, 0)</f>
        <v>1</v>
      </c>
      <c r="S5" s="15" cm="1">
        <f t="array" ref="S5">N5*VLOOKUP($H5, Factor!$AN$4:$AS$36, 6, 0)*INDEX(Factor!$AN$41:$AS$87, _xlfn.XMATCH($C5, Factor!$AN$41:$AN$87, -1), 6)*IFERROR(VLOOKUP($I5, Factor!$AU$4:$AX$9, 4, 0),1)*VLOOKUP($E5, Factor!$AU$41:$AZ$52, 6, 0)</f>
        <v>5000</v>
      </c>
      <c r="T5" s="16"/>
    </row>
    <row r="6" spans="1:20" ht="15.75" customHeight="1" x14ac:dyDescent="0.2">
      <c r="A6" s="17" t="str">
        <f>"parlor_"&amp;VLOOKUP(F6, Factor!$CO$4:$CR$10, 4, 0)&amp;D6&amp;"_"&amp;VLOOKUP(E6, Factor!$CS$4:$CT$13, 2, 0)</f>
        <v>parlor_Indu_Ammo_T1_001</v>
      </c>
      <c r="B6" s="18" t="str">
        <f t="shared" ref="B6:B69" si="0">D6&amp;" "&amp;G6</f>
        <v>T1 표준 탄약공장</v>
      </c>
      <c r="C6" s="18">
        <f>VLOOKUP(D6, Factor!$AM$41:$AN$50, 2, 0)</f>
        <v>5000</v>
      </c>
      <c r="D6" s="18" t="s">
        <v>297</v>
      </c>
      <c r="E6" s="55" t="s">
        <v>582</v>
      </c>
      <c r="F6" s="55" t="s">
        <v>696</v>
      </c>
      <c r="G6" s="18" t="str">
        <f t="shared" ref="G6:G69" si="1">E6&amp;" "&amp;F6</f>
        <v>표준 탄약공장</v>
      </c>
      <c r="H6" s="18" t="str">
        <f>VLOOKUP(F6, Factor!$CO$4:$CR$10, 2, 0)</f>
        <v>공업</v>
      </c>
      <c r="I6" s="18" t="str">
        <f>VLOOKUP(F6, Factor!$CO$4:$CR$10, 3, 0)</f>
        <v>ammo</v>
      </c>
      <c r="J6" s="18">
        <v>1</v>
      </c>
      <c r="K6" s="18">
        <v>1</v>
      </c>
      <c r="L6" s="18">
        <v>1</v>
      </c>
      <c r="M6" s="18">
        <v>1</v>
      </c>
      <c r="N6" s="18">
        <v>1</v>
      </c>
      <c r="O6" s="18" cm="1">
        <f t="array" ref="O6">J6*VLOOKUP($H6, Factor!$AN$4:$AS$36, 2, 0)*INDEX(Factor!$AN$41:$AS$87, _xlfn.XMATCH($C6, Factor!$AN$41:$AN$87, -1), 2)*IFERROR(VLOOKUP($I6, Factor!$AU$4:$AX$9, 2, 0),1)</f>
        <v>0</v>
      </c>
      <c r="P6" s="18" cm="1">
        <f t="array" ref="P6">K6*VLOOKUP($H6, Factor!$AN$4:$AS$36, 3, 0)*INDEX(Factor!$AN$41:$AS$87, _xlfn.XMATCH($C6, Factor!$AN$41:$AN$87, -1), 3)*IFERROR(VLOOKUP($I6, Factor!$AU$4:$AX$9, 3, 0),1)</f>
        <v>10</v>
      </c>
      <c r="Q6" s="18" cm="1">
        <f t="array" ref="Q6">L6*VLOOKUP($H6, Factor!$AN$4:$AS$36, 4, 0)*INDEX(Factor!$AN$41:$AS$87, _xlfn.XMATCH($C6, Factor!$AN$41:$AN$87, -1), 4)</f>
        <v>0</v>
      </c>
      <c r="R6" s="18" cm="1">
        <f t="array" ref="R6">M6*VLOOKUP($H6, Factor!$AN$4:$AS$36, 5, 0)*INDEX(Factor!$AN$41:$AS$87, _xlfn.XMATCH($C6, Factor!$AN$41:$AN$87, -1), 5)</f>
        <v>0</v>
      </c>
      <c r="S6" s="18" cm="1">
        <f t="array" ref="S6">N6*VLOOKUP($H6, Factor!$AN$4:$AS$36, 6, 0)*INDEX(Factor!$AN$41:$AS$87, _xlfn.XMATCH($C6, Factor!$AN$41:$AN$87, -1), 6)*IFERROR(VLOOKUP($I6, Factor!$AU$4:$AX$9, 4, 0),1)</f>
        <v>5000</v>
      </c>
      <c r="T6" s="19"/>
    </row>
    <row r="7" spans="1:20" ht="15.75" customHeight="1" x14ac:dyDescent="0.2">
      <c r="A7" s="14" t="str">
        <f>"parlor_"&amp;VLOOKUP(F7, Factor!$CO$4:$CR$10, 4, 0)&amp;D7&amp;"_"&amp;VLOOKUP(E7, Factor!$CS$4:$CT$13, 2, 0)</f>
        <v>parlor_Indu_Shell_T1_001</v>
      </c>
      <c r="B7" s="15" t="str">
        <f t="shared" si="0"/>
        <v>T1 표준 포탄공장</v>
      </c>
      <c r="C7" s="15">
        <f>VLOOKUP(D7, Factor!$AM$41:$AN$50, 2, 0)</f>
        <v>5000</v>
      </c>
      <c r="D7" s="15" t="s">
        <v>296</v>
      </c>
      <c r="E7" s="56" t="s">
        <v>582</v>
      </c>
      <c r="F7" s="56" t="s">
        <v>697</v>
      </c>
      <c r="G7" s="15" t="str">
        <f t="shared" si="1"/>
        <v>표준 포탄공장</v>
      </c>
      <c r="H7" s="15" t="str">
        <f>VLOOKUP(F7, Factor!$CO$4:$CR$10, 2, 0)</f>
        <v>공업</v>
      </c>
      <c r="I7" s="15" t="str">
        <f>VLOOKUP(F7, Factor!$CO$4:$CR$10, 3, 0)</f>
        <v>shell</v>
      </c>
      <c r="J7" s="15">
        <v>1</v>
      </c>
      <c r="K7" s="15">
        <v>1</v>
      </c>
      <c r="L7" s="15">
        <v>1</v>
      </c>
      <c r="M7" s="15">
        <v>1</v>
      </c>
      <c r="N7" s="15">
        <v>1</v>
      </c>
      <c r="O7" s="15" cm="1">
        <f t="array" ref="O7">J7*VLOOKUP($H7, Factor!$AN$4:$AS$36, 2, 0)*INDEX(Factor!$AN$41:$AS$87, _xlfn.XMATCH($C7, Factor!$AN$41:$AN$87, -1), 2)*IFERROR(VLOOKUP($I7, Factor!$AU$4:$AX$9, 2, 0),1)</f>
        <v>0</v>
      </c>
      <c r="P7" s="15" cm="1">
        <f t="array" ref="P7">K7*VLOOKUP($H7, Factor!$AN$4:$AS$36, 3, 0)*INDEX(Factor!$AN$41:$AS$87, _xlfn.XMATCH($C7, Factor!$AN$41:$AN$87, -1), 3)*IFERROR(VLOOKUP($I7, Factor!$AU$4:$AX$9, 3, 0),1)</f>
        <v>5</v>
      </c>
      <c r="Q7" s="15" cm="1">
        <f t="array" ref="Q7">L7*VLOOKUP($H7, Factor!$AN$4:$AS$36, 4, 0)*INDEX(Factor!$AN$41:$AS$87, _xlfn.XMATCH($C7, Factor!$AN$41:$AN$87, -1), 4)</f>
        <v>0</v>
      </c>
      <c r="R7" s="15" cm="1">
        <f t="array" ref="R7">M7*VLOOKUP($H7, Factor!$AN$4:$AS$36, 5, 0)*INDEX(Factor!$AN$41:$AS$87, _xlfn.XMATCH($C7, Factor!$AN$41:$AN$87, -1), 5)</f>
        <v>0</v>
      </c>
      <c r="S7" s="15" cm="1">
        <f t="array" ref="S7">N7*VLOOKUP($H7, Factor!$AN$4:$AS$36, 6, 0)*INDEX(Factor!$AN$41:$AS$87, _xlfn.XMATCH($C7, Factor!$AN$41:$AN$87, -1), 6)*IFERROR(VLOOKUP($I7, Factor!$AU$4:$AX$9, 4, 0),1)</f>
        <v>6000</v>
      </c>
      <c r="T7" s="16"/>
    </row>
    <row r="8" spans="1:20" ht="15.75" customHeight="1" x14ac:dyDescent="0.2">
      <c r="A8" s="17" t="str">
        <f>"parlor_"&amp;VLOOKUP(F8, Factor!$CO$4:$CR$10, 4, 0)&amp;D8&amp;"_"&amp;VLOOKUP(E8, Factor!$CS$4:$CT$13, 2, 0)</f>
        <v>parlor_Indu_Missile_T1_001</v>
      </c>
      <c r="B8" s="18" t="str">
        <f t="shared" si="0"/>
        <v>T1 표준 미사일공장</v>
      </c>
      <c r="C8" s="18">
        <f>VLOOKUP(D8, Factor!$AM$41:$AN$50, 2, 0)</f>
        <v>5000</v>
      </c>
      <c r="D8" s="18" t="s">
        <v>296</v>
      </c>
      <c r="E8" s="55" t="s">
        <v>582</v>
      </c>
      <c r="F8" s="55" t="s">
        <v>698</v>
      </c>
      <c r="G8" s="18" t="str">
        <f t="shared" si="1"/>
        <v>표준 미사일공장</v>
      </c>
      <c r="H8" s="18" t="str">
        <f>VLOOKUP(F8, Factor!$CO$4:$CR$10, 2, 0)</f>
        <v>공업</v>
      </c>
      <c r="I8" s="18" t="str">
        <f>VLOOKUP(F8, Factor!$CO$4:$CR$10, 3, 0)</f>
        <v>missile</v>
      </c>
      <c r="J8" s="18">
        <v>1</v>
      </c>
      <c r="K8" s="18">
        <v>1</v>
      </c>
      <c r="L8" s="18">
        <v>1</v>
      </c>
      <c r="M8" s="18">
        <v>1</v>
      </c>
      <c r="N8" s="18">
        <v>1</v>
      </c>
      <c r="O8" s="18" cm="1">
        <f t="array" ref="O8">J8*VLOOKUP($H8, Factor!$AN$4:$AS$36, 2, 0)*INDEX(Factor!$AN$41:$AS$87, _xlfn.XMATCH($C8, Factor!$AN$41:$AN$87, -1), 2)*IFERROR(VLOOKUP($I8, Factor!$AU$4:$AX$9, 2, 0),1)</f>
        <v>0</v>
      </c>
      <c r="P8" s="18" cm="1">
        <f t="array" ref="P8">K8*VLOOKUP($H8, Factor!$AN$4:$AS$36, 3, 0)*INDEX(Factor!$AN$41:$AS$87, _xlfn.XMATCH($C8, Factor!$AN$41:$AN$87, -1), 3)*IFERROR(VLOOKUP($I8, Factor!$AU$4:$AX$9, 3, 0),1)</f>
        <v>2</v>
      </c>
      <c r="Q8" s="18" cm="1">
        <f t="array" ref="Q8">L8*VLOOKUP($H8, Factor!$AN$4:$AS$36, 4, 0)*INDEX(Factor!$AN$41:$AS$87, _xlfn.XMATCH($C8, Factor!$AN$41:$AN$87, -1), 4)</f>
        <v>0</v>
      </c>
      <c r="R8" s="18" cm="1">
        <f t="array" ref="R8">M8*VLOOKUP($H8, Factor!$AN$4:$AS$36, 5, 0)*INDEX(Factor!$AN$41:$AS$87, _xlfn.XMATCH($C8, Factor!$AN$41:$AN$87, -1), 5)</f>
        <v>0</v>
      </c>
      <c r="S8" s="18" cm="1">
        <f t="array" ref="S8">N8*VLOOKUP($H8, Factor!$AN$4:$AS$36, 6, 0)*INDEX(Factor!$AN$41:$AS$87, _xlfn.XMATCH($C8, Factor!$AN$41:$AN$87, -1), 6)*IFERROR(VLOOKUP($I8, Factor!$AU$4:$AX$9, 4, 0),1)</f>
        <v>6500</v>
      </c>
      <c r="T8" s="19"/>
    </row>
    <row r="9" spans="1:20" ht="15.75" customHeight="1" x14ac:dyDescent="0.2">
      <c r="A9" s="14" t="str">
        <f>"parlor_"&amp;VLOOKUP(F9, Factor!$CO$4:$CR$10, 4, 0)&amp;D9&amp;"_"&amp;VLOOKUP(E9, Factor!$CS$4:$CT$13, 2, 0)</f>
        <v>parlor_Indu_Siecleium_T1_001</v>
      </c>
      <c r="B9" s="15" t="str">
        <f t="shared" si="0"/>
        <v>T1 표준 서클리움 정제소</v>
      </c>
      <c r="C9" s="15">
        <f>VLOOKUP(D9, Factor!$AM$41:$AN$50, 2, 0)</f>
        <v>5000</v>
      </c>
      <c r="D9" s="15" t="s">
        <v>296</v>
      </c>
      <c r="E9" s="56" t="s">
        <v>582</v>
      </c>
      <c r="F9" s="56" t="s">
        <v>699</v>
      </c>
      <c r="G9" s="15" t="str">
        <f t="shared" si="1"/>
        <v>표준 서클리움 정제소</v>
      </c>
      <c r="H9" s="15" t="str">
        <f>VLOOKUP(F9, Factor!$CO$4:$CR$10, 2, 0)</f>
        <v>공업</v>
      </c>
      <c r="I9" s="15" t="str">
        <f>VLOOKUP(F9, Factor!$CO$4:$CR$10, 3, 0)</f>
        <v>siecleium</v>
      </c>
      <c r="J9" s="15">
        <v>1</v>
      </c>
      <c r="K9" s="15">
        <v>1</v>
      </c>
      <c r="L9" s="15">
        <v>1</v>
      </c>
      <c r="M9" s="15">
        <v>1</v>
      </c>
      <c r="N9" s="15">
        <v>1</v>
      </c>
      <c r="O9" s="15" cm="1">
        <f t="array" ref="O9">J9*VLOOKUP($H9, Factor!$AN$4:$AS$36, 2, 0)*INDEX(Factor!$AN$41:$AS$87, _xlfn.XMATCH($C9, Factor!$AN$41:$AN$87, -1), 2)*IFERROR(VLOOKUP($I9, Factor!$AU$4:$AX$9, 2, 0),1)</f>
        <v>0</v>
      </c>
      <c r="P9" s="15" cm="1">
        <f t="array" ref="P9">K9*VLOOKUP($H9, Factor!$AN$4:$AS$36, 3, 0)*INDEX(Factor!$AN$41:$AS$87, _xlfn.XMATCH($C9, Factor!$AN$41:$AN$87, -1), 3)*IFERROR(VLOOKUP($I9, Factor!$AU$4:$AX$9, 3, 0),1)</f>
        <v>10</v>
      </c>
      <c r="Q9" s="15" cm="1">
        <f t="array" ref="Q9">L9*VLOOKUP($H9, Factor!$AN$4:$AS$36, 4, 0)*INDEX(Factor!$AN$41:$AS$87, _xlfn.XMATCH($C9, Factor!$AN$41:$AN$87, -1), 4)</f>
        <v>0</v>
      </c>
      <c r="R9" s="15" cm="1">
        <f t="array" ref="R9">M9*VLOOKUP($H9, Factor!$AN$4:$AS$36, 5, 0)*INDEX(Factor!$AN$41:$AS$87, _xlfn.XMATCH($C9, Factor!$AN$41:$AN$87, -1), 5)</f>
        <v>0</v>
      </c>
      <c r="S9" s="15" cm="1">
        <f t="array" ref="S9">N9*VLOOKUP($H9, Factor!$AN$4:$AS$36, 6, 0)*INDEX(Factor!$AN$41:$AS$87, _xlfn.XMATCH($C9, Factor!$AN$41:$AN$87, -1), 6)*IFERROR(VLOOKUP($I9, Factor!$AU$4:$AX$9, 4, 0),1)</f>
        <v>5000</v>
      </c>
      <c r="T9" s="16"/>
    </row>
    <row r="10" spans="1:20" ht="15.75" customHeight="1" x14ac:dyDescent="0.2">
      <c r="A10" s="17" t="str">
        <f>"parlor_"&amp;VLOOKUP(F10, Factor!$CO$4:$CR$10, 4, 0)&amp;D10&amp;"_"&amp;VLOOKUP(E10, Factor!$CS$4:$CT$13, 2, 0)</f>
        <v>parlor_Trans_Inven_T1_001</v>
      </c>
      <c r="B10" s="18" t="str">
        <f t="shared" si="0"/>
        <v>T1 표준 화물 수송 칸</v>
      </c>
      <c r="C10" s="18">
        <f>VLOOKUP(D10, Factor!$AM$41:$AN$50, 2, 0)</f>
        <v>5000</v>
      </c>
      <c r="D10" s="18" t="s">
        <v>296</v>
      </c>
      <c r="E10" s="55" t="s">
        <v>582</v>
      </c>
      <c r="F10" s="55" t="s">
        <v>700</v>
      </c>
      <c r="G10" s="18" t="str">
        <f t="shared" si="1"/>
        <v>표준 화물 수송 칸</v>
      </c>
      <c r="H10" s="18" t="str">
        <f>VLOOKUP(F10, Factor!$CO$4:$CR$10, 2, 0)</f>
        <v>물자수송</v>
      </c>
      <c r="I10" s="18" t="str">
        <f>VLOOKUP(F10, Factor!$CO$4:$CR$10, 3, 0)</f>
        <v>null</v>
      </c>
      <c r="J10" s="18">
        <v>1</v>
      </c>
      <c r="K10" s="18">
        <v>1</v>
      </c>
      <c r="L10" s="18">
        <v>1</v>
      </c>
      <c r="M10" s="18">
        <v>1</v>
      </c>
      <c r="N10" s="18">
        <v>1</v>
      </c>
      <c r="O10" s="18" cm="1">
        <f t="array" ref="O10">J10*VLOOKUP($H10, Factor!$AN$4:$AS$36, 2, 0)*INDEX(Factor!$AN$41:$AS$87, _xlfn.XMATCH($C10, Factor!$AN$41:$AN$87, -1), 2)*IFERROR(VLOOKUP($I10, Factor!$AU$4:$AX$9, 2, 0),1)</f>
        <v>0</v>
      </c>
      <c r="P10" s="18" cm="1">
        <f t="array" ref="P10">K10*VLOOKUP($H10, Factor!$AN$4:$AS$36, 3, 0)*INDEX(Factor!$AN$41:$AS$87, _xlfn.XMATCH($C10, Factor!$AN$41:$AN$87, -1), 3)*IFERROR(VLOOKUP($I10, Factor!$AU$4:$AX$9, 3, 0),1)</f>
        <v>0</v>
      </c>
      <c r="Q10" s="18" cm="1">
        <f t="array" ref="Q10">L10*VLOOKUP($H10, Factor!$AN$4:$AS$36, 4, 0)*INDEX(Factor!$AN$41:$AS$87, _xlfn.XMATCH($C10, Factor!$AN$41:$AN$87, -1), 4)</f>
        <v>2</v>
      </c>
      <c r="R10" s="18" cm="1">
        <f t="array" ref="R10">M10*VLOOKUP($H10, Factor!$AN$4:$AS$36, 5, 0)*INDEX(Factor!$AN$41:$AS$87, _xlfn.XMATCH($C10, Factor!$AN$41:$AN$87, -1), 5)</f>
        <v>0</v>
      </c>
      <c r="S10" s="18" cm="1">
        <f t="array" ref="S10">N10*VLOOKUP($H10, Factor!$AN$4:$AS$36, 6, 0)*INDEX(Factor!$AN$41:$AS$87, _xlfn.XMATCH($C10, Factor!$AN$41:$AN$87, -1), 6)*IFERROR(VLOOKUP($I10, Factor!$AU$4:$AX$9, 4, 0),1)</f>
        <v>2000</v>
      </c>
      <c r="T10" s="19"/>
    </row>
    <row r="11" spans="1:20" ht="15.75" customHeight="1" x14ac:dyDescent="0.2">
      <c r="A11" s="14" t="str">
        <f>"parlor_"&amp;VLOOKUP(F11, Factor!$CO$4:$CR$10, 4, 0)&amp;D11&amp;"_"&amp;VLOOKUP(E11, Factor!$CS$4:$CT$13, 2, 0)</f>
        <v>parlor_Trans_Pass_T1_001</v>
      </c>
      <c r="B11" s="15" t="str">
        <f t="shared" si="0"/>
        <v>T1 표준 인원 수송 칸</v>
      </c>
      <c r="C11" s="15">
        <f>VLOOKUP(D11, Factor!$AM$41:$AN$50, 2, 0)</f>
        <v>5000</v>
      </c>
      <c r="D11" s="15" t="s">
        <v>296</v>
      </c>
      <c r="E11" s="56" t="s">
        <v>582</v>
      </c>
      <c r="F11" s="56" t="s">
        <v>701</v>
      </c>
      <c r="G11" s="15" t="str">
        <f t="shared" si="1"/>
        <v>표준 인원 수송 칸</v>
      </c>
      <c r="H11" s="15" t="str">
        <f>VLOOKUP(F11, Factor!$CO$4:$CR$10, 2, 0)</f>
        <v>인원수송</v>
      </c>
      <c r="I11" s="15" t="str">
        <f>VLOOKUP(F11, Factor!$CO$4:$CR$10, 3, 0)</f>
        <v>null</v>
      </c>
      <c r="J11" s="15">
        <v>1</v>
      </c>
      <c r="K11" s="15">
        <v>1</v>
      </c>
      <c r="L11" s="15">
        <v>1</v>
      </c>
      <c r="M11" s="15">
        <v>1</v>
      </c>
      <c r="N11" s="15">
        <v>1</v>
      </c>
      <c r="O11" s="15" cm="1">
        <f t="array" ref="O11">J11*VLOOKUP($H11, Factor!$AN$4:$AS$36, 2, 0)*INDEX(Factor!$AN$41:$AS$87, _xlfn.XMATCH($C11, Factor!$AN$41:$AN$87, -1), 2)*IFERROR(VLOOKUP($I11, Factor!$AU$4:$AX$9, 2, 0),1)</f>
        <v>0</v>
      </c>
      <c r="P11" s="15" cm="1">
        <f t="array" ref="P11">K11*VLOOKUP($H11, Factor!$AN$4:$AS$36, 3, 0)*INDEX(Factor!$AN$41:$AS$87, _xlfn.XMATCH($C11, Factor!$AN$41:$AN$87, -1), 3)*IFERROR(VLOOKUP($I11, Factor!$AU$4:$AX$9, 3, 0),1)</f>
        <v>0</v>
      </c>
      <c r="Q11" s="15" cm="1">
        <f t="array" ref="Q11">L11*VLOOKUP($H11, Factor!$AN$4:$AS$36, 4, 0)*INDEX(Factor!$AN$41:$AS$87, _xlfn.XMATCH($C11, Factor!$AN$41:$AN$87, -1), 4)</f>
        <v>0</v>
      </c>
      <c r="R11" s="15" cm="1">
        <f t="array" ref="R11">M11*VLOOKUP($H11, Factor!$AN$4:$AS$36, 5, 0)*INDEX(Factor!$AN$41:$AS$87, _xlfn.XMATCH($C11, Factor!$AN$41:$AN$87, -1), 5)</f>
        <v>4</v>
      </c>
      <c r="S11" s="15" cm="1">
        <f t="array" ref="S11">N11*VLOOKUP($H11, Factor!$AN$4:$AS$36, 6, 0)*INDEX(Factor!$AN$41:$AS$87, _xlfn.XMATCH($C11, Factor!$AN$41:$AN$87, -1), 6)*IFERROR(VLOOKUP($I11, Factor!$AU$4:$AX$9, 4, 0),1)</f>
        <v>1000</v>
      </c>
      <c r="T11" s="16"/>
    </row>
    <row r="12" spans="1:20" ht="15.75" customHeight="1" x14ac:dyDescent="0.2">
      <c r="A12" s="17" t="str">
        <f>"parlor_"&amp;VLOOKUP(F12, Factor!$CO$4:$CR$10, 4, 0)&amp;D12&amp;"_"&amp;VLOOKUP(E12, Factor!$CS$4:$CT$13, 2, 0)</f>
        <v>parlor_Prod_Food_T1_002</v>
      </c>
      <c r="B12" s="18" t="str">
        <f t="shared" si="0"/>
        <v>T1 경량 스마트팜</v>
      </c>
      <c r="C12" s="18">
        <f>VLOOKUP(D12, Factor!$AM$41:$AN$50, 2, 0)</f>
        <v>5000</v>
      </c>
      <c r="D12" s="18" t="s">
        <v>296</v>
      </c>
      <c r="E12" s="55" t="s">
        <v>585</v>
      </c>
      <c r="F12" s="55" t="s">
        <v>695</v>
      </c>
      <c r="G12" s="18" t="str">
        <f t="shared" si="1"/>
        <v>경량 스마트팜</v>
      </c>
      <c r="H12" s="18" t="str">
        <f>VLOOKUP(F12, Factor!$CO$4:$CR$10, 2, 0)</f>
        <v>생산</v>
      </c>
      <c r="I12" s="18" t="str">
        <f>VLOOKUP(F12, Factor!$CO$4:$CR$10, 3, 0)</f>
        <v>food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 cm="1">
        <f t="array" ref="O12">J12*VLOOKUP($H12, Factor!$AN$4:$AS$36, 2, 0)*INDEX(Factor!$AN$41:$AS$87, _xlfn.XMATCH($C12, Factor!$AN$41:$AN$87, -1), 2)*IFERROR(VLOOKUP($I12, Factor!$AU$4:$AX$9, 2, 0),1)</f>
        <v>10</v>
      </c>
      <c r="P12" s="18" cm="1">
        <f t="array" ref="P12">K12*VLOOKUP($H12, Factor!$AN$4:$AS$36, 3, 0)*INDEX(Factor!$AN$41:$AS$87, _xlfn.XMATCH($C12, Factor!$AN$41:$AN$87, -1), 3)*IFERROR(VLOOKUP($I12, Factor!$AU$4:$AX$9, 3, 0),1)</f>
        <v>0</v>
      </c>
      <c r="Q12" s="18" cm="1">
        <f t="array" ref="Q12">L12*VLOOKUP($H12, Factor!$AN$4:$AS$36, 4, 0)*INDEX(Factor!$AN$41:$AS$87, _xlfn.XMATCH($C12, Factor!$AN$41:$AN$87, -1), 4)</f>
        <v>1</v>
      </c>
      <c r="R12" s="18" cm="1">
        <f t="array" ref="R12">M12*VLOOKUP($H12, Factor!$AN$4:$AS$36, 5, 0)*INDEX(Factor!$AN$41:$AS$87, _xlfn.XMATCH($C12, Factor!$AN$41:$AN$87, -1), 5)</f>
        <v>1</v>
      </c>
      <c r="S12" s="18" cm="1">
        <f t="array" ref="S12">N12*VLOOKUP($H12, Factor!$AN$4:$AS$36, 6, 0)*INDEX(Factor!$AN$41:$AS$87, _xlfn.XMATCH($C12, Factor!$AN$41:$AN$87, -1), 6)*IFERROR(VLOOKUP($I12, Factor!$AU$4:$AX$9, 4, 0),1)</f>
        <v>5000</v>
      </c>
      <c r="T12" s="19"/>
    </row>
    <row r="13" spans="1:20" ht="15.75" customHeight="1" x14ac:dyDescent="0.2">
      <c r="A13" s="14" t="str">
        <f>"parlor_"&amp;VLOOKUP(F13, Factor!$CO$4:$CR$10, 4, 0)&amp;D13&amp;"_"&amp;VLOOKUP(E13, Factor!$CS$4:$CT$13, 2, 0)</f>
        <v>parlor_Indu_Ammo_T1_002</v>
      </c>
      <c r="B13" s="15" t="str">
        <f t="shared" si="0"/>
        <v>T1 경량 탄약공장</v>
      </c>
      <c r="C13" s="15">
        <f>VLOOKUP(D13, Factor!$AM$41:$AN$50, 2, 0)</f>
        <v>5000</v>
      </c>
      <c r="D13" s="15" t="s">
        <v>296</v>
      </c>
      <c r="E13" s="56" t="s">
        <v>585</v>
      </c>
      <c r="F13" s="56" t="s">
        <v>696</v>
      </c>
      <c r="G13" s="15" t="str">
        <f t="shared" si="1"/>
        <v>경량 탄약공장</v>
      </c>
      <c r="H13" s="15" t="str">
        <f>VLOOKUP(F13, Factor!$CO$4:$CR$10, 2, 0)</f>
        <v>공업</v>
      </c>
      <c r="I13" s="15" t="str">
        <f>VLOOKUP(F13, Factor!$CO$4:$CR$10, 3, 0)</f>
        <v>ammo</v>
      </c>
      <c r="J13" s="15">
        <v>1</v>
      </c>
      <c r="K13" s="15">
        <v>1</v>
      </c>
      <c r="L13" s="15">
        <v>1</v>
      </c>
      <c r="M13" s="15">
        <v>1</v>
      </c>
      <c r="N13" s="15">
        <v>1</v>
      </c>
      <c r="O13" s="15" cm="1">
        <f t="array" ref="O13">J13*VLOOKUP($H13, Factor!$AN$4:$AS$36, 2, 0)*INDEX(Factor!$AN$41:$AS$87, _xlfn.XMATCH($C13, Factor!$AN$41:$AN$87, -1), 2)*IFERROR(VLOOKUP($I13, Factor!$AU$4:$AX$9, 2, 0),1)</f>
        <v>0</v>
      </c>
      <c r="P13" s="15" cm="1">
        <f t="array" ref="P13">K13*VLOOKUP($H13, Factor!$AN$4:$AS$36, 3, 0)*INDEX(Factor!$AN$41:$AS$87, _xlfn.XMATCH($C13, Factor!$AN$41:$AN$87, -1), 3)*IFERROR(VLOOKUP($I13, Factor!$AU$4:$AX$9, 3, 0),1)</f>
        <v>10</v>
      </c>
      <c r="Q13" s="15" cm="1">
        <f t="array" ref="Q13">L13*VLOOKUP($H13, Factor!$AN$4:$AS$36, 4, 0)*INDEX(Factor!$AN$41:$AS$87, _xlfn.XMATCH($C13, Factor!$AN$41:$AN$87, -1), 4)</f>
        <v>0</v>
      </c>
      <c r="R13" s="15" cm="1">
        <f t="array" ref="R13">M13*VLOOKUP($H13, Factor!$AN$4:$AS$36, 5, 0)*INDEX(Factor!$AN$41:$AS$87, _xlfn.XMATCH($C13, Factor!$AN$41:$AN$87, -1), 5)</f>
        <v>0</v>
      </c>
      <c r="S13" s="15" cm="1">
        <f t="array" ref="S13">N13*VLOOKUP($H13, Factor!$AN$4:$AS$36, 6, 0)*INDEX(Factor!$AN$41:$AS$87, _xlfn.XMATCH($C13, Factor!$AN$41:$AN$87, -1), 6)*IFERROR(VLOOKUP($I13, Factor!$AU$4:$AX$9, 4, 0),1)</f>
        <v>5000</v>
      </c>
      <c r="T13" s="16"/>
    </row>
    <row r="14" spans="1:20" ht="15.75" customHeight="1" x14ac:dyDescent="0.2">
      <c r="A14" s="17" t="str">
        <f>"parlor_"&amp;VLOOKUP(F14, Factor!$CO$4:$CR$10, 4, 0)&amp;D14&amp;"_"&amp;VLOOKUP(E14, Factor!$CS$4:$CT$13, 2, 0)</f>
        <v>parlor_Indu_Shell_T1_002</v>
      </c>
      <c r="B14" s="18" t="str">
        <f t="shared" si="0"/>
        <v>T1 경량 포탄공장</v>
      </c>
      <c r="C14" s="18">
        <f>VLOOKUP(D14, Factor!$AM$41:$AN$50, 2, 0)</f>
        <v>5000</v>
      </c>
      <c r="D14" s="18" t="s">
        <v>296</v>
      </c>
      <c r="E14" s="55" t="s">
        <v>585</v>
      </c>
      <c r="F14" s="55" t="s">
        <v>697</v>
      </c>
      <c r="G14" s="18" t="str">
        <f t="shared" si="1"/>
        <v>경량 포탄공장</v>
      </c>
      <c r="H14" s="18" t="str">
        <f>VLOOKUP(F14, Factor!$CO$4:$CR$10, 2, 0)</f>
        <v>공업</v>
      </c>
      <c r="I14" s="18" t="str">
        <f>VLOOKUP(F14, Factor!$CO$4:$CR$10, 3, 0)</f>
        <v>shell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 cm="1">
        <f t="array" ref="O14">J14*VLOOKUP($H14, Factor!$AN$4:$AS$36, 2, 0)*INDEX(Factor!$AN$41:$AS$87, _xlfn.XMATCH($C14, Factor!$AN$41:$AN$87, -1), 2)*IFERROR(VLOOKUP($I14, Factor!$AU$4:$AX$9, 2, 0),1)</f>
        <v>0</v>
      </c>
      <c r="P14" s="18" cm="1">
        <f t="array" ref="P14">K14*VLOOKUP($H14, Factor!$AN$4:$AS$36, 3, 0)*INDEX(Factor!$AN$41:$AS$87, _xlfn.XMATCH($C14, Factor!$AN$41:$AN$87, -1), 3)*IFERROR(VLOOKUP($I14, Factor!$AU$4:$AX$9, 3, 0),1)</f>
        <v>5</v>
      </c>
      <c r="Q14" s="18" cm="1">
        <f t="array" ref="Q14">L14*VLOOKUP($H14, Factor!$AN$4:$AS$36, 4, 0)*INDEX(Factor!$AN$41:$AS$87, _xlfn.XMATCH($C14, Factor!$AN$41:$AN$87, -1), 4)</f>
        <v>0</v>
      </c>
      <c r="R14" s="18" cm="1">
        <f t="array" ref="R14">M14*VLOOKUP($H14, Factor!$AN$4:$AS$36, 5, 0)*INDEX(Factor!$AN$41:$AS$87, _xlfn.XMATCH($C14, Factor!$AN$41:$AN$87, -1), 5)</f>
        <v>0</v>
      </c>
      <c r="S14" s="18" cm="1">
        <f t="array" ref="S14">N14*VLOOKUP($H14, Factor!$AN$4:$AS$36, 6, 0)*INDEX(Factor!$AN$41:$AS$87, _xlfn.XMATCH($C14, Factor!$AN$41:$AN$87, -1), 6)*IFERROR(VLOOKUP($I14, Factor!$AU$4:$AX$9, 4, 0),1)</f>
        <v>6000</v>
      </c>
      <c r="T14" s="19"/>
    </row>
    <row r="15" spans="1:20" ht="15.75" customHeight="1" x14ac:dyDescent="0.2">
      <c r="A15" s="14" t="str">
        <f>"parlor_"&amp;VLOOKUP(F15, Factor!$CO$4:$CR$10, 4, 0)&amp;D15&amp;"_"&amp;VLOOKUP(E15, Factor!$CS$4:$CT$13, 2, 0)</f>
        <v>parlor_Indu_Missile_T1_002</v>
      </c>
      <c r="B15" s="15" t="str">
        <f t="shared" si="0"/>
        <v>T1 경량 미사일공장</v>
      </c>
      <c r="C15" s="15">
        <f>VLOOKUP(D15, Factor!$AM$41:$AN$50, 2, 0)</f>
        <v>5000</v>
      </c>
      <c r="D15" s="15" t="s">
        <v>296</v>
      </c>
      <c r="E15" s="56" t="s">
        <v>585</v>
      </c>
      <c r="F15" s="56" t="s">
        <v>698</v>
      </c>
      <c r="G15" s="15" t="str">
        <f t="shared" si="1"/>
        <v>경량 미사일공장</v>
      </c>
      <c r="H15" s="15" t="str">
        <f>VLOOKUP(F15, Factor!$CO$4:$CR$10, 2, 0)</f>
        <v>공업</v>
      </c>
      <c r="I15" s="15" t="str">
        <f>VLOOKUP(F15, Factor!$CO$4:$CR$10, 3, 0)</f>
        <v>missile</v>
      </c>
      <c r="J15" s="15">
        <v>1</v>
      </c>
      <c r="K15" s="15">
        <v>1</v>
      </c>
      <c r="L15" s="15">
        <v>1</v>
      </c>
      <c r="M15" s="15">
        <v>1</v>
      </c>
      <c r="N15" s="15">
        <v>1</v>
      </c>
      <c r="O15" s="15" cm="1">
        <f t="array" ref="O15">J15*VLOOKUP($H15, Factor!$AN$4:$AS$36, 2, 0)*INDEX(Factor!$AN$41:$AS$87, _xlfn.XMATCH($C15, Factor!$AN$41:$AN$87, -1), 2)*IFERROR(VLOOKUP($I15, Factor!$AU$4:$AX$9, 2, 0),1)</f>
        <v>0</v>
      </c>
      <c r="P15" s="15" cm="1">
        <f t="array" ref="P15">K15*VLOOKUP($H15, Factor!$AN$4:$AS$36, 3, 0)*INDEX(Factor!$AN$41:$AS$87, _xlfn.XMATCH($C15, Factor!$AN$41:$AN$87, -1), 3)*IFERROR(VLOOKUP($I15, Factor!$AU$4:$AX$9, 3, 0),1)</f>
        <v>2</v>
      </c>
      <c r="Q15" s="15" cm="1">
        <f t="array" ref="Q15">L15*VLOOKUP($H15, Factor!$AN$4:$AS$36, 4, 0)*INDEX(Factor!$AN$41:$AS$87, _xlfn.XMATCH($C15, Factor!$AN$41:$AN$87, -1), 4)</f>
        <v>0</v>
      </c>
      <c r="R15" s="15" cm="1">
        <f t="array" ref="R15">M15*VLOOKUP($H15, Factor!$AN$4:$AS$36, 5, 0)*INDEX(Factor!$AN$41:$AS$87, _xlfn.XMATCH($C15, Factor!$AN$41:$AN$87, -1), 5)</f>
        <v>0</v>
      </c>
      <c r="S15" s="15" cm="1">
        <f t="array" ref="S15">N15*VLOOKUP($H15, Factor!$AN$4:$AS$36, 6, 0)*INDEX(Factor!$AN$41:$AS$87, _xlfn.XMATCH($C15, Factor!$AN$41:$AN$87, -1), 6)*IFERROR(VLOOKUP($I15, Factor!$AU$4:$AX$9, 4, 0),1)</f>
        <v>6500</v>
      </c>
      <c r="T15" s="16"/>
    </row>
    <row r="16" spans="1:20" ht="15.75" customHeight="1" x14ac:dyDescent="0.2">
      <c r="A16" s="17" t="str">
        <f>"parlor_"&amp;VLOOKUP(F16, Factor!$CO$4:$CR$10, 4, 0)&amp;D16&amp;"_"&amp;VLOOKUP(E16, Factor!$CS$4:$CT$13, 2, 0)</f>
        <v>parlor_Indu_Siecleium_T1_002</v>
      </c>
      <c r="B16" s="18" t="str">
        <f t="shared" si="0"/>
        <v>T1 경량 서클리움 정제소</v>
      </c>
      <c r="C16" s="18">
        <f>VLOOKUP(D16, Factor!$AM$41:$AN$50, 2, 0)</f>
        <v>5000</v>
      </c>
      <c r="D16" s="18" t="s">
        <v>296</v>
      </c>
      <c r="E16" s="55" t="s">
        <v>585</v>
      </c>
      <c r="F16" s="55" t="s">
        <v>699</v>
      </c>
      <c r="G16" s="18" t="str">
        <f t="shared" si="1"/>
        <v>경량 서클리움 정제소</v>
      </c>
      <c r="H16" s="18" t="str">
        <f>VLOOKUP(F16, Factor!$CO$4:$CR$10, 2, 0)</f>
        <v>공업</v>
      </c>
      <c r="I16" s="18" t="str">
        <f>VLOOKUP(F16, Factor!$CO$4:$CR$10, 3, 0)</f>
        <v>siecleium</v>
      </c>
      <c r="J16" s="18">
        <v>1</v>
      </c>
      <c r="K16" s="18">
        <v>1</v>
      </c>
      <c r="L16" s="18">
        <v>1</v>
      </c>
      <c r="M16" s="18">
        <v>1</v>
      </c>
      <c r="N16" s="18">
        <v>1</v>
      </c>
      <c r="O16" s="18" cm="1">
        <f t="array" ref="O16">J16*VLOOKUP($H16, Factor!$AN$4:$AS$36, 2, 0)*INDEX(Factor!$AN$41:$AS$87, _xlfn.XMATCH($C16, Factor!$AN$41:$AN$87, -1), 2)*IFERROR(VLOOKUP($I16, Factor!$AU$4:$AX$9, 2, 0),1)</f>
        <v>0</v>
      </c>
      <c r="P16" s="18" cm="1">
        <f t="array" ref="P16">K16*VLOOKUP($H16, Factor!$AN$4:$AS$36, 3, 0)*INDEX(Factor!$AN$41:$AS$87, _xlfn.XMATCH($C16, Factor!$AN$41:$AN$87, -1), 3)*IFERROR(VLOOKUP($I16, Factor!$AU$4:$AX$9, 3, 0),1)</f>
        <v>10</v>
      </c>
      <c r="Q16" s="18" cm="1">
        <f t="array" ref="Q16">L16*VLOOKUP($H16, Factor!$AN$4:$AS$36, 4, 0)*INDEX(Factor!$AN$41:$AS$87, _xlfn.XMATCH($C16, Factor!$AN$41:$AN$87, -1), 4)</f>
        <v>0</v>
      </c>
      <c r="R16" s="18" cm="1">
        <f t="array" ref="R16">M16*VLOOKUP($H16, Factor!$AN$4:$AS$36, 5, 0)*INDEX(Factor!$AN$41:$AS$87, _xlfn.XMATCH($C16, Factor!$AN$41:$AN$87, -1), 5)</f>
        <v>0</v>
      </c>
      <c r="S16" s="18" cm="1">
        <f t="array" ref="S16">N16*VLOOKUP($H16, Factor!$AN$4:$AS$36, 6, 0)*INDEX(Factor!$AN$41:$AS$87, _xlfn.XMATCH($C16, Factor!$AN$41:$AN$87, -1), 6)*IFERROR(VLOOKUP($I16, Factor!$AU$4:$AX$9, 4, 0),1)</f>
        <v>5000</v>
      </c>
      <c r="T16" s="19"/>
    </row>
    <row r="17" spans="1:20" ht="15.75" customHeight="1" x14ac:dyDescent="0.2">
      <c r="A17" s="14" t="str">
        <f>"parlor_"&amp;VLOOKUP(F17, Factor!$CO$4:$CR$10, 4, 0)&amp;D17&amp;"_"&amp;VLOOKUP(E17, Factor!$CS$4:$CT$13, 2, 0)</f>
        <v>parlor_Trans_Inven_T1_002</v>
      </c>
      <c r="B17" s="15" t="str">
        <f t="shared" si="0"/>
        <v>T1 경량 화물 수송 칸</v>
      </c>
      <c r="C17" s="15">
        <f>VLOOKUP(D17, Factor!$AM$41:$AN$50, 2, 0)</f>
        <v>5000</v>
      </c>
      <c r="D17" s="15" t="s">
        <v>296</v>
      </c>
      <c r="E17" s="56" t="s">
        <v>585</v>
      </c>
      <c r="F17" s="56" t="s">
        <v>700</v>
      </c>
      <c r="G17" s="15" t="str">
        <f t="shared" si="1"/>
        <v>경량 화물 수송 칸</v>
      </c>
      <c r="H17" s="15" t="str">
        <f>VLOOKUP(F17, Factor!$CO$4:$CR$10, 2, 0)</f>
        <v>물자수송</v>
      </c>
      <c r="I17" s="15" t="str">
        <f>VLOOKUP(F17, Factor!$CO$4:$CR$10, 3, 0)</f>
        <v>null</v>
      </c>
      <c r="J17" s="15">
        <v>1</v>
      </c>
      <c r="K17" s="15">
        <v>1</v>
      </c>
      <c r="L17" s="15">
        <v>1</v>
      </c>
      <c r="M17" s="15">
        <v>1</v>
      </c>
      <c r="N17" s="15">
        <v>1</v>
      </c>
      <c r="O17" s="15" cm="1">
        <f t="array" ref="O17">J17*VLOOKUP($H17, Factor!$AN$4:$AS$36, 2, 0)*INDEX(Factor!$AN$41:$AS$87, _xlfn.XMATCH($C17, Factor!$AN$41:$AN$87, -1), 2)*IFERROR(VLOOKUP($I17, Factor!$AU$4:$AX$9, 2, 0),1)</f>
        <v>0</v>
      </c>
      <c r="P17" s="15" cm="1">
        <f t="array" ref="P17">K17*VLOOKUP($H17, Factor!$AN$4:$AS$36, 3, 0)*INDEX(Factor!$AN$41:$AS$87, _xlfn.XMATCH($C17, Factor!$AN$41:$AN$87, -1), 3)*IFERROR(VLOOKUP($I17, Factor!$AU$4:$AX$9, 3, 0),1)</f>
        <v>0</v>
      </c>
      <c r="Q17" s="15" cm="1">
        <f t="array" ref="Q17">L17*VLOOKUP($H17, Factor!$AN$4:$AS$36, 4, 0)*INDEX(Factor!$AN$41:$AS$87, _xlfn.XMATCH($C17, Factor!$AN$41:$AN$87, -1), 4)</f>
        <v>2</v>
      </c>
      <c r="R17" s="15" cm="1">
        <f t="array" ref="R17">M17*VLOOKUP($H17, Factor!$AN$4:$AS$36, 5, 0)*INDEX(Factor!$AN$41:$AS$87, _xlfn.XMATCH($C17, Factor!$AN$41:$AN$87, -1), 5)</f>
        <v>0</v>
      </c>
      <c r="S17" s="15" cm="1">
        <f t="array" ref="S17">N17*VLOOKUP($H17, Factor!$AN$4:$AS$36, 6, 0)*INDEX(Factor!$AN$41:$AS$87, _xlfn.XMATCH($C17, Factor!$AN$41:$AN$87, -1), 6)*IFERROR(VLOOKUP($I17, Factor!$AU$4:$AX$9, 4, 0),1)</f>
        <v>2000</v>
      </c>
      <c r="T17" s="16"/>
    </row>
    <row r="18" spans="1:20" ht="15.75" customHeight="1" x14ac:dyDescent="0.2">
      <c r="A18" s="17" t="str">
        <f>"parlor_"&amp;VLOOKUP(F18, Factor!$CO$4:$CR$10, 4, 0)&amp;D18&amp;"_"&amp;VLOOKUP(E18, Factor!$CS$4:$CT$13, 2, 0)</f>
        <v>parlor_Trans_Pass_T1_002</v>
      </c>
      <c r="B18" s="18" t="str">
        <f t="shared" si="0"/>
        <v>T1 경량 인원 수송 칸</v>
      </c>
      <c r="C18" s="18">
        <f>VLOOKUP(D18, Factor!$AM$41:$AN$50, 2, 0)</f>
        <v>5000</v>
      </c>
      <c r="D18" s="18" t="s">
        <v>296</v>
      </c>
      <c r="E18" s="55" t="s">
        <v>585</v>
      </c>
      <c r="F18" s="55" t="s">
        <v>701</v>
      </c>
      <c r="G18" s="18" t="str">
        <f t="shared" si="1"/>
        <v>경량 인원 수송 칸</v>
      </c>
      <c r="H18" s="18" t="str">
        <f>VLOOKUP(F18, Factor!$CO$4:$CR$10, 2, 0)</f>
        <v>인원수송</v>
      </c>
      <c r="I18" s="18" t="str">
        <f>VLOOKUP(F18, Factor!$CO$4:$CR$10, 3, 0)</f>
        <v>null</v>
      </c>
      <c r="J18" s="18">
        <v>1</v>
      </c>
      <c r="K18" s="18">
        <v>1</v>
      </c>
      <c r="L18" s="18">
        <v>1</v>
      </c>
      <c r="M18" s="18">
        <v>1</v>
      </c>
      <c r="N18" s="18">
        <v>1</v>
      </c>
      <c r="O18" s="18" cm="1">
        <f t="array" ref="O18">J18*VLOOKUP($H18, Factor!$AN$4:$AS$36, 2, 0)*INDEX(Factor!$AN$41:$AS$87, _xlfn.XMATCH($C18, Factor!$AN$41:$AN$87, -1), 2)*IFERROR(VLOOKUP($I18, Factor!$AU$4:$AX$9, 2, 0),1)</f>
        <v>0</v>
      </c>
      <c r="P18" s="18" cm="1">
        <f t="array" ref="P18">K18*VLOOKUP($H18, Factor!$AN$4:$AS$36, 3, 0)*INDEX(Factor!$AN$41:$AS$87, _xlfn.XMATCH($C18, Factor!$AN$41:$AN$87, -1), 3)*IFERROR(VLOOKUP($I18, Factor!$AU$4:$AX$9, 3, 0),1)</f>
        <v>0</v>
      </c>
      <c r="Q18" s="18" cm="1">
        <f t="array" ref="Q18">L18*VLOOKUP($H18, Factor!$AN$4:$AS$36, 4, 0)*INDEX(Factor!$AN$41:$AS$87, _xlfn.XMATCH($C18, Factor!$AN$41:$AN$87, -1), 4)</f>
        <v>0</v>
      </c>
      <c r="R18" s="18" cm="1">
        <f t="array" ref="R18">M18*VLOOKUP($H18, Factor!$AN$4:$AS$36, 5, 0)*INDEX(Factor!$AN$41:$AS$87, _xlfn.XMATCH($C18, Factor!$AN$41:$AN$87, -1), 5)</f>
        <v>4</v>
      </c>
      <c r="S18" s="18" cm="1">
        <f t="array" ref="S18">N18*VLOOKUP($H18, Factor!$AN$4:$AS$36, 6, 0)*INDEX(Factor!$AN$41:$AS$87, _xlfn.XMATCH($C18, Factor!$AN$41:$AN$87, -1), 6)*IFERROR(VLOOKUP($I18, Factor!$AU$4:$AX$9, 4, 0),1)</f>
        <v>1000</v>
      </c>
      <c r="T18" s="19"/>
    </row>
    <row r="19" spans="1:20" ht="15.75" customHeight="1" x14ac:dyDescent="0.2">
      <c r="A19" s="14" t="str">
        <f>"parlor_"&amp;VLOOKUP(F19, Factor!$CO$4:$CR$10, 4, 0)&amp;D19&amp;"_"&amp;VLOOKUP(E19, Factor!$CS$4:$CT$13, 2, 0)</f>
        <v>parlor_Prod_Food_T1_003</v>
      </c>
      <c r="B19" s="15" t="str">
        <f t="shared" si="0"/>
        <v>T1 대형 스마트팜</v>
      </c>
      <c r="C19" s="15">
        <f>VLOOKUP(D19, Factor!$AM$41:$AN$50, 2, 0)</f>
        <v>5000</v>
      </c>
      <c r="D19" s="15" t="s">
        <v>296</v>
      </c>
      <c r="E19" s="56" t="s">
        <v>583</v>
      </c>
      <c r="F19" s="56" t="s">
        <v>695</v>
      </c>
      <c r="G19" s="15" t="str">
        <f t="shared" si="1"/>
        <v>대형 스마트팜</v>
      </c>
      <c r="H19" s="15" t="str">
        <f>VLOOKUP(F19, Factor!$CO$4:$CR$10, 2, 0)</f>
        <v>생산</v>
      </c>
      <c r="I19" s="15" t="str">
        <f>VLOOKUP(F19, Factor!$CO$4:$CR$10, 3, 0)</f>
        <v>food</v>
      </c>
      <c r="J19" s="15">
        <v>1</v>
      </c>
      <c r="K19" s="15">
        <v>1</v>
      </c>
      <c r="L19" s="15">
        <v>1</v>
      </c>
      <c r="M19" s="15">
        <v>1</v>
      </c>
      <c r="N19" s="15">
        <v>1</v>
      </c>
      <c r="O19" s="15" cm="1">
        <f t="array" ref="O19">J19*VLOOKUP($H19, Factor!$AN$4:$AS$36, 2, 0)*INDEX(Factor!$AN$41:$AS$87, _xlfn.XMATCH($C19, Factor!$AN$41:$AN$87, -1), 2)*IFERROR(VLOOKUP($I19, Factor!$AU$4:$AX$9, 2, 0),1)</f>
        <v>10</v>
      </c>
      <c r="P19" s="15" cm="1">
        <f t="array" ref="P19">K19*VLOOKUP($H19, Factor!$AN$4:$AS$36, 3, 0)*INDEX(Factor!$AN$41:$AS$87, _xlfn.XMATCH($C19, Factor!$AN$41:$AN$87, -1), 3)*IFERROR(VLOOKUP($I19, Factor!$AU$4:$AX$9, 3, 0),1)</f>
        <v>0</v>
      </c>
      <c r="Q19" s="15" cm="1">
        <f t="array" ref="Q19">L19*VLOOKUP($H19, Factor!$AN$4:$AS$36, 4, 0)*INDEX(Factor!$AN$41:$AS$87, _xlfn.XMATCH($C19, Factor!$AN$41:$AN$87, -1), 4)</f>
        <v>1</v>
      </c>
      <c r="R19" s="15" cm="1">
        <f t="array" ref="R19">M19*VLOOKUP($H19, Factor!$AN$4:$AS$36, 5, 0)*INDEX(Factor!$AN$41:$AS$87, _xlfn.XMATCH($C19, Factor!$AN$41:$AN$87, -1), 5)</f>
        <v>1</v>
      </c>
      <c r="S19" s="15" cm="1">
        <f t="array" ref="S19">N19*VLOOKUP($H19, Factor!$AN$4:$AS$36, 6, 0)*INDEX(Factor!$AN$41:$AS$87, _xlfn.XMATCH($C19, Factor!$AN$41:$AN$87, -1), 6)*IFERROR(VLOOKUP($I19, Factor!$AU$4:$AX$9, 4, 0),1)</f>
        <v>5000</v>
      </c>
      <c r="T19" s="16"/>
    </row>
    <row r="20" spans="1:20" ht="15.75" customHeight="1" x14ac:dyDescent="0.2">
      <c r="A20" s="17" t="str">
        <f>"parlor_"&amp;VLOOKUP(F20, Factor!$CO$4:$CR$10, 4, 0)&amp;D20&amp;"_"&amp;VLOOKUP(E20, Factor!$CS$4:$CT$13, 2, 0)</f>
        <v>parlor_Indu_Ammo_T1_003</v>
      </c>
      <c r="B20" s="18" t="str">
        <f t="shared" si="0"/>
        <v>T1 대형 탄약공장</v>
      </c>
      <c r="C20" s="18">
        <f>VLOOKUP(D20, Factor!$AM$41:$AN$50, 2, 0)</f>
        <v>5000</v>
      </c>
      <c r="D20" s="18" t="s">
        <v>296</v>
      </c>
      <c r="E20" s="55" t="s">
        <v>583</v>
      </c>
      <c r="F20" s="55" t="s">
        <v>696</v>
      </c>
      <c r="G20" s="18" t="str">
        <f t="shared" si="1"/>
        <v>대형 탄약공장</v>
      </c>
      <c r="H20" s="18" t="str">
        <f>VLOOKUP(F20, Factor!$CO$4:$CR$10, 2, 0)</f>
        <v>공업</v>
      </c>
      <c r="I20" s="18" t="str">
        <f>VLOOKUP(F20, Factor!$CO$4:$CR$10, 3, 0)</f>
        <v>ammo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 cm="1">
        <f t="array" ref="O20">J20*VLOOKUP($H20, Factor!$AN$4:$AS$36, 2, 0)*INDEX(Factor!$AN$41:$AS$87, _xlfn.XMATCH($C20, Factor!$AN$41:$AN$87, -1), 2)*IFERROR(VLOOKUP($I20, Factor!$AU$4:$AX$9, 2, 0),1)</f>
        <v>0</v>
      </c>
      <c r="P20" s="18" cm="1">
        <f t="array" ref="P20">K20*VLOOKUP($H20, Factor!$AN$4:$AS$36, 3, 0)*INDEX(Factor!$AN$41:$AS$87, _xlfn.XMATCH($C20, Factor!$AN$41:$AN$87, -1), 3)*IFERROR(VLOOKUP($I20, Factor!$AU$4:$AX$9, 3, 0),1)</f>
        <v>10</v>
      </c>
      <c r="Q20" s="18" cm="1">
        <f t="array" ref="Q20">L20*VLOOKUP($H20, Factor!$AN$4:$AS$36, 4, 0)*INDEX(Factor!$AN$41:$AS$87, _xlfn.XMATCH($C20, Factor!$AN$41:$AN$87, -1), 4)</f>
        <v>0</v>
      </c>
      <c r="R20" s="18" cm="1">
        <f t="array" ref="R20">M20*VLOOKUP($H20, Factor!$AN$4:$AS$36, 5, 0)*INDEX(Factor!$AN$41:$AS$87, _xlfn.XMATCH($C20, Factor!$AN$41:$AN$87, -1), 5)</f>
        <v>0</v>
      </c>
      <c r="S20" s="18" cm="1">
        <f t="array" ref="S20">N20*VLOOKUP($H20, Factor!$AN$4:$AS$36, 6, 0)*INDEX(Factor!$AN$41:$AS$87, _xlfn.XMATCH($C20, Factor!$AN$41:$AN$87, -1), 6)*IFERROR(VLOOKUP($I20, Factor!$AU$4:$AX$9, 4, 0),1)</f>
        <v>5000</v>
      </c>
      <c r="T20" s="19"/>
    </row>
    <row r="21" spans="1:20" ht="15.75" customHeight="1" x14ac:dyDescent="0.2">
      <c r="A21" s="14" t="str">
        <f>"parlor_"&amp;VLOOKUP(F21, Factor!$CO$4:$CR$10, 4, 0)&amp;D21&amp;"_"&amp;VLOOKUP(E21, Factor!$CS$4:$CT$13, 2, 0)</f>
        <v>parlor_Indu_Shell_T1_003</v>
      </c>
      <c r="B21" s="15" t="str">
        <f t="shared" si="0"/>
        <v>T1 대형 포탄공장</v>
      </c>
      <c r="C21" s="15">
        <f>VLOOKUP(D21, Factor!$AM$41:$AN$50, 2, 0)</f>
        <v>5000</v>
      </c>
      <c r="D21" s="15" t="s">
        <v>296</v>
      </c>
      <c r="E21" s="56" t="s">
        <v>583</v>
      </c>
      <c r="F21" s="56" t="s">
        <v>697</v>
      </c>
      <c r="G21" s="15" t="str">
        <f t="shared" si="1"/>
        <v>대형 포탄공장</v>
      </c>
      <c r="H21" s="15" t="str">
        <f>VLOOKUP(F21, Factor!$CO$4:$CR$10, 2, 0)</f>
        <v>공업</v>
      </c>
      <c r="I21" s="15" t="str">
        <f>VLOOKUP(F21, Factor!$CO$4:$CR$10, 3, 0)</f>
        <v>shell</v>
      </c>
      <c r="J21" s="15">
        <v>1</v>
      </c>
      <c r="K21" s="15">
        <v>1</v>
      </c>
      <c r="L21" s="15">
        <v>1</v>
      </c>
      <c r="M21" s="15">
        <v>1</v>
      </c>
      <c r="N21" s="15">
        <v>1</v>
      </c>
      <c r="O21" s="15" cm="1">
        <f t="array" ref="O21">J21*VLOOKUP($H21, Factor!$AN$4:$AS$36, 2, 0)*INDEX(Factor!$AN$41:$AS$87, _xlfn.XMATCH($C21, Factor!$AN$41:$AN$87, -1), 2)*IFERROR(VLOOKUP($I21, Factor!$AU$4:$AX$9, 2, 0),1)</f>
        <v>0</v>
      </c>
      <c r="P21" s="15" cm="1">
        <f t="array" ref="P21">K21*VLOOKUP($H21, Factor!$AN$4:$AS$36, 3, 0)*INDEX(Factor!$AN$41:$AS$87, _xlfn.XMATCH($C21, Factor!$AN$41:$AN$87, -1), 3)*IFERROR(VLOOKUP($I21, Factor!$AU$4:$AX$9, 3, 0),1)</f>
        <v>5</v>
      </c>
      <c r="Q21" s="15" cm="1">
        <f t="array" ref="Q21">L21*VLOOKUP($H21, Factor!$AN$4:$AS$36, 4, 0)*INDEX(Factor!$AN$41:$AS$87, _xlfn.XMATCH($C21, Factor!$AN$41:$AN$87, -1), 4)</f>
        <v>0</v>
      </c>
      <c r="R21" s="15" cm="1">
        <f t="array" ref="R21">M21*VLOOKUP($H21, Factor!$AN$4:$AS$36, 5, 0)*INDEX(Factor!$AN$41:$AS$87, _xlfn.XMATCH($C21, Factor!$AN$41:$AN$87, -1), 5)</f>
        <v>0</v>
      </c>
      <c r="S21" s="15" cm="1">
        <f t="array" ref="S21">N21*VLOOKUP($H21, Factor!$AN$4:$AS$36, 6, 0)*INDEX(Factor!$AN$41:$AS$87, _xlfn.XMATCH($C21, Factor!$AN$41:$AN$87, -1), 6)*IFERROR(VLOOKUP($I21, Factor!$AU$4:$AX$9, 4, 0),1)</f>
        <v>6000</v>
      </c>
      <c r="T21" s="16"/>
    </row>
    <row r="22" spans="1:20" ht="15.75" customHeight="1" x14ac:dyDescent="0.2">
      <c r="A22" s="17" t="str">
        <f>"parlor_"&amp;VLOOKUP(F22, Factor!$CO$4:$CR$10, 4, 0)&amp;D22&amp;"_"&amp;VLOOKUP(E22, Factor!$CS$4:$CT$13, 2, 0)</f>
        <v>parlor_Indu_Missile_T1_003</v>
      </c>
      <c r="B22" s="18" t="str">
        <f t="shared" si="0"/>
        <v>T1 대형 미사일공장</v>
      </c>
      <c r="C22" s="18">
        <f>VLOOKUP(D22, Factor!$AM$41:$AN$50, 2, 0)</f>
        <v>5000</v>
      </c>
      <c r="D22" s="18" t="s">
        <v>296</v>
      </c>
      <c r="E22" s="55" t="s">
        <v>583</v>
      </c>
      <c r="F22" s="55" t="s">
        <v>698</v>
      </c>
      <c r="G22" s="18" t="str">
        <f t="shared" si="1"/>
        <v>대형 미사일공장</v>
      </c>
      <c r="H22" s="18" t="str">
        <f>VLOOKUP(F22, Factor!$CO$4:$CR$10, 2, 0)</f>
        <v>공업</v>
      </c>
      <c r="I22" s="18" t="str">
        <f>VLOOKUP(F22, Factor!$CO$4:$CR$10, 3, 0)</f>
        <v>missile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 cm="1">
        <f t="array" ref="O22">J22*VLOOKUP($H22, Factor!$AN$4:$AS$36, 2, 0)*INDEX(Factor!$AN$41:$AS$87, _xlfn.XMATCH($C22, Factor!$AN$41:$AN$87, -1), 2)*IFERROR(VLOOKUP($I22, Factor!$AU$4:$AX$9, 2, 0),1)</f>
        <v>0</v>
      </c>
      <c r="P22" s="18" cm="1">
        <f t="array" ref="P22">K22*VLOOKUP($H22, Factor!$AN$4:$AS$36, 3, 0)*INDEX(Factor!$AN$41:$AS$87, _xlfn.XMATCH($C22, Factor!$AN$41:$AN$87, -1), 3)*IFERROR(VLOOKUP($I22, Factor!$AU$4:$AX$9, 3, 0),1)</f>
        <v>2</v>
      </c>
      <c r="Q22" s="18" cm="1">
        <f t="array" ref="Q22">L22*VLOOKUP($H22, Factor!$AN$4:$AS$36, 4, 0)*INDEX(Factor!$AN$41:$AS$87, _xlfn.XMATCH($C22, Factor!$AN$41:$AN$87, -1), 4)</f>
        <v>0</v>
      </c>
      <c r="R22" s="18" cm="1">
        <f t="array" ref="R22">M22*VLOOKUP($H22, Factor!$AN$4:$AS$36, 5, 0)*INDEX(Factor!$AN$41:$AS$87, _xlfn.XMATCH($C22, Factor!$AN$41:$AN$87, -1), 5)</f>
        <v>0</v>
      </c>
      <c r="S22" s="18" cm="1">
        <f t="array" ref="S22">N22*VLOOKUP($H22, Factor!$AN$4:$AS$36, 6, 0)*INDEX(Factor!$AN$41:$AS$87, _xlfn.XMATCH($C22, Factor!$AN$41:$AN$87, -1), 6)*IFERROR(VLOOKUP($I22, Factor!$AU$4:$AX$9, 4, 0),1)</f>
        <v>6500</v>
      </c>
      <c r="T22" s="19"/>
    </row>
    <row r="23" spans="1:20" ht="15.75" customHeight="1" x14ac:dyDescent="0.2">
      <c r="A23" s="14" t="str">
        <f>"parlor_"&amp;VLOOKUP(F23, Factor!$CO$4:$CR$10, 4, 0)&amp;D23&amp;"_"&amp;VLOOKUP(E23, Factor!$CS$4:$CT$13, 2, 0)</f>
        <v>parlor_Indu_Siecleium_T1_003</v>
      </c>
      <c r="B23" s="15" t="str">
        <f t="shared" si="0"/>
        <v>T1 대형 서클리움 정제소</v>
      </c>
      <c r="C23" s="15">
        <f>VLOOKUP(D23, Factor!$AM$41:$AN$50, 2, 0)</f>
        <v>5000</v>
      </c>
      <c r="D23" s="15" t="s">
        <v>296</v>
      </c>
      <c r="E23" s="56" t="s">
        <v>583</v>
      </c>
      <c r="F23" s="56" t="s">
        <v>699</v>
      </c>
      <c r="G23" s="15" t="str">
        <f t="shared" si="1"/>
        <v>대형 서클리움 정제소</v>
      </c>
      <c r="H23" s="15" t="str">
        <f>VLOOKUP(F23, Factor!$CO$4:$CR$10, 2, 0)</f>
        <v>공업</v>
      </c>
      <c r="I23" s="15" t="str">
        <f>VLOOKUP(F23, Factor!$CO$4:$CR$10, 3, 0)</f>
        <v>siecleium</v>
      </c>
      <c r="J23" s="15">
        <v>1</v>
      </c>
      <c r="K23" s="15">
        <v>1</v>
      </c>
      <c r="L23" s="15">
        <v>1</v>
      </c>
      <c r="M23" s="15">
        <v>1</v>
      </c>
      <c r="N23" s="15">
        <v>1</v>
      </c>
      <c r="O23" s="15" cm="1">
        <f t="array" ref="O23">J23*VLOOKUP($H23, Factor!$AN$4:$AS$36, 2, 0)*INDEX(Factor!$AN$41:$AS$87, _xlfn.XMATCH($C23, Factor!$AN$41:$AN$87, -1), 2)*IFERROR(VLOOKUP($I23, Factor!$AU$4:$AX$9, 2, 0),1)</f>
        <v>0</v>
      </c>
      <c r="P23" s="15" cm="1">
        <f t="array" ref="P23">K23*VLOOKUP($H23, Factor!$AN$4:$AS$36, 3, 0)*INDEX(Factor!$AN$41:$AS$87, _xlfn.XMATCH($C23, Factor!$AN$41:$AN$87, -1), 3)*IFERROR(VLOOKUP($I23, Factor!$AU$4:$AX$9, 3, 0),1)</f>
        <v>10</v>
      </c>
      <c r="Q23" s="15" cm="1">
        <f t="array" ref="Q23">L23*VLOOKUP($H23, Factor!$AN$4:$AS$36, 4, 0)*INDEX(Factor!$AN$41:$AS$87, _xlfn.XMATCH($C23, Factor!$AN$41:$AN$87, -1), 4)</f>
        <v>0</v>
      </c>
      <c r="R23" s="15" cm="1">
        <f t="array" ref="R23">M23*VLOOKUP($H23, Factor!$AN$4:$AS$36, 5, 0)*INDEX(Factor!$AN$41:$AS$87, _xlfn.XMATCH($C23, Factor!$AN$41:$AN$87, -1), 5)</f>
        <v>0</v>
      </c>
      <c r="S23" s="15" cm="1">
        <f t="array" ref="S23">N23*VLOOKUP($H23, Factor!$AN$4:$AS$36, 6, 0)*INDEX(Factor!$AN$41:$AS$87, _xlfn.XMATCH($C23, Factor!$AN$41:$AN$87, -1), 6)*IFERROR(VLOOKUP($I23, Factor!$AU$4:$AX$9, 4, 0),1)</f>
        <v>5000</v>
      </c>
      <c r="T23" s="16"/>
    </row>
    <row r="24" spans="1:20" ht="15.75" customHeight="1" x14ac:dyDescent="0.2">
      <c r="A24" s="17" t="str">
        <f>"parlor_"&amp;VLOOKUP(F24, Factor!$CO$4:$CR$10, 4, 0)&amp;D24&amp;"_"&amp;VLOOKUP(E24, Factor!$CS$4:$CT$13, 2, 0)</f>
        <v>parlor_Trans_Inven_T1_003</v>
      </c>
      <c r="B24" s="18" t="str">
        <f t="shared" si="0"/>
        <v>T1 대형 화물 수송 칸</v>
      </c>
      <c r="C24" s="18">
        <f>VLOOKUP(D24, Factor!$AM$41:$AN$50, 2, 0)</f>
        <v>5000</v>
      </c>
      <c r="D24" s="18" t="s">
        <v>296</v>
      </c>
      <c r="E24" s="55" t="s">
        <v>583</v>
      </c>
      <c r="F24" s="55" t="s">
        <v>700</v>
      </c>
      <c r="G24" s="18" t="str">
        <f t="shared" si="1"/>
        <v>대형 화물 수송 칸</v>
      </c>
      <c r="H24" s="18" t="str">
        <f>VLOOKUP(F24, Factor!$CO$4:$CR$10, 2, 0)</f>
        <v>물자수송</v>
      </c>
      <c r="I24" s="18" t="str">
        <f>VLOOKUP(F24, Factor!$CO$4:$CR$10, 3, 0)</f>
        <v>null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 cm="1">
        <f t="array" ref="O24">J24*VLOOKUP($H24, Factor!$AN$4:$AS$36, 2, 0)*INDEX(Factor!$AN$41:$AS$87, _xlfn.XMATCH($C24, Factor!$AN$41:$AN$87, -1), 2)*IFERROR(VLOOKUP($I24, Factor!$AU$4:$AX$9, 2, 0),1)</f>
        <v>0</v>
      </c>
      <c r="P24" s="18" cm="1">
        <f t="array" ref="P24">K24*VLOOKUP($H24, Factor!$AN$4:$AS$36, 3, 0)*INDEX(Factor!$AN$41:$AS$87, _xlfn.XMATCH($C24, Factor!$AN$41:$AN$87, -1), 3)*IFERROR(VLOOKUP($I24, Factor!$AU$4:$AX$9, 3, 0),1)</f>
        <v>0</v>
      </c>
      <c r="Q24" s="18" cm="1">
        <f t="array" ref="Q24">L24*VLOOKUP($H24, Factor!$AN$4:$AS$36, 4, 0)*INDEX(Factor!$AN$41:$AS$87, _xlfn.XMATCH($C24, Factor!$AN$41:$AN$87, -1), 4)</f>
        <v>2</v>
      </c>
      <c r="R24" s="18" cm="1">
        <f t="array" ref="R24">M24*VLOOKUP($H24, Factor!$AN$4:$AS$36, 5, 0)*INDEX(Factor!$AN$41:$AS$87, _xlfn.XMATCH($C24, Factor!$AN$41:$AN$87, -1), 5)</f>
        <v>0</v>
      </c>
      <c r="S24" s="18" cm="1">
        <f t="array" ref="S24">N24*VLOOKUP($H24, Factor!$AN$4:$AS$36, 6, 0)*INDEX(Factor!$AN$41:$AS$87, _xlfn.XMATCH($C24, Factor!$AN$41:$AN$87, -1), 6)*IFERROR(VLOOKUP($I24, Factor!$AU$4:$AX$9, 4, 0),1)</f>
        <v>2000</v>
      </c>
      <c r="T24" s="19"/>
    </row>
    <row r="25" spans="1:20" ht="15.75" customHeight="1" x14ac:dyDescent="0.2">
      <c r="A25" s="14" t="str">
        <f>"parlor_"&amp;VLOOKUP(F25, Factor!$CO$4:$CR$10, 4, 0)&amp;D25&amp;"_"&amp;VLOOKUP(E25, Factor!$CS$4:$CT$13, 2, 0)</f>
        <v>parlor_Trans_Pass_T1_003</v>
      </c>
      <c r="B25" s="15" t="str">
        <f t="shared" si="0"/>
        <v>T1 대형 인원 수송 칸</v>
      </c>
      <c r="C25" s="15">
        <f>VLOOKUP(D25, Factor!$AM$41:$AN$50, 2, 0)</f>
        <v>5000</v>
      </c>
      <c r="D25" s="15" t="s">
        <v>296</v>
      </c>
      <c r="E25" s="56" t="s">
        <v>583</v>
      </c>
      <c r="F25" s="56" t="s">
        <v>701</v>
      </c>
      <c r="G25" s="15" t="str">
        <f t="shared" si="1"/>
        <v>대형 인원 수송 칸</v>
      </c>
      <c r="H25" s="15" t="str">
        <f>VLOOKUP(F25, Factor!$CO$4:$CR$10, 2, 0)</f>
        <v>인원수송</v>
      </c>
      <c r="I25" s="15" t="str">
        <f>VLOOKUP(F25, Factor!$CO$4:$CR$10, 3, 0)</f>
        <v>null</v>
      </c>
      <c r="J25" s="15">
        <v>1</v>
      </c>
      <c r="K25" s="15">
        <v>1</v>
      </c>
      <c r="L25" s="15">
        <v>1</v>
      </c>
      <c r="M25" s="15">
        <v>1</v>
      </c>
      <c r="N25" s="15">
        <v>1</v>
      </c>
      <c r="O25" s="15" cm="1">
        <f t="array" ref="O25">J25*VLOOKUP($H25, Factor!$AN$4:$AS$36, 2, 0)*INDEX(Factor!$AN$41:$AS$87, _xlfn.XMATCH($C25, Factor!$AN$41:$AN$87, -1), 2)*IFERROR(VLOOKUP($I25, Factor!$AU$4:$AX$9, 2, 0),1)</f>
        <v>0</v>
      </c>
      <c r="P25" s="15" cm="1">
        <f t="array" ref="P25">K25*VLOOKUP($H25, Factor!$AN$4:$AS$36, 3, 0)*INDEX(Factor!$AN$41:$AS$87, _xlfn.XMATCH($C25, Factor!$AN$41:$AN$87, -1), 3)*IFERROR(VLOOKUP($I25, Factor!$AU$4:$AX$9, 3, 0),1)</f>
        <v>0</v>
      </c>
      <c r="Q25" s="15" cm="1">
        <f t="array" ref="Q25">L25*VLOOKUP($H25, Factor!$AN$4:$AS$36, 4, 0)*INDEX(Factor!$AN$41:$AS$87, _xlfn.XMATCH($C25, Factor!$AN$41:$AN$87, -1), 4)</f>
        <v>0</v>
      </c>
      <c r="R25" s="15" cm="1">
        <f t="array" ref="R25">M25*VLOOKUP($H25, Factor!$AN$4:$AS$36, 5, 0)*INDEX(Factor!$AN$41:$AS$87, _xlfn.XMATCH($C25, Factor!$AN$41:$AN$87, -1), 5)</f>
        <v>4</v>
      </c>
      <c r="S25" s="15" cm="1">
        <f t="array" ref="S25">N25*VLOOKUP($H25, Factor!$AN$4:$AS$36, 6, 0)*INDEX(Factor!$AN$41:$AS$87, _xlfn.XMATCH($C25, Factor!$AN$41:$AN$87, -1), 6)*IFERROR(VLOOKUP($I25, Factor!$AU$4:$AX$9, 4, 0),1)</f>
        <v>1000</v>
      </c>
      <c r="T25" s="16"/>
    </row>
    <row r="26" spans="1:20" ht="15.75" customHeight="1" x14ac:dyDescent="0.2">
      <c r="A26" s="17" t="str">
        <f>"parlor_"&amp;VLOOKUP(F26, Factor!$CO$4:$CR$10, 4, 0)&amp;D26&amp;"_"&amp;VLOOKUP(E26, Factor!$CS$4:$CT$13, 2, 0)</f>
        <v>parlor_Prod_Food_T2_001</v>
      </c>
      <c r="B26" s="18" t="str">
        <f t="shared" si="0"/>
        <v>T2 표준 스마트팜</v>
      </c>
      <c r="C26" s="18">
        <f>VLOOKUP(D26, Factor!$AM$41:$AN$50, 2, 0)</f>
        <v>10000</v>
      </c>
      <c r="D26" s="18" t="s">
        <v>320</v>
      </c>
      <c r="E26" s="55" t="s">
        <v>582</v>
      </c>
      <c r="F26" s="55" t="s">
        <v>695</v>
      </c>
      <c r="G26" s="18" t="str">
        <f t="shared" si="1"/>
        <v>표준 스마트팜</v>
      </c>
      <c r="H26" s="18" t="str">
        <f>VLOOKUP(F26, Factor!$CO$4:$CR$10, 2, 0)</f>
        <v>생산</v>
      </c>
      <c r="I26" s="18" t="str">
        <f>VLOOKUP(F26, Factor!$CO$4:$CR$10, 3, 0)</f>
        <v>food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 cm="1">
        <f t="array" ref="O26">J26*VLOOKUP($H26, Factor!$AN$4:$AS$36, 2, 0)*INDEX(Factor!$AN$41:$AS$87, _xlfn.XMATCH($C26, Factor!$AN$41:$AN$87, -1), 2)*IFERROR(VLOOKUP($I26, Factor!$AU$4:$AX$9, 2, 0),1)</f>
        <v>12</v>
      </c>
      <c r="P26" s="18" cm="1">
        <f t="array" ref="P26">K26*VLOOKUP($H26, Factor!$AN$4:$AS$36, 3, 0)*INDEX(Factor!$AN$41:$AS$87, _xlfn.XMATCH($C26, Factor!$AN$41:$AN$87, -1), 3)*IFERROR(VLOOKUP($I26, Factor!$AU$4:$AX$9, 3, 0),1)</f>
        <v>0</v>
      </c>
      <c r="Q26" s="18" cm="1">
        <f t="array" ref="Q26">L26*VLOOKUP($H26, Factor!$AN$4:$AS$36, 4, 0)*INDEX(Factor!$AN$41:$AS$87, _xlfn.XMATCH($C26, Factor!$AN$41:$AN$87, -1), 4)</f>
        <v>1.2</v>
      </c>
      <c r="R26" s="18" cm="1">
        <f t="array" ref="R26">M26*VLOOKUP($H26, Factor!$AN$4:$AS$36, 5, 0)*INDEX(Factor!$AN$41:$AS$87, _xlfn.XMATCH($C26, Factor!$AN$41:$AN$87, -1), 5)</f>
        <v>1.2</v>
      </c>
      <c r="S26" s="18" cm="1">
        <f t="array" ref="S26">N26*VLOOKUP($H26, Factor!$AN$4:$AS$36, 6, 0)*INDEX(Factor!$AN$41:$AS$87, _xlfn.XMATCH($C26, Factor!$AN$41:$AN$87, -1), 6)*IFERROR(VLOOKUP($I26, Factor!$AU$4:$AX$9, 4, 0),1)</f>
        <v>6000</v>
      </c>
      <c r="T26" s="19"/>
    </row>
    <row r="27" spans="1:20" ht="15.75" customHeight="1" x14ac:dyDescent="0.2">
      <c r="A27" s="14" t="str">
        <f>"parlor_"&amp;VLOOKUP(F27, Factor!$CO$4:$CR$10, 4, 0)&amp;D27&amp;"_"&amp;VLOOKUP(E27, Factor!$CS$4:$CT$13, 2, 0)</f>
        <v>parlor_Indu_Ammo_T2_001</v>
      </c>
      <c r="B27" s="15" t="str">
        <f t="shared" si="0"/>
        <v>T2 표준 탄약공장</v>
      </c>
      <c r="C27" s="15">
        <f>VLOOKUP(D27, Factor!$AM$41:$AN$50, 2, 0)</f>
        <v>10000</v>
      </c>
      <c r="D27" s="15" t="s">
        <v>320</v>
      </c>
      <c r="E27" s="56" t="s">
        <v>582</v>
      </c>
      <c r="F27" s="56" t="s">
        <v>696</v>
      </c>
      <c r="G27" s="15" t="str">
        <f t="shared" si="1"/>
        <v>표준 탄약공장</v>
      </c>
      <c r="H27" s="15" t="str">
        <f>VLOOKUP(F27, Factor!$CO$4:$CR$10, 2, 0)</f>
        <v>공업</v>
      </c>
      <c r="I27" s="15" t="str">
        <f>VLOOKUP(F27, Factor!$CO$4:$CR$10, 3, 0)</f>
        <v>ammo</v>
      </c>
      <c r="J27" s="15">
        <v>1</v>
      </c>
      <c r="K27" s="15">
        <v>1</v>
      </c>
      <c r="L27" s="15">
        <v>1</v>
      </c>
      <c r="M27" s="15">
        <v>1</v>
      </c>
      <c r="N27" s="15">
        <v>1</v>
      </c>
      <c r="O27" s="15" cm="1">
        <f t="array" ref="O27">J27*VLOOKUP($H27, Factor!$AN$4:$AS$36, 2, 0)*INDEX(Factor!$AN$41:$AS$87, _xlfn.XMATCH($C27, Factor!$AN$41:$AN$87, -1), 2)*IFERROR(VLOOKUP($I27, Factor!$AU$4:$AX$9, 2, 0),1)</f>
        <v>0</v>
      </c>
      <c r="P27" s="15" cm="1">
        <f t="array" ref="P27">K27*VLOOKUP($H27, Factor!$AN$4:$AS$36, 3, 0)*INDEX(Factor!$AN$41:$AS$87, _xlfn.XMATCH($C27, Factor!$AN$41:$AN$87, -1), 3)*IFERROR(VLOOKUP($I27, Factor!$AU$4:$AX$9, 3, 0),1)</f>
        <v>12</v>
      </c>
      <c r="Q27" s="15" cm="1">
        <f t="array" ref="Q27">L27*VLOOKUP($H27, Factor!$AN$4:$AS$36, 4, 0)*INDEX(Factor!$AN$41:$AS$87, _xlfn.XMATCH($C27, Factor!$AN$41:$AN$87, -1), 4)</f>
        <v>0</v>
      </c>
      <c r="R27" s="15" cm="1">
        <f t="array" ref="R27">M27*VLOOKUP($H27, Factor!$AN$4:$AS$36, 5, 0)*INDEX(Factor!$AN$41:$AS$87, _xlfn.XMATCH($C27, Factor!$AN$41:$AN$87, -1), 5)</f>
        <v>0</v>
      </c>
      <c r="S27" s="15" cm="1">
        <f t="array" ref="S27">N27*VLOOKUP($H27, Factor!$AN$4:$AS$36, 6, 0)*INDEX(Factor!$AN$41:$AS$87, _xlfn.XMATCH($C27, Factor!$AN$41:$AN$87, -1), 6)*IFERROR(VLOOKUP($I27, Factor!$AU$4:$AX$9, 4, 0),1)</f>
        <v>6000</v>
      </c>
      <c r="T27" s="16"/>
    </row>
    <row r="28" spans="1:20" ht="15.75" customHeight="1" x14ac:dyDescent="0.2">
      <c r="A28" s="17" t="str">
        <f>"parlor_"&amp;VLOOKUP(F28, Factor!$CO$4:$CR$10, 4, 0)&amp;D28&amp;"_"&amp;VLOOKUP(E28, Factor!$CS$4:$CT$13, 2, 0)</f>
        <v>parlor_Indu_Shell_T2_001</v>
      </c>
      <c r="B28" s="18" t="str">
        <f t="shared" si="0"/>
        <v>T2 표준 포탄공장</v>
      </c>
      <c r="C28" s="18">
        <f>VLOOKUP(D28, Factor!$AM$41:$AN$50, 2, 0)</f>
        <v>10000</v>
      </c>
      <c r="D28" s="18" t="s">
        <v>298</v>
      </c>
      <c r="E28" s="55" t="s">
        <v>582</v>
      </c>
      <c r="F28" s="55" t="s">
        <v>697</v>
      </c>
      <c r="G28" s="18" t="str">
        <f t="shared" si="1"/>
        <v>표준 포탄공장</v>
      </c>
      <c r="H28" s="18" t="str">
        <f>VLOOKUP(F28, Factor!$CO$4:$CR$10, 2, 0)</f>
        <v>공업</v>
      </c>
      <c r="I28" s="18" t="str">
        <f>VLOOKUP(F28, Factor!$CO$4:$CR$10, 3, 0)</f>
        <v>shell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 cm="1">
        <f t="array" ref="O28">J28*VLOOKUP($H28, Factor!$AN$4:$AS$36, 2, 0)*INDEX(Factor!$AN$41:$AS$87, _xlfn.XMATCH($C28, Factor!$AN$41:$AN$87, -1), 2)*IFERROR(VLOOKUP($I28, Factor!$AU$4:$AX$9, 2, 0),1)</f>
        <v>0</v>
      </c>
      <c r="P28" s="18" cm="1">
        <f t="array" ref="P28">K28*VLOOKUP($H28, Factor!$AN$4:$AS$36, 3, 0)*INDEX(Factor!$AN$41:$AS$87, _xlfn.XMATCH($C28, Factor!$AN$41:$AN$87, -1), 3)*IFERROR(VLOOKUP($I28, Factor!$AU$4:$AX$9, 3, 0),1)</f>
        <v>6</v>
      </c>
      <c r="Q28" s="18" cm="1">
        <f t="array" ref="Q28">L28*VLOOKUP($H28, Factor!$AN$4:$AS$36, 4, 0)*INDEX(Factor!$AN$41:$AS$87, _xlfn.XMATCH($C28, Factor!$AN$41:$AN$87, -1), 4)</f>
        <v>0</v>
      </c>
      <c r="R28" s="18" cm="1">
        <f t="array" ref="R28">M28*VLOOKUP($H28, Factor!$AN$4:$AS$36, 5, 0)*INDEX(Factor!$AN$41:$AS$87, _xlfn.XMATCH($C28, Factor!$AN$41:$AN$87, -1), 5)</f>
        <v>0</v>
      </c>
      <c r="S28" s="18" cm="1">
        <f t="array" ref="S28">N28*VLOOKUP($H28, Factor!$AN$4:$AS$36, 6, 0)*INDEX(Factor!$AN$41:$AS$87, _xlfn.XMATCH($C28, Factor!$AN$41:$AN$87, -1), 6)*IFERROR(VLOOKUP($I28, Factor!$AU$4:$AX$9, 4, 0),1)</f>
        <v>7200</v>
      </c>
      <c r="T28" s="19"/>
    </row>
    <row r="29" spans="1:20" ht="15.75" customHeight="1" x14ac:dyDescent="0.2">
      <c r="A29" s="14" t="str">
        <f>"parlor_"&amp;VLOOKUP(F29, Factor!$CO$4:$CR$10, 4, 0)&amp;D29&amp;"_"&amp;VLOOKUP(E29, Factor!$CS$4:$CT$13, 2, 0)</f>
        <v>parlor_Indu_Missile_T2_001</v>
      </c>
      <c r="B29" s="15" t="str">
        <f t="shared" si="0"/>
        <v>T2 표준 미사일공장</v>
      </c>
      <c r="C29" s="15">
        <f>VLOOKUP(D29, Factor!$AM$41:$AN$50, 2, 0)</f>
        <v>10000</v>
      </c>
      <c r="D29" s="15" t="s">
        <v>298</v>
      </c>
      <c r="E29" s="56" t="s">
        <v>582</v>
      </c>
      <c r="F29" s="56" t="s">
        <v>698</v>
      </c>
      <c r="G29" s="15" t="str">
        <f t="shared" si="1"/>
        <v>표준 미사일공장</v>
      </c>
      <c r="H29" s="15" t="str">
        <f>VLOOKUP(F29, Factor!$CO$4:$CR$10, 2, 0)</f>
        <v>공업</v>
      </c>
      <c r="I29" s="15" t="str">
        <f>VLOOKUP(F29, Factor!$CO$4:$CR$10, 3, 0)</f>
        <v>missile</v>
      </c>
      <c r="J29" s="15">
        <v>1</v>
      </c>
      <c r="K29" s="15">
        <v>1</v>
      </c>
      <c r="L29" s="15">
        <v>1</v>
      </c>
      <c r="M29" s="15">
        <v>1</v>
      </c>
      <c r="N29" s="15">
        <v>1</v>
      </c>
      <c r="O29" s="15" cm="1">
        <f t="array" ref="O29">J29*VLOOKUP($H29, Factor!$AN$4:$AS$36, 2, 0)*INDEX(Factor!$AN$41:$AS$87, _xlfn.XMATCH($C29, Factor!$AN$41:$AN$87, -1), 2)*IFERROR(VLOOKUP($I29, Factor!$AU$4:$AX$9, 2, 0),1)</f>
        <v>0</v>
      </c>
      <c r="P29" s="15" cm="1">
        <f t="array" ref="P29">K29*VLOOKUP($H29, Factor!$AN$4:$AS$36, 3, 0)*INDEX(Factor!$AN$41:$AS$87, _xlfn.XMATCH($C29, Factor!$AN$41:$AN$87, -1), 3)*IFERROR(VLOOKUP($I29, Factor!$AU$4:$AX$9, 3, 0),1)</f>
        <v>2.4</v>
      </c>
      <c r="Q29" s="15" cm="1">
        <f t="array" ref="Q29">L29*VLOOKUP($H29, Factor!$AN$4:$AS$36, 4, 0)*INDEX(Factor!$AN$41:$AS$87, _xlfn.XMATCH($C29, Factor!$AN$41:$AN$87, -1), 4)</f>
        <v>0</v>
      </c>
      <c r="R29" s="15" cm="1">
        <f t="array" ref="R29">M29*VLOOKUP($H29, Factor!$AN$4:$AS$36, 5, 0)*INDEX(Factor!$AN$41:$AS$87, _xlfn.XMATCH($C29, Factor!$AN$41:$AN$87, -1), 5)</f>
        <v>0</v>
      </c>
      <c r="S29" s="15" cm="1">
        <f t="array" ref="S29">N29*VLOOKUP($H29, Factor!$AN$4:$AS$36, 6, 0)*INDEX(Factor!$AN$41:$AS$87, _xlfn.XMATCH($C29, Factor!$AN$41:$AN$87, -1), 6)*IFERROR(VLOOKUP($I29, Factor!$AU$4:$AX$9, 4, 0),1)</f>
        <v>7800</v>
      </c>
      <c r="T29" s="16"/>
    </row>
    <row r="30" spans="1:20" ht="15.75" customHeight="1" x14ac:dyDescent="0.2">
      <c r="A30" s="17" t="str">
        <f>"parlor_"&amp;VLOOKUP(F30, Factor!$CO$4:$CR$10, 4, 0)&amp;D30&amp;"_"&amp;VLOOKUP(E30, Factor!$CS$4:$CT$13, 2, 0)</f>
        <v>parlor_Indu_Siecleium_T2_001</v>
      </c>
      <c r="B30" s="18" t="str">
        <f t="shared" si="0"/>
        <v>T2 표준 서클리움 정제소</v>
      </c>
      <c r="C30" s="18">
        <f>VLOOKUP(D30, Factor!$AM$41:$AN$50, 2, 0)</f>
        <v>10000</v>
      </c>
      <c r="D30" s="18" t="s">
        <v>298</v>
      </c>
      <c r="E30" s="55" t="s">
        <v>582</v>
      </c>
      <c r="F30" s="55" t="s">
        <v>699</v>
      </c>
      <c r="G30" s="18" t="str">
        <f t="shared" si="1"/>
        <v>표준 서클리움 정제소</v>
      </c>
      <c r="H30" s="18" t="str">
        <f>VLOOKUP(F30, Factor!$CO$4:$CR$10, 2, 0)</f>
        <v>공업</v>
      </c>
      <c r="I30" s="18" t="str">
        <f>VLOOKUP(F30, Factor!$CO$4:$CR$10, 3, 0)</f>
        <v>siecleium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 cm="1">
        <f t="array" ref="O30">J30*VLOOKUP($H30, Factor!$AN$4:$AS$36, 2, 0)*INDEX(Factor!$AN$41:$AS$87, _xlfn.XMATCH($C30, Factor!$AN$41:$AN$87, -1), 2)*IFERROR(VLOOKUP($I30, Factor!$AU$4:$AX$9, 2, 0),1)</f>
        <v>0</v>
      </c>
      <c r="P30" s="18" cm="1">
        <f t="array" ref="P30">K30*VLOOKUP($H30, Factor!$AN$4:$AS$36, 3, 0)*INDEX(Factor!$AN$41:$AS$87, _xlfn.XMATCH($C30, Factor!$AN$41:$AN$87, -1), 3)*IFERROR(VLOOKUP($I30, Factor!$AU$4:$AX$9, 3, 0),1)</f>
        <v>12</v>
      </c>
      <c r="Q30" s="18" cm="1">
        <f t="array" ref="Q30">L30*VLOOKUP($H30, Factor!$AN$4:$AS$36, 4, 0)*INDEX(Factor!$AN$41:$AS$87, _xlfn.XMATCH($C30, Factor!$AN$41:$AN$87, -1), 4)</f>
        <v>0</v>
      </c>
      <c r="R30" s="18" cm="1">
        <f t="array" ref="R30">M30*VLOOKUP($H30, Factor!$AN$4:$AS$36, 5, 0)*INDEX(Factor!$AN$41:$AS$87, _xlfn.XMATCH($C30, Factor!$AN$41:$AN$87, -1), 5)</f>
        <v>0</v>
      </c>
      <c r="S30" s="18" cm="1">
        <f t="array" ref="S30">N30*VLOOKUP($H30, Factor!$AN$4:$AS$36, 6, 0)*INDEX(Factor!$AN$41:$AS$87, _xlfn.XMATCH($C30, Factor!$AN$41:$AN$87, -1), 6)*IFERROR(VLOOKUP($I30, Factor!$AU$4:$AX$9, 4, 0),1)</f>
        <v>6000</v>
      </c>
      <c r="T30" s="19"/>
    </row>
    <row r="31" spans="1:20" ht="15.75" customHeight="1" x14ac:dyDescent="0.2">
      <c r="A31" s="14" t="str">
        <f>"parlor_"&amp;VLOOKUP(F31, Factor!$CO$4:$CR$10, 4, 0)&amp;D31&amp;"_"&amp;VLOOKUP(E31, Factor!$CS$4:$CT$13, 2, 0)</f>
        <v>parlor_Trans_Inven_T2_001</v>
      </c>
      <c r="B31" s="15" t="str">
        <f t="shared" si="0"/>
        <v>T2 표준 화물 수송 칸</v>
      </c>
      <c r="C31" s="15">
        <f>VLOOKUP(D31, Factor!$AM$41:$AN$50, 2, 0)</f>
        <v>10000</v>
      </c>
      <c r="D31" s="15" t="s">
        <v>298</v>
      </c>
      <c r="E31" s="56" t="s">
        <v>582</v>
      </c>
      <c r="F31" s="56" t="s">
        <v>700</v>
      </c>
      <c r="G31" s="15" t="str">
        <f t="shared" si="1"/>
        <v>표준 화물 수송 칸</v>
      </c>
      <c r="H31" s="15" t="str">
        <f>VLOOKUP(F31, Factor!$CO$4:$CR$10, 2, 0)</f>
        <v>물자수송</v>
      </c>
      <c r="I31" s="15" t="str">
        <f>VLOOKUP(F31, Factor!$CO$4:$CR$10, 3, 0)</f>
        <v>null</v>
      </c>
      <c r="J31" s="15">
        <v>1</v>
      </c>
      <c r="K31" s="15">
        <v>1</v>
      </c>
      <c r="L31" s="15">
        <v>1</v>
      </c>
      <c r="M31" s="15">
        <v>1</v>
      </c>
      <c r="N31" s="15">
        <v>1</v>
      </c>
      <c r="O31" s="15" cm="1">
        <f t="array" ref="O31">J31*VLOOKUP($H31, Factor!$AN$4:$AS$36, 2, 0)*INDEX(Factor!$AN$41:$AS$87, _xlfn.XMATCH($C31, Factor!$AN$41:$AN$87, -1), 2)*IFERROR(VLOOKUP($I31, Factor!$AU$4:$AX$9, 2, 0),1)</f>
        <v>0</v>
      </c>
      <c r="P31" s="15" cm="1">
        <f t="array" ref="P31">K31*VLOOKUP($H31, Factor!$AN$4:$AS$36, 3, 0)*INDEX(Factor!$AN$41:$AS$87, _xlfn.XMATCH($C31, Factor!$AN$41:$AN$87, -1), 3)*IFERROR(VLOOKUP($I31, Factor!$AU$4:$AX$9, 3, 0),1)</f>
        <v>0</v>
      </c>
      <c r="Q31" s="15" cm="1">
        <f t="array" ref="Q31">L31*VLOOKUP($H31, Factor!$AN$4:$AS$36, 4, 0)*INDEX(Factor!$AN$41:$AS$87, _xlfn.XMATCH($C31, Factor!$AN$41:$AN$87, -1), 4)</f>
        <v>2.4</v>
      </c>
      <c r="R31" s="15" cm="1">
        <f t="array" ref="R31">M31*VLOOKUP($H31, Factor!$AN$4:$AS$36, 5, 0)*INDEX(Factor!$AN$41:$AS$87, _xlfn.XMATCH($C31, Factor!$AN$41:$AN$87, -1), 5)</f>
        <v>0</v>
      </c>
      <c r="S31" s="15" cm="1">
        <f t="array" ref="S31">N31*VLOOKUP($H31, Factor!$AN$4:$AS$36, 6, 0)*INDEX(Factor!$AN$41:$AS$87, _xlfn.XMATCH($C31, Factor!$AN$41:$AN$87, -1), 6)*IFERROR(VLOOKUP($I31, Factor!$AU$4:$AX$9, 4, 0),1)</f>
        <v>2400</v>
      </c>
      <c r="T31" s="16"/>
    </row>
    <row r="32" spans="1:20" ht="15.75" customHeight="1" x14ac:dyDescent="0.2">
      <c r="A32" s="17" t="str">
        <f>"parlor_"&amp;VLOOKUP(F32, Factor!$CO$4:$CR$10, 4, 0)&amp;D32&amp;"_"&amp;VLOOKUP(E32, Factor!$CS$4:$CT$13, 2, 0)</f>
        <v>parlor_Trans_Pass_T2_001</v>
      </c>
      <c r="B32" s="18" t="str">
        <f t="shared" si="0"/>
        <v>T2 표준 인원 수송 칸</v>
      </c>
      <c r="C32" s="18">
        <f>VLOOKUP(D32, Factor!$AM$41:$AN$50, 2, 0)</f>
        <v>10000</v>
      </c>
      <c r="D32" s="18" t="s">
        <v>298</v>
      </c>
      <c r="E32" s="55" t="s">
        <v>582</v>
      </c>
      <c r="F32" s="55" t="s">
        <v>701</v>
      </c>
      <c r="G32" s="18" t="str">
        <f t="shared" si="1"/>
        <v>표준 인원 수송 칸</v>
      </c>
      <c r="H32" s="18" t="str">
        <f>VLOOKUP(F32, Factor!$CO$4:$CR$10, 2, 0)</f>
        <v>인원수송</v>
      </c>
      <c r="I32" s="18" t="str">
        <f>VLOOKUP(F32, Factor!$CO$4:$CR$10, 3, 0)</f>
        <v>null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 cm="1">
        <f t="array" ref="O32">J32*VLOOKUP($H32, Factor!$AN$4:$AS$36, 2, 0)*INDEX(Factor!$AN$41:$AS$87, _xlfn.XMATCH($C32, Factor!$AN$41:$AN$87, -1), 2)*IFERROR(VLOOKUP($I32, Factor!$AU$4:$AX$9, 2, 0),1)</f>
        <v>0</v>
      </c>
      <c r="P32" s="18" cm="1">
        <f t="array" ref="P32">K32*VLOOKUP($H32, Factor!$AN$4:$AS$36, 3, 0)*INDEX(Factor!$AN$41:$AS$87, _xlfn.XMATCH($C32, Factor!$AN$41:$AN$87, -1), 3)*IFERROR(VLOOKUP($I32, Factor!$AU$4:$AX$9, 3, 0),1)</f>
        <v>0</v>
      </c>
      <c r="Q32" s="18" cm="1">
        <f t="array" ref="Q32">L32*VLOOKUP($H32, Factor!$AN$4:$AS$36, 4, 0)*INDEX(Factor!$AN$41:$AS$87, _xlfn.XMATCH($C32, Factor!$AN$41:$AN$87, -1), 4)</f>
        <v>0</v>
      </c>
      <c r="R32" s="18" cm="1">
        <f t="array" ref="R32">M32*VLOOKUP($H32, Factor!$AN$4:$AS$36, 5, 0)*INDEX(Factor!$AN$41:$AS$87, _xlfn.XMATCH($C32, Factor!$AN$41:$AN$87, -1), 5)</f>
        <v>4.8</v>
      </c>
      <c r="S32" s="18" cm="1">
        <f t="array" ref="S32">N32*VLOOKUP($H32, Factor!$AN$4:$AS$36, 6, 0)*INDEX(Factor!$AN$41:$AS$87, _xlfn.XMATCH($C32, Factor!$AN$41:$AN$87, -1), 6)*IFERROR(VLOOKUP($I32, Factor!$AU$4:$AX$9, 4, 0),1)</f>
        <v>1200</v>
      </c>
      <c r="T32" s="19"/>
    </row>
    <row r="33" spans="1:20" ht="15.75" customHeight="1" x14ac:dyDescent="0.2">
      <c r="A33" s="14" t="str">
        <f>"parlor_"&amp;VLOOKUP(F33, Factor!$CO$4:$CR$10, 4, 0)&amp;D33&amp;"_"&amp;VLOOKUP(E33, Factor!$CS$4:$CT$13, 2, 0)</f>
        <v>parlor_Prod_Food_T2_002</v>
      </c>
      <c r="B33" s="15" t="str">
        <f t="shared" si="0"/>
        <v>T2 경량 스마트팜</v>
      </c>
      <c r="C33" s="15">
        <f>VLOOKUP(D33, Factor!$AM$41:$AN$50, 2, 0)</f>
        <v>10000</v>
      </c>
      <c r="D33" s="15" t="s">
        <v>298</v>
      </c>
      <c r="E33" s="56" t="s">
        <v>585</v>
      </c>
      <c r="F33" s="56" t="s">
        <v>695</v>
      </c>
      <c r="G33" s="15" t="str">
        <f t="shared" si="1"/>
        <v>경량 스마트팜</v>
      </c>
      <c r="H33" s="15" t="str">
        <f>VLOOKUP(F33, Factor!$CO$4:$CR$10, 2, 0)</f>
        <v>생산</v>
      </c>
      <c r="I33" s="15" t="str">
        <f>VLOOKUP(F33, Factor!$CO$4:$CR$10, 3, 0)</f>
        <v>food</v>
      </c>
      <c r="J33" s="15">
        <v>1</v>
      </c>
      <c r="K33" s="15">
        <v>1</v>
      </c>
      <c r="L33" s="15">
        <v>1</v>
      </c>
      <c r="M33" s="15">
        <v>1</v>
      </c>
      <c r="N33" s="15">
        <v>1</v>
      </c>
      <c r="O33" s="15" cm="1">
        <f t="array" ref="O33">J33*VLOOKUP($H33, Factor!$AN$4:$AS$36, 2, 0)*INDEX(Factor!$AN$41:$AS$87, _xlfn.XMATCH($C33, Factor!$AN$41:$AN$87, -1), 2)*IFERROR(VLOOKUP($I33, Factor!$AU$4:$AX$9, 2, 0),1)</f>
        <v>12</v>
      </c>
      <c r="P33" s="15" cm="1">
        <f t="array" ref="P33">K33*VLOOKUP($H33, Factor!$AN$4:$AS$36, 3, 0)*INDEX(Factor!$AN$41:$AS$87, _xlfn.XMATCH($C33, Factor!$AN$41:$AN$87, -1), 3)*IFERROR(VLOOKUP($I33, Factor!$AU$4:$AX$9, 3, 0),1)</f>
        <v>0</v>
      </c>
      <c r="Q33" s="15" cm="1">
        <f t="array" ref="Q33">L33*VLOOKUP($H33, Factor!$AN$4:$AS$36, 4, 0)*INDEX(Factor!$AN$41:$AS$87, _xlfn.XMATCH($C33, Factor!$AN$41:$AN$87, -1), 4)</f>
        <v>1.2</v>
      </c>
      <c r="R33" s="15" cm="1">
        <f t="array" ref="R33">M33*VLOOKUP($H33, Factor!$AN$4:$AS$36, 5, 0)*INDEX(Factor!$AN$41:$AS$87, _xlfn.XMATCH($C33, Factor!$AN$41:$AN$87, -1), 5)</f>
        <v>1.2</v>
      </c>
      <c r="S33" s="15" cm="1">
        <f t="array" ref="S33">N33*VLOOKUP($H33, Factor!$AN$4:$AS$36, 6, 0)*INDEX(Factor!$AN$41:$AS$87, _xlfn.XMATCH($C33, Factor!$AN$41:$AN$87, -1), 6)*IFERROR(VLOOKUP($I33, Factor!$AU$4:$AX$9, 4, 0),1)</f>
        <v>6000</v>
      </c>
      <c r="T33" s="16"/>
    </row>
    <row r="34" spans="1:20" ht="15.75" customHeight="1" x14ac:dyDescent="0.2">
      <c r="A34" s="17" t="str">
        <f>"parlor_"&amp;VLOOKUP(F34, Factor!$CO$4:$CR$10, 4, 0)&amp;D34&amp;"_"&amp;VLOOKUP(E34, Factor!$CS$4:$CT$13, 2, 0)</f>
        <v>parlor_Indu_Ammo_T2_002</v>
      </c>
      <c r="B34" s="18" t="str">
        <f t="shared" si="0"/>
        <v>T2 경량 탄약공장</v>
      </c>
      <c r="C34" s="18">
        <f>VLOOKUP(D34, Factor!$AM$41:$AN$50, 2, 0)</f>
        <v>10000</v>
      </c>
      <c r="D34" s="18" t="s">
        <v>298</v>
      </c>
      <c r="E34" s="55" t="s">
        <v>585</v>
      </c>
      <c r="F34" s="55" t="s">
        <v>696</v>
      </c>
      <c r="G34" s="18" t="str">
        <f t="shared" si="1"/>
        <v>경량 탄약공장</v>
      </c>
      <c r="H34" s="18" t="str">
        <f>VLOOKUP(F34, Factor!$CO$4:$CR$10, 2, 0)</f>
        <v>공업</v>
      </c>
      <c r="I34" s="18" t="str">
        <f>VLOOKUP(F34, Factor!$CO$4:$CR$10, 3, 0)</f>
        <v>ammo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 cm="1">
        <f t="array" ref="O34">J34*VLOOKUP($H34, Factor!$AN$4:$AS$36, 2, 0)*INDEX(Factor!$AN$41:$AS$87, _xlfn.XMATCH($C34, Factor!$AN$41:$AN$87, -1), 2)*IFERROR(VLOOKUP($I34, Factor!$AU$4:$AX$9, 2, 0),1)</f>
        <v>0</v>
      </c>
      <c r="P34" s="18" cm="1">
        <f t="array" ref="P34">K34*VLOOKUP($H34, Factor!$AN$4:$AS$36, 3, 0)*INDEX(Factor!$AN$41:$AS$87, _xlfn.XMATCH($C34, Factor!$AN$41:$AN$87, -1), 3)*IFERROR(VLOOKUP($I34, Factor!$AU$4:$AX$9, 3, 0),1)</f>
        <v>12</v>
      </c>
      <c r="Q34" s="18" cm="1">
        <f t="array" ref="Q34">L34*VLOOKUP($H34, Factor!$AN$4:$AS$36, 4, 0)*INDEX(Factor!$AN$41:$AS$87, _xlfn.XMATCH($C34, Factor!$AN$41:$AN$87, -1), 4)</f>
        <v>0</v>
      </c>
      <c r="R34" s="18" cm="1">
        <f t="array" ref="R34">M34*VLOOKUP($H34, Factor!$AN$4:$AS$36, 5, 0)*INDEX(Factor!$AN$41:$AS$87, _xlfn.XMATCH($C34, Factor!$AN$41:$AN$87, -1), 5)</f>
        <v>0</v>
      </c>
      <c r="S34" s="18" cm="1">
        <f t="array" ref="S34">N34*VLOOKUP($H34, Factor!$AN$4:$AS$36, 6, 0)*INDEX(Factor!$AN$41:$AS$87, _xlfn.XMATCH($C34, Factor!$AN$41:$AN$87, -1), 6)*IFERROR(VLOOKUP($I34, Factor!$AU$4:$AX$9, 4, 0),1)</f>
        <v>6000</v>
      </c>
      <c r="T34" s="19"/>
    </row>
    <row r="35" spans="1:20" ht="15.75" customHeight="1" x14ac:dyDescent="0.2">
      <c r="A35" s="14" t="str">
        <f>"parlor_"&amp;VLOOKUP(F35, Factor!$CO$4:$CR$10, 4, 0)&amp;D35&amp;"_"&amp;VLOOKUP(E35, Factor!$CS$4:$CT$13, 2, 0)</f>
        <v>parlor_Indu_Shell_T2_002</v>
      </c>
      <c r="B35" s="15" t="str">
        <f t="shared" si="0"/>
        <v>T2 경량 포탄공장</v>
      </c>
      <c r="C35" s="15">
        <f>VLOOKUP(D35, Factor!$AM$41:$AN$50, 2, 0)</f>
        <v>10000</v>
      </c>
      <c r="D35" s="15" t="s">
        <v>298</v>
      </c>
      <c r="E35" s="56" t="s">
        <v>585</v>
      </c>
      <c r="F35" s="56" t="s">
        <v>697</v>
      </c>
      <c r="G35" s="15" t="str">
        <f t="shared" si="1"/>
        <v>경량 포탄공장</v>
      </c>
      <c r="H35" s="15" t="str">
        <f>VLOOKUP(F35, Factor!$CO$4:$CR$10, 2, 0)</f>
        <v>공업</v>
      </c>
      <c r="I35" s="15" t="str">
        <f>VLOOKUP(F35, Factor!$CO$4:$CR$10, 3, 0)</f>
        <v>shell</v>
      </c>
      <c r="J35" s="15">
        <v>1</v>
      </c>
      <c r="K35" s="15">
        <v>1</v>
      </c>
      <c r="L35" s="15">
        <v>1</v>
      </c>
      <c r="M35" s="15">
        <v>1</v>
      </c>
      <c r="N35" s="15">
        <v>1</v>
      </c>
      <c r="O35" s="15" cm="1">
        <f t="array" ref="O35">J35*VLOOKUP($H35, Factor!$AN$4:$AS$36, 2, 0)*INDEX(Factor!$AN$41:$AS$87, _xlfn.XMATCH($C35, Factor!$AN$41:$AN$87, -1), 2)*IFERROR(VLOOKUP($I35, Factor!$AU$4:$AX$9, 2, 0),1)</f>
        <v>0</v>
      </c>
      <c r="P35" s="15" cm="1">
        <f t="array" ref="P35">K35*VLOOKUP($H35, Factor!$AN$4:$AS$36, 3, 0)*INDEX(Factor!$AN$41:$AS$87, _xlfn.XMATCH($C35, Factor!$AN$41:$AN$87, -1), 3)*IFERROR(VLOOKUP($I35, Factor!$AU$4:$AX$9, 3, 0),1)</f>
        <v>6</v>
      </c>
      <c r="Q35" s="15" cm="1">
        <f t="array" ref="Q35">L35*VLOOKUP($H35, Factor!$AN$4:$AS$36, 4, 0)*INDEX(Factor!$AN$41:$AS$87, _xlfn.XMATCH($C35, Factor!$AN$41:$AN$87, -1), 4)</f>
        <v>0</v>
      </c>
      <c r="R35" s="15" cm="1">
        <f t="array" ref="R35">M35*VLOOKUP($H35, Factor!$AN$4:$AS$36, 5, 0)*INDEX(Factor!$AN$41:$AS$87, _xlfn.XMATCH($C35, Factor!$AN$41:$AN$87, -1), 5)</f>
        <v>0</v>
      </c>
      <c r="S35" s="15" cm="1">
        <f t="array" ref="S35">N35*VLOOKUP($H35, Factor!$AN$4:$AS$36, 6, 0)*INDEX(Factor!$AN$41:$AS$87, _xlfn.XMATCH($C35, Factor!$AN$41:$AN$87, -1), 6)*IFERROR(VLOOKUP($I35, Factor!$AU$4:$AX$9, 4, 0),1)</f>
        <v>7200</v>
      </c>
      <c r="T35" s="16"/>
    </row>
    <row r="36" spans="1:20" ht="15.75" customHeight="1" x14ac:dyDescent="0.2">
      <c r="A36" s="17" t="str">
        <f>"parlor_"&amp;VLOOKUP(F36, Factor!$CO$4:$CR$10, 4, 0)&amp;D36&amp;"_"&amp;VLOOKUP(E36, Factor!$CS$4:$CT$13, 2, 0)</f>
        <v>parlor_Indu_Missile_T2_002</v>
      </c>
      <c r="B36" s="18" t="str">
        <f t="shared" si="0"/>
        <v>T2 경량 미사일공장</v>
      </c>
      <c r="C36" s="18">
        <f>VLOOKUP(D36, Factor!$AM$41:$AN$50, 2, 0)</f>
        <v>10000</v>
      </c>
      <c r="D36" s="18" t="s">
        <v>298</v>
      </c>
      <c r="E36" s="55" t="s">
        <v>585</v>
      </c>
      <c r="F36" s="55" t="s">
        <v>698</v>
      </c>
      <c r="G36" s="18" t="str">
        <f t="shared" si="1"/>
        <v>경량 미사일공장</v>
      </c>
      <c r="H36" s="18" t="str">
        <f>VLOOKUP(F36, Factor!$CO$4:$CR$10, 2, 0)</f>
        <v>공업</v>
      </c>
      <c r="I36" s="18" t="str">
        <f>VLOOKUP(F36, Factor!$CO$4:$CR$10, 3, 0)</f>
        <v>missile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 cm="1">
        <f t="array" ref="O36">J36*VLOOKUP($H36, Factor!$AN$4:$AS$36, 2, 0)*INDEX(Factor!$AN$41:$AS$87, _xlfn.XMATCH($C36, Factor!$AN$41:$AN$87, -1), 2)*IFERROR(VLOOKUP($I36, Factor!$AU$4:$AX$9, 2, 0),1)</f>
        <v>0</v>
      </c>
      <c r="P36" s="18" cm="1">
        <f t="array" ref="P36">K36*VLOOKUP($H36, Factor!$AN$4:$AS$36, 3, 0)*INDEX(Factor!$AN$41:$AS$87, _xlfn.XMATCH($C36, Factor!$AN$41:$AN$87, -1), 3)*IFERROR(VLOOKUP($I36, Factor!$AU$4:$AX$9, 3, 0),1)</f>
        <v>2.4</v>
      </c>
      <c r="Q36" s="18" cm="1">
        <f t="array" ref="Q36">L36*VLOOKUP($H36, Factor!$AN$4:$AS$36, 4, 0)*INDEX(Factor!$AN$41:$AS$87, _xlfn.XMATCH($C36, Factor!$AN$41:$AN$87, -1), 4)</f>
        <v>0</v>
      </c>
      <c r="R36" s="18" cm="1">
        <f t="array" ref="R36">M36*VLOOKUP($H36, Factor!$AN$4:$AS$36, 5, 0)*INDEX(Factor!$AN$41:$AS$87, _xlfn.XMATCH($C36, Factor!$AN$41:$AN$87, -1), 5)</f>
        <v>0</v>
      </c>
      <c r="S36" s="18" cm="1">
        <f t="array" ref="S36">N36*VLOOKUP($H36, Factor!$AN$4:$AS$36, 6, 0)*INDEX(Factor!$AN$41:$AS$87, _xlfn.XMATCH($C36, Factor!$AN$41:$AN$87, -1), 6)*IFERROR(VLOOKUP($I36, Factor!$AU$4:$AX$9, 4, 0),1)</f>
        <v>7800</v>
      </c>
      <c r="T36" s="19"/>
    </row>
    <row r="37" spans="1:20" ht="15.75" customHeight="1" x14ac:dyDescent="0.2">
      <c r="A37" s="14" t="str">
        <f>"parlor_"&amp;VLOOKUP(F37, Factor!$CO$4:$CR$10, 4, 0)&amp;D37&amp;"_"&amp;VLOOKUP(E37, Factor!$CS$4:$CT$13, 2, 0)</f>
        <v>parlor_Indu_Siecleium_T2_002</v>
      </c>
      <c r="B37" s="15" t="str">
        <f t="shared" si="0"/>
        <v>T2 경량 서클리움 정제소</v>
      </c>
      <c r="C37" s="15">
        <f>VLOOKUP(D37, Factor!$AM$41:$AN$50, 2, 0)</f>
        <v>10000</v>
      </c>
      <c r="D37" s="15" t="s">
        <v>298</v>
      </c>
      <c r="E37" s="56" t="s">
        <v>585</v>
      </c>
      <c r="F37" s="56" t="s">
        <v>699</v>
      </c>
      <c r="G37" s="15" t="str">
        <f t="shared" si="1"/>
        <v>경량 서클리움 정제소</v>
      </c>
      <c r="H37" s="15" t="str">
        <f>VLOOKUP(F37, Factor!$CO$4:$CR$10, 2, 0)</f>
        <v>공업</v>
      </c>
      <c r="I37" s="15" t="str">
        <f>VLOOKUP(F37, Factor!$CO$4:$CR$10, 3, 0)</f>
        <v>siecleium</v>
      </c>
      <c r="J37" s="15">
        <v>1</v>
      </c>
      <c r="K37" s="15">
        <v>1</v>
      </c>
      <c r="L37" s="15">
        <v>1</v>
      </c>
      <c r="M37" s="15">
        <v>1</v>
      </c>
      <c r="N37" s="15">
        <v>1</v>
      </c>
      <c r="O37" s="15" cm="1">
        <f t="array" ref="O37">J37*VLOOKUP($H37, Factor!$AN$4:$AS$36, 2, 0)*INDEX(Factor!$AN$41:$AS$87, _xlfn.XMATCH($C37, Factor!$AN$41:$AN$87, -1), 2)*IFERROR(VLOOKUP($I37, Factor!$AU$4:$AX$9, 2, 0),1)</f>
        <v>0</v>
      </c>
      <c r="P37" s="15" cm="1">
        <f t="array" ref="P37">K37*VLOOKUP($H37, Factor!$AN$4:$AS$36, 3, 0)*INDEX(Factor!$AN$41:$AS$87, _xlfn.XMATCH($C37, Factor!$AN$41:$AN$87, -1), 3)*IFERROR(VLOOKUP($I37, Factor!$AU$4:$AX$9, 3, 0),1)</f>
        <v>12</v>
      </c>
      <c r="Q37" s="15" cm="1">
        <f t="array" ref="Q37">L37*VLOOKUP($H37, Factor!$AN$4:$AS$36, 4, 0)*INDEX(Factor!$AN$41:$AS$87, _xlfn.XMATCH($C37, Factor!$AN$41:$AN$87, -1), 4)</f>
        <v>0</v>
      </c>
      <c r="R37" s="15" cm="1">
        <f t="array" ref="R37">M37*VLOOKUP($H37, Factor!$AN$4:$AS$36, 5, 0)*INDEX(Factor!$AN$41:$AS$87, _xlfn.XMATCH($C37, Factor!$AN$41:$AN$87, -1), 5)</f>
        <v>0</v>
      </c>
      <c r="S37" s="15" cm="1">
        <f t="array" ref="S37">N37*VLOOKUP($H37, Factor!$AN$4:$AS$36, 6, 0)*INDEX(Factor!$AN$41:$AS$87, _xlfn.XMATCH($C37, Factor!$AN$41:$AN$87, -1), 6)*IFERROR(VLOOKUP($I37, Factor!$AU$4:$AX$9, 4, 0),1)</f>
        <v>6000</v>
      </c>
      <c r="T37" s="16"/>
    </row>
    <row r="38" spans="1:20" ht="15.75" customHeight="1" x14ac:dyDescent="0.2">
      <c r="A38" s="17" t="str">
        <f>"parlor_"&amp;VLOOKUP(F38, Factor!$CO$4:$CR$10, 4, 0)&amp;D38&amp;"_"&amp;VLOOKUP(E38, Factor!$CS$4:$CT$13, 2, 0)</f>
        <v>parlor_Trans_Inven_T2_002</v>
      </c>
      <c r="B38" s="18" t="str">
        <f t="shared" si="0"/>
        <v>T2 경량 화물 수송 칸</v>
      </c>
      <c r="C38" s="18">
        <f>VLOOKUP(D38, Factor!$AM$41:$AN$50, 2, 0)</f>
        <v>10000</v>
      </c>
      <c r="D38" s="18" t="s">
        <v>298</v>
      </c>
      <c r="E38" s="55" t="s">
        <v>585</v>
      </c>
      <c r="F38" s="55" t="s">
        <v>700</v>
      </c>
      <c r="G38" s="18" t="str">
        <f t="shared" si="1"/>
        <v>경량 화물 수송 칸</v>
      </c>
      <c r="H38" s="18" t="str">
        <f>VLOOKUP(F38, Factor!$CO$4:$CR$10, 2, 0)</f>
        <v>물자수송</v>
      </c>
      <c r="I38" s="18" t="str">
        <f>VLOOKUP(F38, Factor!$CO$4:$CR$10, 3, 0)</f>
        <v>null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 cm="1">
        <f t="array" ref="O38">J38*VLOOKUP($H38, Factor!$AN$4:$AS$36, 2, 0)*INDEX(Factor!$AN$41:$AS$87, _xlfn.XMATCH($C38, Factor!$AN$41:$AN$87, -1), 2)*IFERROR(VLOOKUP($I38, Factor!$AU$4:$AX$9, 2, 0),1)</f>
        <v>0</v>
      </c>
      <c r="P38" s="18" cm="1">
        <f t="array" ref="P38">K38*VLOOKUP($H38, Factor!$AN$4:$AS$36, 3, 0)*INDEX(Factor!$AN$41:$AS$87, _xlfn.XMATCH($C38, Factor!$AN$41:$AN$87, -1), 3)*IFERROR(VLOOKUP($I38, Factor!$AU$4:$AX$9, 3, 0),1)</f>
        <v>0</v>
      </c>
      <c r="Q38" s="18" cm="1">
        <f t="array" ref="Q38">L38*VLOOKUP($H38, Factor!$AN$4:$AS$36, 4, 0)*INDEX(Factor!$AN$41:$AS$87, _xlfn.XMATCH($C38, Factor!$AN$41:$AN$87, -1), 4)</f>
        <v>2.4</v>
      </c>
      <c r="R38" s="18" cm="1">
        <f t="array" ref="R38">M38*VLOOKUP($H38, Factor!$AN$4:$AS$36, 5, 0)*INDEX(Factor!$AN$41:$AS$87, _xlfn.XMATCH($C38, Factor!$AN$41:$AN$87, -1), 5)</f>
        <v>0</v>
      </c>
      <c r="S38" s="18" cm="1">
        <f t="array" ref="S38">N38*VLOOKUP($H38, Factor!$AN$4:$AS$36, 6, 0)*INDEX(Factor!$AN$41:$AS$87, _xlfn.XMATCH($C38, Factor!$AN$41:$AN$87, -1), 6)*IFERROR(VLOOKUP($I38, Factor!$AU$4:$AX$9, 4, 0),1)</f>
        <v>2400</v>
      </c>
      <c r="T38" s="19"/>
    </row>
    <row r="39" spans="1:20" ht="15.75" customHeight="1" x14ac:dyDescent="0.2">
      <c r="A39" s="14" t="str">
        <f>"parlor_"&amp;VLOOKUP(F39, Factor!$CO$4:$CR$10, 4, 0)&amp;D39&amp;"_"&amp;VLOOKUP(E39, Factor!$CS$4:$CT$13, 2, 0)</f>
        <v>parlor_Trans_Pass_T2_002</v>
      </c>
      <c r="B39" s="15" t="str">
        <f t="shared" si="0"/>
        <v>T2 경량 인원 수송 칸</v>
      </c>
      <c r="C39" s="15">
        <f>VLOOKUP(D39, Factor!$AM$41:$AN$50, 2, 0)</f>
        <v>10000</v>
      </c>
      <c r="D39" s="15" t="s">
        <v>298</v>
      </c>
      <c r="E39" s="56" t="s">
        <v>585</v>
      </c>
      <c r="F39" s="56" t="s">
        <v>701</v>
      </c>
      <c r="G39" s="15" t="str">
        <f t="shared" si="1"/>
        <v>경량 인원 수송 칸</v>
      </c>
      <c r="H39" s="15" t="str">
        <f>VLOOKUP(F39, Factor!$CO$4:$CR$10, 2, 0)</f>
        <v>인원수송</v>
      </c>
      <c r="I39" s="15" t="str">
        <f>VLOOKUP(F39, Factor!$CO$4:$CR$10, 3, 0)</f>
        <v>null</v>
      </c>
      <c r="J39" s="15">
        <v>1</v>
      </c>
      <c r="K39" s="15">
        <v>1</v>
      </c>
      <c r="L39" s="15">
        <v>1</v>
      </c>
      <c r="M39" s="15">
        <v>1</v>
      </c>
      <c r="N39" s="15">
        <v>1</v>
      </c>
      <c r="O39" s="15" cm="1">
        <f t="array" ref="O39">J39*VLOOKUP($H39, Factor!$AN$4:$AS$36, 2, 0)*INDEX(Factor!$AN$41:$AS$87, _xlfn.XMATCH($C39, Factor!$AN$41:$AN$87, -1), 2)*IFERROR(VLOOKUP($I39, Factor!$AU$4:$AX$9, 2, 0),1)</f>
        <v>0</v>
      </c>
      <c r="P39" s="15" cm="1">
        <f t="array" ref="P39">K39*VLOOKUP($H39, Factor!$AN$4:$AS$36, 3, 0)*INDEX(Factor!$AN$41:$AS$87, _xlfn.XMATCH($C39, Factor!$AN$41:$AN$87, -1), 3)*IFERROR(VLOOKUP($I39, Factor!$AU$4:$AX$9, 3, 0),1)</f>
        <v>0</v>
      </c>
      <c r="Q39" s="15" cm="1">
        <f t="array" ref="Q39">L39*VLOOKUP($H39, Factor!$AN$4:$AS$36, 4, 0)*INDEX(Factor!$AN$41:$AS$87, _xlfn.XMATCH($C39, Factor!$AN$41:$AN$87, -1), 4)</f>
        <v>0</v>
      </c>
      <c r="R39" s="15" cm="1">
        <f t="array" ref="R39">M39*VLOOKUP($H39, Factor!$AN$4:$AS$36, 5, 0)*INDEX(Factor!$AN$41:$AS$87, _xlfn.XMATCH($C39, Factor!$AN$41:$AN$87, -1), 5)</f>
        <v>4.8</v>
      </c>
      <c r="S39" s="15" cm="1">
        <f t="array" ref="S39">N39*VLOOKUP($H39, Factor!$AN$4:$AS$36, 6, 0)*INDEX(Factor!$AN$41:$AS$87, _xlfn.XMATCH($C39, Factor!$AN$41:$AN$87, -1), 6)*IFERROR(VLOOKUP($I39, Factor!$AU$4:$AX$9, 4, 0),1)</f>
        <v>1200</v>
      </c>
      <c r="T39" s="16"/>
    </row>
    <row r="40" spans="1:20" ht="15.75" customHeight="1" x14ac:dyDescent="0.2">
      <c r="A40" s="17" t="str">
        <f>"parlor_"&amp;VLOOKUP(F40, Factor!$CO$4:$CR$10, 4, 0)&amp;D40&amp;"_"&amp;VLOOKUP(E40, Factor!$CS$4:$CT$13, 2, 0)</f>
        <v>parlor_Prod_Food_T2_003</v>
      </c>
      <c r="B40" s="18" t="str">
        <f t="shared" si="0"/>
        <v>T2 대형 스마트팜</v>
      </c>
      <c r="C40" s="18">
        <f>VLOOKUP(D40, Factor!$AM$41:$AN$50, 2, 0)</f>
        <v>10000</v>
      </c>
      <c r="D40" s="18" t="s">
        <v>298</v>
      </c>
      <c r="E40" s="55" t="s">
        <v>583</v>
      </c>
      <c r="F40" s="55" t="s">
        <v>695</v>
      </c>
      <c r="G40" s="18" t="str">
        <f t="shared" si="1"/>
        <v>대형 스마트팜</v>
      </c>
      <c r="H40" s="18" t="str">
        <f>VLOOKUP(F40, Factor!$CO$4:$CR$10, 2, 0)</f>
        <v>생산</v>
      </c>
      <c r="I40" s="18" t="str">
        <f>VLOOKUP(F40, Factor!$CO$4:$CR$10, 3, 0)</f>
        <v>food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 cm="1">
        <f t="array" ref="O40">J40*VLOOKUP($H40, Factor!$AN$4:$AS$36, 2, 0)*INDEX(Factor!$AN$41:$AS$87, _xlfn.XMATCH($C40, Factor!$AN$41:$AN$87, -1), 2)*IFERROR(VLOOKUP($I40, Factor!$AU$4:$AX$9, 2, 0),1)</f>
        <v>12</v>
      </c>
      <c r="P40" s="18" cm="1">
        <f t="array" ref="P40">K40*VLOOKUP($H40, Factor!$AN$4:$AS$36, 3, 0)*INDEX(Factor!$AN$41:$AS$87, _xlfn.XMATCH($C40, Factor!$AN$41:$AN$87, -1), 3)*IFERROR(VLOOKUP($I40, Factor!$AU$4:$AX$9, 3, 0),1)</f>
        <v>0</v>
      </c>
      <c r="Q40" s="18" cm="1">
        <f t="array" ref="Q40">L40*VLOOKUP($H40, Factor!$AN$4:$AS$36, 4, 0)*INDEX(Factor!$AN$41:$AS$87, _xlfn.XMATCH($C40, Factor!$AN$41:$AN$87, -1), 4)</f>
        <v>1.2</v>
      </c>
      <c r="R40" s="18" cm="1">
        <f t="array" ref="R40">M40*VLOOKUP($H40, Factor!$AN$4:$AS$36, 5, 0)*INDEX(Factor!$AN$41:$AS$87, _xlfn.XMATCH($C40, Factor!$AN$41:$AN$87, -1), 5)</f>
        <v>1.2</v>
      </c>
      <c r="S40" s="18" cm="1">
        <f t="array" ref="S40">N40*VLOOKUP($H40, Factor!$AN$4:$AS$36, 6, 0)*INDEX(Factor!$AN$41:$AS$87, _xlfn.XMATCH($C40, Factor!$AN$41:$AN$87, -1), 6)*IFERROR(VLOOKUP($I40, Factor!$AU$4:$AX$9, 4, 0),1)</f>
        <v>6000</v>
      </c>
      <c r="T40" s="19"/>
    </row>
    <row r="41" spans="1:20" ht="15.75" customHeight="1" x14ac:dyDescent="0.2">
      <c r="A41" s="14" t="str">
        <f>"parlor_"&amp;VLOOKUP(F41, Factor!$CO$4:$CR$10, 4, 0)&amp;D41&amp;"_"&amp;VLOOKUP(E41, Factor!$CS$4:$CT$13, 2, 0)</f>
        <v>parlor_Indu_Ammo_T2_003</v>
      </c>
      <c r="B41" s="15" t="str">
        <f t="shared" si="0"/>
        <v>T2 대형 탄약공장</v>
      </c>
      <c r="C41" s="15">
        <f>VLOOKUP(D41, Factor!$AM$41:$AN$50, 2, 0)</f>
        <v>10000</v>
      </c>
      <c r="D41" s="15" t="s">
        <v>298</v>
      </c>
      <c r="E41" s="56" t="s">
        <v>583</v>
      </c>
      <c r="F41" s="56" t="s">
        <v>696</v>
      </c>
      <c r="G41" s="15" t="str">
        <f t="shared" si="1"/>
        <v>대형 탄약공장</v>
      </c>
      <c r="H41" s="15" t="str">
        <f>VLOOKUP(F41, Factor!$CO$4:$CR$10, 2, 0)</f>
        <v>공업</v>
      </c>
      <c r="I41" s="15" t="str">
        <f>VLOOKUP(F41, Factor!$CO$4:$CR$10, 3, 0)</f>
        <v>ammo</v>
      </c>
      <c r="J41" s="15">
        <v>1</v>
      </c>
      <c r="K41" s="15">
        <v>1</v>
      </c>
      <c r="L41" s="15">
        <v>1</v>
      </c>
      <c r="M41" s="15">
        <v>1</v>
      </c>
      <c r="N41" s="15">
        <v>1</v>
      </c>
      <c r="O41" s="15" cm="1">
        <f t="array" ref="O41">J41*VLOOKUP($H41, Factor!$AN$4:$AS$36, 2, 0)*INDEX(Factor!$AN$41:$AS$87, _xlfn.XMATCH($C41, Factor!$AN$41:$AN$87, -1), 2)*IFERROR(VLOOKUP($I41, Factor!$AU$4:$AX$9, 2, 0),1)</f>
        <v>0</v>
      </c>
      <c r="P41" s="15" cm="1">
        <f t="array" ref="P41">K41*VLOOKUP($H41, Factor!$AN$4:$AS$36, 3, 0)*INDEX(Factor!$AN$41:$AS$87, _xlfn.XMATCH($C41, Factor!$AN$41:$AN$87, -1), 3)*IFERROR(VLOOKUP($I41, Factor!$AU$4:$AX$9, 3, 0),1)</f>
        <v>12</v>
      </c>
      <c r="Q41" s="15" cm="1">
        <f t="array" ref="Q41">L41*VLOOKUP($H41, Factor!$AN$4:$AS$36, 4, 0)*INDEX(Factor!$AN$41:$AS$87, _xlfn.XMATCH($C41, Factor!$AN$41:$AN$87, -1), 4)</f>
        <v>0</v>
      </c>
      <c r="R41" s="15" cm="1">
        <f t="array" ref="R41">M41*VLOOKUP($H41, Factor!$AN$4:$AS$36, 5, 0)*INDEX(Factor!$AN$41:$AS$87, _xlfn.XMATCH($C41, Factor!$AN$41:$AN$87, -1), 5)</f>
        <v>0</v>
      </c>
      <c r="S41" s="15" cm="1">
        <f t="array" ref="S41">N41*VLOOKUP($H41, Factor!$AN$4:$AS$36, 6, 0)*INDEX(Factor!$AN$41:$AS$87, _xlfn.XMATCH($C41, Factor!$AN$41:$AN$87, -1), 6)*IFERROR(VLOOKUP($I41, Factor!$AU$4:$AX$9, 4, 0),1)</f>
        <v>6000</v>
      </c>
      <c r="T41" s="16"/>
    </row>
    <row r="42" spans="1:20" ht="15.75" customHeight="1" x14ac:dyDescent="0.2">
      <c r="A42" s="17" t="str">
        <f>"parlor_"&amp;VLOOKUP(F42, Factor!$CO$4:$CR$10, 4, 0)&amp;D42&amp;"_"&amp;VLOOKUP(E42, Factor!$CS$4:$CT$13, 2, 0)</f>
        <v>parlor_Indu_Shell_T2_003</v>
      </c>
      <c r="B42" s="18" t="str">
        <f t="shared" si="0"/>
        <v>T2 대형 포탄공장</v>
      </c>
      <c r="C42" s="18">
        <f>VLOOKUP(D42, Factor!$AM$41:$AN$50, 2, 0)</f>
        <v>10000</v>
      </c>
      <c r="D42" s="18" t="s">
        <v>298</v>
      </c>
      <c r="E42" s="55" t="s">
        <v>583</v>
      </c>
      <c r="F42" s="55" t="s">
        <v>697</v>
      </c>
      <c r="G42" s="18" t="str">
        <f t="shared" si="1"/>
        <v>대형 포탄공장</v>
      </c>
      <c r="H42" s="18" t="str">
        <f>VLOOKUP(F42, Factor!$CO$4:$CR$10, 2, 0)</f>
        <v>공업</v>
      </c>
      <c r="I42" s="18" t="str">
        <f>VLOOKUP(F42, Factor!$CO$4:$CR$10, 3, 0)</f>
        <v>shell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 cm="1">
        <f t="array" ref="O42">J42*VLOOKUP($H42, Factor!$AN$4:$AS$36, 2, 0)*INDEX(Factor!$AN$41:$AS$87, _xlfn.XMATCH($C42, Factor!$AN$41:$AN$87, -1), 2)*IFERROR(VLOOKUP($I42, Factor!$AU$4:$AX$9, 2, 0),1)</f>
        <v>0</v>
      </c>
      <c r="P42" s="18" cm="1">
        <f t="array" ref="P42">K42*VLOOKUP($H42, Factor!$AN$4:$AS$36, 3, 0)*INDEX(Factor!$AN$41:$AS$87, _xlfn.XMATCH($C42, Factor!$AN$41:$AN$87, -1), 3)*IFERROR(VLOOKUP($I42, Factor!$AU$4:$AX$9, 3, 0),1)</f>
        <v>6</v>
      </c>
      <c r="Q42" s="18" cm="1">
        <f t="array" ref="Q42">L42*VLOOKUP($H42, Factor!$AN$4:$AS$36, 4, 0)*INDEX(Factor!$AN$41:$AS$87, _xlfn.XMATCH($C42, Factor!$AN$41:$AN$87, -1), 4)</f>
        <v>0</v>
      </c>
      <c r="R42" s="18" cm="1">
        <f t="array" ref="R42">M42*VLOOKUP($H42, Factor!$AN$4:$AS$36, 5, 0)*INDEX(Factor!$AN$41:$AS$87, _xlfn.XMATCH($C42, Factor!$AN$41:$AN$87, -1), 5)</f>
        <v>0</v>
      </c>
      <c r="S42" s="18" cm="1">
        <f t="array" ref="S42">N42*VLOOKUP($H42, Factor!$AN$4:$AS$36, 6, 0)*INDEX(Factor!$AN$41:$AS$87, _xlfn.XMATCH($C42, Factor!$AN$41:$AN$87, -1), 6)*IFERROR(VLOOKUP($I42, Factor!$AU$4:$AX$9, 4, 0),1)</f>
        <v>7200</v>
      </c>
      <c r="T42" s="19"/>
    </row>
    <row r="43" spans="1:20" ht="15.75" customHeight="1" x14ac:dyDescent="0.2">
      <c r="A43" s="14" t="str">
        <f>"parlor_"&amp;VLOOKUP(F43, Factor!$CO$4:$CR$10, 4, 0)&amp;D43&amp;"_"&amp;VLOOKUP(E43, Factor!$CS$4:$CT$13, 2, 0)</f>
        <v>parlor_Indu_Missile_T2_003</v>
      </c>
      <c r="B43" s="15" t="str">
        <f t="shared" si="0"/>
        <v>T2 대형 미사일공장</v>
      </c>
      <c r="C43" s="15">
        <f>VLOOKUP(D43, Factor!$AM$41:$AN$50, 2, 0)</f>
        <v>10000</v>
      </c>
      <c r="D43" s="15" t="s">
        <v>298</v>
      </c>
      <c r="E43" s="56" t="s">
        <v>583</v>
      </c>
      <c r="F43" s="56" t="s">
        <v>698</v>
      </c>
      <c r="G43" s="15" t="str">
        <f t="shared" si="1"/>
        <v>대형 미사일공장</v>
      </c>
      <c r="H43" s="15" t="str">
        <f>VLOOKUP(F43, Factor!$CO$4:$CR$10, 2, 0)</f>
        <v>공업</v>
      </c>
      <c r="I43" s="15" t="str">
        <f>VLOOKUP(F43, Factor!$CO$4:$CR$10, 3, 0)</f>
        <v>missile</v>
      </c>
      <c r="J43" s="15">
        <v>1</v>
      </c>
      <c r="K43" s="15">
        <v>1</v>
      </c>
      <c r="L43" s="15">
        <v>1</v>
      </c>
      <c r="M43" s="15">
        <v>1</v>
      </c>
      <c r="N43" s="15">
        <v>1</v>
      </c>
      <c r="O43" s="15" cm="1">
        <f t="array" ref="O43">J43*VLOOKUP($H43, Factor!$AN$4:$AS$36, 2, 0)*INDEX(Factor!$AN$41:$AS$87, _xlfn.XMATCH($C43, Factor!$AN$41:$AN$87, -1), 2)*IFERROR(VLOOKUP($I43, Factor!$AU$4:$AX$9, 2, 0),1)</f>
        <v>0</v>
      </c>
      <c r="P43" s="15" cm="1">
        <f t="array" ref="P43">K43*VLOOKUP($H43, Factor!$AN$4:$AS$36, 3, 0)*INDEX(Factor!$AN$41:$AS$87, _xlfn.XMATCH($C43, Factor!$AN$41:$AN$87, -1), 3)*IFERROR(VLOOKUP($I43, Factor!$AU$4:$AX$9, 3, 0),1)</f>
        <v>2.4</v>
      </c>
      <c r="Q43" s="15" cm="1">
        <f t="array" ref="Q43">L43*VLOOKUP($H43, Factor!$AN$4:$AS$36, 4, 0)*INDEX(Factor!$AN$41:$AS$87, _xlfn.XMATCH($C43, Factor!$AN$41:$AN$87, -1), 4)</f>
        <v>0</v>
      </c>
      <c r="R43" s="15" cm="1">
        <f t="array" ref="R43">M43*VLOOKUP($H43, Factor!$AN$4:$AS$36, 5, 0)*INDEX(Factor!$AN$41:$AS$87, _xlfn.XMATCH($C43, Factor!$AN$41:$AN$87, -1), 5)</f>
        <v>0</v>
      </c>
      <c r="S43" s="15" cm="1">
        <f t="array" ref="S43">N43*VLOOKUP($H43, Factor!$AN$4:$AS$36, 6, 0)*INDEX(Factor!$AN$41:$AS$87, _xlfn.XMATCH($C43, Factor!$AN$41:$AN$87, -1), 6)*IFERROR(VLOOKUP($I43, Factor!$AU$4:$AX$9, 4, 0),1)</f>
        <v>7800</v>
      </c>
      <c r="T43" s="16"/>
    </row>
    <row r="44" spans="1:20" ht="15.75" customHeight="1" x14ac:dyDescent="0.2">
      <c r="A44" s="17" t="str">
        <f>"parlor_"&amp;VLOOKUP(F44, Factor!$CO$4:$CR$10, 4, 0)&amp;D44&amp;"_"&amp;VLOOKUP(E44, Factor!$CS$4:$CT$13, 2, 0)</f>
        <v>parlor_Indu_Siecleium_T2_003</v>
      </c>
      <c r="B44" s="18" t="str">
        <f t="shared" si="0"/>
        <v>T2 대형 서클리움 정제소</v>
      </c>
      <c r="C44" s="18">
        <f>VLOOKUP(D44, Factor!$AM$41:$AN$50, 2, 0)</f>
        <v>10000</v>
      </c>
      <c r="D44" s="18" t="s">
        <v>298</v>
      </c>
      <c r="E44" s="55" t="s">
        <v>583</v>
      </c>
      <c r="F44" s="55" t="s">
        <v>699</v>
      </c>
      <c r="G44" s="18" t="str">
        <f t="shared" si="1"/>
        <v>대형 서클리움 정제소</v>
      </c>
      <c r="H44" s="18" t="str">
        <f>VLOOKUP(F44, Factor!$CO$4:$CR$10, 2, 0)</f>
        <v>공업</v>
      </c>
      <c r="I44" s="18" t="str">
        <f>VLOOKUP(F44, Factor!$CO$4:$CR$10, 3, 0)</f>
        <v>siecleium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 cm="1">
        <f t="array" ref="O44">J44*VLOOKUP($H44, Factor!$AN$4:$AS$36, 2, 0)*INDEX(Factor!$AN$41:$AS$87, _xlfn.XMATCH($C44, Factor!$AN$41:$AN$87, -1), 2)*IFERROR(VLOOKUP($I44, Factor!$AU$4:$AX$9, 2, 0),1)</f>
        <v>0</v>
      </c>
      <c r="P44" s="18" cm="1">
        <f t="array" ref="P44">K44*VLOOKUP($H44, Factor!$AN$4:$AS$36, 3, 0)*INDEX(Factor!$AN$41:$AS$87, _xlfn.XMATCH($C44, Factor!$AN$41:$AN$87, -1), 3)*IFERROR(VLOOKUP($I44, Factor!$AU$4:$AX$9, 3, 0),1)</f>
        <v>12</v>
      </c>
      <c r="Q44" s="18" cm="1">
        <f t="array" ref="Q44">L44*VLOOKUP($H44, Factor!$AN$4:$AS$36, 4, 0)*INDEX(Factor!$AN$41:$AS$87, _xlfn.XMATCH($C44, Factor!$AN$41:$AN$87, -1), 4)</f>
        <v>0</v>
      </c>
      <c r="R44" s="18" cm="1">
        <f t="array" ref="R44">M44*VLOOKUP($H44, Factor!$AN$4:$AS$36, 5, 0)*INDEX(Factor!$AN$41:$AS$87, _xlfn.XMATCH($C44, Factor!$AN$41:$AN$87, -1), 5)</f>
        <v>0</v>
      </c>
      <c r="S44" s="18" cm="1">
        <f t="array" ref="S44">N44*VLOOKUP($H44, Factor!$AN$4:$AS$36, 6, 0)*INDEX(Factor!$AN$41:$AS$87, _xlfn.XMATCH($C44, Factor!$AN$41:$AN$87, -1), 6)*IFERROR(VLOOKUP($I44, Factor!$AU$4:$AX$9, 4, 0),1)</f>
        <v>6000</v>
      </c>
      <c r="T44" s="19"/>
    </row>
    <row r="45" spans="1:20" ht="15.75" customHeight="1" x14ac:dyDescent="0.2">
      <c r="A45" s="14" t="str">
        <f>"parlor_"&amp;VLOOKUP(F45, Factor!$CO$4:$CR$10, 4, 0)&amp;D45&amp;"_"&amp;VLOOKUP(E45, Factor!$CS$4:$CT$13, 2, 0)</f>
        <v>parlor_Trans_Inven_T2_003</v>
      </c>
      <c r="B45" s="15" t="str">
        <f t="shared" si="0"/>
        <v>T2 대형 화물 수송 칸</v>
      </c>
      <c r="C45" s="15">
        <f>VLOOKUP(D45, Factor!$AM$41:$AN$50, 2, 0)</f>
        <v>10000</v>
      </c>
      <c r="D45" s="15" t="s">
        <v>298</v>
      </c>
      <c r="E45" s="56" t="s">
        <v>583</v>
      </c>
      <c r="F45" s="56" t="s">
        <v>700</v>
      </c>
      <c r="G45" s="15" t="str">
        <f t="shared" si="1"/>
        <v>대형 화물 수송 칸</v>
      </c>
      <c r="H45" s="15" t="str">
        <f>VLOOKUP(F45, Factor!$CO$4:$CR$10, 2, 0)</f>
        <v>물자수송</v>
      </c>
      <c r="I45" s="15" t="str">
        <f>VLOOKUP(F45, Factor!$CO$4:$CR$10, 3, 0)</f>
        <v>null</v>
      </c>
      <c r="J45" s="15">
        <v>1</v>
      </c>
      <c r="K45" s="15">
        <v>1</v>
      </c>
      <c r="L45" s="15">
        <v>1</v>
      </c>
      <c r="M45" s="15">
        <v>1</v>
      </c>
      <c r="N45" s="15">
        <v>1</v>
      </c>
      <c r="O45" s="15" cm="1">
        <f t="array" ref="O45">J45*VLOOKUP($H45, Factor!$AN$4:$AS$36, 2, 0)*INDEX(Factor!$AN$41:$AS$87, _xlfn.XMATCH($C45, Factor!$AN$41:$AN$87, -1), 2)*IFERROR(VLOOKUP($I45, Factor!$AU$4:$AX$9, 2, 0),1)</f>
        <v>0</v>
      </c>
      <c r="P45" s="15" cm="1">
        <f t="array" ref="P45">K45*VLOOKUP($H45, Factor!$AN$4:$AS$36, 3, 0)*INDEX(Factor!$AN$41:$AS$87, _xlfn.XMATCH($C45, Factor!$AN$41:$AN$87, -1), 3)*IFERROR(VLOOKUP($I45, Factor!$AU$4:$AX$9, 3, 0),1)</f>
        <v>0</v>
      </c>
      <c r="Q45" s="15" cm="1">
        <f t="array" ref="Q45">L45*VLOOKUP($H45, Factor!$AN$4:$AS$36, 4, 0)*INDEX(Factor!$AN$41:$AS$87, _xlfn.XMATCH($C45, Factor!$AN$41:$AN$87, -1), 4)</f>
        <v>2.4</v>
      </c>
      <c r="R45" s="15" cm="1">
        <f t="array" ref="R45">M45*VLOOKUP($H45, Factor!$AN$4:$AS$36, 5, 0)*INDEX(Factor!$AN$41:$AS$87, _xlfn.XMATCH($C45, Factor!$AN$41:$AN$87, -1), 5)</f>
        <v>0</v>
      </c>
      <c r="S45" s="15" cm="1">
        <f t="array" ref="S45">N45*VLOOKUP($H45, Factor!$AN$4:$AS$36, 6, 0)*INDEX(Factor!$AN$41:$AS$87, _xlfn.XMATCH($C45, Factor!$AN$41:$AN$87, -1), 6)*IFERROR(VLOOKUP($I45, Factor!$AU$4:$AX$9, 4, 0),1)</f>
        <v>2400</v>
      </c>
      <c r="T45" s="16"/>
    </row>
    <row r="46" spans="1:20" ht="15.75" customHeight="1" x14ac:dyDescent="0.2">
      <c r="A46" s="17" t="str">
        <f>"parlor_"&amp;VLOOKUP(F46, Factor!$CO$4:$CR$10, 4, 0)&amp;D46&amp;"_"&amp;VLOOKUP(E46, Factor!$CS$4:$CT$13, 2, 0)</f>
        <v>parlor_Trans_Pass_T2_003</v>
      </c>
      <c r="B46" s="18" t="str">
        <f t="shared" si="0"/>
        <v>T2 대형 인원 수송 칸</v>
      </c>
      <c r="C46" s="18">
        <f>VLOOKUP(D46, Factor!$AM$41:$AN$50, 2, 0)</f>
        <v>10000</v>
      </c>
      <c r="D46" s="18" t="s">
        <v>298</v>
      </c>
      <c r="E46" s="55" t="s">
        <v>583</v>
      </c>
      <c r="F46" s="55" t="s">
        <v>701</v>
      </c>
      <c r="G46" s="18" t="str">
        <f t="shared" si="1"/>
        <v>대형 인원 수송 칸</v>
      </c>
      <c r="H46" s="18" t="str">
        <f>VLOOKUP(F46, Factor!$CO$4:$CR$10, 2, 0)</f>
        <v>인원수송</v>
      </c>
      <c r="I46" s="18" t="str">
        <f>VLOOKUP(F46, Factor!$CO$4:$CR$10, 3, 0)</f>
        <v>null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 cm="1">
        <f t="array" ref="O46">J46*VLOOKUP($H46, Factor!$AN$4:$AS$36, 2, 0)*INDEX(Factor!$AN$41:$AS$87, _xlfn.XMATCH($C46, Factor!$AN$41:$AN$87, -1), 2)*IFERROR(VLOOKUP($I46, Factor!$AU$4:$AX$9, 2, 0),1)</f>
        <v>0</v>
      </c>
      <c r="P46" s="18" cm="1">
        <f t="array" ref="P46">K46*VLOOKUP($H46, Factor!$AN$4:$AS$36, 3, 0)*INDEX(Factor!$AN$41:$AS$87, _xlfn.XMATCH($C46, Factor!$AN$41:$AN$87, -1), 3)*IFERROR(VLOOKUP($I46, Factor!$AU$4:$AX$9, 3, 0),1)</f>
        <v>0</v>
      </c>
      <c r="Q46" s="18" cm="1">
        <f t="array" ref="Q46">L46*VLOOKUP($H46, Factor!$AN$4:$AS$36, 4, 0)*INDEX(Factor!$AN$41:$AS$87, _xlfn.XMATCH($C46, Factor!$AN$41:$AN$87, -1), 4)</f>
        <v>0</v>
      </c>
      <c r="R46" s="18" cm="1">
        <f t="array" ref="R46">M46*VLOOKUP($H46, Factor!$AN$4:$AS$36, 5, 0)*INDEX(Factor!$AN$41:$AS$87, _xlfn.XMATCH($C46, Factor!$AN$41:$AN$87, -1), 5)</f>
        <v>4.8</v>
      </c>
      <c r="S46" s="18" cm="1">
        <f t="array" ref="S46">N46*VLOOKUP($H46, Factor!$AN$4:$AS$36, 6, 0)*INDEX(Factor!$AN$41:$AS$87, _xlfn.XMATCH($C46, Factor!$AN$41:$AN$87, -1), 6)*IFERROR(VLOOKUP($I46, Factor!$AU$4:$AX$9, 4, 0),1)</f>
        <v>1200</v>
      </c>
      <c r="T46" s="19"/>
    </row>
    <row r="47" spans="1:20" ht="15.75" customHeight="1" x14ac:dyDescent="0.2">
      <c r="A47" s="14" t="str">
        <f>"parlor_"&amp;VLOOKUP(F47, Factor!$CO$4:$CR$10, 4, 0)&amp;D47&amp;"_"&amp;VLOOKUP(E47, Factor!$CS$4:$CT$13, 2, 0)</f>
        <v>parlor_Prod_Food_T3_001</v>
      </c>
      <c r="B47" s="15" t="str">
        <f t="shared" si="0"/>
        <v>T3 표준 스마트팜</v>
      </c>
      <c r="C47" s="15">
        <f>VLOOKUP(D47, Factor!$AM$41:$AN$50, 2, 0)</f>
        <v>15000</v>
      </c>
      <c r="D47" s="15" t="s">
        <v>321</v>
      </c>
      <c r="E47" s="56" t="s">
        <v>582</v>
      </c>
      <c r="F47" s="56" t="s">
        <v>695</v>
      </c>
      <c r="G47" s="15" t="str">
        <f t="shared" si="1"/>
        <v>표준 스마트팜</v>
      </c>
      <c r="H47" s="15" t="str">
        <f>VLOOKUP(F47, Factor!$CO$4:$CR$10, 2, 0)</f>
        <v>생산</v>
      </c>
      <c r="I47" s="15" t="str">
        <f>VLOOKUP(F47, Factor!$CO$4:$CR$10, 3, 0)</f>
        <v>food</v>
      </c>
      <c r="J47" s="15">
        <v>1</v>
      </c>
      <c r="K47" s="15">
        <v>1</v>
      </c>
      <c r="L47" s="15">
        <v>1</v>
      </c>
      <c r="M47" s="15">
        <v>1</v>
      </c>
      <c r="N47" s="15">
        <v>1</v>
      </c>
      <c r="O47" s="15" cm="1">
        <f t="array" ref="O47">J47*VLOOKUP($H47, Factor!$AN$4:$AS$36, 2, 0)*INDEX(Factor!$AN$41:$AS$87, _xlfn.XMATCH($C47, Factor!$AN$41:$AN$87, -1), 2)*IFERROR(VLOOKUP($I47, Factor!$AU$4:$AX$9, 2, 0),1)</f>
        <v>14</v>
      </c>
      <c r="P47" s="15" cm="1">
        <f t="array" ref="P47">K47*VLOOKUP($H47, Factor!$AN$4:$AS$36, 3, 0)*INDEX(Factor!$AN$41:$AS$87, _xlfn.XMATCH($C47, Factor!$AN$41:$AN$87, -1), 3)*IFERROR(VLOOKUP($I47, Factor!$AU$4:$AX$9, 3, 0),1)</f>
        <v>0</v>
      </c>
      <c r="Q47" s="15" cm="1">
        <f t="array" ref="Q47">L47*VLOOKUP($H47, Factor!$AN$4:$AS$36, 4, 0)*INDEX(Factor!$AN$41:$AS$87, _xlfn.XMATCH($C47, Factor!$AN$41:$AN$87, -1), 4)</f>
        <v>1.4</v>
      </c>
      <c r="R47" s="15" cm="1">
        <f t="array" ref="R47">M47*VLOOKUP($H47, Factor!$AN$4:$AS$36, 5, 0)*INDEX(Factor!$AN$41:$AS$87, _xlfn.XMATCH($C47, Factor!$AN$41:$AN$87, -1), 5)</f>
        <v>1.4</v>
      </c>
      <c r="S47" s="15" cm="1">
        <f t="array" ref="S47">N47*VLOOKUP($H47, Factor!$AN$4:$AS$36, 6, 0)*INDEX(Factor!$AN$41:$AS$87, _xlfn.XMATCH($C47, Factor!$AN$41:$AN$87, -1), 6)*IFERROR(VLOOKUP($I47, Factor!$AU$4:$AX$9, 4, 0),1)</f>
        <v>7000</v>
      </c>
      <c r="T47" s="16"/>
    </row>
    <row r="48" spans="1:20" ht="15.75" customHeight="1" x14ac:dyDescent="0.2">
      <c r="A48" s="17" t="str">
        <f>"parlor_"&amp;VLOOKUP(F48, Factor!$CO$4:$CR$10, 4, 0)&amp;D48&amp;"_"&amp;VLOOKUP(E48, Factor!$CS$4:$CT$13, 2, 0)</f>
        <v>parlor_Indu_Ammo_T3_001</v>
      </c>
      <c r="B48" s="18" t="str">
        <f t="shared" si="0"/>
        <v>T3 표준 탄약공장</v>
      </c>
      <c r="C48" s="18">
        <f>VLOOKUP(D48, Factor!$AM$41:$AN$50, 2, 0)</f>
        <v>15000</v>
      </c>
      <c r="D48" s="18" t="s">
        <v>321</v>
      </c>
      <c r="E48" s="55" t="s">
        <v>582</v>
      </c>
      <c r="F48" s="55" t="s">
        <v>696</v>
      </c>
      <c r="G48" s="18" t="str">
        <f t="shared" si="1"/>
        <v>표준 탄약공장</v>
      </c>
      <c r="H48" s="18" t="str">
        <f>VLOOKUP(F48, Factor!$CO$4:$CR$10, 2, 0)</f>
        <v>공업</v>
      </c>
      <c r="I48" s="18" t="str">
        <f>VLOOKUP(F48, Factor!$CO$4:$CR$10, 3, 0)</f>
        <v>ammo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 cm="1">
        <f t="array" ref="O48">J48*VLOOKUP($H48, Factor!$AN$4:$AS$36, 2, 0)*INDEX(Factor!$AN$41:$AS$87, _xlfn.XMATCH($C48, Factor!$AN$41:$AN$87, -1), 2)*IFERROR(VLOOKUP($I48, Factor!$AU$4:$AX$9, 2, 0),1)</f>
        <v>0</v>
      </c>
      <c r="P48" s="18" cm="1">
        <f t="array" ref="P48">K48*VLOOKUP($H48, Factor!$AN$4:$AS$36, 3, 0)*INDEX(Factor!$AN$41:$AS$87, _xlfn.XMATCH($C48, Factor!$AN$41:$AN$87, -1), 3)*IFERROR(VLOOKUP($I48, Factor!$AU$4:$AX$9, 3, 0),1)</f>
        <v>14</v>
      </c>
      <c r="Q48" s="18" cm="1">
        <f t="array" ref="Q48">L48*VLOOKUP($H48, Factor!$AN$4:$AS$36, 4, 0)*INDEX(Factor!$AN$41:$AS$87, _xlfn.XMATCH($C48, Factor!$AN$41:$AN$87, -1), 4)</f>
        <v>0</v>
      </c>
      <c r="R48" s="18" cm="1">
        <f t="array" ref="R48">M48*VLOOKUP($H48, Factor!$AN$4:$AS$36, 5, 0)*INDEX(Factor!$AN$41:$AS$87, _xlfn.XMATCH($C48, Factor!$AN$41:$AN$87, -1), 5)</f>
        <v>0</v>
      </c>
      <c r="S48" s="18" cm="1">
        <f t="array" ref="S48">N48*VLOOKUP($H48, Factor!$AN$4:$AS$36, 6, 0)*INDEX(Factor!$AN$41:$AS$87, _xlfn.XMATCH($C48, Factor!$AN$41:$AN$87, -1), 6)*IFERROR(VLOOKUP($I48, Factor!$AU$4:$AX$9, 4, 0),1)</f>
        <v>7000</v>
      </c>
      <c r="T48" s="19"/>
    </row>
    <row r="49" spans="1:20" ht="15.75" customHeight="1" x14ac:dyDescent="0.2">
      <c r="A49" s="14" t="str">
        <f>"parlor_"&amp;VLOOKUP(F49, Factor!$CO$4:$CR$10, 4, 0)&amp;D49&amp;"_"&amp;VLOOKUP(E49, Factor!$CS$4:$CT$13, 2, 0)</f>
        <v>parlor_Indu_Shell_T3_001</v>
      </c>
      <c r="B49" s="15" t="str">
        <f t="shared" si="0"/>
        <v>T3 표준 포탄공장</v>
      </c>
      <c r="C49" s="15">
        <f>VLOOKUP(D49, Factor!$AM$41:$AN$50, 2, 0)</f>
        <v>15000</v>
      </c>
      <c r="D49" s="15" t="s">
        <v>299</v>
      </c>
      <c r="E49" s="56" t="s">
        <v>582</v>
      </c>
      <c r="F49" s="56" t="s">
        <v>697</v>
      </c>
      <c r="G49" s="15" t="str">
        <f t="shared" si="1"/>
        <v>표준 포탄공장</v>
      </c>
      <c r="H49" s="15" t="str">
        <f>VLOOKUP(F49, Factor!$CO$4:$CR$10, 2, 0)</f>
        <v>공업</v>
      </c>
      <c r="I49" s="15" t="str">
        <f>VLOOKUP(F49, Factor!$CO$4:$CR$10, 3, 0)</f>
        <v>shell</v>
      </c>
      <c r="J49" s="15">
        <v>1</v>
      </c>
      <c r="K49" s="15">
        <v>1</v>
      </c>
      <c r="L49" s="15">
        <v>1</v>
      </c>
      <c r="M49" s="15">
        <v>1</v>
      </c>
      <c r="N49" s="15">
        <v>1</v>
      </c>
      <c r="O49" s="15" cm="1">
        <f t="array" ref="O49">J49*VLOOKUP($H49, Factor!$AN$4:$AS$36, 2, 0)*INDEX(Factor!$AN$41:$AS$87, _xlfn.XMATCH($C49, Factor!$AN$41:$AN$87, -1), 2)*IFERROR(VLOOKUP($I49, Factor!$AU$4:$AX$9, 2, 0),1)</f>
        <v>0</v>
      </c>
      <c r="P49" s="15" cm="1">
        <f t="array" ref="P49">K49*VLOOKUP($H49, Factor!$AN$4:$AS$36, 3, 0)*INDEX(Factor!$AN$41:$AS$87, _xlfn.XMATCH($C49, Factor!$AN$41:$AN$87, -1), 3)*IFERROR(VLOOKUP($I49, Factor!$AU$4:$AX$9, 3, 0),1)</f>
        <v>7</v>
      </c>
      <c r="Q49" s="15" cm="1">
        <f t="array" ref="Q49">L49*VLOOKUP($H49, Factor!$AN$4:$AS$36, 4, 0)*INDEX(Factor!$AN$41:$AS$87, _xlfn.XMATCH($C49, Factor!$AN$41:$AN$87, -1), 4)</f>
        <v>0</v>
      </c>
      <c r="R49" s="15" cm="1">
        <f t="array" ref="R49">M49*VLOOKUP($H49, Factor!$AN$4:$AS$36, 5, 0)*INDEX(Factor!$AN$41:$AS$87, _xlfn.XMATCH($C49, Factor!$AN$41:$AN$87, -1), 5)</f>
        <v>0</v>
      </c>
      <c r="S49" s="15" cm="1">
        <f t="array" ref="S49">N49*VLOOKUP($H49, Factor!$AN$4:$AS$36, 6, 0)*INDEX(Factor!$AN$41:$AS$87, _xlfn.XMATCH($C49, Factor!$AN$41:$AN$87, -1), 6)*IFERROR(VLOOKUP($I49, Factor!$AU$4:$AX$9, 4, 0),1)</f>
        <v>8400</v>
      </c>
      <c r="T49" s="16"/>
    </row>
    <row r="50" spans="1:20" ht="15.75" customHeight="1" x14ac:dyDescent="0.2">
      <c r="A50" s="17" t="str">
        <f>"parlor_"&amp;VLOOKUP(F50, Factor!$CO$4:$CR$10, 4, 0)&amp;D50&amp;"_"&amp;VLOOKUP(E50, Factor!$CS$4:$CT$13, 2, 0)</f>
        <v>parlor_Indu_Missile_T3_001</v>
      </c>
      <c r="B50" s="18" t="str">
        <f t="shared" si="0"/>
        <v>T3 표준 미사일공장</v>
      </c>
      <c r="C50" s="18">
        <f>VLOOKUP(D50, Factor!$AM$41:$AN$50, 2, 0)</f>
        <v>15000</v>
      </c>
      <c r="D50" s="18" t="s">
        <v>299</v>
      </c>
      <c r="E50" s="55" t="s">
        <v>582</v>
      </c>
      <c r="F50" s="55" t="s">
        <v>698</v>
      </c>
      <c r="G50" s="18" t="str">
        <f t="shared" si="1"/>
        <v>표준 미사일공장</v>
      </c>
      <c r="H50" s="18" t="str">
        <f>VLOOKUP(F50, Factor!$CO$4:$CR$10, 2, 0)</f>
        <v>공업</v>
      </c>
      <c r="I50" s="18" t="str">
        <f>VLOOKUP(F50, Factor!$CO$4:$CR$10, 3, 0)</f>
        <v>missile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 cm="1">
        <f t="array" ref="O50">J50*VLOOKUP($H50, Factor!$AN$4:$AS$36, 2, 0)*INDEX(Factor!$AN$41:$AS$87, _xlfn.XMATCH($C50, Factor!$AN$41:$AN$87, -1), 2)*IFERROR(VLOOKUP($I50, Factor!$AU$4:$AX$9, 2, 0),1)</f>
        <v>0</v>
      </c>
      <c r="P50" s="18" cm="1">
        <f t="array" ref="P50">K50*VLOOKUP($H50, Factor!$AN$4:$AS$36, 3, 0)*INDEX(Factor!$AN$41:$AS$87, _xlfn.XMATCH($C50, Factor!$AN$41:$AN$87, -1), 3)*IFERROR(VLOOKUP($I50, Factor!$AU$4:$AX$9, 3, 0),1)</f>
        <v>2.8</v>
      </c>
      <c r="Q50" s="18" cm="1">
        <f t="array" ref="Q50">L50*VLOOKUP($H50, Factor!$AN$4:$AS$36, 4, 0)*INDEX(Factor!$AN$41:$AS$87, _xlfn.XMATCH($C50, Factor!$AN$41:$AN$87, -1), 4)</f>
        <v>0</v>
      </c>
      <c r="R50" s="18" cm="1">
        <f t="array" ref="R50">M50*VLOOKUP($H50, Factor!$AN$4:$AS$36, 5, 0)*INDEX(Factor!$AN$41:$AS$87, _xlfn.XMATCH($C50, Factor!$AN$41:$AN$87, -1), 5)</f>
        <v>0</v>
      </c>
      <c r="S50" s="18" cm="1">
        <f t="array" ref="S50">N50*VLOOKUP($H50, Factor!$AN$4:$AS$36, 6, 0)*INDEX(Factor!$AN$41:$AS$87, _xlfn.XMATCH($C50, Factor!$AN$41:$AN$87, -1), 6)*IFERROR(VLOOKUP($I50, Factor!$AU$4:$AX$9, 4, 0),1)</f>
        <v>9100</v>
      </c>
      <c r="T50" s="19"/>
    </row>
    <row r="51" spans="1:20" ht="15.75" customHeight="1" x14ac:dyDescent="0.2">
      <c r="A51" s="14" t="str">
        <f>"parlor_"&amp;VLOOKUP(F51, Factor!$CO$4:$CR$10, 4, 0)&amp;D51&amp;"_"&amp;VLOOKUP(E51, Factor!$CS$4:$CT$13, 2, 0)</f>
        <v>parlor_Indu_Siecleium_T3_001</v>
      </c>
      <c r="B51" s="15" t="str">
        <f t="shared" si="0"/>
        <v>T3 표준 서클리움 정제소</v>
      </c>
      <c r="C51" s="15">
        <f>VLOOKUP(D51, Factor!$AM$41:$AN$50, 2, 0)</f>
        <v>15000</v>
      </c>
      <c r="D51" s="15" t="s">
        <v>299</v>
      </c>
      <c r="E51" s="56" t="s">
        <v>582</v>
      </c>
      <c r="F51" s="56" t="s">
        <v>699</v>
      </c>
      <c r="G51" s="15" t="str">
        <f t="shared" si="1"/>
        <v>표준 서클리움 정제소</v>
      </c>
      <c r="H51" s="15" t="str">
        <f>VLOOKUP(F51, Factor!$CO$4:$CR$10, 2, 0)</f>
        <v>공업</v>
      </c>
      <c r="I51" s="15" t="str">
        <f>VLOOKUP(F51, Factor!$CO$4:$CR$10, 3, 0)</f>
        <v>siecleium</v>
      </c>
      <c r="J51" s="15">
        <v>1</v>
      </c>
      <c r="K51" s="15">
        <v>1</v>
      </c>
      <c r="L51" s="15">
        <v>1</v>
      </c>
      <c r="M51" s="15">
        <v>1</v>
      </c>
      <c r="N51" s="15">
        <v>1</v>
      </c>
      <c r="O51" s="15" cm="1">
        <f t="array" ref="O51">J51*VLOOKUP($H51, Factor!$AN$4:$AS$36, 2, 0)*INDEX(Factor!$AN$41:$AS$87, _xlfn.XMATCH($C51, Factor!$AN$41:$AN$87, -1), 2)*IFERROR(VLOOKUP($I51, Factor!$AU$4:$AX$9, 2, 0),1)</f>
        <v>0</v>
      </c>
      <c r="P51" s="15" cm="1">
        <f t="array" ref="P51">K51*VLOOKUP($H51, Factor!$AN$4:$AS$36, 3, 0)*INDEX(Factor!$AN$41:$AS$87, _xlfn.XMATCH($C51, Factor!$AN$41:$AN$87, -1), 3)*IFERROR(VLOOKUP($I51, Factor!$AU$4:$AX$9, 3, 0),1)</f>
        <v>14</v>
      </c>
      <c r="Q51" s="15" cm="1">
        <f t="array" ref="Q51">L51*VLOOKUP($H51, Factor!$AN$4:$AS$36, 4, 0)*INDEX(Factor!$AN$41:$AS$87, _xlfn.XMATCH($C51, Factor!$AN$41:$AN$87, -1), 4)</f>
        <v>0</v>
      </c>
      <c r="R51" s="15" cm="1">
        <f t="array" ref="R51">M51*VLOOKUP($H51, Factor!$AN$4:$AS$36, 5, 0)*INDEX(Factor!$AN$41:$AS$87, _xlfn.XMATCH($C51, Factor!$AN$41:$AN$87, -1), 5)</f>
        <v>0</v>
      </c>
      <c r="S51" s="15" cm="1">
        <f t="array" ref="S51">N51*VLOOKUP($H51, Factor!$AN$4:$AS$36, 6, 0)*INDEX(Factor!$AN$41:$AS$87, _xlfn.XMATCH($C51, Factor!$AN$41:$AN$87, -1), 6)*IFERROR(VLOOKUP($I51, Factor!$AU$4:$AX$9, 4, 0),1)</f>
        <v>7000</v>
      </c>
      <c r="T51" s="16"/>
    </row>
    <row r="52" spans="1:20" ht="15.75" customHeight="1" x14ac:dyDescent="0.2">
      <c r="A52" s="17" t="str">
        <f>"parlor_"&amp;VLOOKUP(F52, Factor!$CO$4:$CR$10, 4, 0)&amp;D52&amp;"_"&amp;VLOOKUP(E52, Factor!$CS$4:$CT$13, 2, 0)</f>
        <v>parlor_Trans_Inven_T3_001</v>
      </c>
      <c r="B52" s="18" t="str">
        <f t="shared" si="0"/>
        <v>T3 표준 화물 수송 칸</v>
      </c>
      <c r="C52" s="18">
        <f>VLOOKUP(D52, Factor!$AM$41:$AN$50, 2, 0)</f>
        <v>15000</v>
      </c>
      <c r="D52" s="18" t="s">
        <v>299</v>
      </c>
      <c r="E52" s="55" t="s">
        <v>582</v>
      </c>
      <c r="F52" s="55" t="s">
        <v>700</v>
      </c>
      <c r="G52" s="18" t="str">
        <f t="shared" si="1"/>
        <v>표준 화물 수송 칸</v>
      </c>
      <c r="H52" s="18" t="str">
        <f>VLOOKUP(F52, Factor!$CO$4:$CR$10, 2, 0)</f>
        <v>물자수송</v>
      </c>
      <c r="I52" s="18" t="str">
        <f>VLOOKUP(F52, Factor!$CO$4:$CR$10, 3, 0)</f>
        <v>null</v>
      </c>
      <c r="J52" s="18">
        <v>1</v>
      </c>
      <c r="K52" s="18">
        <v>1</v>
      </c>
      <c r="L52" s="18">
        <v>1</v>
      </c>
      <c r="M52" s="18">
        <v>1</v>
      </c>
      <c r="N52" s="18">
        <v>1</v>
      </c>
      <c r="O52" s="18" cm="1">
        <f t="array" ref="O52">J52*VLOOKUP($H52, Factor!$AN$4:$AS$36, 2, 0)*INDEX(Factor!$AN$41:$AS$87, _xlfn.XMATCH($C52, Factor!$AN$41:$AN$87, -1), 2)*IFERROR(VLOOKUP($I52, Factor!$AU$4:$AX$9, 2, 0),1)</f>
        <v>0</v>
      </c>
      <c r="P52" s="18" cm="1">
        <f t="array" ref="P52">K52*VLOOKUP($H52, Factor!$AN$4:$AS$36, 3, 0)*INDEX(Factor!$AN$41:$AS$87, _xlfn.XMATCH($C52, Factor!$AN$41:$AN$87, -1), 3)*IFERROR(VLOOKUP($I52, Factor!$AU$4:$AX$9, 3, 0),1)</f>
        <v>0</v>
      </c>
      <c r="Q52" s="18" cm="1">
        <f t="array" ref="Q52">L52*VLOOKUP($H52, Factor!$AN$4:$AS$36, 4, 0)*INDEX(Factor!$AN$41:$AS$87, _xlfn.XMATCH($C52, Factor!$AN$41:$AN$87, -1), 4)</f>
        <v>2.8</v>
      </c>
      <c r="R52" s="18" cm="1">
        <f t="array" ref="R52">M52*VLOOKUP($H52, Factor!$AN$4:$AS$36, 5, 0)*INDEX(Factor!$AN$41:$AS$87, _xlfn.XMATCH($C52, Factor!$AN$41:$AN$87, -1), 5)</f>
        <v>0</v>
      </c>
      <c r="S52" s="18" cm="1">
        <f t="array" ref="S52">N52*VLOOKUP($H52, Factor!$AN$4:$AS$36, 6, 0)*INDEX(Factor!$AN$41:$AS$87, _xlfn.XMATCH($C52, Factor!$AN$41:$AN$87, -1), 6)*IFERROR(VLOOKUP($I52, Factor!$AU$4:$AX$9, 4, 0),1)</f>
        <v>2800</v>
      </c>
      <c r="T52" s="19"/>
    </row>
    <row r="53" spans="1:20" ht="15.75" customHeight="1" x14ac:dyDescent="0.2">
      <c r="A53" s="14" t="str">
        <f>"parlor_"&amp;VLOOKUP(F53, Factor!$CO$4:$CR$10, 4, 0)&amp;D53&amp;"_"&amp;VLOOKUP(E53, Factor!$CS$4:$CT$13, 2, 0)</f>
        <v>parlor_Trans_Pass_T3_001</v>
      </c>
      <c r="B53" s="15" t="str">
        <f t="shared" si="0"/>
        <v>T3 표준 인원 수송 칸</v>
      </c>
      <c r="C53" s="15">
        <f>VLOOKUP(D53, Factor!$AM$41:$AN$50, 2, 0)</f>
        <v>15000</v>
      </c>
      <c r="D53" s="15" t="s">
        <v>299</v>
      </c>
      <c r="E53" s="56" t="s">
        <v>582</v>
      </c>
      <c r="F53" s="56" t="s">
        <v>701</v>
      </c>
      <c r="G53" s="15" t="str">
        <f t="shared" si="1"/>
        <v>표준 인원 수송 칸</v>
      </c>
      <c r="H53" s="15" t="str">
        <f>VLOOKUP(F53, Factor!$CO$4:$CR$10, 2, 0)</f>
        <v>인원수송</v>
      </c>
      <c r="I53" s="15" t="str">
        <f>VLOOKUP(F53, Factor!$CO$4:$CR$10, 3, 0)</f>
        <v>null</v>
      </c>
      <c r="J53" s="15">
        <v>1</v>
      </c>
      <c r="K53" s="15">
        <v>1</v>
      </c>
      <c r="L53" s="15">
        <v>1</v>
      </c>
      <c r="M53" s="15">
        <v>1</v>
      </c>
      <c r="N53" s="15">
        <v>1</v>
      </c>
      <c r="O53" s="15" cm="1">
        <f t="array" ref="O53">J53*VLOOKUP($H53, Factor!$AN$4:$AS$36, 2, 0)*INDEX(Factor!$AN$41:$AS$87, _xlfn.XMATCH($C53, Factor!$AN$41:$AN$87, -1), 2)*IFERROR(VLOOKUP($I53, Factor!$AU$4:$AX$9, 2, 0),1)</f>
        <v>0</v>
      </c>
      <c r="P53" s="15" cm="1">
        <f t="array" ref="P53">K53*VLOOKUP($H53, Factor!$AN$4:$AS$36, 3, 0)*INDEX(Factor!$AN$41:$AS$87, _xlfn.XMATCH($C53, Factor!$AN$41:$AN$87, -1), 3)*IFERROR(VLOOKUP($I53, Factor!$AU$4:$AX$9, 3, 0),1)</f>
        <v>0</v>
      </c>
      <c r="Q53" s="15" cm="1">
        <f t="array" ref="Q53">L53*VLOOKUP($H53, Factor!$AN$4:$AS$36, 4, 0)*INDEX(Factor!$AN$41:$AS$87, _xlfn.XMATCH($C53, Factor!$AN$41:$AN$87, -1), 4)</f>
        <v>0</v>
      </c>
      <c r="R53" s="15" cm="1">
        <f t="array" ref="R53">M53*VLOOKUP($H53, Factor!$AN$4:$AS$36, 5, 0)*INDEX(Factor!$AN$41:$AS$87, _xlfn.XMATCH($C53, Factor!$AN$41:$AN$87, -1), 5)</f>
        <v>5.6</v>
      </c>
      <c r="S53" s="15" cm="1">
        <f t="array" ref="S53">N53*VLOOKUP($H53, Factor!$AN$4:$AS$36, 6, 0)*INDEX(Factor!$AN$41:$AS$87, _xlfn.XMATCH($C53, Factor!$AN$41:$AN$87, -1), 6)*IFERROR(VLOOKUP($I53, Factor!$AU$4:$AX$9, 4, 0),1)</f>
        <v>1400</v>
      </c>
      <c r="T53" s="16"/>
    </row>
    <row r="54" spans="1:20" ht="15.75" customHeight="1" x14ac:dyDescent="0.2">
      <c r="A54" s="17" t="str">
        <f>"parlor_"&amp;VLOOKUP(F54, Factor!$CO$4:$CR$10, 4, 0)&amp;D54&amp;"_"&amp;VLOOKUP(E54, Factor!$CS$4:$CT$13, 2, 0)</f>
        <v>parlor_Prod_Food_T3_002</v>
      </c>
      <c r="B54" s="18" t="str">
        <f t="shared" si="0"/>
        <v>T3 경량 스마트팜</v>
      </c>
      <c r="C54" s="18">
        <f>VLOOKUP(D54, Factor!$AM$41:$AN$50, 2, 0)</f>
        <v>15000</v>
      </c>
      <c r="D54" s="18" t="s">
        <v>299</v>
      </c>
      <c r="E54" s="55" t="s">
        <v>585</v>
      </c>
      <c r="F54" s="55" t="s">
        <v>695</v>
      </c>
      <c r="G54" s="18" t="str">
        <f t="shared" si="1"/>
        <v>경량 스마트팜</v>
      </c>
      <c r="H54" s="18" t="str">
        <f>VLOOKUP(F54, Factor!$CO$4:$CR$10, 2, 0)</f>
        <v>생산</v>
      </c>
      <c r="I54" s="18" t="str">
        <f>VLOOKUP(F54, Factor!$CO$4:$CR$10, 3, 0)</f>
        <v>food</v>
      </c>
      <c r="J54" s="18">
        <v>1</v>
      </c>
      <c r="K54" s="18">
        <v>1</v>
      </c>
      <c r="L54" s="18">
        <v>1</v>
      </c>
      <c r="M54" s="18">
        <v>1</v>
      </c>
      <c r="N54" s="18">
        <v>1</v>
      </c>
      <c r="O54" s="18" cm="1">
        <f t="array" ref="O54">J54*VLOOKUP($H54, Factor!$AN$4:$AS$36, 2, 0)*INDEX(Factor!$AN$41:$AS$87, _xlfn.XMATCH($C54, Factor!$AN$41:$AN$87, -1), 2)*IFERROR(VLOOKUP($I54, Factor!$AU$4:$AX$9, 2, 0),1)</f>
        <v>14</v>
      </c>
      <c r="P54" s="18" cm="1">
        <f t="array" ref="P54">K54*VLOOKUP($H54, Factor!$AN$4:$AS$36, 3, 0)*INDEX(Factor!$AN$41:$AS$87, _xlfn.XMATCH($C54, Factor!$AN$41:$AN$87, -1), 3)*IFERROR(VLOOKUP($I54, Factor!$AU$4:$AX$9, 3, 0),1)</f>
        <v>0</v>
      </c>
      <c r="Q54" s="18" cm="1">
        <f t="array" ref="Q54">L54*VLOOKUP($H54, Factor!$AN$4:$AS$36, 4, 0)*INDEX(Factor!$AN$41:$AS$87, _xlfn.XMATCH($C54, Factor!$AN$41:$AN$87, -1), 4)</f>
        <v>1.4</v>
      </c>
      <c r="R54" s="18" cm="1">
        <f t="array" ref="R54">M54*VLOOKUP($H54, Factor!$AN$4:$AS$36, 5, 0)*INDEX(Factor!$AN$41:$AS$87, _xlfn.XMATCH($C54, Factor!$AN$41:$AN$87, -1), 5)</f>
        <v>1.4</v>
      </c>
      <c r="S54" s="18" cm="1">
        <f t="array" ref="S54">N54*VLOOKUP($H54, Factor!$AN$4:$AS$36, 6, 0)*INDEX(Factor!$AN$41:$AS$87, _xlfn.XMATCH($C54, Factor!$AN$41:$AN$87, -1), 6)*IFERROR(VLOOKUP($I54, Factor!$AU$4:$AX$9, 4, 0),1)</f>
        <v>7000</v>
      </c>
      <c r="T54" s="19"/>
    </row>
    <row r="55" spans="1:20" ht="15.75" customHeight="1" x14ac:dyDescent="0.2">
      <c r="A55" s="14" t="str">
        <f>"parlor_"&amp;VLOOKUP(F55, Factor!$CO$4:$CR$10, 4, 0)&amp;D55&amp;"_"&amp;VLOOKUP(E55, Factor!$CS$4:$CT$13, 2, 0)</f>
        <v>parlor_Indu_Ammo_T3_002</v>
      </c>
      <c r="B55" s="15" t="str">
        <f t="shared" si="0"/>
        <v>T3 경량 탄약공장</v>
      </c>
      <c r="C55" s="15">
        <f>VLOOKUP(D55, Factor!$AM$41:$AN$50, 2, 0)</f>
        <v>15000</v>
      </c>
      <c r="D55" s="15" t="s">
        <v>299</v>
      </c>
      <c r="E55" s="56" t="s">
        <v>585</v>
      </c>
      <c r="F55" s="56" t="s">
        <v>696</v>
      </c>
      <c r="G55" s="15" t="str">
        <f t="shared" si="1"/>
        <v>경량 탄약공장</v>
      </c>
      <c r="H55" s="15" t="str">
        <f>VLOOKUP(F55, Factor!$CO$4:$CR$10, 2, 0)</f>
        <v>공업</v>
      </c>
      <c r="I55" s="15" t="str">
        <f>VLOOKUP(F55, Factor!$CO$4:$CR$10, 3, 0)</f>
        <v>ammo</v>
      </c>
      <c r="J55" s="15">
        <v>1</v>
      </c>
      <c r="K55" s="15">
        <v>1</v>
      </c>
      <c r="L55" s="15">
        <v>1</v>
      </c>
      <c r="M55" s="15">
        <v>1</v>
      </c>
      <c r="N55" s="15">
        <v>1</v>
      </c>
      <c r="O55" s="15" cm="1">
        <f t="array" ref="O55">J55*VLOOKUP($H55, Factor!$AN$4:$AS$36, 2, 0)*INDEX(Factor!$AN$41:$AS$87, _xlfn.XMATCH($C55, Factor!$AN$41:$AN$87, -1), 2)*IFERROR(VLOOKUP($I55, Factor!$AU$4:$AX$9, 2, 0),1)</f>
        <v>0</v>
      </c>
      <c r="P55" s="15" cm="1">
        <f t="array" ref="P55">K55*VLOOKUP($H55, Factor!$AN$4:$AS$36, 3, 0)*INDEX(Factor!$AN$41:$AS$87, _xlfn.XMATCH($C55, Factor!$AN$41:$AN$87, -1), 3)*IFERROR(VLOOKUP($I55, Factor!$AU$4:$AX$9, 3, 0),1)</f>
        <v>14</v>
      </c>
      <c r="Q55" s="15" cm="1">
        <f t="array" ref="Q55">L55*VLOOKUP($H55, Factor!$AN$4:$AS$36, 4, 0)*INDEX(Factor!$AN$41:$AS$87, _xlfn.XMATCH($C55, Factor!$AN$41:$AN$87, -1), 4)</f>
        <v>0</v>
      </c>
      <c r="R55" s="15" cm="1">
        <f t="array" ref="R55">M55*VLOOKUP($H55, Factor!$AN$4:$AS$36, 5, 0)*INDEX(Factor!$AN$41:$AS$87, _xlfn.XMATCH($C55, Factor!$AN$41:$AN$87, -1), 5)</f>
        <v>0</v>
      </c>
      <c r="S55" s="15" cm="1">
        <f t="array" ref="S55">N55*VLOOKUP($H55, Factor!$AN$4:$AS$36, 6, 0)*INDEX(Factor!$AN$41:$AS$87, _xlfn.XMATCH($C55, Factor!$AN$41:$AN$87, -1), 6)*IFERROR(VLOOKUP($I55, Factor!$AU$4:$AX$9, 4, 0),1)</f>
        <v>7000</v>
      </c>
      <c r="T55" s="16"/>
    </row>
    <row r="56" spans="1:20" ht="15.75" customHeight="1" x14ac:dyDescent="0.2">
      <c r="A56" s="17" t="str">
        <f>"parlor_"&amp;VLOOKUP(F56, Factor!$CO$4:$CR$10, 4, 0)&amp;D56&amp;"_"&amp;VLOOKUP(E56, Factor!$CS$4:$CT$13, 2, 0)</f>
        <v>parlor_Indu_Shell_T3_002</v>
      </c>
      <c r="B56" s="18" t="str">
        <f t="shared" si="0"/>
        <v>T3 경량 포탄공장</v>
      </c>
      <c r="C56" s="18">
        <f>VLOOKUP(D56, Factor!$AM$41:$AN$50, 2, 0)</f>
        <v>15000</v>
      </c>
      <c r="D56" s="18" t="s">
        <v>299</v>
      </c>
      <c r="E56" s="55" t="s">
        <v>585</v>
      </c>
      <c r="F56" s="55" t="s">
        <v>697</v>
      </c>
      <c r="G56" s="18" t="str">
        <f t="shared" si="1"/>
        <v>경량 포탄공장</v>
      </c>
      <c r="H56" s="18" t="str">
        <f>VLOOKUP(F56, Factor!$CO$4:$CR$10, 2, 0)</f>
        <v>공업</v>
      </c>
      <c r="I56" s="18" t="str">
        <f>VLOOKUP(F56, Factor!$CO$4:$CR$10, 3, 0)</f>
        <v>shell</v>
      </c>
      <c r="J56" s="18">
        <v>1</v>
      </c>
      <c r="K56" s="18">
        <v>1</v>
      </c>
      <c r="L56" s="18">
        <v>1</v>
      </c>
      <c r="M56" s="18">
        <v>1</v>
      </c>
      <c r="N56" s="18">
        <v>1</v>
      </c>
      <c r="O56" s="18" cm="1">
        <f t="array" ref="O56">J56*VLOOKUP($H56, Factor!$AN$4:$AS$36, 2, 0)*INDEX(Factor!$AN$41:$AS$87, _xlfn.XMATCH($C56, Factor!$AN$41:$AN$87, -1), 2)*IFERROR(VLOOKUP($I56, Factor!$AU$4:$AX$9, 2, 0),1)</f>
        <v>0</v>
      </c>
      <c r="P56" s="18" cm="1">
        <f t="array" ref="P56">K56*VLOOKUP($H56, Factor!$AN$4:$AS$36, 3, 0)*INDEX(Factor!$AN$41:$AS$87, _xlfn.XMATCH($C56, Factor!$AN$41:$AN$87, -1), 3)*IFERROR(VLOOKUP($I56, Factor!$AU$4:$AX$9, 3, 0),1)</f>
        <v>7</v>
      </c>
      <c r="Q56" s="18" cm="1">
        <f t="array" ref="Q56">L56*VLOOKUP($H56, Factor!$AN$4:$AS$36, 4, 0)*INDEX(Factor!$AN$41:$AS$87, _xlfn.XMATCH($C56, Factor!$AN$41:$AN$87, -1), 4)</f>
        <v>0</v>
      </c>
      <c r="R56" s="18" cm="1">
        <f t="array" ref="R56">M56*VLOOKUP($H56, Factor!$AN$4:$AS$36, 5, 0)*INDEX(Factor!$AN$41:$AS$87, _xlfn.XMATCH($C56, Factor!$AN$41:$AN$87, -1), 5)</f>
        <v>0</v>
      </c>
      <c r="S56" s="18" cm="1">
        <f t="array" ref="S56">N56*VLOOKUP($H56, Factor!$AN$4:$AS$36, 6, 0)*INDEX(Factor!$AN$41:$AS$87, _xlfn.XMATCH($C56, Factor!$AN$41:$AN$87, -1), 6)*IFERROR(VLOOKUP($I56, Factor!$AU$4:$AX$9, 4, 0),1)</f>
        <v>8400</v>
      </c>
      <c r="T56" s="19"/>
    </row>
    <row r="57" spans="1:20" ht="15.75" customHeight="1" x14ac:dyDescent="0.2">
      <c r="A57" s="14" t="str">
        <f>"parlor_"&amp;VLOOKUP(F57, Factor!$CO$4:$CR$10, 4, 0)&amp;D57&amp;"_"&amp;VLOOKUP(E57, Factor!$CS$4:$CT$13, 2, 0)</f>
        <v>parlor_Indu_Missile_T3_002</v>
      </c>
      <c r="B57" s="15" t="str">
        <f t="shared" si="0"/>
        <v>T3 경량 미사일공장</v>
      </c>
      <c r="C57" s="15">
        <f>VLOOKUP(D57, Factor!$AM$41:$AN$50, 2, 0)</f>
        <v>15000</v>
      </c>
      <c r="D57" s="15" t="s">
        <v>299</v>
      </c>
      <c r="E57" s="56" t="s">
        <v>585</v>
      </c>
      <c r="F57" s="56" t="s">
        <v>698</v>
      </c>
      <c r="G57" s="15" t="str">
        <f t="shared" si="1"/>
        <v>경량 미사일공장</v>
      </c>
      <c r="H57" s="15" t="str">
        <f>VLOOKUP(F57, Factor!$CO$4:$CR$10, 2, 0)</f>
        <v>공업</v>
      </c>
      <c r="I57" s="15" t="str">
        <f>VLOOKUP(F57, Factor!$CO$4:$CR$10, 3, 0)</f>
        <v>missile</v>
      </c>
      <c r="J57" s="15">
        <v>1</v>
      </c>
      <c r="K57" s="15">
        <v>1</v>
      </c>
      <c r="L57" s="15">
        <v>1</v>
      </c>
      <c r="M57" s="15">
        <v>1</v>
      </c>
      <c r="N57" s="15">
        <v>1</v>
      </c>
      <c r="O57" s="15" cm="1">
        <f t="array" ref="O57">J57*VLOOKUP($H57, Factor!$AN$4:$AS$36, 2, 0)*INDEX(Factor!$AN$41:$AS$87, _xlfn.XMATCH($C57, Factor!$AN$41:$AN$87, -1), 2)*IFERROR(VLOOKUP($I57, Factor!$AU$4:$AX$9, 2, 0),1)</f>
        <v>0</v>
      </c>
      <c r="P57" s="15" cm="1">
        <f t="array" ref="P57">K57*VLOOKUP($H57, Factor!$AN$4:$AS$36, 3, 0)*INDEX(Factor!$AN$41:$AS$87, _xlfn.XMATCH($C57, Factor!$AN$41:$AN$87, -1), 3)*IFERROR(VLOOKUP($I57, Factor!$AU$4:$AX$9, 3, 0),1)</f>
        <v>2.8</v>
      </c>
      <c r="Q57" s="15" cm="1">
        <f t="array" ref="Q57">L57*VLOOKUP($H57, Factor!$AN$4:$AS$36, 4, 0)*INDEX(Factor!$AN$41:$AS$87, _xlfn.XMATCH($C57, Factor!$AN$41:$AN$87, -1), 4)</f>
        <v>0</v>
      </c>
      <c r="R57" s="15" cm="1">
        <f t="array" ref="R57">M57*VLOOKUP($H57, Factor!$AN$4:$AS$36, 5, 0)*INDEX(Factor!$AN$41:$AS$87, _xlfn.XMATCH($C57, Factor!$AN$41:$AN$87, -1), 5)</f>
        <v>0</v>
      </c>
      <c r="S57" s="15" cm="1">
        <f t="array" ref="S57">N57*VLOOKUP($H57, Factor!$AN$4:$AS$36, 6, 0)*INDEX(Factor!$AN$41:$AS$87, _xlfn.XMATCH($C57, Factor!$AN$41:$AN$87, -1), 6)*IFERROR(VLOOKUP($I57, Factor!$AU$4:$AX$9, 4, 0),1)</f>
        <v>9100</v>
      </c>
      <c r="T57" s="16"/>
    </row>
    <row r="58" spans="1:20" ht="15.75" customHeight="1" x14ac:dyDescent="0.2">
      <c r="A58" s="17" t="str">
        <f>"parlor_"&amp;VLOOKUP(F58, Factor!$CO$4:$CR$10, 4, 0)&amp;D58&amp;"_"&amp;VLOOKUP(E58, Factor!$CS$4:$CT$13, 2, 0)</f>
        <v>parlor_Indu_Siecleium_T3_002</v>
      </c>
      <c r="B58" s="18" t="str">
        <f t="shared" si="0"/>
        <v>T3 경량 서클리움 정제소</v>
      </c>
      <c r="C58" s="18">
        <f>VLOOKUP(D58, Factor!$AM$41:$AN$50, 2, 0)</f>
        <v>15000</v>
      </c>
      <c r="D58" s="18" t="s">
        <v>299</v>
      </c>
      <c r="E58" s="55" t="s">
        <v>585</v>
      </c>
      <c r="F58" s="55" t="s">
        <v>699</v>
      </c>
      <c r="G58" s="18" t="str">
        <f t="shared" si="1"/>
        <v>경량 서클리움 정제소</v>
      </c>
      <c r="H58" s="18" t="str">
        <f>VLOOKUP(F58, Factor!$CO$4:$CR$10, 2, 0)</f>
        <v>공업</v>
      </c>
      <c r="I58" s="18" t="str">
        <f>VLOOKUP(F58, Factor!$CO$4:$CR$10, 3, 0)</f>
        <v>siecleium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 cm="1">
        <f t="array" ref="O58">J58*VLOOKUP($H58, Factor!$AN$4:$AS$36, 2, 0)*INDEX(Factor!$AN$41:$AS$87, _xlfn.XMATCH($C58, Factor!$AN$41:$AN$87, -1), 2)*IFERROR(VLOOKUP($I58, Factor!$AU$4:$AX$9, 2, 0),1)</f>
        <v>0</v>
      </c>
      <c r="P58" s="18" cm="1">
        <f t="array" ref="P58">K58*VLOOKUP($H58, Factor!$AN$4:$AS$36, 3, 0)*INDEX(Factor!$AN$41:$AS$87, _xlfn.XMATCH($C58, Factor!$AN$41:$AN$87, -1), 3)*IFERROR(VLOOKUP($I58, Factor!$AU$4:$AX$9, 3, 0),1)</f>
        <v>14</v>
      </c>
      <c r="Q58" s="18" cm="1">
        <f t="array" ref="Q58">L58*VLOOKUP($H58, Factor!$AN$4:$AS$36, 4, 0)*INDEX(Factor!$AN$41:$AS$87, _xlfn.XMATCH($C58, Factor!$AN$41:$AN$87, -1), 4)</f>
        <v>0</v>
      </c>
      <c r="R58" s="18" cm="1">
        <f t="array" ref="R58">M58*VLOOKUP($H58, Factor!$AN$4:$AS$36, 5, 0)*INDEX(Factor!$AN$41:$AS$87, _xlfn.XMATCH($C58, Factor!$AN$41:$AN$87, -1), 5)</f>
        <v>0</v>
      </c>
      <c r="S58" s="18" cm="1">
        <f t="array" ref="S58">N58*VLOOKUP($H58, Factor!$AN$4:$AS$36, 6, 0)*INDEX(Factor!$AN$41:$AS$87, _xlfn.XMATCH($C58, Factor!$AN$41:$AN$87, -1), 6)*IFERROR(VLOOKUP($I58, Factor!$AU$4:$AX$9, 4, 0),1)</f>
        <v>7000</v>
      </c>
      <c r="T58" s="19"/>
    </row>
    <row r="59" spans="1:20" ht="15.75" customHeight="1" x14ac:dyDescent="0.2">
      <c r="A59" s="14" t="str">
        <f>"parlor_"&amp;VLOOKUP(F59, Factor!$CO$4:$CR$10, 4, 0)&amp;D59&amp;"_"&amp;VLOOKUP(E59, Factor!$CS$4:$CT$13, 2, 0)</f>
        <v>parlor_Trans_Inven_T3_002</v>
      </c>
      <c r="B59" s="15" t="str">
        <f t="shared" si="0"/>
        <v>T3 경량 화물 수송 칸</v>
      </c>
      <c r="C59" s="15">
        <f>VLOOKUP(D59, Factor!$AM$41:$AN$50, 2, 0)</f>
        <v>15000</v>
      </c>
      <c r="D59" s="15" t="s">
        <v>299</v>
      </c>
      <c r="E59" s="56" t="s">
        <v>585</v>
      </c>
      <c r="F59" s="56" t="s">
        <v>700</v>
      </c>
      <c r="G59" s="15" t="str">
        <f t="shared" si="1"/>
        <v>경량 화물 수송 칸</v>
      </c>
      <c r="H59" s="15" t="str">
        <f>VLOOKUP(F59, Factor!$CO$4:$CR$10, 2, 0)</f>
        <v>물자수송</v>
      </c>
      <c r="I59" s="15" t="str">
        <f>VLOOKUP(F59, Factor!$CO$4:$CR$10, 3, 0)</f>
        <v>null</v>
      </c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 cm="1">
        <f t="array" ref="O59">J59*VLOOKUP($H59, Factor!$AN$4:$AS$36, 2, 0)*INDEX(Factor!$AN$41:$AS$87, _xlfn.XMATCH($C59, Factor!$AN$41:$AN$87, -1), 2)*IFERROR(VLOOKUP($I59, Factor!$AU$4:$AX$9, 2, 0),1)</f>
        <v>0</v>
      </c>
      <c r="P59" s="15" cm="1">
        <f t="array" ref="P59">K59*VLOOKUP($H59, Factor!$AN$4:$AS$36, 3, 0)*INDEX(Factor!$AN$41:$AS$87, _xlfn.XMATCH($C59, Factor!$AN$41:$AN$87, -1), 3)*IFERROR(VLOOKUP($I59, Factor!$AU$4:$AX$9, 3, 0),1)</f>
        <v>0</v>
      </c>
      <c r="Q59" s="15" cm="1">
        <f t="array" ref="Q59">L59*VLOOKUP($H59, Factor!$AN$4:$AS$36, 4, 0)*INDEX(Factor!$AN$41:$AS$87, _xlfn.XMATCH($C59, Factor!$AN$41:$AN$87, -1), 4)</f>
        <v>2.8</v>
      </c>
      <c r="R59" s="15" cm="1">
        <f t="array" ref="R59">M59*VLOOKUP($H59, Factor!$AN$4:$AS$36, 5, 0)*INDEX(Factor!$AN$41:$AS$87, _xlfn.XMATCH($C59, Factor!$AN$41:$AN$87, -1), 5)</f>
        <v>0</v>
      </c>
      <c r="S59" s="15" cm="1">
        <f t="array" ref="S59">N59*VLOOKUP($H59, Factor!$AN$4:$AS$36, 6, 0)*INDEX(Factor!$AN$41:$AS$87, _xlfn.XMATCH($C59, Factor!$AN$41:$AN$87, -1), 6)*IFERROR(VLOOKUP($I59, Factor!$AU$4:$AX$9, 4, 0),1)</f>
        <v>2800</v>
      </c>
      <c r="T59" s="16"/>
    </row>
    <row r="60" spans="1:20" ht="15.75" customHeight="1" x14ac:dyDescent="0.2">
      <c r="A60" s="17" t="str">
        <f>"parlor_"&amp;VLOOKUP(F60, Factor!$CO$4:$CR$10, 4, 0)&amp;D60&amp;"_"&amp;VLOOKUP(E60, Factor!$CS$4:$CT$13, 2, 0)</f>
        <v>parlor_Trans_Pass_T3_002</v>
      </c>
      <c r="B60" s="18" t="str">
        <f t="shared" si="0"/>
        <v>T3 경량 인원 수송 칸</v>
      </c>
      <c r="C60" s="18">
        <f>VLOOKUP(D60, Factor!$AM$41:$AN$50, 2, 0)</f>
        <v>15000</v>
      </c>
      <c r="D60" s="18" t="s">
        <v>299</v>
      </c>
      <c r="E60" s="55" t="s">
        <v>585</v>
      </c>
      <c r="F60" s="55" t="s">
        <v>701</v>
      </c>
      <c r="G60" s="18" t="str">
        <f t="shared" si="1"/>
        <v>경량 인원 수송 칸</v>
      </c>
      <c r="H60" s="18" t="str">
        <f>VLOOKUP(F60, Factor!$CO$4:$CR$10, 2, 0)</f>
        <v>인원수송</v>
      </c>
      <c r="I60" s="18" t="str">
        <f>VLOOKUP(F60, Factor!$CO$4:$CR$10, 3, 0)</f>
        <v>null</v>
      </c>
      <c r="J60" s="18">
        <v>1</v>
      </c>
      <c r="K60" s="18">
        <v>1</v>
      </c>
      <c r="L60" s="18">
        <v>1</v>
      </c>
      <c r="M60" s="18">
        <v>1</v>
      </c>
      <c r="N60" s="18">
        <v>1</v>
      </c>
      <c r="O60" s="18" cm="1">
        <f t="array" ref="O60">J60*VLOOKUP($H60, Factor!$AN$4:$AS$36, 2, 0)*INDEX(Factor!$AN$41:$AS$87, _xlfn.XMATCH($C60, Factor!$AN$41:$AN$87, -1), 2)*IFERROR(VLOOKUP($I60, Factor!$AU$4:$AX$9, 2, 0),1)</f>
        <v>0</v>
      </c>
      <c r="P60" s="18" cm="1">
        <f t="array" ref="P60">K60*VLOOKUP($H60, Factor!$AN$4:$AS$36, 3, 0)*INDEX(Factor!$AN$41:$AS$87, _xlfn.XMATCH($C60, Factor!$AN$41:$AN$87, -1), 3)*IFERROR(VLOOKUP($I60, Factor!$AU$4:$AX$9, 3, 0),1)</f>
        <v>0</v>
      </c>
      <c r="Q60" s="18" cm="1">
        <f t="array" ref="Q60">L60*VLOOKUP($H60, Factor!$AN$4:$AS$36, 4, 0)*INDEX(Factor!$AN$41:$AS$87, _xlfn.XMATCH($C60, Factor!$AN$41:$AN$87, -1), 4)</f>
        <v>0</v>
      </c>
      <c r="R60" s="18" cm="1">
        <f t="array" ref="R60">M60*VLOOKUP($H60, Factor!$AN$4:$AS$36, 5, 0)*INDEX(Factor!$AN$41:$AS$87, _xlfn.XMATCH($C60, Factor!$AN$41:$AN$87, -1), 5)</f>
        <v>5.6</v>
      </c>
      <c r="S60" s="18" cm="1">
        <f t="array" ref="S60">N60*VLOOKUP($H60, Factor!$AN$4:$AS$36, 6, 0)*INDEX(Factor!$AN$41:$AS$87, _xlfn.XMATCH($C60, Factor!$AN$41:$AN$87, -1), 6)*IFERROR(VLOOKUP($I60, Factor!$AU$4:$AX$9, 4, 0),1)</f>
        <v>1400</v>
      </c>
      <c r="T60" s="19"/>
    </row>
    <row r="61" spans="1:20" ht="15.75" customHeight="1" x14ac:dyDescent="0.2">
      <c r="A61" s="14" t="str">
        <f>"parlor_"&amp;VLOOKUP(F61, Factor!$CO$4:$CR$10, 4, 0)&amp;D61&amp;"_"&amp;VLOOKUP(E61, Factor!$CS$4:$CT$13, 2, 0)</f>
        <v>parlor_Prod_Food_T3_003</v>
      </c>
      <c r="B61" s="15" t="str">
        <f t="shared" si="0"/>
        <v>T3 대형 스마트팜</v>
      </c>
      <c r="C61" s="15">
        <f>VLOOKUP(D61, Factor!$AM$41:$AN$50, 2, 0)</f>
        <v>15000</v>
      </c>
      <c r="D61" s="15" t="s">
        <v>299</v>
      </c>
      <c r="E61" s="56" t="s">
        <v>583</v>
      </c>
      <c r="F61" s="56" t="s">
        <v>695</v>
      </c>
      <c r="G61" s="15" t="str">
        <f t="shared" si="1"/>
        <v>대형 스마트팜</v>
      </c>
      <c r="H61" s="15" t="str">
        <f>VLOOKUP(F61, Factor!$CO$4:$CR$10, 2, 0)</f>
        <v>생산</v>
      </c>
      <c r="I61" s="15" t="str">
        <f>VLOOKUP(F61, Factor!$CO$4:$CR$10, 3, 0)</f>
        <v>food</v>
      </c>
      <c r="J61" s="15">
        <v>1</v>
      </c>
      <c r="K61" s="15">
        <v>1</v>
      </c>
      <c r="L61" s="15">
        <v>1</v>
      </c>
      <c r="M61" s="15">
        <v>1</v>
      </c>
      <c r="N61" s="15">
        <v>1</v>
      </c>
      <c r="O61" s="15" cm="1">
        <f t="array" ref="O61">J61*VLOOKUP($H61, Factor!$AN$4:$AS$36, 2, 0)*INDEX(Factor!$AN$41:$AS$87, _xlfn.XMATCH($C61, Factor!$AN$41:$AN$87, -1), 2)*IFERROR(VLOOKUP($I61, Factor!$AU$4:$AX$9, 2, 0),1)</f>
        <v>14</v>
      </c>
      <c r="P61" s="15" cm="1">
        <f t="array" ref="P61">K61*VLOOKUP($H61, Factor!$AN$4:$AS$36, 3, 0)*INDEX(Factor!$AN$41:$AS$87, _xlfn.XMATCH($C61, Factor!$AN$41:$AN$87, -1), 3)*IFERROR(VLOOKUP($I61, Factor!$AU$4:$AX$9, 3, 0),1)</f>
        <v>0</v>
      </c>
      <c r="Q61" s="15" cm="1">
        <f t="array" ref="Q61">L61*VLOOKUP($H61, Factor!$AN$4:$AS$36, 4, 0)*INDEX(Factor!$AN$41:$AS$87, _xlfn.XMATCH($C61, Factor!$AN$41:$AN$87, -1), 4)</f>
        <v>1.4</v>
      </c>
      <c r="R61" s="15" cm="1">
        <f t="array" ref="R61">M61*VLOOKUP($H61, Factor!$AN$4:$AS$36, 5, 0)*INDEX(Factor!$AN$41:$AS$87, _xlfn.XMATCH($C61, Factor!$AN$41:$AN$87, -1), 5)</f>
        <v>1.4</v>
      </c>
      <c r="S61" s="15" cm="1">
        <f t="array" ref="S61">N61*VLOOKUP($H61, Factor!$AN$4:$AS$36, 6, 0)*INDEX(Factor!$AN$41:$AS$87, _xlfn.XMATCH($C61, Factor!$AN$41:$AN$87, -1), 6)*IFERROR(VLOOKUP($I61, Factor!$AU$4:$AX$9, 4, 0),1)</f>
        <v>7000</v>
      </c>
      <c r="T61" s="16"/>
    </row>
    <row r="62" spans="1:20" ht="15.75" customHeight="1" x14ac:dyDescent="0.2">
      <c r="A62" s="17" t="str">
        <f>"parlor_"&amp;VLOOKUP(F62, Factor!$CO$4:$CR$10, 4, 0)&amp;D62&amp;"_"&amp;VLOOKUP(E62, Factor!$CS$4:$CT$13, 2, 0)</f>
        <v>parlor_Indu_Ammo_T3_003</v>
      </c>
      <c r="B62" s="18" t="str">
        <f t="shared" si="0"/>
        <v>T3 대형 탄약공장</v>
      </c>
      <c r="C62" s="18">
        <f>VLOOKUP(D62, Factor!$AM$41:$AN$50, 2, 0)</f>
        <v>15000</v>
      </c>
      <c r="D62" s="18" t="s">
        <v>299</v>
      </c>
      <c r="E62" s="55" t="s">
        <v>583</v>
      </c>
      <c r="F62" s="55" t="s">
        <v>696</v>
      </c>
      <c r="G62" s="18" t="str">
        <f t="shared" si="1"/>
        <v>대형 탄약공장</v>
      </c>
      <c r="H62" s="18" t="str">
        <f>VLOOKUP(F62, Factor!$CO$4:$CR$10, 2, 0)</f>
        <v>공업</v>
      </c>
      <c r="I62" s="18" t="str">
        <f>VLOOKUP(F62, Factor!$CO$4:$CR$10, 3, 0)</f>
        <v>ammo</v>
      </c>
      <c r="J62" s="18">
        <v>1</v>
      </c>
      <c r="K62" s="18">
        <v>1</v>
      </c>
      <c r="L62" s="18">
        <v>1</v>
      </c>
      <c r="M62" s="18">
        <v>1</v>
      </c>
      <c r="N62" s="18">
        <v>1</v>
      </c>
      <c r="O62" s="18" cm="1">
        <f t="array" ref="O62">J62*VLOOKUP($H62, Factor!$AN$4:$AS$36, 2, 0)*INDEX(Factor!$AN$41:$AS$87, _xlfn.XMATCH($C62, Factor!$AN$41:$AN$87, -1), 2)*IFERROR(VLOOKUP($I62, Factor!$AU$4:$AX$9, 2, 0),1)</f>
        <v>0</v>
      </c>
      <c r="P62" s="18" cm="1">
        <f t="array" ref="P62">K62*VLOOKUP($H62, Factor!$AN$4:$AS$36, 3, 0)*INDEX(Factor!$AN$41:$AS$87, _xlfn.XMATCH($C62, Factor!$AN$41:$AN$87, -1), 3)*IFERROR(VLOOKUP($I62, Factor!$AU$4:$AX$9, 3, 0),1)</f>
        <v>14</v>
      </c>
      <c r="Q62" s="18" cm="1">
        <f t="array" ref="Q62">L62*VLOOKUP($H62, Factor!$AN$4:$AS$36, 4, 0)*INDEX(Factor!$AN$41:$AS$87, _xlfn.XMATCH($C62, Factor!$AN$41:$AN$87, -1), 4)</f>
        <v>0</v>
      </c>
      <c r="R62" s="18" cm="1">
        <f t="array" ref="R62">M62*VLOOKUP($H62, Factor!$AN$4:$AS$36, 5, 0)*INDEX(Factor!$AN$41:$AS$87, _xlfn.XMATCH($C62, Factor!$AN$41:$AN$87, -1), 5)</f>
        <v>0</v>
      </c>
      <c r="S62" s="18" cm="1">
        <f t="array" ref="S62">N62*VLOOKUP($H62, Factor!$AN$4:$AS$36, 6, 0)*INDEX(Factor!$AN$41:$AS$87, _xlfn.XMATCH($C62, Factor!$AN$41:$AN$87, -1), 6)*IFERROR(VLOOKUP($I62, Factor!$AU$4:$AX$9, 4, 0),1)</f>
        <v>7000</v>
      </c>
      <c r="T62" s="19"/>
    </row>
    <row r="63" spans="1:20" ht="15.75" customHeight="1" x14ac:dyDescent="0.2">
      <c r="A63" s="14" t="str">
        <f>"parlor_"&amp;VLOOKUP(F63, Factor!$CO$4:$CR$10, 4, 0)&amp;D63&amp;"_"&amp;VLOOKUP(E63, Factor!$CS$4:$CT$13, 2, 0)</f>
        <v>parlor_Indu_Shell_T3_003</v>
      </c>
      <c r="B63" s="15" t="str">
        <f t="shared" si="0"/>
        <v>T3 대형 포탄공장</v>
      </c>
      <c r="C63" s="15">
        <f>VLOOKUP(D63, Factor!$AM$41:$AN$50, 2, 0)</f>
        <v>15000</v>
      </c>
      <c r="D63" s="15" t="s">
        <v>299</v>
      </c>
      <c r="E63" s="56" t="s">
        <v>583</v>
      </c>
      <c r="F63" s="56" t="s">
        <v>697</v>
      </c>
      <c r="G63" s="15" t="str">
        <f t="shared" si="1"/>
        <v>대형 포탄공장</v>
      </c>
      <c r="H63" s="15" t="str">
        <f>VLOOKUP(F63, Factor!$CO$4:$CR$10, 2, 0)</f>
        <v>공업</v>
      </c>
      <c r="I63" s="15" t="str">
        <f>VLOOKUP(F63, Factor!$CO$4:$CR$10, 3, 0)</f>
        <v>shell</v>
      </c>
      <c r="J63" s="15">
        <v>1</v>
      </c>
      <c r="K63" s="15">
        <v>1</v>
      </c>
      <c r="L63" s="15">
        <v>1</v>
      </c>
      <c r="M63" s="15">
        <v>1</v>
      </c>
      <c r="N63" s="15">
        <v>1</v>
      </c>
      <c r="O63" s="15" cm="1">
        <f t="array" ref="O63">J63*VLOOKUP($H63, Factor!$AN$4:$AS$36, 2, 0)*INDEX(Factor!$AN$41:$AS$87, _xlfn.XMATCH($C63, Factor!$AN$41:$AN$87, -1), 2)*IFERROR(VLOOKUP($I63, Factor!$AU$4:$AX$9, 2, 0),1)</f>
        <v>0</v>
      </c>
      <c r="P63" s="15" cm="1">
        <f t="array" ref="P63">K63*VLOOKUP($H63, Factor!$AN$4:$AS$36, 3, 0)*INDEX(Factor!$AN$41:$AS$87, _xlfn.XMATCH($C63, Factor!$AN$41:$AN$87, -1), 3)*IFERROR(VLOOKUP($I63, Factor!$AU$4:$AX$9, 3, 0),1)</f>
        <v>7</v>
      </c>
      <c r="Q63" s="15" cm="1">
        <f t="array" ref="Q63">L63*VLOOKUP($H63, Factor!$AN$4:$AS$36, 4, 0)*INDEX(Factor!$AN$41:$AS$87, _xlfn.XMATCH($C63, Factor!$AN$41:$AN$87, -1), 4)</f>
        <v>0</v>
      </c>
      <c r="R63" s="15" cm="1">
        <f t="array" ref="R63">M63*VLOOKUP($H63, Factor!$AN$4:$AS$36, 5, 0)*INDEX(Factor!$AN$41:$AS$87, _xlfn.XMATCH($C63, Factor!$AN$41:$AN$87, -1), 5)</f>
        <v>0</v>
      </c>
      <c r="S63" s="15" cm="1">
        <f t="array" ref="S63">N63*VLOOKUP($H63, Factor!$AN$4:$AS$36, 6, 0)*INDEX(Factor!$AN$41:$AS$87, _xlfn.XMATCH($C63, Factor!$AN$41:$AN$87, -1), 6)*IFERROR(VLOOKUP($I63, Factor!$AU$4:$AX$9, 4, 0),1)</f>
        <v>8400</v>
      </c>
      <c r="T63" s="16"/>
    </row>
    <row r="64" spans="1:20" ht="15.75" customHeight="1" x14ac:dyDescent="0.2">
      <c r="A64" s="17" t="str">
        <f>"parlor_"&amp;VLOOKUP(F64, Factor!$CO$4:$CR$10, 4, 0)&amp;D64&amp;"_"&amp;VLOOKUP(E64, Factor!$CS$4:$CT$13, 2, 0)</f>
        <v>parlor_Indu_Missile_T3_003</v>
      </c>
      <c r="B64" s="18" t="str">
        <f t="shared" si="0"/>
        <v>T3 대형 미사일공장</v>
      </c>
      <c r="C64" s="18">
        <f>VLOOKUP(D64, Factor!$AM$41:$AN$50, 2, 0)</f>
        <v>15000</v>
      </c>
      <c r="D64" s="18" t="s">
        <v>299</v>
      </c>
      <c r="E64" s="55" t="s">
        <v>583</v>
      </c>
      <c r="F64" s="55" t="s">
        <v>698</v>
      </c>
      <c r="G64" s="18" t="str">
        <f t="shared" si="1"/>
        <v>대형 미사일공장</v>
      </c>
      <c r="H64" s="18" t="str">
        <f>VLOOKUP(F64, Factor!$CO$4:$CR$10, 2, 0)</f>
        <v>공업</v>
      </c>
      <c r="I64" s="18" t="str">
        <f>VLOOKUP(F64, Factor!$CO$4:$CR$10, 3, 0)</f>
        <v>missile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 cm="1">
        <f t="array" ref="O64">J64*VLOOKUP($H64, Factor!$AN$4:$AS$36, 2, 0)*INDEX(Factor!$AN$41:$AS$87, _xlfn.XMATCH($C64, Factor!$AN$41:$AN$87, -1), 2)*IFERROR(VLOOKUP($I64, Factor!$AU$4:$AX$9, 2, 0),1)</f>
        <v>0</v>
      </c>
      <c r="P64" s="18" cm="1">
        <f t="array" ref="P64">K64*VLOOKUP($H64, Factor!$AN$4:$AS$36, 3, 0)*INDEX(Factor!$AN$41:$AS$87, _xlfn.XMATCH($C64, Factor!$AN$41:$AN$87, -1), 3)*IFERROR(VLOOKUP($I64, Factor!$AU$4:$AX$9, 3, 0),1)</f>
        <v>2.8</v>
      </c>
      <c r="Q64" s="18" cm="1">
        <f t="array" ref="Q64">L64*VLOOKUP($H64, Factor!$AN$4:$AS$36, 4, 0)*INDEX(Factor!$AN$41:$AS$87, _xlfn.XMATCH($C64, Factor!$AN$41:$AN$87, -1), 4)</f>
        <v>0</v>
      </c>
      <c r="R64" s="18" cm="1">
        <f t="array" ref="R64">M64*VLOOKUP($H64, Factor!$AN$4:$AS$36, 5, 0)*INDEX(Factor!$AN$41:$AS$87, _xlfn.XMATCH($C64, Factor!$AN$41:$AN$87, -1), 5)</f>
        <v>0</v>
      </c>
      <c r="S64" s="18" cm="1">
        <f t="array" ref="S64">N64*VLOOKUP($H64, Factor!$AN$4:$AS$36, 6, 0)*INDEX(Factor!$AN$41:$AS$87, _xlfn.XMATCH($C64, Factor!$AN$41:$AN$87, -1), 6)*IFERROR(VLOOKUP($I64, Factor!$AU$4:$AX$9, 4, 0),1)</f>
        <v>9100</v>
      </c>
      <c r="T64" s="19"/>
    </row>
    <row r="65" spans="1:20" ht="15.75" customHeight="1" x14ac:dyDescent="0.2">
      <c r="A65" s="14" t="str">
        <f>"parlor_"&amp;VLOOKUP(F65, Factor!$CO$4:$CR$10, 4, 0)&amp;D65&amp;"_"&amp;VLOOKUP(E65, Factor!$CS$4:$CT$13, 2, 0)</f>
        <v>parlor_Indu_Siecleium_T3_003</v>
      </c>
      <c r="B65" s="15" t="str">
        <f t="shared" si="0"/>
        <v>T3 대형 서클리움 정제소</v>
      </c>
      <c r="C65" s="15">
        <f>VLOOKUP(D65, Factor!$AM$41:$AN$50, 2, 0)</f>
        <v>15000</v>
      </c>
      <c r="D65" s="15" t="s">
        <v>299</v>
      </c>
      <c r="E65" s="56" t="s">
        <v>583</v>
      </c>
      <c r="F65" s="56" t="s">
        <v>699</v>
      </c>
      <c r="G65" s="15" t="str">
        <f t="shared" si="1"/>
        <v>대형 서클리움 정제소</v>
      </c>
      <c r="H65" s="15" t="str">
        <f>VLOOKUP(F65, Factor!$CO$4:$CR$10, 2, 0)</f>
        <v>공업</v>
      </c>
      <c r="I65" s="15" t="str">
        <f>VLOOKUP(F65, Factor!$CO$4:$CR$10, 3, 0)</f>
        <v>siecleium</v>
      </c>
      <c r="J65" s="15">
        <v>1</v>
      </c>
      <c r="K65" s="15">
        <v>1</v>
      </c>
      <c r="L65" s="15">
        <v>1</v>
      </c>
      <c r="M65" s="15">
        <v>1</v>
      </c>
      <c r="N65" s="15">
        <v>1</v>
      </c>
      <c r="O65" s="15" cm="1">
        <f t="array" ref="O65">J65*VLOOKUP($H65, Factor!$AN$4:$AS$36, 2, 0)*INDEX(Factor!$AN$41:$AS$87, _xlfn.XMATCH($C65, Factor!$AN$41:$AN$87, -1), 2)*IFERROR(VLOOKUP($I65, Factor!$AU$4:$AX$9, 2, 0),1)</f>
        <v>0</v>
      </c>
      <c r="P65" s="15" cm="1">
        <f t="array" ref="P65">K65*VLOOKUP($H65, Factor!$AN$4:$AS$36, 3, 0)*INDEX(Factor!$AN$41:$AS$87, _xlfn.XMATCH($C65, Factor!$AN$41:$AN$87, -1), 3)*IFERROR(VLOOKUP($I65, Factor!$AU$4:$AX$9, 3, 0),1)</f>
        <v>14</v>
      </c>
      <c r="Q65" s="15" cm="1">
        <f t="array" ref="Q65">L65*VLOOKUP($H65, Factor!$AN$4:$AS$36, 4, 0)*INDEX(Factor!$AN$41:$AS$87, _xlfn.XMATCH($C65, Factor!$AN$41:$AN$87, -1), 4)</f>
        <v>0</v>
      </c>
      <c r="R65" s="15" cm="1">
        <f t="array" ref="R65">M65*VLOOKUP($H65, Factor!$AN$4:$AS$36, 5, 0)*INDEX(Factor!$AN$41:$AS$87, _xlfn.XMATCH($C65, Factor!$AN$41:$AN$87, -1), 5)</f>
        <v>0</v>
      </c>
      <c r="S65" s="15" cm="1">
        <f t="array" ref="S65">N65*VLOOKUP($H65, Factor!$AN$4:$AS$36, 6, 0)*INDEX(Factor!$AN$41:$AS$87, _xlfn.XMATCH($C65, Factor!$AN$41:$AN$87, -1), 6)*IFERROR(VLOOKUP($I65, Factor!$AU$4:$AX$9, 4, 0),1)</f>
        <v>7000</v>
      </c>
      <c r="T65" s="16"/>
    </row>
    <row r="66" spans="1:20" ht="15.75" customHeight="1" x14ac:dyDescent="0.2">
      <c r="A66" s="17" t="str">
        <f>"parlor_"&amp;VLOOKUP(F66, Factor!$CO$4:$CR$10, 4, 0)&amp;D66&amp;"_"&amp;VLOOKUP(E66, Factor!$CS$4:$CT$13, 2, 0)</f>
        <v>parlor_Trans_Inven_T3_003</v>
      </c>
      <c r="B66" s="18" t="str">
        <f t="shared" si="0"/>
        <v>T3 대형 화물 수송 칸</v>
      </c>
      <c r="C66" s="18">
        <f>VLOOKUP(D66, Factor!$AM$41:$AN$50, 2, 0)</f>
        <v>15000</v>
      </c>
      <c r="D66" s="18" t="s">
        <v>299</v>
      </c>
      <c r="E66" s="55" t="s">
        <v>583</v>
      </c>
      <c r="F66" s="55" t="s">
        <v>700</v>
      </c>
      <c r="G66" s="18" t="str">
        <f t="shared" si="1"/>
        <v>대형 화물 수송 칸</v>
      </c>
      <c r="H66" s="18" t="str">
        <f>VLOOKUP(F66, Factor!$CO$4:$CR$10, 2, 0)</f>
        <v>물자수송</v>
      </c>
      <c r="I66" s="18" t="str">
        <f>VLOOKUP(F66, Factor!$CO$4:$CR$10, 3, 0)</f>
        <v>null</v>
      </c>
      <c r="J66" s="18">
        <v>1</v>
      </c>
      <c r="K66" s="18">
        <v>1</v>
      </c>
      <c r="L66" s="18">
        <v>1</v>
      </c>
      <c r="M66" s="18">
        <v>1</v>
      </c>
      <c r="N66" s="18">
        <v>1</v>
      </c>
      <c r="O66" s="18" cm="1">
        <f t="array" ref="O66">J66*VLOOKUP($H66, Factor!$AN$4:$AS$36, 2, 0)*INDEX(Factor!$AN$41:$AS$87, _xlfn.XMATCH($C66, Factor!$AN$41:$AN$87, -1), 2)*IFERROR(VLOOKUP($I66, Factor!$AU$4:$AX$9, 2, 0),1)</f>
        <v>0</v>
      </c>
      <c r="P66" s="18" cm="1">
        <f t="array" ref="P66">K66*VLOOKUP($H66, Factor!$AN$4:$AS$36, 3, 0)*INDEX(Factor!$AN$41:$AS$87, _xlfn.XMATCH($C66, Factor!$AN$41:$AN$87, -1), 3)*IFERROR(VLOOKUP($I66, Factor!$AU$4:$AX$9, 3, 0),1)</f>
        <v>0</v>
      </c>
      <c r="Q66" s="18" cm="1">
        <f t="array" ref="Q66">L66*VLOOKUP($H66, Factor!$AN$4:$AS$36, 4, 0)*INDEX(Factor!$AN$41:$AS$87, _xlfn.XMATCH($C66, Factor!$AN$41:$AN$87, -1), 4)</f>
        <v>2.8</v>
      </c>
      <c r="R66" s="18" cm="1">
        <f t="array" ref="R66">M66*VLOOKUP($H66, Factor!$AN$4:$AS$36, 5, 0)*INDEX(Factor!$AN$41:$AS$87, _xlfn.XMATCH($C66, Factor!$AN$41:$AN$87, -1), 5)</f>
        <v>0</v>
      </c>
      <c r="S66" s="18" cm="1">
        <f t="array" ref="S66">N66*VLOOKUP($H66, Factor!$AN$4:$AS$36, 6, 0)*INDEX(Factor!$AN$41:$AS$87, _xlfn.XMATCH($C66, Factor!$AN$41:$AN$87, -1), 6)*IFERROR(VLOOKUP($I66, Factor!$AU$4:$AX$9, 4, 0),1)</f>
        <v>2800</v>
      </c>
      <c r="T66" s="19"/>
    </row>
    <row r="67" spans="1:20" ht="15.75" customHeight="1" x14ac:dyDescent="0.2">
      <c r="A67" s="14" t="str">
        <f>"parlor_"&amp;VLOOKUP(F67, Factor!$CO$4:$CR$10, 4, 0)&amp;D67&amp;"_"&amp;VLOOKUP(E67, Factor!$CS$4:$CT$13, 2, 0)</f>
        <v>parlor_Trans_Pass_T3_003</v>
      </c>
      <c r="B67" s="15" t="str">
        <f t="shared" si="0"/>
        <v>T3 대형 인원 수송 칸</v>
      </c>
      <c r="C67" s="15">
        <f>VLOOKUP(D67, Factor!$AM$41:$AN$50, 2, 0)</f>
        <v>15000</v>
      </c>
      <c r="D67" s="15" t="s">
        <v>299</v>
      </c>
      <c r="E67" s="56" t="s">
        <v>583</v>
      </c>
      <c r="F67" s="56" t="s">
        <v>701</v>
      </c>
      <c r="G67" s="15" t="str">
        <f t="shared" si="1"/>
        <v>대형 인원 수송 칸</v>
      </c>
      <c r="H67" s="15" t="str">
        <f>VLOOKUP(F67, Factor!$CO$4:$CR$10, 2, 0)</f>
        <v>인원수송</v>
      </c>
      <c r="I67" s="15" t="str">
        <f>VLOOKUP(F67, Factor!$CO$4:$CR$10, 3, 0)</f>
        <v>null</v>
      </c>
      <c r="J67" s="15">
        <v>1</v>
      </c>
      <c r="K67" s="15">
        <v>1</v>
      </c>
      <c r="L67" s="15">
        <v>1</v>
      </c>
      <c r="M67" s="15">
        <v>1</v>
      </c>
      <c r="N67" s="15">
        <v>1</v>
      </c>
      <c r="O67" s="15" cm="1">
        <f t="array" ref="O67">J67*VLOOKUP($H67, Factor!$AN$4:$AS$36, 2, 0)*INDEX(Factor!$AN$41:$AS$87, _xlfn.XMATCH($C67, Factor!$AN$41:$AN$87, -1), 2)*IFERROR(VLOOKUP($I67, Factor!$AU$4:$AX$9, 2, 0),1)</f>
        <v>0</v>
      </c>
      <c r="P67" s="15" cm="1">
        <f t="array" ref="P67">K67*VLOOKUP($H67, Factor!$AN$4:$AS$36, 3, 0)*INDEX(Factor!$AN$41:$AS$87, _xlfn.XMATCH($C67, Factor!$AN$41:$AN$87, -1), 3)*IFERROR(VLOOKUP($I67, Factor!$AU$4:$AX$9, 3, 0),1)</f>
        <v>0</v>
      </c>
      <c r="Q67" s="15" cm="1">
        <f t="array" ref="Q67">L67*VLOOKUP($H67, Factor!$AN$4:$AS$36, 4, 0)*INDEX(Factor!$AN$41:$AS$87, _xlfn.XMATCH($C67, Factor!$AN$41:$AN$87, -1), 4)</f>
        <v>0</v>
      </c>
      <c r="R67" s="15" cm="1">
        <f t="array" ref="R67">M67*VLOOKUP($H67, Factor!$AN$4:$AS$36, 5, 0)*INDEX(Factor!$AN$41:$AS$87, _xlfn.XMATCH($C67, Factor!$AN$41:$AN$87, -1), 5)</f>
        <v>5.6</v>
      </c>
      <c r="S67" s="15" cm="1">
        <f t="array" ref="S67">N67*VLOOKUP($H67, Factor!$AN$4:$AS$36, 6, 0)*INDEX(Factor!$AN$41:$AS$87, _xlfn.XMATCH($C67, Factor!$AN$41:$AN$87, -1), 6)*IFERROR(VLOOKUP($I67, Factor!$AU$4:$AX$9, 4, 0),1)</f>
        <v>1400</v>
      </c>
      <c r="T67" s="16"/>
    </row>
    <row r="68" spans="1:20" ht="15.75" customHeight="1" x14ac:dyDescent="0.2">
      <c r="A68" s="17" t="str">
        <f>"parlor_"&amp;VLOOKUP(F68, Factor!$CO$4:$CR$10, 4, 0)&amp;D68&amp;"_"&amp;VLOOKUP(E68, Factor!$CS$4:$CT$13, 2, 0)</f>
        <v>parlor_Prod_Food_T4_001</v>
      </c>
      <c r="B68" s="18" t="str">
        <f t="shared" si="0"/>
        <v>T4 표준 스마트팜</v>
      </c>
      <c r="C68" s="18">
        <f>VLOOKUP(D68, Factor!$AM$41:$AN$50, 2, 0)</f>
        <v>20000</v>
      </c>
      <c r="D68" s="18" t="s">
        <v>323</v>
      </c>
      <c r="E68" s="55" t="s">
        <v>582</v>
      </c>
      <c r="F68" s="55" t="s">
        <v>695</v>
      </c>
      <c r="G68" s="18" t="str">
        <f t="shared" si="1"/>
        <v>표준 스마트팜</v>
      </c>
      <c r="H68" s="18" t="str">
        <f>VLOOKUP(F68, Factor!$CO$4:$CR$10, 2, 0)</f>
        <v>생산</v>
      </c>
      <c r="I68" s="18" t="str">
        <f>VLOOKUP(F68, Factor!$CO$4:$CR$10, 3, 0)</f>
        <v>food</v>
      </c>
      <c r="J68" s="18">
        <v>1</v>
      </c>
      <c r="K68" s="18">
        <v>1</v>
      </c>
      <c r="L68" s="18">
        <v>1</v>
      </c>
      <c r="M68" s="18">
        <v>1</v>
      </c>
      <c r="N68" s="18">
        <v>1</v>
      </c>
      <c r="O68" s="18" cm="1">
        <f t="array" ref="O68">J68*VLOOKUP($H68, Factor!$AN$4:$AS$36, 2, 0)*INDEX(Factor!$AN$41:$AS$87, _xlfn.XMATCH($C68, Factor!$AN$41:$AN$87, -1), 2)*IFERROR(VLOOKUP($I68, Factor!$AU$4:$AX$9, 2, 0),1)</f>
        <v>16</v>
      </c>
      <c r="P68" s="18" cm="1">
        <f t="array" ref="P68">K68*VLOOKUP($H68, Factor!$AN$4:$AS$36, 3, 0)*INDEX(Factor!$AN$41:$AS$87, _xlfn.XMATCH($C68, Factor!$AN$41:$AN$87, -1), 3)*IFERROR(VLOOKUP($I68, Factor!$AU$4:$AX$9, 3, 0),1)</f>
        <v>0</v>
      </c>
      <c r="Q68" s="18" cm="1">
        <f t="array" ref="Q68">L68*VLOOKUP($H68, Factor!$AN$4:$AS$36, 4, 0)*INDEX(Factor!$AN$41:$AS$87, _xlfn.XMATCH($C68, Factor!$AN$41:$AN$87, -1), 4)</f>
        <v>1.6</v>
      </c>
      <c r="R68" s="18" cm="1">
        <f t="array" ref="R68">M68*VLOOKUP($H68, Factor!$AN$4:$AS$36, 5, 0)*INDEX(Factor!$AN$41:$AS$87, _xlfn.XMATCH($C68, Factor!$AN$41:$AN$87, -1), 5)</f>
        <v>1.6</v>
      </c>
      <c r="S68" s="18" cm="1">
        <f t="array" ref="S68">N68*VLOOKUP($H68, Factor!$AN$4:$AS$36, 6, 0)*INDEX(Factor!$AN$41:$AS$87, _xlfn.XMATCH($C68, Factor!$AN$41:$AN$87, -1), 6)*IFERROR(VLOOKUP($I68, Factor!$AU$4:$AX$9, 4, 0),1)</f>
        <v>8000</v>
      </c>
      <c r="T68" s="19"/>
    </row>
    <row r="69" spans="1:20" ht="15.75" customHeight="1" x14ac:dyDescent="0.2">
      <c r="A69" s="14" t="str">
        <f>"parlor_"&amp;VLOOKUP(F69, Factor!$CO$4:$CR$10, 4, 0)&amp;D69&amp;"_"&amp;VLOOKUP(E69, Factor!$CS$4:$CT$13, 2, 0)</f>
        <v>parlor_Indu_Ammo_T4_001</v>
      </c>
      <c r="B69" s="15" t="str">
        <f t="shared" si="0"/>
        <v>T4 표준 탄약공장</v>
      </c>
      <c r="C69" s="15">
        <f>VLOOKUP(D69, Factor!$AM$41:$AN$50, 2, 0)</f>
        <v>20000</v>
      </c>
      <c r="D69" s="15" t="s">
        <v>323</v>
      </c>
      <c r="E69" s="56" t="s">
        <v>582</v>
      </c>
      <c r="F69" s="56" t="s">
        <v>696</v>
      </c>
      <c r="G69" s="15" t="str">
        <f t="shared" si="1"/>
        <v>표준 탄약공장</v>
      </c>
      <c r="H69" s="15" t="str">
        <f>VLOOKUP(F69, Factor!$CO$4:$CR$10, 2, 0)</f>
        <v>공업</v>
      </c>
      <c r="I69" s="15" t="str">
        <f>VLOOKUP(F69, Factor!$CO$4:$CR$10, 3, 0)</f>
        <v>ammo</v>
      </c>
      <c r="J69" s="15">
        <v>1</v>
      </c>
      <c r="K69" s="15">
        <v>1</v>
      </c>
      <c r="L69" s="15">
        <v>1</v>
      </c>
      <c r="M69" s="15">
        <v>1</v>
      </c>
      <c r="N69" s="15">
        <v>1</v>
      </c>
      <c r="O69" s="15" cm="1">
        <f t="array" ref="O69">J69*VLOOKUP($H69, Factor!$AN$4:$AS$36, 2, 0)*INDEX(Factor!$AN$41:$AS$87, _xlfn.XMATCH($C69, Factor!$AN$41:$AN$87, -1), 2)*IFERROR(VLOOKUP($I69, Factor!$AU$4:$AX$9, 2, 0),1)</f>
        <v>0</v>
      </c>
      <c r="P69" s="15" cm="1">
        <f t="array" ref="P69">K69*VLOOKUP($H69, Factor!$AN$4:$AS$36, 3, 0)*INDEX(Factor!$AN$41:$AS$87, _xlfn.XMATCH($C69, Factor!$AN$41:$AN$87, -1), 3)*IFERROR(VLOOKUP($I69, Factor!$AU$4:$AX$9, 3, 0),1)</f>
        <v>16</v>
      </c>
      <c r="Q69" s="15" cm="1">
        <f t="array" ref="Q69">L69*VLOOKUP($H69, Factor!$AN$4:$AS$36, 4, 0)*INDEX(Factor!$AN$41:$AS$87, _xlfn.XMATCH($C69, Factor!$AN$41:$AN$87, -1), 4)</f>
        <v>0</v>
      </c>
      <c r="R69" s="15" cm="1">
        <f t="array" ref="R69">M69*VLOOKUP($H69, Factor!$AN$4:$AS$36, 5, 0)*INDEX(Factor!$AN$41:$AS$87, _xlfn.XMATCH($C69, Factor!$AN$41:$AN$87, -1), 5)</f>
        <v>0</v>
      </c>
      <c r="S69" s="15" cm="1">
        <f t="array" ref="S69">N69*VLOOKUP($H69, Factor!$AN$4:$AS$36, 6, 0)*INDEX(Factor!$AN$41:$AS$87, _xlfn.XMATCH($C69, Factor!$AN$41:$AN$87, -1), 6)*IFERROR(VLOOKUP($I69, Factor!$AU$4:$AX$9, 4, 0),1)</f>
        <v>8000</v>
      </c>
      <c r="T69" s="16"/>
    </row>
    <row r="70" spans="1:20" ht="15.75" customHeight="1" x14ac:dyDescent="0.2">
      <c r="A70" s="17" t="str">
        <f>"parlor_"&amp;VLOOKUP(F70, Factor!$CO$4:$CR$10, 4, 0)&amp;D70&amp;"_"&amp;VLOOKUP(E70, Factor!$CS$4:$CT$13, 2, 0)</f>
        <v>parlor_Indu_Shell_T4_001</v>
      </c>
      <c r="B70" s="18" t="str">
        <f t="shared" ref="B70:B74" si="2">D70&amp;" "&amp;G70</f>
        <v>T4 표준 포탄공장</v>
      </c>
      <c r="C70" s="18">
        <f>VLOOKUP(D70, Factor!$AM$41:$AN$50, 2, 0)</f>
        <v>20000</v>
      </c>
      <c r="D70" s="18" t="s">
        <v>300</v>
      </c>
      <c r="E70" s="55" t="s">
        <v>582</v>
      </c>
      <c r="F70" s="55" t="s">
        <v>697</v>
      </c>
      <c r="G70" s="18" t="str">
        <f t="shared" ref="G70:G74" si="3">E70&amp;" "&amp;F70</f>
        <v>표준 포탄공장</v>
      </c>
      <c r="H70" s="18" t="str">
        <f>VLOOKUP(F70, Factor!$CO$4:$CR$10, 2, 0)</f>
        <v>공업</v>
      </c>
      <c r="I70" s="18" t="str">
        <f>VLOOKUP(F70, Factor!$CO$4:$CR$10, 3, 0)</f>
        <v>shell</v>
      </c>
      <c r="J70" s="18">
        <v>1</v>
      </c>
      <c r="K70" s="18">
        <v>1</v>
      </c>
      <c r="L70" s="18">
        <v>1</v>
      </c>
      <c r="M70" s="18">
        <v>1</v>
      </c>
      <c r="N70" s="18">
        <v>1</v>
      </c>
      <c r="O70" s="18" cm="1">
        <f t="array" ref="O70">J70*VLOOKUP($H70, Factor!$AN$4:$AS$36, 2, 0)*INDEX(Factor!$AN$41:$AS$87, _xlfn.XMATCH($C70, Factor!$AN$41:$AN$87, -1), 2)*IFERROR(VLOOKUP($I70, Factor!$AU$4:$AX$9, 2, 0),1)</f>
        <v>0</v>
      </c>
      <c r="P70" s="18" cm="1">
        <f t="array" ref="P70">K70*VLOOKUP($H70, Factor!$AN$4:$AS$36, 3, 0)*INDEX(Factor!$AN$41:$AS$87, _xlfn.XMATCH($C70, Factor!$AN$41:$AN$87, -1), 3)*IFERROR(VLOOKUP($I70, Factor!$AU$4:$AX$9, 3, 0),1)</f>
        <v>8</v>
      </c>
      <c r="Q70" s="18" cm="1">
        <f t="array" ref="Q70">L70*VLOOKUP($H70, Factor!$AN$4:$AS$36, 4, 0)*INDEX(Factor!$AN$41:$AS$87, _xlfn.XMATCH($C70, Factor!$AN$41:$AN$87, -1), 4)</f>
        <v>0</v>
      </c>
      <c r="R70" s="18" cm="1">
        <f t="array" ref="R70">M70*VLOOKUP($H70, Factor!$AN$4:$AS$36, 5, 0)*INDEX(Factor!$AN$41:$AS$87, _xlfn.XMATCH($C70, Factor!$AN$41:$AN$87, -1), 5)</f>
        <v>0</v>
      </c>
      <c r="S70" s="18" cm="1">
        <f t="array" ref="S70">N70*VLOOKUP($H70, Factor!$AN$4:$AS$36, 6, 0)*INDEX(Factor!$AN$41:$AS$87, _xlfn.XMATCH($C70, Factor!$AN$41:$AN$87, -1), 6)*IFERROR(VLOOKUP($I70, Factor!$AU$4:$AX$9, 4, 0),1)</f>
        <v>9600</v>
      </c>
      <c r="T70" s="19"/>
    </row>
    <row r="71" spans="1:20" ht="15.75" customHeight="1" x14ac:dyDescent="0.2">
      <c r="A71" s="14" t="str">
        <f>"parlor_"&amp;VLOOKUP(F71, Factor!$CO$4:$CR$10, 4, 0)&amp;D71&amp;"_"&amp;VLOOKUP(E71, Factor!$CS$4:$CT$13, 2, 0)</f>
        <v>parlor_Indu_Missile_T4_001</v>
      </c>
      <c r="B71" s="15" t="str">
        <f t="shared" si="2"/>
        <v>T4 표준 미사일공장</v>
      </c>
      <c r="C71" s="15">
        <f>VLOOKUP(D71, Factor!$AM$41:$AN$50, 2, 0)</f>
        <v>20000</v>
      </c>
      <c r="D71" s="15" t="s">
        <v>300</v>
      </c>
      <c r="E71" s="56" t="s">
        <v>582</v>
      </c>
      <c r="F71" s="56" t="s">
        <v>698</v>
      </c>
      <c r="G71" s="15" t="str">
        <f t="shared" si="3"/>
        <v>표준 미사일공장</v>
      </c>
      <c r="H71" s="15" t="str">
        <f>VLOOKUP(F71, Factor!$CO$4:$CR$10, 2, 0)</f>
        <v>공업</v>
      </c>
      <c r="I71" s="15" t="str">
        <f>VLOOKUP(F71, Factor!$CO$4:$CR$10, 3, 0)</f>
        <v>missile</v>
      </c>
      <c r="J71" s="15">
        <v>1</v>
      </c>
      <c r="K71" s="15">
        <v>1</v>
      </c>
      <c r="L71" s="15">
        <v>1</v>
      </c>
      <c r="M71" s="15">
        <v>1</v>
      </c>
      <c r="N71" s="15">
        <v>1</v>
      </c>
      <c r="O71" s="15" cm="1">
        <f t="array" ref="O71">J71*VLOOKUP($H71, Factor!$AN$4:$AS$36, 2, 0)*INDEX(Factor!$AN$41:$AS$87, _xlfn.XMATCH($C71, Factor!$AN$41:$AN$87, -1), 2)*IFERROR(VLOOKUP($I71, Factor!$AU$4:$AX$9, 2, 0),1)</f>
        <v>0</v>
      </c>
      <c r="P71" s="15" cm="1">
        <f t="array" ref="P71">K71*VLOOKUP($H71, Factor!$AN$4:$AS$36, 3, 0)*INDEX(Factor!$AN$41:$AS$87, _xlfn.XMATCH($C71, Factor!$AN$41:$AN$87, -1), 3)*IFERROR(VLOOKUP($I71, Factor!$AU$4:$AX$9, 3, 0),1)</f>
        <v>3.2</v>
      </c>
      <c r="Q71" s="15" cm="1">
        <f t="array" ref="Q71">L71*VLOOKUP($H71, Factor!$AN$4:$AS$36, 4, 0)*INDEX(Factor!$AN$41:$AS$87, _xlfn.XMATCH($C71, Factor!$AN$41:$AN$87, -1), 4)</f>
        <v>0</v>
      </c>
      <c r="R71" s="15" cm="1">
        <f t="array" ref="R71">M71*VLOOKUP($H71, Factor!$AN$4:$AS$36, 5, 0)*INDEX(Factor!$AN$41:$AS$87, _xlfn.XMATCH($C71, Factor!$AN$41:$AN$87, -1), 5)</f>
        <v>0</v>
      </c>
      <c r="S71" s="15" cm="1">
        <f t="array" ref="S71">N71*VLOOKUP($H71, Factor!$AN$4:$AS$36, 6, 0)*INDEX(Factor!$AN$41:$AS$87, _xlfn.XMATCH($C71, Factor!$AN$41:$AN$87, -1), 6)*IFERROR(VLOOKUP($I71, Factor!$AU$4:$AX$9, 4, 0),1)</f>
        <v>10400</v>
      </c>
      <c r="T71" s="16"/>
    </row>
    <row r="72" spans="1:20" ht="15.75" customHeight="1" x14ac:dyDescent="0.2">
      <c r="A72" s="17" t="str">
        <f>"parlor_"&amp;VLOOKUP(F72, Factor!$CO$4:$CR$10, 4, 0)&amp;D72&amp;"_"&amp;VLOOKUP(E72, Factor!$CS$4:$CT$13, 2, 0)</f>
        <v>parlor_Indu_Siecleium_T4_001</v>
      </c>
      <c r="B72" s="18" t="str">
        <f t="shared" si="2"/>
        <v>T4 표준 서클리움 정제소</v>
      </c>
      <c r="C72" s="18">
        <f>VLOOKUP(D72, Factor!$AM$41:$AN$50, 2, 0)</f>
        <v>20000</v>
      </c>
      <c r="D72" s="18" t="s">
        <v>300</v>
      </c>
      <c r="E72" s="55" t="s">
        <v>582</v>
      </c>
      <c r="F72" s="55" t="s">
        <v>699</v>
      </c>
      <c r="G72" s="18" t="str">
        <f t="shared" si="3"/>
        <v>표준 서클리움 정제소</v>
      </c>
      <c r="H72" s="18" t="str">
        <f>VLOOKUP(F72, Factor!$CO$4:$CR$10, 2, 0)</f>
        <v>공업</v>
      </c>
      <c r="I72" s="18" t="str">
        <f>VLOOKUP(F72, Factor!$CO$4:$CR$10, 3, 0)</f>
        <v>siecleium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 cm="1">
        <f t="array" ref="O72">J72*VLOOKUP($H72, Factor!$AN$4:$AS$36, 2, 0)*INDEX(Factor!$AN$41:$AS$87, _xlfn.XMATCH($C72, Factor!$AN$41:$AN$87, -1), 2)*IFERROR(VLOOKUP($I72, Factor!$AU$4:$AX$9, 2, 0),1)</f>
        <v>0</v>
      </c>
      <c r="P72" s="18" cm="1">
        <f t="array" ref="P72">K72*VLOOKUP($H72, Factor!$AN$4:$AS$36, 3, 0)*INDEX(Factor!$AN$41:$AS$87, _xlfn.XMATCH($C72, Factor!$AN$41:$AN$87, -1), 3)*IFERROR(VLOOKUP($I72, Factor!$AU$4:$AX$9, 3, 0),1)</f>
        <v>16</v>
      </c>
      <c r="Q72" s="18" cm="1">
        <f t="array" ref="Q72">L72*VLOOKUP($H72, Factor!$AN$4:$AS$36, 4, 0)*INDEX(Factor!$AN$41:$AS$87, _xlfn.XMATCH($C72, Factor!$AN$41:$AN$87, -1), 4)</f>
        <v>0</v>
      </c>
      <c r="R72" s="18" cm="1">
        <f t="array" ref="R72">M72*VLOOKUP($H72, Factor!$AN$4:$AS$36, 5, 0)*INDEX(Factor!$AN$41:$AS$87, _xlfn.XMATCH($C72, Factor!$AN$41:$AN$87, -1), 5)</f>
        <v>0</v>
      </c>
      <c r="S72" s="18" cm="1">
        <f t="array" ref="S72">N72*VLOOKUP($H72, Factor!$AN$4:$AS$36, 6, 0)*INDEX(Factor!$AN$41:$AS$87, _xlfn.XMATCH($C72, Factor!$AN$41:$AN$87, -1), 6)*IFERROR(VLOOKUP($I72, Factor!$AU$4:$AX$9, 4, 0),1)</f>
        <v>8000</v>
      </c>
      <c r="T72" s="19"/>
    </row>
    <row r="73" spans="1:20" ht="15.75" customHeight="1" x14ac:dyDescent="0.2">
      <c r="A73" s="14" t="str">
        <f>"parlor_"&amp;VLOOKUP(F73, Factor!$CO$4:$CR$10, 4, 0)&amp;D73&amp;"_"&amp;VLOOKUP(E73, Factor!$CS$4:$CT$13, 2, 0)</f>
        <v>parlor_Trans_Inven_T4_001</v>
      </c>
      <c r="B73" s="15" t="str">
        <f t="shared" si="2"/>
        <v>T4 표준 화물 수송 칸</v>
      </c>
      <c r="C73" s="15">
        <f>VLOOKUP(D73, Factor!$AM$41:$AN$50, 2, 0)</f>
        <v>20000</v>
      </c>
      <c r="D73" s="15" t="s">
        <v>300</v>
      </c>
      <c r="E73" s="56" t="s">
        <v>582</v>
      </c>
      <c r="F73" s="56" t="s">
        <v>700</v>
      </c>
      <c r="G73" s="15" t="str">
        <f t="shared" si="3"/>
        <v>표준 화물 수송 칸</v>
      </c>
      <c r="H73" s="15" t="str">
        <f>VLOOKUP(F73, Factor!$CO$4:$CR$10, 2, 0)</f>
        <v>물자수송</v>
      </c>
      <c r="I73" s="15" t="str">
        <f>VLOOKUP(F73, Factor!$CO$4:$CR$10, 3, 0)</f>
        <v>null</v>
      </c>
      <c r="J73" s="15">
        <v>1</v>
      </c>
      <c r="K73" s="15">
        <v>1</v>
      </c>
      <c r="L73" s="15">
        <v>1</v>
      </c>
      <c r="M73" s="15">
        <v>1</v>
      </c>
      <c r="N73" s="15">
        <v>1</v>
      </c>
      <c r="O73" s="15" cm="1">
        <f t="array" ref="O73">J73*VLOOKUP($H73, Factor!$AN$4:$AS$36, 2, 0)*INDEX(Factor!$AN$41:$AS$87, _xlfn.XMATCH($C73, Factor!$AN$41:$AN$87, -1), 2)*IFERROR(VLOOKUP($I73, Factor!$AU$4:$AX$9, 2, 0),1)</f>
        <v>0</v>
      </c>
      <c r="P73" s="15" cm="1">
        <f t="array" ref="P73">K73*VLOOKUP($H73, Factor!$AN$4:$AS$36, 3, 0)*INDEX(Factor!$AN$41:$AS$87, _xlfn.XMATCH($C73, Factor!$AN$41:$AN$87, -1), 3)*IFERROR(VLOOKUP($I73, Factor!$AU$4:$AX$9, 3, 0),1)</f>
        <v>0</v>
      </c>
      <c r="Q73" s="15" cm="1">
        <f t="array" ref="Q73">L73*VLOOKUP($H73, Factor!$AN$4:$AS$36, 4, 0)*INDEX(Factor!$AN$41:$AS$87, _xlfn.XMATCH($C73, Factor!$AN$41:$AN$87, -1), 4)</f>
        <v>3.2</v>
      </c>
      <c r="R73" s="15" cm="1">
        <f t="array" ref="R73">M73*VLOOKUP($H73, Factor!$AN$4:$AS$36, 5, 0)*INDEX(Factor!$AN$41:$AS$87, _xlfn.XMATCH($C73, Factor!$AN$41:$AN$87, -1), 5)</f>
        <v>0</v>
      </c>
      <c r="S73" s="15" cm="1">
        <f t="array" ref="S73">N73*VLOOKUP($H73, Factor!$AN$4:$AS$36, 6, 0)*INDEX(Factor!$AN$41:$AS$87, _xlfn.XMATCH($C73, Factor!$AN$41:$AN$87, -1), 6)*IFERROR(VLOOKUP($I73, Factor!$AU$4:$AX$9, 4, 0),1)</f>
        <v>3200</v>
      </c>
      <c r="T73" s="16"/>
    </row>
    <row r="74" spans="1:20" ht="15.75" customHeight="1" x14ac:dyDescent="0.2">
      <c r="A74" s="17" t="str">
        <f>"parlor_"&amp;VLOOKUP(F74, Factor!$CO$4:$CR$10, 4, 0)&amp;D74&amp;"_"&amp;VLOOKUP(E74, Factor!$CS$4:$CT$13, 2, 0)</f>
        <v>parlor_Trans_Pass_T4_001</v>
      </c>
      <c r="B74" s="18" t="str">
        <f t="shared" si="2"/>
        <v>T4 표준 인원 수송 칸</v>
      </c>
      <c r="C74" s="18">
        <f>VLOOKUP(D74, Factor!$AM$41:$AN$50, 2, 0)</f>
        <v>20000</v>
      </c>
      <c r="D74" s="18" t="s">
        <v>300</v>
      </c>
      <c r="E74" s="55" t="s">
        <v>582</v>
      </c>
      <c r="F74" s="55" t="s">
        <v>701</v>
      </c>
      <c r="G74" s="18" t="str">
        <f t="shared" si="3"/>
        <v>표준 인원 수송 칸</v>
      </c>
      <c r="H74" s="18" t="str">
        <f>VLOOKUP(F74, Factor!$CO$4:$CR$10, 2, 0)</f>
        <v>인원수송</v>
      </c>
      <c r="I74" s="18" t="str">
        <f>VLOOKUP(F74, Factor!$CO$4:$CR$10, 3, 0)</f>
        <v>null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 cm="1">
        <f t="array" ref="O74">J74*VLOOKUP($H74, Factor!$AN$4:$AS$36, 2, 0)*INDEX(Factor!$AN$41:$AS$87, _xlfn.XMATCH($C74, Factor!$AN$41:$AN$87, -1), 2)*IFERROR(VLOOKUP($I74, Factor!$AU$4:$AX$9, 2, 0),1)</f>
        <v>0</v>
      </c>
      <c r="P74" s="18" cm="1">
        <f t="array" ref="P74">K74*VLOOKUP($H74, Factor!$AN$4:$AS$36, 3, 0)*INDEX(Factor!$AN$41:$AS$87, _xlfn.XMATCH($C74, Factor!$AN$41:$AN$87, -1), 3)*IFERROR(VLOOKUP($I74, Factor!$AU$4:$AX$9, 3, 0),1)</f>
        <v>0</v>
      </c>
      <c r="Q74" s="18" cm="1">
        <f t="array" ref="Q74">L74*VLOOKUP($H74, Factor!$AN$4:$AS$36, 4, 0)*INDEX(Factor!$AN$41:$AS$87, _xlfn.XMATCH($C74, Factor!$AN$41:$AN$87, -1), 4)</f>
        <v>0</v>
      </c>
      <c r="R74" s="18" cm="1">
        <f t="array" ref="R74">M74*VLOOKUP($H74, Factor!$AN$4:$AS$36, 5, 0)*INDEX(Factor!$AN$41:$AS$87, _xlfn.XMATCH($C74, Factor!$AN$41:$AN$87, -1), 5)</f>
        <v>6.4</v>
      </c>
      <c r="S74" s="18" cm="1">
        <f t="array" ref="S74">N74*VLOOKUP($H74, Factor!$AN$4:$AS$36, 6, 0)*INDEX(Factor!$AN$41:$AS$87, _xlfn.XMATCH($C74, Factor!$AN$41:$AN$87, -1), 6)*IFERROR(VLOOKUP($I74, Factor!$AU$4:$AX$9, 4, 0),1)</f>
        <v>1600</v>
      </c>
      <c r="T74" s="19"/>
    </row>
    <row r="75" spans="1:20" ht="15.75" customHeight="1" x14ac:dyDescent="0.2">
      <c r="A75" s="14" t="str">
        <f>"parlor_"&amp;VLOOKUP(F75, Factor!$CO$4:$CR$10, 4, 0)&amp;D75&amp;"_"&amp;VLOOKUP(E75, Factor!$CS$4:$CT$13, 2, 0)</f>
        <v>parlor_Prod_Food_T4_002</v>
      </c>
      <c r="B75" s="15" t="str">
        <f t="shared" ref="B75:B138" si="4">D75&amp;" "&amp;G75</f>
        <v>T4 경량 스마트팜</v>
      </c>
      <c r="C75" s="15">
        <f>VLOOKUP(D75, Factor!$AM$41:$AN$50, 2, 0)</f>
        <v>20000</v>
      </c>
      <c r="D75" s="15" t="s">
        <v>300</v>
      </c>
      <c r="E75" s="56" t="s">
        <v>585</v>
      </c>
      <c r="F75" s="56" t="s">
        <v>695</v>
      </c>
      <c r="G75" s="15" t="str">
        <f t="shared" ref="G75:G138" si="5">E75&amp;" "&amp;F75</f>
        <v>경량 스마트팜</v>
      </c>
      <c r="H75" s="15" t="str">
        <f>VLOOKUP(F75, Factor!$CO$4:$CR$10, 2, 0)</f>
        <v>생산</v>
      </c>
      <c r="I75" s="15" t="str">
        <f>VLOOKUP(F75, Factor!$CO$4:$CR$10, 3, 0)</f>
        <v>food</v>
      </c>
      <c r="J75" s="15">
        <v>1</v>
      </c>
      <c r="K75" s="15">
        <v>1</v>
      </c>
      <c r="L75" s="15">
        <v>1</v>
      </c>
      <c r="M75" s="15">
        <v>1</v>
      </c>
      <c r="N75" s="15">
        <v>1</v>
      </c>
      <c r="O75" s="15" cm="1">
        <f t="array" ref="O75">J75*VLOOKUP($H75, Factor!$AN$4:$AS$36, 2, 0)*INDEX(Factor!$AN$41:$AS$87, _xlfn.XMATCH($C75, Factor!$AN$41:$AN$87, -1), 2)*IFERROR(VLOOKUP($I75, Factor!$AU$4:$AX$9, 2, 0),1)</f>
        <v>16</v>
      </c>
      <c r="P75" s="15" cm="1">
        <f t="array" ref="P75">K75*VLOOKUP($H75, Factor!$AN$4:$AS$36, 3, 0)*INDEX(Factor!$AN$41:$AS$87, _xlfn.XMATCH($C75, Factor!$AN$41:$AN$87, -1), 3)*IFERROR(VLOOKUP($I75, Factor!$AU$4:$AX$9, 3, 0),1)</f>
        <v>0</v>
      </c>
      <c r="Q75" s="15" cm="1">
        <f t="array" ref="Q75">L75*VLOOKUP($H75, Factor!$AN$4:$AS$36, 4, 0)*INDEX(Factor!$AN$41:$AS$87, _xlfn.XMATCH($C75, Factor!$AN$41:$AN$87, -1), 4)</f>
        <v>1.6</v>
      </c>
      <c r="R75" s="15" cm="1">
        <f t="array" ref="R75">M75*VLOOKUP($H75, Factor!$AN$4:$AS$36, 5, 0)*INDEX(Factor!$AN$41:$AS$87, _xlfn.XMATCH($C75, Factor!$AN$41:$AN$87, -1), 5)</f>
        <v>1.6</v>
      </c>
      <c r="S75" s="15" cm="1">
        <f t="array" ref="S75">N75*VLOOKUP($H75, Factor!$AN$4:$AS$36, 6, 0)*INDEX(Factor!$AN$41:$AS$87, _xlfn.XMATCH($C75, Factor!$AN$41:$AN$87, -1), 6)*IFERROR(VLOOKUP($I75, Factor!$AU$4:$AX$9, 4, 0),1)</f>
        <v>8000</v>
      </c>
      <c r="T75" s="16"/>
    </row>
    <row r="76" spans="1:20" ht="15.75" customHeight="1" x14ac:dyDescent="0.2">
      <c r="A76" s="17" t="str">
        <f>"parlor_"&amp;VLOOKUP(F76, Factor!$CO$4:$CR$10, 4, 0)&amp;D76&amp;"_"&amp;VLOOKUP(E76, Factor!$CS$4:$CT$13, 2, 0)</f>
        <v>parlor_Indu_Ammo_T4_002</v>
      </c>
      <c r="B76" s="18" t="str">
        <f t="shared" si="4"/>
        <v>T4 경량 탄약공장</v>
      </c>
      <c r="C76" s="18">
        <f>VLOOKUP(D76, Factor!$AM$41:$AN$50, 2, 0)</f>
        <v>20000</v>
      </c>
      <c r="D76" s="18" t="s">
        <v>300</v>
      </c>
      <c r="E76" s="55" t="s">
        <v>585</v>
      </c>
      <c r="F76" s="55" t="s">
        <v>696</v>
      </c>
      <c r="G76" s="18" t="str">
        <f t="shared" si="5"/>
        <v>경량 탄약공장</v>
      </c>
      <c r="H76" s="18" t="str">
        <f>VLOOKUP(F76, Factor!$CO$4:$CR$10, 2, 0)</f>
        <v>공업</v>
      </c>
      <c r="I76" s="18" t="str">
        <f>VLOOKUP(F76, Factor!$CO$4:$CR$10, 3, 0)</f>
        <v>ammo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 cm="1">
        <f t="array" ref="O76">J76*VLOOKUP($H76, Factor!$AN$4:$AS$36, 2, 0)*INDEX(Factor!$AN$41:$AS$87, _xlfn.XMATCH($C76, Factor!$AN$41:$AN$87, -1), 2)*IFERROR(VLOOKUP($I76, Factor!$AU$4:$AX$9, 2, 0),1)</f>
        <v>0</v>
      </c>
      <c r="P76" s="18" cm="1">
        <f t="array" ref="P76">K76*VLOOKUP($H76, Factor!$AN$4:$AS$36, 3, 0)*INDEX(Factor!$AN$41:$AS$87, _xlfn.XMATCH($C76, Factor!$AN$41:$AN$87, -1), 3)*IFERROR(VLOOKUP($I76, Factor!$AU$4:$AX$9, 3, 0),1)</f>
        <v>16</v>
      </c>
      <c r="Q76" s="18" cm="1">
        <f t="array" ref="Q76">L76*VLOOKUP($H76, Factor!$AN$4:$AS$36, 4, 0)*INDEX(Factor!$AN$41:$AS$87, _xlfn.XMATCH($C76, Factor!$AN$41:$AN$87, -1), 4)</f>
        <v>0</v>
      </c>
      <c r="R76" s="18" cm="1">
        <f t="array" ref="R76">M76*VLOOKUP($H76, Factor!$AN$4:$AS$36, 5, 0)*INDEX(Factor!$AN$41:$AS$87, _xlfn.XMATCH($C76, Factor!$AN$41:$AN$87, -1), 5)</f>
        <v>0</v>
      </c>
      <c r="S76" s="18" cm="1">
        <f t="array" ref="S76">N76*VLOOKUP($H76, Factor!$AN$4:$AS$36, 6, 0)*INDEX(Factor!$AN$41:$AS$87, _xlfn.XMATCH($C76, Factor!$AN$41:$AN$87, -1), 6)*IFERROR(VLOOKUP($I76, Factor!$AU$4:$AX$9, 4, 0),1)</f>
        <v>8000</v>
      </c>
      <c r="T76" s="19"/>
    </row>
    <row r="77" spans="1:20" ht="15.75" customHeight="1" x14ac:dyDescent="0.2">
      <c r="A77" s="14" t="str">
        <f>"parlor_"&amp;VLOOKUP(F77, Factor!$CO$4:$CR$10, 4, 0)&amp;D77&amp;"_"&amp;VLOOKUP(E77, Factor!$CS$4:$CT$13, 2, 0)</f>
        <v>parlor_Indu_Shell_T4_002</v>
      </c>
      <c r="B77" s="15" t="str">
        <f t="shared" si="4"/>
        <v>T4 경량 포탄공장</v>
      </c>
      <c r="C77" s="15">
        <f>VLOOKUP(D77, Factor!$AM$41:$AN$50, 2, 0)</f>
        <v>20000</v>
      </c>
      <c r="D77" s="15" t="s">
        <v>300</v>
      </c>
      <c r="E77" s="56" t="s">
        <v>585</v>
      </c>
      <c r="F77" s="56" t="s">
        <v>697</v>
      </c>
      <c r="G77" s="15" t="str">
        <f t="shared" si="5"/>
        <v>경량 포탄공장</v>
      </c>
      <c r="H77" s="15" t="str">
        <f>VLOOKUP(F77, Factor!$CO$4:$CR$10, 2, 0)</f>
        <v>공업</v>
      </c>
      <c r="I77" s="15" t="str">
        <f>VLOOKUP(F77, Factor!$CO$4:$CR$10, 3, 0)</f>
        <v>shell</v>
      </c>
      <c r="J77" s="15">
        <v>1</v>
      </c>
      <c r="K77" s="15">
        <v>1</v>
      </c>
      <c r="L77" s="15">
        <v>1</v>
      </c>
      <c r="M77" s="15">
        <v>1</v>
      </c>
      <c r="N77" s="15">
        <v>1</v>
      </c>
      <c r="O77" s="15" cm="1">
        <f t="array" ref="O77">J77*VLOOKUP($H77, Factor!$AN$4:$AS$36, 2, 0)*INDEX(Factor!$AN$41:$AS$87, _xlfn.XMATCH($C77, Factor!$AN$41:$AN$87, -1), 2)*IFERROR(VLOOKUP($I77, Factor!$AU$4:$AX$9, 2, 0),1)</f>
        <v>0</v>
      </c>
      <c r="P77" s="15" cm="1">
        <f t="array" ref="P77">K77*VLOOKUP($H77, Factor!$AN$4:$AS$36, 3, 0)*INDEX(Factor!$AN$41:$AS$87, _xlfn.XMATCH($C77, Factor!$AN$41:$AN$87, -1), 3)*IFERROR(VLOOKUP($I77, Factor!$AU$4:$AX$9, 3, 0),1)</f>
        <v>8</v>
      </c>
      <c r="Q77" s="15" cm="1">
        <f t="array" ref="Q77">L77*VLOOKUP($H77, Factor!$AN$4:$AS$36, 4, 0)*INDEX(Factor!$AN$41:$AS$87, _xlfn.XMATCH($C77, Factor!$AN$41:$AN$87, -1), 4)</f>
        <v>0</v>
      </c>
      <c r="R77" s="15" cm="1">
        <f t="array" ref="R77">M77*VLOOKUP($H77, Factor!$AN$4:$AS$36, 5, 0)*INDEX(Factor!$AN$41:$AS$87, _xlfn.XMATCH($C77, Factor!$AN$41:$AN$87, -1), 5)</f>
        <v>0</v>
      </c>
      <c r="S77" s="15" cm="1">
        <f t="array" ref="S77">N77*VLOOKUP($H77, Factor!$AN$4:$AS$36, 6, 0)*INDEX(Factor!$AN$41:$AS$87, _xlfn.XMATCH($C77, Factor!$AN$41:$AN$87, -1), 6)*IFERROR(VLOOKUP($I77, Factor!$AU$4:$AX$9, 4, 0),1)</f>
        <v>9600</v>
      </c>
      <c r="T77" s="16"/>
    </row>
    <row r="78" spans="1:20" ht="15.75" customHeight="1" x14ac:dyDescent="0.2">
      <c r="A78" s="17" t="str">
        <f>"parlor_"&amp;VLOOKUP(F78, Factor!$CO$4:$CR$10, 4, 0)&amp;D78&amp;"_"&amp;VLOOKUP(E78, Factor!$CS$4:$CT$13, 2, 0)</f>
        <v>parlor_Indu_Missile_T4_002</v>
      </c>
      <c r="B78" s="18" t="str">
        <f t="shared" si="4"/>
        <v>T4 경량 미사일공장</v>
      </c>
      <c r="C78" s="18">
        <f>VLOOKUP(D78, Factor!$AM$41:$AN$50, 2, 0)</f>
        <v>20000</v>
      </c>
      <c r="D78" s="18" t="s">
        <v>300</v>
      </c>
      <c r="E78" s="55" t="s">
        <v>585</v>
      </c>
      <c r="F78" s="55" t="s">
        <v>698</v>
      </c>
      <c r="G78" s="18" t="str">
        <f t="shared" si="5"/>
        <v>경량 미사일공장</v>
      </c>
      <c r="H78" s="18" t="str">
        <f>VLOOKUP(F78, Factor!$CO$4:$CR$10, 2, 0)</f>
        <v>공업</v>
      </c>
      <c r="I78" s="18" t="str">
        <f>VLOOKUP(F78, Factor!$CO$4:$CR$10, 3, 0)</f>
        <v>missile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 cm="1">
        <f t="array" ref="O78">J78*VLOOKUP($H78, Factor!$AN$4:$AS$36, 2, 0)*INDEX(Factor!$AN$41:$AS$87, _xlfn.XMATCH($C78, Factor!$AN$41:$AN$87, -1), 2)*IFERROR(VLOOKUP($I78, Factor!$AU$4:$AX$9, 2, 0),1)</f>
        <v>0</v>
      </c>
      <c r="P78" s="18" cm="1">
        <f t="array" ref="P78">K78*VLOOKUP($H78, Factor!$AN$4:$AS$36, 3, 0)*INDEX(Factor!$AN$41:$AS$87, _xlfn.XMATCH($C78, Factor!$AN$41:$AN$87, -1), 3)*IFERROR(VLOOKUP($I78, Factor!$AU$4:$AX$9, 3, 0),1)</f>
        <v>3.2</v>
      </c>
      <c r="Q78" s="18" cm="1">
        <f t="array" ref="Q78">L78*VLOOKUP($H78, Factor!$AN$4:$AS$36, 4, 0)*INDEX(Factor!$AN$41:$AS$87, _xlfn.XMATCH($C78, Factor!$AN$41:$AN$87, -1), 4)</f>
        <v>0</v>
      </c>
      <c r="R78" s="18" cm="1">
        <f t="array" ref="R78">M78*VLOOKUP($H78, Factor!$AN$4:$AS$36, 5, 0)*INDEX(Factor!$AN$41:$AS$87, _xlfn.XMATCH($C78, Factor!$AN$41:$AN$87, -1), 5)</f>
        <v>0</v>
      </c>
      <c r="S78" s="18" cm="1">
        <f t="array" ref="S78">N78*VLOOKUP($H78, Factor!$AN$4:$AS$36, 6, 0)*INDEX(Factor!$AN$41:$AS$87, _xlfn.XMATCH($C78, Factor!$AN$41:$AN$87, -1), 6)*IFERROR(VLOOKUP($I78, Factor!$AU$4:$AX$9, 4, 0),1)</f>
        <v>10400</v>
      </c>
      <c r="T78" s="19"/>
    </row>
    <row r="79" spans="1:20" ht="15.75" customHeight="1" x14ac:dyDescent="0.2">
      <c r="A79" s="14" t="str">
        <f>"parlor_"&amp;VLOOKUP(F79, Factor!$CO$4:$CR$10, 4, 0)&amp;D79&amp;"_"&amp;VLOOKUP(E79, Factor!$CS$4:$CT$13, 2, 0)</f>
        <v>parlor_Indu_Siecleium_T4_002</v>
      </c>
      <c r="B79" s="15" t="str">
        <f t="shared" si="4"/>
        <v>T4 경량 서클리움 정제소</v>
      </c>
      <c r="C79" s="15">
        <f>VLOOKUP(D79, Factor!$AM$41:$AN$50, 2, 0)</f>
        <v>20000</v>
      </c>
      <c r="D79" s="15" t="s">
        <v>300</v>
      </c>
      <c r="E79" s="56" t="s">
        <v>585</v>
      </c>
      <c r="F79" s="56" t="s">
        <v>702</v>
      </c>
      <c r="G79" s="15" t="str">
        <f t="shared" si="5"/>
        <v>경량 서클리움 정제소</v>
      </c>
      <c r="H79" s="15" t="str">
        <f>VLOOKUP(F79, Factor!$CO$4:$CR$10, 2, 0)</f>
        <v>공업</v>
      </c>
      <c r="I79" s="15" t="str">
        <f>VLOOKUP(F79, Factor!$CO$4:$CR$10, 3, 0)</f>
        <v>siecleium</v>
      </c>
      <c r="J79" s="15">
        <v>1</v>
      </c>
      <c r="K79" s="15">
        <v>1</v>
      </c>
      <c r="L79" s="15">
        <v>1</v>
      </c>
      <c r="M79" s="15">
        <v>1</v>
      </c>
      <c r="N79" s="15">
        <v>1</v>
      </c>
      <c r="O79" s="15" cm="1">
        <f t="array" ref="O79">J79*VLOOKUP($H79, Factor!$AN$4:$AS$36, 2, 0)*INDEX(Factor!$AN$41:$AS$87, _xlfn.XMATCH($C79, Factor!$AN$41:$AN$87, -1), 2)*IFERROR(VLOOKUP($I79, Factor!$AU$4:$AX$9, 2, 0),1)</f>
        <v>0</v>
      </c>
      <c r="P79" s="15" cm="1">
        <f t="array" ref="P79">K79*VLOOKUP($H79, Factor!$AN$4:$AS$36, 3, 0)*INDEX(Factor!$AN$41:$AS$87, _xlfn.XMATCH($C79, Factor!$AN$41:$AN$87, -1), 3)*IFERROR(VLOOKUP($I79, Factor!$AU$4:$AX$9, 3, 0),1)</f>
        <v>16</v>
      </c>
      <c r="Q79" s="15" cm="1">
        <f t="array" ref="Q79">L79*VLOOKUP($H79, Factor!$AN$4:$AS$36, 4, 0)*INDEX(Factor!$AN$41:$AS$87, _xlfn.XMATCH($C79, Factor!$AN$41:$AN$87, -1), 4)</f>
        <v>0</v>
      </c>
      <c r="R79" s="15" cm="1">
        <f t="array" ref="R79">M79*VLOOKUP($H79, Factor!$AN$4:$AS$36, 5, 0)*INDEX(Factor!$AN$41:$AS$87, _xlfn.XMATCH($C79, Factor!$AN$41:$AN$87, -1), 5)</f>
        <v>0</v>
      </c>
      <c r="S79" s="15" cm="1">
        <f t="array" ref="S79">N79*VLOOKUP($H79, Factor!$AN$4:$AS$36, 6, 0)*INDEX(Factor!$AN$41:$AS$87, _xlfn.XMATCH($C79, Factor!$AN$41:$AN$87, -1), 6)*IFERROR(VLOOKUP($I79, Factor!$AU$4:$AX$9, 4, 0),1)</f>
        <v>8000</v>
      </c>
      <c r="T79" s="16"/>
    </row>
    <row r="80" spans="1:20" ht="15.75" customHeight="1" x14ac:dyDescent="0.2">
      <c r="A80" s="17" t="str">
        <f>"parlor_"&amp;VLOOKUP(F80, Factor!$CO$4:$CR$10, 4, 0)&amp;D80&amp;"_"&amp;VLOOKUP(E80, Factor!$CS$4:$CT$13, 2, 0)</f>
        <v>parlor_Trans_Inven_T4_002</v>
      </c>
      <c r="B80" s="18" t="str">
        <f t="shared" si="4"/>
        <v>T4 경량 화물 수송 칸</v>
      </c>
      <c r="C80" s="18">
        <f>VLOOKUP(D80, Factor!$AM$41:$AN$50, 2, 0)</f>
        <v>20000</v>
      </c>
      <c r="D80" s="18" t="s">
        <v>300</v>
      </c>
      <c r="E80" s="55" t="s">
        <v>585</v>
      </c>
      <c r="F80" s="55" t="s">
        <v>703</v>
      </c>
      <c r="G80" s="18" t="str">
        <f t="shared" si="5"/>
        <v>경량 화물 수송 칸</v>
      </c>
      <c r="H80" s="18" t="str">
        <f>VLOOKUP(F80, Factor!$CO$4:$CR$10, 2, 0)</f>
        <v>물자수송</v>
      </c>
      <c r="I80" s="18" t="str">
        <f>VLOOKUP(F80, Factor!$CO$4:$CR$10, 3, 0)</f>
        <v>null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 cm="1">
        <f t="array" ref="O80">J80*VLOOKUP($H80, Factor!$AN$4:$AS$36, 2, 0)*INDEX(Factor!$AN$41:$AS$87, _xlfn.XMATCH($C80, Factor!$AN$41:$AN$87, -1), 2)*IFERROR(VLOOKUP($I80, Factor!$AU$4:$AX$9, 2, 0),1)</f>
        <v>0</v>
      </c>
      <c r="P80" s="18" cm="1">
        <f t="array" ref="P80">K80*VLOOKUP($H80, Factor!$AN$4:$AS$36, 3, 0)*INDEX(Factor!$AN$41:$AS$87, _xlfn.XMATCH($C80, Factor!$AN$41:$AN$87, -1), 3)*IFERROR(VLOOKUP($I80, Factor!$AU$4:$AX$9, 3, 0),1)</f>
        <v>0</v>
      </c>
      <c r="Q80" s="18" cm="1">
        <f t="array" ref="Q80">L80*VLOOKUP($H80, Factor!$AN$4:$AS$36, 4, 0)*INDEX(Factor!$AN$41:$AS$87, _xlfn.XMATCH($C80, Factor!$AN$41:$AN$87, -1), 4)</f>
        <v>3.2</v>
      </c>
      <c r="R80" s="18" cm="1">
        <f t="array" ref="R80">M80*VLOOKUP($H80, Factor!$AN$4:$AS$36, 5, 0)*INDEX(Factor!$AN$41:$AS$87, _xlfn.XMATCH($C80, Factor!$AN$41:$AN$87, -1), 5)</f>
        <v>0</v>
      </c>
      <c r="S80" s="18" cm="1">
        <f t="array" ref="S80">N80*VLOOKUP($H80, Factor!$AN$4:$AS$36, 6, 0)*INDEX(Factor!$AN$41:$AS$87, _xlfn.XMATCH($C80, Factor!$AN$41:$AN$87, -1), 6)*IFERROR(VLOOKUP($I80, Factor!$AU$4:$AX$9, 4, 0),1)</f>
        <v>3200</v>
      </c>
      <c r="T80" s="19"/>
    </row>
    <row r="81" spans="1:20" ht="15.75" customHeight="1" x14ac:dyDescent="0.2">
      <c r="A81" s="14" t="str">
        <f>"parlor_"&amp;VLOOKUP(F81, Factor!$CO$4:$CR$10, 4, 0)&amp;D81&amp;"_"&amp;VLOOKUP(E81, Factor!$CS$4:$CT$13, 2, 0)</f>
        <v>parlor_Trans_Pass_T4_002</v>
      </c>
      <c r="B81" s="15" t="str">
        <f t="shared" si="4"/>
        <v>T4 경량 인원 수송 칸</v>
      </c>
      <c r="C81" s="15">
        <f>VLOOKUP(D81, Factor!$AM$41:$AN$50, 2, 0)</f>
        <v>20000</v>
      </c>
      <c r="D81" s="15" t="s">
        <v>300</v>
      </c>
      <c r="E81" s="56" t="s">
        <v>585</v>
      </c>
      <c r="F81" s="56" t="s">
        <v>704</v>
      </c>
      <c r="G81" s="15" t="str">
        <f t="shared" si="5"/>
        <v>경량 인원 수송 칸</v>
      </c>
      <c r="H81" s="15" t="str">
        <f>VLOOKUP(F81, Factor!$CO$4:$CR$10, 2, 0)</f>
        <v>인원수송</v>
      </c>
      <c r="I81" s="15" t="str">
        <f>VLOOKUP(F81, Factor!$CO$4:$CR$10, 3, 0)</f>
        <v>null</v>
      </c>
      <c r="J81" s="15">
        <v>1</v>
      </c>
      <c r="K81" s="15">
        <v>1</v>
      </c>
      <c r="L81" s="15">
        <v>1</v>
      </c>
      <c r="M81" s="15">
        <v>1</v>
      </c>
      <c r="N81" s="15">
        <v>1</v>
      </c>
      <c r="O81" s="15" cm="1">
        <f t="array" ref="O81">J81*VLOOKUP($H81, Factor!$AN$4:$AS$36, 2, 0)*INDEX(Factor!$AN$41:$AS$87, _xlfn.XMATCH($C81, Factor!$AN$41:$AN$87, -1), 2)*IFERROR(VLOOKUP($I81, Factor!$AU$4:$AX$9, 2, 0),1)</f>
        <v>0</v>
      </c>
      <c r="P81" s="15" cm="1">
        <f t="array" ref="P81">K81*VLOOKUP($H81, Factor!$AN$4:$AS$36, 3, 0)*INDEX(Factor!$AN$41:$AS$87, _xlfn.XMATCH($C81, Factor!$AN$41:$AN$87, -1), 3)*IFERROR(VLOOKUP($I81, Factor!$AU$4:$AX$9, 3, 0),1)</f>
        <v>0</v>
      </c>
      <c r="Q81" s="15" cm="1">
        <f t="array" ref="Q81">L81*VLOOKUP($H81, Factor!$AN$4:$AS$36, 4, 0)*INDEX(Factor!$AN$41:$AS$87, _xlfn.XMATCH($C81, Factor!$AN$41:$AN$87, -1), 4)</f>
        <v>0</v>
      </c>
      <c r="R81" s="15" cm="1">
        <f t="array" ref="R81">M81*VLOOKUP($H81, Factor!$AN$4:$AS$36, 5, 0)*INDEX(Factor!$AN$41:$AS$87, _xlfn.XMATCH($C81, Factor!$AN$41:$AN$87, -1), 5)</f>
        <v>6.4</v>
      </c>
      <c r="S81" s="15" cm="1">
        <f t="array" ref="S81">N81*VLOOKUP($H81, Factor!$AN$4:$AS$36, 6, 0)*INDEX(Factor!$AN$41:$AS$87, _xlfn.XMATCH($C81, Factor!$AN$41:$AN$87, -1), 6)*IFERROR(VLOOKUP($I81, Factor!$AU$4:$AX$9, 4, 0),1)</f>
        <v>1600</v>
      </c>
      <c r="T81" s="16"/>
    </row>
    <row r="82" spans="1:20" ht="15.75" customHeight="1" x14ac:dyDescent="0.2">
      <c r="A82" s="17" t="str">
        <f>"parlor_"&amp;VLOOKUP(F82, Factor!$CO$4:$CR$10, 4, 0)&amp;D82&amp;"_"&amp;VLOOKUP(E82, Factor!$CS$4:$CT$13, 2, 0)</f>
        <v>parlor_Prod_Food_T4_003</v>
      </c>
      <c r="B82" s="18" t="str">
        <f t="shared" si="4"/>
        <v>T4 대형 스마트팜</v>
      </c>
      <c r="C82" s="18">
        <f>VLOOKUP(D82, Factor!$AM$41:$AN$50, 2, 0)</f>
        <v>20000</v>
      </c>
      <c r="D82" s="18" t="s">
        <v>300</v>
      </c>
      <c r="E82" s="55" t="s">
        <v>583</v>
      </c>
      <c r="F82" s="55" t="s">
        <v>695</v>
      </c>
      <c r="G82" s="18" t="str">
        <f t="shared" si="5"/>
        <v>대형 스마트팜</v>
      </c>
      <c r="H82" s="18" t="str">
        <f>VLOOKUP(F82, Factor!$CO$4:$CR$10, 2, 0)</f>
        <v>생산</v>
      </c>
      <c r="I82" s="18" t="str">
        <f>VLOOKUP(F82, Factor!$CO$4:$CR$10, 3, 0)</f>
        <v>food</v>
      </c>
      <c r="J82" s="18">
        <v>1</v>
      </c>
      <c r="K82" s="18">
        <v>1</v>
      </c>
      <c r="L82" s="18">
        <v>1</v>
      </c>
      <c r="M82" s="18">
        <v>1</v>
      </c>
      <c r="N82" s="18">
        <v>1</v>
      </c>
      <c r="O82" s="18" cm="1">
        <f t="array" ref="O82">J82*VLOOKUP($H82, Factor!$AN$4:$AS$36, 2, 0)*INDEX(Factor!$AN$41:$AS$87, _xlfn.XMATCH($C82, Factor!$AN$41:$AN$87, -1), 2)*IFERROR(VLOOKUP($I82, Factor!$AU$4:$AX$9, 2, 0),1)</f>
        <v>16</v>
      </c>
      <c r="P82" s="18" cm="1">
        <f t="array" ref="P82">K82*VLOOKUP($H82, Factor!$AN$4:$AS$36, 3, 0)*INDEX(Factor!$AN$41:$AS$87, _xlfn.XMATCH($C82, Factor!$AN$41:$AN$87, -1), 3)*IFERROR(VLOOKUP($I82, Factor!$AU$4:$AX$9, 3, 0),1)</f>
        <v>0</v>
      </c>
      <c r="Q82" s="18" cm="1">
        <f t="array" ref="Q82">L82*VLOOKUP($H82, Factor!$AN$4:$AS$36, 4, 0)*INDEX(Factor!$AN$41:$AS$87, _xlfn.XMATCH($C82, Factor!$AN$41:$AN$87, -1), 4)</f>
        <v>1.6</v>
      </c>
      <c r="R82" s="18" cm="1">
        <f t="array" ref="R82">M82*VLOOKUP($H82, Factor!$AN$4:$AS$36, 5, 0)*INDEX(Factor!$AN$41:$AS$87, _xlfn.XMATCH($C82, Factor!$AN$41:$AN$87, -1), 5)</f>
        <v>1.6</v>
      </c>
      <c r="S82" s="18" cm="1">
        <f t="array" ref="S82">N82*VLOOKUP($H82, Factor!$AN$4:$AS$36, 6, 0)*INDEX(Factor!$AN$41:$AS$87, _xlfn.XMATCH($C82, Factor!$AN$41:$AN$87, -1), 6)*IFERROR(VLOOKUP($I82, Factor!$AU$4:$AX$9, 4, 0),1)</f>
        <v>8000</v>
      </c>
      <c r="T82" s="19"/>
    </row>
    <row r="83" spans="1:20" ht="15.75" customHeight="1" x14ac:dyDescent="0.2">
      <c r="A83" s="14" t="str">
        <f>"parlor_"&amp;VLOOKUP(F83, Factor!$CO$4:$CR$10, 4, 0)&amp;D83&amp;"_"&amp;VLOOKUP(E83, Factor!$CS$4:$CT$13, 2, 0)</f>
        <v>parlor_Indu_Ammo_T4_003</v>
      </c>
      <c r="B83" s="15" t="str">
        <f t="shared" si="4"/>
        <v>T4 대형 탄약공장</v>
      </c>
      <c r="C83" s="15">
        <f>VLOOKUP(D83, Factor!$AM$41:$AN$50, 2, 0)</f>
        <v>20000</v>
      </c>
      <c r="D83" s="15" t="s">
        <v>300</v>
      </c>
      <c r="E83" s="56" t="s">
        <v>583</v>
      </c>
      <c r="F83" s="56" t="s">
        <v>696</v>
      </c>
      <c r="G83" s="15" t="str">
        <f t="shared" si="5"/>
        <v>대형 탄약공장</v>
      </c>
      <c r="H83" s="15" t="str">
        <f>VLOOKUP(F83, Factor!$CO$4:$CR$10, 2, 0)</f>
        <v>공업</v>
      </c>
      <c r="I83" s="15" t="str">
        <f>VLOOKUP(F83, Factor!$CO$4:$CR$10, 3, 0)</f>
        <v>ammo</v>
      </c>
      <c r="J83" s="15">
        <v>1</v>
      </c>
      <c r="K83" s="15">
        <v>1</v>
      </c>
      <c r="L83" s="15">
        <v>1</v>
      </c>
      <c r="M83" s="15">
        <v>1</v>
      </c>
      <c r="N83" s="15">
        <v>1</v>
      </c>
      <c r="O83" s="15" cm="1">
        <f t="array" ref="O83">J83*VLOOKUP($H83, Factor!$AN$4:$AS$36, 2, 0)*INDEX(Factor!$AN$41:$AS$87, _xlfn.XMATCH($C83, Factor!$AN$41:$AN$87, -1), 2)*IFERROR(VLOOKUP($I83, Factor!$AU$4:$AX$9, 2, 0),1)</f>
        <v>0</v>
      </c>
      <c r="P83" s="15" cm="1">
        <f t="array" ref="P83">K83*VLOOKUP($H83, Factor!$AN$4:$AS$36, 3, 0)*INDEX(Factor!$AN$41:$AS$87, _xlfn.XMATCH($C83, Factor!$AN$41:$AN$87, -1), 3)*IFERROR(VLOOKUP($I83, Factor!$AU$4:$AX$9, 3, 0),1)</f>
        <v>16</v>
      </c>
      <c r="Q83" s="15" cm="1">
        <f t="array" ref="Q83">L83*VLOOKUP($H83, Factor!$AN$4:$AS$36, 4, 0)*INDEX(Factor!$AN$41:$AS$87, _xlfn.XMATCH($C83, Factor!$AN$41:$AN$87, -1), 4)</f>
        <v>0</v>
      </c>
      <c r="R83" s="15" cm="1">
        <f t="array" ref="R83">M83*VLOOKUP($H83, Factor!$AN$4:$AS$36, 5, 0)*INDEX(Factor!$AN$41:$AS$87, _xlfn.XMATCH($C83, Factor!$AN$41:$AN$87, -1), 5)</f>
        <v>0</v>
      </c>
      <c r="S83" s="15" cm="1">
        <f t="array" ref="S83">N83*VLOOKUP($H83, Factor!$AN$4:$AS$36, 6, 0)*INDEX(Factor!$AN$41:$AS$87, _xlfn.XMATCH($C83, Factor!$AN$41:$AN$87, -1), 6)*IFERROR(VLOOKUP($I83, Factor!$AU$4:$AX$9, 4, 0),1)</f>
        <v>8000</v>
      </c>
      <c r="T83" s="16"/>
    </row>
    <row r="84" spans="1:20" ht="15.75" customHeight="1" x14ac:dyDescent="0.2">
      <c r="A84" s="17" t="str">
        <f>"parlor_"&amp;VLOOKUP(F84, Factor!$CO$4:$CR$10, 4, 0)&amp;D84&amp;"_"&amp;VLOOKUP(E84, Factor!$CS$4:$CT$13, 2, 0)</f>
        <v>parlor_Indu_Shell_T4_003</v>
      </c>
      <c r="B84" s="18" t="str">
        <f t="shared" si="4"/>
        <v>T4 대형 포탄공장</v>
      </c>
      <c r="C84" s="18">
        <f>VLOOKUP(D84, Factor!$AM$41:$AN$50, 2, 0)</f>
        <v>20000</v>
      </c>
      <c r="D84" s="18" t="s">
        <v>300</v>
      </c>
      <c r="E84" s="55" t="s">
        <v>583</v>
      </c>
      <c r="F84" s="55" t="s">
        <v>697</v>
      </c>
      <c r="G84" s="18" t="str">
        <f t="shared" si="5"/>
        <v>대형 포탄공장</v>
      </c>
      <c r="H84" s="18" t="str">
        <f>VLOOKUP(F84, Factor!$CO$4:$CR$10, 2, 0)</f>
        <v>공업</v>
      </c>
      <c r="I84" s="18" t="str">
        <f>VLOOKUP(F84, Factor!$CO$4:$CR$10, 3, 0)</f>
        <v>shell</v>
      </c>
      <c r="J84" s="18">
        <v>1</v>
      </c>
      <c r="K84" s="18">
        <v>1</v>
      </c>
      <c r="L84" s="18">
        <v>1</v>
      </c>
      <c r="M84" s="18">
        <v>1</v>
      </c>
      <c r="N84" s="18">
        <v>1</v>
      </c>
      <c r="O84" s="18" cm="1">
        <f t="array" ref="O84">J84*VLOOKUP($H84, Factor!$AN$4:$AS$36, 2, 0)*INDEX(Factor!$AN$41:$AS$87, _xlfn.XMATCH($C84, Factor!$AN$41:$AN$87, -1), 2)*IFERROR(VLOOKUP($I84, Factor!$AU$4:$AX$9, 2, 0),1)</f>
        <v>0</v>
      </c>
      <c r="P84" s="18" cm="1">
        <f t="array" ref="P84">K84*VLOOKUP($H84, Factor!$AN$4:$AS$36, 3, 0)*INDEX(Factor!$AN$41:$AS$87, _xlfn.XMATCH($C84, Factor!$AN$41:$AN$87, -1), 3)*IFERROR(VLOOKUP($I84, Factor!$AU$4:$AX$9, 3, 0),1)</f>
        <v>8</v>
      </c>
      <c r="Q84" s="18" cm="1">
        <f t="array" ref="Q84">L84*VLOOKUP($H84, Factor!$AN$4:$AS$36, 4, 0)*INDEX(Factor!$AN$41:$AS$87, _xlfn.XMATCH($C84, Factor!$AN$41:$AN$87, -1), 4)</f>
        <v>0</v>
      </c>
      <c r="R84" s="18" cm="1">
        <f t="array" ref="R84">M84*VLOOKUP($H84, Factor!$AN$4:$AS$36, 5, 0)*INDEX(Factor!$AN$41:$AS$87, _xlfn.XMATCH($C84, Factor!$AN$41:$AN$87, -1), 5)</f>
        <v>0</v>
      </c>
      <c r="S84" s="18" cm="1">
        <f t="array" ref="S84">N84*VLOOKUP($H84, Factor!$AN$4:$AS$36, 6, 0)*INDEX(Factor!$AN$41:$AS$87, _xlfn.XMATCH($C84, Factor!$AN$41:$AN$87, -1), 6)*IFERROR(VLOOKUP($I84, Factor!$AU$4:$AX$9, 4, 0),1)</f>
        <v>9600</v>
      </c>
      <c r="T84" s="19"/>
    </row>
    <row r="85" spans="1:20" ht="15.75" customHeight="1" x14ac:dyDescent="0.2">
      <c r="A85" s="14" t="str">
        <f>"parlor_"&amp;VLOOKUP(F85, Factor!$CO$4:$CR$10, 4, 0)&amp;D85&amp;"_"&amp;VLOOKUP(E85, Factor!$CS$4:$CT$13, 2, 0)</f>
        <v>parlor_Indu_Missile_T4_003</v>
      </c>
      <c r="B85" s="15" t="str">
        <f t="shared" si="4"/>
        <v>T4 대형 미사일공장</v>
      </c>
      <c r="C85" s="15">
        <f>VLOOKUP(D85, Factor!$AM$41:$AN$50, 2, 0)</f>
        <v>20000</v>
      </c>
      <c r="D85" s="15" t="s">
        <v>300</v>
      </c>
      <c r="E85" s="56" t="s">
        <v>583</v>
      </c>
      <c r="F85" s="56" t="s">
        <v>698</v>
      </c>
      <c r="G85" s="15" t="str">
        <f t="shared" si="5"/>
        <v>대형 미사일공장</v>
      </c>
      <c r="H85" s="15" t="str">
        <f>VLOOKUP(F85, Factor!$CO$4:$CR$10, 2, 0)</f>
        <v>공업</v>
      </c>
      <c r="I85" s="15" t="str">
        <f>VLOOKUP(F85, Factor!$CO$4:$CR$10, 3, 0)</f>
        <v>missile</v>
      </c>
      <c r="J85" s="15">
        <v>1</v>
      </c>
      <c r="K85" s="15">
        <v>1</v>
      </c>
      <c r="L85" s="15">
        <v>1</v>
      </c>
      <c r="M85" s="15">
        <v>1</v>
      </c>
      <c r="N85" s="15">
        <v>1</v>
      </c>
      <c r="O85" s="15" cm="1">
        <f t="array" ref="O85">J85*VLOOKUP($H85, Factor!$AN$4:$AS$36, 2, 0)*INDEX(Factor!$AN$41:$AS$87, _xlfn.XMATCH($C85, Factor!$AN$41:$AN$87, -1), 2)*IFERROR(VLOOKUP($I85, Factor!$AU$4:$AX$9, 2, 0),1)</f>
        <v>0</v>
      </c>
      <c r="P85" s="15" cm="1">
        <f t="array" ref="P85">K85*VLOOKUP($H85, Factor!$AN$4:$AS$36, 3, 0)*INDEX(Factor!$AN$41:$AS$87, _xlfn.XMATCH($C85, Factor!$AN$41:$AN$87, -1), 3)*IFERROR(VLOOKUP($I85, Factor!$AU$4:$AX$9, 3, 0),1)</f>
        <v>3.2</v>
      </c>
      <c r="Q85" s="15" cm="1">
        <f t="array" ref="Q85">L85*VLOOKUP($H85, Factor!$AN$4:$AS$36, 4, 0)*INDEX(Factor!$AN$41:$AS$87, _xlfn.XMATCH($C85, Factor!$AN$41:$AN$87, -1), 4)</f>
        <v>0</v>
      </c>
      <c r="R85" s="15" cm="1">
        <f t="array" ref="R85">M85*VLOOKUP($H85, Factor!$AN$4:$AS$36, 5, 0)*INDEX(Factor!$AN$41:$AS$87, _xlfn.XMATCH($C85, Factor!$AN$41:$AN$87, -1), 5)</f>
        <v>0</v>
      </c>
      <c r="S85" s="15" cm="1">
        <f t="array" ref="S85">N85*VLOOKUP($H85, Factor!$AN$4:$AS$36, 6, 0)*INDEX(Factor!$AN$41:$AS$87, _xlfn.XMATCH($C85, Factor!$AN$41:$AN$87, -1), 6)*IFERROR(VLOOKUP($I85, Factor!$AU$4:$AX$9, 4, 0),1)</f>
        <v>10400</v>
      </c>
      <c r="T85" s="16"/>
    </row>
    <row r="86" spans="1:20" ht="15.75" customHeight="1" x14ac:dyDescent="0.2">
      <c r="A86" s="17" t="str">
        <f>"parlor_"&amp;VLOOKUP(F86, Factor!$CO$4:$CR$10, 4, 0)&amp;D86&amp;"_"&amp;VLOOKUP(E86, Factor!$CS$4:$CT$13, 2, 0)</f>
        <v>parlor_Indu_Siecleium_T4_003</v>
      </c>
      <c r="B86" s="18" t="str">
        <f t="shared" si="4"/>
        <v>T4 대형 서클리움 정제소</v>
      </c>
      <c r="C86" s="18">
        <f>VLOOKUP(D86, Factor!$AM$41:$AN$50, 2, 0)</f>
        <v>20000</v>
      </c>
      <c r="D86" s="18" t="s">
        <v>300</v>
      </c>
      <c r="E86" s="55" t="s">
        <v>583</v>
      </c>
      <c r="F86" s="55" t="s">
        <v>702</v>
      </c>
      <c r="G86" s="18" t="str">
        <f t="shared" si="5"/>
        <v>대형 서클리움 정제소</v>
      </c>
      <c r="H86" s="18" t="str">
        <f>VLOOKUP(F86, Factor!$CO$4:$CR$10, 2, 0)</f>
        <v>공업</v>
      </c>
      <c r="I86" s="18" t="str">
        <f>VLOOKUP(F86, Factor!$CO$4:$CR$10, 3, 0)</f>
        <v>siecleium</v>
      </c>
      <c r="J86" s="18">
        <v>1</v>
      </c>
      <c r="K86" s="18">
        <v>1</v>
      </c>
      <c r="L86" s="18">
        <v>1</v>
      </c>
      <c r="M86" s="18">
        <v>1</v>
      </c>
      <c r="N86" s="18">
        <v>1</v>
      </c>
      <c r="O86" s="18" cm="1">
        <f t="array" ref="O86">J86*VLOOKUP($H86, Factor!$AN$4:$AS$36, 2, 0)*INDEX(Factor!$AN$41:$AS$87, _xlfn.XMATCH($C86, Factor!$AN$41:$AN$87, -1), 2)*IFERROR(VLOOKUP($I86, Factor!$AU$4:$AX$9, 2, 0),1)</f>
        <v>0</v>
      </c>
      <c r="P86" s="18" cm="1">
        <f t="array" ref="P86">K86*VLOOKUP($H86, Factor!$AN$4:$AS$36, 3, 0)*INDEX(Factor!$AN$41:$AS$87, _xlfn.XMATCH($C86, Factor!$AN$41:$AN$87, -1), 3)*IFERROR(VLOOKUP($I86, Factor!$AU$4:$AX$9, 3, 0),1)</f>
        <v>16</v>
      </c>
      <c r="Q86" s="18" cm="1">
        <f t="array" ref="Q86">L86*VLOOKUP($H86, Factor!$AN$4:$AS$36, 4, 0)*INDEX(Factor!$AN$41:$AS$87, _xlfn.XMATCH($C86, Factor!$AN$41:$AN$87, -1), 4)</f>
        <v>0</v>
      </c>
      <c r="R86" s="18" cm="1">
        <f t="array" ref="R86">M86*VLOOKUP($H86, Factor!$AN$4:$AS$36, 5, 0)*INDEX(Factor!$AN$41:$AS$87, _xlfn.XMATCH($C86, Factor!$AN$41:$AN$87, -1), 5)</f>
        <v>0</v>
      </c>
      <c r="S86" s="18" cm="1">
        <f t="array" ref="S86">N86*VLOOKUP($H86, Factor!$AN$4:$AS$36, 6, 0)*INDEX(Factor!$AN$41:$AS$87, _xlfn.XMATCH($C86, Factor!$AN$41:$AN$87, -1), 6)*IFERROR(VLOOKUP($I86, Factor!$AU$4:$AX$9, 4, 0),1)</f>
        <v>8000</v>
      </c>
      <c r="T86" s="19"/>
    </row>
    <row r="87" spans="1:20" ht="15.75" customHeight="1" x14ac:dyDescent="0.2">
      <c r="A87" s="14" t="str">
        <f>"parlor_"&amp;VLOOKUP(F87, Factor!$CO$4:$CR$10, 4, 0)&amp;D87&amp;"_"&amp;VLOOKUP(E87, Factor!$CS$4:$CT$13, 2, 0)</f>
        <v>parlor_Trans_Inven_T4_003</v>
      </c>
      <c r="B87" s="15" t="str">
        <f t="shared" si="4"/>
        <v>T4 대형 화물 수송 칸</v>
      </c>
      <c r="C87" s="15">
        <f>VLOOKUP(D87, Factor!$AM$41:$AN$50, 2, 0)</f>
        <v>20000</v>
      </c>
      <c r="D87" s="15" t="s">
        <v>300</v>
      </c>
      <c r="E87" s="56" t="s">
        <v>583</v>
      </c>
      <c r="F87" s="56" t="s">
        <v>703</v>
      </c>
      <c r="G87" s="15" t="str">
        <f t="shared" si="5"/>
        <v>대형 화물 수송 칸</v>
      </c>
      <c r="H87" s="15" t="str">
        <f>VLOOKUP(F87, Factor!$CO$4:$CR$10, 2, 0)</f>
        <v>물자수송</v>
      </c>
      <c r="I87" s="15" t="str">
        <f>VLOOKUP(F87, Factor!$CO$4:$CR$10, 3, 0)</f>
        <v>null</v>
      </c>
      <c r="J87" s="15">
        <v>1</v>
      </c>
      <c r="K87" s="15">
        <v>1</v>
      </c>
      <c r="L87" s="15">
        <v>1</v>
      </c>
      <c r="M87" s="15">
        <v>1</v>
      </c>
      <c r="N87" s="15">
        <v>1</v>
      </c>
      <c r="O87" s="15" cm="1">
        <f t="array" ref="O87">J87*VLOOKUP($H87, Factor!$AN$4:$AS$36, 2, 0)*INDEX(Factor!$AN$41:$AS$87, _xlfn.XMATCH($C87, Factor!$AN$41:$AN$87, -1), 2)*IFERROR(VLOOKUP($I87, Factor!$AU$4:$AX$9, 2, 0),1)</f>
        <v>0</v>
      </c>
      <c r="P87" s="15" cm="1">
        <f t="array" ref="P87">K87*VLOOKUP($H87, Factor!$AN$4:$AS$36, 3, 0)*INDEX(Factor!$AN$41:$AS$87, _xlfn.XMATCH($C87, Factor!$AN$41:$AN$87, -1), 3)*IFERROR(VLOOKUP($I87, Factor!$AU$4:$AX$9, 3, 0),1)</f>
        <v>0</v>
      </c>
      <c r="Q87" s="15" cm="1">
        <f t="array" ref="Q87">L87*VLOOKUP($H87, Factor!$AN$4:$AS$36, 4, 0)*INDEX(Factor!$AN$41:$AS$87, _xlfn.XMATCH($C87, Factor!$AN$41:$AN$87, -1), 4)</f>
        <v>3.2</v>
      </c>
      <c r="R87" s="15" cm="1">
        <f t="array" ref="R87">M87*VLOOKUP($H87, Factor!$AN$4:$AS$36, 5, 0)*INDEX(Factor!$AN$41:$AS$87, _xlfn.XMATCH($C87, Factor!$AN$41:$AN$87, -1), 5)</f>
        <v>0</v>
      </c>
      <c r="S87" s="15" cm="1">
        <f t="array" ref="S87">N87*VLOOKUP($H87, Factor!$AN$4:$AS$36, 6, 0)*INDEX(Factor!$AN$41:$AS$87, _xlfn.XMATCH($C87, Factor!$AN$41:$AN$87, -1), 6)*IFERROR(VLOOKUP($I87, Factor!$AU$4:$AX$9, 4, 0),1)</f>
        <v>3200</v>
      </c>
      <c r="T87" s="16"/>
    </row>
    <row r="88" spans="1:20" ht="15.75" customHeight="1" x14ac:dyDescent="0.2">
      <c r="A88" s="17" t="str">
        <f>"parlor_"&amp;VLOOKUP(F88, Factor!$CO$4:$CR$10, 4, 0)&amp;D88&amp;"_"&amp;VLOOKUP(E88, Factor!$CS$4:$CT$13, 2, 0)</f>
        <v>parlor_Trans_Pass_T4_003</v>
      </c>
      <c r="B88" s="18" t="str">
        <f t="shared" si="4"/>
        <v>T4 대형 인원 수송 칸</v>
      </c>
      <c r="C88" s="18">
        <f>VLOOKUP(D88, Factor!$AM$41:$AN$50, 2, 0)</f>
        <v>20000</v>
      </c>
      <c r="D88" s="18" t="s">
        <v>300</v>
      </c>
      <c r="E88" s="55" t="s">
        <v>583</v>
      </c>
      <c r="F88" s="55" t="s">
        <v>704</v>
      </c>
      <c r="G88" s="18" t="str">
        <f t="shared" si="5"/>
        <v>대형 인원 수송 칸</v>
      </c>
      <c r="H88" s="18" t="str">
        <f>VLOOKUP(F88, Factor!$CO$4:$CR$10, 2, 0)</f>
        <v>인원수송</v>
      </c>
      <c r="I88" s="18" t="str">
        <f>VLOOKUP(F88, Factor!$CO$4:$CR$10, 3, 0)</f>
        <v>null</v>
      </c>
      <c r="J88" s="18">
        <v>1</v>
      </c>
      <c r="K88" s="18">
        <v>1</v>
      </c>
      <c r="L88" s="18">
        <v>1</v>
      </c>
      <c r="M88" s="18">
        <v>1</v>
      </c>
      <c r="N88" s="18">
        <v>1</v>
      </c>
      <c r="O88" s="18" cm="1">
        <f t="array" ref="O88">J88*VLOOKUP($H88, Factor!$AN$4:$AS$36, 2, 0)*INDEX(Factor!$AN$41:$AS$87, _xlfn.XMATCH($C88, Factor!$AN$41:$AN$87, -1), 2)*IFERROR(VLOOKUP($I88, Factor!$AU$4:$AX$9, 2, 0),1)</f>
        <v>0</v>
      </c>
      <c r="P88" s="18" cm="1">
        <f t="array" ref="P88">K88*VLOOKUP($H88, Factor!$AN$4:$AS$36, 3, 0)*INDEX(Factor!$AN$41:$AS$87, _xlfn.XMATCH($C88, Factor!$AN$41:$AN$87, -1), 3)*IFERROR(VLOOKUP($I88, Factor!$AU$4:$AX$9, 3, 0),1)</f>
        <v>0</v>
      </c>
      <c r="Q88" s="18" cm="1">
        <f t="array" ref="Q88">L88*VLOOKUP($H88, Factor!$AN$4:$AS$36, 4, 0)*INDEX(Factor!$AN$41:$AS$87, _xlfn.XMATCH($C88, Factor!$AN$41:$AN$87, -1), 4)</f>
        <v>0</v>
      </c>
      <c r="R88" s="18" cm="1">
        <f t="array" ref="R88">M88*VLOOKUP($H88, Factor!$AN$4:$AS$36, 5, 0)*INDEX(Factor!$AN$41:$AS$87, _xlfn.XMATCH($C88, Factor!$AN$41:$AN$87, -1), 5)</f>
        <v>6.4</v>
      </c>
      <c r="S88" s="18" cm="1">
        <f t="array" ref="S88">N88*VLOOKUP($H88, Factor!$AN$4:$AS$36, 6, 0)*INDEX(Factor!$AN$41:$AS$87, _xlfn.XMATCH($C88, Factor!$AN$41:$AN$87, -1), 6)*IFERROR(VLOOKUP($I88, Factor!$AU$4:$AX$9, 4, 0),1)</f>
        <v>1600</v>
      </c>
      <c r="T88" s="19"/>
    </row>
    <row r="89" spans="1:20" ht="15.75" customHeight="1" x14ac:dyDescent="0.2">
      <c r="A89" s="14" t="str">
        <f>"parlor_"&amp;VLOOKUP(F89, Factor!$CO$4:$CR$10, 4, 0)&amp;D89&amp;"_"&amp;VLOOKUP(E89, Factor!$CS$4:$CT$13, 2, 0)</f>
        <v>parlor_Prod_Food_T5_001</v>
      </c>
      <c r="B89" s="15" t="str">
        <f t="shared" si="4"/>
        <v>T5 표준 스마트팜</v>
      </c>
      <c r="C89" s="15">
        <f>VLOOKUP(D89, Factor!$AM$41:$AN$50, 2, 0)</f>
        <v>25000</v>
      </c>
      <c r="D89" s="15" t="s">
        <v>324</v>
      </c>
      <c r="E89" s="56" t="s">
        <v>582</v>
      </c>
      <c r="F89" s="56" t="s">
        <v>695</v>
      </c>
      <c r="G89" s="15" t="str">
        <f t="shared" si="5"/>
        <v>표준 스마트팜</v>
      </c>
      <c r="H89" s="15" t="str">
        <f>VLOOKUP(F89, Factor!$CO$4:$CR$10, 2, 0)</f>
        <v>생산</v>
      </c>
      <c r="I89" s="15" t="str">
        <f>VLOOKUP(F89, Factor!$CO$4:$CR$10, 3, 0)</f>
        <v>food</v>
      </c>
      <c r="J89" s="15">
        <v>1</v>
      </c>
      <c r="K89" s="15">
        <v>1</v>
      </c>
      <c r="L89" s="15">
        <v>1</v>
      </c>
      <c r="M89" s="15">
        <v>1</v>
      </c>
      <c r="N89" s="15">
        <v>1</v>
      </c>
      <c r="O89" s="15" cm="1">
        <f t="array" ref="O89">J89*VLOOKUP($H89, Factor!$AN$4:$AS$36, 2, 0)*INDEX(Factor!$AN$41:$AS$87, _xlfn.XMATCH($C89, Factor!$AN$41:$AN$87, -1), 2)*IFERROR(VLOOKUP($I89, Factor!$AU$4:$AX$9, 2, 0),1)</f>
        <v>18</v>
      </c>
      <c r="P89" s="15" cm="1">
        <f t="array" ref="P89">K89*VLOOKUP($H89, Factor!$AN$4:$AS$36, 3, 0)*INDEX(Factor!$AN$41:$AS$87, _xlfn.XMATCH($C89, Factor!$AN$41:$AN$87, -1), 3)*IFERROR(VLOOKUP($I89, Factor!$AU$4:$AX$9, 3, 0),1)</f>
        <v>0</v>
      </c>
      <c r="Q89" s="15" cm="1">
        <f t="array" ref="Q89">L89*VLOOKUP($H89, Factor!$AN$4:$AS$36, 4, 0)*INDEX(Factor!$AN$41:$AS$87, _xlfn.XMATCH($C89, Factor!$AN$41:$AN$87, -1), 4)</f>
        <v>1.8</v>
      </c>
      <c r="R89" s="15" cm="1">
        <f t="array" ref="R89">M89*VLOOKUP($H89, Factor!$AN$4:$AS$36, 5, 0)*INDEX(Factor!$AN$41:$AS$87, _xlfn.XMATCH($C89, Factor!$AN$41:$AN$87, -1), 5)</f>
        <v>1.8</v>
      </c>
      <c r="S89" s="15" cm="1">
        <f t="array" ref="S89">N89*VLOOKUP($H89, Factor!$AN$4:$AS$36, 6, 0)*INDEX(Factor!$AN$41:$AS$87, _xlfn.XMATCH($C89, Factor!$AN$41:$AN$87, -1), 6)*IFERROR(VLOOKUP($I89, Factor!$AU$4:$AX$9, 4, 0),1)</f>
        <v>9000</v>
      </c>
      <c r="T89" s="16"/>
    </row>
    <row r="90" spans="1:20" ht="15.75" customHeight="1" x14ac:dyDescent="0.2">
      <c r="A90" s="17" t="str">
        <f>"parlor_"&amp;VLOOKUP(F90, Factor!$CO$4:$CR$10, 4, 0)&amp;D90&amp;"_"&amp;VLOOKUP(E90, Factor!$CS$4:$CT$13, 2, 0)</f>
        <v>parlor_Indu_Ammo_T5_001</v>
      </c>
      <c r="B90" s="18" t="str">
        <f t="shared" si="4"/>
        <v>T5 표준 탄약공장</v>
      </c>
      <c r="C90" s="18">
        <f>VLOOKUP(D90, Factor!$AM$41:$AN$50, 2, 0)</f>
        <v>25000</v>
      </c>
      <c r="D90" s="18" t="s">
        <v>324</v>
      </c>
      <c r="E90" s="55" t="s">
        <v>582</v>
      </c>
      <c r="F90" s="55" t="s">
        <v>696</v>
      </c>
      <c r="G90" s="18" t="str">
        <f t="shared" si="5"/>
        <v>표준 탄약공장</v>
      </c>
      <c r="H90" s="18" t="str">
        <f>VLOOKUP(F90, Factor!$CO$4:$CR$10, 2, 0)</f>
        <v>공업</v>
      </c>
      <c r="I90" s="18" t="str">
        <f>VLOOKUP(F90, Factor!$CO$4:$CR$10, 3, 0)</f>
        <v>ammo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 cm="1">
        <f t="array" ref="O90">J90*VLOOKUP($H90, Factor!$AN$4:$AS$36, 2, 0)*INDEX(Factor!$AN$41:$AS$87, _xlfn.XMATCH($C90, Factor!$AN$41:$AN$87, -1), 2)*IFERROR(VLOOKUP($I90, Factor!$AU$4:$AX$9, 2, 0),1)</f>
        <v>0</v>
      </c>
      <c r="P90" s="18" cm="1">
        <f t="array" ref="P90">K90*VLOOKUP($H90, Factor!$AN$4:$AS$36, 3, 0)*INDEX(Factor!$AN$41:$AS$87, _xlfn.XMATCH($C90, Factor!$AN$41:$AN$87, -1), 3)*IFERROR(VLOOKUP($I90, Factor!$AU$4:$AX$9, 3, 0),1)</f>
        <v>18</v>
      </c>
      <c r="Q90" s="18" cm="1">
        <f t="array" ref="Q90">L90*VLOOKUP($H90, Factor!$AN$4:$AS$36, 4, 0)*INDEX(Factor!$AN$41:$AS$87, _xlfn.XMATCH($C90, Factor!$AN$41:$AN$87, -1), 4)</f>
        <v>0</v>
      </c>
      <c r="R90" s="18" cm="1">
        <f t="array" ref="R90">M90*VLOOKUP($H90, Factor!$AN$4:$AS$36, 5, 0)*INDEX(Factor!$AN$41:$AS$87, _xlfn.XMATCH($C90, Factor!$AN$41:$AN$87, -1), 5)</f>
        <v>0</v>
      </c>
      <c r="S90" s="18" cm="1">
        <f t="array" ref="S90">N90*VLOOKUP($H90, Factor!$AN$4:$AS$36, 6, 0)*INDEX(Factor!$AN$41:$AS$87, _xlfn.XMATCH($C90, Factor!$AN$41:$AN$87, -1), 6)*IFERROR(VLOOKUP($I90, Factor!$AU$4:$AX$9, 4, 0),1)</f>
        <v>9000</v>
      </c>
      <c r="T90" s="19"/>
    </row>
    <row r="91" spans="1:20" ht="15.75" customHeight="1" x14ac:dyDescent="0.2">
      <c r="A91" s="14" t="str">
        <f>"parlor_"&amp;VLOOKUP(F91, Factor!$CO$4:$CR$10, 4, 0)&amp;D91&amp;"_"&amp;VLOOKUP(E91, Factor!$CS$4:$CT$13, 2, 0)</f>
        <v>parlor_Indu_Shell_T5_001</v>
      </c>
      <c r="B91" s="15" t="str">
        <f t="shared" si="4"/>
        <v>T5 표준 포탄공장</v>
      </c>
      <c r="C91" s="15">
        <f>VLOOKUP(D91, Factor!$AM$41:$AN$50, 2, 0)</f>
        <v>25000</v>
      </c>
      <c r="D91" s="15" t="s">
        <v>301</v>
      </c>
      <c r="E91" s="56" t="s">
        <v>582</v>
      </c>
      <c r="F91" s="56" t="s">
        <v>697</v>
      </c>
      <c r="G91" s="15" t="str">
        <f t="shared" si="5"/>
        <v>표준 포탄공장</v>
      </c>
      <c r="H91" s="15" t="str">
        <f>VLOOKUP(F91, Factor!$CO$4:$CR$10, 2, 0)</f>
        <v>공업</v>
      </c>
      <c r="I91" s="15" t="str">
        <f>VLOOKUP(F91, Factor!$CO$4:$CR$10, 3, 0)</f>
        <v>shell</v>
      </c>
      <c r="J91" s="15">
        <v>1</v>
      </c>
      <c r="K91" s="15">
        <v>1</v>
      </c>
      <c r="L91" s="15">
        <v>1</v>
      </c>
      <c r="M91" s="15">
        <v>1</v>
      </c>
      <c r="N91" s="15">
        <v>1</v>
      </c>
      <c r="O91" s="15" cm="1">
        <f t="array" ref="O91">J91*VLOOKUP($H91, Factor!$AN$4:$AS$36, 2, 0)*INDEX(Factor!$AN$41:$AS$87, _xlfn.XMATCH($C91, Factor!$AN$41:$AN$87, -1), 2)*IFERROR(VLOOKUP($I91, Factor!$AU$4:$AX$9, 2, 0),1)</f>
        <v>0</v>
      </c>
      <c r="P91" s="15" cm="1">
        <f t="array" ref="P91">K91*VLOOKUP($H91, Factor!$AN$4:$AS$36, 3, 0)*INDEX(Factor!$AN$41:$AS$87, _xlfn.XMATCH($C91, Factor!$AN$41:$AN$87, -1), 3)*IFERROR(VLOOKUP($I91, Factor!$AU$4:$AX$9, 3, 0),1)</f>
        <v>9</v>
      </c>
      <c r="Q91" s="15" cm="1">
        <f t="array" ref="Q91">L91*VLOOKUP($H91, Factor!$AN$4:$AS$36, 4, 0)*INDEX(Factor!$AN$41:$AS$87, _xlfn.XMATCH($C91, Factor!$AN$41:$AN$87, -1), 4)</f>
        <v>0</v>
      </c>
      <c r="R91" s="15" cm="1">
        <f t="array" ref="R91">M91*VLOOKUP($H91, Factor!$AN$4:$AS$36, 5, 0)*INDEX(Factor!$AN$41:$AS$87, _xlfn.XMATCH($C91, Factor!$AN$41:$AN$87, -1), 5)</f>
        <v>0</v>
      </c>
      <c r="S91" s="15" cm="1">
        <f t="array" ref="S91">N91*VLOOKUP($H91, Factor!$AN$4:$AS$36, 6, 0)*INDEX(Factor!$AN$41:$AS$87, _xlfn.XMATCH($C91, Factor!$AN$41:$AN$87, -1), 6)*IFERROR(VLOOKUP($I91, Factor!$AU$4:$AX$9, 4, 0),1)</f>
        <v>10800</v>
      </c>
      <c r="T91" s="16"/>
    </row>
    <row r="92" spans="1:20" ht="15.75" customHeight="1" x14ac:dyDescent="0.2">
      <c r="A92" s="17" t="str">
        <f>"parlor_"&amp;VLOOKUP(F92, Factor!$CO$4:$CR$10, 4, 0)&amp;D92&amp;"_"&amp;VLOOKUP(E92, Factor!$CS$4:$CT$13, 2, 0)</f>
        <v>parlor_Indu_Missile_T5_001</v>
      </c>
      <c r="B92" s="18" t="str">
        <f t="shared" si="4"/>
        <v>T5 표준 미사일공장</v>
      </c>
      <c r="C92" s="18">
        <f>VLOOKUP(D92, Factor!$AM$41:$AN$50, 2, 0)</f>
        <v>25000</v>
      </c>
      <c r="D92" s="18" t="s">
        <v>301</v>
      </c>
      <c r="E92" s="55" t="s">
        <v>582</v>
      </c>
      <c r="F92" s="55" t="s">
        <v>698</v>
      </c>
      <c r="G92" s="18" t="str">
        <f t="shared" si="5"/>
        <v>표준 미사일공장</v>
      </c>
      <c r="H92" s="18" t="str">
        <f>VLOOKUP(F92, Factor!$CO$4:$CR$10, 2, 0)</f>
        <v>공업</v>
      </c>
      <c r="I92" s="18" t="str">
        <f>VLOOKUP(F92, Factor!$CO$4:$CR$10, 3, 0)</f>
        <v>missile</v>
      </c>
      <c r="J92" s="18">
        <v>1</v>
      </c>
      <c r="K92" s="18">
        <v>1</v>
      </c>
      <c r="L92" s="18">
        <v>1</v>
      </c>
      <c r="M92" s="18">
        <v>1</v>
      </c>
      <c r="N92" s="18">
        <v>1</v>
      </c>
      <c r="O92" s="18" cm="1">
        <f t="array" ref="O92">J92*VLOOKUP($H92, Factor!$AN$4:$AS$36, 2, 0)*INDEX(Factor!$AN$41:$AS$87, _xlfn.XMATCH($C92, Factor!$AN$41:$AN$87, -1), 2)*IFERROR(VLOOKUP($I92, Factor!$AU$4:$AX$9, 2, 0),1)</f>
        <v>0</v>
      </c>
      <c r="P92" s="18" cm="1">
        <f t="array" ref="P92">K92*VLOOKUP($H92, Factor!$AN$4:$AS$36, 3, 0)*INDEX(Factor!$AN$41:$AS$87, _xlfn.XMATCH($C92, Factor!$AN$41:$AN$87, -1), 3)*IFERROR(VLOOKUP($I92, Factor!$AU$4:$AX$9, 3, 0),1)</f>
        <v>3.6</v>
      </c>
      <c r="Q92" s="18" cm="1">
        <f t="array" ref="Q92">L92*VLOOKUP($H92, Factor!$AN$4:$AS$36, 4, 0)*INDEX(Factor!$AN$41:$AS$87, _xlfn.XMATCH($C92, Factor!$AN$41:$AN$87, -1), 4)</f>
        <v>0</v>
      </c>
      <c r="R92" s="18" cm="1">
        <f t="array" ref="R92">M92*VLOOKUP($H92, Factor!$AN$4:$AS$36, 5, 0)*INDEX(Factor!$AN$41:$AS$87, _xlfn.XMATCH($C92, Factor!$AN$41:$AN$87, -1), 5)</f>
        <v>0</v>
      </c>
      <c r="S92" s="18" cm="1">
        <f t="array" ref="S92">N92*VLOOKUP($H92, Factor!$AN$4:$AS$36, 6, 0)*INDEX(Factor!$AN$41:$AS$87, _xlfn.XMATCH($C92, Factor!$AN$41:$AN$87, -1), 6)*IFERROR(VLOOKUP($I92, Factor!$AU$4:$AX$9, 4, 0),1)</f>
        <v>11700</v>
      </c>
      <c r="T92" s="19"/>
    </row>
    <row r="93" spans="1:20" ht="15.75" customHeight="1" x14ac:dyDescent="0.2">
      <c r="A93" s="14" t="str">
        <f>"parlor_"&amp;VLOOKUP(F93, Factor!$CO$4:$CR$10, 4, 0)&amp;D93&amp;"_"&amp;VLOOKUP(E93, Factor!$CS$4:$CT$13, 2, 0)</f>
        <v>parlor_Indu_Siecleium_T5_001</v>
      </c>
      <c r="B93" s="15" t="str">
        <f t="shared" si="4"/>
        <v>T5 표준 서클리움 정제소</v>
      </c>
      <c r="C93" s="15">
        <f>VLOOKUP(D93, Factor!$AM$41:$AN$50, 2, 0)</f>
        <v>25000</v>
      </c>
      <c r="D93" s="15" t="s">
        <v>301</v>
      </c>
      <c r="E93" s="56" t="s">
        <v>582</v>
      </c>
      <c r="F93" s="56" t="s">
        <v>702</v>
      </c>
      <c r="G93" s="15" t="str">
        <f t="shared" si="5"/>
        <v>표준 서클리움 정제소</v>
      </c>
      <c r="H93" s="15" t="str">
        <f>VLOOKUP(F93, Factor!$CO$4:$CR$10, 2, 0)</f>
        <v>공업</v>
      </c>
      <c r="I93" s="15" t="str">
        <f>VLOOKUP(F93, Factor!$CO$4:$CR$10, 3, 0)</f>
        <v>siecleium</v>
      </c>
      <c r="J93" s="15">
        <v>1</v>
      </c>
      <c r="K93" s="15">
        <v>1</v>
      </c>
      <c r="L93" s="15">
        <v>1</v>
      </c>
      <c r="M93" s="15">
        <v>1</v>
      </c>
      <c r="N93" s="15">
        <v>1</v>
      </c>
      <c r="O93" s="15" cm="1">
        <f t="array" ref="O93">J93*VLOOKUP($H93, Factor!$AN$4:$AS$36, 2, 0)*INDEX(Factor!$AN$41:$AS$87, _xlfn.XMATCH($C93, Factor!$AN$41:$AN$87, -1), 2)*IFERROR(VLOOKUP($I93, Factor!$AU$4:$AX$9, 2, 0),1)</f>
        <v>0</v>
      </c>
      <c r="P93" s="15" cm="1">
        <f t="array" ref="P93">K93*VLOOKUP($H93, Factor!$AN$4:$AS$36, 3, 0)*INDEX(Factor!$AN$41:$AS$87, _xlfn.XMATCH($C93, Factor!$AN$41:$AN$87, -1), 3)*IFERROR(VLOOKUP($I93, Factor!$AU$4:$AX$9, 3, 0),1)</f>
        <v>18</v>
      </c>
      <c r="Q93" s="15" cm="1">
        <f t="array" ref="Q93">L93*VLOOKUP($H93, Factor!$AN$4:$AS$36, 4, 0)*INDEX(Factor!$AN$41:$AS$87, _xlfn.XMATCH($C93, Factor!$AN$41:$AN$87, -1), 4)</f>
        <v>0</v>
      </c>
      <c r="R93" s="15" cm="1">
        <f t="array" ref="R93">M93*VLOOKUP($H93, Factor!$AN$4:$AS$36, 5, 0)*INDEX(Factor!$AN$41:$AS$87, _xlfn.XMATCH($C93, Factor!$AN$41:$AN$87, -1), 5)</f>
        <v>0</v>
      </c>
      <c r="S93" s="15" cm="1">
        <f t="array" ref="S93">N93*VLOOKUP($H93, Factor!$AN$4:$AS$36, 6, 0)*INDEX(Factor!$AN$41:$AS$87, _xlfn.XMATCH($C93, Factor!$AN$41:$AN$87, -1), 6)*IFERROR(VLOOKUP($I93, Factor!$AU$4:$AX$9, 4, 0),1)</f>
        <v>9000</v>
      </c>
      <c r="T93" s="16"/>
    </row>
    <row r="94" spans="1:20" ht="15.75" customHeight="1" x14ac:dyDescent="0.2">
      <c r="A94" s="17" t="str">
        <f>"parlor_"&amp;VLOOKUP(F94, Factor!$CO$4:$CR$10, 4, 0)&amp;D94&amp;"_"&amp;VLOOKUP(E94, Factor!$CS$4:$CT$13, 2, 0)</f>
        <v>parlor_Trans_Inven_T5_001</v>
      </c>
      <c r="B94" s="18" t="str">
        <f t="shared" si="4"/>
        <v>T5 표준 화물 수송 칸</v>
      </c>
      <c r="C94" s="18">
        <f>VLOOKUP(D94, Factor!$AM$41:$AN$50, 2, 0)</f>
        <v>25000</v>
      </c>
      <c r="D94" s="18" t="s">
        <v>301</v>
      </c>
      <c r="E94" s="55" t="s">
        <v>582</v>
      </c>
      <c r="F94" s="55" t="s">
        <v>703</v>
      </c>
      <c r="G94" s="18" t="str">
        <f t="shared" si="5"/>
        <v>표준 화물 수송 칸</v>
      </c>
      <c r="H94" s="18" t="str">
        <f>VLOOKUP(F94, Factor!$CO$4:$CR$10, 2, 0)</f>
        <v>물자수송</v>
      </c>
      <c r="I94" s="18" t="str">
        <f>VLOOKUP(F94, Factor!$CO$4:$CR$10, 3, 0)</f>
        <v>null</v>
      </c>
      <c r="J94" s="18">
        <v>1</v>
      </c>
      <c r="K94" s="18">
        <v>1</v>
      </c>
      <c r="L94" s="18">
        <v>1</v>
      </c>
      <c r="M94" s="18">
        <v>1</v>
      </c>
      <c r="N94" s="18">
        <v>1</v>
      </c>
      <c r="O94" s="18" cm="1">
        <f t="array" ref="O94">J94*VLOOKUP($H94, Factor!$AN$4:$AS$36, 2, 0)*INDEX(Factor!$AN$41:$AS$87, _xlfn.XMATCH($C94, Factor!$AN$41:$AN$87, -1), 2)*IFERROR(VLOOKUP($I94, Factor!$AU$4:$AX$9, 2, 0),1)</f>
        <v>0</v>
      </c>
      <c r="P94" s="18" cm="1">
        <f t="array" ref="P94">K94*VLOOKUP($H94, Factor!$AN$4:$AS$36, 3, 0)*INDEX(Factor!$AN$41:$AS$87, _xlfn.XMATCH($C94, Factor!$AN$41:$AN$87, -1), 3)*IFERROR(VLOOKUP($I94, Factor!$AU$4:$AX$9, 3, 0),1)</f>
        <v>0</v>
      </c>
      <c r="Q94" s="18" cm="1">
        <f t="array" ref="Q94">L94*VLOOKUP($H94, Factor!$AN$4:$AS$36, 4, 0)*INDEX(Factor!$AN$41:$AS$87, _xlfn.XMATCH($C94, Factor!$AN$41:$AN$87, -1), 4)</f>
        <v>3.6</v>
      </c>
      <c r="R94" s="18" cm="1">
        <f t="array" ref="R94">M94*VLOOKUP($H94, Factor!$AN$4:$AS$36, 5, 0)*INDEX(Factor!$AN$41:$AS$87, _xlfn.XMATCH($C94, Factor!$AN$41:$AN$87, -1), 5)</f>
        <v>0</v>
      </c>
      <c r="S94" s="18" cm="1">
        <f t="array" ref="S94">N94*VLOOKUP($H94, Factor!$AN$4:$AS$36, 6, 0)*INDEX(Factor!$AN$41:$AS$87, _xlfn.XMATCH($C94, Factor!$AN$41:$AN$87, -1), 6)*IFERROR(VLOOKUP($I94, Factor!$AU$4:$AX$9, 4, 0),1)</f>
        <v>3600</v>
      </c>
      <c r="T94" s="19"/>
    </row>
    <row r="95" spans="1:20" ht="15.75" customHeight="1" x14ac:dyDescent="0.2">
      <c r="A95" s="14" t="str">
        <f>"parlor_"&amp;VLOOKUP(F95, Factor!$CO$4:$CR$10, 4, 0)&amp;D95&amp;"_"&amp;VLOOKUP(E95, Factor!$CS$4:$CT$13, 2, 0)</f>
        <v>parlor_Trans_Pass_T5_001</v>
      </c>
      <c r="B95" s="15" t="str">
        <f t="shared" si="4"/>
        <v>T5 표준 인원 수송 칸</v>
      </c>
      <c r="C95" s="15">
        <f>VLOOKUP(D95, Factor!$AM$41:$AN$50, 2, 0)</f>
        <v>25000</v>
      </c>
      <c r="D95" s="15" t="s">
        <v>301</v>
      </c>
      <c r="E95" s="56" t="s">
        <v>582</v>
      </c>
      <c r="F95" s="56" t="s">
        <v>704</v>
      </c>
      <c r="G95" s="15" t="str">
        <f t="shared" si="5"/>
        <v>표준 인원 수송 칸</v>
      </c>
      <c r="H95" s="15" t="str">
        <f>VLOOKUP(F95, Factor!$CO$4:$CR$10, 2, 0)</f>
        <v>인원수송</v>
      </c>
      <c r="I95" s="15" t="str">
        <f>VLOOKUP(F95, Factor!$CO$4:$CR$10, 3, 0)</f>
        <v>null</v>
      </c>
      <c r="J95" s="15">
        <v>1</v>
      </c>
      <c r="K95" s="15">
        <v>1</v>
      </c>
      <c r="L95" s="15">
        <v>1</v>
      </c>
      <c r="M95" s="15">
        <v>1</v>
      </c>
      <c r="N95" s="15">
        <v>1</v>
      </c>
      <c r="O95" s="15" cm="1">
        <f t="array" ref="O95">J95*VLOOKUP($H95, Factor!$AN$4:$AS$36, 2, 0)*INDEX(Factor!$AN$41:$AS$87, _xlfn.XMATCH($C95, Factor!$AN$41:$AN$87, -1), 2)*IFERROR(VLOOKUP($I95, Factor!$AU$4:$AX$9, 2, 0),1)</f>
        <v>0</v>
      </c>
      <c r="P95" s="15" cm="1">
        <f t="array" ref="P95">K95*VLOOKUP($H95, Factor!$AN$4:$AS$36, 3, 0)*INDEX(Factor!$AN$41:$AS$87, _xlfn.XMATCH($C95, Factor!$AN$41:$AN$87, -1), 3)*IFERROR(VLOOKUP($I95, Factor!$AU$4:$AX$9, 3, 0),1)</f>
        <v>0</v>
      </c>
      <c r="Q95" s="15" cm="1">
        <f t="array" ref="Q95">L95*VLOOKUP($H95, Factor!$AN$4:$AS$36, 4, 0)*INDEX(Factor!$AN$41:$AS$87, _xlfn.XMATCH($C95, Factor!$AN$41:$AN$87, -1), 4)</f>
        <v>0</v>
      </c>
      <c r="R95" s="15" cm="1">
        <f t="array" ref="R95">M95*VLOOKUP($H95, Factor!$AN$4:$AS$36, 5, 0)*INDEX(Factor!$AN$41:$AS$87, _xlfn.XMATCH($C95, Factor!$AN$41:$AN$87, -1), 5)</f>
        <v>7.2</v>
      </c>
      <c r="S95" s="15" cm="1">
        <f t="array" ref="S95">N95*VLOOKUP($H95, Factor!$AN$4:$AS$36, 6, 0)*INDEX(Factor!$AN$41:$AS$87, _xlfn.XMATCH($C95, Factor!$AN$41:$AN$87, -1), 6)*IFERROR(VLOOKUP($I95, Factor!$AU$4:$AX$9, 4, 0),1)</f>
        <v>1800</v>
      </c>
      <c r="T95" s="16"/>
    </row>
    <row r="96" spans="1:20" ht="15.75" customHeight="1" x14ac:dyDescent="0.2">
      <c r="A96" s="17" t="str">
        <f>"parlor_"&amp;VLOOKUP(F96, Factor!$CO$4:$CR$10, 4, 0)&amp;D96&amp;"_"&amp;VLOOKUP(E96, Factor!$CS$4:$CT$13, 2, 0)</f>
        <v>parlor_Prod_Food_T5_002</v>
      </c>
      <c r="B96" s="18" t="str">
        <f t="shared" si="4"/>
        <v>T5 경량 스마트팜</v>
      </c>
      <c r="C96" s="18">
        <f>VLOOKUP(D96, Factor!$AM$41:$AN$50, 2, 0)</f>
        <v>25000</v>
      </c>
      <c r="D96" s="18" t="s">
        <v>301</v>
      </c>
      <c r="E96" s="55" t="s">
        <v>585</v>
      </c>
      <c r="F96" s="55" t="s">
        <v>695</v>
      </c>
      <c r="G96" s="18" t="str">
        <f t="shared" si="5"/>
        <v>경량 스마트팜</v>
      </c>
      <c r="H96" s="18" t="str">
        <f>VLOOKUP(F96, Factor!$CO$4:$CR$10, 2, 0)</f>
        <v>생산</v>
      </c>
      <c r="I96" s="18" t="str">
        <f>VLOOKUP(F96, Factor!$CO$4:$CR$10, 3, 0)</f>
        <v>food</v>
      </c>
      <c r="J96" s="18">
        <v>1</v>
      </c>
      <c r="K96" s="18">
        <v>1</v>
      </c>
      <c r="L96" s="18">
        <v>1</v>
      </c>
      <c r="M96" s="18">
        <v>1</v>
      </c>
      <c r="N96" s="18">
        <v>1</v>
      </c>
      <c r="O96" s="18" cm="1">
        <f t="array" ref="O96">J96*VLOOKUP($H96, Factor!$AN$4:$AS$36, 2, 0)*INDEX(Factor!$AN$41:$AS$87, _xlfn.XMATCH($C96, Factor!$AN$41:$AN$87, -1), 2)*IFERROR(VLOOKUP($I96, Factor!$AU$4:$AX$9, 2, 0),1)</f>
        <v>18</v>
      </c>
      <c r="P96" s="18" cm="1">
        <f t="array" ref="P96">K96*VLOOKUP($H96, Factor!$AN$4:$AS$36, 3, 0)*INDEX(Factor!$AN$41:$AS$87, _xlfn.XMATCH($C96, Factor!$AN$41:$AN$87, -1), 3)*IFERROR(VLOOKUP($I96, Factor!$AU$4:$AX$9, 3, 0),1)</f>
        <v>0</v>
      </c>
      <c r="Q96" s="18" cm="1">
        <f t="array" ref="Q96">L96*VLOOKUP($H96, Factor!$AN$4:$AS$36, 4, 0)*INDEX(Factor!$AN$41:$AS$87, _xlfn.XMATCH($C96, Factor!$AN$41:$AN$87, -1), 4)</f>
        <v>1.8</v>
      </c>
      <c r="R96" s="18" cm="1">
        <f t="array" ref="R96">M96*VLOOKUP($H96, Factor!$AN$4:$AS$36, 5, 0)*INDEX(Factor!$AN$41:$AS$87, _xlfn.XMATCH($C96, Factor!$AN$41:$AN$87, -1), 5)</f>
        <v>1.8</v>
      </c>
      <c r="S96" s="18" cm="1">
        <f t="array" ref="S96">N96*VLOOKUP($H96, Factor!$AN$4:$AS$36, 6, 0)*INDEX(Factor!$AN$41:$AS$87, _xlfn.XMATCH($C96, Factor!$AN$41:$AN$87, -1), 6)*IFERROR(VLOOKUP($I96, Factor!$AU$4:$AX$9, 4, 0),1)</f>
        <v>9000</v>
      </c>
      <c r="T96" s="19"/>
    </row>
    <row r="97" spans="1:20" ht="15.75" customHeight="1" x14ac:dyDescent="0.2">
      <c r="A97" s="14" t="str">
        <f>"parlor_"&amp;VLOOKUP(F97, Factor!$CO$4:$CR$10, 4, 0)&amp;D97&amp;"_"&amp;VLOOKUP(E97, Factor!$CS$4:$CT$13, 2, 0)</f>
        <v>parlor_Indu_Ammo_T5_002</v>
      </c>
      <c r="B97" s="15" t="str">
        <f t="shared" si="4"/>
        <v>T5 경량 탄약공장</v>
      </c>
      <c r="C97" s="15">
        <f>VLOOKUP(D97, Factor!$AM$41:$AN$50, 2, 0)</f>
        <v>25000</v>
      </c>
      <c r="D97" s="15" t="s">
        <v>301</v>
      </c>
      <c r="E97" s="56" t="s">
        <v>585</v>
      </c>
      <c r="F97" s="56" t="s">
        <v>696</v>
      </c>
      <c r="G97" s="15" t="str">
        <f t="shared" si="5"/>
        <v>경량 탄약공장</v>
      </c>
      <c r="H97" s="15" t="str">
        <f>VLOOKUP(F97, Factor!$CO$4:$CR$10, 2, 0)</f>
        <v>공업</v>
      </c>
      <c r="I97" s="15" t="str">
        <f>VLOOKUP(F97, Factor!$CO$4:$CR$10, 3, 0)</f>
        <v>ammo</v>
      </c>
      <c r="J97" s="15">
        <v>1</v>
      </c>
      <c r="K97" s="15">
        <v>1</v>
      </c>
      <c r="L97" s="15">
        <v>1</v>
      </c>
      <c r="M97" s="15">
        <v>1</v>
      </c>
      <c r="N97" s="15">
        <v>1</v>
      </c>
      <c r="O97" s="15" cm="1">
        <f t="array" ref="O97">J97*VLOOKUP($H97, Factor!$AN$4:$AS$36, 2, 0)*INDEX(Factor!$AN$41:$AS$87, _xlfn.XMATCH($C97, Factor!$AN$41:$AN$87, -1), 2)*IFERROR(VLOOKUP($I97, Factor!$AU$4:$AX$9, 2, 0),1)</f>
        <v>0</v>
      </c>
      <c r="P97" s="15" cm="1">
        <f t="array" ref="P97">K97*VLOOKUP($H97, Factor!$AN$4:$AS$36, 3, 0)*INDEX(Factor!$AN$41:$AS$87, _xlfn.XMATCH($C97, Factor!$AN$41:$AN$87, -1), 3)*IFERROR(VLOOKUP($I97, Factor!$AU$4:$AX$9, 3, 0),1)</f>
        <v>18</v>
      </c>
      <c r="Q97" s="15" cm="1">
        <f t="array" ref="Q97">L97*VLOOKUP($H97, Factor!$AN$4:$AS$36, 4, 0)*INDEX(Factor!$AN$41:$AS$87, _xlfn.XMATCH($C97, Factor!$AN$41:$AN$87, -1), 4)</f>
        <v>0</v>
      </c>
      <c r="R97" s="15" cm="1">
        <f t="array" ref="R97">M97*VLOOKUP($H97, Factor!$AN$4:$AS$36, 5, 0)*INDEX(Factor!$AN$41:$AS$87, _xlfn.XMATCH($C97, Factor!$AN$41:$AN$87, -1), 5)</f>
        <v>0</v>
      </c>
      <c r="S97" s="15" cm="1">
        <f t="array" ref="S97">N97*VLOOKUP($H97, Factor!$AN$4:$AS$36, 6, 0)*INDEX(Factor!$AN$41:$AS$87, _xlfn.XMATCH($C97, Factor!$AN$41:$AN$87, -1), 6)*IFERROR(VLOOKUP($I97, Factor!$AU$4:$AX$9, 4, 0),1)</f>
        <v>9000</v>
      </c>
      <c r="T97" s="16"/>
    </row>
    <row r="98" spans="1:20" ht="15.75" customHeight="1" x14ac:dyDescent="0.2">
      <c r="A98" s="17" t="str">
        <f>"parlor_"&amp;VLOOKUP(F98, Factor!$CO$4:$CR$10, 4, 0)&amp;D98&amp;"_"&amp;VLOOKUP(E98, Factor!$CS$4:$CT$13, 2, 0)</f>
        <v>parlor_Indu_Shell_T5_002</v>
      </c>
      <c r="B98" s="18" t="str">
        <f t="shared" si="4"/>
        <v>T5 경량 포탄공장</v>
      </c>
      <c r="C98" s="18">
        <f>VLOOKUP(D98, Factor!$AM$41:$AN$50, 2, 0)</f>
        <v>25000</v>
      </c>
      <c r="D98" s="18" t="s">
        <v>301</v>
      </c>
      <c r="E98" s="55" t="s">
        <v>585</v>
      </c>
      <c r="F98" s="55" t="s">
        <v>697</v>
      </c>
      <c r="G98" s="18" t="str">
        <f t="shared" si="5"/>
        <v>경량 포탄공장</v>
      </c>
      <c r="H98" s="18" t="str">
        <f>VLOOKUP(F98, Factor!$CO$4:$CR$10, 2, 0)</f>
        <v>공업</v>
      </c>
      <c r="I98" s="18" t="str">
        <f>VLOOKUP(F98, Factor!$CO$4:$CR$10, 3, 0)</f>
        <v>shell</v>
      </c>
      <c r="J98" s="18">
        <v>1</v>
      </c>
      <c r="K98" s="18">
        <v>1</v>
      </c>
      <c r="L98" s="18">
        <v>1</v>
      </c>
      <c r="M98" s="18">
        <v>1</v>
      </c>
      <c r="N98" s="18">
        <v>1</v>
      </c>
      <c r="O98" s="18" cm="1">
        <f t="array" ref="O98">J98*VLOOKUP($H98, Factor!$AN$4:$AS$36, 2, 0)*INDEX(Factor!$AN$41:$AS$87, _xlfn.XMATCH($C98, Factor!$AN$41:$AN$87, -1), 2)*IFERROR(VLOOKUP($I98, Factor!$AU$4:$AX$9, 2, 0),1)</f>
        <v>0</v>
      </c>
      <c r="P98" s="18" cm="1">
        <f t="array" ref="P98">K98*VLOOKUP($H98, Factor!$AN$4:$AS$36, 3, 0)*INDEX(Factor!$AN$41:$AS$87, _xlfn.XMATCH($C98, Factor!$AN$41:$AN$87, -1), 3)*IFERROR(VLOOKUP($I98, Factor!$AU$4:$AX$9, 3, 0),1)</f>
        <v>9</v>
      </c>
      <c r="Q98" s="18" cm="1">
        <f t="array" ref="Q98">L98*VLOOKUP($H98, Factor!$AN$4:$AS$36, 4, 0)*INDEX(Factor!$AN$41:$AS$87, _xlfn.XMATCH($C98, Factor!$AN$41:$AN$87, -1), 4)</f>
        <v>0</v>
      </c>
      <c r="R98" s="18" cm="1">
        <f t="array" ref="R98">M98*VLOOKUP($H98, Factor!$AN$4:$AS$36, 5, 0)*INDEX(Factor!$AN$41:$AS$87, _xlfn.XMATCH($C98, Factor!$AN$41:$AN$87, -1), 5)</f>
        <v>0</v>
      </c>
      <c r="S98" s="18" cm="1">
        <f t="array" ref="S98">N98*VLOOKUP($H98, Factor!$AN$4:$AS$36, 6, 0)*INDEX(Factor!$AN$41:$AS$87, _xlfn.XMATCH($C98, Factor!$AN$41:$AN$87, -1), 6)*IFERROR(VLOOKUP($I98, Factor!$AU$4:$AX$9, 4, 0),1)</f>
        <v>10800</v>
      </c>
      <c r="T98" s="19"/>
    </row>
    <row r="99" spans="1:20" ht="15.75" customHeight="1" x14ac:dyDescent="0.2">
      <c r="A99" s="14" t="str">
        <f>"parlor_"&amp;VLOOKUP(F99, Factor!$CO$4:$CR$10, 4, 0)&amp;D99&amp;"_"&amp;VLOOKUP(E99, Factor!$CS$4:$CT$13, 2, 0)</f>
        <v>parlor_Indu_Missile_T5_002</v>
      </c>
      <c r="B99" s="15" t="str">
        <f t="shared" si="4"/>
        <v>T5 경량 미사일공장</v>
      </c>
      <c r="C99" s="15">
        <f>VLOOKUP(D99, Factor!$AM$41:$AN$50, 2, 0)</f>
        <v>25000</v>
      </c>
      <c r="D99" s="15" t="s">
        <v>301</v>
      </c>
      <c r="E99" s="56" t="s">
        <v>585</v>
      </c>
      <c r="F99" s="56" t="s">
        <v>698</v>
      </c>
      <c r="G99" s="15" t="str">
        <f t="shared" si="5"/>
        <v>경량 미사일공장</v>
      </c>
      <c r="H99" s="15" t="str">
        <f>VLOOKUP(F99, Factor!$CO$4:$CR$10, 2, 0)</f>
        <v>공업</v>
      </c>
      <c r="I99" s="15" t="str">
        <f>VLOOKUP(F99, Factor!$CO$4:$CR$10, 3, 0)</f>
        <v>missile</v>
      </c>
      <c r="J99" s="15">
        <v>1</v>
      </c>
      <c r="K99" s="15">
        <v>1</v>
      </c>
      <c r="L99" s="15">
        <v>1</v>
      </c>
      <c r="M99" s="15">
        <v>1</v>
      </c>
      <c r="N99" s="15">
        <v>1</v>
      </c>
      <c r="O99" s="15" cm="1">
        <f t="array" ref="O99">J99*VLOOKUP($H99, Factor!$AN$4:$AS$36, 2, 0)*INDEX(Factor!$AN$41:$AS$87, _xlfn.XMATCH($C99, Factor!$AN$41:$AN$87, -1), 2)*IFERROR(VLOOKUP($I99, Factor!$AU$4:$AX$9, 2, 0),1)</f>
        <v>0</v>
      </c>
      <c r="P99" s="15" cm="1">
        <f t="array" ref="P99">K99*VLOOKUP($H99, Factor!$AN$4:$AS$36, 3, 0)*INDEX(Factor!$AN$41:$AS$87, _xlfn.XMATCH($C99, Factor!$AN$41:$AN$87, -1), 3)*IFERROR(VLOOKUP($I99, Factor!$AU$4:$AX$9, 3, 0),1)</f>
        <v>3.6</v>
      </c>
      <c r="Q99" s="15" cm="1">
        <f t="array" ref="Q99">L99*VLOOKUP($H99, Factor!$AN$4:$AS$36, 4, 0)*INDEX(Factor!$AN$41:$AS$87, _xlfn.XMATCH($C99, Factor!$AN$41:$AN$87, -1), 4)</f>
        <v>0</v>
      </c>
      <c r="R99" s="15" cm="1">
        <f t="array" ref="R99">M99*VLOOKUP($H99, Factor!$AN$4:$AS$36, 5, 0)*INDEX(Factor!$AN$41:$AS$87, _xlfn.XMATCH($C99, Factor!$AN$41:$AN$87, -1), 5)</f>
        <v>0</v>
      </c>
      <c r="S99" s="15" cm="1">
        <f t="array" ref="S99">N99*VLOOKUP($H99, Factor!$AN$4:$AS$36, 6, 0)*INDEX(Factor!$AN$41:$AS$87, _xlfn.XMATCH($C99, Factor!$AN$41:$AN$87, -1), 6)*IFERROR(VLOOKUP($I99, Factor!$AU$4:$AX$9, 4, 0),1)</f>
        <v>11700</v>
      </c>
      <c r="T99" s="16"/>
    </row>
    <row r="100" spans="1:20" ht="15.75" customHeight="1" x14ac:dyDescent="0.2">
      <c r="A100" s="17" t="str">
        <f>"parlor_"&amp;VLOOKUP(F100, Factor!$CO$4:$CR$10, 4, 0)&amp;D100&amp;"_"&amp;VLOOKUP(E100, Factor!$CS$4:$CT$13, 2, 0)</f>
        <v>parlor_Indu_Siecleium_T5_002</v>
      </c>
      <c r="B100" s="18" t="str">
        <f t="shared" si="4"/>
        <v>T5 경량 서클리움 정제소</v>
      </c>
      <c r="C100" s="18">
        <f>VLOOKUP(D100, Factor!$AM$41:$AN$50, 2, 0)</f>
        <v>25000</v>
      </c>
      <c r="D100" s="18" t="s">
        <v>301</v>
      </c>
      <c r="E100" s="55" t="s">
        <v>585</v>
      </c>
      <c r="F100" s="55" t="s">
        <v>702</v>
      </c>
      <c r="G100" s="18" t="str">
        <f t="shared" si="5"/>
        <v>경량 서클리움 정제소</v>
      </c>
      <c r="H100" s="18" t="str">
        <f>VLOOKUP(F100, Factor!$CO$4:$CR$10, 2, 0)</f>
        <v>공업</v>
      </c>
      <c r="I100" s="18" t="str">
        <f>VLOOKUP(F100, Factor!$CO$4:$CR$10, 3, 0)</f>
        <v>siecleium</v>
      </c>
      <c r="J100" s="18">
        <v>1</v>
      </c>
      <c r="K100" s="18">
        <v>1</v>
      </c>
      <c r="L100" s="18">
        <v>1</v>
      </c>
      <c r="M100" s="18">
        <v>1</v>
      </c>
      <c r="N100" s="18">
        <v>1</v>
      </c>
      <c r="O100" s="18" cm="1">
        <f t="array" ref="O100">J100*VLOOKUP($H100, Factor!$AN$4:$AS$36, 2, 0)*INDEX(Factor!$AN$41:$AS$87, _xlfn.XMATCH($C100, Factor!$AN$41:$AN$87, -1), 2)*IFERROR(VLOOKUP($I100, Factor!$AU$4:$AX$9, 2, 0),1)</f>
        <v>0</v>
      </c>
      <c r="P100" s="18" cm="1">
        <f t="array" ref="P100">K100*VLOOKUP($H100, Factor!$AN$4:$AS$36, 3, 0)*INDEX(Factor!$AN$41:$AS$87, _xlfn.XMATCH($C100, Factor!$AN$41:$AN$87, -1), 3)*IFERROR(VLOOKUP($I100, Factor!$AU$4:$AX$9, 3, 0),1)</f>
        <v>18</v>
      </c>
      <c r="Q100" s="18" cm="1">
        <f t="array" ref="Q100">L100*VLOOKUP($H100, Factor!$AN$4:$AS$36, 4, 0)*INDEX(Factor!$AN$41:$AS$87, _xlfn.XMATCH($C100, Factor!$AN$41:$AN$87, -1), 4)</f>
        <v>0</v>
      </c>
      <c r="R100" s="18" cm="1">
        <f t="array" ref="R100">M100*VLOOKUP($H100, Factor!$AN$4:$AS$36, 5, 0)*INDEX(Factor!$AN$41:$AS$87, _xlfn.XMATCH($C100, Factor!$AN$41:$AN$87, -1), 5)</f>
        <v>0</v>
      </c>
      <c r="S100" s="18" cm="1">
        <f t="array" ref="S100">N100*VLOOKUP($H100, Factor!$AN$4:$AS$36, 6, 0)*INDEX(Factor!$AN$41:$AS$87, _xlfn.XMATCH($C100, Factor!$AN$41:$AN$87, -1), 6)*IFERROR(VLOOKUP($I100, Factor!$AU$4:$AX$9, 4, 0),1)</f>
        <v>9000</v>
      </c>
      <c r="T100" s="19"/>
    </row>
    <row r="101" spans="1:20" ht="15.75" customHeight="1" x14ac:dyDescent="0.2">
      <c r="A101" s="14" t="str">
        <f>"parlor_"&amp;VLOOKUP(F101, Factor!$CO$4:$CR$10, 4, 0)&amp;D101&amp;"_"&amp;VLOOKUP(E101, Factor!$CS$4:$CT$13, 2, 0)</f>
        <v>parlor_Trans_Inven_T5_002</v>
      </c>
      <c r="B101" s="15" t="str">
        <f t="shared" si="4"/>
        <v>T5 경량 화물 수송 칸</v>
      </c>
      <c r="C101" s="15">
        <f>VLOOKUP(D101, Factor!$AM$41:$AN$50, 2, 0)</f>
        <v>25000</v>
      </c>
      <c r="D101" s="15" t="s">
        <v>301</v>
      </c>
      <c r="E101" s="56" t="s">
        <v>585</v>
      </c>
      <c r="F101" s="56" t="s">
        <v>703</v>
      </c>
      <c r="G101" s="15" t="str">
        <f t="shared" si="5"/>
        <v>경량 화물 수송 칸</v>
      </c>
      <c r="H101" s="15" t="str">
        <f>VLOOKUP(F101, Factor!$CO$4:$CR$10, 2, 0)</f>
        <v>물자수송</v>
      </c>
      <c r="I101" s="15" t="str">
        <f>VLOOKUP(F101, Factor!$CO$4:$CR$10, 3, 0)</f>
        <v>null</v>
      </c>
      <c r="J101" s="15">
        <v>1</v>
      </c>
      <c r="K101" s="15">
        <v>1</v>
      </c>
      <c r="L101" s="15">
        <v>1</v>
      </c>
      <c r="M101" s="15">
        <v>1</v>
      </c>
      <c r="N101" s="15">
        <v>1</v>
      </c>
      <c r="O101" s="15" cm="1">
        <f t="array" ref="O101">J101*VLOOKUP($H101, Factor!$AN$4:$AS$36, 2, 0)*INDEX(Factor!$AN$41:$AS$87, _xlfn.XMATCH($C101, Factor!$AN$41:$AN$87, -1), 2)*IFERROR(VLOOKUP($I101, Factor!$AU$4:$AX$9, 2, 0),1)</f>
        <v>0</v>
      </c>
      <c r="P101" s="15" cm="1">
        <f t="array" ref="P101">K101*VLOOKUP($H101, Factor!$AN$4:$AS$36, 3, 0)*INDEX(Factor!$AN$41:$AS$87, _xlfn.XMATCH($C101, Factor!$AN$41:$AN$87, -1), 3)*IFERROR(VLOOKUP($I101, Factor!$AU$4:$AX$9, 3, 0),1)</f>
        <v>0</v>
      </c>
      <c r="Q101" s="15" cm="1">
        <f t="array" ref="Q101">L101*VLOOKUP($H101, Factor!$AN$4:$AS$36, 4, 0)*INDEX(Factor!$AN$41:$AS$87, _xlfn.XMATCH($C101, Factor!$AN$41:$AN$87, -1), 4)</f>
        <v>3.6</v>
      </c>
      <c r="R101" s="15" cm="1">
        <f t="array" ref="R101">M101*VLOOKUP($H101, Factor!$AN$4:$AS$36, 5, 0)*INDEX(Factor!$AN$41:$AS$87, _xlfn.XMATCH($C101, Factor!$AN$41:$AN$87, -1), 5)</f>
        <v>0</v>
      </c>
      <c r="S101" s="15" cm="1">
        <f t="array" ref="S101">N101*VLOOKUP($H101, Factor!$AN$4:$AS$36, 6, 0)*INDEX(Factor!$AN$41:$AS$87, _xlfn.XMATCH($C101, Factor!$AN$41:$AN$87, -1), 6)*IFERROR(VLOOKUP($I101, Factor!$AU$4:$AX$9, 4, 0),1)</f>
        <v>3600</v>
      </c>
      <c r="T101" s="16"/>
    </row>
    <row r="102" spans="1:20" ht="15.75" customHeight="1" x14ac:dyDescent="0.2">
      <c r="A102" s="17" t="str">
        <f>"parlor_"&amp;VLOOKUP(F102, Factor!$CO$4:$CR$10, 4, 0)&amp;D102&amp;"_"&amp;VLOOKUP(E102, Factor!$CS$4:$CT$13, 2, 0)</f>
        <v>parlor_Trans_Pass_T5_002</v>
      </c>
      <c r="B102" s="18" t="str">
        <f t="shared" si="4"/>
        <v>T5 경량 인원 수송 칸</v>
      </c>
      <c r="C102" s="18">
        <f>VLOOKUP(D102, Factor!$AM$41:$AN$50, 2, 0)</f>
        <v>25000</v>
      </c>
      <c r="D102" s="18" t="s">
        <v>301</v>
      </c>
      <c r="E102" s="55" t="s">
        <v>585</v>
      </c>
      <c r="F102" s="55" t="s">
        <v>704</v>
      </c>
      <c r="G102" s="18" t="str">
        <f t="shared" si="5"/>
        <v>경량 인원 수송 칸</v>
      </c>
      <c r="H102" s="18" t="str">
        <f>VLOOKUP(F102, Factor!$CO$4:$CR$10, 2, 0)</f>
        <v>인원수송</v>
      </c>
      <c r="I102" s="18" t="str">
        <f>VLOOKUP(F102, Factor!$CO$4:$CR$10, 3, 0)</f>
        <v>null</v>
      </c>
      <c r="J102" s="18">
        <v>1</v>
      </c>
      <c r="K102" s="18">
        <v>1</v>
      </c>
      <c r="L102" s="18">
        <v>1</v>
      </c>
      <c r="M102" s="18">
        <v>1</v>
      </c>
      <c r="N102" s="18">
        <v>1</v>
      </c>
      <c r="O102" s="18" cm="1">
        <f t="array" ref="O102">J102*VLOOKUP($H102, Factor!$AN$4:$AS$36, 2, 0)*INDEX(Factor!$AN$41:$AS$87, _xlfn.XMATCH($C102, Factor!$AN$41:$AN$87, -1), 2)*IFERROR(VLOOKUP($I102, Factor!$AU$4:$AX$9, 2, 0),1)</f>
        <v>0</v>
      </c>
      <c r="P102" s="18" cm="1">
        <f t="array" ref="P102">K102*VLOOKUP($H102, Factor!$AN$4:$AS$36, 3, 0)*INDEX(Factor!$AN$41:$AS$87, _xlfn.XMATCH($C102, Factor!$AN$41:$AN$87, -1), 3)*IFERROR(VLOOKUP($I102, Factor!$AU$4:$AX$9, 3, 0),1)</f>
        <v>0</v>
      </c>
      <c r="Q102" s="18" cm="1">
        <f t="array" ref="Q102">L102*VLOOKUP($H102, Factor!$AN$4:$AS$36, 4, 0)*INDEX(Factor!$AN$41:$AS$87, _xlfn.XMATCH($C102, Factor!$AN$41:$AN$87, -1), 4)</f>
        <v>0</v>
      </c>
      <c r="R102" s="18" cm="1">
        <f t="array" ref="R102">M102*VLOOKUP($H102, Factor!$AN$4:$AS$36, 5, 0)*INDEX(Factor!$AN$41:$AS$87, _xlfn.XMATCH($C102, Factor!$AN$41:$AN$87, -1), 5)</f>
        <v>7.2</v>
      </c>
      <c r="S102" s="18" cm="1">
        <f t="array" ref="S102">N102*VLOOKUP($H102, Factor!$AN$4:$AS$36, 6, 0)*INDEX(Factor!$AN$41:$AS$87, _xlfn.XMATCH($C102, Factor!$AN$41:$AN$87, -1), 6)*IFERROR(VLOOKUP($I102, Factor!$AU$4:$AX$9, 4, 0),1)</f>
        <v>1800</v>
      </c>
      <c r="T102" s="19"/>
    </row>
    <row r="103" spans="1:20" ht="15.75" customHeight="1" x14ac:dyDescent="0.2">
      <c r="A103" s="14" t="str">
        <f>"parlor_"&amp;VLOOKUP(F103, Factor!$CO$4:$CR$10, 4, 0)&amp;D103&amp;"_"&amp;VLOOKUP(E103, Factor!$CS$4:$CT$13, 2, 0)</f>
        <v>parlor_Prod_Food_T5_003</v>
      </c>
      <c r="B103" s="15" t="str">
        <f t="shared" si="4"/>
        <v>T5 대형 스마트팜</v>
      </c>
      <c r="C103" s="15">
        <f>VLOOKUP(D103, Factor!$AM$41:$AN$50, 2, 0)</f>
        <v>25000</v>
      </c>
      <c r="D103" s="15" t="s">
        <v>301</v>
      </c>
      <c r="E103" s="56" t="s">
        <v>583</v>
      </c>
      <c r="F103" s="56" t="s">
        <v>695</v>
      </c>
      <c r="G103" s="15" t="str">
        <f t="shared" si="5"/>
        <v>대형 스마트팜</v>
      </c>
      <c r="H103" s="15" t="str">
        <f>VLOOKUP(F103, Factor!$CO$4:$CR$10, 2, 0)</f>
        <v>생산</v>
      </c>
      <c r="I103" s="15" t="str">
        <f>VLOOKUP(F103, Factor!$CO$4:$CR$10, 3, 0)</f>
        <v>food</v>
      </c>
      <c r="J103" s="15">
        <v>1</v>
      </c>
      <c r="K103" s="15">
        <v>1</v>
      </c>
      <c r="L103" s="15">
        <v>1</v>
      </c>
      <c r="M103" s="15">
        <v>1</v>
      </c>
      <c r="N103" s="15">
        <v>1</v>
      </c>
      <c r="O103" s="15" cm="1">
        <f t="array" ref="O103">J103*VLOOKUP($H103, Factor!$AN$4:$AS$36, 2, 0)*INDEX(Factor!$AN$41:$AS$87, _xlfn.XMATCH($C103, Factor!$AN$41:$AN$87, -1), 2)*IFERROR(VLOOKUP($I103, Factor!$AU$4:$AX$9, 2, 0),1)</f>
        <v>18</v>
      </c>
      <c r="P103" s="15" cm="1">
        <f t="array" ref="P103">K103*VLOOKUP($H103, Factor!$AN$4:$AS$36, 3, 0)*INDEX(Factor!$AN$41:$AS$87, _xlfn.XMATCH($C103, Factor!$AN$41:$AN$87, -1), 3)*IFERROR(VLOOKUP($I103, Factor!$AU$4:$AX$9, 3, 0),1)</f>
        <v>0</v>
      </c>
      <c r="Q103" s="15" cm="1">
        <f t="array" ref="Q103">L103*VLOOKUP($H103, Factor!$AN$4:$AS$36, 4, 0)*INDEX(Factor!$AN$41:$AS$87, _xlfn.XMATCH($C103, Factor!$AN$41:$AN$87, -1), 4)</f>
        <v>1.8</v>
      </c>
      <c r="R103" s="15" cm="1">
        <f t="array" ref="R103">M103*VLOOKUP($H103, Factor!$AN$4:$AS$36, 5, 0)*INDEX(Factor!$AN$41:$AS$87, _xlfn.XMATCH($C103, Factor!$AN$41:$AN$87, -1), 5)</f>
        <v>1.8</v>
      </c>
      <c r="S103" s="15" cm="1">
        <f t="array" ref="S103">N103*VLOOKUP($H103, Factor!$AN$4:$AS$36, 6, 0)*INDEX(Factor!$AN$41:$AS$87, _xlfn.XMATCH($C103, Factor!$AN$41:$AN$87, -1), 6)*IFERROR(VLOOKUP($I103, Factor!$AU$4:$AX$9, 4, 0),1)</f>
        <v>9000</v>
      </c>
      <c r="T103" s="16"/>
    </row>
    <row r="104" spans="1:20" ht="15.75" customHeight="1" x14ac:dyDescent="0.2">
      <c r="A104" s="17" t="str">
        <f>"parlor_"&amp;VLOOKUP(F104, Factor!$CO$4:$CR$10, 4, 0)&amp;D104&amp;"_"&amp;VLOOKUP(E104, Factor!$CS$4:$CT$13, 2, 0)</f>
        <v>parlor_Indu_Ammo_T5_003</v>
      </c>
      <c r="B104" s="18" t="str">
        <f t="shared" si="4"/>
        <v>T5 대형 탄약공장</v>
      </c>
      <c r="C104" s="18">
        <f>VLOOKUP(D104, Factor!$AM$41:$AN$50, 2, 0)</f>
        <v>25000</v>
      </c>
      <c r="D104" s="18" t="s">
        <v>301</v>
      </c>
      <c r="E104" s="55" t="s">
        <v>583</v>
      </c>
      <c r="F104" s="55" t="s">
        <v>696</v>
      </c>
      <c r="G104" s="18" t="str">
        <f t="shared" si="5"/>
        <v>대형 탄약공장</v>
      </c>
      <c r="H104" s="18" t="str">
        <f>VLOOKUP(F104, Factor!$CO$4:$CR$10, 2, 0)</f>
        <v>공업</v>
      </c>
      <c r="I104" s="18" t="str">
        <f>VLOOKUP(F104, Factor!$CO$4:$CR$10, 3, 0)</f>
        <v>ammo</v>
      </c>
      <c r="J104" s="18">
        <v>1</v>
      </c>
      <c r="K104" s="18">
        <v>1</v>
      </c>
      <c r="L104" s="18">
        <v>1</v>
      </c>
      <c r="M104" s="18">
        <v>1</v>
      </c>
      <c r="N104" s="18">
        <v>1</v>
      </c>
      <c r="O104" s="18" cm="1">
        <f t="array" ref="O104">J104*VLOOKUP($H104, Factor!$AN$4:$AS$36, 2, 0)*INDEX(Factor!$AN$41:$AS$87, _xlfn.XMATCH($C104, Factor!$AN$41:$AN$87, -1), 2)*IFERROR(VLOOKUP($I104, Factor!$AU$4:$AX$9, 2, 0),1)</f>
        <v>0</v>
      </c>
      <c r="P104" s="18" cm="1">
        <f t="array" ref="P104">K104*VLOOKUP($H104, Factor!$AN$4:$AS$36, 3, 0)*INDEX(Factor!$AN$41:$AS$87, _xlfn.XMATCH($C104, Factor!$AN$41:$AN$87, -1), 3)*IFERROR(VLOOKUP($I104, Factor!$AU$4:$AX$9, 3, 0),1)</f>
        <v>18</v>
      </c>
      <c r="Q104" s="18" cm="1">
        <f t="array" ref="Q104">L104*VLOOKUP($H104, Factor!$AN$4:$AS$36, 4, 0)*INDEX(Factor!$AN$41:$AS$87, _xlfn.XMATCH($C104, Factor!$AN$41:$AN$87, -1), 4)</f>
        <v>0</v>
      </c>
      <c r="R104" s="18" cm="1">
        <f t="array" ref="R104">M104*VLOOKUP($H104, Factor!$AN$4:$AS$36, 5, 0)*INDEX(Factor!$AN$41:$AS$87, _xlfn.XMATCH($C104, Factor!$AN$41:$AN$87, -1), 5)</f>
        <v>0</v>
      </c>
      <c r="S104" s="18" cm="1">
        <f t="array" ref="S104">N104*VLOOKUP($H104, Factor!$AN$4:$AS$36, 6, 0)*INDEX(Factor!$AN$41:$AS$87, _xlfn.XMATCH($C104, Factor!$AN$41:$AN$87, -1), 6)*IFERROR(VLOOKUP($I104, Factor!$AU$4:$AX$9, 4, 0),1)</f>
        <v>9000</v>
      </c>
      <c r="T104" s="19"/>
    </row>
    <row r="105" spans="1:20" ht="15.75" customHeight="1" x14ac:dyDescent="0.2">
      <c r="A105" s="14" t="str">
        <f>"parlor_"&amp;VLOOKUP(F105, Factor!$CO$4:$CR$10, 4, 0)&amp;D105&amp;"_"&amp;VLOOKUP(E105, Factor!$CS$4:$CT$13, 2, 0)</f>
        <v>parlor_Indu_Shell_T5_003</v>
      </c>
      <c r="B105" s="15" t="str">
        <f t="shared" si="4"/>
        <v>T5 대형 포탄공장</v>
      </c>
      <c r="C105" s="15">
        <f>VLOOKUP(D105, Factor!$AM$41:$AN$50, 2, 0)</f>
        <v>25000</v>
      </c>
      <c r="D105" s="15" t="s">
        <v>301</v>
      </c>
      <c r="E105" s="56" t="s">
        <v>583</v>
      </c>
      <c r="F105" s="56" t="s">
        <v>697</v>
      </c>
      <c r="G105" s="15" t="str">
        <f t="shared" si="5"/>
        <v>대형 포탄공장</v>
      </c>
      <c r="H105" s="15" t="str">
        <f>VLOOKUP(F105, Factor!$CO$4:$CR$10, 2, 0)</f>
        <v>공업</v>
      </c>
      <c r="I105" s="15" t="str">
        <f>VLOOKUP(F105, Factor!$CO$4:$CR$10, 3, 0)</f>
        <v>shell</v>
      </c>
      <c r="J105" s="15">
        <v>1</v>
      </c>
      <c r="K105" s="15">
        <v>1</v>
      </c>
      <c r="L105" s="15">
        <v>1</v>
      </c>
      <c r="M105" s="15">
        <v>1</v>
      </c>
      <c r="N105" s="15">
        <v>1</v>
      </c>
      <c r="O105" s="15" cm="1">
        <f t="array" ref="O105">J105*VLOOKUP($H105, Factor!$AN$4:$AS$36, 2, 0)*INDEX(Factor!$AN$41:$AS$87, _xlfn.XMATCH($C105, Factor!$AN$41:$AN$87, -1), 2)*IFERROR(VLOOKUP($I105, Factor!$AU$4:$AX$9, 2, 0),1)</f>
        <v>0</v>
      </c>
      <c r="P105" s="15" cm="1">
        <f t="array" ref="P105">K105*VLOOKUP($H105, Factor!$AN$4:$AS$36, 3, 0)*INDEX(Factor!$AN$41:$AS$87, _xlfn.XMATCH($C105, Factor!$AN$41:$AN$87, -1), 3)*IFERROR(VLOOKUP($I105, Factor!$AU$4:$AX$9, 3, 0),1)</f>
        <v>9</v>
      </c>
      <c r="Q105" s="15" cm="1">
        <f t="array" ref="Q105">L105*VLOOKUP($H105, Factor!$AN$4:$AS$36, 4, 0)*INDEX(Factor!$AN$41:$AS$87, _xlfn.XMATCH($C105, Factor!$AN$41:$AN$87, -1), 4)</f>
        <v>0</v>
      </c>
      <c r="R105" s="15" cm="1">
        <f t="array" ref="R105">M105*VLOOKUP($H105, Factor!$AN$4:$AS$36, 5, 0)*INDEX(Factor!$AN$41:$AS$87, _xlfn.XMATCH($C105, Factor!$AN$41:$AN$87, -1), 5)</f>
        <v>0</v>
      </c>
      <c r="S105" s="15" cm="1">
        <f t="array" ref="S105">N105*VLOOKUP($H105, Factor!$AN$4:$AS$36, 6, 0)*INDEX(Factor!$AN$41:$AS$87, _xlfn.XMATCH($C105, Factor!$AN$41:$AN$87, -1), 6)*IFERROR(VLOOKUP($I105, Factor!$AU$4:$AX$9, 4, 0),1)</f>
        <v>10800</v>
      </c>
      <c r="T105" s="16"/>
    </row>
    <row r="106" spans="1:20" ht="15.75" customHeight="1" x14ac:dyDescent="0.2">
      <c r="A106" s="17" t="str">
        <f>"parlor_"&amp;VLOOKUP(F106, Factor!$CO$4:$CR$10, 4, 0)&amp;D106&amp;"_"&amp;VLOOKUP(E106, Factor!$CS$4:$CT$13, 2, 0)</f>
        <v>parlor_Indu_Missile_T5_003</v>
      </c>
      <c r="B106" s="18" t="str">
        <f t="shared" si="4"/>
        <v>T5 대형 미사일공장</v>
      </c>
      <c r="C106" s="18">
        <f>VLOOKUP(D106, Factor!$AM$41:$AN$50, 2, 0)</f>
        <v>25000</v>
      </c>
      <c r="D106" s="18" t="s">
        <v>301</v>
      </c>
      <c r="E106" s="55" t="s">
        <v>583</v>
      </c>
      <c r="F106" s="55" t="s">
        <v>698</v>
      </c>
      <c r="G106" s="18" t="str">
        <f t="shared" si="5"/>
        <v>대형 미사일공장</v>
      </c>
      <c r="H106" s="18" t="str">
        <f>VLOOKUP(F106, Factor!$CO$4:$CR$10, 2, 0)</f>
        <v>공업</v>
      </c>
      <c r="I106" s="18" t="str">
        <f>VLOOKUP(F106, Factor!$CO$4:$CR$10, 3, 0)</f>
        <v>missile</v>
      </c>
      <c r="J106" s="18">
        <v>1</v>
      </c>
      <c r="K106" s="18">
        <v>1</v>
      </c>
      <c r="L106" s="18">
        <v>1</v>
      </c>
      <c r="M106" s="18">
        <v>1</v>
      </c>
      <c r="N106" s="18">
        <v>1</v>
      </c>
      <c r="O106" s="18" cm="1">
        <f t="array" ref="O106">J106*VLOOKUP($H106, Factor!$AN$4:$AS$36, 2, 0)*INDEX(Factor!$AN$41:$AS$87, _xlfn.XMATCH($C106, Factor!$AN$41:$AN$87, -1), 2)*IFERROR(VLOOKUP($I106, Factor!$AU$4:$AX$9, 2, 0),1)</f>
        <v>0</v>
      </c>
      <c r="P106" s="18" cm="1">
        <f t="array" ref="P106">K106*VLOOKUP($H106, Factor!$AN$4:$AS$36, 3, 0)*INDEX(Factor!$AN$41:$AS$87, _xlfn.XMATCH($C106, Factor!$AN$41:$AN$87, -1), 3)*IFERROR(VLOOKUP($I106, Factor!$AU$4:$AX$9, 3, 0),1)</f>
        <v>3.6</v>
      </c>
      <c r="Q106" s="18" cm="1">
        <f t="array" ref="Q106">L106*VLOOKUP($H106, Factor!$AN$4:$AS$36, 4, 0)*INDEX(Factor!$AN$41:$AS$87, _xlfn.XMATCH($C106, Factor!$AN$41:$AN$87, -1), 4)</f>
        <v>0</v>
      </c>
      <c r="R106" s="18" cm="1">
        <f t="array" ref="R106">M106*VLOOKUP($H106, Factor!$AN$4:$AS$36, 5, 0)*INDEX(Factor!$AN$41:$AS$87, _xlfn.XMATCH($C106, Factor!$AN$41:$AN$87, -1), 5)</f>
        <v>0</v>
      </c>
      <c r="S106" s="18" cm="1">
        <f t="array" ref="S106">N106*VLOOKUP($H106, Factor!$AN$4:$AS$36, 6, 0)*INDEX(Factor!$AN$41:$AS$87, _xlfn.XMATCH($C106, Factor!$AN$41:$AN$87, -1), 6)*IFERROR(VLOOKUP($I106, Factor!$AU$4:$AX$9, 4, 0),1)</f>
        <v>11700</v>
      </c>
      <c r="T106" s="19"/>
    </row>
    <row r="107" spans="1:20" ht="15.75" customHeight="1" x14ac:dyDescent="0.2">
      <c r="A107" s="14" t="str">
        <f>"parlor_"&amp;VLOOKUP(F107, Factor!$CO$4:$CR$10, 4, 0)&amp;D107&amp;"_"&amp;VLOOKUP(E107, Factor!$CS$4:$CT$13, 2, 0)</f>
        <v>parlor_Indu_Siecleium_T5_003</v>
      </c>
      <c r="B107" s="15" t="str">
        <f t="shared" si="4"/>
        <v>T5 대형 서클리움 정제소</v>
      </c>
      <c r="C107" s="15">
        <f>VLOOKUP(D107, Factor!$AM$41:$AN$50, 2, 0)</f>
        <v>25000</v>
      </c>
      <c r="D107" s="15" t="s">
        <v>301</v>
      </c>
      <c r="E107" s="56" t="s">
        <v>583</v>
      </c>
      <c r="F107" s="56" t="s">
        <v>702</v>
      </c>
      <c r="G107" s="15" t="str">
        <f t="shared" si="5"/>
        <v>대형 서클리움 정제소</v>
      </c>
      <c r="H107" s="15" t="str">
        <f>VLOOKUP(F107, Factor!$CO$4:$CR$10, 2, 0)</f>
        <v>공업</v>
      </c>
      <c r="I107" s="15" t="str">
        <f>VLOOKUP(F107, Factor!$CO$4:$CR$10, 3, 0)</f>
        <v>siecleium</v>
      </c>
      <c r="J107" s="15">
        <v>1</v>
      </c>
      <c r="K107" s="15">
        <v>1</v>
      </c>
      <c r="L107" s="15">
        <v>1</v>
      </c>
      <c r="M107" s="15">
        <v>1</v>
      </c>
      <c r="N107" s="15">
        <v>1</v>
      </c>
      <c r="O107" s="15" cm="1">
        <f t="array" ref="O107">J107*VLOOKUP($H107, Factor!$AN$4:$AS$36, 2, 0)*INDEX(Factor!$AN$41:$AS$87, _xlfn.XMATCH($C107, Factor!$AN$41:$AN$87, -1), 2)*IFERROR(VLOOKUP($I107, Factor!$AU$4:$AX$9, 2, 0),1)</f>
        <v>0</v>
      </c>
      <c r="P107" s="15" cm="1">
        <f t="array" ref="P107">K107*VLOOKUP($H107, Factor!$AN$4:$AS$36, 3, 0)*INDEX(Factor!$AN$41:$AS$87, _xlfn.XMATCH($C107, Factor!$AN$41:$AN$87, -1), 3)*IFERROR(VLOOKUP($I107, Factor!$AU$4:$AX$9, 3, 0),1)</f>
        <v>18</v>
      </c>
      <c r="Q107" s="15" cm="1">
        <f t="array" ref="Q107">L107*VLOOKUP($H107, Factor!$AN$4:$AS$36, 4, 0)*INDEX(Factor!$AN$41:$AS$87, _xlfn.XMATCH($C107, Factor!$AN$41:$AN$87, -1), 4)</f>
        <v>0</v>
      </c>
      <c r="R107" s="15" cm="1">
        <f t="array" ref="R107">M107*VLOOKUP($H107, Factor!$AN$4:$AS$36, 5, 0)*INDEX(Factor!$AN$41:$AS$87, _xlfn.XMATCH($C107, Factor!$AN$41:$AN$87, -1), 5)</f>
        <v>0</v>
      </c>
      <c r="S107" s="15" cm="1">
        <f t="array" ref="S107">N107*VLOOKUP($H107, Factor!$AN$4:$AS$36, 6, 0)*INDEX(Factor!$AN$41:$AS$87, _xlfn.XMATCH($C107, Factor!$AN$41:$AN$87, -1), 6)*IFERROR(VLOOKUP($I107, Factor!$AU$4:$AX$9, 4, 0),1)</f>
        <v>9000</v>
      </c>
      <c r="T107" s="16"/>
    </row>
    <row r="108" spans="1:20" ht="15.75" customHeight="1" x14ac:dyDescent="0.2">
      <c r="A108" s="17" t="str">
        <f>"parlor_"&amp;VLOOKUP(F108, Factor!$CO$4:$CR$10, 4, 0)&amp;D108&amp;"_"&amp;VLOOKUP(E108, Factor!$CS$4:$CT$13, 2, 0)</f>
        <v>parlor_Trans_Inven_T5_003</v>
      </c>
      <c r="B108" s="18" t="str">
        <f t="shared" si="4"/>
        <v>T5 대형 화물 수송 칸</v>
      </c>
      <c r="C108" s="18">
        <f>VLOOKUP(D108, Factor!$AM$41:$AN$50, 2, 0)</f>
        <v>25000</v>
      </c>
      <c r="D108" s="18" t="s">
        <v>301</v>
      </c>
      <c r="E108" s="55" t="s">
        <v>583</v>
      </c>
      <c r="F108" s="55" t="s">
        <v>703</v>
      </c>
      <c r="G108" s="18" t="str">
        <f t="shared" si="5"/>
        <v>대형 화물 수송 칸</v>
      </c>
      <c r="H108" s="18" t="str">
        <f>VLOOKUP(F108, Factor!$CO$4:$CR$10, 2, 0)</f>
        <v>물자수송</v>
      </c>
      <c r="I108" s="18" t="str">
        <f>VLOOKUP(F108, Factor!$CO$4:$CR$10, 3, 0)</f>
        <v>null</v>
      </c>
      <c r="J108" s="18">
        <v>1</v>
      </c>
      <c r="K108" s="18">
        <v>1</v>
      </c>
      <c r="L108" s="18">
        <v>1</v>
      </c>
      <c r="M108" s="18">
        <v>1</v>
      </c>
      <c r="N108" s="18">
        <v>1</v>
      </c>
      <c r="O108" s="18" cm="1">
        <f t="array" ref="O108">J108*VLOOKUP($H108, Factor!$AN$4:$AS$36, 2, 0)*INDEX(Factor!$AN$41:$AS$87, _xlfn.XMATCH($C108, Factor!$AN$41:$AN$87, -1), 2)*IFERROR(VLOOKUP($I108, Factor!$AU$4:$AX$9, 2, 0),1)</f>
        <v>0</v>
      </c>
      <c r="P108" s="18" cm="1">
        <f t="array" ref="P108">K108*VLOOKUP($H108, Factor!$AN$4:$AS$36, 3, 0)*INDEX(Factor!$AN$41:$AS$87, _xlfn.XMATCH($C108, Factor!$AN$41:$AN$87, -1), 3)*IFERROR(VLOOKUP($I108, Factor!$AU$4:$AX$9, 3, 0),1)</f>
        <v>0</v>
      </c>
      <c r="Q108" s="18" cm="1">
        <f t="array" ref="Q108">L108*VLOOKUP($H108, Factor!$AN$4:$AS$36, 4, 0)*INDEX(Factor!$AN$41:$AS$87, _xlfn.XMATCH($C108, Factor!$AN$41:$AN$87, -1), 4)</f>
        <v>3.6</v>
      </c>
      <c r="R108" s="18" cm="1">
        <f t="array" ref="R108">M108*VLOOKUP($H108, Factor!$AN$4:$AS$36, 5, 0)*INDEX(Factor!$AN$41:$AS$87, _xlfn.XMATCH($C108, Factor!$AN$41:$AN$87, -1), 5)</f>
        <v>0</v>
      </c>
      <c r="S108" s="18" cm="1">
        <f t="array" ref="S108">N108*VLOOKUP($H108, Factor!$AN$4:$AS$36, 6, 0)*INDEX(Factor!$AN$41:$AS$87, _xlfn.XMATCH($C108, Factor!$AN$41:$AN$87, -1), 6)*IFERROR(VLOOKUP($I108, Factor!$AU$4:$AX$9, 4, 0),1)</f>
        <v>3600</v>
      </c>
      <c r="T108" s="19"/>
    </row>
    <row r="109" spans="1:20" ht="15.75" customHeight="1" x14ac:dyDescent="0.2">
      <c r="A109" s="14" t="str">
        <f>"parlor_"&amp;VLOOKUP(F109, Factor!$CO$4:$CR$10, 4, 0)&amp;D109&amp;"_"&amp;VLOOKUP(E109, Factor!$CS$4:$CT$13, 2, 0)</f>
        <v>parlor_Trans_Pass_T5_003</v>
      </c>
      <c r="B109" s="15" t="str">
        <f t="shared" si="4"/>
        <v>T5 대형 인원 수송 칸</v>
      </c>
      <c r="C109" s="15">
        <f>VLOOKUP(D109, Factor!$AM$41:$AN$50, 2, 0)</f>
        <v>25000</v>
      </c>
      <c r="D109" s="15" t="s">
        <v>301</v>
      </c>
      <c r="E109" s="56" t="s">
        <v>583</v>
      </c>
      <c r="F109" s="56" t="s">
        <v>704</v>
      </c>
      <c r="G109" s="15" t="str">
        <f t="shared" si="5"/>
        <v>대형 인원 수송 칸</v>
      </c>
      <c r="H109" s="15" t="str">
        <f>VLOOKUP(F109, Factor!$CO$4:$CR$10, 2, 0)</f>
        <v>인원수송</v>
      </c>
      <c r="I109" s="15" t="str">
        <f>VLOOKUP(F109, Factor!$CO$4:$CR$10, 3, 0)</f>
        <v>null</v>
      </c>
      <c r="J109" s="15">
        <v>1</v>
      </c>
      <c r="K109" s="15">
        <v>1</v>
      </c>
      <c r="L109" s="15">
        <v>1</v>
      </c>
      <c r="M109" s="15">
        <v>1</v>
      </c>
      <c r="N109" s="15">
        <v>1</v>
      </c>
      <c r="O109" s="15" cm="1">
        <f t="array" ref="O109">J109*VLOOKUP($H109, Factor!$AN$4:$AS$36, 2, 0)*INDEX(Factor!$AN$41:$AS$87, _xlfn.XMATCH($C109, Factor!$AN$41:$AN$87, -1), 2)*IFERROR(VLOOKUP($I109, Factor!$AU$4:$AX$9, 2, 0),1)</f>
        <v>0</v>
      </c>
      <c r="P109" s="15" cm="1">
        <f t="array" ref="P109">K109*VLOOKUP($H109, Factor!$AN$4:$AS$36, 3, 0)*INDEX(Factor!$AN$41:$AS$87, _xlfn.XMATCH($C109, Factor!$AN$41:$AN$87, -1), 3)*IFERROR(VLOOKUP($I109, Factor!$AU$4:$AX$9, 3, 0),1)</f>
        <v>0</v>
      </c>
      <c r="Q109" s="15" cm="1">
        <f t="array" ref="Q109">L109*VLOOKUP($H109, Factor!$AN$4:$AS$36, 4, 0)*INDEX(Factor!$AN$41:$AS$87, _xlfn.XMATCH($C109, Factor!$AN$41:$AN$87, -1), 4)</f>
        <v>0</v>
      </c>
      <c r="R109" s="15" cm="1">
        <f t="array" ref="R109">M109*VLOOKUP($H109, Factor!$AN$4:$AS$36, 5, 0)*INDEX(Factor!$AN$41:$AS$87, _xlfn.XMATCH($C109, Factor!$AN$41:$AN$87, -1), 5)</f>
        <v>7.2</v>
      </c>
      <c r="S109" s="15" cm="1">
        <f t="array" ref="S109">N109*VLOOKUP($H109, Factor!$AN$4:$AS$36, 6, 0)*INDEX(Factor!$AN$41:$AS$87, _xlfn.XMATCH($C109, Factor!$AN$41:$AN$87, -1), 6)*IFERROR(VLOOKUP($I109, Factor!$AU$4:$AX$9, 4, 0),1)</f>
        <v>1800</v>
      </c>
      <c r="T109" s="16"/>
    </row>
    <row r="110" spans="1:20" ht="15.75" customHeight="1" x14ac:dyDescent="0.2">
      <c r="A110" s="17" t="str">
        <f>"parlor_"&amp;VLOOKUP(F110, Factor!$CO$4:$CR$10, 4, 0)&amp;D110&amp;"_"&amp;VLOOKUP(E110, Factor!$CS$4:$CT$13, 2, 0)</f>
        <v>parlor_Prod_Food_T6_001</v>
      </c>
      <c r="B110" s="18" t="str">
        <f t="shared" si="4"/>
        <v>T6 표준 스마트팜</v>
      </c>
      <c r="C110" s="18">
        <f>VLOOKUP(D110, Factor!$AM$41:$AN$50, 2, 0)</f>
        <v>30000</v>
      </c>
      <c r="D110" s="18" t="s">
        <v>322</v>
      </c>
      <c r="E110" s="55" t="s">
        <v>582</v>
      </c>
      <c r="F110" s="55" t="s">
        <v>695</v>
      </c>
      <c r="G110" s="18" t="str">
        <f t="shared" si="5"/>
        <v>표준 스마트팜</v>
      </c>
      <c r="H110" s="18" t="str">
        <f>VLOOKUP(F110, Factor!$CO$4:$CR$10, 2, 0)</f>
        <v>생산</v>
      </c>
      <c r="I110" s="18" t="str">
        <f>VLOOKUP(F110, Factor!$CO$4:$CR$10, 3, 0)</f>
        <v>food</v>
      </c>
      <c r="J110" s="18">
        <v>1</v>
      </c>
      <c r="K110" s="18">
        <v>1</v>
      </c>
      <c r="L110" s="18">
        <v>1</v>
      </c>
      <c r="M110" s="18">
        <v>1</v>
      </c>
      <c r="N110" s="18">
        <v>1</v>
      </c>
      <c r="O110" s="18" cm="1">
        <f t="array" ref="O110">J110*VLOOKUP($H110, Factor!$AN$4:$AS$36, 2, 0)*INDEX(Factor!$AN$41:$AS$87, _xlfn.XMATCH($C110, Factor!$AN$41:$AN$87, -1), 2)*IFERROR(VLOOKUP($I110, Factor!$AU$4:$AX$9, 2, 0),1)</f>
        <v>20</v>
      </c>
      <c r="P110" s="18" cm="1">
        <f t="array" ref="P110">K110*VLOOKUP($H110, Factor!$AN$4:$AS$36, 3, 0)*INDEX(Factor!$AN$41:$AS$87, _xlfn.XMATCH($C110, Factor!$AN$41:$AN$87, -1), 3)*IFERROR(VLOOKUP($I110, Factor!$AU$4:$AX$9, 3, 0),1)</f>
        <v>0</v>
      </c>
      <c r="Q110" s="18" cm="1">
        <f t="array" ref="Q110">L110*VLOOKUP($H110, Factor!$AN$4:$AS$36, 4, 0)*INDEX(Factor!$AN$41:$AS$87, _xlfn.XMATCH($C110, Factor!$AN$41:$AN$87, -1), 4)</f>
        <v>2</v>
      </c>
      <c r="R110" s="18" cm="1">
        <f t="array" ref="R110">M110*VLOOKUP($H110, Factor!$AN$4:$AS$36, 5, 0)*INDEX(Factor!$AN$41:$AS$87, _xlfn.XMATCH($C110, Factor!$AN$41:$AN$87, -1), 5)</f>
        <v>2</v>
      </c>
      <c r="S110" s="18" cm="1">
        <f t="array" ref="S110">N110*VLOOKUP($H110, Factor!$AN$4:$AS$36, 6, 0)*INDEX(Factor!$AN$41:$AS$87, _xlfn.XMATCH($C110, Factor!$AN$41:$AN$87, -1), 6)*IFERROR(VLOOKUP($I110, Factor!$AU$4:$AX$9, 4, 0),1)</f>
        <v>10000</v>
      </c>
      <c r="T110" s="19"/>
    </row>
    <row r="111" spans="1:20" ht="15.75" customHeight="1" x14ac:dyDescent="0.2">
      <c r="A111" s="14" t="str">
        <f>"parlor_"&amp;VLOOKUP(F111, Factor!$CO$4:$CR$10, 4, 0)&amp;D111&amp;"_"&amp;VLOOKUP(E111, Factor!$CS$4:$CT$13, 2, 0)</f>
        <v>parlor_Indu_Ammo_T6_001</v>
      </c>
      <c r="B111" s="15" t="str">
        <f t="shared" si="4"/>
        <v>T6 표준 탄약공장</v>
      </c>
      <c r="C111" s="15">
        <f>VLOOKUP(D111, Factor!$AM$41:$AN$50, 2, 0)</f>
        <v>30000</v>
      </c>
      <c r="D111" s="15" t="s">
        <v>322</v>
      </c>
      <c r="E111" s="56" t="s">
        <v>582</v>
      </c>
      <c r="F111" s="56" t="s">
        <v>696</v>
      </c>
      <c r="G111" s="15" t="str">
        <f t="shared" si="5"/>
        <v>표준 탄약공장</v>
      </c>
      <c r="H111" s="15" t="str">
        <f>VLOOKUP(F111, Factor!$CO$4:$CR$10, 2, 0)</f>
        <v>공업</v>
      </c>
      <c r="I111" s="15" t="str">
        <f>VLOOKUP(F111, Factor!$CO$4:$CR$10, 3, 0)</f>
        <v>ammo</v>
      </c>
      <c r="J111" s="15">
        <v>1</v>
      </c>
      <c r="K111" s="15">
        <v>1</v>
      </c>
      <c r="L111" s="15">
        <v>1</v>
      </c>
      <c r="M111" s="15">
        <v>1</v>
      </c>
      <c r="N111" s="15">
        <v>1</v>
      </c>
      <c r="O111" s="15" cm="1">
        <f t="array" ref="O111">J111*VLOOKUP($H111, Factor!$AN$4:$AS$36, 2, 0)*INDEX(Factor!$AN$41:$AS$87, _xlfn.XMATCH($C111, Factor!$AN$41:$AN$87, -1), 2)*IFERROR(VLOOKUP($I111, Factor!$AU$4:$AX$9, 2, 0),1)</f>
        <v>0</v>
      </c>
      <c r="P111" s="15" cm="1">
        <f t="array" ref="P111">K111*VLOOKUP($H111, Factor!$AN$4:$AS$36, 3, 0)*INDEX(Factor!$AN$41:$AS$87, _xlfn.XMATCH($C111, Factor!$AN$41:$AN$87, -1), 3)*IFERROR(VLOOKUP($I111, Factor!$AU$4:$AX$9, 3, 0),1)</f>
        <v>20</v>
      </c>
      <c r="Q111" s="15" cm="1">
        <f t="array" ref="Q111">L111*VLOOKUP($H111, Factor!$AN$4:$AS$36, 4, 0)*INDEX(Factor!$AN$41:$AS$87, _xlfn.XMATCH($C111, Factor!$AN$41:$AN$87, -1), 4)</f>
        <v>0</v>
      </c>
      <c r="R111" s="15" cm="1">
        <f t="array" ref="R111">M111*VLOOKUP($H111, Factor!$AN$4:$AS$36, 5, 0)*INDEX(Factor!$AN$41:$AS$87, _xlfn.XMATCH($C111, Factor!$AN$41:$AN$87, -1), 5)</f>
        <v>0</v>
      </c>
      <c r="S111" s="15" cm="1">
        <f t="array" ref="S111">N111*VLOOKUP($H111, Factor!$AN$4:$AS$36, 6, 0)*INDEX(Factor!$AN$41:$AS$87, _xlfn.XMATCH($C111, Factor!$AN$41:$AN$87, -1), 6)*IFERROR(VLOOKUP($I111, Factor!$AU$4:$AX$9, 4, 0),1)</f>
        <v>10000</v>
      </c>
      <c r="T111" s="16"/>
    </row>
    <row r="112" spans="1:20" ht="15.75" customHeight="1" x14ac:dyDescent="0.2">
      <c r="A112" s="17" t="str">
        <f>"parlor_"&amp;VLOOKUP(F112, Factor!$CO$4:$CR$10, 4, 0)&amp;D112&amp;"_"&amp;VLOOKUP(E112, Factor!$CS$4:$CT$13, 2, 0)</f>
        <v>parlor_Indu_Shell_T6_001</v>
      </c>
      <c r="B112" s="18" t="str">
        <f t="shared" si="4"/>
        <v>T6 표준 포탄공장</v>
      </c>
      <c r="C112" s="18">
        <f>VLOOKUP(D112, Factor!$AM$41:$AN$50, 2, 0)</f>
        <v>30000</v>
      </c>
      <c r="D112" s="18" t="s">
        <v>302</v>
      </c>
      <c r="E112" s="55" t="s">
        <v>582</v>
      </c>
      <c r="F112" s="55" t="s">
        <v>697</v>
      </c>
      <c r="G112" s="18" t="str">
        <f t="shared" si="5"/>
        <v>표준 포탄공장</v>
      </c>
      <c r="H112" s="18" t="str">
        <f>VLOOKUP(F112, Factor!$CO$4:$CR$10, 2, 0)</f>
        <v>공업</v>
      </c>
      <c r="I112" s="18" t="str">
        <f>VLOOKUP(F112, Factor!$CO$4:$CR$10, 3, 0)</f>
        <v>shell</v>
      </c>
      <c r="J112" s="18">
        <v>1</v>
      </c>
      <c r="K112" s="18">
        <v>1</v>
      </c>
      <c r="L112" s="18">
        <v>1</v>
      </c>
      <c r="M112" s="18">
        <v>1</v>
      </c>
      <c r="N112" s="18">
        <v>1</v>
      </c>
      <c r="O112" s="18" cm="1">
        <f t="array" ref="O112">J112*VLOOKUP($H112, Factor!$AN$4:$AS$36, 2, 0)*INDEX(Factor!$AN$41:$AS$87, _xlfn.XMATCH($C112, Factor!$AN$41:$AN$87, -1), 2)*IFERROR(VLOOKUP($I112, Factor!$AU$4:$AX$9, 2, 0),1)</f>
        <v>0</v>
      </c>
      <c r="P112" s="18" cm="1">
        <f t="array" ref="P112">K112*VLOOKUP($H112, Factor!$AN$4:$AS$36, 3, 0)*INDEX(Factor!$AN$41:$AS$87, _xlfn.XMATCH($C112, Factor!$AN$41:$AN$87, -1), 3)*IFERROR(VLOOKUP($I112, Factor!$AU$4:$AX$9, 3, 0),1)</f>
        <v>10</v>
      </c>
      <c r="Q112" s="18" cm="1">
        <f t="array" ref="Q112">L112*VLOOKUP($H112, Factor!$AN$4:$AS$36, 4, 0)*INDEX(Factor!$AN$41:$AS$87, _xlfn.XMATCH($C112, Factor!$AN$41:$AN$87, -1), 4)</f>
        <v>0</v>
      </c>
      <c r="R112" s="18" cm="1">
        <f t="array" ref="R112">M112*VLOOKUP($H112, Factor!$AN$4:$AS$36, 5, 0)*INDEX(Factor!$AN$41:$AS$87, _xlfn.XMATCH($C112, Factor!$AN$41:$AN$87, -1), 5)</f>
        <v>0</v>
      </c>
      <c r="S112" s="18" cm="1">
        <f t="array" ref="S112">N112*VLOOKUP($H112, Factor!$AN$4:$AS$36, 6, 0)*INDEX(Factor!$AN$41:$AS$87, _xlfn.XMATCH($C112, Factor!$AN$41:$AN$87, -1), 6)*IFERROR(VLOOKUP($I112, Factor!$AU$4:$AX$9, 4, 0),1)</f>
        <v>12000</v>
      </c>
      <c r="T112" s="19"/>
    </row>
    <row r="113" spans="1:20" ht="15.75" customHeight="1" x14ac:dyDescent="0.2">
      <c r="A113" s="14" t="str">
        <f>"parlor_"&amp;VLOOKUP(F113, Factor!$CO$4:$CR$10, 4, 0)&amp;D113&amp;"_"&amp;VLOOKUP(E113, Factor!$CS$4:$CT$13, 2, 0)</f>
        <v>parlor_Indu_Missile_T6_001</v>
      </c>
      <c r="B113" s="15" t="str">
        <f t="shared" si="4"/>
        <v>T6 표준 미사일공장</v>
      </c>
      <c r="C113" s="15">
        <f>VLOOKUP(D113, Factor!$AM$41:$AN$50, 2, 0)</f>
        <v>30000</v>
      </c>
      <c r="D113" s="15" t="s">
        <v>302</v>
      </c>
      <c r="E113" s="56" t="s">
        <v>582</v>
      </c>
      <c r="F113" s="56" t="s">
        <v>698</v>
      </c>
      <c r="G113" s="15" t="str">
        <f t="shared" si="5"/>
        <v>표준 미사일공장</v>
      </c>
      <c r="H113" s="15" t="str">
        <f>VLOOKUP(F113, Factor!$CO$4:$CR$10, 2, 0)</f>
        <v>공업</v>
      </c>
      <c r="I113" s="15" t="str">
        <f>VLOOKUP(F113, Factor!$CO$4:$CR$10, 3, 0)</f>
        <v>missile</v>
      </c>
      <c r="J113" s="15">
        <v>1</v>
      </c>
      <c r="K113" s="15">
        <v>1</v>
      </c>
      <c r="L113" s="15">
        <v>1</v>
      </c>
      <c r="M113" s="15">
        <v>1</v>
      </c>
      <c r="N113" s="15">
        <v>1</v>
      </c>
      <c r="O113" s="15" cm="1">
        <f t="array" ref="O113">J113*VLOOKUP($H113, Factor!$AN$4:$AS$36, 2, 0)*INDEX(Factor!$AN$41:$AS$87, _xlfn.XMATCH($C113, Factor!$AN$41:$AN$87, -1), 2)*IFERROR(VLOOKUP($I113, Factor!$AU$4:$AX$9, 2, 0),1)</f>
        <v>0</v>
      </c>
      <c r="P113" s="15" cm="1">
        <f t="array" ref="P113">K113*VLOOKUP($H113, Factor!$AN$4:$AS$36, 3, 0)*INDEX(Factor!$AN$41:$AS$87, _xlfn.XMATCH($C113, Factor!$AN$41:$AN$87, -1), 3)*IFERROR(VLOOKUP($I113, Factor!$AU$4:$AX$9, 3, 0),1)</f>
        <v>4</v>
      </c>
      <c r="Q113" s="15" cm="1">
        <f t="array" ref="Q113">L113*VLOOKUP($H113, Factor!$AN$4:$AS$36, 4, 0)*INDEX(Factor!$AN$41:$AS$87, _xlfn.XMATCH($C113, Factor!$AN$41:$AN$87, -1), 4)</f>
        <v>0</v>
      </c>
      <c r="R113" s="15" cm="1">
        <f t="array" ref="R113">M113*VLOOKUP($H113, Factor!$AN$4:$AS$36, 5, 0)*INDEX(Factor!$AN$41:$AS$87, _xlfn.XMATCH($C113, Factor!$AN$41:$AN$87, -1), 5)</f>
        <v>0</v>
      </c>
      <c r="S113" s="15" cm="1">
        <f t="array" ref="S113">N113*VLOOKUP($H113, Factor!$AN$4:$AS$36, 6, 0)*INDEX(Factor!$AN$41:$AS$87, _xlfn.XMATCH($C113, Factor!$AN$41:$AN$87, -1), 6)*IFERROR(VLOOKUP($I113, Factor!$AU$4:$AX$9, 4, 0),1)</f>
        <v>13000</v>
      </c>
      <c r="T113" s="16"/>
    </row>
    <row r="114" spans="1:20" ht="15.75" customHeight="1" x14ac:dyDescent="0.2">
      <c r="A114" s="17" t="str">
        <f>"parlor_"&amp;VLOOKUP(F114, Factor!$CO$4:$CR$10, 4, 0)&amp;D114&amp;"_"&amp;VLOOKUP(E114, Factor!$CS$4:$CT$13, 2, 0)</f>
        <v>parlor_Indu_Siecleium_T6_001</v>
      </c>
      <c r="B114" s="18" t="str">
        <f t="shared" si="4"/>
        <v>T6 표준 서클리움 정제소</v>
      </c>
      <c r="C114" s="18">
        <f>VLOOKUP(D114, Factor!$AM$41:$AN$50, 2, 0)</f>
        <v>30000</v>
      </c>
      <c r="D114" s="18" t="s">
        <v>302</v>
      </c>
      <c r="E114" s="55" t="s">
        <v>582</v>
      </c>
      <c r="F114" s="55" t="s">
        <v>702</v>
      </c>
      <c r="G114" s="18" t="str">
        <f t="shared" si="5"/>
        <v>표준 서클리움 정제소</v>
      </c>
      <c r="H114" s="18" t="str">
        <f>VLOOKUP(F114, Factor!$CO$4:$CR$10, 2, 0)</f>
        <v>공업</v>
      </c>
      <c r="I114" s="18" t="str">
        <f>VLOOKUP(F114, Factor!$CO$4:$CR$10, 3, 0)</f>
        <v>siecleium</v>
      </c>
      <c r="J114" s="18">
        <v>1</v>
      </c>
      <c r="K114" s="18">
        <v>1</v>
      </c>
      <c r="L114" s="18">
        <v>1</v>
      </c>
      <c r="M114" s="18">
        <v>1</v>
      </c>
      <c r="N114" s="18">
        <v>1</v>
      </c>
      <c r="O114" s="18" cm="1">
        <f t="array" ref="O114">J114*VLOOKUP($H114, Factor!$AN$4:$AS$36, 2, 0)*INDEX(Factor!$AN$41:$AS$87, _xlfn.XMATCH($C114, Factor!$AN$41:$AN$87, -1), 2)*IFERROR(VLOOKUP($I114, Factor!$AU$4:$AX$9, 2, 0),1)</f>
        <v>0</v>
      </c>
      <c r="P114" s="18" cm="1">
        <f t="array" ref="P114">K114*VLOOKUP($H114, Factor!$AN$4:$AS$36, 3, 0)*INDEX(Factor!$AN$41:$AS$87, _xlfn.XMATCH($C114, Factor!$AN$41:$AN$87, -1), 3)*IFERROR(VLOOKUP($I114, Factor!$AU$4:$AX$9, 3, 0),1)</f>
        <v>20</v>
      </c>
      <c r="Q114" s="18" cm="1">
        <f t="array" ref="Q114">L114*VLOOKUP($H114, Factor!$AN$4:$AS$36, 4, 0)*INDEX(Factor!$AN$41:$AS$87, _xlfn.XMATCH($C114, Factor!$AN$41:$AN$87, -1), 4)</f>
        <v>0</v>
      </c>
      <c r="R114" s="18" cm="1">
        <f t="array" ref="R114">M114*VLOOKUP($H114, Factor!$AN$4:$AS$36, 5, 0)*INDEX(Factor!$AN$41:$AS$87, _xlfn.XMATCH($C114, Factor!$AN$41:$AN$87, -1), 5)</f>
        <v>0</v>
      </c>
      <c r="S114" s="18" cm="1">
        <f t="array" ref="S114">N114*VLOOKUP($H114, Factor!$AN$4:$AS$36, 6, 0)*INDEX(Factor!$AN$41:$AS$87, _xlfn.XMATCH($C114, Factor!$AN$41:$AN$87, -1), 6)*IFERROR(VLOOKUP($I114, Factor!$AU$4:$AX$9, 4, 0),1)</f>
        <v>10000</v>
      </c>
      <c r="T114" s="19"/>
    </row>
    <row r="115" spans="1:20" ht="15.75" customHeight="1" x14ac:dyDescent="0.2">
      <c r="A115" s="14" t="str">
        <f>"parlor_"&amp;VLOOKUP(F115, Factor!$CO$4:$CR$10, 4, 0)&amp;D115&amp;"_"&amp;VLOOKUP(E115, Factor!$CS$4:$CT$13, 2, 0)</f>
        <v>parlor_Trans_Inven_T6_001</v>
      </c>
      <c r="B115" s="15" t="str">
        <f t="shared" si="4"/>
        <v>T6 표준 화물 수송 칸</v>
      </c>
      <c r="C115" s="15">
        <f>VLOOKUP(D115, Factor!$AM$41:$AN$50, 2, 0)</f>
        <v>30000</v>
      </c>
      <c r="D115" s="15" t="s">
        <v>302</v>
      </c>
      <c r="E115" s="56" t="s">
        <v>582</v>
      </c>
      <c r="F115" s="56" t="s">
        <v>703</v>
      </c>
      <c r="G115" s="15" t="str">
        <f t="shared" si="5"/>
        <v>표준 화물 수송 칸</v>
      </c>
      <c r="H115" s="15" t="str">
        <f>VLOOKUP(F115, Factor!$CO$4:$CR$10, 2, 0)</f>
        <v>물자수송</v>
      </c>
      <c r="I115" s="15" t="str">
        <f>VLOOKUP(F115, Factor!$CO$4:$CR$10, 3, 0)</f>
        <v>null</v>
      </c>
      <c r="J115" s="15">
        <v>1</v>
      </c>
      <c r="K115" s="15">
        <v>1</v>
      </c>
      <c r="L115" s="15">
        <v>1</v>
      </c>
      <c r="M115" s="15">
        <v>1</v>
      </c>
      <c r="N115" s="15">
        <v>1</v>
      </c>
      <c r="O115" s="15" cm="1">
        <f t="array" ref="O115">J115*VLOOKUP($H115, Factor!$AN$4:$AS$36, 2, 0)*INDEX(Factor!$AN$41:$AS$87, _xlfn.XMATCH($C115, Factor!$AN$41:$AN$87, -1), 2)*IFERROR(VLOOKUP($I115, Factor!$AU$4:$AX$9, 2, 0),1)</f>
        <v>0</v>
      </c>
      <c r="P115" s="15" cm="1">
        <f t="array" ref="P115">K115*VLOOKUP($H115, Factor!$AN$4:$AS$36, 3, 0)*INDEX(Factor!$AN$41:$AS$87, _xlfn.XMATCH($C115, Factor!$AN$41:$AN$87, -1), 3)*IFERROR(VLOOKUP($I115, Factor!$AU$4:$AX$9, 3, 0),1)</f>
        <v>0</v>
      </c>
      <c r="Q115" s="15" cm="1">
        <f t="array" ref="Q115">L115*VLOOKUP($H115, Factor!$AN$4:$AS$36, 4, 0)*INDEX(Factor!$AN$41:$AS$87, _xlfn.XMATCH($C115, Factor!$AN$41:$AN$87, -1), 4)</f>
        <v>4</v>
      </c>
      <c r="R115" s="15" cm="1">
        <f t="array" ref="R115">M115*VLOOKUP($H115, Factor!$AN$4:$AS$36, 5, 0)*INDEX(Factor!$AN$41:$AS$87, _xlfn.XMATCH($C115, Factor!$AN$41:$AN$87, -1), 5)</f>
        <v>0</v>
      </c>
      <c r="S115" s="15" cm="1">
        <f t="array" ref="S115">N115*VLOOKUP($H115, Factor!$AN$4:$AS$36, 6, 0)*INDEX(Factor!$AN$41:$AS$87, _xlfn.XMATCH($C115, Factor!$AN$41:$AN$87, -1), 6)*IFERROR(VLOOKUP($I115, Factor!$AU$4:$AX$9, 4, 0),1)</f>
        <v>4000</v>
      </c>
      <c r="T115" s="16"/>
    </row>
    <row r="116" spans="1:20" ht="15.75" customHeight="1" x14ac:dyDescent="0.2">
      <c r="A116" s="17" t="str">
        <f>"parlor_"&amp;VLOOKUP(F116, Factor!$CO$4:$CR$10, 4, 0)&amp;D116&amp;"_"&amp;VLOOKUP(E116, Factor!$CS$4:$CT$13, 2, 0)</f>
        <v>parlor_Trans_Pass_T6_001</v>
      </c>
      <c r="B116" s="18" t="str">
        <f t="shared" si="4"/>
        <v>T6 표준 인원 수송 칸</v>
      </c>
      <c r="C116" s="18">
        <f>VLOOKUP(D116, Factor!$AM$41:$AN$50, 2, 0)</f>
        <v>30000</v>
      </c>
      <c r="D116" s="18" t="s">
        <v>302</v>
      </c>
      <c r="E116" s="55" t="s">
        <v>582</v>
      </c>
      <c r="F116" s="55" t="s">
        <v>704</v>
      </c>
      <c r="G116" s="18" t="str">
        <f t="shared" si="5"/>
        <v>표준 인원 수송 칸</v>
      </c>
      <c r="H116" s="18" t="str">
        <f>VLOOKUP(F116, Factor!$CO$4:$CR$10, 2, 0)</f>
        <v>인원수송</v>
      </c>
      <c r="I116" s="18" t="str">
        <f>VLOOKUP(F116, Factor!$CO$4:$CR$10, 3, 0)</f>
        <v>null</v>
      </c>
      <c r="J116" s="18">
        <v>1</v>
      </c>
      <c r="K116" s="18">
        <v>1</v>
      </c>
      <c r="L116" s="18">
        <v>1</v>
      </c>
      <c r="M116" s="18">
        <v>1</v>
      </c>
      <c r="N116" s="18">
        <v>1</v>
      </c>
      <c r="O116" s="18" cm="1">
        <f t="array" ref="O116">J116*VLOOKUP($H116, Factor!$AN$4:$AS$36, 2, 0)*INDEX(Factor!$AN$41:$AS$87, _xlfn.XMATCH($C116, Factor!$AN$41:$AN$87, -1), 2)*IFERROR(VLOOKUP($I116, Factor!$AU$4:$AX$9, 2, 0),1)</f>
        <v>0</v>
      </c>
      <c r="P116" s="18" cm="1">
        <f t="array" ref="P116">K116*VLOOKUP($H116, Factor!$AN$4:$AS$36, 3, 0)*INDEX(Factor!$AN$41:$AS$87, _xlfn.XMATCH($C116, Factor!$AN$41:$AN$87, -1), 3)*IFERROR(VLOOKUP($I116, Factor!$AU$4:$AX$9, 3, 0),1)</f>
        <v>0</v>
      </c>
      <c r="Q116" s="18" cm="1">
        <f t="array" ref="Q116">L116*VLOOKUP($H116, Factor!$AN$4:$AS$36, 4, 0)*INDEX(Factor!$AN$41:$AS$87, _xlfn.XMATCH($C116, Factor!$AN$41:$AN$87, -1), 4)</f>
        <v>0</v>
      </c>
      <c r="R116" s="18" cm="1">
        <f t="array" ref="R116">M116*VLOOKUP($H116, Factor!$AN$4:$AS$36, 5, 0)*INDEX(Factor!$AN$41:$AS$87, _xlfn.XMATCH($C116, Factor!$AN$41:$AN$87, -1), 5)</f>
        <v>8</v>
      </c>
      <c r="S116" s="18" cm="1">
        <f t="array" ref="S116">N116*VLOOKUP($H116, Factor!$AN$4:$AS$36, 6, 0)*INDEX(Factor!$AN$41:$AS$87, _xlfn.XMATCH($C116, Factor!$AN$41:$AN$87, -1), 6)*IFERROR(VLOOKUP($I116, Factor!$AU$4:$AX$9, 4, 0),1)</f>
        <v>2000</v>
      </c>
      <c r="T116" s="19"/>
    </row>
    <row r="117" spans="1:20" ht="15.75" customHeight="1" x14ac:dyDescent="0.2">
      <c r="A117" s="14" t="str">
        <f>"parlor_"&amp;VLOOKUP(F117, Factor!$CO$4:$CR$10, 4, 0)&amp;D117&amp;"_"&amp;VLOOKUP(E117, Factor!$CS$4:$CT$13, 2, 0)</f>
        <v>parlor_Prod_Food_T6_002</v>
      </c>
      <c r="B117" s="15" t="str">
        <f t="shared" si="4"/>
        <v>T6 경량 스마트팜</v>
      </c>
      <c r="C117" s="15">
        <f>VLOOKUP(D117, Factor!$AM$41:$AN$50, 2, 0)</f>
        <v>30000</v>
      </c>
      <c r="D117" s="15" t="s">
        <v>302</v>
      </c>
      <c r="E117" s="56" t="s">
        <v>585</v>
      </c>
      <c r="F117" s="56" t="s">
        <v>695</v>
      </c>
      <c r="G117" s="15" t="str">
        <f t="shared" si="5"/>
        <v>경량 스마트팜</v>
      </c>
      <c r="H117" s="15" t="str">
        <f>VLOOKUP(F117, Factor!$CO$4:$CR$10, 2, 0)</f>
        <v>생산</v>
      </c>
      <c r="I117" s="15" t="str">
        <f>VLOOKUP(F117, Factor!$CO$4:$CR$10, 3, 0)</f>
        <v>food</v>
      </c>
      <c r="J117" s="15">
        <v>1</v>
      </c>
      <c r="K117" s="15">
        <v>1</v>
      </c>
      <c r="L117" s="15">
        <v>1</v>
      </c>
      <c r="M117" s="15">
        <v>1</v>
      </c>
      <c r="N117" s="15">
        <v>1</v>
      </c>
      <c r="O117" s="15" cm="1">
        <f t="array" ref="O117">J117*VLOOKUP($H117, Factor!$AN$4:$AS$36, 2, 0)*INDEX(Factor!$AN$41:$AS$87, _xlfn.XMATCH($C117, Factor!$AN$41:$AN$87, -1), 2)*IFERROR(VLOOKUP($I117, Factor!$AU$4:$AX$9, 2, 0),1)</f>
        <v>20</v>
      </c>
      <c r="P117" s="15" cm="1">
        <f t="array" ref="P117">K117*VLOOKUP($H117, Factor!$AN$4:$AS$36, 3, 0)*INDEX(Factor!$AN$41:$AS$87, _xlfn.XMATCH($C117, Factor!$AN$41:$AN$87, -1), 3)*IFERROR(VLOOKUP($I117, Factor!$AU$4:$AX$9, 3, 0),1)</f>
        <v>0</v>
      </c>
      <c r="Q117" s="15" cm="1">
        <f t="array" ref="Q117">L117*VLOOKUP($H117, Factor!$AN$4:$AS$36, 4, 0)*INDEX(Factor!$AN$41:$AS$87, _xlfn.XMATCH($C117, Factor!$AN$41:$AN$87, -1), 4)</f>
        <v>2</v>
      </c>
      <c r="R117" s="15" cm="1">
        <f t="array" ref="R117">M117*VLOOKUP($H117, Factor!$AN$4:$AS$36, 5, 0)*INDEX(Factor!$AN$41:$AS$87, _xlfn.XMATCH($C117, Factor!$AN$41:$AN$87, -1), 5)</f>
        <v>2</v>
      </c>
      <c r="S117" s="15" cm="1">
        <f t="array" ref="S117">N117*VLOOKUP($H117, Factor!$AN$4:$AS$36, 6, 0)*INDEX(Factor!$AN$41:$AS$87, _xlfn.XMATCH($C117, Factor!$AN$41:$AN$87, -1), 6)*IFERROR(VLOOKUP($I117, Factor!$AU$4:$AX$9, 4, 0),1)</f>
        <v>10000</v>
      </c>
      <c r="T117" s="16"/>
    </row>
    <row r="118" spans="1:20" ht="15.75" customHeight="1" x14ac:dyDescent="0.2">
      <c r="A118" s="17" t="str">
        <f>"parlor_"&amp;VLOOKUP(F118, Factor!$CO$4:$CR$10, 4, 0)&amp;D118&amp;"_"&amp;VLOOKUP(E118, Factor!$CS$4:$CT$13, 2, 0)</f>
        <v>parlor_Indu_Ammo_T6_002</v>
      </c>
      <c r="B118" s="18" t="str">
        <f t="shared" si="4"/>
        <v>T6 경량 탄약공장</v>
      </c>
      <c r="C118" s="18">
        <f>VLOOKUP(D118, Factor!$AM$41:$AN$50, 2, 0)</f>
        <v>30000</v>
      </c>
      <c r="D118" s="18" t="s">
        <v>302</v>
      </c>
      <c r="E118" s="55" t="s">
        <v>585</v>
      </c>
      <c r="F118" s="55" t="s">
        <v>696</v>
      </c>
      <c r="G118" s="18" t="str">
        <f t="shared" si="5"/>
        <v>경량 탄약공장</v>
      </c>
      <c r="H118" s="18" t="str">
        <f>VLOOKUP(F118, Factor!$CO$4:$CR$10, 2, 0)</f>
        <v>공업</v>
      </c>
      <c r="I118" s="18" t="str">
        <f>VLOOKUP(F118, Factor!$CO$4:$CR$10, 3, 0)</f>
        <v>ammo</v>
      </c>
      <c r="J118" s="18">
        <v>1</v>
      </c>
      <c r="K118" s="18">
        <v>1</v>
      </c>
      <c r="L118" s="18">
        <v>1</v>
      </c>
      <c r="M118" s="18">
        <v>1</v>
      </c>
      <c r="N118" s="18">
        <v>1</v>
      </c>
      <c r="O118" s="18" cm="1">
        <f t="array" ref="O118">J118*VLOOKUP($H118, Factor!$AN$4:$AS$36, 2, 0)*INDEX(Factor!$AN$41:$AS$87, _xlfn.XMATCH($C118, Factor!$AN$41:$AN$87, -1), 2)*IFERROR(VLOOKUP($I118, Factor!$AU$4:$AX$9, 2, 0),1)</f>
        <v>0</v>
      </c>
      <c r="P118" s="18" cm="1">
        <f t="array" ref="P118">K118*VLOOKUP($H118, Factor!$AN$4:$AS$36, 3, 0)*INDEX(Factor!$AN$41:$AS$87, _xlfn.XMATCH($C118, Factor!$AN$41:$AN$87, -1), 3)*IFERROR(VLOOKUP($I118, Factor!$AU$4:$AX$9, 3, 0),1)</f>
        <v>20</v>
      </c>
      <c r="Q118" s="18" cm="1">
        <f t="array" ref="Q118">L118*VLOOKUP($H118, Factor!$AN$4:$AS$36, 4, 0)*INDEX(Factor!$AN$41:$AS$87, _xlfn.XMATCH($C118, Factor!$AN$41:$AN$87, -1), 4)</f>
        <v>0</v>
      </c>
      <c r="R118" s="18" cm="1">
        <f t="array" ref="R118">M118*VLOOKUP($H118, Factor!$AN$4:$AS$36, 5, 0)*INDEX(Factor!$AN$41:$AS$87, _xlfn.XMATCH($C118, Factor!$AN$41:$AN$87, -1), 5)</f>
        <v>0</v>
      </c>
      <c r="S118" s="18" cm="1">
        <f t="array" ref="S118">N118*VLOOKUP($H118, Factor!$AN$4:$AS$36, 6, 0)*INDEX(Factor!$AN$41:$AS$87, _xlfn.XMATCH($C118, Factor!$AN$41:$AN$87, -1), 6)*IFERROR(VLOOKUP($I118, Factor!$AU$4:$AX$9, 4, 0),1)</f>
        <v>10000</v>
      </c>
      <c r="T118" s="19"/>
    </row>
    <row r="119" spans="1:20" ht="15.75" customHeight="1" x14ac:dyDescent="0.2">
      <c r="A119" s="14" t="str">
        <f>"parlor_"&amp;VLOOKUP(F119, Factor!$CO$4:$CR$10, 4, 0)&amp;D119&amp;"_"&amp;VLOOKUP(E119, Factor!$CS$4:$CT$13, 2, 0)</f>
        <v>parlor_Indu_Shell_T6_002</v>
      </c>
      <c r="B119" s="15" t="str">
        <f t="shared" si="4"/>
        <v>T6 경량 포탄공장</v>
      </c>
      <c r="C119" s="15">
        <f>VLOOKUP(D119, Factor!$AM$41:$AN$50, 2, 0)</f>
        <v>30000</v>
      </c>
      <c r="D119" s="15" t="s">
        <v>302</v>
      </c>
      <c r="E119" s="56" t="s">
        <v>585</v>
      </c>
      <c r="F119" s="56" t="s">
        <v>697</v>
      </c>
      <c r="G119" s="15" t="str">
        <f t="shared" si="5"/>
        <v>경량 포탄공장</v>
      </c>
      <c r="H119" s="15" t="str">
        <f>VLOOKUP(F119, Factor!$CO$4:$CR$10, 2, 0)</f>
        <v>공업</v>
      </c>
      <c r="I119" s="15" t="str">
        <f>VLOOKUP(F119, Factor!$CO$4:$CR$10, 3, 0)</f>
        <v>shell</v>
      </c>
      <c r="J119" s="15">
        <v>1</v>
      </c>
      <c r="K119" s="15">
        <v>1</v>
      </c>
      <c r="L119" s="15">
        <v>1</v>
      </c>
      <c r="M119" s="15">
        <v>1</v>
      </c>
      <c r="N119" s="15">
        <v>1</v>
      </c>
      <c r="O119" s="15" cm="1">
        <f t="array" ref="O119">J119*VLOOKUP($H119, Factor!$AN$4:$AS$36, 2, 0)*INDEX(Factor!$AN$41:$AS$87, _xlfn.XMATCH($C119, Factor!$AN$41:$AN$87, -1), 2)*IFERROR(VLOOKUP($I119, Factor!$AU$4:$AX$9, 2, 0),1)</f>
        <v>0</v>
      </c>
      <c r="P119" s="15" cm="1">
        <f t="array" ref="P119">K119*VLOOKUP($H119, Factor!$AN$4:$AS$36, 3, 0)*INDEX(Factor!$AN$41:$AS$87, _xlfn.XMATCH($C119, Factor!$AN$41:$AN$87, -1), 3)*IFERROR(VLOOKUP($I119, Factor!$AU$4:$AX$9, 3, 0),1)</f>
        <v>10</v>
      </c>
      <c r="Q119" s="15" cm="1">
        <f t="array" ref="Q119">L119*VLOOKUP($H119, Factor!$AN$4:$AS$36, 4, 0)*INDEX(Factor!$AN$41:$AS$87, _xlfn.XMATCH($C119, Factor!$AN$41:$AN$87, -1), 4)</f>
        <v>0</v>
      </c>
      <c r="R119" s="15" cm="1">
        <f t="array" ref="R119">M119*VLOOKUP($H119, Factor!$AN$4:$AS$36, 5, 0)*INDEX(Factor!$AN$41:$AS$87, _xlfn.XMATCH($C119, Factor!$AN$41:$AN$87, -1), 5)</f>
        <v>0</v>
      </c>
      <c r="S119" s="15" cm="1">
        <f t="array" ref="S119">N119*VLOOKUP($H119, Factor!$AN$4:$AS$36, 6, 0)*INDEX(Factor!$AN$41:$AS$87, _xlfn.XMATCH($C119, Factor!$AN$41:$AN$87, -1), 6)*IFERROR(VLOOKUP($I119, Factor!$AU$4:$AX$9, 4, 0),1)</f>
        <v>12000</v>
      </c>
      <c r="T119" s="16"/>
    </row>
    <row r="120" spans="1:20" ht="15.75" customHeight="1" x14ac:dyDescent="0.2">
      <c r="A120" s="17" t="str">
        <f>"parlor_"&amp;VLOOKUP(F120, Factor!$CO$4:$CR$10, 4, 0)&amp;D120&amp;"_"&amp;VLOOKUP(E120, Factor!$CS$4:$CT$13, 2, 0)</f>
        <v>parlor_Indu_Missile_T6_002</v>
      </c>
      <c r="B120" s="18" t="str">
        <f t="shared" si="4"/>
        <v>T6 경량 미사일공장</v>
      </c>
      <c r="C120" s="18">
        <f>VLOOKUP(D120, Factor!$AM$41:$AN$50, 2, 0)</f>
        <v>30000</v>
      </c>
      <c r="D120" s="18" t="s">
        <v>302</v>
      </c>
      <c r="E120" s="55" t="s">
        <v>585</v>
      </c>
      <c r="F120" s="55" t="s">
        <v>698</v>
      </c>
      <c r="G120" s="18" t="str">
        <f t="shared" si="5"/>
        <v>경량 미사일공장</v>
      </c>
      <c r="H120" s="18" t="str">
        <f>VLOOKUP(F120, Factor!$CO$4:$CR$10, 2, 0)</f>
        <v>공업</v>
      </c>
      <c r="I120" s="18" t="str">
        <f>VLOOKUP(F120, Factor!$CO$4:$CR$10, 3, 0)</f>
        <v>missile</v>
      </c>
      <c r="J120" s="18">
        <v>1</v>
      </c>
      <c r="K120" s="18">
        <v>1</v>
      </c>
      <c r="L120" s="18">
        <v>1</v>
      </c>
      <c r="M120" s="18">
        <v>1</v>
      </c>
      <c r="N120" s="18">
        <v>1</v>
      </c>
      <c r="O120" s="18" cm="1">
        <f t="array" ref="O120">J120*VLOOKUP($H120, Factor!$AN$4:$AS$36, 2, 0)*INDEX(Factor!$AN$41:$AS$87, _xlfn.XMATCH($C120, Factor!$AN$41:$AN$87, -1), 2)*IFERROR(VLOOKUP($I120, Factor!$AU$4:$AX$9, 2, 0),1)</f>
        <v>0</v>
      </c>
      <c r="P120" s="18" cm="1">
        <f t="array" ref="P120">K120*VLOOKUP($H120, Factor!$AN$4:$AS$36, 3, 0)*INDEX(Factor!$AN$41:$AS$87, _xlfn.XMATCH($C120, Factor!$AN$41:$AN$87, -1), 3)*IFERROR(VLOOKUP($I120, Factor!$AU$4:$AX$9, 3, 0),1)</f>
        <v>4</v>
      </c>
      <c r="Q120" s="18" cm="1">
        <f t="array" ref="Q120">L120*VLOOKUP($H120, Factor!$AN$4:$AS$36, 4, 0)*INDEX(Factor!$AN$41:$AS$87, _xlfn.XMATCH($C120, Factor!$AN$41:$AN$87, -1), 4)</f>
        <v>0</v>
      </c>
      <c r="R120" s="18" cm="1">
        <f t="array" ref="R120">M120*VLOOKUP($H120, Factor!$AN$4:$AS$36, 5, 0)*INDEX(Factor!$AN$41:$AS$87, _xlfn.XMATCH($C120, Factor!$AN$41:$AN$87, -1), 5)</f>
        <v>0</v>
      </c>
      <c r="S120" s="18" cm="1">
        <f t="array" ref="S120">N120*VLOOKUP($H120, Factor!$AN$4:$AS$36, 6, 0)*INDEX(Factor!$AN$41:$AS$87, _xlfn.XMATCH($C120, Factor!$AN$41:$AN$87, -1), 6)*IFERROR(VLOOKUP($I120, Factor!$AU$4:$AX$9, 4, 0),1)</f>
        <v>13000</v>
      </c>
      <c r="T120" s="19"/>
    </row>
    <row r="121" spans="1:20" ht="15.75" customHeight="1" x14ac:dyDescent="0.2">
      <c r="A121" s="14" t="str">
        <f>"parlor_"&amp;VLOOKUP(F121, Factor!$CO$4:$CR$10, 4, 0)&amp;D121&amp;"_"&amp;VLOOKUP(E121, Factor!$CS$4:$CT$13, 2, 0)</f>
        <v>parlor_Indu_Siecleium_T6_002</v>
      </c>
      <c r="B121" s="15" t="str">
        <f t="shared" si="4"/>
        <v>T6 경량 서클리움 정제소</v>
      </c>
      <c r="C121" s="15">
        <f>VLOOKUP(D121, Factor!$AM$41:$AN$50, 2, 0)</f>
        <v>30000</v>
      </c>
      <c r="D121" s="15" t="s">
        <v>302</v>
      </c>
      <c r="E121" s="56" t="s">
        <v>585</v>
      </c>
      <c r="F121" s="56" t="s">
        <v>702</v>
      </c>
      <c r="G121" s="15" t="str">
        <f t="shared" si="5"/>
        <v>경량 서클리움 정제소</v>
      </c>
      <c r="H121" s="15" t="str">
        <f>VLOOKUP(F121, Factor!$CO$4:$CR$10, 2, 0)</f>
        <v>공업</v>
      </c>
      <c r="I121" s="15" t="str">
        <f>VLOOKUP(F121, Factor!$CO$4:$CR$10, 3, 0)</f>
        <v>siecleium</v>
      </c>
      <c r="J121" s="15">
        <v>1</v>
      </c>
      <c r="K121" s="15">
        <v>1</v>
      </c>
      <c r="L121" s="15">
        <v>1</v>
      </c>
      <c r="M121" s="15">
        <v>1</v>
      </c>
      <c r="N121" s="15">
        <v>1</v>
      </c>
      <c r="O121" s="15" cm="1">
        <f t="array" ref="O121">J121*VLOOKUP($H121, Factor!$AN$4:$AS$36, 2, 0)*INDEX(Factor!$AN$41:$AS$87, _xlfn.XMATCH($C121, Factor!$AN$41:$AN$87, -1), 2)*IFERROR(VLOOKUP($I121, Factor!$AU$4:$AX$9, 2, 0),1)</f>
        <v>0</v>
      </c>
      <c r="P121" s="15" cm="1">
        <f t="array" ref="P121">K121*VLOOKUP($H121, Factor!$AN$4:$AS$36, 3, 0)*INDEX(Factor!$AN$41:$AS$87, _xlfn.XMATCH($C121, Factor!$AN$41:$AN$87, -1), 3)*IFERROR(VLOOKUP($I121, Factor!$AU$4:$AX$9, 3, 0),1)</f>
        <v>20</v>
      </c>
      <c r="Q121" s="15" cm="1">
        <f t="array" ref="Q121">L121*VLOOKUP($H121, Factor!$AN$4:$AS$36, 4, 0)*INDEX(Factor!$AN$41:$AS$87, _xlfn.XMATCH($C121, Factor!$AN$41:$AN$87, -1), 4)</f>
        <v>0</v>
      </c>
      <c r="R121" s="15" cm="1">
        <f t="array" ref="R121">M121*VLOOKUP($H121, Factor!$AN$4:$AS$36, 5, 0)*INDEX(Factor!$AN$41:$AS$87, _xlfn.XMATCH($C121, Factor!$AN$41:$AN$87, -1), 5)</f>
        <v>0</v>
      </c>
      <c r="S121" s="15" cm="1">
        <f t="array" ref="S121">N121*VLOOKUP($H121, Factor!$AN$4:$AS$36, 6, 0)*INDEX(Factor!$AN$41:$AS$87, _xlfn.XMATCH($C121, Factor!$AN$41:$AN$87, -1), 6)*IFERROR(VLOOKUP($I121, Factor!$AU$4:$AX$9, 4, 0),1)</f>
        <v>10000</v>
      </c>
      <c r="T121" s="16"/>
    </row>
    <row r="122" spans="1:20" ht="15.75" customHeight="1" x14ac:dyDescent="0.2">
      <c r="A122" s="17" t="str">
        <f>"parlor_"&amp;VLOOKUP(F122, Factor!$CO$4:$CR$10, 4, 0)&amp;D122&amp;"_"&amp;VLOOKUP(E122, Factor!$CS$4:$CT$13, 2, 0)</f>
        <v>parlor_Trans_Inven_T6_002</v>
      </c>
      <c r="B122" s="18" t="str">
        <f t="shared" si="4"/>
        <v>T6 경량 화물 수송 칸</v>
      </c>
      <c r="C122" s="18">
        <f>VLOOKUP(D122, Factor!$AM$41:$AN$50, 2, 0)</f>
        <v>30000</v>
      </c>
      <c r="D122" s="18" t="s">
        <v>302</v>
      </c>
      <c r="E122" s="55" t="s">
        <v>585</v>
      </c>
      <c r="F122" s="55" t="s">
        <v>703</v>
      </c>
      <c r="G122" s="18" t="str">
        <f t="shared" si="5"/>
        <v>경량 화물 수송 칸</v>
      </c>
      <c r="H122" s="18" t="str">
        <f>VLOOKUP(F122, Factor!$CO$4:$CR$10, 2, 0)</f>
        <v>물자수송</v>
      </c>
      <c r="I122" s="18" t="str">
        <f>VLOOKUP(F122, Factor!$CO$4:$CR$10, 3, 0)</f>
        <v>null</v>
      </c>
      <c r="J122" s="18">
        <v>1</v>
      </c>
      <c r="K122" s="18">
        <v>1</v>
      </c>
      <c r="L122" s="18">
        <v>1</v>
      </c>
      <c r="M122" s="18">
        <v>1</v>
      </c>
      <c r="N122" s="18">
        <v>1</v>
      </c>
      <c r="O122" s="18" cm="1">
        <f t="array" ref="O122">J122*VLOOKUP($H122, Factor!$AN$4:$AS$36, 2, 0)*INDEX(Factor!$AN$41:$AS$87, _xlfn.XMATCH($C122, Factor!$AN$41:$AN$87, -1), 2)*IFERROR(VLOOKUP($I122, Factor!$AU$4:$AX$9, 2, 0),1)</f>
        <v>0</v>
      </c>
      <c r="P122" s="18" cm="1">
        <f t="array" ref="P122">K122*VLOOKUP($H122, Factor!$AN$4:$AS$36, 3, 0)*INDEX(Factor!$AN$41:$AS$87, _xlfn.XMATCH($C122, Factor!$AN$41:$AN$87, -1), 3)*IFERROR(VLOOKUP($I122, Factor!$AU$4:$AX$9, 3, 0),1)</f>
        <v>0</v>
      </c>
      <c r="Q122" s="18" cm="1">
        <f t="array" ref="Q122">L122*VLOOKUP($H122, Factor!$AN$4:$AS$36, 4, 0)*INDEX(Factor!$AN$41:$AS$87, _xlfn.XMATCH($C122, Factor!$AN$41:$AN$87, -1), 4)</f>
        <v>4</v>
      </c>
      <c r="R122" s="18" cm="1">
        <f t="array" ref="R122">M122*VLOOKUP($H122, Factor!$AN$4:$AS$36, 5, 0)*INDEX(Factor!$AN$41:$AS$87, _xlfn.XMATCH($C122, Factor!$AN$41:$AN$87, -1), 5)</f>
        <v>0</v>
      </c>
      <c r="S122" s="18" cm="1">
        <f t="array" ref="S122">N122*VLOOKUP($H122, Factor!$AN$4:$AS$36, 6, 0)*INDEX(Factor!$AN$41:$AS$87, _xlfn.XMATCH($C122, Factor!$AN$41:$AN$87, -1), 6)*IFERROR(VLOOKUP($I122, Factor!$AU$4:$AX$9, 4, 0),1)</f>
        <v>4000</v>
      </c>
      <c r="T122" s="19"/>
    </row>
    <row r="123" spans="1:20" ht="15.75" customHeight="1" x14ac:dyDescent="0.2">
      <c r="A123" s="14" t="str">
        <f>"parlor_"&amp;VLOOKUP(F123, Factor!$CO$4:$CR$10, 4, 0)&amp;D123&amp;"_"&amp;VLOOKUP(E123, Factor!$CS$4:$CT$13, 2, 0)</f>
        <v>parlor_Trans_Pass_T6_002</v>
      </c>
      <c r="B123" s="15" t="str">
        <f t="shared" si="4"/>
        <v>T6 경량 인원 수송 칸</v>
      </c>
      <c r="C123" s="15">
        <f>VLOOKUP(D123, Factor!$AM$41:$AN$50, 2, 0)</f>
        <v>30000</v>
      </c>
      <c r="D123" s="15" t="s">
        <v>302</v>
      </c>
      <c r="E123" s="56" t="s">
        <v>585</v>
      </c>
      <c r="F123" s="56" t="s">
        <v>704</v>
      </c>
      <c r="G123" s="15" t="str">
        <f t="shared" si="5"/>
        <v>경량 인원 수송 칸</v>
      </c>
      <c r="H123" s="15" t="str">
        <f>VLOOKUP(F123, Factor!$CO$4:$CR$10, 2, 0)</f>
        <v>인원수송</v>
      </c>
      <c r="I123" s="15" t="str">
        <f>VLOOKUP(F123, Factor!$CO$4:$CR$10, 3, 0)</f>
        <v>null</v>
      </c>
      <c r="J123" s="15">
        <v>1</v>
      </c>
      <c r="K123" s="15">
        <v>1</v>
      </c>
      <c r="L123" s="15">
        <v>1</v>
      </c>
      <c r="M123" s="15">
        <v>1</v>
      </c>
      <c r="N123" s="15">
        <v>1</v>
      </c>
      <c r="O123" s="15" cm="1">
        <f t="array" ref="O123">J123*VLOOKUP($H123, Factor!$AN$4:$AS$36, 2, 0)*INDEX(Factor!$AN$41:$AS$87, _xlfn.XMATCH($C123, Factor!$AN$41:$AN$87, -1), 2)*IFERROR(VLOOKUP($I123, Factor!$AU$4:$AX$9, 2, 0),1)</f>
        <v>0</v>
      </c>
      <c r="P123" s="15" cm="1">
        <f t="array" ref="P123">K123*VLOOKUP($H123, Factor!$AN$4:$AS$36, 3, 0)*INDEX(Factor!$AN$41:$AS$87, _xlfn.XMATCH($C123, Factor!$AN$41:$AN$87, -1), 3)*IFERROR(VLOOKUP($I123, Factor!$AU$4:$AX$9, 3, 0),1)</f>
        <v>0</v>
      </c>
      <c r="Q123" s="15" cm="1">
        <f t="array" ref="Q123">L123*VLOOKUP($H123, Factor!$AN$4:$AS$36, 4, 0)*INDEX(Factor!$AN$41:$AS$87, _xlfn.XMATCH($C123, Factor!$AN$41:$AN$87, -1), 4)</f>
        <v>0</v>
      </c>
      <c r="R123" s="15" cm="1">
        <f t="array" ref="R123">M123*VLOOKUP($H123, Factor!$AN$4:$AS$36, 5, 0)*INDEX(Factor!$AN$41:$AS$87, _xlfn.XMATCH($C123, Factor!$AN$41:$AN$87, -1), 5)</f>
        <v>8</v>
      </c>
      <c r="S123" s="15" cm="1">
        <f t="array" ref="S123">N123*VLOOKUP($H123, Factor!$AN$4:$AS$36, 6, 0)*INDEX(Factor!$AN$41:$AS$87, _xlfn.XMATCH($C123, Factor!$AN$41:$AN$87, -1), 6)*IFERROR(VLOOKUP($I123, Factor!$AU$4:$AX$9, 4, 0),1)</f>
        <v>2000</v>
      </c>
      <c r="T123" s="16"/>
    </row>
    <row r="124" spans="1:20" ht="15.75" customHeight="1" x14ac:dyDescent="0.2">
      <c r="A124" s="17" t="str">
        <f>"parlor_"&amp;VLOOKUP(F124, Factor!$CO$4:$CR$10, 4, 0)&amp;D124&amp;"_"&amp;VLOOKUP(E124, Factor!$CS$4:$CT$13, 2, 0)</f>
        <v>parlor_Prod_Food_T6_003</v>
      </c>
      <c r="B124" s="18" t="str">
        <f t="shared" si="4"/>
        <v>T6 대형 스마트팜</v>
      </c>
      <c r="C124" s="18">
        <f>VLOOKUP(D124, Factor!$AM$41:$AN$50, 2, 0)</f>
        <v>30000</v>
      </c>
      <c r="D124" s="18" t="s">
        <v>302</v>
      </c>
      <c r="E124" s="55" t="s">
        <v>583</v>
      </c>
      <c r="F124" s="55" t="s">
        <v>695</v>
      </c>
      <c r="G124" s="18" t="str">
        <f t="shared" si="5"/>
        <v>대형 스마트팜</v>
      </c>
      <c r="H124" s="18" t="str">
        <f>VLOOKUP(F124, Factor!$CO$4:$CR$10, 2, 0)</f>
        <v>생산</v>
      </c>
      <c r="I124" s="18" t="str">
        <f>VLOOKUP(F124, Factor!$CO$4:$CR$10, 3, 0)</f>
        <v>food</v>
      </c>
      <c r="J124" s="18">
        <v>1</v>
      </c>
      <c r="K124" s="18">
        <v>1</v>
      </c>
      <c r="L124" s="18">
        <v>1</v>
      </c>
      <c r="M124" s="18">
        <v>1</v>
      </c>
      <c r="N124" s="18">
        <v>1</v>
      </c>
      <c r="O124" s="18" cm="1">
        <f t="array" ref="O124">J124*VLOOKUP($H124, Factor!$AN$4:$AS$36, 2, 0)*INDEX(Factor!$AN$41:$AS$87, _xlfn.XMATCH($C124, Factor!$AN$41:$AN$87, -1), 2)*IFERROR(VLOOKUP($I124, Factor!$AU$4:$AX$9, 2, 0),1)</f>
        <v>20</v>
      </c>
      <c r="P124" s="18" cm="1">
        <f t="array" ref="P124">K124*VLOOKUP($H124, Factor!$AN$4:$AS$36, 3, 0)*INDEX(Factor!$AN$41:$AS$87, _xlfn.XMATCH($C124, Factor!$AN$41:$AN$87, -1), 3)*IFERROR(VLOOKUP($I124, Factor!$AU$4:$AX$9, 3, 0),1)</f>
        <v>0</v>
      </c>
      <c r="Q124" s="18" cm="1">
        <f t="array" ref="Q124">L124*VLOOKUP($H124, Factor!$AN$4:$AS$36, 4, 0)*INDEX(Factor!$AN$41:$AS$87, _xlfn.XMATCH($C124, Factor!$AN$41:$AN$87, -1), 4)</f>
        <v>2</v>
      </c>
      <c r="R124" s="18" cm="1">
        <f t="array" ref="R124">M124*VLOOKUP($H124, Factor!$AN$4:$AS$36, 5, 0)*INDEX(Factor!$AN$41:$AS$87, _xlfn.XMATCH($C124, Factor!$AN$41:$AN$87, -1), 5)</f>
        <v>2</v>
      </c>
      <c r="S124" s="18" cm="1">
        <f t="array" ref="S124">N124*VLOOKUP($H124, Factor!$AN$4:$AS$36, 6, 0)*INDEX(Factor!$AN$41:$AS$87, _xlfn.XMATCH($C124, Factor!$AN$41:$AN$87, -1), 6)*IFERROR(VLOOKUP($I124, Factor!$AU$4:$AX$9, 4, 0),1)</f>
        <v>10000</v>
      </c>
      <c r="T124" s="19"/>
    </row>
    <row r="125" spans="1:20" ht="15.75" customHeight="1" x14ac:dyDescent="0.2">
      <c r="A125" s="14" t="str">
        <f>"parlor_"&amp;VLOOKUP(F125, Factor!$CO$4:$CR$10, 4, 0)&amp;D125&amp;"_"&amp;VLOOKUP(E125, Factor!$CS$4:$CT$13, 2, 0)</f>
        <v>parlor_Indu_Ammo_T6_003</v>
      </c>
      <c r="B125" s="15" t="str">
        <f t="shared" si="4"/>
        <v>T6 대형 탄약공장</v>
      </c>
      <c r="C125" s="15">
        <f>VLOOKUP(D125, Factor!$AM$41:$AN$50, 2, 0)</f>
        <v>30000</v>
      </c>
      <c r="D125" s="15" t="s">
        <v>302</v>
      </c>
      <c r="E125" s="56" t="s">
        <v>583</v>
      </c>
      <c r="F125" s="56" t="s">
        <v>696</v>
      </c>
      <c r="G125" s="15" t="str">
        <f t="shared" si="5"/>
        <v>대형 탄약공장</v>
      </c>
      <c r="H125" s="15" t="str">
        <f>VLOOKUP(F125, Factor!$CO$4:$CR$10, 2, 0)</f>
        <v>공업</v>
      </c>
      <c r="I125" s="15" t="str">
        <f>VLOOKUP(F125, Factor!$CO$4:$CR$10, 3, 0)</f>
        <v>ammo</v>
      </c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 cm="1">
        <f t="array" ref="O125">J125*VLOOKUP($H125, Factor!$AN$4:$AS$36, 2, 0)*INDEX(Factor!$AN$41:$AS$87, _xlfn.XMATCH($C125, Factor!$AN$41:$AN$87, -1), 2)*IFERROR(VLOOKUP($I125, Factor!$AU$4:$AX$9, 2, 0),1)</f>
        <v>0</v>
      </c>
      <c r="P125" s="15" cm="1">
        <f t="array" ref="P125">K125*VLOOKUP($H125, Factor!$AN$4:$AS$36, 3, 0)*INDEX(Factor!$AN$41:$AS$87, _xlfn.XMATCH($C125, Factor!$AN$41:$AN$87, -1), 3)*IFERROR(VLOOKUP($I125, Factor!$AU$4:$AX$9, 3, 0),1)</f>
        <v>20</v>
      </c>
      <c r="Q125" s="15" cm="1">
        <f t="array" ref="Q125">L125*VLOOKUP($H125, Factor!$AN$4:$AS$36, 4, 0)*INDEX(Factor!$AN$41:$AS$87, _xlfn.XMATCH($C125, Factor!$AN$41:$AN$87, -1), 4)</f>
        <v>0</v>
      </c>
      <c r="R125" s="15" cm="1">
        <f t="array" ref="R125">M125*VLOOKUP($H125, Factor!$AN$4:$AS$36, 5, 0)*INDEX(Factor!$AN$41:$AS$87, _xlfn.XMATCH($C125, Factor!$AN$41:$AN$87, -1), 5)</f>
        <v>0</v>
      </c>
      <c r="S125" s="15" cm="1">
        <f t="array" ref="S125">N125*VLOOKUP($H125, Factor!$AN$4:$AS$36, 6, 0)*INDEX(Factor!$AN$41:$AS$87, _xlfn.XMATCH($C125, Factor!$AN$41:$AN$87, -1), 6)*IFERROR(VLOOKUP($I125, Factor!$AU$4:$AX$9, 4, 0),1)</f>
        <v>10000</v>
      </c>
      <c r="T125" s="16"/>
    </row>
    <row r="126" spans="1:20" ht="15.75" customHeight="1" x14ac:dyDescent="0.2">
      <c r="A126" s="17" t="str">
        <f>"parlor_"&amp;VLOOKUP(F126, Factor!$CO$4:$CR$10, 4, 0)&amp;D126&amp;"_"&amp;VLOOKUP(E126, Factor!$CS$4:$CT$13, 2, 0)</f>
        <v>parlor_Indu_Shell_T6_003</v>
      </c>
      <c r="B126" s="18" t="str">
        <f t="shared" si="4"/>
        <v>T6 대형 포탄공장</v>
      </c>
      <c r="C126" s="18">
        <f>VLOOKUP(D126, Factor!$AM$41:$AN$50, 2, 0)</f>
        <v>30000</v>
      </c>
      <c r="D126" s="18" t="s">
        <v>302</v>
      </c>
      <c r="E126" s="55" t="s">
        <v>583</v>
      </c>
      <c r="F126" s="55" t="s">
        <v>697</v>
      </c>
      <c r="G126" s="18" t="str">
        <f t="shared" si="5"/>
        <v>대형 포탄공장</v>
      </c>
      <c r="H126" s="18" t="str">
        <f>VLOOKUP(F126, Factor!$CO$4:$CR$10, 2, 0)</f>
        <v>공업</v>
      </c>
      <c r="I126" s="18" t="str">
        <f>VLOOKUP(F126, Factor!$CO$4:$CR$10, 3, 0)</f>
        <v>shell</v>
      </c>
      <c r="J126" s="18">
        <v>1</v>
      </c>
      <c r="K126" s="18">
        <v>1</v>
      </c>
      <c r="L126" s="18">
        <v>1</v>
      </c>
      <c r="M126" s="18">
        <v>1</v>
      </c>
      <c r="N126" s="18">
        <v>1</v>
      </c>
      <c r="O126" s="18" cm="1">
        <f t="array" ref="O126">J126*VLOOKUP($H126, Factor!$AN$4:$AS$36, 2, 0)*INDEX(Factor!$AN$41:$AS$87, _xlfn.XMATCH($C126, Factor!$AN$41:$AN$87, -1), 2)*IFERROR(VLOOKUP($I126, Factor!$AU$4:$AX$9, 2, 0),1)</f>
        <v>0</v>
      </c>
      <c r="P126" s="18" cm="1">
        <f t="array" ref="P126">K126*VLOOKUP($H126, Factor!$AN$4:$AS$36, 3, 0)*INDEX(Factor!$AN$41:$AS$87, _xlfn.XMATCH($C126, Factor!$AN$41:$AN$87, -1), 3)*IFERROR(VLOOKUP($I126, Factor!$AU$4:$AX$9, 3, 0),1)</f>
        <v>10</v>
      </c>
      <c r="Q126" s="18" cm="1">
        <f t="array" ref="Q126">L126*VLOOKUP($H126, Factor!$AN$4:$AS$36, 4, 0)*INDEX(Factor!$AN$41:$AS$87, _xlfn.XMATCH($C126, Factor!$AN$41:$AN$87, -1), 4)</f>
        <v>0</v>
      </c>
      <c r="R126" s="18" cm="1">
        <f t="array" ref="R126">M126*VLOOKUP($H126, Factor!$AN$4:$AS$36, 5, 0)*INDEX(Factor!$AN$41:$AS$87, _xlfn.XMATCH($C126, Factor!$AN$41:$AN$87, -1), 5)</f>
        <v>0</v>
      </c>
      <c r="S126" s="18" cm="1">
        <f t="array" ref="S126">N126*VLOOKUP($H126, Factor!$AN$4:$AS$36, 6, 0)*INDEX(Factor!$AN$41:$AS$87, _xlfn.XMATCH($C126, Factor!$AN$41:$AN$87, -1), 6)*IFERROR(VLOOKUP($I126, Factor!$AU$4:$AX$9, 4, 0),1)</f>
        <v>12000</v>
      </c>
      <c r="T126" s="19"/>
    </row>
    <row r="127" spans="1:20" ht="15.75" customHeight="1" x14ac:dyDescent="0.2">
      <c r="A127" s="14" t="str">
        <f>"parlor_"&amp;VLOOKUP(F127, Factor!$CO$4:$CR$10, 4, 0)&amp;D127&amp;"_"&amp;VLOOKUP(E127, Factor!$CS$4:$CT$13, 2, 0)</f>
        <v>parlor_Indu_Missile_T6_003</v>
      </c>
      <c r="B127" s="15" t="str">
        <f t="shared" si="4"/>
        <v>T6 대형 미사일공장</v>
      </c>
      <c r="C127" s="15">
        <f>VLOOKUP(D127, Factor!$AM$41:$AN$50, 2, 0)</f>
        <v>30000</v>
      </c>
      <c r="D127" s="15" t="s">
        <v>302</v>
      </c>
      <c r="E127" s="56" t="s">
        <v>583</v>
      </c>
      <c r="F127" s="56" t="s">
        <v>698</v>
      </c>
      <c r="G127" s="15" t="str">
        <f t="shared" si="5"/>
        <v>대형 미사일공장</v>
      </c>
      <c r="H127" s="15" t="str">
        <f>VLOOKUP(F127, Factor!$CO$4:$CR$10, 2, 0)</f>
        <v>공업</v>
      </c>
      <c r="I127" s="15" t="str">
        <f>VLOOKUP(F127, Factor!$CO$4:$CR$10, 3, 0)</f>
        <v>missile</v>
      </c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 cm="1">
        <f t="array" ref="O127">J127*VLOOKUP($H127, Factor!$AN$4:$AS$36, 2, 0)*INDEX(Factor!$AN$41:$AS$87, _xlfn.XMATCH($C127, Factor!$AN$41:$AN$87, -1), 2)*IFERROR(VLOOKUP($I127, Factor!$AU$4:$AX$9, 2, 0),1)</f>
        <v>0</v>
      </c>
      <c r="P127" s="15" cm="1">
        <f t="array" ref="P127">K127*VLOOKUP($H127, Factor!$AN$4:$AS$36, 3, 0)*INDEX(Factor!$AN$41:$AS$87, _xlfn.XMATCH($C127, Factor!$AN$41:$AN$87, -1), 3)*IFERROR(VLOOKUP($I127, Factor!$AU$4:$AX$9, 3, 0),1)</f>
        <v>4</v>
      </c>
      <c r="Q127" s="15" cm="1">
        <f t="array" ref="Q127">L127*VLOOKUP($H127, Factor!$AN$4:$AS$36, 4, 0)*INDEX(Factor!$AN$41:$AS$87, _xlfn.XMATCH($C127, Factor!$AN$41:$AN$87, -1), 4)</f>
        <v>0</v>
      </c>
      <c r="R127" s="15" cm="1">
        <f t="array" ref="R127">M127*VLOOKUP($H127, Factor!$AN$4:$AS$36, 5, 0)*INDEX(Factor!$AN$41:$AS$87, _xlfn.XMATCH($C127, Factor!$AN$41:$AN$87, -1), 5)</f>
        <v>0</v>
      </c>
      <c r="S127" s="15" cm="1">
        <f t="array" ref="S127">N127*VLOOKUP($H127, Factor!$AN$4:$AS$36, 6, 0)*INDEX(Factor!$AN$41:$AS$87, _xlfn.XMATCH($C127, Factor!$AN$41:$AN$87, -1), 6)*IFERROR(VLOOKUP($I127, Factor!$AU$4:$AX$9, 4, 0),1)</f>
        <v>13000</v>
      </c>
      <c r="T127" s="16"/>
    </row>
    <row r="128" spans="1:20" ht="15.75" customHeight="1" x14ac:dyDescent="0.2">
      <c r="A128" s="17" t="str">
        <f>"parlor_"&amp;VLOOKUP(F128, Factor!$CO$4:$CR$10, 4, 0)&amp;D128&amp;"_"&amp;VLOOKUP(E128, Factor!$CS$4:$CT$13, 2, 0)</f>
        <v>parlor_Indu_Siecleium_T6_003</v>
      </c>
      <c r="B128" s="18" t="str">
        <f t="shared" si="4"/>
        <v>T6 대형 서클리움 정제소</v>
      </c>
      <c r="C128" s="18">
        <f>VLOOKUP(D128, Factor!$AM$41:$AN$50, 2, 0)</f>
        <v>30000</v>
      </c>
      <c r="D128" s="18" t="s">
        <v>302</v>
      </c>
      <c r="E128" s="55" t="s">
        <v>583</v>
      </c>
      <c r="F128" s="55" t="s">
        <v>702</v>
      </c>
      <c r="G128" s="18" t="str">
        <f t="shared" si="5"/>
        <v>대형 서클리움 정제소</v>
      </c>
      <c r="H128" s="18" t="str">
        <f>VLOOKUP(F128, Factor!$CO$4:$CR$10, 2, 0)</f>
        <v>공업</v>
      </c>
      <c r="I128" s="18" t="str">
        <f>VLOOKUP(F128, Factor!$CO$4:$CR$10, 3, 0)</f>
        <v>siecleium</v>
      </c>
      <c r="J128" s="18">
        <v>1</v>
      </c>
      <c r="K128" s="18">
        <v>1</v>
      </c>
      <c r="L128" s="18">
        <v>1</v>
      </c>
      <c r="M128" s="18">
        <v>1</v>
      </c>
      <c r="N128" s="18">
        <v>1</v>
      </c>
      <c r="O128" s="18" cm="1">
        <f t="array" ref="O128">J128*VLOOKUP($H128, Factor!$AN$4:$AS$36, 2, 0)*INDEX(Factor!$AN$41:$AS$87, _xlfn.XMATCH($C128, Factor!$AN$41:$AN$87, -1), 2)*IFERROR(VLOOKUP($I128, Factor!$AU$4:$AX$9, 2, 0),1)</f>
        <v>0</v>
      </c>
      <c r="P128" s="18" cm="1">
        <f t="array" ref="P128">K128*VLOOKUP($H128, Factor!$AN$4:$AS$36, 3, 0)*INDEX(Factor!$AN$41:$AS$87, _xlfn.XMATCH($C128, Factor!$AN$41:$AN$87, -1), 3)*IFERROR(VLOOKUP($I128, Factor!$AU$4:$AX$9, 3, 0),1)</f>
        <v>20</v>
      </c>
      <c r="Q128" s="18" cm="1">
        <f t="array" ref="Q128">L128*VLOOKUP($H128, Factor!$AN$4:$AS$36, 4, 0)*INDEX(Factor!$AN$41:$AS$87, _xlfn.XMATCH($C128, Factor!$AN$41:$AN$87, -1), 4)</f>
        <v>0</v>
      </c>
      <c r="R128" s="18" cm="1">
        <f t="array" ref="R128">M128*VLOOKUP($H128, Factor!$AN$4:$AS$36, 5, 0)*INDEX(Factor!$AN$41:$AS$87, _xlfn.XMATCH($C128, Factor!$AN$41:$AN$87, -1), 5)</f>
        <v>0</v>
      </c>
      <c r="S128" s="18" cm="1">
        <f t="array" ref="S128">N128*VLOOKUP($H128, Factor!$AN$4:$AS$36, 6, 0)*INDEX(Factor!$AN$41:$AS$87, _xlfn.XMATCH($C128, Factor!$AN$41:$AN$87, -1), 6)*IFERROR(VLOOKUP($I128, Factor!$AU$4:$AX$9, 4, 0),1)</f>
        <v>10000</v>
      </c>
      <c r="T128" s="19"/>
    </row>
    <row r="129" spans="1:20" ht="15.75" customHeight="1" x14ac:dyDescent="0.2">
      <c r="A129" s="14" t="str">
        <f>"parlor_"&amp;VLOOKUP(F129, Factor!$CO$4:$CR$10, 4, 0)&amp;D129&amp;"_"&amp;VLOOKUP(E129, Factor!$CS$4:$CT$13, 2, 0)</f>
        <v>parlor_Trans_Inven_T6_003</v>
      </c>
      <c r="B129" s="15" t="str">
        <f t="shared" si="4"/>
        <v>T6 대형 화물 수송 칸</v>
      </c>
      <c r="C129" s="15">
        <f>VLOOKUP(D129, Factor!$AM$41:$AN$50, 2, 0)</f>
        <v>30000</v>
      </c>
      <c r="D129" s="15" t="s">
        <v>302</v>
      </c>
      <c r="E129" s="56" t="s">
        <v>583</v>
      </c>
      <c r="F129" s="56" t="s">
        <v>703</v>
      </c>
      <c r="G129" s="15" t="str">
        <f t="shared" si="5"/>
        <v>대형 화물 수송 칸</v>
      </c>
      <c r="H129" s="15" t="str">
        <f>VLOOKUP(F129, Factor!$CO$4:$CR$10, 2, 0)</f>
        <v>물자수송</v>
      </c>
      <c r="I129" s="15" t="str">
        <f>VLOOKUP(F129, Factor!$CO$4:$CR$10, 3, 0)</f>
        <v>null</v>
      </c>
      <c r="J129" s="15">
        <v>1</v>
      </c>
      <c r="K129" s="15">
        <v>1</v>
      </c>
      <c r="L129" s="15">
        <v>1</v>
      </c>
      <c r="M129" s="15">
        <v>1</v>
      </c>
      <c r="N129" s="15">
        <v>1</v>
      </c>
      <c r="O129" s="15" cm="1">
        <f t="array" ref="O129">J129*VLOOKUP($H129, Factor!$AN$4:$AS$36, 2, 0)*INDEX(Factor!$AN$41:$AS$87, _xlfn.XMATCH($C129, Factor!$AN$41:$AN$87, -1), 2)*IFERROR(VLOOKUP($I129, Factor!$AU$4:$AX$9, 2, 0),1)</f>
        <v>0</v>
      </c>
      <c r="P129" s="15" cm="1">
        <f t="array" ref="P129">K129*VLOOKUP($H129, Factor!$AN$4:$AS$36, 3, 0)*INDEX(Factor!$AN$41:$AS$87, _xlfn.XMATCH($C129, Factor!$AN$41:$AN$87, -1), 3)*IFERROR(VLOOKUP($I129, Factor!$AU$4:$AX$9, 3, 0),1)</f>
        <v>0</v>
      </c>
      <c r="Q129" s="15" cm="1">
        <f t="array" ref="Q129">L129*VLOOKUP($H129, Factor!$AN$4:$AS$36, 4, 0)*INDEX(Factor!$AN$41:$AS$87, _xlfn.XMATCH($C129, Factor!$AN$41:$AN$87, -1), 4)</f>
        <v>4</v>
      </c>
      <c r="R129" s="15" cm="1">
        <f t="array" ref="R129">M129*VLOOKUP($H129, Factor!$AN$4:$AS$36, 5, 0)*INDEX(Factor!$AN$41:$AS$87, _xlfn.XMATCH($C129, Factor!$AN$41:$AN$87, -1), 5)</f>
        <v>0</v>
      </c>
      <c r="S129" s="15" cm="1">
        <f t="array" ref="S129">N129*VLOOKUP($H129, Factor!$AN$4:$AS$36, 6, 0)*INDEX(Factor!$AN$41:$AS$87, _xlfn.XMATCH($C129, Factor!$AN$41:$AN$87, -1), 6)*IFERROR(VLOOKUP($I129, Factor!$AU$4:$AX$9, 4, 0),1)</f>
        <v>4000</v>
      </c>
      <c r="T129" s="16"/>
    </row>
    <row r="130" spans="1:20" ht="15.75" customHeight="1" x14ac:dyDescent="0.2">
      <c r="A130" s="17" t="str">
        <f>"parlor_"&amp;VLOOKUP(F130, Factor!$CO$4:$CR$10, 4, 0)&amp;D130&amp;"_"&amp;VLOOKUP(E130, Factor!$CS$4:$CT$13, 2, 0)</f>
        <v>parlor_Trans_Pass_T6_003</v>
      </c>
      <c r="B130" s="18" t="str">
        <f t="shared" si="4"/>
        <v>T6 대형 인원 수송 칸</v>
      </c>
      <c r="C130" s="18">
        <f>VLOOKUP(D130, Factor!$AM$41:$AN$50, 2, 0)</f>
        <v>30000</v>
      </c>
      <c r="D130" s="18" t="s">
        <v>302</v>
      </c>
      <c r="E130" s="55" t="s">
        <v>583</v>
      </c>
      <c r="F130" s="55" t="s">
        <v>704</v>
      </c>
      <c r="G130" s="18" t="str">
        <f t="shared" si="5"/>
        <v>대형 인원 수송 칸</v>
      </c>
      <c r="H130" s="18" t="str">
        <f>VLOOKUP(F130, Factor!$CO$4:$CR$10, 2, 0)</f>
        <v>인원수송</v>
      </c>
      <c r="I130" s="18" t="str">
        <f>VLOOKUP(F130, Factor!$CO$4:$CR$10, 3, 0)</f>
        <v>null</v>
      </c>
      <c r="J130" s="18">
        <v>1</v>
      </c>
      <c r="K130" s="18">
        <v>1</v>
      </c>
      <c r="L130" s="18">
        <v>1</v>
      </c>
      <c r="M130" s="18">
        <v>1</v>
      </c>
      <c r="N130" s="18">
        <v>1</v>
      </c>
      <c r="O130" s="18" cm="1">
        <f t="array" ref="O130">J130*VLOOKUP($H130, Factor!$AN$4:$AS$36, 2, 0)*INDEX(Factor!$AN$41:$AS$87, _xlfn.XMATCH($C130, Factor!$AN$41:$AN$87, -1), 2)*IFERROR(VLOOKUP($I130, Factor!$AU$4:$AX$9, 2, 0),1)</f>
        <v>0</v>
      </c>
      <c r="P130" s="18" cm="1">
        <f t="array" ref="P130">K130*VLOOKUP($H130, Factor!$AN$4:$AS$36, 3, 0)*INDEX(Factor!$AN$41:$AS$87, _xlfn.XMATCH($C130, Factor!$AN$41:$AN$87, -1), 3)*IFERROR(VLOOKUP($I130, Factor!$AU$4:$AX$9, 3, 0),1)</f>
        <v>0</v>
      </c>
      <c r="Q130" s="18" cm="1">
        <f t="array" ref="Q130">L130*VLOOKUP($H130, Factor!$AN$4:$AS$36, 4, 0)*INDEX(Factor!$AN$41:$AS$87, _xlfn.XMATCH($C130, Factor!$AN$41:$AN$87, -1), 4)</f>
        <v>0</v>
      </c>
      <c r="R130" s="18" cm="1">
        <f t="array" ref="R130">M130*VLOOKUP($H130, Factor!$AN$4:$AS$36, 5, 0)*INDEX(Factor!$AN$41:$AS$87, _xlfn.XMATCH($C130, Factor!$AN$41:$AN$87, -1), 5)</f>
        <v>8</v>
      </c>
      <c r="S130" s="18" cm="1">
        <f t="array" ref="S130">N130*VLOOKUP($H130, Factor!$AN$4:$AS$36, 6, 0)*INDEX(Factor!$AN$41:$AS$87, _xlfn.XMATCH($C130, Factor!$AN$41:$AN$87, -1), 6)*IFERROR(VLOOKUP($I130, Factor!$AU$4:$AX$9, 4, 0),1)</f>
        <v>2000</v>
      </c>
      <c r="T130" s="19"/>
    </row>
    <row r="131" spans="1:20" ht="15.75" customHeight="1" x14ac:dyDescent="0.2">
      <c r="A131" s="14" t="str">
        <f>"parlor_"&amp;VLOOKUP(F131, Factor!$CO$4:$CR$10, 4, 0)&amp;D131&amp;"_"&amp;VLOOKUP(E131, Factor!$CS$4:$CT$13, 2, 0)</f>
        <v>parlor_Prod_Food_T7_001</v>
      </c>
      <c r="B131" s="15" t="str">
        <f t="shared" si="4"/>
        <v>T7 표준 스마트팜</v>
      </c>
      <c r="C131" s="15">
        <f>VLOOKUP(D131, Factor!$AM$41:$AN$50, 2, 0)</f>
        <v>35000</v>
      </c>
      <c r="D131" s="15" t="s">
        <v>325</v>
      </c>
      <c r="E131" s="56" t="s">
        <v>582</v>
      </c>
      <c r="F131" s="56" t="s">
        <v>695</v>
      </c>
      <c r="G131" s="15" t="str">
        <f t="shared" si="5"/>
        <v>표준 스마트팜</v>
      </c>
      <c r="H131" s="15" t="str">
        <f>VLOOKUP(F131, Factor!$CO$4:$CR$10, 2, 0)</f>
        <v>생산</v>
      </c>
      <c r="I131" s="15" t="str">
        <f>VLOOKUP(F131, Factor!$CO$4:$CR$10, 3, 0)</f>
        <v>food</v>
      </c>
      <c r="J131" s="15">
        <v>1</v>
      </c>
      <c r="K131" s="15">
        <v>1</v>
      </c>
      <c r="L131" s="15">
        <v>1</v>
      </c>
      <c r="M131" s="15">
        <v>1</v>
      </c>
      <c r="N131" s="15">
        <v>1</v>
      </c>
      <c r="O131" s="15" cm="1">
        <f t="array" ref="O131">J131*VLOOKUP($H131, Factor!$AN$4:$AS$36, 2, 0)*INDEX(Factor!$AN$41:$AS$87, _xlfn.XMATCH($C131, Factor!$AN$41:$AN$87, -1), 2)*IFERROR(VLOOKUP($I131, Factor!$AU$4:$AX$9, 2, 0),1)</f>
        <v>22</v>
      </c>
      <c r="P131" s="15" cm="1">
        <f t="array" ref="P131">K131*VLOOKUP($H131, Factor!$AN$4:$AS$36, 3, 0)*INDEX(Factor!$AN$41:$AS$87, _xlfn.XMATCH($C131, Factor!$AN$41:$AN$87, -1), 3)*IFERROR(VLOOKUP($I131, Factor!$AU$4:$AX$9, 3, 0),1)</f>
        <v>0</v>
      </c>
      <c r="Q131" s="15" cm="1">
        <f t="array" ref="Q131">L131*VLOOKUP($H131, Factor!$AN$4:$AS$36, 4, 0)*INDEX(Factor!$AN$41:$AS$87, _xlfn.XMATCH($C131, Factor!$AN$41:$AN$87, -1), 4)</f>
        <v>2.2000000000000002</v>
      </c>
      <c r="R131" s="15" cm="1">
        <f t="array" ref="R131">M131*VLOOKUP($H131, Factor!$AN$4:$AS$36, 5, 0)*INDEX(Factor!$AN$41:$AS$87, _xlfn.XMATCH($C131, Factor!$AN$41:$AN$87, -1), 5)</f>
        <v>2.2000000000000002</v>
      </c>
      <c r="S131" s="15" cm="1">
        <f t="array" ref="S131">N131*VLOOKUP($H131, Factor!$AN$4:$AS$36, 6, 0)*INDEX(Factor!$AN$41:$AS$87, _xlfn.XMATCH($C131, Factor!$AN$41:$AN$87, -1), 6)*IFERROR(VLOOKUP($I131, Factor!$AU$4:$AX$9, 4, 0),1)</f>
        <v>11000</v>
      </c>
      <c r="T131" s="16"/>
    </row>
    <row r="132" spans="1:20" ht="15.75" customHeight="1" x14ac:dyDescent="0.2">
      <c r="A132" s="17" t="str">
        <f>"parlor_"&amp;VLOOKUP(F132, Factor!$CO$4:$CR$10, 4, 0)&amp;D132&amp;"_"&amp;VLOOKUP(E132, Factor!$CS$4:$CT$13, 2, 0)</f>
        <v>parlor_Indu_Ammo_T7_001</v>
      </c>
      <c r="B132" s="18" t="str">
        <f t="shared" si="4"/>
        <v>T7 표준 탄약공장</v>
      </c>
      <c r="C132" s="18">
        <f>VLOOKUP(D132, Factor!$AM$41:$AN$50, 2, 0)</f>
        <v>35000</v>
      </c>
      <c r="D132" s="18" t="s">
        <v>325</v>
      </c>
      <c r="E132" s="55" t="s">
        <v>582</v>
      </c>
      <c r="F132" s="55" t="s">
        <v>696</v>
      </c>
      <c r="G132" s="18" t="str">
        <f t="shared" si="5"/>
        <v>표준 탄약공장</v>
      </c>
      <c r="H132" s="18" t="str">
        <f>VLOOKUP(F132, Factor!$CO$4:$CR$10, 2, 0)</f>
        <v>공업</v>
      </c>
      <c r="I132" s="18" t="str">
        <f>VLOOKUP(F132, Factor!$CO$4:$CR$10, 3, 0)</f>
        <v>ammo</v>
      </c>
      <c r="J132" s="18">
        <v>1</v>
      </c>
      <c r="K132" s="18">
        <v>1</v>
      </c>
      <c r="L132" s="18">
        <v>1</v>
      </c>
      <c r="M132" s="18">
        <v>1</v>
      </c>
      <c r="N132" s="18">
        <v>1</v>
      </c>
      <c r="O132" s="18" cm="1">
        <f t="array" ref="O132">J132*VLOOKUP($H132, Factor!$AN$4:$AS$36, 2, 0)*INDEX(Factor!$AN$41:$AS$87, _xlfn.XMATCH($C132, Factor!$AN$41:$AN$87, -1), 2)*IFERROR(VLOOKUP($I132, Factor!$AU$4:$AX$9, 2, 0),1)</f>
        <v>0</v>
      </c>
      <c r="P132" s="18" cm="1">
        <f t="array" ref="P132">K132*VLOOKUP($H132, Factor!$AN$4:$AS$36, 3, 0)*INDEX(Factor!$AN$41:$AS$87, _xlfn.XMATCH($C132, Factor!$AN$41:$AN$87, -1), 3)*IFERROR(VLOOKUP($I132, Factor!$AU$4:$AX$9, 3, 0),1)</f>
        <v>22</v>
      </c>
      <c r="Q132" s="18" cm="1">
        <f t="array" ref="Q132">L132*VLOOKUP($H132, Factor!$AN$4:$AS$36, 4, 0)*INDEX(Factor!$AN$41:$AS$87, _xlfn.XMATCH($C132, Factor!$AN$41:$AN$87, -1), 4)</f>
        <v>0</v>
      </c>
      <c r="R132" s="18" cm="1">
        <f t="array" ref="R132">M132*VLOOKUP($H132, Factor!$AN$4:$AS$36, 5, 0)*INDEX(Factor!$AN$41:$AS$87, _xlfn.XMATCH($C132, Factor!$AN$41:$AN$87, -1), 5)</f>
        <v>0</v>
      </c>
      <c r="S132" s="18" cm="1">
        <f t="array" ref="S132">N132*VLOOKUP($H132, Factor!$AN$4:$AS$36, 6, 0)*INDEX(Factor!$AN$41:$AS$87, _xlfn.XMATCH($C132, Factor!$AN$41:$AN$87, -1), 6)*IFERROR(VLOOKUP($I132, Factor!$AU$4:$AX$9, 4, 0),1)</f>
        <v>11000</v>
      </c>
      <c r="T132" s="19"/>
    </row>
    <row r="133" spans="1:20" ht="15.75" customHeight="1" x14ac:dyDescent="0.2">
      <c r="A133" s="14" t="str">
        <f>"parlor_"&amp;VLOOKUP(F133, Factor!$CO$4:$CR$10, 4, 0)&amp;D133&amp;"_"&amp;VLOOKUP(E133, Factor!$CS$4:$CT$13, 2, 0)</f>
        <v>parlor_Indu_Shell_T7_001</v>
      </c>
      <c r="B133" s="15" t="str">
        <f t="shared" si="4"/>
        <v>T7 표준 포탄공장</v>
      </c>
      <c r="C133" s="15">
        <f>VLOOKUP(D133, Factor!$AM$41:$AN$50, 2, 0)</f>
        <v>35000</v>
      </c>
      <c r="D133" s="15" t="s">
        <v>303</v>
      </c>
      <c r="E133" s="56" t="s">
        <v>582</v>
      </c>
      <c r="F133" s="56" t="s">
        <v>697</v>
      </c>
      <c r="G133" s="15" t="str">
        <f t="shared" si="5"/>
        <v>표준 포탄공장</v>
      </c>
      <c r="H133" s="15" t="str">
        <f>VLOOKUP(F133, Factor!$CO$4:$CR$10, 2, 0)</f>
        <v>공업</v>
      </c>
      <c r="I133" s="15" t="str">
        <f>VLOOKUP(F133, Factor!$CO$4:$CR$10, 3, 0)</f>
        <v>shell</v>
      </c>
      <c r="J133" s="15">
        <v>1</v>
      </c>
      <c r="K133" s="15">
        <v>1</v>
      </c>
      <c r="L133" s="15">
        <v>1</v>
      </c>
      <c r="M133" s="15">
        <v>1</v>
      </c>
      <c r="N133" s="15">
        <v>1</v>
      </c>
      <c r="O133" s="15" cm="1">
        <f t="array" ref="O133">J133*VLOOKUP($H133, Factor!$AN$4:$AS$36, 2, 0)*INDEX(Factor!$AN$41:$AS$87, _xlfn.XMATCH($C133, Factor!$AN$41:$AN$87, -1), 2)*IFERROR(VLOOKUP($I133, Factor!$AU$4:$AX$9, 2, 0),1)</f>
        <v>0</v>
      </c>
      <c r="P133" s="15" cm="1">
        <f t="array" ref="P133">K133*VLOOKUP($H133, Factor!$AN$4:$AS$36, 3, 0)*INDEX(Factor!$AN$41:$AS$87, _xlfn.XMATCH($C133, Factor!$AN$41:$AN$87, -1), 3)*IFERROR(VLOOKUP($I133, Factor!$AU$4:$AX$9, 3, 0),1)</f>
        <v>11</v>
      </c>
      <c r="Q133" s="15" cm="1">
        <f t="array" ref="Q133">L133*VLOOKUP($H133, Factor!$AN$4:$AS$36, 4, 0)*INDEX(Factor!$AN$41:$AS$87, _xlfn.XMATCH($C133, Factor!$AN$41:$AN$87, -1), 4)</f>
        <v>0</v>
      </c>
      <c r="R133" s="15" cm="1">
        <f t="array" ref="R133">M133*VLOOKUP($H133, Factor!$AN$4:$AS$36, 5, 0)*INDEX(Factor!$AN$41:$AS$87, _xlfn.XMATCH($C133, Factor!$AN$41:$AN$87, -1), 5)</f>
        <v>0</v>
      </c>
      <c r="S133" s="15" cm="1">
        <f t="array" ref="S133">N133*VLOOKUP($H133, Factor!$AN$4:$AS$36, 6, 0)*INDEX(Factor!$AN$41:$AS$87, _xlfn.XMATCH($C133, Factor!$AN$41:$AN$87, -1), 6)*IFERROR(VLOOKUP($I133, Factor!$AU$4:$AX$9, 4, 0),1)</f>
        <v>13200</v>
      </c>
      <c r="T133" s="16"/>
    </row>
    <row r="134" spans="1:20" ht="15.75" customHeight="1" x14ac:dyDescent="0.2">
      <c r="A134" s="17" t="str">
        <f>"parlor_"&amp;VLOOKUP(F134, Factor!$CO$4:$CR$10, 4, 0)&amp;D134&amp;"_"&amp;VLOOKUP(E134, Factor!$CS$4:$CT$13, 2, 0)</f>
        <v>parlor_Indu_Missile_T7_001</v>
      </c>
      <c r="B134" s="18" t="str">
        <f t="shared" si="4"/>
        <v>T7 표준 미사일공장</v>
      </c>
      <c r="C134" s="18">
        <f>VLOOKUP(D134, Factor!$AM$41:$AN$50, 2, 0)</f>
        <v>35000</v>
      </c>
      <c r="D134" s="18" t="s">
        <v>303</v>
      </c>
      <c r="E134" s="55" t="s">
        <v>582</v>
      </c>
      <c r="F134" s="55" t="s">
        <v>698</v>
      </c>
      <c r="G134" s="18" t="str">
        <f t="shared" si="5"/>
        <v>표준 미사일공장</v>
      </c>
      <c r="H134" s="18" t="str">
        <f>VLOOKUP(F134, Factor!$CO$4:$CR$10, 2, 0)</f>
        <v>공업</v>
      </c>
      <c r="I134" s="18" t="str">
        <f>VLOOKUP(F134, Factor!$CO$4:$CR$10, 3, 0)</f>
        <v>missile</v>
      </c>
      <c r="J134" s="18">
        <v>1</v>
      </c>
      <c r="K134" s="18">
        <v>1</v>
      </c>
      <c r="L134" s="18">
        <v>1</v>
      </c>
      <c r="M134" s="18">
        <v>1</v>
      </c>
      <c r="N134" s="18">
        <v>1</v>
      </c>
      <c r="O134" s="18" cm="1">
        <f t="array" ref="O134">J134*VLOOKUP($H134, Factor!$AN$4:$AS$36, 2, 0)*INDEX(Factor!$AN$41:$AS$87, _xlfn.XMATCH($C134, Factor!$AN$41:$AN$87, -1), 2)*IFERROR(VLOOKUP($I134, Factor!$AU$4:$AX$9, 2, 0),1)</f>
        <v>0</v>
      </c>
      <c r="P134" s="18" cm="1">
        <f t="array" ref="P134">K134*VLOOKUP($H134, Factor!$AN$4:$AS$36, 3, 0)*INDEX(Factor!$AN$41:$AS$87, _xlfn.XMATCH($C134, Factor!$AN$41:$AN$87, -1), 3)*IFERROR(VLOOKUP($I134, Factor!$AU$4:$AX$9, 3, 0),1)</f>
        <v>4.4000000000000004</v>
      </c>
      <c r="Q134" s="18" cm="1">
        <f t="array" ref="Q134">L134*VLOOKUP($H134, Factor!$AN$4:$AS$36, 4, 0)*INDEX(Factor!$AN$41:$AS$87, _xlfn.XMATCH($C134, Factor!$AN$41:$AN$87, -1), 4)</f>
        <v>0</v>
      </c>
      <c r="R134" s="18" cm="1">
        <f t="array" ref="R134">M134*VLOOKUP($H134, Factor!$AN$4:$AS$36, 5, 0)*INDEX(Factor!$AN$41:$AS$87, _xlfn.XMATCH($C134, Factor!$AN$41:$AN$87, -1), 5)</f>
        <v>0</v>
      </c>
      <c r="S134" s="18" cm="1">
        <f t="array" ref="S134">N134*VLOOKUP($H134, Factor!$AN$4:$AS$36, 6, 0)*INDEX(Factor!$AN$41:$AS$87, _xlfn.XMATCH($C134, Factor!$AN$41:$AN$87, -1), 6)*IFERROR(VLOOKUP($I134, Factor!$AU$4:$AX$9, 4, 0),1)</f>
        <v>14300</v>
      </c>
      <c r="T134" s="19"/>
    </row>
    <row r="135" spans="1:20" ht="15.75" customHeight="1" x14ac:dyDescent="0.2">
      <c r="A135" s="14" t="str">
        <f>"parlor_"&amp;VLOOKUP(F135, Factor!$CO$4:$CR$10, 4, 0)&amp;D135&amp;"_"&amp;VLOOKUP(E135, Factor!$CS$4:$CT$13, 2, 0)</f>
        <v>parlor_Indu_Siecleium_T7_001</v>
      </c>
      <c r="B135" s="15" t="str">
        <f t="shared" si="4"/>
        <v>T7 표준 서클리움 정제소</v>
      </c>
      <c r="C135" s="15">
        <f>VLOOKUP(D135, Factor!$AM$41:$AN$50, 2, 0)</f>
        <v>35000</v>
      </c>
      <c r="D135" s="15" t="s">
        <v>303</v>
      </c>
      <c r="E135" s="56" t="s">
        <v>582</v>
      </c>
      <c r="F135" s="56" t="s">
        <v>702</v>
      </c>
      <c r="G135" s="15" t="str">
        <f t="shared" si="5"/>
        <v>표준 서클리움 정제소</v>
      </c>
      <c r="H135" s="15" t="str">
        <f>VLOOKUP(F135, Factor!$CO$4:$CR$10, 2, 0)</f>
        <v>공업</v>
      </c>
      <c r="I135" s="15" t="str">
        <f>VLOOKUP(F135, Factor!$CO$4:$CR$10, 3, 0)</f>
        <v>siecleium</v>
      </c>
      <c r="J135" s="15">
        <v>1</v>
      </c>
      <c r="K135" s="15">
        <v>1</v>
      </c>
      <c r="L135" s="15">
        <v>1</v>
      </c>
      <c r="M135" s="15">
        <v>1</v>
      </c>
      <c r="N135" s="15">
        <v>1</v>
      </c>
      <c r="O135" s="15" cm="1">
        <f t="array" ref="O135">J135*VLOOKUP($H135, Factor!$AN$4:$AS$36, 2, 0)*INDEX(Factor!$AN$41:$AS$87, _xlfn.XMATCH($C135, Factor!$AN$41:$AN$87, -1), 2)*IFERROR(VLOOKUP($I135, Factor!$AU$4:$AX$9, 2, 0),1)</f>
        <v>0</v>
      </c>
      <c r="P135" s="15" cm="1">
        <f t="array" ref="P135">K135*VLOOKUP($H135, Factor!$AN$4:$AS$36, 3, 0)*INDEX(Factor!$AN$41:$AS$87, _xlfn.XMATCH($C135, Factor!$AN$41:$AN$87, -1), 3)*IFERROR(VLOOKUP($I135, Factor!$AU$4:$AX$9, 3, 0),1)</f>
        <v>22</v>
      </c>
      <c r="Q135" s="15" cm="1">
        <f t="array" ref="Q135">L135*VLOOKUP($H135, Factor!$AN$4:$AS$36, 4, 0)*INDEX(Factor!$AN$41:$AS$87, _xlfn.XMATCH($C135, Factor!$AN$41:$AN$87, -1), 4)</f>
        <v>0</v>
      </c>
      <c r="R135" s="15" cm="1">
        <f t="array" ref="R135">M135*VLOOKUP($H135, Factor!$AN$4:$AS$36, 5, 0)*INDEX(Factor!$AN$41:$AS$87, _xlfn.XMATCH($C135, Factor!$AN$41:$AN$87, -1), 5)</f>
        <v>0</v>
      </c>
      <c r="S135" s="15" cm="1">
        <f t="array" ref="S135">N135*VLOOKUP($H135, Factor!$AN$4:$AS$36, 6, 0)*INDEX(Factor!$AN$41:$AS$87, _xlfn.XMATCH($C135, Factor!$AN$41:$AN$87, -1), 6)*IFERROR(VLOOKUP($I135, Factor!$AU$4:$AX$9, 4, 0),1)</f>
        <v>11000</v>
      </c>
      <c r="T135" s="16"/>
    </row>
    <row r="136" spans="1:20" ht="15.75" customHeight="1" x14ac:dyDescent="0.2">
      <c r="A136" s="17" t="str">
        <f>"parlor_"&amp;VLOOKUP(F136, Factor!$CO$4:$CR$10, 4, 0)&amp;D136&amp;"_"&amp;VLOOKUP(E136, Factor!$CS$4:$CT$13, 2, 0)</f>
        <v>parlor_Trans_Inven_T7_001</v>
      </c>
      <c r="B136" s="18" t="str">
        <f t="shared" si="4"/>
        <v>T7 표준 화물 수송 칸</v>
      </c>
      <c r="C136" s="18">
        <f>VLOOKUP(D136, Factor!$AM$41:$AN$50, 2, 0)</f>
        <v>35000</v>
      </c>
      <c r="D136" s="18" t="s">
        <v>303</v>
      </c>
      <c r="E136" s="55" t="s">
        <v>582</v>
      </c>
      <c r="F136" s="55" t="s">
        <v>703</v>
      </c>
      <c r="G136" s="18" t="str">
        <f t="shared" si="5"/>
        <v>표준 화물 수송 칸</v>
      </c>
      <c r="H136" s="18" t="str">
        <f>VLOOKUP(F136, Factor!$CO$4:$CR$10, 2, 0)</f>
        <v>물자수송</v>
      </c>
      <c r="I136" s="18" t="str">
        <f>VLOOKUP(F136, Factor!$CO$4:$CR$10, 3, 0)</f>
        <v>null</v>
      </c>
      <c r="J136" s="18">
        <v>1</v>
      </c>
      <c r="K136" s="18">
        <v>1</v>
      </c>
      <c r="L136" s="18">
        <v>1</v>
      </c>
      <c r="M136" s="18">
        <v>1</v>
      </c>
      <c r="N136" s="18">
        <v>1</v>
      </c>
      <c r="O136" s="18" cm="1">
        <f t="array" ref="O136">J136*VLOOKUP($H136, Factor!$AN$4:$AS$36, 2, 0)*INDEX(Factor!$AN$41:$AS$87, _xlfn.XMATCH($C136, Factor!$AN$41:$AN$87, -1), 2)*IFERROR(VLOOKUP($I136, Factor!$AU$4:$AX$9, 2, 0),1)</f>
        <v>0</v>
      </c>
      <c r="P136" s="18" cm="1">
        <f t="array" ref="P136">K136*VLOOKUP($H136, Factor!$AN$4:$AS$36, 3, 0)*INDEX(Factor!$AN$41:$AS$87, _xlfn.XMATCH($C136, Factor!$AN$41:$AN$87, -1), 3)*IFERROR(VLOOKUP($I136, Factor!$AU$4:$AX$9, 3, 0),1)</f>
        <v>0</v>
      </c>
      <c r="Q136" s="18" cm="1">
        <f t="array" ref="Q136">L136*VLOOKUP($H136, Factor!$AN$4:$AS$36, 4, 0)*INDEX(Factor!$AN$41:$AS$87, _xlfn.XMATCH($C136, Factor!$AN$41:$AN$87, -1), 4)</f>
        <v>4.4000000000000004</v>
      </c>
      <c r="R136" s="18" cm="1">
        <f t="array" ref="R136">M136*VLOOKUP($H136, Factor!$AN$4:$AS$36, 5, 0)*INDEX(Factor!$AN$41:$AS$87, _xlfn.XMATCH($C136, Factor!$AN$41:$AN$87, -1), 5)</f>
        <v>0</v>
      </c>
      <c r="S136" s="18" cm="1">
        <f t="array" ref="S136">N136*VLOOKUP($H136, Factor!$AN$4:$AS$36, 6, 0)*INDEX(Factor!$AN$41:$AS$87, _xlfn.XMATCH($C136, Factor!$AN$41:$AN$87, -1), 6)*IFERROR(VLOOKUP($I136, Factor!$AU$4:$AX$9, 4, 0),1)</f>
        <v>4400</v>
      </c>
      <c r="T136" s="19"/>
    </row>
    <row r="137" spans="1:20" ht="15.75" customHeight="1" x14ac:dyDescent="0.2">
      <c r="A137" s="14" t="str">
        <f>"parlor_"&amp;VLOOKUP(F137, Factor!$CO$4:$CR$10, 4, 0)&amp;D137&amp;"_"&amp;VLOOKUP(E137, Factor!$CS$4:$CT$13, 2, 0)</f>
        <v>parlor_Trans_Pass_T7_001</v>
      </c>
      <c r="B137" s="15" t="str">
        <f t="shared" si="4"/>
        <v>T7 표준 인원 수송 칸</v>
      </c>
      <c r="C137" s="15">
        <f>VLOOKUP(D137, Factor!$AM$41:$AN$50, 2, 0)</f>
        <v>35000</v>
      </c>
      <c r="D137" s="15" t="s">
        <v>303</v>
      </c>
      <c r="E137" s="56" t="s">
        <v>582</v>
      </c>
      <c r="F137" s="56" t="s">
        <v>704</v>
      </c>
      <c r="G137" s="15" t="str">
        <f t="shared" si="5"/>
        <v>표준 인원 수송 칸</v>
      </c>
      <c r="H137" s="15" t="str">
        <f>VLOOKUP(F137, Factor!$CO$4:$CR$10, 2, 0)</f>
        <v>인원수송</v>
      </c>
      <c r="I137" s="15" t="str">
        <f>VLOOKUP(F137, Factor!$CO$4:$CR$10, 3, 0)</f>
        <v>null</v>
      </c>
      <c r="J137" s="15">
        <v>1</v>
      </c>
      <c r="K137" s="15">
        <v>1</v>
      </c>
      <c r="L137" s="15">
        <v>1</v>
      </c>
      <c r="M137" s="15">
        <v>1</v>
      </c>
      <c r="N137" s="15">
        <v>1</v>
      </c>
      <c r="O137" s="15" cm="1">
        <f t="array" ref="O137">J137*VLOOKUP($H137, Factor!$AN$4:$AS$36, 2, 0)*INDEX(Factor!$AN$41:$AS$87, _xlfn.XMATCH($C137, Factor!$AN$41:$AN$87, -1), 2)*IFERROR(VLOOKUP($I137, Factor!$AU$4:$AX$9, 2, 0),1)</f>
        <v>0</v>
      </c>
      <c r="P137" s="15" cm="1">
        <f t="array" ref="P137">K137*VLOOKUP($H137, Factor!$AN$4:$AS$36, 3, 0)*INDEX(Factor!$AN$41:$AS$87, _xlfn.XMATCH($C137, Factor!$AN$41:$AN$87, -1), 3)*IFERROR(VLOOKUP($I137, Factor!$AU$4:$AX$9, 3, 0),1)</f>
        <v>0</v>
      </c>
      <c r="Q137" s="15" cm="1">
        <f t="array" ref="Q137">L137*VLOOKUP($H137, Factor!$AN$4:$AS$36, 4, 0)*INDEX(Factor!$AN$41:$AS$87, _xlfn.XMATCH($C137, Factor!$AN$41:$AN$87, -1), 4)</f>
        <v>0</v>
      </c>
      <c r="R137" s="15" cm="1">
        <f t="array" ref="R137">M137*VLOOKUP($H137, Factor!$AN$4:$AS$36, 5, 0)*INDEX(Factor!$AN$41:$AS$87, _xlfn.XMATCH($C137, Factor!$AN$41:$AN$87, -1), 5)</f>
        <v>8.8000000000000007</v>
      </c>
      <c r="S137" s="15" cm="1">
        <f t="array" ref="S137">N137*VLOOKUP($H137, Factor!$AN$4:$AS$36, 6, 0)*INDEX(Factor!$AN$41:$AS$87, _xlfn.XMATCH($C137, Factor!$AN$41:$AN$87, -1), 6)*IFERROR(VLOOKUP($I137, Factor!$AU$4:$AX$9, 4, 0),1)</f>
        <v>2200</v>
      </c>
      <c r="T137" s="16"/>
    </row>
    <row r="138" spans="1:20" ht="15.75" customHeight="1" x14ac:dyDescent="0.2">
      <c r="A138" s="17" t="str">
        <f>"parlor_"&amp;VLOOKUP(F138, Factor!$CO$4:$CR$10, 4, 0)&amp;D138&amp;"_"&amp;VLOOKUP(E138, Factor!$CS$4:$CT$13, 2, 0)</f>
        <v>parlor_Prod_Food_T7_002</v>
      </c>
      <c r="B138" s="18" t="str">
        <f t="shared" si="4"/>
        <v>T7 경량 스마트팜</v>
      </c>
      <c r="C138" s="18">
        <f>VLOOKUP(D138, Factor!$AM$41:$AN$50, 2, 0)</f>
        <v>35000</v>
      </c>
      <c r="D138" s="18" t="s">
        <v>303</v>
      </c>
      <c r="E138" s="55" t="s">
        <v>585</v>
      </c>
      <c r="F138" s="55" t="s">
        <v>695</v>
      </c>
      <c r="G138" s="18" t="str">
        <f t="shared" si="5"/>
        <v>경량 스마트팜</v>
      </c>
      <c r="H138" s="18" t="str">
        <f>VLOOKUP(F138, Factor!$CO$4:$CR$10, 2, 0)</f>
        <v>생산</v>
      </c>
      <c r="I138" s="18" t="str">
        <f>VLOOKUP(F138, Factor!$CO$4:$CR$10, 3, 0)</f>
        <v>food</v>
      </c>
      <c r="J138" s="18">
        <v>1</v>
      </c>
      <c r="K138" s="18">
        <v>1</v>
      </c>
      <c r="L138" s="18">
        <v>1</v>
      </c>
      <c r="M138" s="18">
        <v>1</v>
      </c>
      <c r="N138" s="18">
        <v>1</v>
      </c>
      <c r="O138" s="18" cm="1">
        <f t="array" ref="O138">J138*VLOOKUP($H138, Factor!$AN$4:$AS$36, 2, 0)*INDEX(Factor!$AN$41:$AS$87, _xlfn.XMATCH($C138, Factor!$AN$41:$AN$87, -1), 2)*IFERROR(VLOOKUP($I138, Factor!$AU$4:$AX$9, 2, 0),1)</f>
        <v>22</v>
      </c>
      <c r="P138" s="18" cm="1">
        <f t="array" ref="P138">K138*VLOOKUP($H138, Factor!$AN$4:$AS$36, 3, 0)*INDEX(Factor!$AN$41:$AS$87, _xlfn.XMATCH($C138, Factor!$AN$41:$AN$87, -1), 3)*IFERROR(VLOOKUP($I138, Factor!$AU$4:$AX$9, 3, 0),1)</f>
        <v>0</v>
      </c>
      <c r="Q138" s="18" cm="1">
        <f t="array" ref="Q138">L138*VLOOKUP($H138, Factor!$AN$4:$AS$36, 4, 0)*INDEX(Factor!$AN$41:$AS$87, _xlfn.XMATCH($C138, Factor!$AN$41:$AN$87, -1), 4)</f>
        <v>2.2000000000000002</v>
      </c>
      <c r="R138" s="18" cm="1">
        <f t="array" ref="R138">M138*VLOOKUP($H138, Factor!$AN$4:$AS$36, 5, 0)*INDEX(Factor!$AN$41:$AS$87, _xlfn.XMATCH($C138, Factor!$AN$41:$AN$87, -1), 5)</f>
        <v>2.2000000000000002</v>
      </c>
      <c r="S138" s="18" cm="1">
        <f t="array" ref="S138">N138*VLOOKUP($H138, Factor!$AN$4:$AS$36, 6, 0)*INDEX(Factor!$AN$41:$AS$87, _xlfn.XMATCH($C138, Factor!$AN$41:$AN$87, -1), 6)*IFERROR(VLOOKUP($I138, Factor!$AU$4:$AX$9, 4, 0),1)</f>
        <v>11000</v>
      </c>
      <c r="T138" s="19"/>
    </row>
    <row r="139" spans="1:20" ht="15.75" customHeight="1" x14ac:dyDescent="0.2">
      <c r="A139" s="14" t="str">
        <f>"parlor_"&amp;VLOOKUP(F139, Factor!$CO$4:$CR$10, 4, 0)&amp;D139&amp;"_"&amp;VLOOKUP(E139, Factor!$CS$4:$CT$13, 2, 0)</f>
        <v>parlor_Indu_Ammo_T7_002</v>
      </c>
      <c r="B139" s="15" t="str">
        <f t="shared" ref="B139:B202" si="6">D139&amp;" "&amp;G139</f>
        <v>T7 경량 탄약공장</v>
      </c>
      <c r="C139" s="15">
        <f>VLOOKUP(D139, Factor!$AM$41:$AN$50, 2, 0)</f>
        <v>35000</v>
      </c>
      <c r="D139" s="15" t="s">
        <v>303</v>
      </c>
      <c r="E139" s="56" t="s">
        <v>585</v>
      </c>
      <c r="F139" s="56" t="s">
        <v>696</v>
      </c>
      <c r="G139" s="15" t="str">
        <f t="shared" ref="G139:G202" si="7">E139&amp;" "&amp;F139</f>
        <v>경량 탄약공장</v>
      </c>
      <c r="H139" s="15" t="str">
        <f>VLOOKUP(F139, Factor!$CO$4:$CR$10, 2, 0)</f>
        <v>공업</v>
      </c>
      <c r="I139" s="15" t="str">
        <f>VLOOKUP(F139, Factor!$CO$4:$CR$10, 3, 0)</f>
        <v>ammo</v>
      </c>
      <c r="J139" s="15">
        <v>1</v>
      </c>
      <c r="K139" s="15">
        <v>1</v>
      </c>
      <c r="L139" s="15">
        <v>1</v>
      </c>
      <c r="M139" s="15">
        <v>1</v>
      </c>
      <c r="N139" s="15">
        <v>1</v>
      </c>
      <c r="O139" s="15" cm="1">
        <f t="array" ref="O139">J139*VLOOKUP($H139, Factor!$AN$4:$AS$36, 2, 0)*INDEX(Factor!$AN$41:$AS$87, _xlfn.XMATCH($C139, Factor!$AN$41:$AN$87, -1), 2)*IFERROR(VLOOKUP($I139, Factor!$AU$4:$AX$9, 2, 0),1)</f>
        <v>0</v>
      </c>
      <c r="P139" s="15" cm="1">
        <f t="array" ref="P139">K139*VLOOKUP($H139, Factor!$AN$4:$AS$36, 3, 0)*INDEX(Factor!$AN$41:$AS$87, _xlfn.XMATCH($C139, Factor!$AN$41:$AN$87, -1), 3)*IFERROR(VLOOKUP($I139, Factor!$AU$4:$AX$9, 3, 0),1)</f>
        <v>22</v>
      </c>
      <c r="Q139" s="15" cm="1">
        <f t="array" ref="Q139">L139*VLOOKUP($H139, Factor!$AN$4:$AS$36, 4, 0)*INDEX(Factor!$AN$41:$AS$87, _xlfn.XMATCH($C139, Factor!$AN$41:$AN$87, -1), 4)</f>
        <v>0</v>
      </c>
      <c r="R139" s="15" cm="1">
        <f t="array" ref="R139">M139*VLOOKUP($H139, Factor!$AN$4:$AS$36, 5, 0)*INDEX(Factor!$AN$41:$AS$87, _xlfn.XMATCH($C139, Factor!$AN$41:$AN$87, -1), 5)</f>
        <v>0</v>
      </c>
      <c r="S139" s="15" cm="1">
        <f t="array" ref="S139">N139*VLOOKUP($H139, Factor!$AN$4:$AS$36, 6, 0)*INDEX(Factor!$AN$41:$AS$87, _xlfn.XMATCH($C139, Factor!$AN$41:$AN$87, -1), 6)*IFERROR(VLOOKUP($I139, Factor!$AU$4:$AX$9, 4, 0),1)</f>
        <v>11000</v>
      </c>
      <c r="T139" s="16"/>
    </row>
    <row r="140" spans="1:20" ht="15.75" customHeight="1" x14ac:dyDescent="0.2">
      <c r="A140" s="17" t="str">
        <f>"parlor_"&amp;VLOOKUP(F140, Factor!$CO$4:$CR$10, 4, 0)&amp;D140&amp;"_"&amp;VLOOKUP(E140, Factor!$CS$4:$CT$13, 2, 0)</f>
        <v>parlor_Indu_Shell_T7_002</v>
      </c>
      <c r="B140" s="18" t="str">
        <f t="shared" si="6"/>
        <v>T7 경량 포탄공장</v>
      </c>
      <c r="C140" s="18">
        <f>VLOOKUP(D140, Factor!$AM$41:$AN$50, 2, 0)</f>
        <v>35000</v>
      </c>
      <c r="D140" s="18" t="s">
        <v>303</v>
      </c>
      <c r="E140" s="55" t="s">
        <v>585</v>
      </c>
      <c r="F140" s="55" t="s">
        <v>697</v>
      </c>
      <c r="G140" s="18" t="str">
        <f t="shared" si="7"/>
        <v>경량 포탄공장</v>
      </c>
      <c r="H140" s="18" t="str">
        <f>VLOOKUP(F140, Factor!$CO$4:$CR$10, 2, 0)</f>
        <v>공업</v>
      </c>
      <c r="I140" s="18" t="str">
        <f>VLOOKUP(F140, Factor!$CO$4:$CR$10, 3, 0)</f>
        <v>shell</v>
      </c>
      <c r="J140" s="18">
        <v>1</v>
      </c>
      <c r="K140" s="18">
        <v>1</v>
      </c>
      <c r="L140" s="18">
        <v>1</v>
      </c>
      <c r="M140" s="18">
        <v>1</v>
      </c>
      <c r="N140" s="18">
        <v>1</v>
      </c>
      <c r="O140" s="18" cm="1">
        <f t="array" ref="O140">J140*VLOOKUP($H140, Factor!$AN$4:$AS$36, 2, 0)*INDEX(Factor!$AN$41:$AS$87, _xlfn.XMATCH($C140, Factor!$AN$41:$AN$87, -1), 2)*IFERROR(VLOOKUP($I140, Factor!$AU$4:$AX$9, 2, 0),1)</f>
        <v>0</v>
      </c>
      <c r="P140" s="18" cm="1">
        <f t="array" ref="P140">K140*VLOOKUP($H140, Factor!$AN$4:$AS$36, 3, 0)*INDEX(Factor!$AN$41:$AS$87, _xlfn.XMATCH($C140, Factor!$AN$41:$AN$87, -1), 3)*IFERROR(VLOOKUP($I140, Factor!$AU$4:$AX$9, 3, 0),1)</f>
        <v>11</v>
      </c>
      <c r="Q140" s="18" cm="1">
        <f t="array" ref="Q140">L140*VLOOKUP($H140, Factor!$AN$4:$AS$36, 4, 0)*INDEX(Factor!$AN$41:$AS$87, _xlfn.XMATCH($C140, Factor!$AN$41:$AN$87, -1), 4)</f>
        <v>0</v>
      </c>
      <c r="R140" s="18" cm="1">
        <f t="array" ref="R140">M140*VLOOKUP($H140, Factor!$AN$4:$AS$36, 5, 0)*INDEX(Factor!$AN$41:$AS$87, _xlfn.XMATCH($C140, Factor!$AN$41:$AN$87, -1), 5)</f>
        <v>0</v>
      </c>
      <c r="S140" s="18" cm="1">
        <f t="array" ref="S140">N140*VLOOKUP($H140, Factor!$AN$4:$AS$36, 6, 0)*INDEX(Factor!$AN$41:$AS$87, _xlfn.XMATCH($C140, Factor!$AN$41:$AN$87, -1), 6)*IFERROR(VLOOKUP($I140, Factor!$AU$4:$AX$9, 4, 0),1)</f>
        <v>13200</v>
      </c>
      <c r="T140" s="19"/>
    </row>
    <row r="141" spans="1:20" ht="15.75" customHeight="1" x14ac:dyDescent="0.2">
      <c r="A141" s="14" t="str">
        <f>"parlor_"&amp;VLOOKUP(F141, Factor!$CO$4:$CR$10, 4, 0)&amp;D141&amp;"_"&amp;VLOOKUP(E141, Factor!$CS$4:$CT$13, 2, 0)</f>
        <v>parlor_Indu_Missile_T7_002</v>
      </c>
      <c r="B141" s="15" t="str">
        <f t="shared" si="6"/>
        <v>T7 경량 미사일공장</v>
      </c>
      <c r="C141" s="15">
        <f>VLOOKUP(D141, Factor!$AM$41:$AN$50, 2, 0)</f>
        <v>35000</v>
      </c>
      <c r="D141" s="15" t="s">
        <v>303</v>
      </c>
      <c r="E141" s="56" t="s">
        <v>585</v>
      </c>
      <c r="F141" s="56" t="s">
        <v>698</v>
      </c>
      <c r="G141" s="15" t="str">
        <f t="shared" si="7"/>
        <v>경량 미사일공장</v>
      </c>
      <c r="H141" s="15" t="str">
        <f>VLOOKUP(F141, Factor!$CO$4:$CR$10, 2, 0)</f>
        <v>공업</v>
      </c>
      <c r="I141" s="15" t="str">
        <f>VLOOKUP(F141, Factor!$CO$4:$CR$10, 3, 0)</f>
        <v>missile</v>
      </c>
      <c r="J141" s="15">
        <v>1</v>
      </c>
      <c r="K141" s="15">
        <v>1</v>
      </c>
      <c r="L141" s="15">
        <v>1</v>
      </c>
      <c r="M141" s="15">
        <v>1</v>
      </c>
      <c r="N141" s="15">
        <v>1</v>
      </c>
      <c r="O141" s="15" cm="1">
        <f t="array" ref="O141">J141*VLOOKUP($H141, Factor!$AN$4:$AS$36, 2, 0)*INDEX(Factor!$AN$41:$AS$87, _xlfn.XMATCH($C141, Factor!$AN$41:$AN$87, -1), 2)*IFERROR(VLOOKUP($I141, Factor!$AU$4:$AX$9, 2, 0),1)</f>
        <v>0</v>
      </c>
      <c r="P141" s="15" cm="1">
        <f t="array" ref="P141">K141*VLOOKUP($H141, Factor!$AN$4:$AS$36, 3, 0)*INDEX(Factor!$AN$41:$AS$87, _xlfn.XMATCH($C141, Factor!$AN$41:$AN$87, -1), 3)*IFERROR(VLOOKUP($I141, Factor!$AU$4:$AX$9, 3, 0),1)</f>
        <v>4.4000000000000004</v>
      </c>
      <c r="Q141" s="15" cm="1">
        <f t="array" ref="Q141">L141*VLOOKUP($H141, Factor!$AN$4:$AS$36, 4, 0)*INDEX(Factor!$AN$41:$AS$87, _xlfn.XMATCH($C141, Factor!$AN$41:$AN$87, -1), 4)</f>
        <v>0</v>
      </c>
      <c r="R141" s="15" cm="1">
        <f t="array" ref="R141">M141*VLOOKUP($H141, Factor!$AN$4:$AS$36, 5, 0)*INDEX(Factor!$AN$41:$AS$87, _xlfn.XMATCH($C141, Factor!$AN$41:$AN$87, -1), 5)</f>
        <v>0</v>
      </c>
      <c r="S141" s="15" cm="1">
        <f t="array" ref="S141">N141*VLOOKUP($H141, Factor!$AN$4:$AS$36, 6, 0)*INDEX(Factor!$AN$41:$AS$87, _xlfn.XMATCH($C141, Factor!$AN$41:$AN$87, -1), 6)*IFERROR(VLOOKUP($I141, Factor!$AU$4:$AX$9, 4, 0),1)</f>
        <v>14300</v>
      </c>
      <c r="T141" s="16"/>
    </row>
    <row r="142" spans="1:20" ht="15.75" customHeight="1" x14ac:dyDescent="0.2">
      <c r="A142" s="17" t="str">
        <f>"parlor_"&amp;VLOOKUP(F142, Factor!$CO$4:$CR$10, 4, 0)&amp;D142&amp;"_"&amp;VLOOKUP(E142, Factor!$CS$4:$CT$13, 2, 0)</f>
        <v>parlor_Indu_Siecleium_T7_002</v>
      </c>
      <c r="B142" s="18" t="str">
        <f t="shared" si="6"/>
        <v>T7 경량 서클리움 정제소</v>
      </c>
      <c r="C142" s="18">
        <f>VLOOKUP(D142, Factor!$AM$41:$AN$50, 2, 0)</f>
        <v>35000</v>
      </c>
      <c r="D142" s="18" t="s">
        <v>303</v>
      </c>
      <c r="E142" s="55" t="s">
        <v>585</v>
      </c>
      <c r="F142" s="55" t="s">
        <v>702</v>
      </c>
      <c r="G142" s="18" t="str">
        <f t="shared" si="7"/>
        <v>경량 서클리움 정제소</v>
      </c>
      <c r="H142" s="18" t="str">
        <f>VLOOKUP(F142, Factor!$CO$4:$CR$10, 2, 0)</f>
        <v>공업</v>
      </c>
      <c r="I142" s="18" t="str">
        <f>VLOOKUP(F142, Factor!$CO$4:$CR$10, 3, 0)</f>
        <v>siecleium</v>
      </c>
      <c r="J142" s="18">
        <v>1</v>
      </c>
      <c r="K142" s="18">
        <v>1</v>
      </c>
      <c r="L142" s="18">
        <v>1</v>
      </c>
      <c r="M142" s="18">
        <v>1</v>
      </c>
      <c r="N142" s="18">
        <v>1</v>
      </c>
      <c r="O142" s="18" cm="1">
        <f t="array" ref="O142">J142*VLOOKUP($H142, Factor!$AN$4:$AS$36, 2, 0)*INDEX(Factor!$AN$41:$AS$87, _xlfn.XMATCH($C142, Factor!$AN$41:$AN$87, -1), 2)*IFERROR(VLOOKUP($I142, Factor!$AU$4:$AX$9, 2, 0),1)</f>
        <v>0</v>
      </c>
      <c r="P142" s="18" cm="1">
        <f t="array" ref="P142">K142*VLOOKUP($H142, Factor!$AN$4:$AS$36, 3, 0)*INDEX(Factor!$AN$41:$AS$87, _xlfn.XMATCH($C142, Factor!$AN$41:$AN$87, -1), 3)*IFERROR(VLOOKUP($I142, Factor!$AU$4:$AX$9, 3, 0),1)</f>
        <v>22</v>
      </c>
      <c r="Q142" s="18" cm="1">
        <f t="array" ref="Q142">L142*VLOOKUP($H142, Factor!$AN$4:$AS$36, 4, 0)*INDEX(Factor!$AN$41:$AS$87, _xlfn.XMATCH($C142, Factor!$AN$41:$AN$87, -1), 4)</f>
        <v>0</v>
      </c>
      <c r="R142" s="18" cm="1">
        <f t="array" ref="R142">M142*VLOOKUP($H142, Factor!$AN$4:$AS$36, 5, 0)*INDEX(Factor!$AN$41:$AS$87, _xlfn.XMATCH($C142, Factor!$AN$41:$AN$87, -1), 5)</f>
        <v>0</v>
      </c>
      <c r="S142" s="18" cm="1">
        <f t="array" ref="S142">N142*VLOOKUP($H142, Factor!$AN$4:$AS$36, 6, 0)*INDEX(Factor!$AN$41:$AS$87, _xlfn.XMATCH($C142, Factor!$AN$41:$AN$87, -1), 6)*IFERROR(VLOOKUP($I142, Factor!$AU$4:$AX$9, 4, 0),1)</f>
        <v>11000</v>
      </c>
      <c r="T142" s="19"/>
    </row>
    <row r="143" spans="1:20" ht="15.75" customHeight="1" x14ac:dyDescent="0.2">
      <c r="A143" s="14" t="str">
        <f>"parlor_"&amp;VLOOKUP(F143, Factor!$CO$4:$CR$10, 4, 0)&amp;D143&amp;"_"&amp;VLOOKUP(E143, Factor!$CS$4:$CT$13, 2, 0)</f>
        <v>parlor_Trans_Inven_T7_002</v>
      </c>
      <c r="B143" s="15" t="str">
        <f t="shared" si="6"/>
        <v>T7 경량 화물 수송 칸</v>
      </c>
      <c r="C143" s="15">
        <f>VLOOKUP(D143, Factor!$AM$41:$AN$50, 2, 0)</f>
        <v>35000</v>
      </c>
      <c r="D143" s="15" t="s">
        <v>303</v>
      </c>
      <c r="E143" s="56" t="s">
        <v>585</v>
      </c>
      <c r="F143" s="56" t="s">
        <v>703</v>
      </c>
      <c r="G143" s="15" t="str">
        <f t="shared" si="7"/>
        <v>경량 화물 수송 칸</v>
      </c>
      <c r="H143" s="15" t="str">
        <f>VLOOKUP(F143, Factor!$CO$4:$CR$10, 2, 0)</f>
        <v>물자수송</v>
      </c>
      <c r="I143" s="15" t="str">
        <f>VLOOKUP(F143, Factor!$CO$4:$CR$10, 3, 0)</f>
        <v>null</v>
      </c>
      <c r="J143" s="15">
        <v>1</v>
      </c>
      <c r="K143" s="15">
        <v>1</v>
      </c>
      <c r="L143" s="15">
        <v>1</v>
      </c>
      <c r="M143" s="15">
        <v>1</v>
      </c>
      <c r="N143" s="15">
        <v>1</v>
      </c>
      <c r="O143" s="15" cm="1">
        <f t="array" ref="O143">J143*VLOOKUP($H143, Factor!$AN$4:$AS$36, 2, 0)*INDEX(Factor!$AN$41:$AS$87, _xlfn.XMATCH($C143, Factor!$AN$41:$AN$87, -1), 2)*IFERROR(VLOOKUP($I143, Factor!$AU$4:$AX$9, 2, 0),1)</f>
        <v>0</v>
      </c>
      <c r="P143" s="15" cm="1">
        <f t="array" ref="P143">K143*VLOOKUP($H143, Factor!$AN$4:$AS$36, 3, 0)*INDEX(Factor!$AN$41:$AS$87, _xlfn.XMATCH($C143, Factor!$AN$41:$AN$87, -1), 3)*IFERROR(VLOOKUP($I143, Factor!$AU$4:$AX$9, 3, 0),1)</f>
        <v>0</v>
      </c>
      <c r="Q143" s="15" cm="1">
        <f t="array" ref="Q143">L143*VLOOKUP($H143, Factor!$AN$4:$AS$36, 4, 0)*INDEX(Factor!$AN$41:$AS$87, _xlfn.XMATCH($C143, Factor!$AN$41:$AN$87, -1), 4)</f>
        <v>4.4000000000000004</v>
      </c>
      <c r="R143" s="15" cm="1">
        <f t="array" ref="R143">M143*VLOOKUP($H143, Factor!$AN$4:$AS$36, 5, 0)*INDEX(Factor!$AN$41:$AS$87, _xlfn.XMATCH($C143, Factor!$AN$41:$AN$87, -1), 5)</f>
        <v>0</v>
      </c>
      <c r="S143" s="15" cm="1">
        <f t="array" ref="S143">N143*VLOOKUP($H143, Factor!$AN$4:$AS$36, 6, 0)*INDEX(Factor!$AN$41:$AS$87, _xlfn.XMATCH($C143, Factor!$AN$41:$AN$87, -1), 6)*IFERROR(VLOOKUP($I143, Factor!$AU$4:$AX$9, 4, 0),1)</f>
        <v>4400</v>
      </c>
      <c r="T143" s="16"/>
    </row>
    <row r="144" spans="1:20" ht="15.75" customHeight="1" x14ac:dyDescent="0.2">
      <c r="A144" s="17" t="str">
        <f>"parlor_"&amp;VLOOKUP(F144, Factor!$CO$4:$CR$10, 4, 0)&amp;D144&amp;"_"&amp;VLOOKUP(E144, Factor!$CS$4:$CT$13, 2, 0)</f>
        <v>parlor_Trans_Pass_T7_002</v>
      </c>
      <c r="B144" s="18" t="str">
        <f t="shared" si="6"/>
        <v>T7 경량 인원 수송 칸</v>
      </c>
      <c r="C144" s="18">
        <f>VLOOKUP(D144, Factor!$AM$41:$AN$50, 2, 0)</f>
        <v>35000</v>
      </c>
      <c r="D144" s="18" t="s">
        <v>303</v>
      </c>
      <c r="E144" s="55" t="s">
        <v>585</v>
      </c>
      <c r="F144" s="55" t="s">
        <v>704</v>
      </c>
      <c r="G144" s="18" t="str">
        <f t="shared" si="7"/>
        <v>경량 인원 수송 칸</v>
      </c>
      <c r="H144" s="18" t="str">
        <f>VLOOKUP(F144, Factor!$CO$4:$CR$10, 2, 0)</f>
        <v>인원수송</v>
      </c>
      <c r="I144" s="18" t="str">
        <f>VLOOKUP(F144, Factor!$CO$4:$CR$10, 3, 0)</f>
        <v>null</v>
      </c>
      <c r="J144" s="18">
        <v>1</v>
      </c>
      <c r="K144" s="18">
        <v>1</v>
      </c>
      <c r="L144" s="18">
        <v>1</v>
      </c>
      <c r="M144" s="18">
        <v>1</v>
      </c>
      <c r="N144" s="18">
        <v>1</v>
      </c>
      <c r="O144" s="18" cm="1">
        <f t="array" ref="O144">J144*VLOOKUP($H144, Factor!$AN$4:$AS$36, 2, 0)*INDEX(Factor!$AN$41:$AS$87, _xlfn.XMATCH($C144, Factor!$AN$41:$AN$87, -1), 2)*IFERROR(VLOOKUP($I144, Factor!$AU$4:$AX$9, 2, 0),1)</f>
        <v>0</v>
      </c>
      <c r="P144" s="18" cm="1">
        <f t="array" ref="P144">K144*VLOOKUP($H144, Factor!$AN$4:$AS$36, 3, 0)*INDEX(Factor!$AN$41:$AS$87, _xlfn.XMATCH($C144, Factor!$AN$41:$AN$87, -1), 3)*IFERROR(VLOOKUP($I144, Factor!$AU$4:$AX$9, 3, 0),1)</f>
        <v>0</v>
      </c>
      <c r="Q144" s="18" cm="1">
        <f t="array" ref="Q144">L144*VLOOKUP($H144, Factor!$AN$4:$AS$36, 4, 0)*INDEX(Factor!$AN$41:$AS$87, _xlfn.XMATCH($C144, Factor!$AN$41:$AN$87, -1), 4)</f>
        <v>0</v>
      </c>
      <c r="R144" s="18" cm="1">
        <f t="array" ref="R144">M144*VLOOKUP($H144, Factor!$AN$4:$AS$36, 5, 0)*INDEX(Factor!$AN$41:$AS$87, _xlfn.XMATCH($C144, Factor!$AN$41:$AN$87, -1), 5)</f>
        <v>8.8000000000000007</v>
      </c>
      <c r="S144" s="18" cm="1">
        <f t="array" ref="S144">N144*VLOOKUP($H144, Factor!$AN$4:$AS$36, 6, 0)*INDEX(Factor!$AN$41:$AS$87, _xlfn.XMATCH($C144, Factor!$AN$41:$AN$87, -1), 6)*IFERROR(VLOOKUP($I144, Factor!$AU$4:$AX$9, 4, 0),1)</f>
        <v>2200</v>
      </c>
      <c r="T144" s="19"/>
    </row>
    <row r="145" spans="1:20" ht="15.75" customHeight="1" x14ac:dyDescent="0.2">
      <c r="A145" s="14" t="str">
        <f>"parlor_"&amp;VLOOKUP(F145, Factor!$CO$4:$CR$10, 4, 0)&amp;D145&amp;"_"&amp;VLOOKUP(E145, Factor!$CS$4:$CT$13, 2, 0)</f>
        <v>parlor_Prod_Food_T7_003</v>
      </c>
      <c r="B145" s="15" t="str">
        <f t="shared" si="6"/>
        <v>T7 대형 스마트팜</v>
      </c>
      <c r="C145" s="15">
        <f>VLOOKUP(D145, Factor!$AM$41:$AN$50, 2, 0)</f>
        <v>35000</v>
      </c>
      <c r="D145" s="15" t="s">
        <v>303</v>
      </c>
      <c r="E145" s="56" t="s">
        <v>583</v>
      </c>
      <c r="F145" s="56" t="s">
        <v>695</v>
      </c>
      <c r="G145" s="15" t="str">
        <f t="shared" si="7"/>
        <v>대형 스마트팜</v>
      </c>
      <c r="H145" s="15" t="str">
        <f>VLOOKUP(F145, Factor!$CO$4:$CR$10, 2, 0)</f>
        <v>생산</v>
      </c>
      <c r="I145" s="15" t="str">
        <f>VLOOKUP(F145, Factor!$CO$4:$CR$10, 3, 0)</f>
        <v>food</v>
      </c>
      <c r="J145" s="15">
        <v>1</v>
      </c>
      <c r="K145" s="15">
        <v>1</v>
      </c>
      <c r="L145" s="15">
        <v>1</v>
      </c>
      <c r="M145" s="15">
        <v>1</v>
      </c>
      <c r="N145" s="15">
        <v>1</v>
      </c>
      <c r="O145" s="15" cm="1">
        <f t="array" ref="O145">J145*VLOOKUP($H145, Factor!$AN$4:$AS$36, 2, 0)*INDEX(Factor!$AN$41:$AS$87, _xlfn.XMATCH($C145, Factor!$AN$41:$AN$87, -1), 2)*IFERROR(VLOOKUP($I145, Factor!$AU$4:$AX$9, 2, 0),1)</f>
        <v>22</v>
      </c>
      <c r="P145" s="15" cm="1">
        <f t="array" ref="P145">K145*VLOOKUP($H145, Factor!$AN$4:$AS$36, 3, 0)*INDEX(Factor!$AN$41:$AS$87, _xlfn.XMATCH($C145, Factor!$AN$41:$AN$87, -1), 3)*IFERROR(VLOOKUP($I145, Factor!$AU$4:$AX$9, 3, 0),1)</f>
        <v>0</v>
      </c>
      <c r="Q145" s="15" cm="1">
        <f t="array" ref="Q145">L145*VLOOKUP($H145, Factor!$AN$4:$AS$36, 4, 0)*INDEX(Factor!$AN$41:$AS$87, _xlfn.XMATCH($C145, Factor!$AN$41:$AN$87, -1), 4)</f>
        <v>2.2000000000000002</v>
      </c>
      <c r="R145" s="15" cm="1">
        <f t="array" ref="R145">M145*VLOOKUP($H145, Factor!$AN$4:$AS$36, 5, 0)*INDEX(Factor!$AN$41:$AS$87, _xlfn.XMATCH($C145, Factor!$AN$41:$AN$87, -1), 5)</f>
        <v>2.2000000000000002</v>
      </c>
      <c r="S145" s="15" cm="1">
        <f t="array" ref="S145">N145*VLOOKUP($H145, Factor!$AN$4:$AS$36, 6, 0)*INDEX(Factor!$AN$41:$AS$87, _xlfn.XMATCH($C145, Factor!$AN$41:$AN$87, -1), 6)*IFERROR(VLOOKUP($I145, Factor!$AU$4:$AX$9, 4, 0),1)</f>
        <v>11000</v>
      </c>
      <c r="T145" s="16"/>
    </row>
    <row r="146" spans="1:20" ht="15.75" customHeight="1" x14ac:dyDescent="0.2">
      <c r="A146" s="17" t="str">
        <f>"parlor_"&amp;VLOOKUP(F146, Factor!$CO$4:$CR$10, 4, 0)&amp;D146&amp;"_"&amp;VLOOKUP(E146, Factor!$CS$4:$CT$13, 2, 0)</f>
        <v>parlor_Indu_Ammo_T7_003</v>
      </c>
      <c r="B146" s="18" t="str">
        <f t="shared" si="6"/>
        <v>T7 대형 탄약공장</v>
      </c>
      <c r="C146" s="18">
        <f>VLOOKUP(D146, Factor!$AM$41:$AN$50, 2, 0)</f>
        <v>35000</v>
      </c>
      <c r="D146" s="18" t="s">
        <v>303</v>
      </c>
      <c r="E146" s="55" t="s">
        <v>583</v>
      </c>
      <c r="F146" s="55" t="s">
        <v>696</v>
      </c>
      <c r="G146" s="18" t="str">
        <f t="shared" si="7"/>
        <v>대형 탄약공장</v>
      </c>
      <c r="H146" s="18" t="str">
        <f>VLOOKUP(F146, Factor!$CO$4:$CR$10, 2, 0)</f>
        <v>공업</v>
      </c>
      <c r="I146" s="18" t="str">
        <f>VLOOKUP(F146, Factor!$CO$4:$CR$10, 3, 0)</f>
        <v>ammo</v>
      </c>
      <c r="J146" s="18">
        <v>1</v>
      </c>
      <c r="K146" s="18">
        <v>1</v>
      </c>
      <c r="L146" s="18">
        <v>1</v>
      </c>
      <c r="M146" s="18">
        <v>1</v>
      </c>
      <c r="N146" s="18">
        <v>1</v>
      </c>
      <c r="O146" s="18" cm="1">
        <f t="array" ref="O146">J146*VLOOKUP($H146, Factor!$AN$4:$AS$36, 2, 0)*INDEX(Factor!$AN$41:$AS$87, _xlfn.XMATCH($C146, Factor!$AN$41:$AN$87, -1), 2)*IFERROR(VLOOKUP($I146, Factor!$AU$4:$AX$9, 2, 0),1)</f>
        <v>0</v>
      </c>
      <c r="P146" s="18" cm="1">
        <f t="array" ref="P146">K146*VLOOKUP($H146, Factor!$AN$4:$AS$36, 3, 0)*INDEX(Factor!$AN$41:$AS$87, _xlfn.XMATCH($C146, Factor!$AN$41:$AN$87, -1), 3)*IFERROR(VLOOKUP($I146, Factor!$AU$4:$AX$9, 3, 0),1)</f>
        <v>22</v>
      </c>
      <c r="Q146" s="18" cm="1">
        <f t="array" ref="Q146">L146*VLOOKUP($H146, Factor!$AN$4:$AS$36, 4, 0)*INDEX(Factor!$AN$41:$AS$87, _xlfn.XMATCH($C146, Factor!$AN$41:$AN$87, -1), 4)</f>
        <v>0</v>
      </c>
      <c r="R146" s="18" cm="1">
        <f t="array" ref="R146">M146*VLOOKUP($H146, Factor!$AN$4:$AS$36, 5, 0)*INDEX(Factor!$AN$41:$AS$87, _xlfn.XMATCH($C146, Factor!$AN$41:$AN$87, -1), 5)</f>
        <v>0</v>
      </c>
      <c r="S146" s="18" cm="1">
        <f t="array" ref="S146">N146*VLOOKUP($H146, Factor!$AN$4:$AS$36, 6, 0)*INDEX(Factor!$AN$41:$AS$87, _xlfn.XMATCH($C146, Factor!$AN$41:$AN$87, -1), 6)*IFERROR(VLOOKUP($I146, Factor!$AU$4:$AX$9, 4, 0),1)</f>
        <v>11000</v>
      </c>
      <c r="T146" s="19"/>
    </row>
    <row r="147" spans="1:20" ht="15.75" customHeight="1" x14ac:dyDescent="0.2">
      <c r="A147" s="14" t="str">
        <f>"parlor_"&amp;VLOOKUP(F147, Factor!$CO$4:$CR$10, 4, 0)&amp;D147&amp;"_"&amp;VLOOKUP(E147, Factor!$CS$4:$CT$13, 2, 0)</f>
        <v>parlor_Indu_Shell_T7_003</v>
      </c>
      <c r="B147" s="15" t="str">
        <f t="shared" si="6"/>
        <v>T7 대형 포탄공장</v>
      </c>
      <c r="C147" s="15">
        <f>VLOOKUP(D147, Factor!$AM$41:$AN$50, 2, 0)</f>
        <v>35000</v>
      </c>
      <c r="D147" s="15" t="s">
        <v>303</v>
      </c>
      <c r="E147" s="56" t="s">
        <v>583</v>
      </c>
      <c r="F147" s="56" t="s">
        <v>697</v>
      </c>
      <c r="G147" s="15" t="str">
        <f t="shared" si="7"/>
        <v>대형 포탄공장</v>
      </c>
      <c r="H147" s="15" t="str">
        <f>VLOOKUP(F147, Factor!$CO$4:$CR$10, 2, 0)</f>
        <v>공업</v>
      </c>
      <c r="I147" s="15" t="str">
        <f>VLOOKUP(F147, Factor!$CO$4:$CR$10, 3, 0)</f>
        <v>shell</v>
      </c>
      <c r="J147" s="15">
        <v>1</v>
      </c>
      <c r="K147" s="15">
        <v>1</v>
      </c>
      <c r="L147" s="15">
        <v>1</v>
      </c>
      <c r="M147" s="15">
        <v>1</v>
      </c>
      <c r="N147" s="15">
        <v>1</v>
      </c>
      <c r="O147" s="15" cm="1">
        <f t="array" ref="O147">J147*VLOOKUP($H147, Factor!$AN$4:$AS$36, 2, 0)*INDEX(Factor!$AN$41:$AS$87, _xlfn.XMATCH($C147, Factor!$AN$41:$AN$87, -1), 2)*IFERROR(VLOOKUP($I147, Factor!$AU$4:$AX$9, 2, 0),1)</f>
        <v>0</v>
      </c>
      <c r="P147" s="15" cm="1">
        <f t="array" ref="P147">K147*VLOOKUP($H147, Factor!$AN$4:$AS$36, 3, 0)*INDEX(Factor!$AN$41:$AS$87, _xlfn.XMATCH($C147, Factor!$AN$41:$AN$87, -1), 3)*IFERROR(VLOOKUP($I147, Factor!$AU$4:$AX$9, 3, 0),1)</f>
        <v>11</v>
      </c>
      <c r="Q147" s="15" cm="1">
        <f t="array" ref="Q147">L147*VLOOKUP($H147, Factor!$AN$4:$AS$36, 4, 0)*INDEX(Factor!$AN$41:$AS$87, _xlfn.XMATCH($C147, Factor!$AN$41:$AN$87, -1), 4)</f>
        <v>0</v>
      </c>
      <c r="R147" s="15" cm="1">
        <f t="array" ref="R147">M147*VLOOKUP($H147, Factor!$AN$4:$AS$36, 5, 0)*INDEX(Factor!$AN$41:$AS$87, _xlfn.XMATCH($C147, Factor!$AN$41:$AN$87, -1), 5)</f>
        <v>0</v>
      </c>
      <c r="S147" s="15" cm="1">
        <f t="array" ref="S147">N147*VLOOKUP($H147, Factor!$AN$4:$AS$36, 6, 0)*INDEX(Factor!$AN$41:$AS$87, _xlfn.XMATCH($C147, Factor!$AN$41:$AN$87, -1), 6)*IFERROR(VLOOKUP($I147, Factor!$AU$4:$AX$9, 4, 0),1)</f>
        <v>13200</v>
      </c>
      <c r="T147" s="16"/>
    </row>
    <row r="148" spans="1:20" ht="15.75" customHeight="1" x14ac:dyDescent="0.2">
      <c r="A148" s="17" t="str">
        <f>"parlor_"&amp;VLOOKUP(F148, Factor!$CO$4:$CR$10, 4, 0)&amp;D148&amp;"_"&amp;VLOOKUP(E148, Factor!$CS$4:$CT$13, 2, 0)</f>
        <v>parlor_Indu_Missile_T7_003</v>
      </c>
      <c r="B148" s="18" t="str">
        <f t="shared" si="6"/>
        <v>T7 대형 미사일공장</v>
      </c>
      <c r="C148" s="18">
        <f>VLOOKUP(D148, Factor!$AM$41:$AN$50, 2, 0)</f>
        <v>35000</v>
      </c>
      <c r="D148" s="18" t="s">
        <v>303</v>
      </c>
      <c r="E148" s="55" t="s">
        <v>583</v>
      </c>
      <c r="F148" s="55" t="s">
        <v>698</v>
      </c>
      <c r="G148" s="18" t="str">
        <f t="shared" si="7"/>
        <v>대형 미사일공장</v>
      </c>
      <c r="H148" s="18" t="str">
        <f>VLOOKUP(F148, Factor!$CO$4:$CR$10, 2, 0)</f>
        <v>공업</v>
      </c>
      <c r="I148" s="18" t="str">
        <f>VLOOKUP(F148, Factor!$CO$4:$CR$10, 3, 0)</f>
        <v>missile</v>
      </c>
      <c r="J148" s="18">
        <v>1</v>
      </c>
      <c r="K148" s="18">
        <v>1</v>
      </c>
      <c r="L148" s="18">
        <v>1</v>
      </c>
      <c r="M148" s="18">
        <v>1</v>
      </c>
      <c r="N148" s="18">
        <v>1</v>
      </c>
      <c r="O148" s="18" cm="1">
        <f t="array" ref="O148">J148*VLOOKUP($H148, Factor!$AN$4:$AS$36, 2, 0)*INDEX(Factor!$AN$41:$AS$87, _xlfn.XMATCH($C148, Factor!$AN$41:$AN$87, -1), 2)*IFERROR(VLOOKUP($I148, Factor!$AU$4:$AX$9, 2, 0),1)</f>
        <v>0</v>
      </c>
      <c r="P148" s="18" cm="1">
        <f t="array" ref="P148">K148*VLOOKUP($H148, Factor!$AN$4:$AS$36, 3, 0)*INDEX(Factor!$AN$41:$AS$87, _xlfn.XMATCH($C148, Factor!$AN$41:$AN$87, -1), 3)*IFERROR(VLOOKUP($I148, Factor!$AU$4:$AX$9, 3, 0),1)</f>
        <v>4.4000000000000004</v>
      </c>
      <c r="Q148" s="18" cm="1">
        <f t="array" ref="Q148">L148*VLOOKUP($H148, Factor!$AN$4:$AS$36, 4, 0)*INDEX(Factor!$AN$41:$AS$87, _xlfn.XMATCH($C148, Factor!$AN$41:$AN$87, -1), 4)</f>
        <v>0</v>
      </c>
      <c r="R148" s="18" cm="1">
        <f t="array" ref="R148">M148*VLOOKUP($H148, Factor!$AN$4:$AS$36, 5, 0)*INDEX(Factor!$AN$41:$AS$87, _xlfn.XMATCH($C148, Factor!$AN$41:$AN$87, -1), 5)</f>
        <v>0</v>
      </c>
      <c r="S148" s="18" cm="1">
        <f t="array" ref="S148">N148*VLOOKUP($H148, Factor!$AN$4:$AS$36, 6, 0)*INDEX(Factor!$AN$41:$AS$87, _xlfn.XMATCH($C148, Factor!$AN$41:$AN$87, -1), 6)*IFERROR(VLOOKUP($I148, Factor!$AU$4:$AX$9, 4, 0),1)</f>
        <v>14300</v>
      </c>
      <c r="T148" s="19"/>
    </row>
    <row r="149" spans="1:20" ht="15.75" customHeight="1" x14ac:dyDescent="0.2">
      <c r="A149" s="14" t="str">
        <f>"parlor_"&amp;VLOOKUP(F149, Factor!$CO$4:$CR$10, 4, 0)&amp;D149&amp;"_"&amp;VLOOKUP(E149, Factor!$CS$4:$CT$13, 2, 0)</f>
        <v>parlor_Indu_Siecleium_T7_003</v>
      </c>
      <c r="B149" s="15" t="str">
        <f t="shared" si="6"/>
        <v>T7 대형 서클리움 정제소</v>
      </c>
      <c r="C149" s="15">
        <f>VLOOKUP(D149, Factor!$AM$41:$AN$50, 2, 0)</f>
        <v>35000</v>
      </c>
      <c r="D149" s="15" t="s">
        <v>303</v>
      </c>
      <c r="E149" s="56" t="s">
        <v>583</v>
      </c>
      <c r="F149" s="56" t="s">
        <v>702</v>
      </c>
      <c r="G149" s="15" t="str">
        <f t="shared" si="7"/>
        <v>대형 서클리움 정제소</v>
      </c>
      <c r="H149" s="15" t="str">
        <f>VLOOKUP(F149, Factor!$CO$4:$CR$10, 2, 0)</f>
        <v>공업</v>
      </c>
      <c r="I149" s="15" t="str">
        <f>VLOOKUP(F149, Factor!$CO$4:$CR$10, 3, 0)</f>
        <v>siecleium</v>
      </c>
      <c r="J149" s="15">
        <v>1</v>
      </c>
      <c r="K149" s="15">
        <v>1</v>
      </c>
      <c r="L149" s="15">
        <v>1</v>
      </c>
      <c r="M149" s="15">
        <v>1</v>
      </c>
      <c r="N149" s="15">
        <v>1</v>
      </c>
      <c r="O149" s="15" cm="1">
        <f t="array" ref="O149">J149*VLOOKUP($H149, Factor!$AN$4:$AS$36, 2, 0)*INDEX(Factor!$AN$41:$AS$87, _xlfn.XMATCH($C149, Factor!$AN$41:$AN$87, -1), 2)*IFERROR(VLOOKUP($I149, Factor!$AU$4:$AX$9, 2, 0),1)</f>
        <v>0</v>
      </c>
      <c r="P149" s="15" cm="1">
        <f t="array" ref="P149">K149*VLOOKUP($H149, Factor!$AN$4:$AS$36, 3, 0)*INDEX(Factor!$AN$41:$AS$87, _xlfn.XMATCH($C149, Factor!$AN$41:$AN$87, -1), 3)*IFERROR(VLOOKUP($I149, Factor!$AU$4:$AX$9, 3, 0),1)</f>
        <v>22</v>
      </c>
      <c r="Q149" s="15" cm="1">
        <f t="array" ref="Q149">L149*VLOOKUP($H149, Factor!$AN$4:$AS$36, 4, 0)*INDEX(Factor!$AN$41:$AS$87, _xlfn.XMATCH($C149, Factor!$AN$41:$AN$87, -1), 4)</f>
        <v>0</v>
      </c>
      <c r="R149" s="15" cm="1">
        <f t="array" ref="R149">M149*VLOOKUP($H149, Factor!$AN$4:$AS$36, 5, 0)*INDEX(Factor!$AN$41:$AS$87, _xlfn.XMATCH($C149, Factor!$AN$41:$AN$87, -1), 5)</f>
        <v>0</v>
      </c>
      <c r="S149" s="15" cm="1">
        <f t="array" ref="S149">N149*VLOOKUP($H149, Factor!$AN$4:$AS$36, 6, 0)*INDEX(Factor!$AN$41:$AS$87, _xlfn.XMATCH($C149, Factor!$AN$41:$AN$87, -1), 6)*IFERROR(VLOOKUP($I149, Factor!$AU$4:$AX$9, 4, 0),1)</f>
        <v>11000</v>
      </c>
      <c r="T149" s="16"/>
    </row>
    <row r="150" spans="1:20" ht="15.75" customHeight="1" x14ac:dyDescent="0.2">
      <c r="A150" s="17" t="str">
        <f>"parlor_"&amp;VLOOKUP(F150, Factor!$CO$4:$CR$10, 4, 0)&amp;D150&amp;"_"&amp;VLOOKUP(E150, Factor!$CS$4:$CT$13, 2, 0)</f>
        <v>parlor_Trans_Inven_T7_003</v>
      </c>
      <c r="B150" s="18" t="str">
        <f t="shared" si="6"/>
        <v>T7 대형 화물 수송 칸</v>
      </c>
      <c r="C150" s="18">
        <f>VLOOKUP(D150, Factor!$AM$41:$AN$50, 2, 0)</f>
        <v>35000</v>
      </c>
      <c r="D150" s="18" t="s">
        <v>303</v>
      </c>
      <c r="E150" s="55" t="s">
        <v>583</v>
      </c>
      <c r="F150" s="55" t="s">
        <v>703</v>
      </c>
      <c r="G150" s="18" t="str">
        <f t="shared" si="7"/>
        <v>대형 화물 수송 칸</v>
      </c>
      <c r="H150" s="18" t="str">
        <f>VLOOKUP(F150, Factor!$CO$4:$CR$10, 2, 0)</f>
        <v>물자수송</v>
      </c>
      <c r="I150" s="18" t="str">
        <f>VLOOKUP(F150, Factor!$CO$4:$CR$10, 3, 0)</f>
        <v>null</v>
      </c>
      <c r="J150" s="18">
        <v>1</v>
      </c>
      <c r="K150" s="18">
        <v>1</v>
      </c>
      <c r="L150" s="18">
        <v>1</v>
      </c>
      <c r="M150" s="18">
        <v>1</v>
      </c>
      <c r="N150" s="18">
        <v>1</v>
      </c>
      <c r="O150" s="18" cm="1">
        <f t="array" ref="O150">J150*VLOOKUP($H150, Factor!$AN$4:$AS$36, 2, 0)*INDEX(Factor!$AN$41:$AS$87, _xlfn.XMATCH($C150, Factor!$AN$41:$AN$87, -1), 2)*IFERROR(VLOOKUP($I150, Factor!$AU$4:$AX$9, 2, 0),1)</f>
        <v>0</v>
      </c>
      <c r="P150" s="18" cm="1">
        <f t="array" ref="P150">K150*VLOOKUP($H150, Factor!$AN$4:$AS$36, 3, 0)*INDEX(Factor!$AN$41:$AS$87, _xlfn.XMATCH($C150, Factor!$AN$41:$AN$87, -1), 3)*IFERROR(VLOOKUP($I150, Factor!$AU$4:$AX$9, 3, 0),1)</f>
        <v>0</v>
      </c>
      <c r="Q150" s="18" cm="1">
        <f t="array" ref="Q150">L150*VLOOKUP($H150, Factor!$AN$4:$AS$36, 4, 0)*INDEX(Factor!$AN$41:$AS$87, _xlfn.XMATCH($C150, Factor!$AN$41:$AN$87, -1), 4)</f>
        <v>4.4000000000000004</v>
      </c>
      <c r="R150" s="18" cm="1">
        <f t="array" ref="R150">M150*VLOOKUP($H150, Factor!$AN$4:$AS$36, 5, 0)*INDEX(Factor!$AN$41:$AS$87, _xlfn.XMATCH($C150, Factor!$AN$41:$AN$87, -1), 5)</f>
        <v>0</v>
      </c>
      <c r="S150" s="18" cm="1">
        <f t="array" ref="S150">N150*VLOOKUP($H150, Factor!$AN$4:$AS$36, 6, 0)*INDEX(Factor!$AN$41:$AS$87, _xlfn.XMATCH($C150, Factor!$AN$41:$AN$87, -1), 6)*IFERROR(VLOOKUP($I150, Factor!$AU$4:$AX$9, 4, 0),1)</f>
        <v>4400</v>
      </c>
      <c r="T150" s="19"/>
    </row>
    <row r="151" spans="1:20" ht="15.75" customHeight="1" x14ac:dyDescent="0.2">
      <c r="A151" s="14" t="str">
        <f>"parlor_"&amp;VLOOKUP(F151, Factor!$CO$4:$CR$10, 4, 0)&amp;D151&amp;"_"&amp;VLOOKUP(E151, Factor!$CS$4:$CT$13, 2, 0)</f>
        <v>parlor_Trans_Pass_T7_003</v>
      </c>
      <c r="B151" s="15" t="str">
        <f t="shared" si="6"/>
        <v>T7 대형 인원 수송 칸</v>
      </c>
      <c r="C151" s="15">
        <f>VLOOKUP(D151, Factor!$AM$41:$AN$50, 2, 0)</f>
        <v>35000</v>
      </c>
      <c r="D151" s="15" t="s">
        <v>303</v>
      </c>
      <c r="E151" s="56" t="s">
        <v>583</v>
      </c>
      <c r="F151" s="56" t="s">
        <v>704</v>
      </c>
      <c r="G151" s="15" t="str">
        <f t="shared" si="7"/>
        <v>대형 인원 수송 칸</v>
      </c>
      <c r="H151" s="15" t="str">
        <f>VLOOKUP(F151, Factor!$CO$4:$CR$10, 2, 0)</f>
        <v>인원수송</v>
      </c>
      <c r="I151" s="15" t="str">
        <f>VLOOKUP(F151, Factor!$CO$4:$CR$10, 3, 0)</f>
        <v>null</v>
      </c>
      <c r="J151" s="15">
        <v>1</v>
      </c>
      <c r="K151" s="15">
        <v>1</v>
      </c>
      <c r="L151" s="15">
        <v>1</v>
      </c>
      <c r="M151" s="15">
        <v>1</v>
      </c>
      <c r="N151" s="15">
        <v>1</v>
      </c>
      <c r="O151" s="15" cm="1">
        <f t="array" ref="O151">J151*VLOOKUP($H151, Factor!$AN$4:$AS$36, 2, 0)*INDEX(Factor!$AN$41:$AS$87, _xlfn.XMATCH($C151, Factor!$AN$41:$AN$87, -1), 2)*IFERROR(VLOOKUP($I151, Factor!$AU$4:$AX$9, 2, 0),1)</f>
        <v>0</v>
      </c>
      <c r="P151" s="15" cm="1">
        <f t="array" ref="P151">K151*VLOOKUP($H151, Factor!$AN$4:$AS$36, 3, 0)*INDEX(Factor!$AN$41:$AS$87, _xlfn.XMATCH($C151, Factor!$AN$41:$AN$87, -1), 3)*IFERROR(VLOOKUP($I151, Factor!$AU$4:$AX$9, 3, 0),1)</f>
        <v>0</v>
      </c>
      <c r="Q151" s="15" cm="1">
        <f t="array" ref="Q151">L151*VLOOKUP($H151, Factor!$AN$4:$AS$36, 4, 0)*INDEX(Factor!$AN$41:$AS$87, _xlfn.XMATCH($C151, Factor!$AN$41:$AN$87, -1), 4)</f>
        <v>0</v>
      </c>
      <c r="R151" s="15" cm="1">
        <f t="array" ref="R151">M151*VLOOKUP($H151, Factor!$AN$4:$AS$36, 5, 0)*INDEX(Factor!$AN$41:$AS$87, _xlfn.XMATCH($C151, Factor!$AN$41:$AN$87, -1), 5)</f>
        <v>8.8000000000000007</v>
      </c>
      <c r="S151" s="15" cm="1">
        <f t="array" ref="S151">N151*VLOOKUP($H151, Factor!$AN$4:$AS$36, 6, 0)*INDEX(Factor!$AN$41:$AS$87, _xlfn.XMATCH($C151, Factor!$AN$41:$AN$87, -1), 6)*IFERROR(VLOOKUP($I151, Factor!$AU$4:$AX$9, 4, 0),1)</f>
        <v>2200</v>
      </c>
      <c r="T151" s="16"/>
    </row>
    <row r="152" spans="1:20" ht="15.75" customHeight="1" x14ac:dyDescent="0.2">
      <c r="A152" s="17" t="str">
        <f>"parlor_"&amp;VLOOKUP(F152, Factor!$CO$4:$CR$10, 4, 0)&amp;D152&amp;"_"&amp;VLOOKUP(E152, Factor!$CS$4:$CT$13, 2, 0)</f>
        <v>parlor_Prod_Food_T8_001</v>
      </c>
      <c r="B152" s="18" t="str">
        <f t="shared" si="6"/>
        <v>T8 표준 스마트팜</v>
      </c>
      <c r="C152" s="18">
        <f>VLOOKUP(D152, Factor!$AM$41:$AN$50, 2, 0)</f>
        <v>40000</v>
      </c>
      <c r="D152" s="18" t="s">
        <v>326</v>
      </c>
      <c r="E152" s="55" t="s">
        <v>582</v>
      </c>
      <c r="F152" s="55" t="s">
        <v>695</v>
      </c>
      <c r="G152" s="18" t="str">
        <f t="shared" si="7"/>
        <v>표준 스마트팜</v>
      </c>
      <c r="H152" s="18" t="str">
        <f>VLOOKUP(F152, Factor!$CO$4:$CR$10, 2, 0)</f>
        <v>생산</v>
      </c>
      <c r="I152" s="18" t="str">
        <f>VLOOKUP(F152, Factor!$CO$4:$CR$10, 3, 0)</f>
        <v>food</v>
      </c>
      <c r="J152" s="18">
        <v>1</v>
      </c>
      <c r="K152" s="18">
        <v>1</v>
      </c>
      <c r="L152" s="18">
        <v>1</v>
      </c>
      <c r="M152" s="18">
        <v>1</v>
      </c>
      <c r="N152" s="18">
        <v>1</v>
      </c>
      <c r="O152" s="18" cm="1">
        <f t="array" ref="O152">J152*VLOOKUP($H152, Factor!$AN$4:$AS$36, 2, 0)*INDEX(Factor!$AN$41:$AS$87, _xlfn.XMATCH($C152, Factor!$AN$41:$AN$87, -1), 2)*IFERROR(VLOOKUP($I152, Factor!$AU$4:$AX$9, 2, 0),1)</f>
        <v>24</v>
      </c>
      <c r="P152" s="18" cm="1">
        <f t="array" ref="P152">K152*VLOOKUP($H152, Factor!$AN$4:$AS$36, 3, 0)*INDEX(Factor!$AN$41:$AS$87, _xlfn.XMATCH($C152, Factor!$AN$41:$AN$87, -1), 3)*IFERROR(VLOOKUP($I152, Factor!$AU$4:$AX$9, 3, 0),1)</f>
        <v>0</v>
      </c>
      <c r="Q152" s="18" cm="1">
        <f t="array" ref="Q152">L152*VLOOKUP($H152, Factor!$AN$4:$AS$36, 4, 0)*INDEX(Factor!$AN$41:$AS$87, _xlfn.XMATCH($C152, Factor!$AN$41:$AN$87, -1), 4)</f>
        <v>2.4</v>
      </c>
      <c r="R152" s="18" cm="1">
        <f t="array" ref="R152">M152*VLOOKUP($H152, Factor!$AN$4:$AS$36, 5, 0)*INDEX(Factor!$AN$41:$AS$87, _xlfn.XMATCH($C152, Factor!$AN$41:$AN$87, -1), 5)</f>
        <v>2.4</v>
      </c>
      <c r="S152" s="18" cm="1">
        <f t="array" ref="S152">N152*VLOOKUP($H152, Factor!$AN$4:$AS$36, 6, 0)*INDEX(Factor!$AN$41:$AS$87, _xlfn.XMATCH($C152, Factor!$AN$41:$AN$87, -1), 6)*IFERROR(VLOOKUP($I152, Factor!$AU$4:$AX$9, 4, 0),1)</f>
        <v>12000</v>
      </c>
      <c r="T152" s="19"/>
    </row>
    <row r="153" spans="1:20" ht="15.75" customHeight="1" x14ac:dyDescent="0.2">
      <c r="A153" s="14" t="str">
        <f>"parlor_"&amp;VLOOKUP(F153, Factor!$CO$4:$CR$10, 4, 0)&amp;D153&amp;"_"&amp;VLOOKUP(E153, Factor!$CS$4:$CT$13, 2, 0)</f>
        <v>parlor_Indu_Ammo_T8_001</v>
      </c>
      <c r="B153" s="15" t="str">
        <f t="shared" si="6"/>
        <v>T8 표준 탄약공장</v>
      </c>
      <c r="C153" s="15">
        <f>VLOOKUP(D153, Factor!$AM$41:$AN$50, 2, 0)</f>
        <v>40000</v>
      </c>
      <c r="D153" s="15" t="s">
        <v>326</v>
      </c>
      <c r="E153" s="56" t="s">
        <v>582</v>
      </c>
      <c r="F153" s="56" t="s">
        <v>696</v>
      </c>
      <c r="G153" s="15" t="str">
        <f t="shared" si="7"/>
        <v>표준 탄약공장</v>
      </c>
      <c r="H153" s="15" t="str">
        <f>VLOOKUP(F153, Factor!$CO$4:$CR$10, 2, 0)</f>
        <v>공업</v>
      </c>
      <c r="I153" s="15" t="str">
        <f>VLOOKUP(F153, Factor!$CO$4:$CR$10, 3, 0)</f>
        <v>ammo</v>
      </c>
      <c r="J153" s="15">
        <v>1</v>
      </c>
      <c r="K153" s="15">
        <v>1</v>
      </c>
      <c r="L153" s="15">
        <v>1</v>
      </c>
      <c r="M153" s="15">
        <v>1</v>
      </c>
      <c r="N153" s="15">
        <v>1</v>
      </c>
      <c r="O153" s="15" cm="1">
        <f t="array" ref="O153">J153*VLOOKUP($H153, Factor!$AN$4:$AS$36, 2, 0)*INDEX(Factor!$AN$41:$AS$87, _xlfn.XMATCH($C153, Factor!$AN$41:$AN$87, -1), 2)*IFERROR(VLOOKUP($I153, Factor!$AU$4:$AX$9, 2, 0),1)</f>
        <v>0</v>
      </c>
      <c r="P153" s="15" cm="1">
        <f t="array" ref="P153">K153*VLOOKUP($H153, Factor!$AN$4:$AS$36, 3, 0)*INDEX(Factor!$AN$41:$AS$87, _xlfn.XMATCH($C153, Factor!$AN$41:$AN$87, -1), 3)*IFERROR(VLOOKUP($I153, Factor!$AU$4:$AX$9, 3, 0),1)</f>
        <v>24</v>
      </c>
      <c r="Q153" s="15" cm="1">
        <f t="array" ref="Q153">L153*VLOOKUP($H153, Factor!$AN$4:$AS$36, 4, 0)*INDEX(Factor!$AN$41:$AS$87, _xlfn.XMATCH($C153, Factor!$AN$41:$AN$87, -1), 4)</f>
        <v>0</v>
      </c>
      <c r="R153" s="15" cm="1">
        <f t="array" ref="R153">M153*VLOOKUP($H153, Factor!$AN$4:$AS$36, 5, 0)*INDEX(Factor!$AN$41:$AS$87, _xlfn.XMATCH($C153, Factor!$AN$41:$AN$87, -1), 5)</f>
        <v>0</v>
      </c>
      <c r="S153" s="15" cm="1">
        <f t="array" ref="S153">N153*VLOOKUP($H153, Factor!$AN$4:$AS$36, 6, 0)*INDEX(Factor!$AN$41:$AS$87, _xlfn.XMATCH($C153, Factor!$AN$41:$AN$87, -1), 6)*IFERROR(VLOOKUP($I153, Factor!$AU$4:$AX$9, 4, 0),1)</f>
        <v>12000</v>
      </c>
      <c r="T153" s="16"/>
    </row>
    <row r="154" spans="1:20" ht="15.75" customHeight="1" x14ac:dyDescent="0.2">
      <c r="A154" s="17" t="str">
        <f>"parlor_"&amp;VLOOKUP(F154, Factor!$CO$4:$CR$10, 4, 0)&amp;D154&amp;"_"&amp;VLOOKUP(E154, Factor!$CS$4:$CT$13, 2, 0)</f>
        <v>parlor_Indu_Shell_T8_001</v>
      </c>
      <c r="B154" s="18" t="str">
        <f t="shared" si="6"/>
        <v>T8 표준 포탄공장</v>
      </c>
      <c r="C154" s="18">
        <f>VLOOKUP(D154, Factor!$AM$41:$AN$50, 2, 0)</f>
        <v>40000</v>
      </c>
      <c r="D154" s="18" t="s">
        <v>304</v>
      </c>
      <c r="E154" s="55" t="s">
        <v>582</v>
      </c>
      <c r="F154" s="55" t="s">
        <v>697</v>
      </c>
      <c r="G154" s="18" t="str">
        <f t="shared" si="7"/>
        <v>표준 포탄공장</v>
      </c>
      <c r="H154" s="18" t="str">
        <f>VLOOKUP(F154, Factor!$CO$4:$CR$10, 2, 0)</f>
        <v>공업</v>
      </c>
      <c r="I154" s="18" t="str">
        <f>VLOOKUP(F154, Factor!$CO$4:$CR$10, 3, 0)</f>
        <v>shell</v>
      </c>
      <c r="J154" s="18">
        <v>1</v>
      </c>
      <c r="K154" s="18">
        <v>1</v>
      </c>
      <c r="L154" s="18">
        <v>1</v>
      </c>
      <c r="M154" s="18">
        <v>1</v>
      </c>
      <c r="N154" s="18">
        <v>1</v>
      </c>
      <c r="O154" s="18" cm="1">
        <f t="array" ref="O154">J154*VLOOKUP($H154, Factor!$AN$4:$AS$36, 2, 0)*INDEX(Factor!$AN$41:$AS$87, _xlfn.XMATCH($C154, Factor!$AN$41:$AN$87, -1), 2)*IFERROR(VLOOKUP($I154, Factor!$AU$4:$AX$9, 2, 0),1)</f>
        <v>0</v>
      </c>
      <c r="P154" s="18" cm="1">
        <f t="array" ref="P154">K154*VLOOKUP($H154, Factor!$AN$4:$AS$36, 3, 0)*INDEX(Factor!$AN$41:$AS$87, _xlfn.XMATCH($C154, Factor!$AN$41:$AN$87, -1), 3)*IFERROR(VLOOKUP($I154, Factor!$AU$4:$AX$9, 3, 0),1)</f>
        <v>12</v>
      </c>
      <c r="Q154" s="18" cm="1">
        <f t="array" ref="Q154">L154*VLOOKUP($H154, Factor!$AN$4:$AS$36, 4, 0)*INDEX(Factor!$AN$41:$AS$87, _xlfn.XMATCH($C154, Factor!$AN$41:$AN$87, -1), 4)</f>
        <v>0</v>
      </c>
      <c r="R154" s="18" cm="1">
        <f t="array" ref="R154">M154*VLOOKUP($H154, Factor!$AN$4:$AS$36, 5, 0)*INDEX(Factor!$AN$41:$AS$87, _xlfn.XMATCH($C154, Factor!$AN$41:$AN$87, -1), 5)</f>
        <v>0</v>
      </c>
      <c r="S154" s="18" cm="1">
        <f t="array" ref="S154">N154*VLOOKUP($H154, Factor!$AN$4:$AS$36, 6, 0)*INDEX(Factor!$AN$41:$AS$87, _xlfn.XMATCH($C154, Factor!$AN$41:$AN$87, -1), 6)*IFERROR(VLOOKUP($I154, Factor!$AU$4:$AX$9, 4, 0),1)</f>
        <v>14400</v>
      </c>
      <c r="T154" s="19"/>
    </row>
    <row r="155" spans="1:20" ht="15.75" customHeight="1" x14ac:dyDescent="0.2">
      <c r="A155" s="14" t="str">
        <f>"parlor_"&amp;VLOOKUP(F155, Factor!$CO$4:$CR$10, 4, 0)&amp;D155&amp;"_"&amp;VLOOKUP(E155, Factor!$CS$4:$CT$13, 2, 0)</f>
        <v>parlor_Indu_Missile_T8_001</v>
      </c>
      <c r="B155" s="15" t="str">
        <f t="shared" si="6"/>
        <v>T8 표준 미사일공장</v>
      </c>
      <c r="C155" s="15">
        <f>VLOOKUP(D155, Factor!$AM$41:$AN$50, 2, 0)</f>
        <v>40000</v>
      </c>
      <c r="D155" s="15" t="s">
        <v>304</v>
      </c>
      <c r="E155" s="56" t="s">
        <v>582</v>
      </c>
      <c r="F155" s="56" t="s">
        <v>698</v>
      </c>
      <c r="G155" s="15" t="str">
        <f t="shared" si="7"/>
        <v>표준 미사일공장</v>
      </c>
      <c r="H155" s="15" t="str">
        <f>VLOOKUP(F155, Factor!$CO$4:$CR$10, 2, 0)</f>
        <v>공업</v>
      </c>
      <c r="I155" s="15" t="str">
        <f>VLOOKUP(F155, Factor!$CO$4:$CR$10, 3, 0)</f>
        <v>missile</v>
      </c>
      <c r="J155" s="15">
        <v>1</v>
      </c>
      <c r="K155" s="15">
        <v>1</v>
      </c>
      <c r="L155" s="15">
        <v>1</v>
      </c>
      <c r="M155" s="15">
        <v>1</v>
      </c>
      <c r="N155" s="15">
        <v>1</v>
      </c>
      <c r="O155" s="15" cm="1">
        <f t="array" ref="O155">J155*VLOOKUP($H155, Factor!$AN$4:$AS$36, 2, 0)*INDEX(Factor!$AN$41:$AS$87, _xlfn.XMATCH($C155, Factor!$AN$41:$AN$87, -1), 2)*IFERROR(VLOOKUP($I155, Factor!$AU$4:$AX$9, 2, 0),1)</f>
        <v>0</v>
      </c>
      <c r="P155" s="15" cm="1">
        <f t="array" ref="P155">K155*VLOOKUP($H155, Factor!$AN$4:$AS$36, 3, 0)*INDEX(Factor!$AN$41:$AS$87, _xlfn.XMATCH($C155, Factor!$AN$41:$AN$87, -1), 3)*IFERROR(VLOOKUP($I155, Factor!$AU$4:$AX$9, 3, 0),1)</f>
        <v>4.8</v>
      </c>
      <c r="Q155" s="15" cm="1">
        <f t="array" ref="Q155">L155*VLOOKUP($H155, Factor!$AN$4:$AS$36, 4, 0)*INDEX(Factor!$AN$41:$AS$87, _xlfn.XMATCH($C155, Factor!$AN$41:$AN$87, -1), 4)</f>
        <v>0</v>
      </c>
      <c r="R155" s="15" cm="1">
        <f t="array" ref="R155">M155*VLOOKUP($H155, Factor!$AN$4:$AS$36, 5, 0)*INDEX(Factor!$AN$41:$AS$87, _xlfn.XMATCH($C155, Factor!$AN$41:$AN$87, -1), 5)</f>
        <v>0</v>
      </c>
      <c r="S155" s="15" cm="1">
        <f t="array" ref="S155">N155*VLOOKUP($H155, Factor!$AN$4:$AS$36, 6, 0)*INDEX(Factor!$AN$41:$AS$87, _xlfn.XMATCH($C155, Factor!$AN$41:$AN$87, -1), 6)*IFERROR(VLOOKUP($I155, Factor!$AU$4:$AX$9, 4, 0),1)</f>
        <v>15600</v>
      </c>
      <c r="T155" s="16"/>
    </row>
    <row r="156" spans="1:20" ht="15.75" customHeight="1" x14ac:dyDescent="0.2">
      <c r="A156" s="17" t="str">
        <f>"parlor_"&amp;VLOOKUP(F156, Factor!$CO$4:$CR$10, 4, 0)&amp;D156&amp;"_"&amp;VLOOKUP(E156, Factor!$CS$4:$CT$13, 2, 0)</f>
        <v>parlor_Indu_Siecleium_T8_001</v>
      </c>
      <c r="B156" s="18" t="str">
        <f t="shared" si="6"/>
        <v>T8 표준 서클리움 정제소</v>
      </c>
      <c r="C156" s="18">
        <f>VLOOKUP(D156, Factor!$AM$41:$AN$50, 2, 0)</f>
        <v>40000</v>
      </c>
      <c r="D156" s="18" t="s">
        <v>304</v>
      </c>
      <c r="E156" s="55" t="s">
        <v>582</v>
      </c>
      <c r="F156" s="55" t="s">
        <v>702</v>
      </c>
      <c r="G156" s="18" t="str">
        <f t="shared" si="7"/>
        <v>표준 서클리움 정제소</v>
      </c>
      <c r="H156" s="18" t="str">
        <f>VLOOKUP(F156, Factor!$CO$4:$CR$10, 2, 0)</f>
        <v>공업</v>
      </c>
      <c r="I156" s="18" t="str">
        <f>VLOOKUP(F156, Factor!$CO$4:$CR$10, 3, 0)</f>
        <v>siecleium</v>
      </c>
      <c r="J156" s="18">
        <v>1</v>
      </c>
      <c r="K156" s="18">
        <v>1</v>
      </c>
      <c r="L156" s="18">
        <v>1</v>
      </c>
      <c r="M156" s="18">
        <v>1</v>
      </c>
      <c r="N156" s="18">
        <v>1</v>
      </c>
      <c r="O156" s="18" cm="1">
        <f t="array" ref="O156">J156*VLOOKUP($H156, Factor!$AN$4:$AS$36, 2, 0)*INDEX(Factor!$AN$41:$AS$87, _xlfn.XMATCH($C156, Factor!$AN$41:$AN$87, -1), 2)*IFERROR(VLOOKUP($I156, Factor!$AU$4:$AX$9, 2, 0),1)</f>
        <v>0</v>
      </c>
      <c r="P156" s="18" cm="1">
        <f t="array" ref="P156">K156*VLOOKUP($H156, Factor!$AN$4:$AS$36, 3, 0)*INDEX(Factor!$AN$41:$AS$87, _xlfn.XMATCH($C156, Factor!$AN$41:$AN$87, -1), 3)*IFERROR(VLOOKUP($I156, Factor!$AU$4:$AX$9, 3, 0),1)</f>
        <v>24</v>
      </c>
      <c r="Q156" s="18" cm="1">
        <f t="array" ref="Q156">L156*VLOOKUP($H156, Factor!$AN$4:$AS$36, 4, 0)*INDEX(Factor!$AN$41:$AS$87, _xlfn.XMATCH($C156, Factor!$AN$41:$AN$87, -1), 4)</f>
        <v>0</v>
      </c>
      <c r="R156" s="18" cm="1">
        <f t="array" ref="R156">M156*VLOOKUP($H156, Factor!$AN$4:$AS$36, 5, 0)*INDEX(Factor!$AN$41:$AS$87, _xlfn.XMATCH($C156, Factor!$AN$41:$AN$87, -1), 5)</f>
        <v>0</v>
      </c>
      <c r="S156" s="18" cm="1">
        <f t="array" ref="S156">N156*VLOOKUP($H156, Factor!$AN$4:$AS$36, 6, 0)*INDEX(Factor!$AN$41:$AS$87, _xlfn.XMATCH($C156, Factor!$AN$41:$AN$87, -1), 6)*IFERROR(VLOOKUP($I156, Factor!$AU$4:$AX$9, 4, 0),1)</f>
        <v>12000</v>
      </c>
      <c r="T156" s="19"/>
    </row>
    <row r="157" spans="1:20" ht="15.75" customHeight="1" x14ac:dyDescent="0.2">
      <c r="A157" s="14" t="str">
        <f>"parlor_"&amp;VLOOKUP(F157, Factor!$CO$4:$CR$10, 4, 0)&amp;D157&amp;"_"&amp;VLOOKUP(E157, Factor!$CS$4:$CT$13, 2, 0)</f>
        <v>parlor_Trans_Inven_T8_001</v>
      </c>
      <c r="B157" s="15" t="str">
        <f t="shared" si="6"/>
        <v>T8 표준 화물 수송 칸</v>
      </c>
      <c r="C157" s="15">
        <f>VLOOKUP(D157, Factor!$AM$41:$AN$50, 2, 0)</f>
        <v>40000</v>
      </c>
      <c r="D157" s="15" t="s">
        <v>304</v>
      </c>
      <c r="E157" s="56" t="s">
        <v>582</v>
      </c>
      <c r="F157" s="56" t="s">
        <v>703</v>
      </c>
      <c r="G157" s="15" t="str">
        <f t="shared" si="7"/>
        <v>표준 화물 수송 칸</v>
      </c>
      <c r="H157" s="15" t="str">
        <f>VLOOKUP(F157, Factor!$CO$4:$CR$10, 2, 0)</f>
        <v>물자수송</v>
      </c>
      <c r="I157" s="15" t="str">
        <f>VLOOKUP(F157, Factor!$CO$4:$CR$10, 3, 0)</f>
        <v>null</v>
      </c>
      <c r="J157" s="15">
        <v>1</v>
      </c>
      <c r="K157" s="15">
        <v>1</v>
      </c>
      <c r="L157" s="15">
        <v>1</v>
      </c>
      <c r="M157" s="15">
        <v>1</v>
      </c>
      <c r="N157" s="15">
        <v>1</v>
      </c>
      <c r="O157" s="15" cm="1">
        <f t="array" ref="O157">J157*VLOOKUP($H157, Factor!$AN$4:$AS$36, 2, 0)*INDEX(Factor!$AN$41:$AS$87, _xlfn.XMATCH($C157, Factor!$AN$41:$AN$87, -1), 2)*IFERROR(VLOOKUP($I157, Factor!$AU$4:$AX$9, 2, 0),1)</f>
        <v>0</v>
      </c>
      <c r="P157" s="15" cm="1">
        <f t="array" ref="P157">K157*VLOOKUP($H157, Factor!$AN$4:$AS$36, 3, 0)*INDEX(Factor!$AN$41:$AS$87, _xlfn.XMATCH($C157, Factor!$AN$41:$AN$87, -1), 3)*IFERROR(VLOOKUP($I157, Factor!$AU$4:$AX$9, 3, 0),1)</f>
        <v>0</v>
      </c>
      <c r="Q157" s="15" cm="1">
        <f t="array" ref="Q157">L157*VLOOKUP($H157, Factor!$AN$4:$AS$36, 4, 0)*INDEX(Factor!$AN$41:$AS$87, _xlfn.XMATCH($C157, Factor!$AN$41:$AN$87, -1), 4)</f>
        <v>4.8</v>
      </c>
      <c r="R157" s="15" cm="1">
        <f t="array" ref="R157">M157*VLOOKUP($H157, Factor!$AN$4:$AS$36, 5, 0)*INDEX(Factor!$AN$41:$AS$87, _xlfn.XMATCH($C157, Factor!$AN$41:$AN$87, -1), 5)</f>
        <v>0</v>
      </c>
      <c r="S157" s="15" cm="1">
        <f t="array" ref="S157">N157*VLOOKUP($H157, Factor!$AN$4:$AS$36, 6, 0)*INDEX(Factor!$AN$41:$AS$87, _xlfn.XMATCH($C157, Factor!$AN$41:$AN$87, -1), 6)*IFERROR(VLOOKUP($I157, Factor!$AU$4:$AX$9, 4, 0),1)</f>
        <v>4800</v>
      </c>
      <c r="T157" s="16"/>
    </row>
    <row r="158" spans="1:20" ht="15.75" customHeight="1" x14ac:dyDescent="0.2">
      <c r="A158" s="17" t="str">
        <f>"parlor_"&amp;VLOOKUP(F158, Factor!$CO$4:$CR$10, 4, 0)&amp;D158&amp;"_"&amp;VLOOKUP(E158, Factor!$CS$4:$CT$13, 2, 0)</f>
        <v>parlor_Trans_Pass_T8_001</v>
      </c>
      <c r="B158" s="18" t="str">
        <f t="shared" si="6"/>
        <v>T8 표준 인원 수송 칸</v>
      </c>
      <c r="C158" s="18">
        <f>VLOOKUP(D158, Factor!$AM$41:$AN$50, 2, 0)</f>
        <v>40000</v>
      </c>
      <c r="D158" s="18" t="s">
        <v>304</v>
      </c>
      <c r="E158" s="55" t="s">
        <v>582</v>
      </c>
      <c r="F158" s="55" t="s">
        <v>704</v>
      </c>
      <c r="G158" s="18" t="str">
        <f t="shared" si="7"/>
        <v>표준 인원 수송 칸</v>
      </c>
      <c r="H158" s="18" t="str">
        <f>VLOOKUP(F158, Factor!$CO$4:$CR$10, 2, 0)</f>
        <v>인원수송</v>
      </c>
      <c r="I158" s="18" t="str">
        <f>VLOOKUP(F158, Factor!$CO$4:$CR$10, 3, 0)</f>
        <v>null</v>
      </c>
      <c r="J158" s="18">
        <v>1</v>
      </c>
      <c r="K158" s="18">
        <v>1</v>
      </c>
      <c r="L158" s="18">
        <v>1</v>
      </c>
      <c r="M158" s="18">
        <v>1</v>
      </c>
      <c r="N158" s="18">
        <v>1</v>
      </c>
      <c r="O158" s="18" cm="1">
        <f t="array" ref="O158">J158*VLOOKUP($H158, Factor!$AN$4:$AS$36, 2, 0)*INDEX(Factor!$AN$41:$AS$87, _xlfn.XMATCH($C158, Factor!$AN$41:$AN$87, -1), 2)*IFERROR(VLOOKUP($I158, Factor!$AU$4:$AX$9, 2, 0),1)</f>
        <v>0</v>
      </c>
      <c r="P158" s="18" cm="1">
        <f t="array" ref="P158">K158*VLOOKUP($H158, Factor!$AN$4:$AS$36, 3, 0)*INDEX(Factor!$AN$41:$AS$87, _xlfn.XMATCH($C158, Factor!$AN$41:$AN$87, -1), 3)*IFERROR(VLOOKUP($I158, Factor!$AU$4:$AX$9, 3, 0),1)</f>
        <v>0</v>
      </c>
      <c r="Q158" s="18" cm="1">
        <f t="array" ref="Q158">L158*VLOOKUP($H158, Factor!$AN$4:$AS$36, 4, 0)*INDEX(Factor!$AN$41:$AS$87, _xlfn.XMATCH($C158, Factor!$AN$41:$AN$87, -1), 4)</f>
        <v>0</v>
      </c>
      <c r="R158" s="18" cm="1">
        <f t="array" ref="R158">M158*VLOOKUP($H158, Factor!$AN$4:$AS$36, 5, 0)*INDEX(Factor!$AN$41:$AS$87, _xlfn.XMATCH($C158, Factor!$AN$41:$AN$87, -1), 5)</f>
        <v>9.6</v>
      </c>
      <c r="S158" s="18" cm="1">
        <f t="array" ref="S158">N158*VLOOKUP($H158, Factor!$AN$4:$AS$36, 6, 0)*INDEX(Factor!$AN$41:$AS$87, _xlfn.XMATCH($C158, Factor!$AN$41:$AN$87, -1), 6)*IFERROR(VLOOKUP($I158, Factor!$AU$4:$AX$9, 4, 0),1)</f>
        <v>2400</v>
      </c>
      <c r="T158" s="19"/>
    </row>
    <row r="159" spans="1:20" ht="15.75" customHeight="1" x14ac:dyDescent="0.2">
      <c r="A159" s="14" t="str">
        <f>"parlor_"&amp;VLOOKUP(F159, Factor!$CO$4:$CR$10, 4, 0)&amp;D159&amp;"_"&amp;VLOOKUP(E159, Factor!$CS$4:$CT$13, 2, 0)</f>
        <v>parlor_Prod_Food_T8_002</v>
      </c>
      <c r="B159" s="15" t="str">
        <f t="shared" si="6"/>
        <v>T8 경량 스마트팜</v>
      </c>
      <c r="C159" s="15">
        <f>VLOOKUP(D159, Factor!$AM$41:$AN$50, 2, 0)</f>
        <v>40000</v>
      </c>
      <c r="D159" s="15" t="s">
        <v>304</v>
      </c>
      <c r="E159" s="56" t="s">
        <v>585</v>
      </c>
      <c r="F159" s="56" t="s">
        <v>695</v>
      </c>
      <c r="G159" s="15" t="str">
        <f t="shared" si="7"/>
        <v>경량 스마트팜</v>
      </c>
      <c r="H159" s="15" t="str">
        <f>VLOOKUP(F159, Factor!$CO$4:$CR$10, 2, 0)</f>
        <v>생산</v>
      </c>
      <c r="I159" s="15" t="str">
        <f>VLOOKUP(F159, Factor!$CO$4:$CR$10, 3, 0)</f>
        <v>food</v>
      </c>
      <c r="J159" s="15">
        <v>1</v>
      </c>
      <c r="K159" s="15">
        <v>1</v>
      </c>
      <c r="L159" s="15">
        <v>1</v>
      </c>
      <c r="M159" s="15">
        <v>1</v>
      </c>
      <c r="N159" s="15">
        <v>1</v>
      </c>
      <c r="O159" s="15" cm="1">
        <f t="array" ref="O159">J159*VLOOKUP($H159, Factor!$AN$4:$AS$36, 2, 0)*INDEX(Factor!$AN$41:$AS$87, _xlfn.XMATCH($C159, Factor!$AN$41:$AN$87, -1), 2)*IFERROR(VLOOKUP($I159, Factor!$AU$4:$AX$9, 2, 0),1)</f>
        <v>24</v>
      </c>
      <c r="P159" s="15" cm="1">
        <f t="array" ref="P159">K159*VLOOKUP($H159, Factor!$AN$4:$AS$36, 3, 0)*INDEX(Factor!$AN$41:$AS$87, _xlfn.XMATCH($C159, Factor!$AN$41:$AN$87, -1), 3)*IFERROR(VLOOKUP($I159, Factor!$AU$4:$AX$9, 3, 0),1)</f>
        <v>0</v>
      </c>
      <c r="Q159" s="15" cm="1">
        <f t="array" ref="Q159">L159*VLOOKUP($H159, Factor!$AN$4:$AS$36, 4, 0)*INDEX(Factor!$AN$41:$AS$87, _xlfn.XMATCH($C159, Factor!$AN$41:$AN$87, -1), 4)</f>
        <v>2.4</v>
      </c>
      <c r="R159" s="15" cm="1">
        <f t="array" ref="R159">M159*VLOOKUP($H159, Factor!$AN$4:$AS$36, 5, 0)*INDEX(Factor!$AN$41:$AS$87, _xlfn.XMATCH($C159, Factor!$AN$41:$AN$87, -1), 5)</f>
        <v>2.4</v>
      </c>
      <c r="S159" s="15" cm="1">
        <f t="array" ref="S159">N159*VLOOKUP($H159, Factor!$AN$4:$AS$36, 6, 0)*INDEX(Factor!$AN$41:$AS$87, _xlfn.XMATCH($C159, Factor!$AN$41:$AN$87, -1), 6)*IFERROR(VLOOKUP($I159, Factor!$AU$4:$AX$9, 4, 0),1)</f>
        <v>12000</v>
      </c>
      <c r="T159" s="16"/>
    </row>
    <row r="160" spans="1:20" ht="15.75" customHeight="1" x14ac:dyDescent="0.2">
      <c r="A160" s="17" t="str">
        <f>"parlor_"&amp;VLOOKUP(F160, Factor!$CO$4:$CR$10, 4, 0)&amp;D160&amp;"_"&amp;VLOOKUP(E160, Factor!$CS$4:$CT$13, 2, 0)</f>
        <v>parlor_Indu_Ammo_T8_002</v>
      </c>
      <c r="B160" s="18" t="str">
        <f t="shared" si="6"/>
        <v>T8 경량 탄약공장</v>
      </c>
      <c r="C160" s="18">
        <f>VLOOKUP(D160, Factor!$AM$41:$AN$50, 2, 0)</f>
        <v>40000</v>
      </c>
      <c r="D160" s="18" t="s">
        <v>304</v>
      </c>
      <c r="E160" s="55" t="s">
        <v>585</v>
      </c>
      <c r="F160" s="55" t="s">
        <v>696</v>
      </c>
      <c r="G160" s="18" t="str">
        <f t="shared" si="7"/>
        <v>경량 탄약공장</v>
      </c>
      <c r="H160" s="18" t="str">
        <f>VLOOKUP(F160, Factor!$CO$4:$CR$10, 2, 0)</f>
        <v>공업</v>
      </c>
      <c r="I160" s="18" t="str">
        <f>VLOOKUP(F160, Factor!$CO$4:$CR$10, 3, 0)</f>
        <v>ammo</v>
      </c>
      <c r="J160" s="18">
        <v>1</v>
      </c>
      <c r="K160" s="18">
        <v>1</v>
      </c>
      <c r="L160" s="18">
        <v>1</v>
      </c>
      <c r="M160" s="18">
        <v>1</v>
      </c>
      <c r="N160" s="18">
        <v>1</v>
      </c>
      <c r="O160" s="18" cm="1">
        <f t="array" ref="O160">J160*VLOOKUP($H160, Factor!$AN$4:$AS$36, 2, 0)*INDEX(Factor!$AN$41:$AS$87, _xlfn.XMATCH($C160, Factor!$AN$41:$AN$87, -1), 2)*IFERROR(VLOOKUP($I160, Factor!$AU$4:$AX$9, 2, 0),1)</f>
        <v>0</v>
      </c>
      <c r="P160" s="18" cm="1">
        <f t="array" ref="P160">K160*VLOOKUP($H160, Factor!$AN$4:$AS$36, 3, 0)*INDEX(Factor!$AN$41:$AS$87, _xlfn.XMATCH($C160, Factor!$AN$41:$AN$87, -1), 3)*IFERROR(VLOOKUP($I160, Factor!$AU$4:$AX$9, 3, 0),1)</f>
        <v>24</v>
      </c>
      <c r="Q160" s="18" cm="1">
        <f t="array" ref="Q160">L160*VLOOKUP($H160, Factor!$AN$4:$AS$36, 4, 0)*INDEX(Factor!$AN$41:$AS$87, _xlfn.XMATCH($C160, Factor!$AN$41:$AN$87, -1), 4)</f>
        <v>0</v>
      </c>
      <c r="R160" s="18" cm="1">
        <f t="array" ref="R160">M160*VLOOKUP($H160, Factor!$AN$4:$AS$36, 5, 0)*INDEX(Factor!$AN$41:$AS$87, _xlfn.XMATCH($C160, Factor!$AN$41:$AN$87, -1), 5)</f>
        <v>0</v>
      </c>
      <c r="S160" s="18" cm="1">
        <f t="array" ref="S160">N160*VLOOKUP($H160, Factor!$AN$4:$AS$36, 6, 0)*INDEX(Factor!$AN$41:$AS$87, _xlfn.XMATCH($C160, Factor!$AN$41:$AN$87, -1), 6)*IFERROR(VLOOKUP($I160, Factor!$AU$4:$AX$9, 4, 0),1)</f>
        <v>12000</v>
      </c>
      <c r="T160" s="19"/>
    </row>
    <row r="161" spans="1:20" ht="15.75" customHeight="1" x14ac:dyDescent="0.2">
      <c r="A161" s="14" t="str">
        <f>"parlor_"&amp;VLOOKUP(F161, Factor!$CO$4:$CR$10, 4, 0)&amp;D161&amp;"_"&amp;VLOOKUP(E161, Factor!$CS$4:$CT$13, 2, 0)</f>
        <v>parlor_Indu_Shell_T8_002</v>
      </c>
      <c r="B161" s="15" t="str">
        <f t="shared" si="6"/>
        <v>T8 경량 포탄공장</v>
      </c>
      <c r="C161" s="15">
        <f>VLOOKUP(D161, Factor!$AM$41:$AN$50, 2, 0)</f>
        <v>40000</v>
      </c>
      <c r="D161" s="15" t="s">
        <v>304</v>
      </c>
      <c r="E161" s="56" t="s">
        <v>585</v>
      </c>
      <c r="F161" s="56" t="s">
        <v>697</v>
      </c>
      <c r="G161" s="15" t="str">
        <f t="shared" si="7"/>
        <v>경량 포탄공장</v>
      </c>
      <c r="H161" s="15" t="str">
        <f>VLOOKUP(F161, Factor!$CO$4:$CR$10, 2, 0)</f>
        <v>공업</v>
      </c>
      <c r="I161" s="15" t="str">
        <f>VLOOKUP(F161, Factor!$CO$4:$CR$10, 3, 0)</f>
        <v>shell</v>
      </c>
      <c r="J161" s="15">
        <v>1</v>
      </c>
      <c r="K161" s="15">
        <v>1</v>
      </c>
      <c r="L161" s="15">
        <v>1</v>
      </c>
      <c r="M161" s="15">
        <v>1</v>
      </c>
      <c r="N161" s="15">
        <v>1</v>
      </c>
      <c r="O161" s="15" cm="1">
        <f t="array" ref="O161">J161*VLOOKUP($H161, Factor!$AN$4:$AS$36, 2, 0)*INDEX(Factor!$AN$41:$AS$87, _xlfn.XMATCH($C161, Factor!$AN$41:$AN$87, -1), 2)*IFERROR(VLOOKUP($I161, Factor!$AU$4:$AX$9, 2, 0),1)</f>
        <v>0</v>
      </c>
      <c r="P161" s="15" cm="1">
        <f t="array" ref="P161">K161*VLOOKUP($H161, Factor!$AN$4:$AS$36, 3, 0)*INDEX(Factor!$AN$41:$AS$87, _xlfn.XMATCH($C161, Factor!$AN$41:$AN$87, -1), 3)*IFERROR(VLOOKUP($I161, Factor!$AU$4:$AX$9, 3, 0),1)</f>
        <v>12</v>
      </c>
      <c r="Q161" s="15" cm="1">
        <f t="array" ref="Q161">L161*VLOOKUP($H161, Factor!$AN$4:$AS$36, 4, 0)*INDEX(Factor!$AN$41:$AS$87, _xlfn.XMATCH($C161, Factor!$AN$41:$AN$87, -1), 4)</f>
        <v>0</v>
      </c>
      <c r="R161" s="15" cm="1">
        <f t="array" ref="R161">M161*VLOOKUP($H161, Factor!$AN$4:$AS$36, 5, 0)*INDEX(Factor!$AN$41:$AS$87, _xlfn.XMATCH($C161, Factor!$AN$41:$AN$87, -1), 5)</f>
        <v>0</v>
      </c>
      <c r="S161" s="15" cm="1">
        <f t="array" ref="S161">N161*VLOOKUP($H161, Factor!$AN$4:$AS$36, 6, 0)*INDEX(Factor!$AN$41:$AS$87, _xlfn.XMATCH($C161, Factor!$AN$41:$AN$87, -1), 6)*IFERROR(VLOOKUP($I161, Factor!$AU$4:$AX$9, 4, 0),1)</f>
        <v>14400</v>
      </c>
      <c r="T161" s="16"/>
    </row>
    <row r="162" spans="1:20" ht="15.75" customHeight="1" x14ac:dyDescent="0.2">
      <c r="A162" s="17" t="str">
        <f>"parlor_"&amp;VLOOKUP(F162, Factor!$CO$4:$CR$10, 4, 0)&amp;D162&amp;"_"&amp;VLOOKUP(E162, Factor!$CS$4:$CT$13, 2, 0)</f>
        <v>parlor_Indu_Missile_T8_002</v>
      </c>
      <c r="B162" s="18" t="str">
        <f t="shared" si="6"/>
        <v>T8 경량 미사일공장</v>
      </c>
      <c r="C162" s="18">
        <f>VLOOKUP(D162, Factor!$AM$41:$AN$50, 2, 0)</f>
        <v>40000</v>
      </c>
      <c r="D162" s="18" t="s">
        <v>304</v>
      </c>
      <c r="E162" s="55" t="s">
        <v>585</v>
      </c>
      <c r="F162" s="55" t="s">
        <v>698</v>
      </c>
      <c r="G162" s="18" t="str">
        <f t="shared" si="7"/>
        <v>경량 미사일공장</v>
      </c>
      <c r="H162" s="18" t="str">
        <f>VLOOKUP(F162, Factor!$CO$4:$CR$10, 2, 0)</f>
        <v>공업</v>
      </c>
      <c r="I162" s="18" t="str">
        <f>VLOOKUP(F162, Factor!$CO$4:$CR$10, 3, 0)</f>
        <v>missile</v>
      </c>
      <c r="J162" s="18">
        <v>1</v>
      </c>
      <c r="K162" s="18">
        <v>1</v>
      </c>
      <c r="L162" s="18">
        <v>1</v>
      </c>
      <c r="M162" s="18">
        <v>1</v>
      </c>
      <c r="N162" s="18">
        <v>1</v>
      </c>
      <c r="O162" s="18" cm="1">
        <f t="array" ref="O162">J162*VLOOKUP($H162, Factor!$AN$4:$AS$36, 2, 0)*INDEX(Factor!$AN$41:$AS$87, _xlfn.XMATCH($C162, Factor!$AN$41:$AN$87, -1), 2)*IFERROR(VLOOKUP($I162, Factor!$AU$4:$AX$9, 2, 0),1)</f>
        <v>0</v>
      </c>
      <c r="P162" s="18" cm="1">
        <f t="array" ref="P162">K162*VLOOKUP($H162, Factor!$AN$4:$AS$36, 3, 0)*INDEX(Factor!$AN$41:$AS$87, _xlfn.XMATCH($C162, Factor!$AN$41:$AN$87, -1), 3)*IFERROR(VLOOKUP($I162, Factor!$AU$4:$AX$9, 3, 0),1)</f>
        <v>4.8</v>
      </c>
      <c r="Q162" s="18" cm="1">
        <f t="array" ref="Q162">L162*VLOOKUP($H162, Factor!$AN$4:$AS$36, 4, 0)*INDEX(Factor!$AN$41:$AS$87, _xlfn.XMATCH($C162, Factor!$AN$41:$AN$87, -1), 4)</f>
        <v>0</v>
      </c>
      <c r="R162" s="18" cm="1">
        <f t="array" ref="R162">M162*VLOOKUP($H162, Factor!$AN$4:$AS$36, 5, 0)*INDEX(Factor!$AN$41:$AS$87, _xlfn.XMATCH($C162, Factor!$AN$41:$AN$87, -1), 5)</f>
        <v>0</v>
      </c>
      <c r="S162" s="18" cm="1">
        <f t="array" ref="S162">N162*VLOOKUP($H162, Factor!$AN$4:$AS$36, 6, 0)*INDEX(Factor!$AN$41:$AS$87, _xlfn.XMATCH($C162, Factor!$AN$41:$AN$87, -1), 6)*IFERROR(VLOOKUP($I162, Factor!$AU$4:$AX$9, 4, 0),1)</f>
        <v>15600</v>
      </c>
      <c r="T162" s="19"/>
    </row>
    <row r="163" spans="1:20" ht="15.75" customHeight="1" x14ac:dyDescent="0.2">
      <c r="A163" s="14" t="str">
        <f>"parlor_"&amp;VLOOKUP(F163, Factor!$CO$4:$CR$10, 4, 0)&amp;D163&amp;"_"&amp;VLOOKUP(E163, Factor!$CS$4:$CT$13, 2, 0)</f>
        <v>parlor_Indu_Siecleium_T8_002</v>
      </c>
      <c r="B163" s="15" t="str">
        <f t="shared" si="6"/>
        <v>T8 경량 서클리움 정제소</v>
      </c>
      <c r="C163" s="15">
        <f>VLOOKUP(D163, Factor!$AM$41:$AN$50, 2, 0)</f>
        <v>40000</v>
      </c>
      <c r="D163" s="15" t="s">
        <v>304</v>
      </c>
      <c r="E163" s="56" t="s">
        <v>585</v>
      </c>
      <c r="F163" s="56" t="s">
        <v>702</v>
      </c>
      <c r="G163" s="15" t="str">
        <f t="shared" si="7"/>
        <v>경량 서클리움 정제소</v>
      </c>
      <c r="H163" s="15" t="str">
        <f>VLOOKUP(F163, Factor!$CO$4:$CR$10, 2, 0)</f>
        <v>공업</v>
      </c>
      <c r="I163" s="15" t="str">
        <f>VLOOKUP(F163, Factor!$CO$4:$CR$10, 3, 0)</f>
        <v>siecleium</v>
      </c>
      <c r="J163" s="15">
        <v>1</v>
      </c>
      <c r="K163" s="15">
        <v>1</v>
      </c>
      <c r="L163" s="15">
        <v>1</v>
      </c>
      <c r="M163" s="15">
        <v>1</v>
      </c>
      <c r="N163" s="15">
        <v>1</v>
      </c>
      <c r="O163" s="15" cm="1">
        <f t="array" ref="O163">J163*VLOOKUP($H163, Factor!$AN$4:$AS$36, 2, 0)*INDEX(Factor!$AN$41:$AS$87, _xlfn.XMATCH($C163, Factor!$AN$41:$AN$87, -1), 2)*IFERROR(VLOOKUP($I163, Factor!$AU$4:$AX$9, 2, 0),1)</f>
        <v>0</v>
      </c>
      <c r="P163" s="15" cm="1">
        <f t="array" ref="P163">K163*VLOOKUP($H163, Factor!$AN$4:$AS$36, 3, 0)*INDEX(Factor!$AN$41:$AS$87, _xlfn.XMATCH($C163, Factor!$AN$41:$AN$87, -1), 3)*IFERROR(VLOOKUP($I163, Factor!$AU$4:$AX$9, 3, 0),1)</f>
        <v>24</v>
      </c>
      <c r="Q163" s="15" cm="1">
        <f t="array" ref="Q163">L163*VLOOKUP($H163, Factor!$AN$4:$AS$36, 4, 0)*INDEX(Factor!$AN$41:$AS$87, _xlfn.XMATCH($C163, Factor!$AN$41:$AN$87, -1), 4)</f>
        <v>0</v>
      </c>
      <c r="R163" s="15" cm="1">
        <f t="array" ref="R163">M163*VLOOKUP($H163, Factor!$AN$4:$AS$36, 5, 0)*INDEX(Factor!$AN$41:$AS$87, _xlfn.XMATCH($C163, Factor!$AN$41:$AN$87, -1), 5)</f>
        <v>0</v>
      </c>
      <c r="S163" s="15" cm="1">
        <f t="array" ref="S163">N163*VLOOKUP($H163, Factor!$AN$4:$AS$36, 6, 0)*INDEX(Factor!$AN$41:$AS$87, _xlfn.XMATCH($C163, Factor!$AN$41:$AN$87, -1), 6)*IFERROR(VLOOKUP($I163, Factor!$AU$4:$AX$9, 4, 0),1)</f>
        <v>12000</v>
      </c>
      <c r="T163" s="16"/>
    </row>
    <row r="164" spans="1:20" ht="15.75" customHeight="1" x14ac:dyDescent="0.2">
      <c r="A164" s="17" t="str">
        <f>"parlor_"&amp;VLOOKUP(F164, Factor!$CO$4:$CR$10, 4, 0)&amp;D164&amp;"_"&amp;VLOOKUP(E164, Factor!$CS$4:$CT$13, 2, 0)</f>
        <v>parlor_Trans_Inven_T8_002</v>
      </c>
      <c r="B164" s="18" t="str">
        <f t="shared" si="6"/>
        <v>T8 경량 화물 수송 칸</v>
      </c>
      <c r="C164" s="18">
        <f>VLOOKUP(D164, Factor!$AM$41:$AN$50, 2, 0)</f>
        <v>40000</v>
      </c>
      <c r="D164" s="18" t="s">
        <v>304</v>
      </c>
      <c r="E164" s="55" t="s">
        <v>585</v>
      </c>
      <c r="F164" s="55" t="s">
        <v>703</v>
      </c>
      <c r="G164" s="18" t="str">
        <f t="shared" si="7"/>
        <v>경량 화물 수송 칸</v>
      </c>
      <c r="H164" s="18" t="str">
        <f>VLOOKUP(F164, Factor!$CO$4:$CR$10, 2, 0)</f>
        <v>물자수송</v>
      </c>
      <c r="I164" s="18" t="str">
        <f>VLOOKUP(F164, Factor!$CO$4:$CR$10, 3, 0)</f>
        <v>null</v>
      </c>
      <c r="J164" s="18">
        <v>1</v>
      </c>
      <c r="K164" s="18">
        <v>1</v>
      </c>
      <c r="L164" s="18">
        <v>1</v>
      </c>
      <c r="M164" s="18">
        <v>1</v>
      </c>
      <c r="N164" s="18">
        <v>1</v>
      </c>
      <c r="O164" s="18" cm="1">
        <f t="array" ref="O164">J164*VLOOKUP($H164, Factor!$AN$4:$AS$36, 2, 0)*INDEX(Factor!$AN$41:$AS$87, _xlfn.XMATCH($C164, Factor!$AN$41:$AN$87, -1), 2)*IFERROR(VLOOKUP($I164, Factor!$AU$4:$AX$9, 2, 0),1)</f>
        <v>0</v>
      </c>
      <c r="P164" s="18" cm="1">
        <f t="array" ref="P164">K164*VLOOKUP($H164, Factor!$AN$4:$AS$36, 3, 0)*INDEX(Factor!$AN$41:$AS$87, _xlfn.XMATCH($C164, Factor!$AN$41:$AN$87, -1), 3)*IFERROR(VLOOKUP($I164, Factor!$AU$4:$AX$9, 3, 0),1)</f>
        <v>0</v>
      </c>
      <c r="Q164" s="18" cm="1">
        <f t="array" ref="Q164">L164*VLOOKUP($H164, Factor!$AN$4:$AS$36, 4, 0)*INDEX(Factor!$AN$41:$AS$87, _xlfn.XMATCH($C164, Factor!$AN$41:$AN$87, -1), 4)</f>
        <v>4.8</v>
      </c>
      <c r="R164" s="18" cm="1">
        <f t="array" ref="R164">M164*VLOOKUP($H164, Factor!$AN$4:$AS$36, 5, 0)*INDEX(Factor!$AN$41:$AS$87, _xlfn.XMATCH($C164, Factor!$AN$41:$AN$87, -1), 5)</f>
        <v>0</v>
      </c>
      <c r="S164" s="18" cm="1">
        <f t="array" ref="S164">N164*VLOOKUP($H164, Factor!$AN$4:$AS$36, 6, 0)*INDEX(Factor!$AN$41:$AS$87, _xlfn.XMATCH($C164, Factor!$AN$41:$AN$87, -1), 6)*IFERROR(VLOOKUP($I164, Factor!$AU$4:$AX$9, 4, 0),1)</f>
        <v>4800</v>
      </c>
      <c r="T164" s="19"/>
    </row>
    <row r="165" spans="1:20" ht="15.75" customHeight="1" x14ac:dyDescent="0.2">
      <c r="A165" s="14" t="str">
        <f>"parlor_"&amp;VLOOKUP(F165, Factor!$CO$4:$CR$10, 4, 0)&amp;D165&amp;"_"&amp;VLOOKUP(E165, Factor!$CS$4:$CT$13, 2, 0)</f>
        <v>parlor_Trans_Pass_T8_002</v>
      </c>
      <c r="B165" s="15" t="str">
        <f t="shared" si="6"/>
        <v>T8 경량 인원 수송 칸</v>
      </c>
      <c r="C165" s="15">
        <f>VLOOKUP(D165, Factor!$AM$41:$AN$50, 2, 0)</f>
        <v>40000</v>
      </c>
      <c r="D165" s="15" t="s">
        <v>304</v>
      </c>
      <c r="E165" s="56" t="s">
        <v>585</v>
      </c>
      <c r="F165" s="56" t="s">
        <v>704</v>
      </c>
      <c r="G165" s="15" t="str">
        <f t="shared" si="7"/>
        <v>경량 인원 수송 칸</v>
      </c>
      <c r="H165" s="15" t="str">
        <f>VLOOKUP(F165, Factor!$CO$4:$CR$10, 2, 0)</f>
        <v>인원수송</v>
      </c>
      <c r="I165" s="15" t="str">
        <f>VLOOKUP(F165, Factor!$CO$4:$CR$10, 3, 0)</f>
        <v>null</v>
      </c>
      <c r="J165" s="15">
        <v>1</v>
      </c>
      <c r="K165" s="15">
        <v>1</v>
      </c>
      <c r="L165" s="15">
        <v>1</v>
      </c>
      <c r="M165" s="15">
        <v>1</v>
      </c>
      <c r="N165" s="15">
        <v>1</v>
      </c>
      <c r="O165" s="15" cm="1">
        <f t="array" ref="O165">J165*VLOOKUP($H165, Factor!$AN$4:$AS$36, 2, 0)*INDEX(Factor!$AN$41:$AS$87, _xlfn.XMATCH($C165, Factor!$AN$41:$AN$87, -1), 2)*IFERROR(VLOOKUP($I165, Factor!$AU$4:$AX$9, 2, 0),1)</f>
        <v>0</v>
      </c>
      <c r="P165" s="15" cm="1">
        <f t="array" ref="P165">K165*VLOOKUP($H165, Factor!$AN$4:$AS$36, 3, 0)*INDEX(Factor!$AN$41:$AS$87, _xlfn.XMATCH($C165, Factor!$AN$41:$AN$87, -1), 3)*IFERROR(VLOOKUP($I165, Factor!$AU$4:$AX$9, 3, 0),1)</f>
        <v>0</v>
      </c>
      <c r="Q165" s="15" cm="1">
        <f t="array" ref="Q165">L165*VLOOKUP($H165, Factor!$AN$4:$AS$36, 4, 0)*INDEX(Factor!$AN$41:$AS$87, _xlfn.XMATCH($C165, Factor!$AN$41:$AN$87, -1), 4)</f>
        <v>0</v>
      </c>
      <c r="R165" s="15" cm="1">
        <f t="array" ref="R165">M165*VLOOKUP($H165, Factor!$AN$4:$AS$36, 5, 0)*INDEX(Factor!$AN$41:$AS$87, _xlfn.XMATCH($C165, Factor!$AN$41:$AN$87, -1), 5)</f>
        <v>9.6</v>
      </c>
      <c r="S165" s="15" cm="1">
        <f t="array" ref="S165">N165*VLOOKUP($H165, Factor!$AN$4:$AS$36, 6, 0)*INDEX(Factor!$AN$41:$AS$87, _xlfn.XMATCH($C165, Factor!$AN$41:$AN$87, -1), 6)*IFERROR(VLOOKUP($I165, Factor!$AU$4:$AX$9, 4, 0),1)</f>
        <v>2400</v>
      </c>
      <c r="T165" s="16"/>
    </row>
    <row r="166" spans="1:20" ht="15.75" customHeight="1" x14ac:dyDescent="0.2">
      <c r="A166" s="17" t="str">
        <f>"parlor_"&amp;VLOOKUP(F166, Factor!$CO$4:$CR$10, 4, 0)&amp;D166&amp;"_"&amp;VLOOKUP(E166, Factor!$CS$4:$CT$13, 2, 0)</f>
        <v>parlor_Prod_Food_T8_003</v>
      </c>
      <c r="B166" s="18" t="str">
        <f t="shared" si="6"/>
        <v>T8 대형 스마트팜</v>
      </c>
      <c r="C166" s="18">
        <f>VLOOKUP(D166, Factor!$AM$41:$AN$50, 2, 0)</f>
        <v>40000</v>
      </c>
      <c r="D166" s="18" t="s">
        <v>304</v>
      </c>
      <c r="E166" s="55" t="s">
        <v>583</v>
      </c>
      <c r="F166" s="55" t="s">
        <v>695</v>
      </c>
      <c r="G166" s="18" t="str">
        <f t="shared" si="7"/>
        <v>대형 스마트팜</v>
      </c>
      <c r="H166" s="18" t="str">
        <f>VLOOKUP(F166, Factor!$CO$4:$CR$10, 2, 0)</f>
        <v>생산</v>
      </c>
      <c r="I166" s="18" t="str">
        <f>VLOOKUP(F166, Factor!$CO$4:$CR$10, 3, 0)</f>
        <v>food</v>
      </c>
      <c r="J166" s="18">
        <v>1</v>
      </c>
      <c r="K166" s="18">
        <v>1</v>
      </c>
      <c r="L166" s="18">
        <v>1</v>
      </c>
      <c r="M166" s="18">
        <v>1</v>
      </c>
      <c r="N166" s="18">
        <v>1</v>
      </c>
      <c r="O166" s="18" cm="1">
        <f t="array" ref="O166">J166*VLOOKUP($H166, Factor!$AN$4:$AS$36, 2, 0)*INDEX(Factor!$AN$41:$AS$87, _xlfn.XMATCH($C166, Factor!$AN$41:$AN$87, -1), 2)*IFERROR(VLOOKUP($I166, Factor!$AU$4:$AX$9, 2, 0),1)</f>
        <v>24</v>
      </c>
      <c r="P166" s="18" cm="1">
        <f t="array" ref="P166">K166*VLOOKUP($H166, Factor!$AN$4:$AS$36, 3, 0)*INDEX(Factor!$AN$41:$AS$87, _xlfn.XMATCH($C166, Factor!$AN$41:$AN$87, -1), 3)*IFERROR(VLOOKUP($I166, Factor!$AU$4:$AX$9, 3, 0),1)</f>
        <v>0</v>
      </c>
      <c r="Q166" s="18" cm="1">
        <f t="array" ref="Q166">L166*VLOOKUP($H166, Factor!$AN$4:$AS$36, 4, 0)*INDEX(Factor!$AN$41:$AS$87, _xlfn.XMATCH($C166, Factor!$AN$41:$AN$87, -1), 4)</f>
        <v>2.4</v>
      </c>
      <c r="R166" s="18" cm="1">
        <f t="array" ref="R166">M166*VLOOKUP($H166, Factor!$AN$4:$AS$36, 5, 0)*INDEX(Factor!$AN$41:$AS$87, _xlfn.XMATCH($C166, Factor!$AN$41:$AN$87, -1), 5)</f>
        <v>2.4</v>
      </c>
      <c r="S166" s="18" cm="1">
        <f t="array" ref="S166">N166*VLOOKUP($H166, Factor!$AN$4:$AS$36, 6, 0)*INDEX(Factor!$AN$41:$AS$87, _xlfn.XMATCH($C166, Factor!$AN$41:$AN$87, -1), 6)*IFERROR(VLOOKUP($I166, Factor!$AU$4:$AX$9, 4, 0),1)</f>
        <v>12000</v>
      </c>
      <c r="T166" s="19"/>
    </row>
    <row r="167" spans="1:20" ht="15.75" customHeight="1" x14ac:dyDescent="0.2">
      <c r="A167" s="14" t="str">
        <f>"parlor_"&amp;VLOOKUP(F167, Factor!$CO$4:$CR$10, 4, 0)&amp;D167&amp;"_"&amp;VLOOKUP(E167, Factor!$CS$4:$CT$13, 2, 0)</f>
        <v>parlor_Indu_Ammo_T8_003</v>
      </c>
      <c r="B167" s="15" t="str">
        <f t="shared" si="6"/>
        <v>T8 대형 탄약공장</v>
      </c>
      <c r="C167" s="15">
        <f>VLOOKUP(D167, Factor!$AM$41:$AN$50, 2, 0)</f>
        <v>40000</v>
      </c>
      <c r="D167" s="15" t="s">
        <v>304</v>
      </c>
      <c r="E167" s="56" t="s">
        <v>583</v>
      </c>
      <c r="F167" s="56" t="s">
        <v>696</v>
      </c>
      <c r="G167" s="15" t="str">
        <f t="shared" si="7"/>
        <v>대형 탄약공장</v>
      </c>
      <c r="H167" s="15" t="str">
        <f>VLOOKUP(F167, Factor!$CO$4:$CR$10, 2, 0)</f>
        <v>공업</v>
      </c>
      <c r="I167" s="15" t="str">
        <f>VLOOKUP(F167, Factor!$CO$4:$CR$10, 3, 0)</f>
        <v>ammo</v>
      </c>
      <c r="J167" s="15">
        <v>1</v>
      </c>
      <c r="K167" s="15">
        <v>1</v>
      </c>
      <c r="L167" s="15">
        <v>1</v>
      </c>
      <c r="M167" s="15">
        <v>1</v>
      </c>
      <c r="N167" s="15">
        <v>1</v>
      </c>
      <c r="O167" s="15" cm="1">
        <f t="array" ref="O167">J167*VLOOKUP($H167, Factor!$AN$4:$AS$36, 2, 0)*INDEX(Factor!$AN$41:$AS$87, _xlfn.XMATCH($C167, Factor!$AN$41:$AN$87, -1), 2)*IFERROR(VLOOKUP($I167, Factor!$AU$4:$AX$9, 2, 0),1)</f>
        <v>0</v>
      </c>
      <c r="P167" s="15" cm="1">
        <f t="array" ref="P167">K167*VLOOKUP($H167, Factor!$AN$4:$AS$36, 3, 0)*INDEX(Factor!$AN$41:$AS$87, _xlfn.XMATCH($C167, Factor!$AN$41:$AN$87, -1), 3)*IFERROR(VLOOKUP($I167, Factor!$AU$4:$AX$9, 3, 0),1)</f>
        <v>24</v>
      </c>
      <c r="Q167" s="15" cm="1">
        <f t="array" ref="Q167">L167*VLOOKUP($H167, Factor!$AN$4:$AS$36, 4, 0)*INDEX(Factor!$AN$41:$AS$87, _xlfn.XMATCH($C167, Factor!$AN$41:$AN$87, -1), 4)</f>
        <v>0</v>
      </c>
      <c r="R167" s="15" cm="1">
        <f t="array" ref="R167">M167*VLOOKUP($H167, Factor!$AN$4:$AS$36, 5, 0)*INDEX(Factor!$AN$41:$AS$87, _xlfn.XMATCH($C167, Factor!$AN$41:$AN$87, -1), 5)</f>
        <v>0</v>
      </c>
      <c r="S167" s="15" cm="1">
        <f t="array" ref="S167">N167*VLOOKUP($H167, Factor!$AN$4:$AS$36, 6, 0)*INDEX(Factor!$AN$41:$AS$87, _xlfn.XMATCH($C167, Factor!$AN$41:$AN$87, -1), 6)*IFERROR(VLOOKUP($I167, Factor!$AU$4:$AX$9, 4, 0),1)</f>
        <v>12000</v>
      </c>
      <c r="T167" s="16"/>
    </row>
    <row r="168" spans="1:20" ht="15.75" customHeight="1" x14ac:dyDescent="0.2">
      <c r="A168" s="17" t="str">
        <f>"parlor_"&amp;VLOOKUP(F168, Factor!$CO$4:$CR$10, 4, 0)&amp;D168&amp;"_"&amp;VLOOKUP(E168, Factor!$CS$4:$CT$13, 2, 0)</f>
        <v>parlor_Indu_Shell_T8_003</v>
      </c>
      <c r="B168" s="18" t="str">
        <f t="shared" si="6"/>
        <v>T8 대형 포탄공장</v>
      </c>
      <c r="C168" s="18">
        <f>VLOOKUP(D168, Factor!$AM$41:$AN$50, 2, 0)</f>
        <v>40000</v>
      </c>
      <c r="D168" s="18" t="s">
        <v>304</v>
      </c>
      <c r="E168" s="55" t="s">
        <v>583</v>
      </c>
      <c r="F168" s="55" t="s">
        <v>697</v>
      </c>
      <c r="G168" s="18" t="str">
        <f t="shared" si="7"/>
        <v>대형 포탄공장</v>
      </c>
      <c r="H168" s="18" t="str">
        <f>VLOOKUP(F168, Factor!$CO$4:$CR$10, 2, 0)</f>
        <v>공업</v>
      </c>
      <c r="I168" s="18" t="str">
        <f>VLOOKUP(F168, Factor!$CO$4:$CR$10, 3, 0)</f>
        <v>shell</v>
      </c>
      <c r="J168" s="18">
        <v>1</v>
      </c>
      <c r="K168" s="18">
        <v>1</v>
      </c>
      <c r="L168" s="18">
        <v>1</v>
      </c>
      <c r="M168" s="18">
        <v>1</v>
      </c>
      <c r="N168" s="18">
        <v>1</v>
      </c>
      <c r="O168" s="18" cm="1">
        <f t="array" ref="O168">J168*VLOOKUP($H168, Factor!$AN$4:$AS$36, 2, 0)*INDEX(Factor!$AN$41:$AS$87, _xlfn.XMATCH($C168, Factor!$AN$41:$AN$87, -1), 2)*IFERROR(VLOOKUP($I168, Factor!$AU$4:$AX$9, 2, 0),1)</f>
        <v>0</v>
      </c>
      <c r="P168" s="18" cm="1">
        <f t="array" ref="P168">K168*VLOOKUP($H168, Factor!$AN$4:$AS$36, 3, 0)*INDEX(Factor!$AN$41:$AS$87, _xlfn.XMATCH($C168, Factor!$AN$41:$AN$87, -1), 3)*IFERROR(VLOOKUP($I168, Factor!$AU$4:$AX$9, 3, 0),1)</f>
        <v>12</v>
      </c>
      <c r="Q168" s="18" cm="1">
        <f t="array" ref="Q168">L168*VLOOKUP($H168, Factor!$AN$4:$AS$36, 4, 0)*INDEX(Factor!$AN$41:$AS$87, _xlfn.XMATCH($C168, Factor!$AN$41:$AN$87, -1), 4)</f>
        <v>0</v>
      </c>
      <c r="R168" s="18" cm="1">
        <f t="array" ref="R168">M168*VLOOKUP($H168, Factor!$AN$4:$AS$36, 5, 0)*INDEX(Factor!$AN$41:$AS$87, _xlfn.XMATCH($C168, Factor!$AN$41:$AN$87, -1), 5)</f>
        <v>0</v>
      </c>
      <c r="S168" s="18" cm="1">
        <f t="array" ref="S168">N168*VLOOKUP($H168, Factor!$AN$4:$AS$36, 6, 0)*INDEX(Factor!$AN$41:$AS$87, _xlfn.XMATCH($C168, Factor!$AN$41:$AN$87, -1), 6)*IFERROR(VLOOKUP($I168, Factor!$AU$4:$AX$9, 4, 0),1)</f>
        <v>14400</v>
      </c>
      <c r="T168" s="19"/>
    </row>
    <row r="169" spans="1:20" ht="15.75" customHeight="1" x14ac:dyDescent="0.2">
      <c r="A169" s="14" t="str">
        <f>"parlor_"&amp;VLOOKUP(F169, Factor!$CO$4:$CR$10, 4, 0)&amp;D169&amp;"_"&amp;VLOOKUP(E169, Factor!$CS$4:$CT$13, 2, 0)</f>
        <v>parlor_Indu_Missile_T8_003</v>
      </c>
      <c r="B169" s="15" t="str">
        <f t="shared" si="6"/>
        <v>T8 대형 미사일공장</v>
      </c>
      <c r="C169" s="15">
        <f>VLOOKUP(D169, Factor!$AM$41:$AN$50, 2, 0)</f>
        <v>40000</v>
      </c>
      <c r="D169" s="15" t="s">
        <v>304</v>
      </c>
      <c r="E169" s="56" t="s">
        <v>583</v>
      </c>
      <c r="F169" s="56" t="s">
        <v>698</v>
      </c>
      <c r="G169" s="15" t="str">
        <f t="shared" si="7"/>
        <v>대형 미사일공장</v>
      </c>
      <c r="H169" s="15" t="str">
        <f>VLOOKUP(F169, Factor!$CO$4:$CR$10, 2, 0)</f>
        <v>공업</v>
      </c>
      <c r="I169" s="15" t="str">
        <f>VLOOKUP(F169, Factor!$CO$4:$CR$10, 3, 0)</f>
        <v>missile</v>
      </c>
      <c r="J169" s="15">
        <v>1</v>
      </c>
      <c r="K169" s="15">
        <v>1</v>
      </c>
      <c r="L169" s="15">
        <v>1</v>
      </c>
      <c r="M169" s="15">
        <v>1</v>
      </c>
      <c r="N169" s="15">
        <v>1</v>
      </c>
      <c r="O169" s="15" cm="1">
        <f t="array" ref="O169">J169*VLOOKUP($H169, Factor!$AN$4:$AS$36, 2, 0)*INDEX(Factor!$AN$41:$AS$87, _xlfn.XMATCH($C169, Factor!$AN$41:$AN$87, -1), 2)*IFERROR(VLOOKUP($I169, Factor!$AU$4:$AX$9, 2, 0),1)</f>
        <v>0</v>
      </c>
      <c r="P169" s="15" cm="1">
        <f t="array" ref="P169">K169*VLOOKUP($H169, Factor!$AN$4:$AS$36, 3, 0)*INDEX(Factor!$AN$41:$AS$87, _xlfn.XMATCH($C169, Factor!$AN$41:$AN$87, -1), 3)*IFERROR(VLOOKUP($I169, Factor!$AU$4:$AX$9, 3, 0),1)</f>
        <v>4.8</v>
      </c>
      <c r="Q169" s="15" cm="1">
        <f t="array" ref="Q169">L169*VLOOKUP($H169, Factor!$AN$4:$AS$36, 4, 0)*INDEX(Factor!$AN$41:$AS$87, _xlfn.XMATCH($C169, Factor!$AN$41:$AN$87, -1), 4)</f>
        <v>0</v>
      </c>
      <c r="R169" s="15" cm="1">
        <f t="array" ref="R169">M169*VLOOKUP($H169, Factor!$AN$4:$AS$36, 5, 0)*INDEX(Factor!$AN$41:$AS$87, _xlfn.XMATCH($C169, Factor!$AN$41:$AN$87, -1), 5)</f>
        <v>0</v>
      </c>
      <c r="S169" s="15" cm="1">
        <f t="array" ref="S169">N169*VLOOKUP($H169, Factor!$AN$4:$AS$36, 6, 0)*INDEX(Factor!$AN$41:$AS$87, _xlfn.XMATCH($C169, Factor!$AN$41:$AN$87, -1), 6)*IFERROR(VLOOKUP($I169, Factor!$AU$4:$AX$9, 4, 0),1)</f>
        <v>15600</v>
      </c>
      <c r="T169" s="16"/>
    </row>
    <row r="170" spans="1:20" ht="15.75" customHeight="1" x14ac:dyDescent="0.2">
      <c r="A170" s="17" t="str">
        <f>"parlor_"&amp;VLOOKUP(F170, Factor!$CO$4:$CR$10, 4, 0)&amp;D170&amp;"_"&amp;VLOOKUP(E170, Factor!$CS$4:$CT$13, 2, 0)</f>
        <v>parlor_Indu_Siecleium_T8_003</v>
      </c>
      <c r="B170" s="18" t="str">
        <f t="shared" si="6"/>
        <v>T8 대형 서클리움 정제소</v>
      </c>
      <c r="C170" s="18">
        <f>VLOOKUP(D170, Factor!$AM$41:$AN$50, 2, 0)</f>
        <v>40000</v>
      </c>
      <c r="D170" s="18" t="s">
        <v>304</v>
      </c>
      <c r="E170" s="55" t="s">
        <v>583</v>
      </c>
      <c r="F170" s="55" t="s">
        <v>702</v>
      </c>
      <c r="G170" s="18" t="str">
        <f t="shared" si="7"/>
        <v>대형 서클리움 정제소</v>
      </c>
      <c r="H170" s="18" t="str">
        <f>VLOOKUP(F170, Factor!$CO$4:$CR$10, 2, 0)</f>
        <v>공업</v>
      </c>
      <c r="I170" s="18" t="str">
        <f>VLOOKUP(F170, Factor!$CO$4:$CR$10, 3, 0)</f>
        <v>siecleium</v>
      </c>
      <c r="J170" s="18">
        <v>1</v>
      </c>
      <c r="K170" s="18">
        <v>1</v>
      </c>
      <c r="L170" s="18">
        <v>1</v>
      </c>
      <c r="M170" s="18">
        <v>1</v>
      </c>
      <c r="N170" s="18">
        <v>1</v>
      </c>
      <c r="O170" s="18" cm="1">
        <f t="array" ref="O170">J170*VLOOKUP($H170, Factor!$AN$4:$AS$36, 2, 0)*INDEX(Factor!$AN$41:$AS$87, _xlfn.XMATCH($C170, Factor!$AN$41:$AN$87, -1), 2)*IFERROR(VLOOKUP($I170, Factor!$AU$4:$AX$9, 2, 0),1)</f>
        <v>0</v>
      </c>
      <c r="P170" s="18" cm="1">
        <f t="array" ref="P170">K170*VLOOKUP($H170, Factor!$AN$4:$AS$36, 3, 0)*INDEX(Factor!$AN$41:$AS$87, _xlfn.XMATCH($C170, Factor!$AN$41:$AN$87, -1), 3)*IFERROR(VLOOKUP($I170, Factor!$AU$4:$AX$9, 3, 0),1)</f>
        <v>24</v>
      </c>
      <c r="Q170" s="18" cm="1">
        <f t="array" ref="Q170">L170*VLOOKUP($H170, Factor!$AN$4:$AS$36, 4, 0)*INDEX(Factor!$AN$41:$AS$87, _xlfn.XMATCH($C170, Factor!$AN$41:$AN$87, -1), 4)</f>
        <v>0</v>
      </c>
      <c r="R170" s="18" cm="1">
        <f t="array" ref="R170">M170*VLOOKUP($H170, Factor!$AN$4:$AS$36, 5, 0)*INDEX(Factor!$AN$41:$AS$87, _xlfn.XMATCH($C170, Factor!$AN$41:$AN$87, -1), 5)</f>
        <v>0</v>
      </c>
      <c r="S170" s="18" cm="1">
        <f t="array" ref="S170">N170*VLOOKUP($H170, Factor!$AN$4:$AS$36, 6, 0)*INDEX(Factor!$AN$41:$AS$87, _xlfn.XMATCH($C170, Factor!$AN$41:$AN$87, -1), 6)*IFERROR(VLOOKUP($I170, Factor!$AU$4:$AX$9, 4, 0),1)</f>
        <v>12000</v>
      </c>
      <c r="T170" s="19"/>
    </row>
    <row r="171" spans="1:20" ht="15.75" customHeight="1" x14ac:dyDescent="0.2">
      <c r="A171" s="14" t="str">
        <f>"parlor_"&amp;VLOOKUP(F171, Factor!$CO$4:$CR$10, 4, 0)&amp;D171&amp;"_"&amp;VLOOKUP(E171, Factor!$CS$4:$CT$13, 2, 0)</f>
        <v>parlor_Trans_Inven_T8_003</v>
      </c>
      <c r="B171" s="15" t="str">
        <f t="shared" si="6"/>
        <v>T8 대형 화물 수송 칸</v>
      </c>
      <c r="C171" s="15">
        <f>VLOOKUP(D171, Factor!$AM$41:$AN$50, 2, 0)</f>
        <v>40000</v>
      </c>
      <c r="D171" s="15" t="s">
        <v>304</v>
      </c>
      <c r="E171" s="56" t="s">
        <v>583</v>
      </c>
      <c r="F171" s="56" t="s">
        <v>703</v>
      </c>
      <c r="G171" s="15" t="str">
        <f t="shared" si="7"/>
        <v>대형 화물 수송 칸</v>
      </c>
      <c r="H171" s="15" t="str">
        <f>VLOOKUP(F171, Factor!$CO$4:$CR$10, 2, 0)</f>
        <v>물자수송</v>
      </c>
      <c r="I171" s="15" t="str">
        <f>VLOOKUP(F171, Factor!$CO$4:$CR$10, 3, 0)</f>
        <v>null</v>
      </c>
      <c r="J171" s="15">
        <v>1</v>
      </c>
      <c r="K171" s="15">
        <v>1</v>
      </c>
      <c r="L171" s="15">
        <v>1</v>
      </c>
      <c r="M171" s="15">
        <v>1</v>
      </c>
      <c r="N171" s="15">
        <v>1</v>
      </c>
      <c r="O171" s="15" cm="1">
        <f t="array" ref="O171">J171*VLOOKUP($H171, Factor!$AN$4:$AS$36, 2, 0)*INDEX(Factor!$AN$41:$AS$87, _xlfn.XMATCH($C171, Factor!$AN$41:$AN$87, -1), 2)*IFERROR(VLOOKUP($I171, Factor!$AU$4:$AX$9, 2, 0),1)</f>
        <v>0</v>
      </c>
      <c r="P171" s="15" cm="1">
        <f t="array" ref="P171">K171*VLOOKUP($H171, Factor!$AN$4:$AS$36, 3, 0)*INDEX(Factor!$AN$41:$AS$87, _xlfn.XMATCH($C171, Factor!$AN$41:$AN$87, -1), 3)*IFERROR(VLOOKUP($I171, Factor!$AU$4:$AX$9, 3, 0),1)</f>
        <v>0</v>
      </c>
      <c r="Q171" s="15" cm="1">
        <f t="array" ref="Q171">L171*VLOOKUP($H171, Factor!$AN$4:$AS$36, 4, 0)*INDEX(Factor!$AN$41:$AS$87, _xlfn.XMATCH($C171, Factor!$AN$41:$AN$87, -1), 4)</f>
        <v>4.8</v>
      </c>
      <c r="R171" s="15" cm="1">
        <f t="array" ref="R171">M171*VLOOKUP($H171, Factor!$AN$4:$AS$36, 5, 0)*INDEX(Factor!$AN$41:$AS$87, _xlfn.XMATCH($C171, Factor!$AN$41:$AN$87, -1), 5)</f>
        <v>0</v>
      </c>
      <c r="S171" s="15" cm="1">
        <f t="array" ref="S171">N171*VLOOKUP($H171, Factor!$AN$4:$AS$36, 6, 0)*INDEX(Factor!$AN$41:$AS$87, _xlfn.XMATCH($C171, Factor!$AN$41:$AN$87, -1), 6)*IFERROR(VLOOKUP($I171, Factor!$AU$4:$AX$9, 4, 0),1)</f>
        <v>4800</v>
      </c>
      <c r="T171" s="16"/>
    </row>
    <row r="172" spans="1:20" ht="15.75" customHeight="1" x14ac:dyDescent="0.2">
      <c r="A172" s="17" t="str">
        <f>"parlor_"&amp;VLOOKUP(F172, Factor!$CO$4:$CR$10, 4, 0)&amp;D172&amp;"_"&amp;VLOOKUP(E172, Factor!$CS$4:$CT$13, 2, 0)</f>
        <v>parlor_Trans_Pass_T8_003</v>
      </c>
      <c r="B172" s="18" t="str">
        <f t="shared" si="6"/>
        <v>T8 대형 인원 수송 칸</v>
      </c>
      <c r="C172" s="18">
        <f>VLOOKUP(D172, Factor!$AM$41:$AN$50, 2, 0)</f>
        <v>40000</v>
      </c>
      <c r="D172" s="18" t="s">
        <v>304</v>
      </c>
      <c r="E172" s="55" t="s">
        <v>583</v>
      </c>
      <c r="F172" s="55" t="s">
        <v>704</v>
      </c>
      <c r="G172" s="18" t="str">
        <f t="shared" si="7"/>
        <v>대형 인원 수송 칸</v>
      </c>
      <c r="H172" s="18" t="str">
        <f>VLOOKUP(F172, Factor!$CO$4:$CR$10, 2, 0)</f>
        <v>인원수송</v>
      </c>
      <c r="I172" s="18" t="str">
        <f>VLOOKUP(F172, Factor!$CO$4:$CR$10, 3, 0)</f>
        <v>null</v>
      </c>
      <c r="J172" s="18">
        <v>1</v>
      </c>
      <c r="K172" s="18">
        <v>1</v>
      </c>
      <c r="L172" s="18">
        <v>1</v>
      </c>
      <c r="M172" s="18">
        <v>1</v>
      </c>
      <c r="N172" s="18">
        <v>1</v>
      </c>
      <c r="O172" s="18" cm="1">
        <f t="array" ref="O172">J172*VLOOKUP($H172, Factor!$AN$4:$AS$36, 2, 0)*INDEX(Factor!$AN$41:$AS$87, _xlfn.XMATCH($C172, Factor!$AN$41:$AN$87, -1), 2)*IFERROR(VLOOKUP($I172, Factor!$AU$4:$AX$9, 2, 0),1)</f>
        <v>0</v>
      </c>
      <c r="P172" s="18" cm="1">
        <f t="array" ref="P172">K172*VLOOKUP($H172, Factor!$AN$4:$AS$36, 3, 0)*INDEX(Factor!$AN$41:$AS$87, _xlfn.XMATCH($C172, Factor!$AN$41:$AN$87, -1), 3)*IFERROR(VLOOKUP($I172, Factor!$AU$4:$AX$9, 3, 0),1)</f>
        <v>0</v>
      </c>
      <c r="Q172" s="18" cm="1">
        <f t="array" ref="Q172">L172*VLOOKUP($H172, Factor!$AN$4:$AS$36, 4, 0)*INDEX(Factor!$AN$41:$AS$87, _xlfn.XMATCH($C172, Factor!$AN$41:$AN$87, -1), 4)</f>
        <v>0</v>
      </c>
      <c r="R172" s="18" cm="1">
        <f t="array" ref="R172">M172*VLOOKUP($H172, Factor!$AN$4:$AS$36, 5, 0)*INDEX(Factor!$AN$41:$AS$87, _xlfn.XMATCH($C172, Factor!$AN$41:$AN$87, -1), 5)</f>
        <v>9.6</v>
      </c>
      <c r="S172" s="18" cm="1">
        <f t="array" ref="S172">N172*VLOOKUP($H172, Factor!$AN$4:$AS$36, 6, 0)*INDEX(Factor!$AN$41:$AS$87, _xlfn.XMATCH($C172, Factor!$AN$41:$AN$87, -1), 6)*IFERROR(VLOOKUP($I172, Factor!$AU$4:$AX$9, 4, 0),1)</f>
        <v>2400</v>
      </c>
      <c r="T172" s="19"/>
    </row>
    <row r="173" spans="1:20" ht="15.75" customHeight="1" x14ac:dyDescent="0.2">
      <c r="A173" s="14" t="str">
        <f>"parlor_"&amp;VLOOKUP(F173, Factor!$CO$4:$CR$10, 4, 0)&amp;D173&amp;"_"&amp;VLOOKUP(E173, Factor!$CS$4:$CT$13, 2, 0)</f>
        <v>parlor_Prod_Food_T9_001</v>
      </c>
      <c r="B173" s="15" t="str">
        <f t="shared" si="6"/>
        <v>T9 표준 스마트팜</v>
      </c>
      <c r="C173" s="15">
        <f>VLOOKUP(D173, Factor!$AM$41:$AN$50, 2, 0)</f>
        <v>45000</v>
      </c>
      <c r="D173" s="15" t="s">
        <v>327</v>
      </c>
      <c r="E173" s="56" t="s">
        <v>582</v>
      </c>
      <c r="F173" s="56" t="s">
        <v>695</v>
      </c>
      <c r="G173" s="15" t="str">
        <f t="shared" si="7"/>
        <v>표준 스마트팜</v>
      </c>
      <c r="H173" s="15" t="str">
        <f>VLOOKUP(F173, Factor!$CO$4:$CR$10, 2, 0)</f>
        <v>생산</v>
      </c>
      <c r="I173" s="15" t="str">
        <f>VLOOKUP(F173, Factor!$CO$4:$CR$10, 3, 0)</f>
        <v>food</v>
      </c>
      <c r="J173" s="15">
        <v>1</v>
      </c>
      <c r="K173" s="15">
        <v>1</v>
      </c>
      <c r="L173" s="15">
        <v>1</v>
      </c>
      <c r="M173" s="15">
        <v>1</v>
      </c>
      <c r="N173" s="15">
        <v>1</v>
      </c>
      <c r="O173" s="15" cm="1">
        <f t="array" ref="O173">J173*VLOOKUP($H173, Factor!$AN$4:$AS$36, 2, 0)*INDEX(Factor!$AN$41:$AS$87, _xlfn.XMATCH($C173, Factor!$AN$41:$AN$87, -1), 2)*IFERROR(VLOOKUP($I173, Factor!$AU$4:$AX$9, 2, 0),1)</f>
        <v>26</v>
      </c>
      <c r="P173" s="15" cm="1">
        <f t="array" ref="P173">K173*VLOOKUP($H173, Factor!$AN$4:$AS$36, 3, 0)*INDEX(Factor!$AN$41:$AS$87, _xlfn.XMATCH($C173, Factor!$AN$41:$AN$87, -1), 3)*IFERROR(VLOOKUP($I173, Factor!$AU$4:$AX$9, 3, 0),1)</f>
        <v>0</v>
      </c>
      <c r="Q173" s="15" cm="1">
        <f t="array" ref="Q173">L173*VLOOKUP($H173, Factor!$AN$4:$AS$36, 4, 0)*INDEX(Factor!$AN$41:$AS$87, _xlfn.XMATCH($C173, Factor!$AN$41:$AN$87, -1), 4)</f>
        <v>2.6</v>
      </c>
      <c r="R173" s="15" cm="1">
        <f t="array" ref="R173">M173*VLOOKUP($H173, Factor!$AN$4:$AS$36, 5, 0)*INDEX(Factor!$AN$41:$AS$87, _xlfn.XMATCH($C173, Factor!$AN$41:$AN$87, -1), 5)</f>
        <v>2.6</v>
      </c>
      <c r="S173" s="15" cm="1">
        <f t="array" ref="S173">N173*VLOOKUP($H173, Factor!$AN$4:$AS$36, 6, 0)*INDEX(Factor!$AN$41:$AS$87, _xlfn.XMATCH($C173, Factor!$AN$41:$AN$87, -1), 6)*IFERROR(VLOOKUP($I173, Factor!$AU$4:$AX$9, 4, 0),1)</f>
        <v>13000</v>
      </c>
      <c r="T173" s="16"/>
    </row>
    <row r="174" spans="1:20" ht="15.75" customHeight="1" x14ac:dyDescent="0.2">
      <c r="A174" s="17" t="str">
        <f>"parlor_"&amp;VLOOKUP(F174, Factor!$CO$4:$CR$10, 4, 0)&amp;D174&amp;"_"&amp;VLOOKUP(E174, Factor!$CS$4:$CT$13, 2, 0)</f>
        <v>parlor_Indu_Ammo_T9_001</v>
      </c>
      <c r="B174" s="18" t="str">
        <f t="shared" si="6"/>
        <v>T9 표준 탄약공장</v>
      </c>
      <c r="C174" s="18">
        <f>VLOOKUP(D174, Factor!$AM$41:$AN$50, 2, 0)</f>
        <v>45000</v>
      </c>
      <c r="D174" s="18" t="s">
        <v>327</v>
      </c>
      <c r="E174" s="55" t="s">
        <v>582</v>
      </c>
      <c r="F174" s="55" t="s">
        <v>696</v>
      </c>
      <c r="G174" s="18" t="str">
        <f t="shared" si="7"/>
        <v>표준 탄약공장</v>
      </c>
      <c r="H174" s="18" t="str">
        <f>VLOOKUP(F174, Factor!$CO$4:$CR$10, 2, 0)</f>
        <v>공업</v>
      </c>
      <c r="I174" s="18" t="str">
        <f>VLOOKUP(F174, Factor!$CO$4:$CR$10, 3, 0)</f>
        <v>ammo</v>
      </c>
      <c r="J174" s="18">
        <v>1</v>
      </c>
      <c r="K174" s="18">
        <v>1</v>
      </c>
      <c r="L174" s="18">
        <v>1</v>
      </c>
      <c r="M174" s="18">
        <v>1</v>
      </c>
      <c r="N174" s="18">
        <v>1</v>
      </c>
      <c r="O174" s="18" cm="1">
        <f t="array" ref="O174">J174*VLOOKUP($H174, Factor!$AN$4:$AS$36, 2, 0)*INDEX(Factor!$AN$41:$AS$87, _xlfn.XMATCH($C174, Factor!$AN$41:$AN$87, -1), 2)*IFERROR(VLOOKUP($I174, Factor!$AU$4:$AX$9, 2, 0),1)</f>
        <v>0</v>
      </c>
      <c r="P174" s="18" cm="1">
        <f t="array" ref="P174">K174*VLOOKUP($H174, Factor!$AN$4:$AS$36, 3, 0)*INDEX(Factor!$AN$41:$AS$87, _xlfn.XMATCH($C174, Factor!$AN$41:$AN$87, -1), 3)*IFERROR(VLOOKUP($I174, Factor!$AU$4:$AX$9, 3, 0),1)</f>
        <v>26</v>
      </c>
      <c r="Q174" s="18" cm="1">
        <f t="array" ref="Q174">L174*VLOOKUP($H174, Factor!$AN$4:$AS$36, 4, 0)*INDEX(Factor!$AN$41:$AS$87, _xlfn.XMATCH($C174, Factor!$AN$41:$AN$87, -1), 4)</f>
        <v>0</v>
      </c>
      <c r="R174" s="18" cm="1">
        <f t="array" ref="R174">M174*VLOOKUP($H174, Factor!$AN$4:$AS$36, 5, 0)*INDEX(Factor!$AN$41:$AS$87, _xlfn.XMATCH($C174, Factor!$AN$41:$AN$87, -1), 5)</f>
        <v>0</v>
      </c>
      <c r="S174" s="18" cm="1">
        <f t="array" ref="S174">N174*VLOOKUP($H174, Factor!$AN$4:$AS$36, 6, 0)*INDEX(Factor!$AN$41:$AS$87, _xlfn.XMATCH($C174, Factor!$AN$41:$AN$87, -1), 6)*IFERROR(VLOOKUP($I174, Factor!$AU$4:$AX$9, 4, 0),1)</f>
        <v>13000</v>
      </c>
      <c r="T174" s="19"/>
    </row>
    <row r="175" spans="1:20" ht="15.75" customHeight="1" x14ac:dyDescent="0.2">
      <c r="A175" s="14" t="str">
        <f>"parlor_"&amp;VLOOKUP(F175, Factor!$CO$4:$CR$10, 4, 0)&amp;D175&amp;"_"&amp;VLOOKUP(E175, Factor!$CS$4:$CT$13, 2, 0)</f>
        <v>parlor_Indu_Shell_T9_001</v>
      </c>
      <c r="B175" s="15" t="str">
        <f t="shared" si="6"/>
        <v>T9 표준 포탄공장</v>
      </c>
      <c r="C175" s="15">
        <f>VLOOKUP(D175, Factor!$AM$41:$AN$50, 2, 0)</f>
        <v>45000</v>
      </c>
      <c r="D175" s="15" t="s">
        <v>305</v>
      </c>
      <c r="E175" s="56" t="s">
        <v>582</v>
      </c>
      <c r="F175" s="56" t="s">
        <v>697</v>
      </c>
      <c r="G175" s="15" t="str">
        <f t="shared" si="7"/>
        <v>표준 포탄공장</v>
      </c>
      <c r="H175" s="15" t="str">
        <f>VLOOKUP(F175, Factor!$CO$4:$CR$10, 2, 0)</f>
        <v>공업</v>
      </c>
      <c r="I175" s="15" t="str">
        <f>VLOOKUP(F175, Factor!$CO$4:$CR$10, 3, 0)</f>
        <v>shell</v>
      </c>
      <c r="J175" s="15">
        <v>1</v>
      </c>
      <c r="K175" s="15">
        <v>1</v>
      </c>
      <c r="L175" s="15">
        <v>1</v>
      </c>
      <c r="M175" s="15">
        <v>1</v>
      </c>
      <c r="N175" s="15">
        <v>1</v>
      </c>
      <c r="O175" s="15" cm="1">
        <f t="array" ref="O175">J175*VLOOKUP($H175, Factor!$AN$4:$AS$36, 2, 0)*INDEX(Factor!$AN$41:$AS$87, _xlfn.XMATCH($C175, Factor!$AN$41:$AN$87, -1), 2)*IFERROR(VLOOKUP($I175, Factor!$AU$4:$AX$9, 2, 0),1)</f>
        <v>0</v>
      </c>
      <c r="P175" s="15" cm="1">
        <f t="array" ref="P175">K175*VLOOKUP($H175, Factor!$AN$4:$AS$36, 3, 0)*INDEX(Factor!$AN$41:$AS$87, _xlfn.XMATCH($C175, Factor!$AN$41:$AN$87, -1), 3)*IFERROR(VLOOKUP($I175, Factor!$AU$4:$AX$9, 3, 0),1)</f>
        <v>13</v>
      </c>
      <c r="Q175" s="15" cm="1">
        <f t="array" ref="Q175">L175*VLOOKUP($H175, Factor!$AN$4:$AS$36, 4, 0)*INDEX(Factor!$AN$41:$AS$87, _xlfn.XMATCH($C175, Factor!$AN$41:$AN$87, -1), 4)</f>
        <v>0</v>
      </c>
      <c r="R175" s="15" cm="1">
        <f t="array" ref="R175">M175*VLOOKUP($H175, Factor!$AN$4:$AS$36, 5, 0)*INDEX(Factor!$AN$41:$AS$87, _xlfn.XMATCH($C175, Factor!$AN$41:$AN$87, -1), 5)</f>
        <v>0</v>
      </c>
      <c r="S175" s="15" cm="1">
        <f t="array" ref="S175">N175*VLOOKUP($H175, Factor!$AN$4:$AS$36, 6, 0)*INDEX(Factor!$AN$41:$AS$87, _xlfn.XMATCH($C175, Factor!$AN$41:$AN$87, -1), 6)*IFERROR(VLOOKUP($I175, Factor!$AU$4:$AX$9, 4, 0),1)</f>
        <v>15600</v>
      </c>
      <c r="T175" s="16"/>
    </row>
    <row r="176" spans="1:20" ht="15.75" customHeight="1" x14ac:dyDescent="0.2">
      <c r="A176" s="17" t="str">
        <f>"parlor_"&amp;VLOOKUP(F176, Factor!$CO$4:$CR$10, 4, 0)&amp;D176&amp;"_"&amp;VLOOKUP(E176, Factor!$CS$4:$CT$13, 2, 0)</f>
        <v>parlor_Indu_Missile_T9_001</v>
      </c>
      <c r="B176" s="18" t="str">
        <f t="shared" si="6"/>
        <v>T9 표준 미사일공장</v>
      </c>
      <c r="C176" s="18">
        <f>VLOOKUP(D176, Factor!$AM$41:$AN$50, 2, 0)</f>
        <v>45000</v>
      </c>
      <c r="D176" s="18" t="s">
        <v>305</v>
      </c>
      <c r="E176" s="55" t="s">
        <v>582</v>
      </c>
      <c r="F176" s="55" t="s">
        <v>698</v>
      </c>
      <c r="G176" s="18" t="str">
        <f t="shared" si="7"/>
        <v>표준 미사일공장</v>
      </c>
      <c r="H176" s="18" t="str">
        <f>VLOOKUP(F176, Factor!$CO$4:$CR$10, 2, 0)</f>
        <v>공업</v>
      </c>
      <c r="I176" s="18" t="str">
        <f>VLOOKUP(F176, Factor!$CO$4:$CR$10, 3, 0)</f>
        <v>missile</v>
      </c>
      <c r="J176" s="18">
        <v>1</v>
      </c>
      <c r="K176" s="18">
        <v>1</v>
      </c>
      <c r="L176" s="18">
        <v>1</v>
      </c>
      <c r="M176" s="18">
        <v>1</v>
      </c>
      <c r="N176" s="18">
        <v>1</v>
      </c>
      <c r="O176" s="18" cm="1">
        <f t="array" ref="O176">J176*VLOOKUP($H176, Factor!$AN$4:$AS$36, 2, 0)*INDEX(Factor!$AN$41:$AS$87, _xlfn.XMATCH($C176, Factor!$AN$41:$AN$87, -1), 2)*IFERROR(VLOOKUP($I176, Factor!$AU$4:$AX$9, 2, 0),1)</f>
        <v>0</v>
      </c>
      <c r="P176" s="18" cm="1">
        <f t="array" ref="P176">K176*VLOOKUP($H176, Factor!$AN$4:$AS$36, 3, 0)*INDEX(Factor!$AN$41:$AS$87, _xlfn.XMATCH($C176, Factor!$AN$41:$AN$87, -1), 3)*IFERROR(VLOOKUP($I176, Factor!$AU$4:$AX$9, 3, 0),1)</f>
        <v>5.2</v>
      </c>
      <c r="Q176" s="18" cm="1">
        <f t="array" ref="Q176">L176*VLOOKUP($H176, Factor!$AN$4:$AS$36, 4, 0)*INDEX(Factor!$AN$41:$AS$87, _xlfn.XMATCH($C176, Factor!$AN$41:$AN$87, -1), 4)</f>
        <v>0</v>
      </c>
      <c r="R176" s="18" cm="1">
        <f t="array" ref="R176">M176*VLOOKUP($H176, Factor!$AN$4:$AS$36, 5, 0)*INDEX(Factor!$AN$41:$AS$87, _xlfn.XMATCH($C176, Factor!$AN$41:$AN$87, -1), 5)</f>
        <v>0</v>
      </c>
      <c r="S176" s="18" cm="1">
        <f t="array" ref="S176">N176*VLOOKUP($H176, Factor!$AN$4:$AS$36, 6, 0)*INDEX(Factor!$AN$41:$AS$87, _xlfn.XMATCH($C176, Factor!$AN$41:$AN$87, -1), 6)*IFERROR(VLOOKUP($I176, Factor!$AU$4:$AX$9, 4, 0),1)</f>
        <v>16900</v>
      </c>
      <c r="T176" s="19"/>
    </row>
    <row r="177" spans="1:20" ht="15.75" customHeight="1" x14ac:dyDescent="0.2">
      <c r="A177" s="14" t="str">
        <f>"parlor_"&amp;VLOOKUP(F177, Factor!$CO$4:$CR$10, 4, 0)&amp;D177&amp;"_"&amp;VLOOKUP(E177, Factor!$CS$4:$CT$13, 2, 0)</f>
        <v>parlor_Indu_Siecleium_T9_001</v>
      </c>
      <c r="B177" s="15" t="str">
        <f t="shared" si="6"/>
        <v>T9 표준 서클리움 정제소</v>
      </c>
      <c r="C177" s="15">
        <f>VLOOKUP(D177, Factor!$AM$41:$AN$50, 2, 0)</f>
        <v>45000</v>
      </c>
      <c r="D177" s="15" t="s">
        <v>305</v>
      </c>
      <c r="E177" s="56" t="s">
        <v>582</v>
      </c>
      <c r="F177" s="56" t="s">
        <v>702</v>
      </c>
      <c r="G177" s="15" t="str">
        <f t="shared" si="7"/>
        <v>표준 서클리움 정제소</v>
      </c>
      <c r="H177" s="15" t="str">
        <f>VLOOKUP(F177, Factor!$CO$4:$CR$10, 2, 0)</f>
        <v>공업</v>
      </c>
      <c r="I177" s="15" t="str">
        <f>VLOOKUP(F177, Factor!$CO$4:$CR$10, 3, 0)</f>
        <v>siecleium</v>
      </c>
      <c r="J177" s="15">
        <v>1</v>
      </c>
      <c r="K177" s="15">
        <v>1</v>
      </c>
      <c r="L177" s="15">
        <v>1</v>
      </c>
      <c r="M177" s="15">
        <v>1</v>
      </c>
      <c r="N177" s="15">
        <v>1</v>
      </c>
      <c r="O177" s="15" cm="1">
        <f t="array" ref="O177">J177*VLOOKUP($H177, Factor!$AN$4:$AS$36, 2, 0)*INDEX(Factor!$AN$41:$AS$87, _xlfn.XMATCH($C177, Factor!$AN$41:$AN$87, -1), 2)*IFERROR(VLOOKUP($I177, Factor!$AU$4:$AX$9, 2, 0),1)</f>
        <v>0</v>
      </c>
      <c r="P177" s="15" cm="1">
        <f t="array" ref="P177">K177*VLOOKUP($H177, Factor!$AN$4:$AS$36, 3, 0)*INDEX(Factor!$AN$41:$AS$87, _xlfn.XMATCH($C177, Factor!$AN$41:$AN$87, -1), 3)*IFERROR(VLOOKUP($I177, Factor!$AU$4:$AX$9, 3, 0),1)</f>
        <v>26</v>
      </c>
      <c r="Q177" s="15" cm="1">
        <f t="array" ref="Q177">L177*VLOOKUP($H177, Factor!$AN$4:$AS$36, 4, 0)*INDEX(Factor!$AN$41:$AS$87, _xlfn.XMATCH($C177, Factor!$AN$41:$AN$87, -1), 4)</f>
        <v>0</v>
      </c>
      <c r="R177" s="15" cm="1">
        <f t="array" ref="R177">M177*VLOOKUP($H177, Factor!$AN$4:$AS$36, 5, 0)*INDEX(Factor!$AN$41:$AS$87, _xlfn.XMATCH($C177, Factor!$AN$41:$AN$87, -1), 5)</f>
        <v>0</v>
      </c>
      <c r="S177" s="15" cm="1">
        <f t="array" ref="S177">N177*VLOOKUP($H177, Factor!$AN$4:$AS$36, 6, 0)*INDEX(Factor!$AN$41:$AS$87, _xlfn.XMATCH($C177, Factor!$AN$41:$AN$87, -1), 6)*IFERROR(VLOOKUP($I177, Factor!$AU$4:$AX$9, 4, 0),1)</f>
        <v>13000</v>
      </c>
      <c r="T177" s="16"/>
    </row>
    <row r="178" spans="1:20" ht="15.75" customHeight="1" x14ac:dyDescent="0.2">
      <c r="A178" s="17" t="str">
        <f>"parlor_"&amp;VLOOKUP(F178, Factor!$CO$4:$CR$10, 4, 0)&amp;D178&amp;"_"&amp;VLOOKUP(E178, Factor!$CS$4:$CT$13, 2, 0)</f>
        <v>parlor_Trans_Inven_T9_001</v>
      </c>
      <c r="B178" s="18" t="str">
        <f t="shared" si="6"/>
        <v>T9 표준 화물 수송 칸</v>
      </c>
      <c r="C178" s="18">
        <f>VLOOKUP(D178, Factor!$AM$41:$AN$50, 2, 0)</f>
        <v>45000</v>
      </c>
      <c r="D178" s="18" t="s">
        <v>305</v>
      </c>
      <c r="E178" s="55" t="s">
        <v>582</v>
      </c>
      <c r="F178" s="55" t="s">
        <v>703</v>
      </c>
      <c r="G178" s="18" t="str">
        <f t="shared" si="7"/>
        <v>표준 화물 수송 칸</v>
      </c>
      <c r="H178" s="18" t="str">
        <f>VLOOKUP(F178, Factor!$CO$4:$CR$10, 2, 0)</f>
        <v>물자수송</v>
      </c>
      <c r="I178" s="18" t="str">
        <f>VLOOKUP(F178, Factor!$CO$4:$CR$10, 3, 0)</f>
        <v>null</v>
      </c>
      <c r="J178" s="18">
        <v>1</v>
      </c>
      <c r="K178" s="18">
        <v>1</v>
      </c>
      <c r="L178" s="18">
        <v>1</v>
      </c>
      <c r="M178" s="18">
        <v>1</v>
      </c>
      <c r="N178" s="18">
        <v>1</v>
      </c>
      <c r="O178" s="18" cm="1">
        <f t="array" ref="O178">J178*VLOOKUP($H178, Factor!$AN$4:$AS$36, 2, 0)*INDEX(Factor!$AN$41:$AS$87, _xlfn.XMATCH($C178, Factor!$AN$41:$AN$87, -1), 2)*IFERROR(VLOOKUP($I178, Factor!$AU$4:$AX$9, 2, 0),1)</f>
        <v>0</v>
      </c>
      <c r="P178" s="18" cm="1">
        <f t="array" ref="P178">K178*VLOOKUP($H178, Factor!$AN$4:$AS$36, 3, 0)*INDEX(Factor!$AN$41:$AS$87, _xlfn.XMATCH($C178, Factor!$AN$41:$AN$87, -1), 3)*IFERROR(VLOOKUP($I178, Factor!$AU$4:$AX$9, 3, 0),1)</f>
        <v>0</v>
      </c>
      <c r="Q178" s="18" cm="1">
        <f t="array" ref="Q178">L178*VLOOKUP($H178, Factor!$AN$4:$AS$36, 4, 0)*INDEX(Factor!$AN$41:$AS$87, _xlfn.XMATCH($C178, Factor!$AN$41:$AN$87, -1), 4)</f>
        <v>5.2</v>
      </c>
      <c r="R178" s="18" cm="1">
        <f t="array" ref="R178">M178*VLOOKUP($H178, Factor!$AN$4:$AS$36, 5, 0)*INDEX(Factor!$AN$41:$AS$87, _xlfn.XMATCH($C178, Factor!$AN$41:$AN$87, -1), 5)</f>
        <v>0</v>
      </c>
      <c r="S178" s="18" cm="1">
        <f t="array" ref="S178">N178*VLOOKUP($H178, Factor!$AN$4:$AS$36, 6, 0)*INDEX(Factor!$AN$41:$AS$87, _xlfn.XMATCH($C178, Factor!$AN$41:$AN$87, -1), 6)*IFERROR(VLOOKUP($I178, Factor!$AU$4:$AX$9, 4, 0),1)</f>
        <v>5200</v>
      </c>
      <c r="T178" s="19"/>
    </row>
    <row r="179" spans="1:20" ht="15.75" customHeight="1" x14ac:dyDescent="0.2">
      <c r="A179" s="14" t="str">
        <f>"parlor_"&amp;VLOOKUP(F179, Factor!$CO$4:$CR$10, 4, 0)&amp;D179&amp;"_"&amp;VLOOKUP(E179, Factor!$CS$4:$CT$13, 2, 0)</f>
        <v>parlor_Trans_Pass_T9_001</v>
      </c>
      <c r="B179" s="15" t="str">
        <f t="shared" si="6"/>
        <v>T9 표준 인원 수송 칸</v>
      </c>
      <c r="C179" s="15">
        <f>VLOOKUP(D179, Factor!$AM$41:$AN$50, 2, 0)</f>
        <v>45000</v>
      </c>
      <c r="D179" s="15" t="s">
        <v>305</v>
      </c>
      <c r="E179" s="56" t="s">
        <v>582</v>
      </c>
      <c r="F179" s="56" t="s">
        <v>704</v>
      </c>
      <c r="G179" s="15" t="str">
        <f t="shared" si="7"/>
        <v>표준 인원 수송 칸</v>
      </c>
      <c r="H179" s="15" t="str">
        <f>VLOOKUP(F179, Factor!$CO$4:$CR$10, 2, 0)</f>
        <v>인원수송</v>
      </c>
      <c r="I179" s="15" t="str">
        <f>VLOOKUP(F179, Factor!$CO$4:$CR$10, 3, 0)</f>
        <v>null</v>
      </c>
      <c r="J179" s="15">
        <v>1</v>
      </c>
      <c r="K179" s="15">
        <v>1</v>
      </c>
      <c r="L179" s="15">
        <v>1</v>
      </c>
      <c r="M179" s="15">
        <v>1</v>
      </c>
      <c r="N179" s="15">
        <v>1</v>
      </c>
      <c r="O179" s="15" cm="1">
        <f t="array" ref="O179">J179*VLOOKUP($H179, Factor!$AN$4:$AS$36, 2, 0)*INDEX(Factor!$AN$41:$AS$87, _xlfn.XMATCH($C179, Factor!$AN$41:$AN$87, -1), 2)*IFERROR(VLOOKUP($I179, Factor!$AU$4:$AX$9, 2, 0),1)</f>
        <v>0</v>
      </c>
      <c r="P179" s="15" cm="1">
        <f t="array" ref="P179">K179*VLOOKUP($H179, Factor!$AN$4:$AS$36, 3, 0)*INDEX(Factor!$AN$41:$AS$87, _xlfn.XMATCH($C179, Factor!$AN$41:$AN$87, -1), 3)*IFERROR(VLOOKUP($I179, Factor!$AU$4:$AX$9, 3, 0),1)</f>
        <v>0</v>
      </c>
      <c r="Q179" s="15" cm="1">
        <f t="array" ref="Q179">L179*VLOOKUP($H179, Factor!$AN$4:$AS$36, 4, 0)*INDEX(Factor!$AN$41:$AS$87, _xlfn.XMATCH($C179, Factor!$AN$41:$AN$87, -1), 4)</f>
        <v>0</v>
      </c>
      <c r="R179" s="15" cm="1">
        <f t="array" ref="R179">M179*VLOOKUP($H179, Factor!$AN$4:$AS$36, 5, 0)*INDEX(Factor!$AN$41:$AS$87, _xlfn.XMATCH($C179, Factor!$AN$41:$AN$87, -1), 5)</f>
        <v>10.4</v>
      </c>
      <c r="S179" s="15" cm="1">
        <f t="array" ref="S179">N179*VLOOKUP($H179, Factor!$AN$4:$AS$36, 6, 0)*INDEX(Factor!$AN$41:$AS$87, _xlfn.XMATCH($C179, Factor!$AN$41:$AN$87, -1), 6)*IFERROR(VLOOKUP($I179, Factor!$AU$4:$AX$9, 4, 0),1)</f>
        <v>2600</v>
      </c>
      <c r="T179" s="16"/>
    </row>
    <row r="180" spans="1:20" ht="15.75" customHeight="1" x14ac:dyDescent="0.2">
      <c r="A180" s="17" t="str">
        <f>"parlor_"&amp;VLOOKUP(F180, Factor!$CO$4:$CR$10, 4, 0)&amp;D180&amp;"_"&amp;VLOOKUP(E180, Factor!$CS$4:$CT$13, 2, 0)</f>
        <v>parlor_Prod_Food_T9_002</v>
      </c>
      <c r="B180" s="18" t="str">
        <f t="shared" si="6"/>
        <v>T9 경량 스마트팜</v>
      </c>
      <c r="C180" s="18">
        <f>VLOOKUP(D180, Factor!$AM$41:$AN$50, 2, 0)</f>
        <v>45000</v>
      </c>
      <c r="D180" s="18" t="s">
        <v>305</v>
      </c>
      <c r="E180" s="55" t="s">
        <v>585</v>
      </c>
      <c r="F180" s="55" t="s">
        <v>695</v>
      </c>
      <c r="G180" s="18" t="str">
        <f t="shared" si="7"/>
        <v>경량 스마트팜</v>
      </c>
      <c r="H180" s="18" t="str">
        <f>VLOOKUP(F180, Factor!$CO$4:$CR$10, 2, 0)</f>
        <v>생산</v>
      </c>
      <c r="I180" s="18" t="str">
        <f>VLOOKUP(F180, Factor!$CO$4:$CR$10, 3, 0)</f>
        <v>food</v>
      </c>
      <c r="J180" s="18">
        <v>1</v>
      </c>
      <c r="K180" s="18">
        <v>1</v>
      </c>
      <c r="L180" s="18">
        <v>1</v>
      </c>
      <c r="M180" s="18">
        <v>1</v>
      </c>
      <c r="N180" s="18">
        <v>1</v>
      </c>
      <c r="O180" s="18" cm="1">
        <f t="array" ref="O180">J180*VLOOKUP($H180, Factor!$AN$4:$AS$36, 2, 0)*INDEX(Factor!$AN$41:$AS$87, _xlfn.XMATCH($C180, Factor!$AN$41:$AN$87, -1), 2)*IFERROR(VLOOKUP($I180, Factor!$AU$4:$AX$9, 2, 0),1)</f>
        <v>26</v>
      </c>
      <c r="P180" s="18" cm="1">
        <f t="array" ref="P180">K180*VLOOKUP($H180, Factor!$AN$4:$AS$36, 3, 0)*INDEX(Factor!$AN$41:$AS$87, _xlfn.XMATCH($C180, Factor!$AN$41:$AN$87, -1), 3)*IFERROR(VLOOKUP($I180, Factor!$AU$4:$AX$9, 3, 0),1)</f>
        <v>0</v>
      </c>
      <c r="Q180" s="18" cm="1">
        <f t="array" ref="Q180">L180*VLOOKUP($H180, Factor!$AN$4:$AS$36, 4, 0)*INDEX(Factor!$AN$41:$AS$87, _xlfn.XMATCH($C180, Factor!$AN$41:$AN$87, -1), 4)</f>
        <v>2.6</v>
      </c>
      <c r="R180" s="18" cm="1">
        <f t="array" ref="R180">M180*VLOOKUP($H180, Factor!$AN$4:$AS$36, 5, 0)*INDEX(Factor!$AN$41:$AS$87, _xlfn.XMATCH($C180, Factor!$AN$41:$AN$87, -1), 5)</f>
        <v>2.6</v>
      </c>
      <c r="S180" s="18" cm="1">
        <f t="array" ref="S180">N180*VLOOKUP($H180, Factor!$AN$4:$AS$36, 6, 0)*INDEX(Factor!$AN$41:$AS$87, _xlfn.XMATCH($C180, Factor!$AN$41:$AN$87, -1), 6)*IFERROR(VLOOKUP($I180, Factor!$AU$4:$AX$9, 4, 0),1)</f>
        <v>13000</v>
      </c>
      <c r="T180" s="19"/>
    </row>
    <row r="181" spans="1:20" ht="15.75" customHeight="1" x14ac:dyDescent="0.2">
      <c r="A181" s="14" t="str">
        <f>"parlor_"&amp;VLOOKUP(F181, Factor!$CO$4:$CR$10, 4, 0)&amp;D181&amp;"_"&amp;VLOOKUP(E181, Factor!$CS$4:$CT$13, 2, 0)</f>
        <v>parlor_Indu_Ammo_T9_002</v>
      </c>
      <c r="B181" s="15" t="str">
        <f t="shared" si="6"/>
        <v>T9 경량 탄약공장</v>
      </c>
      <c r="C181" s="15">
        <f>VLOOKUP(D181, Factor!$AM$41:$AN$50, 2, 0)</f>
        <v>45000</v>
      </c>
      <c r="D181" s="15" t="s">
        <v>305</v>
      </c>
      <c r="E181" s="56" t="s">
        <v>585</v>
      </c>
      <c r="F181" s="56" t="s">
        <v>696</v>
      </c>
      <c r="G181" s="15" t="str">
        <f t="shared" si="7"/>
        <v>경량 탄약공장</v>
      </c>
      <c r="H181" s="15" t="str">
        <f>VLOOKUP(F181, Factor!$CO$4:$CR$10, 2, 0)</f>
        <v>공업</v>
      </c>
      <c r="I181" s="15" t="str">
        <f>VLOOKUP(F181, Factor!$CO$4:$CR$10, 3, 0)</f>
        <v>ammo</v>
      </c>
      <c r="J181" s="15">
        <v>1</v>
      </c>
      <c r="K181" s="15">
        <v>1</v>
      </c>
      <c r="L181" s="15">
        <v>1</v>
      </c>
      <c r="M181" s="15">
        <v>1</v>
      </c>
      <c r="N181" s="15">
        <v>1</v>
      </c>
      <c r="O181" s="15" cm="1">
        <f t="array" ref="O181">J181*VLOOKUP($H181, Factor!$AN$4:$AS$36, 2, 0)*INDEX(Factor!$AN$41:$AS$87, _xlfn.XMATCH($C181, Factor!$AN$41:$AN$87, -1), 2)*IFERROR(VLOOKUP($I181, Factor!$AU$4:$AX$9, 2, 0),1)</f>
        <v>0</v>
      </c>
      <c r="P181" s="15" cm="1">
        <f t="array" ref="P181">K181*VLOOKUP($H181, Factor!$AN$4:$AS$36, 3, 0)*INDEX(Factor!$AN$41:$AS$87, _xlfn.XMATCH($C181, Factor!$AN$41:$AN$87, -1), 3)*IFERROR(VLOOKUP($I181, Factor!$AU$4:$AX$9, 3, 0),1)</f>
        <v>26</v>
      </c>
      <c r="Q181" s="15" cm="1">
        <f t="array" ref="Q181">L181*VLOOKUP($H181, Factor!$AN$4:$AS$36, 4, 0)*INDEX(Factor!$AN$41:$AS$87, _xlfn.XMATCH($C181, Factor!$AN$41:$AN$87, -1), 4)</f>
        <v>0</v>
      </c>
      <c r="R181" s="15" cm="1">
        <f t="array" ref="R181">M181*VLOOKUP($H181, Factor!$AN$4:$AS$36, 5, 0)*INDEX(Factor!$AN$41:$AS$87, _xlfn.XMATCH($C181, Factor!$AN$41:$AN$87, -1), 5)</f>
        <v>0</v>
      </c>
      <c r="S181" s="15" cm="1">
        <f t="array" ref="S181">N181*VLOOKUP($H181, Factor!$AN$4:$AS$36, 6, 0)*INDEX(Factor!$AN$41:$AS$87, _xlfn.XMATCH($C181, Factor!$AN$41:$AN$87, -1), 6)*IFERROR(VLOOKUP($I181, Factor!$AU$4:$AX$9, 4, 0),1)</f>
        <v>13000</v>
      </c>
      <c r="T181" s="16"/>
    </row>
    <row r="182" spans="1:20" ht="15.75" customHeight="1" x14ac:dyDescent="0.2">
      <c r="A182" s="17" t="str">
        <f>"parlor_"&amp;VLOOKUP(F182, Factor!$CO$4:$CR$10, 4, 0)&amp;D182&amp;"_"&amp;VLOOKUP(E182, Factor!$CS$4:$CT$13, 2, 0)</f>
        <v>parlor_Indu_Shell_T9_002</v>
      </c>
      <c r="B182" s="18" t="str">
        <f t="shared" si="6"/>
        <v>T9 경량 포탄공장</v>
      </c>
      <c r="C182" s="18">
        <f>VLOOKUP(D182, Factor!$AM$41:$AN$50, 2, 0)</f>
        <v>45000</v>
      </c>
      <c r="D182" s="18" t="s">
        <v>305</v>
      </c>
      <c r="E182" s="55" t="s">
        <v>585</v>
      </c>
      <c r="F182" s="55" t="s">
        <v>697</v>
      </c>
      <c r="G182" s="18" t="str">
        <f t="shared" si="7"/>
        <v>경량 포탄공장</v>
      </c>
      <c r="H182" s="18" t="str">
        <f>VLOOKUP(F182, Factor!$CO$4:$CR$10, 2, 0)</f>
        <v>공업</v>
      </c>
      <c r="I182" s="18" t="str">
        <f>VLOOKUP(F182, Factor!$CO$4:$CR$10, 3, 0)</f>
        <v>shell</v>
      </c>
      <c r="J182" s="18">
        <v>1</v>
      </c>
      <c r="K182" s="18">
        <v>1</v>
      </c>
      <c r="L182" s="18">
        <v>1</v>
      </c>
      <c r="M182" s="18">
        <v>1</v>
      </c>
      <c r="N182" s="18">
        <v>1</v>
      </c>
      <c r="O182" s="18" cm="1">
        <f t="array" ref="O182">J182*VLOOKUP($H182, Factor!$AN$4:$AS$36, 2, 0)*INDEX(Factor!$AN$41:$AS$87, _xlfn.XMATCH($C182, Factor!$AN$41:$AN$87, -1), 2)*IFERROR(VLOOKUP($I182, Factor!$AU$4:$AX$9, 2, 0),1)</f>
        <v>0</v>
      </c>
      <c r="P182" s="18" cm="1">
        <f t="array" ref="P182">K182*VLOOKUP($H182, Factor!$AN$4:$AS$36, 3, 0)*INDEX(Factor!$AN$41:$AS$87, _xlfn.XMATCH($C182, Factor!$AN$41:$AN$87, -1), 3)*IFERROR(VLOOKUP($I182, Factor!$AU$4:$AX$9, 3, 0),1)</f>
        <v>13</v>
      </c>
      <c r="Q182" s="18" cm="1">
        <f t="array" ref="Q182">L182*VLOOKUP($H182, Factor!$AN$4:$AS$36, 4, 0)*INDEX(Factor!$AN$41:$AS$87, _xlfn.XMATCH($C182, Factor!$AN$41:$AN$87, -1), 4)</f>
        <v>0</v>
      </c>
      <c r="R182" s="18" cm="1">
        <f t="array" ref="R182">M182*VLOOKUP($H182, Factor!$AN$4:$AS$36, 5, 0)*INDEX(Factor!$AN$41:$AS$87, _xlfn.XMATCH($C182, Factor!$AN$41:$AN$87, -1), 5)</f>
        <v>0</v>
      </c>
      <c r="S182" s="18" cm="1">
        <f t="array" ref="S182">N182*VLOOKUP($H182, Factor!$AN$4:$AS$36, 6, 0)*INDEX(Factor!$AN$41:$AS$87, _xlfn.XMATCH($C182, Factor!$AN$41:$AN$87, -1), 6)*IFERROR(VLOOKUP($I182, Factor!$AU$4:$AX$9, 4, 0),1)</f>
        <v>15600</v>
      </c>
      <c r="T182" s="19"/>
    </row>
    <row r="183" spans="1:20" ht="15.75" customHeight="1" x14ac:dyDescent="0.2">
      <c r="A183" s="14" t="str">
        <f>"parlor_"&amp;VLOOKUP(F183, Factor!$CO$4:$CR$10, 4, 0)&amp;D183&amp;"_"&amp;VLOOKUP(E183, Factor!$CS$4:$CT$13, 2, 0)</f>
        <v>parlor_Indu_Missile_T9_002</v>
      </c>
      <c r="B183" s="15" t="str">
        <f t="shared" si="6"/>
        <v>T9 경량 미사일공장</v>
      </c>
      <c r="C183" s="15">
        <f>VLOOKUP(D183, Factor!$AM$41:$AN$50, 2, 0)</f>
        <v>45000</v>
      </c>
      <c r="D183" s="15" t="s">
        <v>305</v>
      </c>
      <c r="E183" s="56" t="s">
        <v>585</v>
      </c>
      <c r="F183" s="56" t="s">
        <v>698</v>
      </c>
      <c r="G183" s="15" t="str">
        <f t="shared" si="7"/>
        <v>경량 미사일공장</v>
      </c>
      <c r="H183" s="15" t="str">
        <f>VLOOKUP(F183, Factor!$CO$4:$CR$10, 2, 0)</f>
        <v>공업</v>
      </c>
      <c r="I183" s="15" t="str">
        <f>VLOOKUP(F183, Factor!$CO$4:$CR$10, 3, 0)</f>
        <v>missile</v>
      </c>
      <c r="J183" s="15">
        <v>1</v>
      </c>
      <c r="K183" s="15">
        <v>1</v>
      </c>
      <c r="L183" s="15">
        <v>1</v>
      </c>
      <c r="M183" s="15">
        <v>1</v>
      </c>
      <c r="N183" s="15">
        <v>1</v>
      </c>
      <c r="O183" s="15" cm="1">
        <f t="array" ref="O183">J183*VLOOKUP($H183, Factor!$AN$4:$AS$36, 2, 0)*INDEX(Factor!$AN$41:$AS$87, _xlfn.XMATCH($C183, Factor!$AN$41:$AN$87, -1), 2)*IFERROR(VLOOKUP($I183, Factor!$AU$4:$AX$9, 2, 0),1)</f>
        <v>0</v>
      </c>
      <c r="P183" s="15" cm="1">
        <f t="array" ref="P183">K183*VLOOKUP($H183, Factor!$AN$4:$AS$36, 3, 0)*INDEX(Factor!$AN$41:$AS$87, _xlfn.XMATCH($C183, Factor!$AN$41:$AN$87, -1), 3)*IFERROR(VLOOKUP($I183, Factor!$AU$4:$AX$9, 3, 0),1)</f>
        <v>5.2</v>
      </c>
      <c r="Q183" s="15" cm="1">
        <f t="array" ref="Q183">L183*VLOOKUP($H183, Factor!$AN$4:$AS$36, 4, 0)*INDEX(Factor!$AN$41:$AS$87, _xlfn.XMATCH($C183, Factor!$AN$41:$AN$87, -1), 4)</f>
        <v>0</v>
      </c>
      <c r="R183" s="15" cm="1">
        <f t="array" ref="R183">M183*VLOOKUP($H183, Factor!$AN$4:$AS$36, 5, 0)*INDEX(Factor!$AN$41:$AS$87, _xlfn.XMATCH($C183, Factor!$AN$41:$AN$87, -1), 5)</f>
        <v>0</v>
      </c>
      <c r="S183" s="15" cm="1">
        <f t="array" ref="S183">N183*VLOOKUP($H183, Factor!$AN$4:$AS$36, 6, 0)*INDEX(Factor!$AN$41:$AS$87, _xlfn.XMATCH($C183, Factor!$AN$41:$AN$87, -1), 6)*IFERROR(VLOOKUP($I183, Factor!$AU$4:$AX$9, 4, 0),1)</f>
        <v>16900</v>
      </c>
      <c r="T183" s="16"/>
    </row>
    <row r="184" spans="1:20" ht="15.75" customHeight="1" x14ac:dyDescent="0.2">
      <c r="A184" s="17" t="str">
        <f>"parlor_"&amp;VLOOKUP(F184, Factor!$CO$4:$CR$10, 4, 0)&amp;D184&amp;"_"&amp;VLOOKUP(E184, Factor!$CS$4:$CT$13, 2, 0)</f>
        <v>parlor_Indu_Siecleium_T9_002</v>
      </c>
      <c r="B184" s="18" t="str">
        <f t="shared" si="6"/>
        <v>T9 경량 서클리움 정제소</v>
      </c>
      <c r="C184" s="18">
        <f>VLOOKUP(D184, Factor!$AM$41:$AN$50, 2, 0)</f>
        <v>45000</v>
      </c>
      <c r="D184" s="18" t="s">
        <v>305</v>
      </c>
      <c r="E184" s="55" t="s">
        <v>585</v>
      </c>
      <c r="F184" s="55" t="s">
        <v>702</v>
      </c>
      <c r="G184" s="18" t="str">
        <f t="shared" si="7"/>
        <v>경량 서클리움 정제소</v>
      </c>
      <c r="H184" s="18" t="str">
        <f>VLOOKUP(F184, Factor!$CO$4:$CR$10, 2, 0)</f>
        <v>공업</v>
      </c>
      <c r="I184" s="18" t="str">
        <f>VLOOKUP(F184, Factor!$CO$4:$CR$10, 3, 0)</f>
        <v>siecleium</v>
      </c>
      <c r="J184" s="18">
        <v>1</v>
      </c>
      <c r="K184" s="18">
        <v>1</v>
      </c>
      <c r="L184" s="18">
        <v>1</v>
      </c>
      <c r="M184" s="18">
        <v>1</v>
      </c>
      <c r="N184" s="18">
        <v>1</v>
      </c>
      <c r="O184" s="18" cm="1">
        <f t="array" ref="O184">J184*VLOOKUP($H184, Factor!$AN$4:$AS$36, 2, 0)*INDEX(Factor!$AN$41:$AS$87, _xlfn.XMATCH($C184, Factor!$AN$41:$AN$87, -1), 2)*IFERROR(VLOOKUP($I184, Factor!$AU$4:$AX$9, 2, 0),1)</f>
        <v>0</v>
      </c>
      <c r="P184" s="18" cm="1">
        <f t="array" ref="P184">K184*VLOOKUP($H184, Factor!$AN$4:$AS$36, 3, 0)*INDEX(Factor!$AN$41:$AS$87, _xlfn.XMATCH($C184, Factor!$AN$41:$AN$87, -1), 3)*IFERROR(VLOOKUP($I184, Factor!$AU$4:$AX$9, 3, 0),1)</f>
        <v>26</v>
      </c>
      <c r="Q184" s="18" cm="1">
        <f t="array" ref="Q184">L184*VLOOKUP($H184, Factor!$AN$4:$AS$36, 4, 0)*INDEX(Factor!$AN$41:$AS$87, _xlfn.XMATCH($C184, Factor!$AN$41:$AN$87, -1), 4)</f>
        <v>0</v>
      </c>
      <c r="R184" s="18" cm="1">
        <f t="array" ref="R184">M184*VLOOKUP($H184, Factor!$AN$4:$AS$36, 5, 0)*INDEX(Factor!$AN$41:$AS$87, _xlfn.XMATCH($C184, Factor!$AN$41:$AN$87, -1), 5)</f>
        <v>0</v>
      </c>
      <c r="S184" s="18" cm="1">
        <f t="array" ref="S184">N184*VLOOKUP($H184, Factor!$AN$4:$AS$36, 6, 0)*INDEX(Factor!$AN$41:$AS$87, _xlfn.XMATCH($C184, Factor!$AN$41:$AN$87, -1), 6)*IFERROR(VLOOKUP($I184, Factor!$AU$4:$AX$9, 4, 0),1)</f>
        <v>13000</v>
      </c>
      <c r="T184" s="19"/>
    </row>
    <row r="185" spans="1:20" ht="15.75" customHeight="1" x14ac:dyDescent="0.2">
      <c r="A185" s="14" t="str">
        <f>"parlor_"&amp;VLOOKUP(F185, Factor!$CO$4:$CR$10, 4, 0)&amp;D185&amp;"_"&amp;VLOOKUP(E185, Factor!$CS$4:$CT$13, 2, 0)</f>
        <v>parlor_Trans_Inven_T9_002</v>
      </c>
      <c r="B185" s="15" t="str">
        <f t="shared" si="6"/>
        <v>T9 경량 화물 수송 칸</v>
      </c>
      <c r="C185" s="15">
        <f>VLOOKUP(D185, Factor!$AM$41:$AN$50, 2, 0)</f>
        <v>45000</v>
      </c>
      <c r="D185" s="15" t="s">
        <v>305</v>
      </c>
      <c r="E185" s="56" t="s">
        <v>585</v>
      </c>
      <c r="F185" s="56" t="s">
        <v>703</v>
      </c>
      <c r="G185" s="15" t="str">
        <f t="shared" si="7"/>
        <v>경량 화물 수송 칸</v>
      </c>
      <c r="H185" s="15" t="str">
        <f>VLOOKUP(F185, Factor!$CO$4:$CR$10, 2, 0)</f>
        <v>물자수송</v>
      </c>
      <c r="I185" s="15" t="str">
        <f>VLOOKUP(F185, Factor!$CO$4:$CR$10, 3, 0)</f>
        <v>null</v>
      </c>
      <c r="J185" s="15">
        <v>1</v>
      </c>
      <c r="K185" s="15">
        <v>1</v>
      </c>
      <c r="L185" s="15">
        <v>1</v>
      </c>
      <c r="M185" s="15">
        <v>1</v>
      </c>
      <c r="N185" s="15">
        <v>1</v>
      </c>
      <c r="O185" s="15" cm="1">
        <f t="array" ref="O185">J185*VLOOKUP($H185, Factor!$AN$4:$AS$36, 2, 0)*INDEX(Factor!$AN$41:$AS$87, _xlfn.XMATCH($C185, Factor!$AN$41:$AN$87, -1), 2)*IFERROR(VLOOKUP($I185, Factor!$AU$4:$AX$9, 2, 0),1)</f>
        <v>0</v>
      </c>
      <c r="P185" s="15" cm="1">
        <f t="array" ref="P185">K185*VLOOKUP($H185, Factor!$AN$4:$AS$36, 3, 0)*INDEX(Factor!$AN$41:$AS$87, _xlfn.XMATCH($C185, Factor!$AN$41:$AN$87, -1), 3)*IFERROR(VLOOKUP($I185, Factor!$AU$4:$AX$9, 3, 0),1)</f>
        <v>0</v>
      </c>
      <c r="Q185" s="15" cm="1">
        <f t="array" ref="Q185">L185*VLOOKUP($H185, Factor!$AN$4:$AS$36, 4, 0)*INDEX(Factor!$AN$41:$AS$87, _xlfn.XMATCH($C185, Factor!$AN$41:$AN$87, -1), 4)</f>
        <v>5.2</v>
      </c>
      <c r="R185" s="15" cm="1">
        <f t="array" ref="R185">M185*VLOOKUP($H185, Factor!$AN$4:$AS$36, 5, 0)*INDEX(Factor!$AN$41:$AS$87, _xlfn.XMATCH($C185, Factor!$AN$41:$AN$87, -1), 5)</f>
        <v>0</v>
      </c>
      <c r="S185" s="15" cm="1">
        <f t="array" ref="S185">N185*VLOOKUP($H185, Factor!$AN$4:$AS$36, 6, 0)*INDEX(Factor!$AN$41:$AS$87, _xlfn.XMATCH($C185, Factor!$AN$41:$AN$87, -1), 6)*IFERROR(VLOOKUP($I185, Factor!$AU$4:$AX$9, 4, 0),1)</f>
        <v>5200</v>
      </c>
      <c r="T185" s="16"/>
    </row>
    <row r="186" spans="1:20" ht="15.75" customHeight="1" x14ac:dyDescent="0.2">
      <c r="A186" s="17" t="str">
        <f>"parlor_"&amp;VLOOKUP(F186, Factor!$CO$4:$CR$10, 4, 0)&amp;D186&amp;"_"&amp;VLOOKUP(E186, Factor!$CS$4:$CT$13, 2, 0)</f>
        <v>parlor_Trans_Pass_T9_002</v>
      </c>
      <c r="B186" s="18" t="str">
        <f t="shared" si="6"/>
        <v>T9 경량 인원 수송 칸</v>
      </c>
      <c r="C186" s="18">
        <f>VLOOKUP(D186, Factor!$AM$41:$AN$50, 2, 0)</f>
        <v>45000</v>
      </c>
      <c r="D186" s="18" t="s">
        <v>305</v>
      </c>
      <c r="E186" s="55" t="s">
        <v>585</v>
      </c>
      <c r="F186" s="55" t="s">
        <v>704</v>
      </c>
      <c r="G186" s="18" t="str">
        <f t="shared" si="7"/>
        <v>경량 인원 수송 칸</v>
      </c>
      <c r="H186" s="18" t="str">
        <f>VLOOKUP(F186, Factor!$CO$4:$CR$10, 2, 0)</f>
        <v>인원수송</v>
      </c>
      <c r="I186" s="18" t="str">
        <f>VLOOKUP(F186, Factor!$CO$4:$CR$10, 3, 0)</f>
        <v>null</v>
      </c>
      <c r="J186" s="18">
        <v>1</v>
      </c>
      <c r="K186" s="18">
        <v>1</v>
      </c>
      <c r="L186" s="18">
        <v>1</v>
      </c>
      <c r="M186" s="18">
        <v>1</v>
      </c>
      <c r="N186" s="18">
        <v>1</v>
      </c>
      <c r="O186" s="18" cm="1">
        <f t="array" ref="O186">J186*VLOOKUP($H186, Factor!$AN$4:$AS$36, 2, 0)*INDEX(Factor!$AN$41:$AS$87, _xlfn.XMATCH($C186, Factor!$AN$41:$AN$87, -1), 2)*IFERROR(VLOOKUP($I186, Factor!$AU$4:$AX$9, 2, 0),1)</f>
        <v>0</v>
      </c>
      <c r="P186" s="18" cm="1">
        <f t="array" ref="P186">K186*VLOOKUP($H186, Factor!$AN$4:$AS$36, 3, 0)*INDEX(Factor!$AN$41:$AS$87, _xlfn.XMATCH($C186, Factor!$AN$41:$AN$87, -1), 3)*IFERROR(VLOOKUP($I186, Factor!$AU$4:$AX$9, 3, 0),1)</f>
        <v>0</v>
      </c>
      <c r="Q186" s="18" cm="1">
        <f t="array" ref="Q186">L186*VLOOKUP($H186, Factor!$AN$4:$AS$36, 4, 0)*INDEX(Factor!$AN$41:$AS$87, _xlfn.XMATCH($C186, Factor!$AN$41:$AN$87, -1), 4)</f>
        <v>0</v>
      </c>
      <c r="R186" s="18" cm="1">
        <f t="array" ref="R186">M186*VLOOKUP($H186, Factor!$AN$4:$AS$36, 5, 0)*INDEX(Factor!$AN$41:$AS$87, _xlfn.XMATCH($C186, Factor!$AN$41:$AN$87, -1), 5)</f>
        <v>10.4</v>
      </c>
      <c r="S186" s="18" cm="1">
        <f t="array" ref="S186">N186*VLOOKUP($H186, Factor!$AN$4:$AS$36, 6, 0)*INDEX(Factor!$AN$41:$AS$87, _xlfn.XMATCH($C186, Factor!$AN$41:$AN$87, -1), 6)*IFERROR(VLOOKUP($I186, Factor!$AU$4:$AX$9, 4, 0),1)</f>
        <v>2600</v>
      </c>
      <c r="T186" s="19"/>
    </row>
    <row r="187" spans="1:20" ht="15.75" customHeight="1" x14ac:dyDescent="0.2">
      <c r="A187" s="14" t="str">
        <f>"parlor_"&amp;VLOOKUP(F187, Factor!$CO$4:$CR$10, 4, 0)&amp;D187&amp;"_"&amp;VLOOKUP(E187, Factor!$CS$4:$CT$13, 2, 0)</f>
        <v>parlor_Prod_Food_T9_003</v>
      </c>
      <c r="B187" s="15" t="str">
        <f t="shared" si="6"/>
        <v>T9 대형 스마트팜</v>
      </c>
      <c r="C187" s="15">
        <f>VLOOKUP(D187, Factor!$AM$41:$AN$50, 2, 0)</f>
        <v>45000</v>
      </c>
      <c r="D187" s="15" t="s">
        <v>305</v>
      </c>
      <c r="E187" s="56" t="s">
        <v>583</v>
      </c>
      <c r="F187" s="56" t="s">
        <v>695</v>
      </c>
      <c r="G187" s="15" t="str">
        <f t="shared" si="7"/>
        <v>대형 스마트팜</v>
      </c>
      <c r="H187" s="15" t="str">
        <f>VLOOKUP(F187, Factor!$CO$4:$CR$10, 2, 0)</f>
        <v>생산</v>
      </c>
      <c r="I187" s="15" t="str">
        <f>VLOOKUP(F187, Factor!$CO$4:$CR$10, 3, 0)</f>
        <v>food</v>
      </c>
      <c r="J187" s="15">
        <v>1</v>
      </c>
      <c r="K187" s="15">
        <v>1</v>
      </c>
      <c r="L187" s="15">
        <v>1</v>
      </c>
      <c r="M187" s="15">
        <v>1</v>
      </c>
      <c r="N187" s="15">
        <v>1</v>
      </c>
      <c r="O187" s="15" cm="1">
        <f t="array" ref="O187">J187*VLOOKUP($H187, Factor!$AN$4:$AS$36, 2, 0)*INDEX(Factor!$AN$41:$AS$87, _xlfn.XMATCH($C187, Factor!$AN$41:$AN$87, -1), 2)*IFERROR(VLOOKUP($I187, Factor!$AU$4:$AX$9, 2, 0),1)</f>
        <v>26</v>
      </c>
      <c r="P187" s="15" cm="1">
        <f t="array" ref="P187">K187*VLOOKUP($H187, Factor!$AN$4:$AS$36, 3, 0)*INDEX(Factor!$AN$41:$AS$87, _xlfn.XMATCH($C187, Factor!$AN$41:$AN$87, -1), 3)*IFERROR(VLOOKUP($I187, Factor!$AU$4:$AX$9, 3, 0),1)</f>
        <v>0</v>
      </c>
      <c r="Q187" s="15" cm="1">
        <f t="array" ref="Q187">L187*VLOOKUP($H187, Factor!$AN$4:$AS$36, 4, 0)*INDEX(Factor!$AN$41:$AS$87, _xlfn.XMATCH($C187, Factor!$AN$41:$AN$87, -1), 4)</f>
        <v>2.6</v>
      </c>
      <c r="R187" s="15" cm="1">
        <f t="array" ref="R187">M187*VLOOKUP($H187, Factor!$AN$4:$AS$36, 5, 0)*INDEX(Factor!$AN$41:$AS$87, _xlfn.XMATCH($C187, Factor!$AN$41:$AN$87, -1), 5)</f>
        <v>2.6</v>
      </c>
      <c r="S187" s="15" cm="1">
        <f t="array" ref="S187">N187*VLOOKUP($H187, Factor!$AN$4:$AS$36, 6, 0)*INDEX(Factor!$AN$41:$AS$87, _xlfn.XMATCH($C187, Factor!$AN$41:$AN$87, -1), 6)*IFERROR(VLOOKUP($I187, Factor!$AU$4:$AX$9, 4, 0),1)</f>
        <v>13000</v>
      </c>
      <c r="T187" s="16"/>
    </row>
    <row r="188" spans="1:20" ht="15.75" customHeight="1" x14ac:dyDescent="0.2">
      <c r="A188" s="17" t="str">
        <f>"parlor_"&amp;VLOOKUP(F188, Factor!$CO$4:$CR$10, 4, 0)&amp;D188&amp;"_"&amp;VLOOKUP(E188, Factor!$CS$4:$CT$13, 2, 0)</f>
        <v>parlor_Indu_Ammo_T9_003</v>
      </c>
      <c r="B188" s="18" t="str">
        <f t="shared" si="6"/>
        <v>T9 대형 탄약공장</v>
      </c>
      <c r="C188" s="18">
        <f>VLOOKUP(D188, Factor!$AM$41:$AN$50, 2, 0)</f>
        <v>45000</v>
      </c>
      <c r="D188" s="18" t="s">
        <v>305</v>
      </c>
      <c r="E188" s="55" t="s">
        <v>583</v>
      </c>
      <c r="F188" s="55" t="s">
        <v>696</v>
      </c>
      <c r="G188" s="18" t="str">
        <f t="shared" si="7"/>
        <v>대형 탄약공장</v>
      </c>
      <c r="H188" s="18" t="str">
        <f>VLOOKUP(F188, Factor!$CO$4:$CR$10, 2, 0)</f>
        <v>공업</v>
      </c>
      <c r="I188" s="18" t="str">
        <f>VLOOKUP(F188, Factor!$CO$4:$CR$10, 3, 0)</f>
        <v>ammo</v>
      </c>
      <c r="J188" s="18">
        <v>1</v>
      </c>
      <c r="K188" s="18">
        <v>1</v>
      </c>
      <c r="L188" s="18">
        <v>1</v>
      </c>
      <c r="M188" s="18">
        <v>1</v>
      </c>
      <c r="N188" s="18">
        <v>1</v>
      </c>
      <c r="O188" s="18" cm="1">
        <f t="array" ref="O188">J188*VLOOKUP($H188, Factor!$AN$4:$AS$36, 2, 0)*INDEX(Factor!$AN$41:$AS$87, _xlfn.XMATCH($C188, Factor!$AN$41:$AN$87, -1), 2)*IFERROR(VLOOKUP($I188, Factor!$AU$4:$AX$9, 2, 0),1)</f>
        <v>0</v>
      </c>
      <c r="P188" s="18" cm="1">
        <f t="array" ref="P188">K188*VLOOKUP($H188, Factor!$AN$4:$AS$36, 3, 0)*INDEX(Factor!$AN$41:$AS$87, _xlfn.XMATCH($C188, Factor!$AN$41:$AN$87, -1), 3)*IFERROR(VLOOKUP($I188, Factor!$AU$4:$AX$9, 3, 0),1)</f>
        <v>26</v>
      </c>
      <c r="Q188" s="18" cm="1">
        <f t="array" ref="Q188">L188*VLOOKUP($H188, Factor!$AN$4:$AS$36, 4, 0)*INDEX(Factor!$AN$41:$AS$87, _xlfn.XMATCH($C188, Factor!$AN$41:$AN$87, -1), 4)</f>
        <v>0</v>
      </c>
      <c r="R188" s="18" cm="1">
        <f t="array" ref="R188">M188*VLOOKUP($H188, Factor!$AN$4:$AS$36, 5, 0)*INDEX(Factor!$AN$41:$AS$87, _xlfn.XMATCH($C188, Factor!$AN$41:$AN$87, -1), 5)</f>
        <v>0</v>
      </c>
      <c r="S188" s="18" cm="1">
        <f t="array" ref="S188">N188*VLOOKUP($H188, Factor!$AN$4:$AS$36, 6, 0)*INDEX(Factor!$AN$41:$AS$87, _xlfn.XMATCH($C188, Factor!$AN$41:$AN$87, -1), 6)*IFERROR(VLOOKUP($I188, Factor!$AU$4:$AX$9, 4, 0),1)</f>
        <v>13000</v>
      </c>
      <c r="T188" s="19"/>
    </row>
    <row r="189" spans="1:20" ht="15.75" customHeight="1" x14ac:dyDescent="0.2">
      <c r="A189" s="14" t="str">
        <f>"parlor_"&amp;VLOOKUP(F189, Factor!$CO$4:$CR$10, 4, 0)&amp;D189&amp;"_"&amp;VLOOKUP(E189, Factor!$CS$4:$CT$13, 2, 0)</f>
        <v>parlor_Indu_Shell_T9_003</v>
      </c>
      <c r="B189" s="15" t="str">
        <f t="shared" si="6"/>
        <v>T9 대형 포탄공장</v>
      </c>
      <c r="C189" s="15">
        <f>VLOOKUP(D189, Factor!$AM$41:$AN$50, 2, 0)</f>
        <v>45000</v>
      </c>
      <c r="D189" s="15" t="s">
        <v>305</v>
      </c>
      <c r="E189" s="56" t="s">
        <v>583</v>
      </c>
      <c r="F189" s="56" t="s">
        <v>697</v>
      </c>
      <c r="G189" s="15" t="str">
        <f t="shared" si="7"/>
        <v>대형 포탄공장</v>
      </c>
      <c r="H189" s="15" t="str">
        <f>VLOOKUP(F189, Factor!$CO$4:$CR$10, 2, 0)</f>
        <v>공업</v>
      </c>
      <c r="I189" s="15" t="str">
        <f>VLOOKUP(F189, Factor!$CO$4:$CR$10, 3, 0)</f>
        <v>shell</v>
      </c>
      <c r="J189" s="15">
        <v>1</v>
      </c>
      <c r="K189" s="15">
        <v>1</v>
      </c>
      <c r="L189" s="15">
        <v>1</v>
      </c>
      <c r="M189" s="15">
        <v>1</v>
      </c>
      <c r="N189" s="15">
        <v>1</v>
      </c>
      <c r="O189" s="15" cm="1">
        <f t="array" ref="O189">J189*VLOOKUP($H189, Factor!$AN$4:$AS$36, 2, 0)*INDEX(Factor!$AN$41:$AS$87, _xlfn.XMATCH($C189, Factor!$AN$41:$AN$87, -1), 2)*IFERROR(VLOOKUP($I189, Factor!$AU$4:$AX$9, 2, 0),1)</f>
        <v>0</v>
      </c>
      <c r="P189" s="15" cm="1">
        <f t="array" ref="P189">K189*VLOOKUP($H189, Factor!$AN$4:$AS$36, 3, 0)*INDEX(Factor!$AN$41:$AS$87, _xlfn.XMATCH($C189, Factor!$AN$41:$AN$87, -1), 3)*IFERROR(VLOOKUP($I189, Factor!$AU$4:$AX$9, 3, 0),1)</f>
        <v>13</v>
      </c>
      <c r="Q189" s="15" cm="1">
        <f t="array" ref="Q189">L189*VLOOKUP($H189, Factor!$AN$4:$AS$36, 4, 0)*INDEX(Factor!$AN$41:$AS$87, _xlfn.XMATCH($C189, Factor!$AN$41:$AN$87, -1), 4)</f>
        <v>0</v>
      </c>
      <c r="R189" s="15" cm="1">
        <f t="array" ref="R189">M189*VLOOKUP($H189, Factor!$AN$4:$AS$36, 5, 0)*INDEX(Factor!$AN$41:$AS$87, _xlfn.XMATCH($C189, Factor!$AN$41:$AN$87, -1), 5)</f>
        <v>0</v>
      </c>
      <c r="S189" s="15" cm="1">
        <f t="array" ref="S189">N189*VLOOKUP($H189, Factor!$AN$4:$AS$36, 6, 0)*INDEX(Factor!$AN$41:$AS$87, _xlfn.XMATCH($C189, Factor!$AN$41:$AN$87, -1), 6)*IFERROR(VLOOKUP($I189, Factor!$AU$4:$AX$9, 4, 0),1)</f>
        <v>15600</v>
      </c>
      <c r="T189" s="16"/>
    </row>
    <row r="190" spans="1:20" ht="15.75" customHeight="1" x14ac:dyDescent="0.2">
      <c r="A190" s="17" t="str">
        <f>"parlor_"&amp;VLOOKUP(F190, Factor!$CO$4:$CR$10, 4, 0)&amp;D190&amp;"_"&amp;VLOOKUP(E190, Factor!$CS$4:$CT$13, 2, 0)</f>
        <v>parlor_Indu_Missile_T9_003</v>
      </c>
      <c r="B190" s="18" t="str">
        <f t="shared" si="6"/>
        <v>T9 대형 미사일공장</v>
      </c>
      <c r="C190" s="18">
        <f>VLOOKUP(D190, Factor!$AM$41:$AN$50, 2, 0)</f>
        <v>45000</v>
      </c>
      <c r="D190" s="18" t="s">
        <v>305</v>
      </c>
      <c r="E190" s="55" t="s">
        <v>583</v>
      </c>
      <c r="F190" s="55" t="s">
        <v>698</v>
      </c>
      <c r="G190" s="18" t="str">
        <f t="shared" si="7"/>
        <v>대형 미사일공장</v>
      </c>
      <c r="H190" s="18" t="str">
        <f>VLOOKUP(F190, Factor!$CO$4:$CR$10, 2, 0)</f>
        <v>공업</v>
      </c>
      <c r="I190" s="18" t="str">
        <f>VLOOKUP(F190, Factor!$CO$4:$CR$10, 3, 0)</f>
        <v>missile</v>
      </c>
      <c r="J190" s="18">
        <v>1</v>
      </c>
      <c r="K190" s="18">
        <v>1</v>
      </c>
      <c r="L190" s="18">
        <v>1</v>
      </c>
      <c r="M190" s="18">
        <v>1</v>
      </c>
      <c r="N190" s="18">
        <v>1</v>
      </c>
      <c r="O190" s="18" cm="1">
        <f t="array" ref="O190">J190*VLOOKUP($H190, Factor!$AN$4:$AS$36, 2, 0)*INDEX(Factor!$AN$41:$AS$87, _xlfn.XMATCH($C190, Factor!$AN$41:$AN$87, -1), 2)*IFERROR(VLOOKUP($I190, Factor!$AU$4:$AX$9, 2, 0),1)</f>
        <v>0</v>
      </c>
      <c r="P190" s="18" cm="1">
        <f t="array" ref="P190">K190*VLOOKUP($H190, Factor!$AN$4:$AS$36, 3, 0)*INDEX(Factor!$AN$41:$AS$87, _xlfn.XMATCH($C190, Factor!$AN$41:$AN$87, -1), 3)*IFERROR(VLOOKUP($I190, Factor!$AU$4:$AX$9, 3, 0),1)</f>
        <v>5.2</v>
      </c>
      <c r="Q190" s="18" cm="1">
        <f t="array" ref="Q190">L190*VLOOKUP($H190, Factor!$AN$4:$AS$36, 4, 0)*INDEX(Factor!$AN$41:$AS$87, _xlfn.XMATCH($C190, Factor!$AN$41:$AN$87, -1), 4)</f>
        <v>0</v>
      </c>
      <c r="R190" s="18" cm="1">
        <f t="array" ref="R190">M190*VLOOKUP($H190, Factor!$AN$4:$AS$36, 5, 0)*INDEX(Factor!$AN$41:$AS$87, _xlfn.XMATCH($C190, Factor!$AN$41:$AN$87, -1), 5)</f>
        <v>0</v>
      </c>
      <c r="S190" s="18" cm="1">
        <f t="array" ref="S190">N190*VLOOKUP($H190, Factor!$AN$4:$AS$36, 6, 0)*INDEX(Factor!$AN$41:$AS$87, _xlfn.XMATCH($C190, Factor!$AN$41:$AN$87, -1), 6)*IFERROR(VLOOKUP($I190, Factor!$AU$4:$AX$9, 4, 0),1)</f>
        <v>16900</v>
      </c>
      <c r="T190" s="19"/>
    </row>
    <row r="191" spans="1:20" ht="15.75" customHeight="1" x14ac:dyDescent="0.2">
      <c r="A191" s="14" t="str">
        <f>"parlor_"&amp;VLOOKUP(F191, Factor!$CO$4:$CR$10, 4, 0)&amp;D191&amp;"_"&amp;VLOOKUP(E191, Factor!$CS$4:$CT$13, 2, 0)</f>
        <v>parlor_Indu_Siecleium_T9_003</v>
      </c>
      <c r="B191" s="15" t="str">
        <f t="shared" si="6"/>
        <v>T9 대형 서클리움 정제소</v>
      </c>
      <c r="C191" s="15">
        <f>VLOOKUP(D191, Factor!$AM$41:$AN$50, 2, 0)</f>
        <v>45000</v>
      </c>
      <c r="D191" s="15" t="s">
        <v>305</v>
      </c>
      <c r="E191" s="56" t="s">
        <v>583</v>
      </c>
      <c r="F191" s="56" t="s">
        <v>702</v>
      </c>
      <c r="G191" s="15" t="str">
        <f t="shared" si="7"/>
        <v>대형 서클리움 정제소</v>
      </c>
      <c r="H191" s="15" t="str">
        <f>VLOOKUP(F191, Factor!$CO$4:$CR$10, 2, 0)</f>
        <v>공업</v>
      </c>
      <c r="I191" s="15" t="str">
        <f>VLOOKUP(F191, Factor!$CO$4:$CR$10, 3, 0)</f>
        <v>siecleium</v>
      </c>
      <c r="J191" s="15">
        <v>1</v>
      </c>
      <c r="K191" s="15">
        <v>1</v>
      </c>
      <c r="L191" s="15">
        <v>1</v>
      </c>
      <c r="M191" s="15">
        <v>1</v>
      </c>
      <c r="N191" s="15">
        <v>1</v>
      </c>
      <c r="O191" s="15" cm="1">
        <f t="array" ref="O191">J191*VLOOKUP($H191, Factor!$AN$4:$AS$36, 2, 0)*INDEX(Factor!$AN$41:$AS$87, _xlfn.XMATCH($C191, Factor!$AN$41:$AN$87, -1), 2)*IFERROR(VLOOKUP($I191, Factor!$AU$4:$AX$9, 2, 0),1)</f>
        <v>0</v>
      </c>
      <c r="P191" s="15" cm="1">
        <f t="array" ref="P191">K191*VLOOKUP($H191, Factor!$AN$4:$AS$36, 3, 0)*INDEX(Factor!$AN$41:$AS$87, _xlfn.XMATCH($C191, Factor!$AN$41:$AN$87, -1), 3)*IFERROR(VLOOKUP($I191, Factor!$AU$4:$AX$9, 3, 0),1)</f>
        <v>26</v>
      </c>
      <c r="Q191" s="15" cm="1">
        <f t="array" ref="Q191">L191*VLOOKUP($H191, Factor!$AN$4:$AS$36, 4, 0)*INDEX(Factor!$AN$41:$AS$87, _xlfn.XMATCH($C191, Factor!$AN$41:$AN$87, -1), 4)</f>
        <v>0</v>
      </c>
      <c r="R191" s="15" cm="1">
        <f t="array" ref="R191">M191*VLOOKUP($H191, Factor!$AN$4:$AS$36, 5, 0)*INDEX(Factor!$AN$41:$AS$87, _xlfn.XMATCH($C191, Factor!$AN$41:$AN$87, -1), 5)</f>
        <v>0</v>
      </c>
      <c r="S191" s="15" cm="1">
        <f t="array" ref="S191">N191*VLOOKUP($H191, Factor!$AN$4:$AS$36, 6, 0)*INDEX(Factor!$AN$41:$AS$87, _xlfn.XMATCH($C191, Factor!$AN$41:$AN$87, -1), 6)*IFERROR(VLOOKUP($I191, Factor!$AU$4:$AX$9, 4, 0),1)</f>
        <v>13000</v>
      </c>
      <c r="T191" s="16"/>
    </row>
    <row r="192" spans="1:20" ht="15.75" customHeight="1" x14ac:dyDescent="0.2">
      <c r="A192" s="17" t="str">
        <f>"parlor_"&amp;VLOOKUP(F192, Factor!$CO$4:$CR$10, 4, 0)&amp;D192&amp;"_"&amp;VLOOKUP(E192, Factor!$CS$4:$CT$13, 2, 0)</f>
        <v>parlor_Trans_Inven_T9_003</v>
      </c>
      <c r="B192" s="18" t="str">
        <f t="shared" si="6"/>
        <v>T9 대형 화물 수송 칸</v>
      </c>
      <c r="C192" s="18">
        <f>VLOOKUP(D192, Factor!$AM$41:$AN$50, 2, 0)</f>
        <v>45000</v>
      </c>
      <c r="D192" s="18" t="s">
        <v>305</v>
      </c>
      <c r="E192" s="55" t="s">
        <v>583</v>
      </c>
      <c r="F192" s="55" t="s">
        <v>703</v>
      </c>
      <c r="G192" s="18" t="str">
        <f t="shared" si="7"/>
        <v>대형 화물 수송 칸</v>
      </c>
      <c r="H192" s="18" t="str">
        <f>VLOOKUP(F192, Factor!$CO$4:$CR$10, 2, 0)</f>
        <v>물자수송</v>
      </c>
      <c r="I192" s="18" t="str">
        <f>VLOOKUP(F192, Factor!$CO$4:$CR$10, 3, 0)</f>
        <v>null</v>
      </c>
      <c r="J192" s="18">
        <v>1</v>
      </c>
      <c r="K192" s="18">
        <v>1</v>
      </c>
      <c r="L192" s="18">
        <v>1</v>
      </c>
      <c r="M192" s="18">
        <v>1</v>
      </c>
      <c r="N192" s="18">
        <v>1</v>
      </c>
      <c r="O192" s="18" cm="1">
        <f t="array" ref="O192">J192*VLOOKUP($H192, Factor!$AN$4:$AS$36, 2, 0)*INDEX(Factor!$AN$41:$AS$87, _xlfn.XMATCH($C192, Factor!$AN$41:$AN$87, -1), 2)*IFERROR(VLOOKUP($I192, Factor!$AU$4:$AX$9, 2, 0),1)</f>
        <v>0</v>
      </c>
      <c r="P192" s="18" cm="1">
        <f t="array" ref="P192">K192*VLOOKUP($H192, Factor!$AN$4:$AS$36, 3, 0)*INDEX(Factor!$AN$41:$AS$87, _xlfn.XMATCH($C192, Factor!$AN$41:$AN$87, -1), 3)*IFERROR(VLOOKUP($I192, Factor!$AU$4:$AX$9, 3, 0),1)</f>
        <v>0</v>
      </c>
      <c r="Q192" s="18" cm="1">
        <f t="array" ref="Q192">L192*VLOOKUP($H192, Factor!$AN$4:$AS$36, 4, 0)*INDEX(Factor!$AN$41:$AS$87, _xlfn.XMATCH($C192, Factor!$AN$41:$AN$87, -1), 4)</f>
        <v>5.2</v>
      </c>
      <c r="R192" s="18" cm="1">
        <f t="array" ref="R192">M192*VLOOKUP($H192, Factor!$AN$4:$AS$36, 5, 0)*INDEX(Factor!$AN$41:$AS$87, _xlfn.XMATCH($C192, Factor!$AN$41:$AN$87, -1), 5)</f>
        <v>0</v>
      </c>
      <c r="S192" s="18" cm="1">
        <f t="array" ref="S192">N192*VLOOKUP($H192, Factor!$AN$4:$AS$36, 6, 0)*INDEX(Factor!$AN$41:$AS$87, _xlfn.XMATCH($C192, Factor!$AN$41:$AN$87, -1), 6)*IFERROR(VLOOKUP($I192, Factor!$AU$4:$AX$9, 4, 0),1)</f>
        <v>5200</v>
      </c>
      <c r="T192" s="19"/>
    </row>
    <row r="193" spans="1:20" ht="15.75" customHeight="1" x14ac:dyDescent="0.2">
      <c r="A193" s="14" t="str">
        <f>"parlor_"&amp;VLOOKUP(F193, Factor!$CO$4:$CR$10, 4, 0)&amp;D193&amp;"_"&amp;VLOOKUP(E193, Factor!$CS$4:$CT$13, 2, 0)</f>
        <v>parlor_Trans_Pass_T9_003</v>
      </c>
      <c r="B193" s="15" t="str">
        <f t="shared" si="6"/>
        <v>T9 대형 인원 수송 칸</v>
      </c>
      <c r="C193" s="15">
        <f>VLOOKUP(D193, Factor!$AM$41:$AN$50, 2, 0)</f>
        <v>45000</v>
      </c>
      <c r="D193" s="15" t="s">
        <v>305</v>
      </c>
      <c r="E193" s="56" t="s">
        <v>583</v>
      </c>
      <c r="F193" s="56" t="s">
        <v>704</v>
      </c>
      <c r="G193" s="15" t="str">
        <f t="shared" si="7"/>
        <v>대형 인원 수송 칸</v>
      </c>
      <c r="H193" s="15" t="str">
        <f>VLOOKUP(F193, Factor!$CO$4:$CR$10, 2, 0)</f>
        <v>인원수송</v>
      </c>
      <c r="I193" s="15" t="str">
        <f>VLOOKUP(F193, Factor!$CO$4:$CR$10, 3, 0)</f>
        <v>null</v>
      </c>
      <c r="J193" s="15">
        <v>1</v>
      </c>
      <c r="K193" s="15">
        <v>1</v>
      </c>
      <c r="L193" s="15">
        <v>1</v>
      </c>
      <c r="M193" s="15">
        <v>1</v>
      </c>
      <c r="N193" s="15">
        <v>1</v>
      </c>
      <c r="O193" s="15" cm="1">
        <f t="array" ref="O193">J193*VLOOKUP($H193, Factor!$AN$4:$AS$36, 2, 0)*INDEX(Factor!$AN$41:$AS$87, _xlfn.XMATCH($C193, Factor!$AN$41:$AN$87, -1), 2)*IFERROR(VLOOKUP($I193, Factor!$AU$4:$AX$9, 2, 0),1)</f>
        <v>0</v>
      </c>
      <c r="P193" s="15" cm="1">
        <f t="array" ref="P193">K193*VLOOKUP($H193, Factor!$AN$4:$AS$36, 3, 0)*INDEX(Factor!$AN$41:$AS$87, _xlfn.XMATCH($C193, Factor!$AN$41:$AN$87, -1), 3)*IFERROR(VLOOKUP($I193, Factor!$AU$4:$AX$9, 3, 0),1)</f>
        <v>0</v>
      </c>
      <c r="Q193" s="15" cm="1">
        <f t="array" ref="Q193">L193*VLOOKUP($H193, Factor!$AN$4:$AS$36, 4, 0)*INDEX(Factor!$AN$41:$AS$87, _xlfn.XMATCH($C193, Factor!$AN$41:$AN$87, -1), 4)</f>
        <v>0</v>
      </c>
      <c r="R193" s="15" cm="1">
        <f t="array" ref="R193">M193*VLOOKUP($H193, Factor!$AN$4:$AS$36, 5, 0)*INDEX(Factor!$AN$41:$AS$87, _xlfn.XMATCH($C193, Factor!$AN$41:$AN$87, -1), 5)</f>
        <v>10.4</v>
      </c>
      <c r="S193" s="15" cm="1">
        <f t="array" ref="S193">N193*VLOOKUP($H193, Factor!$AN$4:$AS$36, 6, 0)*INDEX(Factor!$AN$41:$AS$87, _xlfn.XMATCH($C193, Factor!$AN$41:$AN$87, -1), 6)*IFERROR(VLOOKUP($I193, Factor!$AU$4:$AX$9, 4, 0),1)</f>
        <v>2600</v>
      </c>
      <c r="T193" s="16"/>
    </row>
    <row r="194" spans="1:20" ht="15.75" customHeight="1" x14ac:dyDescent="0.2">
      <c r="A194" s="17" t="str">
        <f>"parlor_"&amp;VLOOKUP(F194, Factor!$CO$4:$CR$10, 4, 0)&amp;D194&amp;"_"&amp;VLOOKUP(E194, Factor!$CS$4:$CT$13, 2, 0)</f>
        <v>parlor_Prod_Food_T10_001</v>
      </c>
      <c r="B194" s="18" t="str">
        <f t="shared" si="6"/>
        <v>T10 표준 스마트팜</v>
      </c>
      <c r="C194" s="18">
        <f>VLOOKUP(D194, Factor!$AM$41:$AN$50, 2, 0)</f>
        <v>50000</v>
      </c>
      <c r="D194" s="18" t="s">
        <v>328</v>
      </c>
      <c r="E194" s="55" t="s">
        <v>582</v>
      </c>
      <c r="F194" s="55" t="s">
        <v>695</v>
      </c>
      <c r="G194" s="18" t="str">
        <f t="shared" si="7"/>
        <v>표준 스마트팜</v>
      </c>
      <c r="H194" s="18" t="str">
        <f>VLOOKUP(F194, Factor!$CO$4:$CR$10, 2, 0)</f>
        <v>생산</v>
      </c>
      <c r="I194" s="18" t="str">
        <f>VLOOKUP(F194, Factor!$CO$4:$CR$10, 3, 0)</f>
        <v>food</v>
      </c>
      <c r="J194" s="18">
        <v>1</v>
      </c>
      <c r="K194" s="18">
        <v>1</v>
      </c>
      <c r="L194" s="18">
        <v>1</v>
      </c>
      <c r="M194" s="18">
        <v>1</v>
      </c>
      <c r="N194" s="18">
        <v>1</v>
      </c>
      <c r="O194" s="18" cm="1">
        <f t="array" ref="O194">J194*VLOOKUP($H194, Factor!$AN$4:$AS$36, 2, 0)*INDEX(Factor!$AN$41:$AS$87, _xlfn.XMATCH($C194, Factor!$AN$41:$AN$87, -1), 2)*IFERROR(VLOOKUP($I194, Factor!$AU$4:$AX$9, 2, 0),1)</f>
        <v>28</v>
      </c>
      <c r="P194" s="18" cm="1">
        <f t="array" ref="P194">K194*VLOOKUP($H194, Factor!$AN$4:$AS$36, 3, 0)*INDEX(Factor!$AN$41:$AS$87, _xlfn.XMATCH($C194, Factor!$AN$41:$AN$87, -1), 3)*IFERROR(VLOOKUP($I194, Factor!$AU$4:$AX$9, 3, 0),1)</f>
        <v>0</v>
      </c>
      <c r="Q194" s="18" cm="1">
        <f t="array" ref="Q194">L194*VLOOKUP($H194, Factor!$AN$4:$AS$36, 4, 0)*INDEX(Factor!$AN$41:$AS$87, _xlfn.XMATCH($C194, Factor!$AN$41:$AN$87, -1), 4)</f>
        <v>2.8</v>
      </c>
      <c r="R194" s="18" cm="1">
        <f t="array" ref="R194">M194*VLOOKUP($H194, Factor!$AN$4:$AS$36, 5, 0)*INDEX(Factor!$AN$41:$AS$87, _xlfn.XMATCH($C194, Factor!$AN$41:$AN$87, -1), 5)</f>
        <v>2.8</v>
      </c>
      <c r="S194" s="18" cm="1">
        <f t="array" ref="S194">N194*VLOOKUP($H194, Factor!$AN$4:$AS$36, 6, 0)*INDEX(Factor!$AN$41:$AS$87, _xlfn.XMATCH($C194, Factor!$AN$41:$AN$87, -1), 6)*IFERROR(VLOOKUP($I194, Factor!$AU$4:$AX$9, 4, 0),1)</f>
        <v>14000</v>
      </c>
      <c r="T194" s="19"/>
    </row>
    <row r="195" spans="1:20" ht="15.75" customHeight="1" x14ac:dyDescent="0.2">
      <c r="A195" s="14" t="str">
        <f>"parlor_"&amp;VLOOKUP(F195, Factor!$CO$4:$CR$10, 4, 0)&amp;D195&amp;"_"&amp;VLOOKUP(E195, Factor!$CS$4:$CT$13, 2, 0)</f>
        <v>parlor_Indu_Ammo_T10_001</v>
      </c>
      <c r="B195" s="15" t="str">
        <f t="shared" si="6"/>
        <v>T10 표준 탄약공장</v>
      </c>
      <c r="C195" s="15">
        <f>VLOOKUP(D195, Factor!$AM$41:$AN$50, 2, 0)</f>
        <v>50000</v>
      </c>
      <c r="D195" s="15" t="s">
        <v>328</v>
      </c>
      <c r="E195" s="56" t="s">
        <v>582</v>
      </c>
      <c r="F195" s="56" t="s">
        <v>696</v>
      </c>
      <c r="G195" s="15" t="str">
        <f t="shared" si="7"/>
        <v>표준 탄약공장</v>
      </c>
      <c r="H195" s="15" t="str">
        <f>VLOOKUP(F195, Factor!$CO$4:$CR$10, 2, 0)</f>
        <v>공업</v>
      </c>
      <c r="I195" s="15" t="str">
        <f>VLOOKUP(F195, Factor!$CO$4:$CR$10, 3, 0)</f>
        <v>ammo</v>
      </c>
      <c r="J195" s="15">
        <v>1</v>
      </c>
      <c r="K195" s="15">
        <v>1</v>
      </c>
      <c r="L195" s="15">
        <v>1</v>
      </c>
      <c r="M195" s="15">
        <v>1</v>
      </c>
      <c r="N195" s="15">
        <v>1</v>
      </c>
      <c r="O195" s="15" cm="1">
        <f t="array" ref="O195">J195*VLOOKUP($H195, Factor!$AN$4:$AS$36, 2, 0)*INDEX(Factor!$AN$41:$AS$87, _xlfn.XMATCH($C195, Factor!$AN$41:$AN$87, -1), 2)*IFERROR(VLOOKUP($I195, Factor!$AU$4:$AX$9, 2, 0),1)</f>
        <v>0</v>
      </c>
      <c r="P195" s="15" cm="1">
        <f t="array" ref="P195">K195*VLOOKUP($H195, Factor!$AN$4:$AS$36, 3, 0)*INDEX(Factor!$AN$41:$AS$87, _xlfn.XMATCH($C195, Factor!$AN$41:$AN$87, -1), 3)*IFERROR(VLOOKUP($I195, Factor!$AU$4:$AX$9, 3, 0),1)</f>
        <v>28</v>
      </c>
      <c r="Q195" s="15" cm="1">
        <f t="array" ref="Q195">L195*VLOOKUP($H195, Factor!$AN$4:$AS$36, 4, 0)*INDEX(Factor!$AN$41:$AS$87, _xlfn.XMATCH($C195, Factor!$AN$41:$AN$87, -1), 4)</f>
        <v>0</v>
      </c>
      <c r="R195" s="15" cm="1">
        <f t="array" ref="R195">M195*VLOOKUP($H195, Factor!$AN$4:$AS$36, 5, 0)*INDEX(Factor!$AN$41:$AS$87, _xlfn.XMATCH($C195, Factor!$AN$41:$AN$87, -1), 5)</f>
        <v>0</v>
      </c>
      <c r="S195" s="15" cm="1">
        <f t="array" ref="S195">N195*VLOOKUP($H195, Factor!$AN$4:$AS$36, 6, 0)*INDEX(Factor!$AN$41:$AS$87, _xlfn.XMATCH($C195, Factor!$AN$41:$AN$87, -1), 6)*IFERROR(VLOOKUP($I195, Factor!$AU$4:$AX$9, 4, 0),1)</f>
        <v>14000</v>
      </c>
      <c r="T195" s="16"/>
    </row>
    <row r="196" spans="1:20" ht="15.75" customHeight="1" x14ac:dyDescent="0.2">
      <c r="A196" s="17" t="str">
        <f>"parlor_"&amp;VLOOKUP(F196, Factor!$CO$4:$CR$10, 4, 0)&amp;D196&amp;"_"&amp;VLOOKUP(E196, Factor!$CS$4:$CT$13, 2, 0)</f>
        <v>parlor_Indu_Shell_T10_001</v>
      </c>
      <c r="B196" s="18" t="str">
        <f t="shared" si="6"/>
        <v>T10 표준 포탄공장</v>
      </c>
      <c r="C196" s="18">
        <f>VLOOKUP(D196, Factor!$AM$41:$AN$50, 2, 0)</f>
        <v>50000</v>
      </c>
      <c r="D196" s="18" t="s">
        <v>306</v>
      </c>
      <c r="E196" s="55" t="s">
        <v>582</v>
      </c>
      <c r="F196" s="55" t="s">
        <v>697</v>
      </c>
      <c r="G196" s="18" t="str">
        <f t="shared" si="7"/>
        <v>표준 포탄공장</v>
      </c>
      <c r="H196" s="18" t="str">
        <f>VLOOKUP(F196, Factor!$CO$4:$CR$10, 2, 0)</f>
        <v>공업</v>
      </c>
      <c r="I196" s="18" t="str">
        <f>VLOOKUP(F196, Factor!$CO$4:$CR$10, 3, 0)</f>
        <v>shell</v>
      </c>
      <c r="J196" s="18">
        <v>1</v>
      </c>
      <c r="K196" s="18">
        <v>1</v>
      </c>
      <c r="L196" s="18">
        <v>1</v>
      </c>
      <c r="M196" s="18">
        <v>1</v>
      </c>
      <c r="N196" s="18">
        <v>1</v>
      </c>
      <c r="O196" s="18" cm="1">
        <f t="array" ref="O196">J196*VLOOKUP($H196, Factor!$AN$4:$AS$36, 2, 0)*INDEX(Factor!$AN$41:$AS$87, _xlfn.XMATCH($C196, Factor!$AN$41:$AN$87, -1), 2)*IFERROR(VLOOKUP($I196, Factor!$AU$4:$AX$9, 2, 0),1)</f>
        <v>0</v>
      </c>
      <c r="P196" s="18" cm="1">
        <f t="array" ref="P196">K196*VLOOKUP($H196, Factor!$AN$4:$AS$36, 3, 0)*INDEX(Factor!$AN$41:$AS$87, _xlfn.XMATCH($C196, Factor!$AN$41:$AN$87, -1), 3)*IFERROR(VLOOKUP($I196, Factor!$AU$4:$AX$9, 3, 0),1)</f>
        <v>14</v>
      </c>
      <c r="Q196" s="18" cm="1">
        <f t="array" ref="Q196">L196*VLOOKUP($H196, Factor!$AN$4:$AS$36, 4, 0)*INDEX(Factor!$AN$41:$AS$87, _xlfn.XMATCH($C196, Factor!$AN$41:$AN$87, -1), 4)</f>
        <v>0</v>
      </c>
      <c r="R196" s="18" cm="1">
        <f t="array" ref="R196">M196*VLOOKUP($H196, Factor!$AN$4:$AS$36, 5, 0)*INDEX(Factor!$AN$41:$AS$87, _xlfn.XMATCH($C196, Factor!$AN$41:$AN$87, -1), 5)</f>
        <v>0</v>
      </c>
      <c r="S196" s="18" cm="1">
        <f t="array" ref="S196">N196*VLOOKUP($H196, Factor!$AN$4:$AS$36, 6, 0)*INDEX(Factor!$AN$41:$AS$87, _xlfn.XMATCH($C196, Factor!$AN$41:$AN$87, -1), 6)*IFERROR(VLOOKUP($I196, Factor!$AU$4:$AX$9, 4, 0),1)</f>
        <v>16800</v>
      </c>
      <c r="T196" s="19"/>
    </row>
    <row r="197" spans="1:20" ht="15.75" customHeight="1" x14ac:dyDescent="0.2">
      <c r="A197" s="14" t="str">
        <f>"parlor_"&amp;VLOOKUP(F197, Factor!$CO$4:$CR$10, 4, 0)&amp;D197&amp;"_"&amp;VLOOKUP(E197, Factor!$CS$4:$CT$13, 2, 0)</f>
        <v>parlor_Indu_Missile_T10_001</v>
      </c>
      <c r="B197" s="15" t="str">
        <f t="shared" si="6"/>
        <v>T10 표준 미사일공장</v>
      </c>
      <c r="C197" s="15">
        <f>VLOOKUP(D197, Factor!$AM$41:$AN$50, 2, 0)</f>
        <v>50000</v>
      </c>
      <c r="D197" s="15" t="s">
        <v>306</v>
      </c>
      <c r="E197" s="56" t="s">
        <v>582</v>
      </c>
      <c r="F197" s="56" t="s">
        <v>698</v>
      </c>
      <c r="G197" s="15" t="str">
        <f t="shared" si="7"/>
        <v>표준 미사일공장</v>
      </c>
      <c r="H197" s="15" t="str">
        <f>VLOOKUP(F197, Factor!$CO$4:$CR$10, 2, 0)</f>
        <v>공업</v>
      </c>
      <c r="I197" s="15" t="str">
        <f>VLOOKUP(F197, Factor!$CO$4:$CR$10, 3, 0)</f>
        <v>missile</v>
      </c>
      <c r="J197" s="15">
        <v>1</v>
      </c>
      <c r="K197" s="15">
        <v>1</v>
      </c>
      <c r="L197" s="15">
        <v>1</v>
      </c>
      <c r="M197" s="15">
        <v>1</v>
      </c>
      <c r="N197" s="15">
        <v>1</v>
      </c>
      <c r="O197" s="15" cm="1">
        <f t="array" ref="O197">J197*VLOOKUP($H197, Factor!$AN$4:$AS$36, 2, 0)*INDEX(Factor!$AN$41:$AS$87, _xlfn.XMATCH($C197, Factor!$AN$41:$AN$87, -1), 2)*IFERROR(VLOOKUP($I197, Factor!$AU$4:$AX$9, 2, 0),1)</f>
        <v>0</v>
      </c>
      <c r="P197" s="15" cm="1">
        <f t="array" ref="P197">K197*VLOOKUP($H197, Factor!$AN$4:$AS$36, 3, 0)*INDEX(Factor!$AN$41:$AS$87, _xlfn.XMATCH($C197, Factor!$AN$41:$AN$87, -1), 3)*IFERROR(VLOOKUP($I197, Factor!$AU$4:$AX$9, 3, 0),1)</f>
        <v>5.6</v>
      </c>
      <c r="Q197" s="15" cm="1">
        <f t="array" ref="Q197">L197*VLOOKUP($H197, Factor!$AN$4:$AS$36, 4, 0)*INDEX(Factor!$AN$41:$AS$87, _xlfn.XMATCH($C197, Factor!$AN$41:$AN$87, -1), 4)</f>
        <v>0</v>
      </c>
      <c r="R197" s="15" cm="1">
        <f t="array" ref="R197">M197*VLOOKUP($H197, Factor!$AN$4:$AS$36, 5, 0)*INDEX(Factor!$AN$41:$AS$87, _xlfn.XMATCH($C197, Factor!$AN$41:$AN$87, -1), 5)</f>
        <v>0</v>
      </c>
      <c r="S197" s="15" cm="1">
        <f t="array" ref="S197">N197*VLOOKUP($H197, Factor!$AN$4:$AS$36, 6, 0)*INDEX(Factor!$AN$41:$AS$87, _xlfn.XMATCH($C197, Factor!$AN$41:$AN$87, -1), 6)*IFERROR(VLOOKUP($I197, Factor!$AU$4:$AX$9, 4, 0),1)</f>
        <v>18200</v>
      </c>
      <c r="T197" s="16"/>
    </row>
    <row r="198" spans="1:20" ht="15.75" customHeight="1" x14ac:dyDescent="0.2">
      <c r="A198" s="17" t="str">
        <f>"parlor_"&amp;VLOOKUP(F198, Factor!$CO$4:$CR$10, 4, 0)&amp;D198&amp;"_"&amp;VLOOKUP(E198, Factor!$CS$4:$CT$13, 2, 0)</f>
        <v>parlor_Indu_Siecleium_T10_001</v>
      </c>
      <c r="B198" s="18" t="str">
        <f t="shared" si="6"/>
        <v>T10 표준 서클리움 정제소</v>
      </c>
      <c r="C198" s="18">
        <f>VLOOKUP(D198, Factor!$AM$41:$AN$50, 2, 0)</f>
        <v>50000</v>
      </c>
      <c r="D198" s="18" t="s">
        <v>306</v>
      </c>
      <c r="E198" s="55" t="s">
        <v>582</v>
      </c>
      <c r="F198" s="55" t="s">
        <v>702</v>
      </c>
      <c r="G198" s="18" t="str">
        <f t="shared" si="7"/>
        <v>표준 서클리움 정제소</v>
      </c>
      <c r="H198" s="18" t="str">
        <f>VLOOKUP(F198, Factor!$CO$4:$CR$10, 2, 0)</f>
        <v>공업</v>
      </c>
      <c r="I198" s="18" t="str">
        <f>VLOOKUP(F198, Factor!$CO$4:$CR$10, 3, 0)</f>
        <v>siecleium</v>
      </c>
      <c r="J198" s="18">
        <v>1</v>
      </c>
      <c r="K198" s="18">
        <v>1</v>
      </c>
      <c r="L198" s="18">
        <v>1</v>
      </c>
      <c r="M198" s="18">
        <v>1</v>
      </c>
      <c r="N198" s="18">
        <v>1</v>
      </c>
      <c r="O198" s="18" cm="1">
        <f t="array" ref="O198">J198*VLOOKUP($H198, Factor!$AN$4:$AS$36, 2, 0)*INDEX(Factor!$AN$41:$AS$87, _xlfn.XMATCH($C198, Factor!$AN$41:$AN$87, -1), 2)*IFERROR(VLOOKUP($I198, Factor!$AU$4:$AX$9, 2, 0),1)</f>
        <v>0</v>
      </c>
      <c r="P198" s="18" cm="1">
        <f t="array" ref="P198">K198*VLOOKUP($H198, Factor!$AN$4:$AS$36, 3, 0)*INDEX(Factor!$AN$41:$AS$87, _xlfn.XMATCH($C198, Factor!$AN$41:$AN$87, -1), 3)*IFERROR(VLOOKUP($I198, Factor!$AU$4:$AX$9, 3, 0),1)</f>
        <v>28</v>
      </c>
      <c r="Q198" s="18" cm="1">
        <f t="array" ref="Q198">L198*VLOOKUP($H198, Factor!$AN$4:$AS$36, 4, 0)*INDEX(Factor!$AN$41:$AS$87, _xlfn.XMATCH($C198, Factor!$AN$41:$AN$87, -1), 4)</f>
        <v>0</v>
      </c>
      <c r="R198" s="18" cm="1">
        <f t="array" ref="R198">M198*VLOOKUP($H198, Factor!$AN$4:$AS$36, 5, 0)*INDEX(Factor!$AN$41:$AS$87, _xlfn.XMATCH($C198, Factor!$AN$41:$AN$87, -1), 5)</f>
        <v>0</v>
      </c>
      <c r="S198" s="18" cm="1">
        <f t="array" ref="S198">N198*VLOOKUP($H198, Factor!$AN$4:$AS$36, 6, 0)*INDEX(Factor!$AN$41:$AS$87, _xlfn.XMATCH($C198, Factor!$AN$41:$AN$87, -1), 6)*IFERROR(VLOOKUP($I198, Factor!$AU$4:$AX$9, 4, 0),1)</f>
        <v>14000</v>
      </c>
      <c r="T198" s="19"/>
    </row>
    <row r="199" spans="1:20" ht="15.75" customHeight="1" x14ac:dyDescent="0.2">
      <c r="A199" s="14" t="str">
        <f>"parlor_"&amp;VLOOKUP(F199, Factor!$CO$4:$CR$10, 4, 0)&amp;D199&amp;"_"&amp;VLOOKUP(E199, Factor!$CS$4:$CT$13, 2, 0)</f>
        <v>parlor_Trans_Inven_T10_001</v>
      </c>
      <c r="B199" s="15" t="str">
        <f t="shared" si="6"/>
        <v>T10 표준 화물 수송 칸</v>
      </c>
      <c r="C199" s="15">
        <f>VLOOKUP(D199, Factor!$AM$41:$AN$50, 2, 0)</f>
        <v>50000</v>
      </c>
      <c r="D199" s="15" t="s">
        <v>306</v>
      </c>
      <c r="E199" s="56" t="s">
        <v>582</v>
      </c>
      <c r="F199" s="56" t="s">
        <v>703</v>
      </c>
      <c r="G199" s="15" t="str">
        <f t="shared" si="7"/>
        <v>표준 화물 수송 칸</v>
      </c>
      <c r="H199" s="15" t="str">
        <f>VLOOKUP(F199, Factor!$CO$4:$CR$10, 2, 0)</f>
        <v>물자수송</v>
      </c>
      <c r="I199" s="15" t="str">
        <f>VLOOKUP(F199, Factor!$CO$4:$CR$10, 3, 0)</f>
        <v>null</v>
      </c>
      <c r="J199" s="15">
        <v>1</v>
      </c>
      <c r="K199" s="15">
        <v>1</v>
      </c>
      <c r="L199" s="15">
        <v>1</v>
      </c>
      <c r="M199" s="15">
        <v>1</v>
      </c>
      <c r="N199" s="15">
        <v>1</v>
      </c>
      <c r="O199" s="15" cm="1">
        <f t="array" ref="O199">J199*VLOOKUP($H199, Factor!$AN$4:$AS$36, 2, 0)*INDEX(Factor!$AN$41:$AS$87, _xlfn.XMATCH($C199, Factor!$AN$41:$AN$87, -1), 2)*IFERROR(VLOOKUP($I199, Factor!$AU$4:$AX$9, 2, 0),1)</f>
        <v>0</v>
      </c>
      <c r="P199" s="15" cm="1">
        <f t="array" ref="P199">K199*VLOOKUP($H199, Factor!$AN$4:$AS$36, 3, 0)*INDEX(Factor!$AN$41:$AS$87, _xlfn.XMATCH($C199, Factor!$AN$41:$AN$87, -1), 3)*IFERROR(VLOOKUP($I199, Factor!$AU$4:$AX$9, 3, 0),1)</f>
        <v>0</v>
      </c>
      <c r="Q199" s="15" cm="1">
        <f t="array" ref="Q199">L199*VLOOKUP($H199, Factor!$AN$4:$AS$36, 4, 0)*INDEX(Factor!$AN$41:$AS$87, _xlfn.XMATCH($C199, Factor!$AN$41:$AN$87, -1), 4)</f>
        <v>5.6</v>
      </c>
      <c r="R199" s="15" cm="1">
        <f t="array" ref="R199">M199*VLOOKUP($H199, Factor!$AN$4:$AS$36, 5, 0)*INDEX(Factor!$AN$41:$AS$87, _xlfn.XMATCH($C199, Factor!$AN$41:$AN$87, -1), 5)</f>
        <v>0</v>
      </c>
      <c r="S199" s="15" cm="1">
        <f t="array" ref="S199">N199*VLOOKUP($H199, Factor!$AN$4:$AS$36, 6, 0)*INDEX(Factor!$AN$41:$AS$87, _xlfn.XMATCH($C199, Factor!$AN$41:$AN$87, -1), 6)*IFERROR(VLOOKUP($I199, Factor!$AU$4:$AX$9, 4, 0),1)</f>
        <v>5600</v>
      </c>
      <c r="T199" s="16"/>
    </row>
    <row r="200" spans="1:20" ht="15.75" customHeight="1" x14ac:dyDescent="0.2">
      <c r="A200" s="17" t="str">
        <f>"parlor_"&amp;VLOOKUP(F200, Factor!$CO$4:$CR$10, 4, 0)&amp;D200&amp;"_"&amp;VLOOKUP(E200, Factor!$CS$4:$CT$13, 2, 0)</f>
        <v>parlor_Trans_Pass_T10_001</v>
      </c>
      <c r="B200" s="18" t="str">
        <f t="shared" si="6"/>
        <v>T10 표준 인원 수송 칸</v>
      </c>
      <c r="C200" s="18">
        <f>VLOOKUP(D200, Factor!$AM$41:$AN$50, 2, 0)</f>
        <v>50000</v>
      </c>
      <c r="D200" s="18" t="s">
        <v>306</v>
      </c>
      <c r="E200" s="55" t="s">
        <v>582</v>
      </c>
      <c r="F200" s="55" t="s">
        <v>704</v>
      </c>
      <c r="G200" s="18" t="str">
        <f t="shared" si="7"/>
        <v>표준 인원 수송 칸</v>
      </c>
      <c r="H200" s="18" t="str">
        <f>VLOOKUP(F200, Factor!$CO$4:$CR$10, 2, 0)</f>
        <v>인원수송</v>
      </c>
      <c r="I200" s="18" t="str">
        <f>VLOOKUP(F200, Factor!$CO$4:$CR$10, 3, 0)</f>
        <v>null</v>
      </c>
      <c r="J200" s="18">
        <v>1</v>
      </c>
      <c r="K200" s="18">
        <v>1</v>
      </c>
      <c r="L200" s="18">
        <v>1</v>
      </c>
      <c r="M200" s="18">
        <v>1</v>
      </c>
      <c r="N200" s="18">
        <v>1</v>
      </c>
      <c r="O200" s="18" cm="1">
        <f t="array" ref="O200">J200*VLOOKUP($H200, Factor!$AN$4:$AS$36, 2, 0)*INDEX(Factor!$AN$41:$AS$87, _xlfn.XMATCH($C200, Factor!$AN$41:$AN$87, -1), 2)*IFERROR(VLOOKUP($I200, Factor!$AU$4:$AX$9, 2, 0),1)</f>
        <v>0</v>
      </c>
      <c r="P200" s="18" cm="1">
        <f t="array" ref="P200">K200*VLOOKUP($H200, Factor!$AN$4:$AS$36, 3, 0)*INDEX(Factor!$AN$41:$AS$87, _xlfn.XMATCH($C200, Factor!$AN$41:$AN$87, -1), 3)*IFERROR(VLOOKUP($I200, Factor!$AU$4:$AX$9, 3, 0),1)</f>
        <v>0</v>
      </c>
      <c r="Q200" s="18" cm="1">
        <f t="array" ref="Q200">L200*VLOOKUP($H200, Factor!$AN$4:$AS$36, 4, 0)*INDEX(Factor!$AN$41:$AS$87, _xlfn.XMATCH($C200, Factor!$AN$41:$AN$87, -1), 4)</f>
        <v>0</v>
      </c>
      <c r="R200" s="18" cm="1">
        <f t="array" ref="R200">M200*VLOOKUP($H200, Factor!$AN$4:$AS$36, 5, 0)*INDEX(Factor!$AN$41:$AS$87, _xlfn.XMATCH($C200, Factor!$AN$41:$AN$87, -1), 5)</f>
        <v>11.2</v>
      </c>
      <c r="S200" s="18" cm="1">
        <f t="array" ref="S200">N200*VLOOKUP($H200, Factor!$AN$4:$AS$36, 6, 0)*INDEX(Factor!$AN$41:$AS$87, _xlfn.XMATCH($C200, Factor!$AN$41:$AN$87, -1), 6)*IFERROR(VLOOKUP($I200, Factor!$AU$4:$AX$9, 4, 0),1)</f>
        <v>2800</v>
      </c>
      <c r="T200" s="19"/>
    </row>
    <row r="201" spans="1:20" ht="15.75" customHeight="1" x14ac:dyDescent="0.2">
      <c r="A201" s="14" t="str">
        <f>"parlor_"&amp;VLOOKUP(F201, Factor!$CO$4:$CR$10, 4, 0)&amp;D201&amp;"_"&amp;VLOOKUP(E201, Factor!$CS$4:$CT$13, 2, 0)</f>
        <v>parlor_Prod_Food_T10_002</v>
      </c>
      <c r="B201" s="15" t="str">
        <f t="shared" si="6"/>
        <v>T10 경량 스마트팜</v>
      </c>
      <c r="C201" s="15">
        <f>VLOOKUP(D201, Factor!$AM$41:$AN$50, 2, 0)</f>
        <v>50000</v>
      </c>
      <c r="D201" s="15" t="s">
        <v>306</v>
      </c>
      <c r="E201" s="56" t="s">
        <v>585</v>
      </c>
      <c r="F201" s="56" t="s">
        <v>695</v>
      </c>
      <c r="G201" s="15" t="str">
        <f t="shared" si="7"/>
        <v>경량 스마트팜</v>
      </c>
      <c r="H201" s="15" t="str">
        <f>VLOOKUP(F201, Factor!$CO$4:$CR$10, 2, 0)</f>
        <v>생산</v>
      </c>
      <c r="I201" s="15" t="str">
        <f>VLOOKUP(F201, Factor!$CO$4:$CR$10, 3, 0)</f>
        <v>food</v>
      </c>
      <c r="J201" s="15">
        <v>1</v>
      </c>
      <c r="K201" s="15">
        <v>1</v>
      </c>
      <c r="L201" s="15">
        <v>1</v>
      </c>
      <c r="M201" s="15">
        <v>1</v>
      </c>
      <c r="N201" s="15">
        <v>1</v>
      </c>
      <c r="O201" s="15" cm="1">
        <f t="array" ref="O201">J201*VLOOKUP($H201, Factor!$AN$4:$AS$36, 2, 0)*INDEX(Factor!$AN$41:$AS$87, _xlfn.XMATCH($C201, Factor!$AN$41:$AN$87, -1), 2)*IFERROR(VLOOKUP($I201, Factor!$AU$4:$AX$9, 2, 0),1)</f>
        <v>28</v>
      </c>
      <c r="P201" s="15" cm="1">
        <f t="array" ref="P201">K201*VLOOKUP($H201, Factor!$AN$4:$AS$36, 3, 0)*INDEX(Factor!$AN$41:$AS$87, _xlfn.XMATCH($C201, Factor!$AN$41:$AN$87, -1), 3)*IFERROR(VLOOKUP($I201, Factor!$AU$4:$AX$9, 3, 0),1)</f>
        <v>0</v>
      </c>
      <c r="Q201" s="15" cm="1">
        <f t="array" ref="Q201">L201*VLOOKUP($H201, Factor!$AN$4:$AS$36, 4, 0)*INDEX(Factor!$AN$41:$AS$87, _xlfn.XMATCH($C201, Factor!$AN$41:$AN$87, -1), 4)</f>
        <v>2.8</v>
      </c>
      <c r="R201" s="15" cm="1">
        <f t="array" ref="R201">M201*VLOOKUP($H201, Factor!$AN$4:$AS$36, 5, 0)*INDEX(Factor!$AN$41:$AS$87, _xlfn.XMATCH($C201, Factor!$AN$41:$AN$87, -1), 5)</f>
        <v>2.8</v>
      </c>
      <c r="S201" s="15" cm="1">
        <f t="array" ref="S201">N201*VLOOKUP($H201, Factor!$AN$4:$AS$36, 6, 0)*INDEX(Factor!$AN$41:$AS$87, _xlfn.XMATCH($C201, Factor!$AN$41:$AN$87, -1), 6)*IFERROR(VLOOKUP($I201, Factor!$AU$4:$AX$9, 4, 0),1)</f>
        <v>14000</v>
      </c>
      <c r="T201" s="16"/>
    </row>
    <row r="202" spans="1:20" ht="15.75" customHeight="1" x14ac:dyDescent="0.2">
      <c r="A202" s="17" t="str">
        <f>"parlor_"&amp;VLOOKUP(F202, Factor!$CO$4:$CR$10, 4, 0)&amp;D202&amp;"_"&amp;VLOOKUP(E202, Factor!$CS$4:$CT$13, 2, 0)</f>
        <v>parlor_Indu_Ammo_T10_002</v>
      </c>
      <c r="B202" s="18" t="str">
        <f t="shared" si="6"/>
        <v>T10 경량 탄약공장</v>
      </c>
      <c r="C202" s="18">
        <f>VLOOKUP(D202, Factor!$AM$41:$AN$50, 2, 0)</f>
        <v>50000</v>
      </c>
      <c r="D202" s="18" t="s">
        <v>306</v>
      </c>
      <c r="E202" s="55" t="s">
        <v>585</v>
      </c>
      <c r="F202" s="55" t="s">
        <v>696</v>
      </c>
      <c r="G202" s="18" t="str">
        <f t="shared" si="7"/>
        <v>경량 탄약공장</v>
      </c>
      <c r="H202" s="18" t="str">
        <f>VLOOKUP(F202, Factor!$CO$4:$CR$10, 2, 0)</f>
        <v>공업</v>
      </c>
      <c r="I202" s="18" t="str">
        <f>VLOOKUP(F202, Factor!$CO$4:$CR$10, 3, 0)</f>
        <v>ammo</v>
      </c>
      <c r="J202" s="18">
        <v>1</v>
      </c>
      <c r="K202" s="18">
        <v>1</v>
      </c>
      <c r="L202" s="18">
        <v>1</v>
      </c>
      <c r="M202" s="18">
        <v>1</v>
      </c>
      <c r="N202" s="18">
        <v>1</v>
      </c>
      <c r="O202" s="18" cm="1">
        <f t="array" ref="O202">J202*VLOOKUP($H202, Factor!$AN$4:$AS$36, 2, 0)*INDEX(Factor!$AN$41:$AS$87, _xlfn.XMATCH($C202, Factor!$AN$41:$AN$87, -1), 2)*IFERROR(VLOOKUP($I202, Factor!$AU$4:$AX$9, 2, 0),1)</f>
        <v>0</v>
      </c>
      <c r="P202" s="18" cm="1">
        <f t="array" ref="P202">K202*VLOOKUP($H202, Factor!$AN$4:$AS$36, 3, 0)*INDEX(Factor!$AN$41:$AS$87, _xlfn.XMATCH($C202, Factor!$AN$41:$AN$87, -1), 3)*IFERROR(VLOOKUP($I202, Factor!$AU$4:$AX$9, 3, 0),1)</f>
        <v>28</v>
      </c>
      <c r="Q202" s="18" cm="1">
        <f t="array" ref="Q202">L202*VLOOKUP($H202, Factor!$AN$4:$AS$36, 4, 0)*INDEX(Factor!$AN$41:$AS$87, _xlfn.XMATCH($C202, Factor!$AN$41:$AN$87, -1), 4)</f>
        <v>0</v>
      </c>
      <c r="R202" s="18" cm="1">
        <f t="array" ref="R202">M202*VLOOKUP($H202, Factor!$AN$4:$AS$36, 5, 0)*INDEX(Factor!$AN$41:$AS$87, _xlfn.XMATCH($C202, Factor!$AN$41:$AN$87, -1), 5)</f>
        <v>0</v>
      </c>
      <c r="S202" s="18" cm="1">
        <f t="array" ref="S202">N202*VLOOKUP($H202, Factor!$AN$4:$AS$36, 6, 0)*INDEX(Factor!$AN$41:$AS$87, _xlfn.XMATCH($C202, Factor!$AN$41:$AN$87, -1), 6)*IFERROR(VLOOKUP($I202, Factor!$AU$4:$AX$9, 4, 0),1)</f>
        <v>14000</v>
      </c>
      <c r="T202" s="19"/>
    </row>
    <row r="203" spans="1:20" ht="15.75" customHeight="1" x14ac:dyDescent="0.2">
      <c r="A203" s="14" t="str">
        <f>"parlor_"&amp;VLOOKUP(F203, Factor!$CO$4:$CR$10, 4, 0)&amp;D203&amp;"_"&amp;VLOOKUP(E203, Factor!$CS$4:$CT$13, 2, 0)</f>
        <v>parlor_Indu_Shell_T10_002</v>
      </c>
      <c r="B203" s="15" t="str">
        <f t="shared" ref="B203:B214" si="8">D203&amp;" "&amp;G203</f>
        <v>T10 경량 포탄공장</v>
      </c>
      <c r="C203" s="15">
        <f>VLOOKUP(D203, Factor!$AM$41:$AN$50, 2, 0)</f>
        <v>50000</v>
      </c>
      <c r="D203" s="15" t="s">
        <v>306</v>
      </c>
      <c r="E203" s="56" t="s">
        <v>585</v>
      </c>
      <c r="F203" s="56" t="s">
        <v>697</v>
      </c>
      <c r="G203" s="15" t="str">
        <f t="shared" ref="G203:G214" si="9">E203&amp;" "&amp;F203</f>
        <v>경량 포탄공장</v>
      </c>
      <c r="H203" s="15" t="str">
        <f>VLOOKUP(F203, Factor!$CO$4:$CR$10, 2, 0)</f>
        <v>공업</v>
      </c>
      <c r="I203" s="15" t="str">
        <f>VLOOKUP(F203, Factor!$CO$4:$CR$10, 3, 0)</f>
        <v>shell</v>
      </c>
      <c r="J203" s="15">
        <v>1</v>
      </c>
      <c r="K203" s="15">
        <v>1</v>
      </c>
      <c r="L203" s="15">
        <v>1</v>
      </c>
      <c r="M203" s="15">
        <v>1</v>
      </c>
      <c r="N203" s="15">
        <v>1</v>
      </c>
      <c r="O203" s="15" cm="1">
        <f t="array" ref="O203">J203*VLOOKUP($H203, Factor!$AN$4:$AS$36, 2, 0)*INDEX(Factor!$AN$41:$AS$87, _xlfn.XMATCH($C203, Factor!$AN$41:$AN$87, -1), 2)*IFERROR(VLOOKUP($I203, Factor!$AU$4:$AX$9, 2, 0),1)</f>
        <v>0</v>
      </c>
      <c r="P203" s="15" cm="1">
        <f t="array" ref="P203">K203*VLOOKUP($H203, Factor!$AN$4:$AS$36, 3, 0)*INDEX(Factor!$AN$41:$AS$87, _xlfn.XMATCH($C203, Factor!$AN$41:$AN$87, -1), 3)*IFERROR(VLOOKUP($I203, Factor!$AU$4:$AX$9, 3, 0),1)</f>
        <v>14</v>
      </c>
      <c r="Q203" s="15" cm="1">
        <f t="array" ref="Q203">L203*VLOOKUP($H203, Factor!$AN$4:$AS$36, 4, 0)*INDEX(Factor!$AN$41:$AS$87, _xlfn.XMATCH($C203, Factor!$AN$41:$AN$87, -1), 4)</f>
        <v>0</v>
      </c>
      <c r="R203" s="15" cm="1">
        <f t="array" ref="R203">M203*VLOOKUP($H203, Factor!$AN$4:$AS$36, 5, 0)*INDEX(Factor!$AN$41:$AS$87, _xlfn.XMATCH($C203, Factor!$AN$41:$AN$87, -1), 5)</f>
        <v>0</v>
      </c>
      <c r="S203" s="15" cm="1">
        <f t="array" ref="S203">N203*VLOOKUP($H203, Factor!$AN$4:$AS$36, 6, 0)*INDEX(Factor!$AN$41:$AS$87, _xlfn.XMATCH($C203, Factor!$AN$41:$AN$87, -1), 6)*IFERROR(VLOOKUP($I203, Factor!$AU$4:$AX$9, 4, 0),1)</f>
        <v>16800</v>
      </c>
      <c r="T203" s="16"/>
    </row>
    <row r="204" spans="1:20" ht="15.75" customHeight="1" x14ac:dyDescent="0.2">
      <c r="A204" s="17" t="str">
        <f>"parlor_"&amp;VLOOKUP(F204, Factor!$CO$4:$CR$10, 4, 0)&amp;D204&amp;"_"&amp;VLOOKUP(E204, Factor!$CS$4:$CT$13, 2, 0)</f>
        <v>parlor_Indu_Missile_T10_002</v>
      </c>
      <c r="B204" s="18" t="str">
        <f t="shared" si="8"/>
        <v>T10 경량 미사일공장</v>
      </c>
      <c r="C204" s="18">
        <f>VLOOKUP(D204, Factor!$AM$41:$AN$50, 2, 0)</f>
        <v>50000</v>
      </c>
      <c r="D204" s="18" t="s">
        <v>306</v>
      </c>
      <c r="E204" s="55" t="s">
        <v>585</v>
      </c>
      <c r="F204" s="55" t="s">
        <v>698</v>
      </c>
      <c r="G204" s="18" t="str">
        <f t="shared" si="9"/>
        <v>경량 미사일공장</v>
      </c>
      <c r="H204" s="18" t="str">
        <f>VLOOKUP(F204, Factor!$CO$4:$CR$10, 2, 0)</f>
        <v>공업</v>
      </c>
      <c r="I204" s="18" t="str">
        <f>VLOOKUP(F204, Factor!$CO$4:$CR$10, 3, 0)</f>
        <v>missile</v>
      </c>
      <c r="J204" s="18">
        <v>1</v>
      </c>
      <c r="K204" s="18">
        <v>1</v>
      </c>
      <c r="L204" s="18">
        <v>1</v>
      </c>
      <c r="M204" s="18">
        <v>1</v>
      </c>
      <c r="N204" s="18">
        <v>1</v>
      </c>
      <c r="O204" s="18" cm="1">
        <f t="array" ref="O204">J204*VLOOKUP($H204, Factor!$AN$4:$AS$36, 2, 0)*INDEX(Factor!$AN$41:$AS$87, _xlfn.XMATCH($C204, Factor!$AN$41:$AN$87, -1), 2)*IFERROR(VLOOKUP($I204, Factor!$AU$4:$AX$9, 2, 0),1)</f>
        <v>0</v>
      </c>
      <c r="P204" s="18" cm="1">
        <f t="array" ref="P204">K204*VLOOKUP($H204, Factor!$AN$4:$AS$36, 3, 0)*INDEX(Factor!$AN$41:$AS$87, _xlfn.XMATCH($C204, Factor!$AN$41:$AN$87, -1), 3)*IFERROR(VLOOKUP($I204, Factor!$AU$4:$AX$9, 3, 0),1)</f>
        <v>5.6</v>
      </c>
      <c r="Q204" s="18" cm="1">
        <f t="array" ref="Q204">L204*VLOOKUP($H204, Factor!$AN$4:$AS$36, 4, 0)*INDEX(Factor!$AN$41:$AS$87, _xlfn.XMATCH($C204, Factor!$AN$41:$AN$87, -1), 4)</f>
        <v>0</v>
      </c>
      <c r="R204" s="18" cm="1">
        <f t="array" ref="R204">M204*VLOOKUP($H204, Factor!$AN$4:$AS$36, 5, 0)*INDEX(Factor!$AN$41:$AS$87, _xlfn.XMATCH($C204, Factor!$AN$41:$AN$87, -1), 5)</f>
        <v>0</v>
      </c>
      <c r="S204" s="18" cm="1">
        <f t="array" ref="S204">N204*VLOOKUP($H204, Factor!$AN$4:$AS$36, 6, 0)*INDEX(Factor!$AN$41:$AS$87, _xlfn.XMATCH($C204, Factor!$AN$41:$AN$87, -1), 6)*IFERROR(VLOOKUP($I204, Factor!$AU$4:$AX$9, 4, 0),1)</f>
        <v>18200</v>
      </c>
      <c r="T204" s="19"/>
    </row>
    <row r="205" spans="1:20" ht="15.75" customHeight="1" x14ac:dyDescent="0.2">
      <c r="A205" s="14" t="str">
        <f>"parlor_"&amp;VLOOKUP(F205, Factor!$CO$4:$CR$10, 4, 0)&amp;D205&amp;"_"&amp;VLOOKUP(E205, Factor!$CS$4:$CT$13, 2, 0)</f>
        <v>parlor_Indu_Siecleium_T10_002</v>
      </c>
      <c r="B205" s="15" t="str">
        <f t="shared" si="8"/>
        <v>T10 경량 서클리움 정제소</v>
      </c>
      <c r="C205" s="15">
        <f>VLOOKUP(D205, Factor!$AM$41:$AN$50, 2, 0)</f>
        <v>50000</v>
      </c>
      <c r="D205" s="15" t="s">
        <v>306</v>
      </c>
      <c r="E205" s="56" t="s">
        <v>585</v>
      </c>
      <c r="F205" s="56" t="s">
        <v>702</v>
      </c>
      <c r="G205" s="15" t="str">
        <f t="shared" si="9"/>
        <v>경량 서클리움 정제소</v>
      </c>
      <c r="H205" s="15" t="str">
        <f>VLOOKUP(F205, Factor!$CO$4:$CR$10, 2, 0)</f>
        <v>공업</v>
      </c>
      <c r="I205" s="15" t="str">
        <f>VLOOKUP(F205, Factor!$CO$4:$CR$10, 3, 0)</f>
        <v>siecleium</v>
      </c>
      <c r="J205" s="15">
        <v>1</v>
      </c>
      <c r="K205" s="15">
        <v>1</v>
      </c>
      <c r="L205" s="15">
        <v>1</v>
      </c>
      <c r="M205" s="15">
        <v>1</v>
      </c>
      <c r="N205" s="15">
        <v>1</v>
      </c>
      <c r="O205" s="15" cm="1">
        <f t="array" ref="O205">J205*VLOOKUP($H205, Factor!$AN$4:$AS$36, 2, 0)*INDEX(Factor!$AN$41:$AS$87, _xlfn.XMATCH($C205, Factor!$AN$41:$AN$87, -1), 2)*IFERROR(VLOOKUP($I205, Factor!$AU$4:$AX$9, 2, 0),1)</f>
        <v>0</v>
      </c>
      <c r="P205" s="15" cm="1">
        <f t="array" ref="P205">K205*VLOOKUP($H205, Factor!$AN$4:$AS$36, 3, 0)*INDEX(Factor!$AN$41:$AS$87, _xlfn.XMATCH($C205, Factor!$AN$41:$AN$87, -1), 3)*IFERROR(VLOOKUP($I205, Factor!$AU$4:$AX$9, 3, 0),1)</f>
        <v>28</v>
      </c>
      <c r="Q205" s="15" cm="1">
        <f t="array" ref="Q205">L205*VLOOKUP($H205, Factor!$AN$4:$AS$36, 4, 0)*INDEX(Factor!$AN$41:$AS$87, _xlfn.XMATCH($C205, Factor!$AN$41:$AN$87, -1), 4)</f>
        <v>0</v>
      </c>
      <c r="R205" s="15" cm="1">
        <f t="array" ref="R205">M205*VLOOKUP($H205, Factor!$AN$4:$AS$36, 5, 0)*INDEX(Factor!$AN$41:$AS$87, _xlfn.XMATCH($C205, Factor!$AN$41:$AN$87, -1), 5)</f>
        <v>0</v>
      </c>
      <c r="S205" s="15" cm="1">
        <f t="array" ref="S205">N205*VLOOKUP($H205, Factor!$AN$4:$AS$36, 6, 0)*INDEX(Factor!$AN$41:$AS$87, _xlfn.XMATCH($C205, Factor!$AN$41:$AN$87, -1), 6)*IFERROR(VLOOKUP($I205, Factor!$AU$4:$AX$9, 4, 0),1)</f>
        <v>14000</v>
      </c>
      <c r="T205" s="16"/>
    </row>
    <row r="206" spans="1:20" ht="15.75" customHeight="1" x14ac:dyDescent="0.2">
      <c r="A206" s="17" t="str">
        <f>"parlor_"&amp;VLOOKUP(F206, Factor!$CO$4:$CR$10, 4, 0)&amp;D206&amp;"_"&amp;VLOOKUP(E206, Factor!$CS$4:$CT$13, 2, 0)</f>
        <v>parlor_Trans_Inven_T10_002</v>
      </c>
      <c r="B206" s="18" t="str">
        <f t="shared" si="8"/>
        <v>T10 경량 화물 수송 칸</v>
      </c>
      <c r="C206" s="18">
        <f>VLOOKUP(D206, Factor!$AM$41:$AN$50, 2, 0)</f>
        <v>50000</v>
      </c>
      <c r="D206" s="18" t="s">
        <v>306</v>
      </c>
      <c r="E206" s="55" t="s">
        <v>585</v>
      </c>
      <c r="F206" s="55" t="s">
        <v>703</v>
      </c>
      <c r="G206" s="18" t="str">
        <f t="shared" si="9"/>
        <v>경량 화물 수송 칸</v>
      </c>
      <c r="H206" s="18" t="str">
        <f>VLOOKUP(F206, Factor!$CO$4:$CR$10, 2, 0)</f>
        <v>물자수송</v>
      </c>
      <c r="I206" s="18" t="str">
        <f>VLOOKUP(F206, Factor!$CO$4:$CR$10, 3, 0)</f>
        <v>null</v>
      </c>
      <c r="J206" s="18">
        <v>1</v>
      </c>
      <c r="K206" s="18">
        <v>1</v>
      </c>
      <c r="L206" s="18">
        <v>1</v>
      </c>
      <c r="M206" s="18">
        <v>1</v>
      </c>
      <c r="N206" s="18">
        <v>1</v>
      </c>
      <c r="O206" s="18" cm="1">
        <f t="array" ref="O206">J206*VLOOKUP($H206, Factor!$AN$4:$AS$36, 2, 0)*INDEX(Factor!$AN$41:$AS$87, _xlfn.XMATCH($C206, Factor!$AN$41:$AN$87, -1), 2)*IFERROR(VLOOKUP($I206, Factor!$AU$4:$AX$9, 2, 0),1)</f>
        <v>0</v>
      </c>
      <c r="P206" s="18" cm="1">
        <f t="array" ref="P206">K206*VLOOKUP($H206, Factor!$AN$4:$AS$36, 3, 0)*INDEX(Factor!$AN$41:$AS$87, _xlfn.XMATCH($C206, Factor!$AN$41:$AN$87, -1), 3)*IFERROR(VLOOKUP($I206, Factor!$AU$4:$AX$9, 3, 0),1)</f>
        <v>0</v>
      </c>
      <c r="Q206" s="18" cm="1">
        <f t="array" ref="Q206">L206*VLOOKUP($H206, Factor!$AN$4:$AS$36, 4, 0)*INDEX(Factor!$AN$41:$AS$87, _xlfn.XMATCH($C206, Factor!$AN$41:$AN$87, -1), 4)</f>
        <v>5.6</v>
      </c>
      <c r="R206" s="18" cm="1">
        <f t="array" ref="R206">M206*VLOOKUP($H206, Factor!$AN$4:$AS$36, 5, 0)*INDEX(Factor!$AN$41:$AS$87, _xlfn.XMATCH($C206, Factor!$AN$41:$AN$87, -1), 5)</f>
        <v>0</v>
      </c>
      <c r="S206" s="18" cm="1">
        <f t="array" ref="S206">N206*VLOOKUP($H206, Factor!$AN$4:$AS$36, 6, 0)*INDEX(Factor!$AN$41:$AS$87, _xlfn.XMATCH($C206, Factor!$AN$41:$AN$87, -1), 6)*IFERROR(VLOOKUP($I206, Factor!$AU$4:$AX$9, 4, 0),1)</f>
        <v>5600</v>
      </c>
      <c r="T206" s="19"/>
    </row>
    <row r="207" spans="1:20" ht="15.75" customHeight="1" x14ac:dyDescent="0.2">
      <c r="A207" s="14" t="str">
        <f>"parlor_"&amp;VLOOKUP(F207, Factor!$CO$4:$CR$10, 4, 0)&amp;D207&amp;"_"&amp;VLOOKUP(E207, Factor!$CS$4:$CT$13, 2, 0)</f>
        <v>parlor_Trans_Pass_T10_002</v>
      </c>
      <c r="B207" s="15" t="str">
        <f t="shared" si="8"/>
        <v>T10 경량 인원 수송 칸</v>
      </c>
      <c r="C207" s="15">
        <f>VLOOKUP(D207, Factor!$AM$41:$AN$50, 2, 0)</f>
        <v>50000</v>
      </c>
      <c r="D207" s="15" t="s">
        <v>306</v>
      </c>
      <c r="E207" s="56" t="s">
        <v>585</v>
      </c>
      <c r="F207" s="56" t="s">
        <v>704</v>
      </c>
      <c r="G207" s="15" t="str">
        <f t="shared" si="9"/>
        <v>경량 인원 수송 칸</v>
      </c>
      <c r="H207" s="15" t="str">
        <f>VLOOKUP(F207, Factor!$CO$4:$CR$10, 2, 0)</f>
        <v>인원수송</v>
      </c>
      <c r="I207" s="15" t="str">
        <f>VLOOKUP(F207, Factor!$CO$4:$CR$10, 3, 0)</f>
        <v>null</v>
      </c>
      <c r="J207" s="15">
        <v>1</v>
      </c>
      <c r="K207" s="15">
        <v>1</v>
      </c>
      <c r="L207" s="15">
        <v>1</v>
      </c>
      <c r="M207" s="15">
        <v>1</v>
      </c>
      <c r="N207" s="15">
        <v>1</v>
      </c>
      <c r="O207" s="15" cm="1">
        <f t="array" ref="O207">J207*VLOOKUP($H207, Factor!$AN$4:$AS$36, 2, 0)*INDEX(Factor!$AN$41:$AS$87, _xlfn.XMATCH($C207, Factor!$AN$41:$AN$87, -1), 2)*IFERROR(VLOOKUP($I207, Factor!$AU$4:$AX$9, 2, 0),1)</f>
        <v>0</v>
      </c>
      <c r="P207" s="15" cm="1">
        <f t="array" ref="P207">K207*VLOOKUP($H207, Factor!$AN$4:$AS$36, 3, 0)*INDEX(Factor!$AN$41:$AS$87, _xlfn.XMATCH($C207, Factor!$AN$41:$AN$87, -1), 3)*IFERROR(VLOOKUP($I207, Factor!$AU$4:$AX$9, 3, 0),1)</f>
        <v>0</v>
      </c>
      <c r="Q207" s="15" cm="1">
        <f t="array" ref="Q207">L207*VLOOKUP($H207, Factor!$AN$4:$AS$36, 4, 0)*INDEX(Factor!$AN$41:$AS$87, _xlfn.XMATCH($C207, Factor!$AN$41:$AN$87, -1), 4)</f>
        <v>0</v>
      </c>
      <c r="R207" s="15" cm="1">
        <f t="array" ref="R207">M207*VLOOKUP($H207, Factor!$AN$4:$AS$36, 5, 0)*INDEX(Factor!$AN$41:$AS$87, _xlfn.XMATCH($C207, Factor!$AN$41:$AN$87, -1), 5)</f>
        <v>11.2</v>
      </c>
      <c r="S207" s="15" cm="1">
        <f t="array" ref="S207">N207*VLOOKUP($H207, Factor!$AN$4:$AS$36, 6, 0)*INDEX(Factor!$AN$41:$AS$87, _xlfn.XMATCH($C207, Factor!$AN$41:$AN$87, -1), 6)*IFERROR(VLOOKUP($I207, Factor!$AU$4:$AX$9, 4, 0),1)</f>
        <v>2800</v>
      </c>
      <c r="T207" s="16"/>
    </row>
    <row r="208" spans="1:20" ht="15.75" customHeight="1" x14ac:dyDescent="0.2">
      <c r="A208" s="17" t="str">
        <f>"parlor_"&amp;VLOOKUP(F208, Factor!$CO$4:$CR$10, 4, 0)&amp;D208&amp;"_"&amp;VLOOKUP(E208, Factor!$CS$4:$CT$13, 2, 0)</f>
        <v>parlor_Prod_Food_T10_003</v>
      </c>
      <c r="B208" s="18" t="str">
        <f t="shared" si="8"/>
        <v>T10 대형 스마트팜</v>
      </c>
      <c r="C208" s="18">
        <f>VLOOKUP(D208, Factor!$AM$41:$AN$50, 2, 0)</f>
        <v>50000</v>
      </c>
      <c r="D208" s="18" t="s">
        <v>306</v>
      </c>
      <c r="E208" s="55" t="s">
        <v>583</v>
      </c>
      <c r="F208" s="55" t="s">
        <v>695</v>
      </c>
      <c r="G208" s="18" t="str">
        <f t="shared" si="9"/>
        <v>대형 스마트팜</v>
      </c>
      <c r="H208" s="18" t="str">
        <f>VLOOKUP(F208, Factor!$CO$4:$CR$10, 2, 0)</f>
        <v>생산</v>
      </c>
      <c r="I208" s="18" t="str">
        <f>VLOOKUP(F208, Factor!$CO$4:$CR$10, 3, 0)</f>
        <v>food</v>
      </c>
      <c r="J208" s="18">
        <v>1</v>
      </c>
      <c r="K208" s="18">
        <v>1</v>
      </c>
      <c r="L208" s="18">
        <v>1</v>
      </c>
      <c r="M208" s="18">
        <v>1</v>
      </c>
      <c r="N208" s="18">
        <v>1</v>
      </c>
      <c r="O208" s="18" cm="1">
        <f t="array" ref="O208">J208*VLOOKUP($H208, Factor!$AN$4:$AS$36, 2, 0)*INDEX(Factor!$AN$41:$AS$87, _xlfn.XMATCH($C208, Factor!$AN$41:$AN$87, -1), 2)*IFERROR(VLOOKUP($I208, Factor!$AU$4:$AX$9, 2, 0),1)</f>
        <v>28</v>
      </c>
      <c r="P208" s="18" cm="1">
        <f t="array" ref="P208">K208*VLOOKUP($H208, Factor!$AN$4:$AS$36, 3, 0)*INDEX(Factor!$AN$41:$AS$87, _xlfn.XMATCH($C208, Factor!$AN$41:$AN$87, -1), 3)*IFERROR(VLOOKUP($I208, Factor!$AU$4:$AX$9, 3, 0),1)</f>
        <v>0</v>
      </c>
      <c r="Q208" s="18" cm="1">
        <f t="array" ref="Q208">L208*VLOOKUP($H208, Factor!$AN$4:$AS$36, 4, 0)*INDEX(Factor!$AN$41:$AS$87, _xlfn.XMATCH($C208, Factor!$AN$41:$AN$87, -1), 4)</f>
        <v>2.8</v>
      </c>
      <c r="R208" s="18" cm="1">
        <f t="array" ref="R208">M208*VLOOKUP($H208, Factor!$AN$4:$AS$36, 5, 0)*INDEX(Factor!$AN$41:$AS$87, _xlfn.XMATCH($C208, Factor!$AN$41:$AN$87, -1), 5)</f>
        <v>2.8</v>
      </c>
      <c r="S208" s="18" cm="1">
        <f t="array" ref="S208">N208*VLOOKUP($H208, Factor!$AN$4:$AS$36, 6, 0)*INDEX(Factor!$AN$41:$AS$87, _xlfn.XMATCH($C208, Factor!$AN$41:$AN$87, -1), 6)*IFERROR(VLOOKUP($I208, Factor!$AU$4:$AX$9, 4, 0),1)</f>
        <v>14000</v>
      </c>
      <c r="T208" s="19"/>
    </row>
    <row r="209" spans="1:20" ht="15.75" customHeight="1" x14ac:dyDescent="0.2">
      <c r="A209" s="14" t="str">
        <f>"parlor_"&amp;VLOOKUP(F209, Factor!$CO$4:$CR$10, 4, 0)&amp;D209&amp;"_"&amp;VLOOKUP(E209, Factor!$CS$4:$CT$13, 2, 0)</f>
        <v>parlor_Indu_Ammo_T10_003</v>
      </c>
      <c r="B209" s="15" t="str">
        <f t="shared" si="8"/>
        <v>T10 대형 탄약공장</v>
      </c>
      <c r="C209" s="15">
        <f>VLOOKUP(D209, Factor!$AM$41:$AN$50, 2, 0)</f>
        <v>50000</v>
      </c>
      <c r="D209" s="15" t="s">
        <v>306</v>
      </c>
      <c r="E209" s="56" t="s">
        <v>583</v>
      </c>
      <c r="F209" s="56" t="s">
        <v>696</v>
      </c>
      <c r="G209" s="15" t="str">
        <f t="shared" si="9"/>
        <v>대형 탄약공장</v>
      </c>
      <c r="H209" s="15" t="str">
        <f>VLOOKUP(F209, Factor!$CO$4:$CR$10, 2, 0)</f>
        <v>공업</v>
      </c>
      <c r="I209" s="15" t="str">
        <f>VLOOKUP(F209, Factor!$CO$4:$CR$10, 3, 0)</f>
        <v>ammo</v>
      </c>
      <c r="J209" s="15">
        <v>1</v>
      </c>
      <c r="K209" s="15">
        <v>1</v>
      </c>
      <c r="L209" s="15">
        <v>1</v>
      </c>
      <c r="M209" s="15">
        <v>1</v>
      </c>
      <c r="N209" s="15">
        <v>1</v>
      </c>
      <c r="O209" s="15" cm="1">
        <f t="array" ref="O209">J209*VLOOKUP($H209, Factor!$AN$4:$AS$36, 2, 0)*INDEX(Factor!$AN$41:$AS$87, _xlfn.XMATCH($C209, Factor!$AN$41:$AN$87, -1), 2)*IFERROR(VLOOKUP($I209, Factor!$AU$4:$AX$9, 2, 0),1)</f>
        <v>0</v>
      </c>
      <c r="P209" s="15" cm="1">
        <f t="array" ref="P209">K209*VLOOKUP($H209, Factor!$AN$4:$AS$36, 3, 0)*INDEX(Factor!$AN$41:$AS$87, _xlfn.XMATCH($C209, Factor!$AN$41:$AN$87, -1), 3)*IFERROR(VLOOKUP($I209, Factor!$AU$4:$AX$9, 3, 0),1)</f>
        <v>28</v>
      </c>
      <c r="Q209" s="15" cm="1">
        <f t="array" ref="Q209">L209*VLOOKUP($H209, Factor!$AN$4:$AS$36, 4, 0)*INDEX(Factor!$AN$41:$AS$87, _xlfn.XMATCH($C209, Factor!$AN$41:$AN$87, -1), 4)</f>
        <v>0</v>
      </c>
      <c r="R209" s="15" cm="1">
        <f t="array" ref="R209">M209*VLOOKUP($H209, Factor!$AN$4:$AS$36, 5, 0)*INDEX(Factor!$AN$41:$AS$87, _xlfn.XMATCH($C209, Factor!$AN$41:$AN$87, -1), 5)</f>
        <v>0</v>
      </c>
      <c r="S209" s="15" cm="1">
        <f t="array" ref="S209">N209*VLOOKUP($H209, Factor!$AN$4:$AS$36, 6, 0)*INDEX(Factor!$AN$41:$AS$87, _xlfn.XMATCH($C209, Factor!$AN$41:$AN$87, -1), 6)*IFERROR(VLOOKUP($I209, Factor!$AU$4:$AX$9, 4, 0),1)</f>
        <v>14000</v>
      </c>
      <c r="T209" s="16"/>
    </row>
    <row r="210" spans="1:20" ht="15.75" customHeight="1" x14ac:dyDescent="0.2">
      <c r="A210" s="17" t="str">
        <f>"parlor_"&amp;VLOOKUP(F210, Factor!$CO$4:$CR$10, 4, 0)&amp;D210&amp;"_"&amp;VLOOKUP(E210, Factor!$CS$4:$CT$13, 2, 0)</f>
        <v>parlor_Indu_Shell_T10_003</v>
      </c>
      <c r="B210" s="18" t="str">
        <f t="shared" si="8"/>
        <v>T10 대형 포탄공장</v>
      </c>
      <c r="C210" s="18">
        <f>VLOOKUP(D210, Factor!$AM$41:$AN$50, 2, 0)</f>
        <v>50000</v>
      </c>
      <c r="D210" s="18" t="s">
        <v>306</v>
      </c>
      <c r="E210" s="55" t="s">
        <v>583</v>
      </c>
      <c r="F210" s="55" t="s">
        <v>697</v>
      </c>
      <c r="G210" s="18" t="str">
        <f t="shared" si="9"/>
        <v>대형 포탄공장</v>
      </c>
      <c r="H210" s="18" t="str">
        <f>VLOOKUP(F210, Factor!$CO$4:$CR$10, 2, 0)</f>
        <v>공업</v>
      </c>
      <c r="I210" s="18" t="str">
        <f>VLOOKUP(F210, Factor!$CO$4:$CR$10, 3, 0)</f>
        <v>shell</v>
      </c>
      <c r="J210" s="18">
        <v>1</v>
      </c>
      <c r="K210" s="18">
        <v>1</v>
      </c>
      <c r="L210" s="18">
        <v>1</v>
      </c>
      <c r="M210" s="18">
        <v>1</v>
      </c>
      <c r="N210" s="18">
        <v>1</v>
      </c>
      <c r="O210" s="18" cm="1">
        <f t="array" ref="O210">J210*VLOOKUP($H210, Factor!$AN$4:$AS$36, 2, 0)*INDEX(Factor!$AN$41:$AS$87, _xlfn.XMATCH($C210, Factor!$AN$41:$AN$87, -1), 2)*IFERROR(VLOOKUP($I210, Factor!$AU$4:$AX$9, 2, 0),1)</f>
        <v>0</v>
      </c>
      <c r="P210" s="18" cm="1">
        <f t="array" ref="P210">K210*VLOOKUP($H210, Factor!$AN$4:$AS$36, 3, 0)*INDEX(Factor!$AN$41:$AS$87, _xlfn.XMATCH($C210, Factor!$AN$41:$AN$87, -1), 3)*IFERROR(VLOOKUP($I210, Factor!$AU$4:$AX$9, 3, 0),1)</f>
        <v>14</v>
      </c>
      <c r="Q210" s="18" cm="1">
        <f t="array" ref="Q210">L210*VLOOKUP($H210, Factor!$AN$4:$AS$36, 4, 0)*INDEX(Factor!$AN$41:$AS$87, _xlfn.XMATCH($C210, Factor!$AN$41:$AN$87, -1), 4)</f>
        <v>0</v>
      </c>
      <c r="R210" s="18" cm="1">
        <f t="array" ref="R210">M210*VLOOKUP($H210, Factor!$AN$4:$AS$36, 5, 0)*INDEX(Factor!$AN$41:$AS$87, _xlfn.XMATCH($C210, Factor!$AN$41:$AN$87, -1), 5)</f>
        <v>0</v>
      </c>
      <c r="S210" s="18" cm="1">
        <f t="array" ref="S210">N210*VLOOKUP($H210, Factor!$AN$4:$AS$36, 6, 0)*INDEX(Factor!$AN$41:$AS$87, _xlfn.XMATCH($C210, Factor!$AN$41:$AN$87, -1), 6)*IFERROR(VLOOKUP($I210, Factor!$AU$4:$AX$9, 4, 0),1)</f>
        <v>16800</v>
      </c>
      <c r="T210" s="19"/>
    </row>
    <row r="211" spans="1:20" ht="15.75" customHeight="1" x14ac:dyDescent="0.2">
      <c r="A211" s="14" t="str">
        <f>"parlor_"&amp;VLOOKUP(F211, Factor!$CO$4:$CR$10, 4, 0)&amp;D211&amp;"_"&amp;VLOOKUP(E211, Factor!$CS$4:$CT$13, 2, 0)</f>
        <v>parlor_Indu_Missile_T10_003</v>
      </c>
      <c r="B211" s="15" t="str">
        <f t="shared" si="8"/>
        <v>T10 대형 미사일공장</v>
      </c>
      <c r="C211" s="15">
        <f>VLOOKUP(D211, Factor!$AM$41:$AN$50, 2, 0)</f>
        <v>50000</v>
      </c>
      <c r="D211" s="15" t="s">
        <v>306</v>
      </c>
      <c r="E211" s="56" t="s">
        <v>583</v>
      </c>
      <c r="F211" s="56" t="s">
        <v>698</v>
      </c>
      <c r="G211" s="15" t="str">
        <f t="shared" si="9"/>
        <v>대형 미사일공장</v>
      </c>
      <c r="H211" s="15" t="str">
        <f>VLOOKUP(F211, Factor!$CO$4:$CR$10, 2, 0)</f>
        <v>공업</v>
      </c>
      <c r="I211" s="15" t="str">
        <f>VLOOKUP(F211, Factor!$CO$4:$CR$10, 3, 0)</f>
        <v>missile</v>
      </c>
      <c r="J211" s="15">
        <v>1</v>
      </c>
      <c r="K211" s="15">
        <v>1</v>
      </c>
      <c r="L211" s="15">
        <v>1</v>
      </c>
      <c r="M211" s="15">
        <v>1</v>
      </c>
      <c r="N211" s="15">
        <v>1</v>
      </c>
      <c r="O211" s="15" cm="1">
        <f t="array" ref="O211">J211*VLOOKUP($H211, Factor!$AN$4:$AS$36, 2, 0)*INDEX(Factor!$AN$41:$AS$87, _xlfn.XMATCH($C211, Factor!$AN$41:$AN$87, -1), 2)*IFERROR(VLOOKUP($I211, Factor!$AU$4:$AX$9, 2, 0),1)</f>
        <v>0</v>
      </c>
      <c r="P211" s="15" cm="1">
        <f t="array" ref="P211">K211*VLOOKUP($H211, Factor!$AN$4:$AS$36, 3, 0)*INDEX(Factor!$AN$41:$AS$87, _xlfn.XMATCH($C211, Factor!$AN$41:$AN$87, -1), 3)*IFERROR(VLOOKUP($I211, Factor!$AU$4:$AX$9, 3, 0),1)</f>
        <v>5.6</v>
      </c>
      <c r="Q211" s="15" cm="1">
        <f t="array" ref="Q211">L211*VLOOKUP($H211, Factor!$AN$4:$AS$36, 4, 0)*INDEX(Factor!$AN$41:$AS$87, _xlfn.XMATCH($C211, Factor!$AN$41:$AN$87, -1), 4)</f>
        <v>0</v>
      </c>
      <c r="R211" s="15" cm="1">
        <f t="array" ref="R211">M211*VLOOKUP($H211, Factor!$AN$4:$AS$36, 5, 0)*INDEX(Factor!$AN$41:$AS$87, _xlfn.XMATCH($C211, Factor!$AN$41:$AN$87, -1), 5)</f>
        <v>0</v>
      </c>
      <c r="S211" s="15" cm="1">
        <f t="array" ref="S211">N211*VLOOKUP($H211, Factor!$AN$4:$AS$36, 6, 0)*INDEX(Factor!$AN$41:$AS$87, _xlfn.XMATCH($C211, Factor!$AN$41:$AN$87, -1), 6)*IFERROR(VLOOKUP($I211, Factor!$AU$4:$AX$9, 4, 0),1)</f>
        <v>18200</v>
      </c>
      <c r="T211" s="16"/>
    </row>
    <row r="212" spans="1:20" ht="15.75" customHeight="1" x14ac:dyDescent="0.2">
      <c r="A212" s="17" t="str">
        <f>"parlor_"&amp;VLOOKUP(F212, Factor!$CO$4:$CR$10, 4, 0)&amp;D212&amp;"_"&amp;VLOOKUP(E212, Factor!$CS$4:$CT$13, 2, 0)</f>
        <v>parlor_Indu_Siecleium_T10_003</v>
      </c>
      <c r="B212" s="18" t="str">
        <f t="shared" si="8"/>
        <v>T10 대형 서클리움 정제소</v>
      </c>
      <c r="C212" s="18">
        <f>VLOOKUP(D212, Factor!$AM$41:$AN$50, 2, 0)</f>
        <v>50000</v>
      </c>
      <c r="D212" s="18" t="s">
        <v>306</v>
      </c>
      <c r="E212" s="55" t="s">
        <v>583</v>
      </c>
      <c r="F212" s="55" t="s">
        <v>702</v>
      </c>
      <c r="G212" s="18" t="str">
        <f t="shared" si="9"/>
        <v>대형 서클리움 정제소</v>
      </c>
      <c r="H212" s="18" t="str">
        <f>VLOOKUP(F212, Factor!$CO$4:$CR$10, 2, 0)</f>
        <v>공업</v>
      </c>
      <c r="I212" s="18" t="str">
        <f>VLOOKUP(F212, Factor!$CO$4:$CR$10, 3, 0)</f>
        <v>siecleium</v>
      </c>
      <c r="J212" s="18">
        <v>1</v>
      </c>
      <c r="K212" s="18">
        <v>1</v>
      </c>
      <c r="L212" s="18">
        <v>1</v>
      </c>
      <c r="M212" s="18">
        <v>1</v>
      </c>
      <c r="N212" s="18">
        <v>1</v>
      </c>
      <c r="O212" s="18" cm="1">
        <f t="array" ref="O212">J212*VLOOKUP($H212, Factor!$AN$4:$AS$36, 2, 0)*INDEX(Factor!$AN$41:$AS$87, _xlfn.XMATCH($C212, Factor!$AN$41:$AN$87, -1), 2)*IFERROR(VLOOKUP($I212, Factor!$AU$4:$AX$9, 2, 0),1)</f>
        <v>0</v>
      </c>
      <c r="P212" s="18" cm="1">
        <f t="array" ref="P212">K212*VLOOKUP($H212, Factor!$AN$4:$AS$36, 3, 0)*INDEX(Factor!$AN$41:$AS$87, _xlfn.XMATCH($C212, Factor!$AN$41:$AN$87, -1), 3)*IFERROR(VLOOKUP($I212, Factor!$AU$4:$AX$9, 3, 0),1)</f>
        <v>28</v>
      </c>
      <c r="Q212" s="18" cm="1">
        <f t="array" ref="Q212">L212*VLOOKUP($H212, Factor!$AN$4:$AS$36, 4, 0)*INDEX(Factor!$AN$41:$AS$87, _xlfn.XMATCH($C212, Factor!$AN$41:$AN$87, -1), 4)</f>
        <v>0</v>
      </c>
      <c r="R212" s="18" cm="1">
        <f t="array" ref="R212">M212*VLOOKUP($H212, Factor!$AN$4:$AS$36, 5, 0)*INDEX(Factor!$AN$41:$AS$87, _xlfn.XMATCH($C212, Factor!$AN$41:$AN$87, -1), 5)</f>
        <v>0</v>
      </c>
      <c r="S212" s="18" cm="1">
        <f t="array" ref="S212">N212*VLOOKUP($H212, Factor!$AN$4:$AS$36, 6, 0)*INDEX(Factor!$AN$41:$AS$87, _xlfn.XMATCH($C212, Factor!$AN$41:$AN$87, -1), 6)*IFERROR(VLOOKUP($I212, Factor!$AU$4:$AX$9, 4, 0),1)</f>
        <v>14000</v>
      </c>
      <c r="T212" s="19"/>
    </row>
    <row r="213" spans="1:20" ht="15.75" customHeight="1" x14ac:dyDescent="0.2">
      <c r="A213" s="14" t="str">
        <f>"parlor_"&amp;VLOOKUP(F213, Factor!$CO$4:$CR$10, 4, 0)&amp;D213&amp;"_"&amp;VLOOKUP(E213, Factor!$CS$4:$CT$13, 2, 0)</f>
        <v>parlor_Trans_Inven_T10_003</v>
      </c>
      <c r="B213" s="15" t="str">
        <f t="shared" si="8"/>
        <v>T10 대형 화물 수송 칸</v>
      </c>
      <c r="C213" s="15">
        <f>VLOOKUP(D213, Factor!$AM$41:$AN$50, 2, 0)</f>
        <v>50000</v>
      </c>
      <c r="D213" s="15" t="s">
        <v>306</v>
      </c>
      <c r="E213" s="56" t="s">
        <v>583</v>
      </c>
      <c r="F213" s="56" t="s">
        <v>703</v>
      </c>
      <c r="G213" s="15" t="str">
        <f t="shared" si="9"/>
        <v>대형 화물 수송 칸</v>
      </c>
      <c r="H213" s="15" t="str">
        <f>VLOOKUP(F213, Factor!$CO$4:$CR$10, 2, 0)</f>
        <v>물자수송</v>
      </c>
      <c r="I213" s="15" t="str">
        <f>VLOOKUP(F213, Factor!$CO$4:$CR$10, 3, 0)</f>
        <v>null</v>
      </c>
      <c r="J213" s="15">
        <v>1</v>
      </c>
      <c r="K213" s="15">
        <v>1</v>
      </c>
      <c r="L213" s="15">
        <v>1</v>
      </c>
      <c r="M213" s="15">
        <v>1</v>
      </c>
      <c r="N213" s="15">
        <v>1</v>
      </c>
      <c r="O213" s="15" cm="1">
        <f t="array" ref="O213">J213*VLOOKUP($H213, Factor!$AN$4:$AS$36, 2, 0)*INDEX(Factor!$AN$41:$AS$87, _xlfn.XMATCH($C213, Factor!$AN$41:$AN$87, -1), 2)*IFERROR(VLOOKUP($I213, Factor!$AU$4:$AX$9, 2, 0),1)</f>
        <v>0</v>
      </c>
      <c r="P213" s="15" cm="1">
        <f t="array" ref="P213">K213*VLOOKUP($H213, Factor!$AN$4:$AS$36, 3, 0)*INDEX(Factor!$AN$41:$AS$87, _xlfn.XMATCH($C213, Factor!$AN$41:$AN$87, -1), 3)*IFERROR(VLOOKUP($I213, Factor!$AU$4:$AX$9, 3, 0),1)</f>
        <v>0</v>
      </c>
      <c r="Q213" s="15" cm="1">
        <f t="array" ref="Q213">L213*VLOOKUP($H213, Factor!$AN$4:$AS$36, 4, 0)*INDEX(Factor!$AN$41:$AS$87, _xlfn.XMATCH($C213, Factor!$AN$41:$AN$87, -1), 4)</f>
        <v>5.6</v>
      </c>
      <c r="R213" s="15" cm="1">
        <f t="array" ref="R213">M213*VLOOKUP($H213, Factor!$AN$4:$AS$36, 5, 0)*INDEX(Factor!$AN$41:$AS$87, _xlfn.XMATCH($C213, Factor!$AN$41:$AN$87, -1), 5)</f>
        <v>0</v>
      </c>
      <c r="S213" s="15" cm="1">
        <f t="array" ref="S213">N213*VLOOKUP($H213, Factor!$AN$4:$AS$36, 6, 0)*INDEX(Factor!$AN$41:$AS$87, _xlfn.XMATCH($C213, Factor!$AN$41:$AN$87, -1), 6)*IFERROR(VLOOKUP($I213, Factor!$AU$4:$AX$9, 4, 0),1)</f>
        <v>5600</v>
      </c>
      <c r="T213" s="16"/>
    </row>
    <row r="214" spans="1:20" ht="15.75" customHeight="1" x14ac:dyDescent="0.2">
      <c r="A214" s="17" t="str">
        <f>"parlor_"&amp;VLOOKUP(F214, Factor!$CO$4:$CR$10, 4, 0)&amp;D214&amp;"_"&amp;VLOOKUP(E214, Factor!$CS$4:$CT$13, 2, 0)</f>
        <v>parlor_Trans_Pass_T10_003</v>
      </c>
      <c r="B214" s="18" t="str">
        <f t="shared" si="8"/>
        <v>T10 대형 인원 수송 칸</v>
      </c>
      <c r="C214" s="18">
        <f>VLOOKUP(D214, Factor!$AM$41:$AN$50, 2, 0)</f>
        <v>50000</v>
      </c>
      <c r="D214" s="18" t="s">
        <v>306</v>
      </c>
      <c r="E214" s="55" t="s">
        <v>583</v>
      </c>
      <c r="F214" s="55" t="s">
        <v>704</v>
      </c>
      <c r="G214" s="18" t="str">
        <f t="shared" si="9"/>
        <v>대형 인원 수송 칸</v>
      </c>
      <c r="H214" s="18" t="str">
        <f>VLOOKUP(F214, Factor!$CO$4:$CR$10, 2, 0)</f>
        <v>인원수송</v>
      </c>
      <c r="I214" s="18" t="str">
        <f>VLOOKUP(F214, Factor!$CO$4:$CR$10, 3, 0)</f>
        <v>null</v>
      </c>
      <c r="J214" s="18">
        <v>1</v>
      </c>
      <c r="K214" s="18">
        <v>1</v>
      </c>
      <c r="L214" s="18">
        <v>1</v>
      </c>
      <c r="M214" s="18">
        <v>1</v>
      </c>
      <c r="N214" s="18">
        <v>1</v>
      </c>
      <c r="O214" s="18" cm="1">
        <f t="array" ref="O214">J214*VLOOKUP($H214, Factor!$AN$4:$AS$36, 2, 0)*INDEX(Factor!$AN$41:$AS$87, _xlfn.XMATCH($C214, Factor!$AN$41:$AN$87, -1), 2)*IFERROR(VLOOKUP($I214, Factor!$AU$4:$AX$9, 2, 0),1)</f>
        <v>0</v>
      </c>
      <c r="P214" s="18" cm="1">
        <f t="array" ref="P214">K214*VLOOKUP($H214, Factor!$AN$4:$AS$36, 3, 0)*INDEX(Factor!$AN$41:$AS$87, _xlfn.XMATCH($C214, Factor!$AN$41:$AN$87, -1), 3)*IFERROR(VLOOKUP($I214, Factor!$AU$4:$AX$9, 3, 0),1)</f>
        <v>0</v>
      </c>
      <c r="Q214" s="18" cm="1">
        <f t="array" ref="Q214">L214*VLOOKUP($H214, Factor!$AN$4:$AS$36, 4, 0)*INDEX(Factor!$AN$41:$AS$87, _xlfn.XMATCH($C214, Factor!$AN$41:$AN$87, -1), 4)</f>
        <v>0</v>
      </c>
      <c r="R214" s="18" cm="1">
        <f t="array" ref="R214">M214*VLOOKUP($H214, Factor!$AN$4:$AS$36, 5, 0)*INDEX(Factor!$AN$41:$AS$87, _xlfn.XMATCH($C214, Factor!$AN$41:$AN$87, -1), 5)</f>
        <v>11.2</v>
      </c>
      <c r="S214" s="18" cm="1">
        <f t="array" ref="S214">N214*VLOOKUP($H214, Factor!$AN$4:$AS$36, 6, 0)*INDEX(Factor!$AN$41:$AS$87, _xlfn.XMATCH($C214, Factor!$AN$41:$AN$87, -1), 6)*IFERROR(VLOOKUP($I214, Factor!$AU$4:$AX$9, 4, 0),1)</f>
        <v>2800</v>
      </c>
      <c r="T214" s="19"/>
    </row>
  </sheetData>
  <mergeCells count="1">
    <mergeCell ref="A1:T1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8489-F926-4A1D-82BA-8B8514BF9F21}">
  <dimension ref="A1:S17"/>
  <sheetViews>
    <sheetView zoomScale="75" zoomScaleNormal="75" workbookViewId="0">
      <pane ySplit="4" topLeftCell="A5" activePane="bottomLeft" state="frozen"/>
      <selection pane="bottomLeft" activeCell="K26" sqref="K26"/>
    </sheetView>
  </sheetViews>
  <sheetFormatPr defaultRowHeight="12.75" x14ac:dyDescent="0.2"/>
  <cols>
    <col min="1" max="1" width="22.42578125" style="13" customWidth="1"/>
    <col min="2" max="2" width="28.85546875" style="13" customWidth="1"/>
    <col min="3" max="15" width="15.7109375" style="13" customWidth="1"/>
    <col min="16" max="16" width="27.5703125" style="13" customWidth="1"/>
    <col min="17" max="17" width="27.28515625" style="13" customWidth="1"/>
    <col min="18" max="18" width="27.42578125" style="13" customWidth="1"/>
    <col min="19" max="19" width="27.85546875" style="13" customWidth="1"/>
    <col min="20" max="16384" width="9.140625" style="13"/>
  </cols>
  <sheetData>
    <row r="1" spans="1:19" ht="99.95" customHeight="1" x14ac:dyDescent="0.2">
      <c r="A1" s="70" t="s">
        <v>567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</row>
    <row r="2" spans="1:19" x14ac:dyDescent="0.2">
      <c r="A2" s="46" t="s">
        <v>353</v>
      </c>
      <c r="B2" s="46" t="s">
        <v>568</v>
      </c>
      <c r="C2" s="46" t="s">
        <v>569</v>
      </c>
      <c r="D2" s="46" t="s">
        <v>570</v>
      </c>
      <c r="E2" s="46" t="s">
        <v>571</v>
      </c>
      <c r="F2" s="46" t="s">
        <v>482</v>
      </c>
      <c r="G2" s="46" t="s">
        <v>572</v>
      </c>
      <c r="H2" s="46" t="s">
        <v>573</v>
      </c>
      <c r="I2" s="46" t="s">
        <v>574</v>
      </c>
      <c r="J2" s="46" t="s">
        <v>386</v>
      </c>
      <c r="K2" s="46" t="s">
        <v>387</v>
      </c>
      <c r="L2" s="46" t="s">
        <v>388</v>
      </c>
      <c r="M2" s="46" t="s">
        <v>389</v>
      </c>
      <c r="N2" s="46" t="s">
        <v>390</v>
      </c>
      <c r="O2" s="46" t="s">
        <v>391</v>
      </c>
      <c r="P2" s="46" t="s">
        <v>575</v>
      </c>
      <c r="Q2" s="46" t="s">
        <v>576</v>
      </c>
      <c r="R2" s="46" t="s">
        <v>577</v>
      </c>
      <c r="S2" s="46" t="s">
        <v>578</v>
      </c>
    </row>
    <row r="3" spans="1:19" x14ac:dyDescent="0.2">
      <c r="A3" s="25" t="s">
        <v>205</v>
      </c>
      <c r="B3" s="25" t="s">
        <v>205</v>
      </c>
      <c r="C3" s="25" t="s">
        <v>205</v>
      </c>
      <c r="D3" s="31" t="s">
        <v>498</v>
      </c>
      <c r="E3" s="31" t="s">
        <v>498</v>
      </c>
      <c r="F3" s="31" t="s">
        <v>498</v>
      </c>
      <c r="G3" s="31" t="s">
        <v>498</v>
      </c>
      <c r="H3" s="31" t="s">
        <v>498</v>
      </c>
      <c r="I3" s="31" t="s">
        <v>498</v>
      </c>
      <c r="J3" s="25" t="s">
        <v>207</v>
      </c>
      <c r="K3" s="25" t="s">
        <v>207</v>
      </c>
      <c r="L3" s="25" t="s">
        <v>207</v>
      </c>
      <c r="M3" s="25" t="s">
        <v>207</v>
      </c>
      <c r="N3" s="25" t="s">
        <v>206</v>
      </c>
      <c r="O3" s="25" t="s">
        <v>206</v>
      </c>
      <c r="P3" s="25" t="s">
        <v>205</v>
      </c>
      <c r="Q3" s="25" t="s">
        <v>205</v>
      </c>
      <c r="R3" s="25" t="s">
        <v>205</v>
      </c>
      <c r="S3" s="25" t="s">
        <v>205</v>
      </c>
    </row>
    <row r="4" spans="1:19" x14ac:dyDescent="0.2">
      <c r="A4" s="9" t="s">
        <v>180</v>
      </c>
      <c r="B4" s="9" t="s">
        <v>181</v>
      </c>
      <c r="C4" s="9" t="s">
        <v>182</v>
      </c>
      <c r="D4" s="9" t="s">
        <v>183</v>
      </c>
      <c r="E4" s="9" t="s">
        <v>190</v>
      </c>
      <c r="F4" s="9" t="s">
        <v>185</v>
      </c>
      <c r="G4" s="9" t="s">
        <v>186</v>
      </c>
      <c r="H4" s="9" t="s">
        <v>187</v>
      </c>
      <c r="I4" s="9" t="s">
        <v>188</v>
      </c>
      <c r="J4" s="9" t="s">
        <v>183</v>
      </c>
      <c r="K4" s="9" t="s">
        <v>184</v>
      </c>
      <c r="L4" s="9" t="s">
        <v>185</v>
      </c>
      <c r="M4" s="9" t="s">
        <v>186</v>
      </c>
      <c r="N4" s="9" t="s">
        <v>187</v>
      </c>
      <c r="O4" s="9" t="s">
        <v>188</v>
      </c>
      <c r="P4" s="9" t="s">
        <v>176</v>
      </c>
      <c r="Q4" s="9" t="s">
        <v>177</v>
      </c>
      <c r="R4" s="9" t="s">
        <v>178</v>
      </c>
      <c r="S4" s="9" t="s">
        <v>179</v>
      </c>
    </row>
    <row r="5" spans="1:19" x14ac:dyDescent="0.2">
      <c r="A5" s="15" t="s">
        <v>222</v>
      </c>
      <c r="B5" s="15" t="s">
        <v>209</v>
      </c>
      <c r="C5" s="15" t="s">
        <v>172</v>
      </c>
      <c r="D5" s="15">
        <v>1</v>
      </c>
      <c r="E5" s="15">
        <v>1</v>
      </c>
      <c r="F5" s="15">
        <v>1</v>
      </c>
      <c r="G5" s="15">
        <v>1</v>
      </c>
      <c r="H5" s="15">
        <v>1</v>
      </c>
      <c r="I5" s="15">
        <v>1</v>
      </c>
      <c r="J5" s="15">
        <f>D5*VLOOKUP($C5, Factor!$BB$4:$BH$6, 2, 0)</f>
        <v>5</v>
      </c>
      <c r="K5" s="15">
        <f>E5*VLOOKUP($C5, Factor!$BB$4:$BH$6, 3, 0)</f>
        <v>5</v>
      </c>
      <c r="L5" s="15">
        <f>F5*VLOOKUP($C5, Factor!$BB$4:$BH$6, 4, 0)</f>
        <v>5</v>
      </c>
      <c r="M5" s="15">
        <f>G5*VLOOKUP($C5, Factor!$BB$4:$BH$6, 5, 0)</f>
        <v>50</v>
      </c>
      <c r="N5" s="15">
        <f>H5*VLOOKUP($C5, Factor!$BB$4:$BH$6, 6, 0)</f>
        <v>10</v>
      </c>
      <c r="O5" s="15">
        <f>I5*VLOOKUP($C5, Factor!$BB$4:$BH$6, 7, 0)</f>
        <v>10</v>
      </c>
      <c r="P5" s="15" t="s">
        <v>237</v>
      </c>
      <c r="Q5" s="15" t="s">
        <v>241</v>
      </c>
      <c r="R5" s="15" t="s">
        <v>242</v>
      </c>
      <c r="S5" s="16" t="s">
        <v>243</v>
      </c>
    </row>
    <row r="6" spans="1:19" x14ac:dyDescent="0.2">
      <c r="A6" s="18" t="s">
        <v>223</v>
      </c>
      <c r="B6" s="18" t="s">
        <v>221</v>
      </c>
      <c r="C6" s="18" t="s">
        <v>579</v>
      </c>
      <c r="D6" s="18">
        <v>1</v>
      </c>
      <c r="E6" s="18">
        <v>1</v>
      </c>
      <c r="F6" s="18">
        <v>1</v>
      </c>
      <c r="G6" s="18">
        <v>1</v>
      </c>
      <c r="H6" s="18">
        <v>1</v>
      </c>
      <c r="I6" s="18">
        <v>1</v>
      </c>
      <c r="J6" s="18">
        <f>D6*VLOOKUP($C6, Factor!$BB$4:$BH$6, 2, 0)</f>
        <v>5</v>
      </c>
      <c r="K6" s="18">
        <f>E6*VLOOKUP($C6, Factor!$BB$4:$BH$6, 3, 0)</f>
        <v>5</v>
      </c>
      <c r="L6" s="18">
        <f>F6*VLOOKUP($C6, Factor!$BB$4:$BH$6, 4, 0)</f>
        <v>10</v>
      </c>
      <c r="M6" s="18">
        <f>G6*VLOOKUP($C6, Factor!$BB$4:$BH$6, 5, 0)</f>
        <v>50</v>
      </c>
      <c r="N6" s="18">
        <f>H6*VLOOKUP($C6, Factor!$BB$4:$BH$6, 6, 0)</f>
        <v>5</v>
      </c>
      <c r="O6" s="18">
        <f>I6*VLOOKUP($C6, Factor!$BB$4:$BH$6, 7, 0)</f>
        <v>5</v>
      </c>
      <c r="P6" s="18" t="s">
        <v>235</v>
      </c>
      <c r="Q6" s="18" t="s">
        <v>238</v>
      </c>
      <c r="R6" s="18" t="s">
        <v>239</v>
      </c>
      <c r="S6" s="19" t="s">
        <v>244</v>
      </c>
    </row>
    <row r="7" spans="1:19" x14ac:dyDescent="0.2">
      <c r="A7" s="15" t="s">
        <v>224</v>
      </c>
      <c r="B7" s="15" t="s">
        <v>210</v>
      </c>
      <c r="C7" s="15" t="s">
        <v>175</v>
      </c>
      <c r="D7" s="15">
        <v>1</v>
      </c>
      <c r="E7" s="15">
        <v>1</v>
      </c>
      <c r="F7" s="15">
        <v>1</v>
      </c>
      <c r="G7" s="15">
        <v>1</v>
      </c>
      <c r="H7" s="15">
        <v>1</v>
      </c>
      <c r="I7" s="15">
        <v>1</v>
      </c>
      <c r="J7" s="15">
        <f>D7*VLOOKUP($C7, Factor!$BB$4:$BH$6, 2, 0)</f>
        <v>10</v>
      </c>
      <c r="K7" s="15">
        <f>E7*VLOOKUP($C7, Factor!$BB$4:$BH$6, 3, 0)</f>
        <v>10</v>
      </c>
      <c r="L7" s="15">
        <f>F7*VLOOKUP($C7, Factor!$BB$4:$BH$6, 4, 0)</f>
        <v>5</v>
      </c>
      <c r="M7" s="15">
        <f>G7*VLOOKUP($C7, Factor!$BB$4:$BH$6, 5, 0)</f>
        <v>50</v>
      </c>
      <c r="N7" s="15">
        <f>H7*VLOOKUP($C7, Factor!$BB$4:$BH$6, 6, 0)</f>
        <v>5</v>
      </c>
      <c r="O7" s="15">
        <f>I7*VLOOKUP($C7, Factor!$BB$4:$BH$6, 7, 0)</f>
        <v>5</v>
      </c>
      <c r="P7" s="15" t="s">
        <v>236</v>
      </c>
      <c r="Q7" s="15" t="s">
        <v>245</v>
      </c>
      <c r="R7" s="15" t="s">
        <v>246</v>
      </c>
      <c r="S7" s="16" t="s">
        <v>247</v>
      </c>
    </row>
    <row r="8" spans="1:19" x14ac:dyDescent="0.2">
      <c r="A8" s="18" t="s">
        <v>225</v>
      </c>
      <c r="B8" s="18" t="s">
        <v>211</v>
      </c>
      <c r="C8" s="18" t="s">
        <v>580</v>
      </c>
      <c r="D8" s="18">
        <v>1</v>
      </c>
      <c r="E8" s="18">
        <v>1</v>
      </c>
      <c r="F8" s="18">
        <v>1</v>
      </c>
      <c r="G8" s="18">
        <v>1</v>
      </c>
      <c r="H8" s="18">
        <v>1</v>
      </c>
      <c r="I8" s="18">
        <v>1</v>
      </c>
      <c r="J8" s="18">
        <f>D8*VLOOKUP($C8, Factor!$BB$4:$BH$6, 2, 0)</f>
        <v>10</v>
      </c>
      <c r="K8" s="18">
        <f>E8*VLOOKUP($C8, Factor!$BB$4:$BH$6, 3, 0)</f>
        <v>10</v>
      </c>
      <c r="L8" s="18">
        <f>F8*VLOOKUP($C8, Factor!$BB$4:$BH$6, 4, 0)</f>
        <v>5</v>
      </c>
      <c r="M8" s="18">
        <f>G8*VLOOKUP($C8, Factor!$BB$4:$BH$6, 5, 0)</f>
        <v>50</v>
      </c>
      <c r="N8" s="18">
        <f>H8*VLOOKUP($C8, Factor!$BB$4:$BH$6, 6, 0)</f>
        <v>5</v>
      </c>
      <c r="O8" s="18">
        <f>I8*VLOOKUP($C8, Factor!$BB$4:$BH$6, 7, 0)</f>
        <v>5</v>
      </c>
      <c r="P8" s="18" t="s">
        <v>248</v>
      </c>
      <c r="Q8" s="18" t="s">
        <v>249</v>
      </c>
      <c r="R8" s="18" t="s">
        <v>250</v>
      </c>
      <c r="S8" s="19" t="s">
        <v>251</v>
      </c>
    </row>
    <row r="9" spans="1:19" x14ac:dyDescent="0.2">
      <c r="A9" s="15" t="s">
        <v>226</v>
      </c>
      <c r="B9" s="15" t="s">
        <v>215</v>
      </c>
      <c r="C9" s="15" t="s">
        <v>173</v>
      </c>
      <c r="D9" s="15">
        <v>1</v>
      </c>
      <c r="E9" s="15">
        <v>1</v>
      </c>
      <c r="F9" s="15">
        <v>1</v>
      </c>
      <c r="G9" s="15">
        <v>1</v>
      </c>
      <c r="H9" s="15">
        <v>1</v>
      </c>
      <c r="I9" s="15">
        <v>1</v>
      </c>
      <c r="J9" s="15">
        <f>D9*VLOOKUP($C9, Factor!$BB$4:$BH$6, 2, 0)</f>
        <v>5</v>
      </c>
      <c r="K9" s="15">
        <f>E9*VLOOKUP($C9, Factor!$BB$4:$BH$6, 3, 0)</f>
        <v>5</v>
      </c>
      <c r="L9" s="15">
        <f>F9*VLOOKUP($C9, Factor!$BB$4:$BH$6, 4, 0)</f>
        <v>10</v>
      </c>
      <c r="M9" s="15">
        <f>G9*VLOOKUP($C9, Factor!$BB$4:$BH$6, 5, 0)</f>
        <v>50</v>
      </c>
      <c r="N9" s="15">
        <f>H9*VLOOKUP($C9, Factor!$BB$4:$BH$6, 6, 0)</f>
        <v>5</v>
      </c>
      <c r="O9" s="15">
        <f>I9*VLOOKUP($C9, Factor!$BB$4:$BH$6, 7, 0)</f>
        <v>5</v>
      </c>
      <c r="P9" s="15" t="s">
        <v>240</v>
      </c>
      <c r="Q9" s="15" t="s">
        <v>252</v>
      </c>
      <c r="R9" s="15" t="s">
        <v>253</v>
      </c>
      <c r="S9" s="16" t="s">
        <v>254</v>
      </c>
    </row>
    <row r="10" spans="1:19" x14ac:dyDescent="0.2">
      <c r="A10" s="18" t="s">
        <v>227</v>
      </c>
      <c r="B10" s="18" t="s">
        <v>212</v>
      </c>
      <c r="C10" s="18" t="s">
        <v>580</v>
      </c>
      <c r="D10" s="18">
        <v>1</v>
      </c>
      <c r="E10" s="18">
        <v>1</v>
      </c>
      <c r="F10" s="18">
        <v>1</v>
      </c>
      <c r="G10" s="18">
        <v>1</v>
      </c>
      <c r="H10" s="18">
        <v>1</v>
      </c>
      <c r="I10" s="18">
        <v>1</v>
      </c>
      <c r="J10" s="18">
        <f>D10*VLOOKUP($C10, Factor!$BB$4:$BH$6, 2, 0)</f>
        <v>10</v>
      </c>
      <c r="K10" s="18">
        <f>E10*VLOOKUP($C10, Factor!$BB$4:$BH$6, 3, 0)</f>
        <v>10</v>
      </c>
      <c r="L10" s="18">
        <f>F10*VLOOKUP($C10, Factor!$BB$4:$BH$6, 4, 0)</f>
        <v>5</v>
      </c>
      <c r="M10" s="18">
        <f>G10*VLOOKUP($C10, Factor!$BB$4:$BH$6, 5, 0)</f>
        <v>50</v>
      </c>
      <c r="N10" s="18">
        <f>H10*VLOOKUP($C10, Factor!$BB$4:$BH$6, 6, 0)</f>
        <v>5</v>
      </c>
      <c r="O10" s="18">
        <f>I10*VLOOKUP($C10, Factor!$BB$4:$BH$6, 7, 0)</f>
        <v>5</v>
      </c>
      <c r="P10" s="18" t="s">
        <v>255</v>
      </c>
      <c r="Q10" s="18" t="s">
        <v>256</v>
      </c>
      <c r="R10" s="18" t="s">
        <v>257</v>
      </c>
      <c r="S10" s="19" t="s">
        <v>258</v>
      </c>
    </row>
    <row r="11" spans="1:19" x14ac:dyDescent="0.2">
      <c r="A11" s="15" t="s">
        <v>228</v>
      </c>
      <c r="B11" s="15" t="s">
        <v>216</v>
      </c>
      <c r="C11" s="15" t="s">
        <v>174</v>
      </c>
      <c r="D11" s="15">
        <v>1</v>
      </c>
      <c r="E11" s="15">
        <v>1</v>
      </c>
      <c r="F11" s="15">
        <v>1</v>
      </c>
      <c r="G11" s="15">
        <v>1</v>
      </c>
      <c r="H11" s="15">
        <v>1</v>
      </c>
      <c r="I11" s="15">
        <v>1</v>
      </c>
      <c r="J11" s="15">
        <f>D11*VLOOKUP($C11, Factor!$BB$4:$BH$6, 2, 0)</f>
        <v>10</v>
      </c>
      <c r="K11" s="15">
        <f>E11*VLOOKUP($C11, Factor!$BB$4:$BH$6, 3, 0)</f>
        <v>10</v>
      </c>
      <c r="L11" s="15">
        <f>F11*VLOOKUP($C11, Factor!$BB$4:$BH$6, 4, 0)</f>
        <v>5</v>
      </c>
      <c r="M11" s="15">
        <f>G11*VLOOKUP($C11, Factor!$BB$4:$BH$6, 5, 0)</f>
        <v>50</v>
      </c>
      <c r="N11" s="15">
        <f>H11*VLOOKUP($C11, Factor!$BB$4:$BH$6, 6, 0)</f>
        <v>5</v>
      </c>
      <c r="O11" s="15">
        <f>I11*VLOOKUP($C11, Factor!$BB$4:$BH$6, 7, 0)</f>
        <v>5</v>
      </c>
      <c r="P11" s="15" t="s">
        <v>259</v>
      </c>
      <c r="Q11" s="15" t="s">
        <v>260</v>
      </c>
      <c r="R11" s="15" t="s">
        <v>261</v>
      </c>
      <c r="S11" s="16" t="s">
        <v>262</v>
      </c>
    </row>
    <row r="12" spans="1:19" x14ac:dyDescent="0.2">
      <c r="A12" s="18" t="s">
        <v>229</v>
      </c>
      <c r="B12" s="18" t="s">
        <v>213</v>
      </c>
      <c r="C12" s="18" t="s">
        <v>579</v>
      </c>
      <c r="D12" s="18">
        <v>1</v>
      </c>
      <c r="E12" s="18">
        <v>1</v>
      </c>
      <c r="F12" s="18">
        <v>1</v>
      </c>
      <c r="G12" s="18">
        <v>1</v>
      </c>
      <c r="H12" s="18">
        <v>1</v>
      </c>
      <c r="I12" s="18">
        <v>1</v>
      </c>
      <c r="J12" s="18">
        <f>D12*VLOOKUP($C12, Factor!$BB$4:$BH$6, 2, 0)</f>
        <v>5</v>
      </c>
      <c r="K12" s="18">
        <f>E12*VLOOKUP($C12, Factor!$BB$4:$BH$6, 3, 0)</f>
        <v>5</v>
      </c>
      <c r="L12" s="18">
        <f>F12*VLOOKUP($C12, Factor!$BB$4:$BH$6, 4, 0)</f>
        <v>10</v>
      </c>
      <c r="M12" s="18">
        <f>G12*VLOOKUP($C12, Factor!$BB$4:$BH$6, 5, 0)</f>
        <v>50</v>
      </c>
      <c r="N12" s="18">
        <f>H12*VLOOKUP($C12, Factor!$BB$4:$BH$6, 6, 0)</f>
        <v>5</v>
      </c>
      <c r="O12" s="18">
        <f>I12*VLOOKUP($C12, Factor!$BB$4:$BH$6, 7, 0)</f>
        <v>5</v>
      </c>
      <c r="P12" s="18" t="s">
        <v>263</v>
      </c>
      <c r="Q12" s="18" t="s">
        <v>264</v>
      </c>
      <c r="R12" s="18" t="s">
        <v>265</v>
      </c>
      <c r="S12" s="19" t="s">
        <v>266</v>
      </c>
    </row>
    <row r="13" spans="1:19" x14ac:dyDescent="0.2">
      <c r="A13" s="15" t="s">
        <v>230</v>
      </c>
      <c r="B13" s="15" t="s">
        <v>214</v>
      </c>
      <c r="C13" s="15" t="s">
        <v>175</v>
      </c>
      <c r="D13" s="15">
        <v>1</v>
      </c>
      <c r="E13" s="15">
        <v>1</v>
      </c>
      <c r="F13" s="15">
        <v>1</v>
      </c>
      <c r="G13" s="15">
        <v>1</v>
      </c>
      <c r="H13" s="15">
        <v>1</v>
      </c>
      <c r="I13" s="15">
        <v>1</v>
      </c>
      <c r="J13" s="15">
        <f>D13*VLOOKUP($C13, Factor!$BB$4:$BH$6, 2, 0)</f>
        <v>10</v>
      </c>
      <c r="K13" s="15">
        <f>E13*VLOOKUP($C13, Factor!$BB$4:$BH$6, 3, 0)</f>
        <v>10</v>
      </c>
      <c r="L13" s="15">
        <f>F13*VLOOKUP($C13, Factor!$BB$4:$BH$6, 4, 0)</f>
        <v>5</v>
      </c>
      <c r="M13" s="15">
        <f>G13*VLOOKUP($C13, Factor!$BB$4:$BH$6, 5, 0)</f>
        <v>50</v>
      </c>
      <c r="N13" s="15">
        <f>H13*VLOOKUP($C13, Factor!$BB$4:$BH$6, 6, 0)</f>
        <v>5</v>
      </c>
      <c r="O13" s="15">
        <f>I13*VLOOKUP($C13, Factor!$BB$4:$BH$6, 7, 0)</f>
        <v>5</v>
      </c>
      <c r="P13" s="15" t="s">
        <v>267</v>
      </c>
      <c r="Q13" s="15" t="s">
        <v>268</v>
      </c>
      <c r="R13" s="15" t="s">
        <v>269</v>
      </c>
      <c r="S13" s="16" t="s">
        <v>270</v>
      </c>
    </row>
    <row r="14" spans="1:19" x14ac:dyDescent="0.2">
      <c r="A14" s="18" t="s">
        <v>231</v>
      </c>
      <c r="B14" s="18" t="s">
        <v>217</v>
      </c>
      <c r="C14" s="18" t="s">
        <v>580</v>
      </c>
      <c r="D14" s="18">
        <v>1</v>
      </c>
      <c r="E14" s="18">
        <v>1</v>
      </c>
      <c r="F14" s="18">
        <v>1</v>
      </c>
      <c r="G14" s="18">
        <v>1</v>
      </c>
      <c r="H14" s="18">
        <v>1</v>
      </c>
      <c r="I14" s="18">
        <v>1</v>
      </c>
      <c r="J14" s="18">
        <f>D14*VLOOKUP($C14, Factor!$BB$4:$BH$6, 2, 0)</f>
        <v>10</v>
      </c>
      <c r="K14" s="18">
        <f>E14*VLOOKUP($C14, Factor!$BB$4:$BH$6, 3, 0)</f>
        <v>10</v>
      </c>
      <c r="L14" s="18">
        <f>F14*VLOOKUP($C14, Factor!$BB$4:$BH$6, 4, 0)</f>
        <v>5</v>
      </c>
      <c r="M14" s="18">
        <f>G14*VLOOKUP($C14, Factor!$BB$4:$BH$6, 5, 0)</f>
        <v>50</v>
      </c>
      <c r="N14" s="18">
        <f>H14*VLOOKUP($C14, Factor!$BB$4:$BH$6, 6, 0)</f>
        <v>5</v>
      </c>
      <c r="O14" s="18">
        <f>I14*VLOOKUP($C14, Factor!$BB$4:$BH$6, 7, 0)</f>
        <v>5</v>
      </c>
      <c r="P14" s="18" t="s">
        <v>271</v>
      </c>
      <c r="Q14" s="18" t="s">
        <v>272</v>
      </c>
      <c r="R14" s="18" t="s">
        <v>273</v>
      </c>
      <c r="S14" s="19" t="s">
        <v>274</v>
      </c>
    </row>
    <row r="15" spans="1:19" x14ac:dyDescent="0.2">
      <c r="A15" s="15" t="s">
        <v>232</v>
      </c>
      <c r="B15" s="15" t="s">
        <v>218</v>
      </c>
      <c r="C15" s="15" t="s">
        <v>581</v>
      </c>
      <c r="D15" s="15">
        <v>1</v>
      </c>
      <c r="E15" s="15">
        <v>1</v>
      </c>
      <c r="F15" s="15">
        <v>1</v>
      </c>
      <c r="G15" s="15">
        <v>1</v>
      </c>
      <c r="H15" s="15">
        <v>1</v>
      </c>
      <c r="I15" s="15">
        <v>1</v>
      </c>
      <c r="J15" s="15">
        <f>D15*VLOOKUP($C15, Factor!$BB$4:$BH$6, 2, 0)</f>
        <v>5</v>
      </c>
      <c r="K15" s="15">
        <f>E15*VLOOKUP($C15, Factor!$BB$4:$BH$6, 3, 0)</f>
        <v>5</v>
      </c>
      <c r="L15" s="15">
        <f>F15*VLOOKUP($C15, Factor!$BB$4:$BH$6, 4, 0)</f>
        <v>5</v>
      </c>
      <c r="M15" s="15">
        <f>G15*VLOOKUP($C15, Factor!$BB$4:$BH$6, 5, 0)</f>
        <v>50</v>
      </c>
      <c r="N15" s="15">
        <f>H15*VLOOKUP($C15, Factor!$BB$4:$BH$6, 6, 0)</f>
        <v>10</v>
      </c>
      <c r="O15" s="15">
        <f>I15*VLOOKUP($C15, Factor!$BB$4:$BH$6, 7, 0)</f>
        <v>10</v>
      </c>
      <c r="P15" s="15" t="s">
        <v>275</v>
      </c>
      <c r="Q15" s="15" t="s">
        <v>276</v>
      </c>
      <c r="R15" s="15" t="s">
        <v>277</v>
      </c>
      <c r="S15" s="16" t="s">
        <v>278</v>
      </c>
    </row>
    <row r="16" spans="1:19" x14ac:dyDescent="0.2">
      <c r="A16" s="18" t="s">
        <v>233</v>
      </c>
      <c r="B16" s="18" t="s">
        <v>219</v>
      </c>
      <c r="C16" s="18" t="s">
        <v>581</v>
      </c>
      <c r="D16" s="18">
        <v>1</v>
      </c>
      <c r="E16" s="18">
        <v>1</v>
      </c>
      <c r="F16" s="18">
        <v>1</v>
      </c>
      <c r="G16" s="18">
        <v>1</v>
      </c>
      <c r="H16" s="18">
        <v>1</v>
      </c>
      <c r="I16" s="18">
        <v>1</v>
      </c>
      <c r="J16" s="18">
        <f>D16*VLOOKUP($C16, Factor!$BB$4:$BH$6, 2, 0)</f>
        <v>5</v>
      </c>
      <c r="K16" s="18">
        <f>E16*VLOOKUP($C16, Factor!$BB$4:$BH$6, 3, 0)</f>
        <v>5</v>
      </c>
      <c r="L16" s="18">
        <f>F16*VLOOKUP($C16, Factor!$BB$4:$BH$6, 4, 0)</f>
        <v>5</v>
      </c>
      <c r="M16" s="18">
        <f>G16*VLOOKUP($C16, Factor!$BB$4:$BH$6, 5, 0)</f>
        <v>50</v>
      </c>
      <c r="N16" s="18">
        <f>H16*VLOOKUP($C16, Factor!$BB$4:$BH$6, 6, 0)</f>
        <v>10</v>
      </c>
      <c r="O16" s="18">
        <f>I16*VLOOKUP($C16, Factor!$BB$4:$BH$6, 7, 0)</f>
        <v>10</v>
      </c>
      <c r="P16" s="18" t="s">
        <v>279</v>
      </c>
      <c r="Q16" s="18" t="s">
        <v>280</v>
      </c>
      <c r="R16" s="18" t="s">
        <v>281</v>
      </c>
      <c r="S16" s="19" t="s">
        <v>282</v>
      </c>
    </row>
    <row r="17" spans="1:19" x14ac:dyDescent="0.2">
      <c r="A17" s="15" t="s">
        <v>234</v>
      </c>
      <c r="B17" s="15" t="s">
        <v>220</v>
      </c>
      <c r="C17" s="15" t="s">
        <v>175</v>
      </c>
      <c r="D17" s="15">
        <v>1</v>
      </c>
      <c r="E17" s="15">
        <v>1</v>
      </c>
      <c r="F17" s="15">
        <v>1</v>
      </c>
      <c r="G17" s="15">
        <v>1</v>
      </c>
      <c r="H17" s="15">
        <v>1</v>
      </c>
      <c r="I17" s="15">
        <v>1</v>
      </c>
      <c r="J17" s="15">
        <f>D17*VLOOKUP($C17, Factor!$BB$4:$BH$6, 2, 0)</f>
        <v>10</v>
      </c>
      <c r="K17" s="15">
        <f>E17*VLOOKUP($C17, Factor!$BB$4:$BH$6, 3, 0)</f>
        <v>10</v>
      </c>
      <c r="L17" s="15">
        <f>F17*VLOOKUP($C17, Factor!$BB$4:$BH$6, 4, 0)</f>
        <v>5</v>
      </c>
      <c r="M17" s="15">
        <f>G17*VLOOKUP($C17, Factor!$BB$4:$BH$6, 5, 0)</f>
        <v>50</v>
      </c>
      <c r="N17" s="15">
        <f>H17*VLOOKUP($C17, Factor!$BB$4:$BH$6, 6, 0)</f>
        <v>5</v>
      </c>
      <c r="O17" s="15">
        <f>I17*VLOOKUP($C17, Factor!$BB$4:$BH$6, 7, 0)</f>
        <v>5</v>
      </c>
      <c r="P17" s="15" t="s">
        <v>283</v>
      </c>
      <c r="Q17" s="15" t="s">
        <v>284</v>
      </c>
      <c r="R17" s="15" t="s">
        <v>285</v>
      </c>
      <c r="S17" s="16" t="s">
        <v>286</v>
      </c>
    </row>
  </sheetData>
  <mergeCells count="1">
    <mergeCell ref="A1:S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개요</vt:lpstr>
      <vt:lpstr>Factor</vt:lpstr>
      <vt:lpstr>Locomotive</vt:lpstr>
      <vt:lpstr>Couch</vt:lpstr>
      <vt:lpstr>Engine</vt:lpstr>
      <vt:lpstr>Generator</vt:lpstr>
      <vt:lpstr>Break</vt:lpstr>
      <vt:lpstr>Parlor</vt:lpstr>
      <vt:lpstr>Crew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해욱 정</cp:lastModifiedBy>
  <dcterms:modified xsi:type="dcterms:W3CDTF">2026-08-20T09:38:12Z</dcterms:modified>
</cp:coreProperties>
</file>