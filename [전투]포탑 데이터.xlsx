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ungh\OneDrive\바탕 화면\게임기획_지원_정해욱\1_쿼터뷰 열차슈팅_Siecletrain_프로젝트\2_데이터작업\"/>
    </mc:Choice>
  </mc:AlternateContent>
  <xr:revisionPtr revIDLastSave="0" documentId="13_ncr:1_{3FEB3534-80A9-448F-B6B8-1A8257BE6F3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개요" sheetId="1" r:id="rId1"/>
    <sheet name="Factor" sheetId="3" r:id="rId2"/>
    <sheet name="Weapon" sheetId="2" r:id="rId3"/>
  </sheets>
  <definedNames>
    <definedName name="_xlnm._FilterDatabase" localSheetId="2" hidden="1">Weapon!$A$4:$Z$54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F6" i="2"/>
  <c r="G6" i="2"/>
  <c r="H6" i="2"/>
  <c r="I6" i="2"/>
  <c r="J6" i="2"/>
  <c r="L6" i="2"/>
  <c r="M6" i="2"/>
  <c r="O6" i="2"/>
  <c r="Q6" i="2"/>
  <c r="R6" i="2"/>
  <c r="S6" i="2"/>
  <c r="B7" i="2"/>
  <c r="F7" i="2"/>
  <c r="G7" i="2"/>
  <c r="H7" i="2"/>
  <c r="I7" i="2"/>
  <c r="J7" i="2"/>
  <c r="L7" i="2"/>
  <c r="M7" i="2"/>
  <c r="O7" i="2"/>
  <c r="Q7" i="2"/>
  <c r="R7" i="2"/>
  <c r="S7" i="2"/>
  <c r="AA7" i="2" a="1"/>
  <c r="AB7" i="2" a="1"/>
  <c r="AC7" i="2" a="1"/>
  <c r="AD7" i="2" a="1"/>
  <c r="AE7" i="2" a="1"/>
  <c r="AF7" i="2" a="1"/>
  <c r="AG7" i="2" a="1"/>
  <c r="B8" i="2"/>
  <c r="F8" i="2"/>
  <c r="G8" i="2"/>
  <c r="H8" i="2"/>
  <c r="I8" i="2"/>
  <c r="J8" i="2"/>
  <c r="L8" i="2"/>
  <c r="M8" i="2"/>
  <c r="O8" i="2"/>
  <c r="Q8" i="2"/>
  <c r="R8" i="2"/>
  <c r="S8" i="2"/>
  <c r="AA8" i="2" a="1"/>
  <c r="AB8" i="2" a="1"/>
  <c r="AC8" i="2" a="1"/>
  <c r="AD8" i="2" a="1"/>
  <c r="AE8" i="2" a="1"/>
  <c r="AF8" i="2" a="1"/>
  <c r="AG8" i="2" a="1"/>
  <c r="B9" i="2"/>
  <c r="F9" i="2"/>
  <c r="G9" i="2"/>
  <c r="H9" i="2"/>
  <c r="I9" i="2"/>
  <c r="J9" i="2"/>
  <c r="L9" i="2"/>
  <c r="M9" i="2"/>
  <c r="O9" i="2"/>
  <c r="Q9" i="2"/>
  <c r="R9" i="2"/>
  <c r="S9" i="2"/>
  <c r="B10" i="2"/>
  <c r="F10" i="2"/>
  <c r="G10" i="2"/>
  <c r="H10" i="2"/>
  <c r="I10" i="2"/>
  <c r="J10" i="2"/>
  <c r="L10" i="2"/>
  <c r="M10" i="2"/>
  <c r="O10" i="2"/>
  <c r="Q10" i="2"/>
  <c r="R10" i="2"/>
  <c r="S10" i="2"/>
  <c r="AA10" i="2" a="1"/>
  <c r="AB10" i="2" a="1"/>
  <c r="AC10" i="2" a="1"/>
  <c r="AD10" i="2" a="1"/>
  <c r="AE10" i="2" a="1"/>
  <c r="AF10" i="2" a="1"/>
  <c r="AG10" i="2" a="1"/>
  <c r="B11" i="2"/>
  <c r="F11" i="2"/>
  <c r="G11" i="2"/>
  <c r="H11" i="2"/>
  <c r="I11" i="2"/>
  <c r="J11" i="2"/>
  <c r="L11" i="2"/>
  <c r="M11" i="2"/>
  <c r="O11" i="2"/>
  <c r="Q11" i="2"/>
  <c r="R11" i="2"/>
  <c r="S11" i="2"/>
  <c r="AA11" i="2" a="1"/>
  <c r="AB11" i="2" a="1"/>
  <c r="AC11" i="2" a="1"/>
  <c r="AD11" i="2" a="1"/>
  <c r="AE11" i="2" a="1"/>
  <c r="AF11" i="2" a="1"/>
  <c r="AG11" i="2" a="1"/>
  <c r="B12" i="2"/>
  <c r="F12" i="2"/>
  <c r="G12" i="2"/>
  <c r="H12" i="2"/>
  <c r="I12" i="2"/>
  <c r="J12" i="2"/>
  <c r="L12" i="2"/>
  <c r="M12" i="2"/>
  <c r="O12" i="2"/>
  <c r="Q12" i="2"/>
  <c r="R12" i="2"/>
  <c r="S12" i="2"/>
  <c r="AA12" i="2" a="1"/>
  <c r="AB12" i="2" a="1"/>
  <c r="AC12" i="2" a="1"/>
  <c r="AD12" i="2" a="1"/>
  <c r="AE12" i="2" a="1"/>
  <c r="AF12" i="2" a="1"/>
  <c r="AG12" i="2" a="1"/>
  <c r="B13" i="2"/>
  <c r="F13" i="2"/>
  <c r="G13" i="2"/>
  <c r="H13" i="2"/>
  <c r="I13" i="2"/>
  <c r="J13" i="2"/>
  <c r="L13" i="2"/>
  <c r="M13" i="2"/>
  <c r="O13" i="2"/>
  <c r="Q13" i="2"/>
  <c r="R13" i="2"/>
  <c r="S13" i="2"/>
  <c r="AA13" i="2" a="1"/>
  <c r="AB13" i="2" a="1"/>
  <c r="AC13" i="2" a="1"/>
  <c r="AD13" i="2" a="1"/>
  <c r="AE13" i="2" a="1"/>
  <c r="AF13" i="2" a="1"/>
  <c r="AG13" i="2" a="1"/>
  <c r="B14" i="2"/>
  <c r="F14" i="2"/>
  <c r="G14" i="2"/>
  <c r="H14" i="2"/>
  <c r="I14" i="2"/>
  <c r="J14" i="2"/>
  <c r="L14" i="2"/>
  <c r="M14" i="2"/>
  <c r="O14" i="2"/>
  <c r="Q14" i="2"/>
  <c r="R14" i="2"/>
  <c r="S14" i="2"/>
  <c r="AA14" i="2" a="1"/>
  <c r="AB14" i="2" a="1"/>
  <c r="AC14" i="2" a="1"/>
  <c r="AD14" i="2" a="1"/>
  <c r="AE14" i="2" a="1"/>
  <c r="AF14" i="2" a="1"/>
  <c r="AG14" i="2" a="1"/>
  <c r="B15" i="2"/>
  <c r="F15" i="2"/>
  <c r="G15" i="2"/>
  <c r="H15" i="2"/>
  <c r="I15" i="2"/>
  <c r="J15" i="2"/>
  <c r="L15" i="2"/>
  <c r="M15" i="2"/>
  <c r="O15" i="2"/>
  <c r="Q15" i="2"/>
  <c r="R15" i="2"/>
  <c r="S15" i="2"/>
  <c r="AA15" i="2" a="1"/>
  <c r="AB15" i="2" a="1"/>
  <c r="AC15" i="2" a="1"/>
  <c r="AD15" i="2" a="1"/>
  <c r="AE15" i="2" a="1"/>
  <c r="AF15" i="2" a="1"/>
  <c r="AG15" i="2" a="1"/>
  <c r="B16" i="2"/>
  <c r="F16" i="2"/>
  <c r="G16" i="2"/>
  <c r="H16" i="2"/>
  <c r="I16" i="2"/>
  <c r="J16" i="2"/>
  <c r="L16" i="2"/>
  <c r="M16" i="2"/>
  <c r="O16" i="2"/>
  <c r="Q16" i="2"/>
  <c r="R16" i="2"/>
  <c r="S16" i="2"/>
  <c r="B17" i="2"/>
  <c r="F17" i="2"/>
  <c r="G17" i="2"/>
  <c r="H17" i="2"/>
  <c r="I17" i="2"/>
  <c r="J17" i="2"/>
  <c r="L17" i="2"/>
  <c r="M17" i="2"/>
  <c r="O17" i="2"/>
  <c r="Q17" i="2"/>
  <c r="R17" i="2"/>
  <c r="S17" i="2"/>
  <c r="AA17" i="2" a="1"/>
  <c r="AB17" i="2" a="1"/>
  <c r="AC17" i="2" a="1"/>
  <c r="AD17" i="2" a="1"/>
  <c r="AE17" i="2" a="1"/>
  <c r="AF17" i="2" a="1"/>
  <c r="AG17" i="2" a="1"/>
  <c r="B18" i="2"/>
  <c r="F18" i="2"/>
  <c r="G18" i="2"/>
  <c r="H18" i="2"/>
  <c r="I18" i="2"/>
  <c r="J18" i="2"/>
  <c r="L18" i="2"/>
  <c r="M18" i="2"/>
  <c r="O18" i="2"/>
  <c r="Q18" i="2"/>
  <c r="R18" i="2"/>
  <c r="S18" i="2"/>
  <c r="AA18" i="2" a="1"/>
  <c r="AB18" i="2" a="1"/>
  <c r="AC18" i="2" a="1"/>
  <c r="AD18" i="2" a="1"/>
  <c r="AE18" i="2" a="1"/>
  <c r="AF18" i="2" a="1"/>
  <c r="AG18" i="2" a="1"/>
  <c r="B19" i="2"/>
  <c r="F19" i="2"/>
  <c r="G19" i="2"/>
  <c r="H19" i="2"/>
  <c r="I19" i="2"/>
  <c r="J19" i="2"/>
  <c r="L19" i="2"/>
  <c r="M19" i="2"/>
  <c r="O19" i="2"/>
  <c r="Q19" i="2"/>
  <c r="R19" i="2"/>
  <c r="S19" i="2"/>
  <c r="AA19" i="2" a="1"/>
  <c r="AB19" i="2" a="1"/>
  <c r="AC19" i="2" a="1"/>
  <c r="B20" i="2"/>
  <c r="F20" i="2"/>
  <c r="G20" i="2"/>
  <c r="H20" i="2"/>
  <c r="I20" i="2"/>
  <c r="J20" i="2"/>
  <c r="L20" i="2"/>
  <c r="M20" i="2"/>
  <c r="O20" i="2"/>
  <c r="Q20" i="2"/>
  <c r="R20" i="2"/>
  <c r="S20" i="2"/>
  <c r="B21" i="2"/>
  <c r="F21" i="2"/>
  <c r="G21" i="2"/>
  <c r="H21" i="2"/>
  <c r="I21" i="2"/>
  <c r="J21" i="2"/>
  <c r="L21" i="2"/>
  <c r="M21" i="2"/>
  <c r="O21" i="2"/>
  <c r="Q21" i="2"/>
  <c r="R21" i="2"/>
  <c r="S21" i="2"/>
  <c r="AA21" i="2" a="1"/>
  <c r="AB21" i="2" a="1"/>
  <c r="AC21" i="2" a="1"/>
  <c r="AD21" i="2" a="1"/>
  <c r="AE21" i="2" a="1"/>
  <c r="AF21" i="2" a="1"/>
  <c r="AG21" i="2" a="1"/>
  <c r="B22" i="2"/>
  <c r="F22" i="2"/>
  <c r="G22" i="2"/>
  <c r="H22" i="2"/>
  <c r="I22" i="2"/>
  <c r="J22" i="2"/>
  <c r="L22" i="2"/>
  <c r="M22" i="2"/>
  <c r="O22" i="2"/>
  <c r="Q22" i="2"/>
  <c r="R22" i="2"/>
  <c r="S22" i="2"/>
  <c r="AA22" i="2" a="1"/>
  <c r="AB22" i="2" a="1"/>
  <c r="AC22" i="2" a="1"/>
  <c r="AD22" i="2" a="1"/>
  <c r="AE22" i="2" a="1"/>
  <c r="AF22" i="2" a="1"/>
  <c r="AG22" i="2" a="1"/>
  <c r="B23" i="2"/>
  <c r="F23" i="2"/>
  <c r="G23" i="2"/>
  <c r="H23" i="2"/>
  <c r="I23" i="2"/>
  <c r="J23" i="2"/>
  <c r="L23" i="2"/>
  <c r="M23" i="2"/>
  <c r="O23" i="2"/>
  <c r="Q23" i="2"/>
  <c r="R23" i="2"/>
  <c r="S23" i="2"/>
  <c r="B24" i="2"/>
  <c r="F24" i="2"/>
  <c r="G24" i="2"/>
  <c r="H24" i="2"/>
  <c r="I24" i="2"/>
  <c r="J24" i="2"/>
  <c r="L24" i="2"/>
  <c r="M24" i="2"/>
  <c r="O24" i="2"/>
  <c r="Q24" i="2"/>
  <c r="R24" i="2"/>
  <c r="S24" i="2"/>
  <c r="AA24" i="2" a="1"/>
  <c r="AB24" i="2" a="1"/>
  <c r="AC24" i="2" a="1"/>
  <c r="AD24" i="2" a="1"/>
  <c r="AE24" i="2" a="1"/>
  <c r="AF24" i="2" a="1"/>
  <c r="AG24" i="2" a="1"/>
  <c r="B25" i="2"/>
  <c r="F25" i="2"/>
  <c r="G25" i="2"/>
  <c r="H25" i="2"/>
  <c r="I25" i="2"/>
  <c r="J25" i="2"/>
  <c r="L25" i="2"/>
  <c r="M25" i="2"/>
  <c r="O25" i="2"/>
  <c r="Q25" i="2"/>
  <c r="R25" i="2"/>
  <c r="S25" i="2"/>
  <c r="AA25" i="2" a="1"/>
  <c r="AB25" i="2" a="1"/>
  <c r="AC25" i="2" a="1"/>
  <c r="AD25" i="2" a="1"/>
  <c r="AE25" i="2" a="1"/>
  <c r="AF25" i="2" a="1"/>
  <c r="AG25" i="2" a="1"/>
  <c r="B26" i="2"/>
  <c r="F26" i="2"/>
  <c r="G26" i="2"/>
  <c r="H26" i="2"/>
  <c r="I26" i="2"/>
  <c r="J26" i="2"/>
  <c r="L26" i="2"/>
  <c r="M26" i="2"/>
  <c r="O26" i="2"/>
  <c r="Q26" i="2"/>
  <c r="R26" i="2"/>
  <c r="S26" i="2"/>
  <c r="AA26" i="2" a="1"/>
  <c r="AB26" i="2" a="1"/>
  <c r="AC26" i="2" a="1"/>
  <c r="AD26" i="2" a="1"/>
  <c r="AE26" i="2" a="1"/>
  <c r="B27" i="2"/>
  <c r="F27" i="2"/>
  <c r="G27" i="2"/>
  <c r="H27" i="2"/>
  <c r="I27" i="2"/>
  <c r="J27" i="2"/>
  <c r="L27" i="2"/>
  <c r="M27" i="2"/>
  <c r="O27" i="2"/>
  <c r="Q27" i="2"/>
  <c r="R27" i="2"/>
  <c r="S27" i="2"/>
  <c r="B28" i="2"/>
  <c r="F28" i="2"/>
  <c r="G28" i="2"/>
  <c r="H28" i="2"/>
  <c r="I28" i="2"/>
  <c r="J28" i="2"/>
  <c r="L28" i="2"/>
  <c r="M28" i="2"/>
  <c r="O28" i="2"/>
  <c r="Q28" i="2"/>
  <c r="R28" i="2"/>
  <c r="S28" i="2"/>
  <c r="AA28" i="2" a="1"/>
  <c r="AB28" i="2" a="1"/>
  <c r="AC28" i="2" a="1"/>
  <c r="AD28" i="2" a="1"/>
  <c r="AE28" i="2" a="1"/>
  <c r="AF28" i="2" a="1"/>
  <c r="AG28" i="2" a="1"/>
  <c r="B29" i="2"/>
  <c r="F29" i="2"/>
  <c r="G29" i="2"/>
  <c r="H29" i="2"/>
  <c r="I29" i="2"/>
  <c r="J29" i="2"/>
  <c r="L29" i="2"/>
  <c r="M29" i="2"/>
  <c r="O29" i="2"/>
  <c r="Q29" i="2"/>
  <c r="R29" i="2"/>
  <c r="S29" i="2"/>
  <c r="AA29" i="2" a="1"/>
  <c r="AB29" i="2" a="1"/>
  <c r="AC29" i="2" a="1"/>
  <c r="AD29" i="2" a="1"/>
  <c r="AE29" i="2" a="1"/>
  <c r="AF29" i="2" a="1"/>
  <c r="AG29" i="2" a="1"/>
  <c r="B30" i="2"/>
  <c r="F30" i="2"/>
  <c r="G30" i="2"/>
  <c r="H30" i="2"/>
  <c r="I30" i="2"/>
  <c r="J30" i="2"/>
  <c r="L30" i="2"/>
  <c r="M30" i="2"/>
  <c r="O30" i="2"/>
  <c r="Q30" i="2"/>
  <c r="R30" i="2"/>
  <c r="S30" i="2"/>
  <c r="B31" i="2"/>
  <c r="F31" i="2"/>
  <c r="G31" i="2"/>
  <c r="H31" i="2"/>
  <c r="I31" i="2"/>
  <c r="J31" i="2"/>
  <c r="L31" i="2"/>
  <c r="M31" i="2"/>
  <c r="O31" i="2"/>
  <c r="Q31" i="2"/>
  <c r="R31" i="2"/>
  <c r="S31" i="2"/>
  <c r="AA31" i="2" a="1"/>
  <c r="AB31" i="2" a="1"/>
  <c r="AC31" i="2" a="1"/>
  <c r="AD31" i="2" a="1"/>
  <c r="AE31" i="2" a="1"/>
  <c r="AF31" i="2" a="1"/>
  <c r="AG31" i="2" a="1"/>
  <c r="B32" i="2"/>
  <c r="F32" i="2"/>
  <c r="G32" i="2"/>
  <c r="H32" i="2"/>
  <c r="I32" i="2"/>
  <c r="J32" i="2"/>
  <c r="L32" i="2"/>
  <c r="M32" i="2"/>
  <c r="O32" i="2"/>
  <c r="Q32" i="2"/>
  <c r="R32" i="2"/>
  <c r="S32" i="2"/>
  <c r="AA32" i="2" a="1"/>
  <c r="AB32" i="2" a="1"/>
  <c r="AC32" i="2" a="1"/>
  <c r="AD32" i="2" a="1"/>
  <c r="AE32" i="2" a="1"/>
  <c r="AF32" i="2" a="1"/>
  <c r="AG32" i="2" a="1"/>
  <c r="B33" i="2"/>
  <c r="F33" i="2"/>
  <c r="G33" i="2"/>
  <c r="H33" i="2"/>
  <c r="I33" i="2"/>
  <c r="J33" i="2"/>
  <c r="L33" i="2"/>
  <c r="M33" i="2"/>
  <c r="O33" i="2"/>
  <c r="Q33" i="2"/>
  <c r="R33" i="2"/>
  <c r="S33" i="2"/>
  <c r="AA33" i="2" a="1"/>
  <c r="AB33" i="2" a="1"/>
  <c r="AC33" i="2" a="1"/>
  <c r="AD33" i="2" a="1"/>
  <c r="AE33" i="2" a="1"/>
  <c r="AF33" i="2" a="1"/>
  <c r="AG33" i="2" a="1"/>
  <c r="B34" i="2"/>
  <c r="F34" i="2"/>
  <c r="G34" i="2"/>
  <c r="H34" i="2"/>
  <c r="I34" i="2"/>
  <c r="J34" i="2"/>
  <c r="L34" i="2"/>
  <c r="M34" i="2"/>
  <c r="O34" i="2"/>
  <c r="Q34" i="2"/>
  <c r="R34" i="2"/>
  <c r="S34" i="2"/>
  <c r="B35" i="2"/>
  <c r="F35" i="2"/>
  <c r="G35" i="2"/>
  <c r="H35" i="2"/>
  <c r="I35" i="2"/>
  <c r="J35" i="2"/>
  <c r="L35" i="2"/>
  <c r="M35" i="2"/>
  <c r="O35" i="2"/>
  <c r="Q35" i="2"/>
  <c r="R35" i="2"/>
  <c r="S35" i="2"/>
  <c r="AA35" i="2" a="1"/>
  <c r="AB35" i="2" a="1"/>
  <c r="AC35" i="2" a="1"/>
  <c r="AD35" i="2" a="1"/>
  <c r="AE35" i="2" a="1"/>
  <c r="AF35" i="2" a="1"/>
  <c r="AG35" i="2" a="1"/>
  <c r="B36" i="2"/>
  <c r="F36" i="2"/>
  <c r="G36" i="2"/>
  <c r="H36" i="2"/>
  <c r="I36" i="2"/>
  <c r="J36" i="2"/>
  <c r="L36" i="2"/>
  <c r="M36" i="2"/>
  <c r="O36" i="2"/>
  <c r="Q36" i="2"/>
  <c r="R36" i="2"/>
  <c r="S36" i="2"/>
  <c r="AA36" i="2" a="1"/>
  <c r="AB36" i="2" a="1"/>
  <c r="AC36" i="2" a="1"/>
  <c r="AD36" i="2" a="1"/>
  <c r="AE36" i="2" a="1"/>
  <c r="AF36" i="2" a="1"/>
  <c r="AG36" i="2" a="1"/>
  <c r="B37" i="2"/>
  <c r="F37" i="2"/>
  <c r="G37" i="2"/>
  <c r="H37" i="2"/>
  <c r="I37" i="2"/>
  <c r="J37" i="2"/>
  <c r="L37" i="2"/>
  <c r="M37" i="2"/>
  <c r="O37" i="2"/>
  <c r="Q37" i="2"/>
  <c r="R37" i="2"/>
  <c r="S37" i="2"/>
  <c r="B38" i="2"/>
  <c r="F38" i="2"/>
  <c r="G38" i="2"/>
  <c r="H38" i="2"/>
  <c r="I38" i="2"/>
  <c r="J38" i="2"/>
  <c r="L38" i="2"/>
  <c r="M38" i="2"/>
  <c r="O38" i="2"/>
  <c r="Q38" i="2"/>
  <c r="R38" i="2"/>
  <c r="S38" i="2"/>
  <c r="AA38" i="2" a="1"/>
  <c r="AB38" i="2" a="1"/>
  <c r="AC38" i="2" a="1"/>
  <c r="AD38" i="2" a="1"/>
  <c r="AE38" i="2" a="1"/>
  <c r="AF38" i="2" a="1"/>
  <c r="AG38" i="2" a="1"/>
  <c r="B39" i="2"/>
  <c r="F39" i="2"/>
  <c r="G39" i="2"/>
  <c r="H39" i="2"/>
  <c r="I39" i="2"/>
  <c r="J39" i="2"/>
  <c r="L39" i="2"/>
  <c r="M39" i="2"/>
  <c r="O39" i="2"/>
  <c r="Q39" i="2"/>
  <c r="R39" i="2"/>
  <c r="S39" i="2"/>
  <c r="AA39" i="2" a="1"/>
  <c r="AB39" i="2" a="1"/>
  <c r="AC39" i="2" a="1"/>
  <c r="AD39" i="2" a="1"/>
  <c r="AE39" i="2" a="1"/>
  <c r="AF39" i="2" a="1"/>
  <c r="AG39" i="2" a="1"/>
  <c r="B40" i="2"/>
  <c r="F40" i="2"/>
  <c r="G40" i="2"/>
  <c r="H40" i="2"/>
  <c r="I40" i="2"/>
  <c r="J40" i="2"/>
  <c r="L40" i="2"/>
  <c r="M40" i="2"/>
  <c r="O40" i="2"/>
  <c r="Q40" i="2"/>
  <c r="R40" i="2"/>
  <c r="S40" i="2"/>
  <c r="AA40" i="2" a="1"/>
  <c r="AB40" i="2" a="1"/>
  <c r="AC40" i="2" a="1"/>
  <c r="AD40" i="2" a="1"/>
  <c r="AE40" i="2" a="1"/>
  <c r="AF40" i="2" a="1"/>
  <c r="AG40" i="2" a="1"/>
  <c r="B41" i="2"/>
  <c r="F41" i="2"/>
  <c r="G41" i="2"/>
  <c r="H41" i="2"/>
  <c r="I41" i="2"/>
  <c r="J41" i="2"/>
  <c r="L41" i="2"/>
  <c r="M41" i="2"/>
  <c r="O41" i="2"/>
  <c r="Q41" i="2"/>
  <c r="R41" i="2"/>
  <c r="S41" i="2"/>
  <c r="B42" i="2"/>
  <c r="F42" i="2"/>
  <c r="G42" i="2"/>
  <c r="H42" i="2"/>
  <c r="I42" i="2"/>
  <c r="J42" i="2"/>
  <c r="L42" i="2"/>
  <c r="M42" i="2"/>
  <c r="O42" i="2"/>
  <c r="Q42" i="2"/>
  <c r="R42" i="2"/>
  <c r="S42" i="2"/>
  <c r="AA42" i="2" a="1"/>
  <c r="AB42" i="2" a="1"/>
  <c r="AC42" i="2" a="1"/>
  <c r="AD42" i="2" a="1"/>
  <c r="AE42" i="2" a="1"/>
  <c r="AF42" i="2" a="1"/>
  <c r="AG42" i="2" a="1"/>
  <c r="B43" i="2"/>
  <c r="F43" i="2"/>
  <c r="G43" i="2"/>
  <c r="H43" i="2"/>
  <c r="I43" i="2"/>
  <c r="J43" i="2"/>
  <c r="L43" i="2"/>
  <c r="M43" i="2"/>
  <c r="O43" i="2"/>
  <c r="Q43" i="2"/>
  <c r="R43" i="2"/>
  <c r="S43" i="2"/>
  <c r="AA43" i="2" a="1"/>
  <c r="AB43" i="2" a="1"/>
  <c r="AC43" i="2" a="1"/>
  <c r="AD43" i="2" a="1"/>
  <c r="AE43" i="2" a="1"/>
  <c r="AF43" i="2" a="1"/>
  <c r="AG43" i="2" a="1"/>
  <c r="B44" i="2"/>
  <c r="F44" i="2"/>
  <c r="G44" i="2"/>
  <c r="H44" i="2"/>
  <c r="I44" i="2"/>
  <c r="J44" i="2"/>
  <c r="L44" i="2"/>
  <c r="M44" i="2"/>
  <c r="O44" i="2"/>
  <c r="Q44" i="2"/>
  <c r="R44" i="2"/>
  <c r="S44" i="2"/>
  <c r="B45" i="2"/>
  <c r="F45" i="2"/>
  <c r="G45" i="2"/>
  <c r="H45" i="2"/>
  <c r="I45" i="2"/>
  <c r="J45" i="2"/>
  <c r="L45" i="2"/>
  <c r="M45" i="2"/>
  <c r="O45" i="2"/>
  <c r="Q45" i="2"/>
  <c r="R45" i="2"/>
  <c r="S45" i="2"/>
  <c r="B46" i="2"/>
  <c r="F46" i="2"/>
  <c r="G46" i="2"/>
  <c r="H46" i="2"/>
  <c r="I46" i="2"/>
  <c r="J46" i="2"/>
  <c r="L46" i="2"/>
  <c r="M46" i="2"/>
  <c r="O46" i="2"/>
  <c r="Q46" i="2"/>
  <c r="R46" i="2"/>
  <c r="S46" i="2"/>
  <c r="AA46" i="2" a="1"/>
  <c r="AB46" i="2" a="1"/>
  <c r="AC46" i="2" a="1"/>
  <c r="AD46" i="2" a="1"/>
  <c r="AE46" i="2" a="1"/>
  <c r="AF46" i="2" a="1"/>
  <c r="AG46" i="2" a="1"/>
  <c r="B47" i="2"/>
  <c r="F47" i="2"/>
  <c r="G47" i="2"/>
  <c r="H47" i="2"/>
  <c r="I47" i="2"/>
  <c r="J47" i="2"/>
  <c r="L47" i="2"/>
  <c r="M47" i="2"/>
  <c r="O47" i="2"/>
  <c r="Q47" i="2"/>
  <c r="R47" i="2"/>
  <c r="S47" i="2"/>
  <c r="AA47" i="2" a="1"/>
  <c r="AB47" i="2" a="1"/>
  <c r="AC47" i="2" a="1"/>
  <c r="AD47" i="2" a="1"/>
  <c r="AE47" i="2" a="1"/>
  <c r="AF47" i="2" a="1"/>
  <c r="AG47" i="2" a="1"/>
  <c r="B48" i="2"/>
  <c r="F48" i="2"/>
  <c r="G48" i="2"/>
  <c r="H48" i="2"/>
  <c r="I48" i="2"/>
  <c r="J48" i="2"/>
  <c r="L48" i="2"/>
  <c r="M48" i="2"/>
  <c r="O48" i="2"/>
  <c r="Q48" i="2"/>
  <c r="R48" i="2"/>
  <c r="S48" i="2"/>
  <c r="B49" i="2"/>
  <c r="F49" i="2"/>
  <c r="G49" i="2"/>
  <c r="H49" i="2"/>
  <c r="I49" i="2"/>
  <c r="J49" i="2"/>
  <c r="L49" i="2"/>
  <c r="M49" i="2"/>
  <c r="O49" i="2"/>
  <c r="Q49" i="2"/>
  <c r="R49" i="2"/>
  <c r="S49" i="2"/>
  <c r="AA49" i="2" a="1"/>
  <c r="AB49" i="2" a="1"/>
  <c r="AC49" i="2" a="1"/>
  <c r="AD49" i="2" a="1"/>
  <c r="AE49" i="2" a="1"/>
  <c r="AF49" i="2" a="1"/>
  <c r="AG49" i="2" a="1"/>
  <c r="B50" i="2"/>
  <c r="F50" i="2"/>
  <c r="G50" i="2"/>
  <c r="H50" i="2"/>
  <c r="I50" i="2"/>
  <c r="J50" i="2"/>
  <c r="L50" i="2"/>
  <c r="M50" i="2"/>
  <c r="O50" i="2"/>
  <c r="Q50" i="2"/>
  <c r="R50" i="2"/>
  <c r="S50" i="2"/>
  <c r="AA50" i="2" a="1"/>
  <c r="AB50" i="2" a="1"/>
  <c r="AC50" i="2" a="1"/>
  <c r="AD50" i="2" a="1"/>
  <c r="AE50" i="2" a="1"/>
  <c r="AF50" i="2" a="1"/>
  <c r="AG50" i="2" a="1"/>
  <c r="B51" i="2"/>
  <c r="F51" i="2"/>
  <c r="G51" i="2"/>
  <c r="H51" i="2"/>
  <c r="I51" i="2"/>
  <c r="J51" i="2"/>
  <c r="L51" i="2"/>
  <c r="M51" i="2"/>
  <c r="O51" i="2"/>
  <c r="Q51" i="2"/>
  <c r="R51" i="2"/>
  <c r="S51" i="2"/>
  <c r="B52" i="2"/>
  <c r="F52" i="2"/>
  <c r="G52" i="2"/>
  <c r="H52" i="2"/>
  <c r="I52" i="2"/>
  <c r="J52" i="2"/>
  <c r="L52" i="2"/>
  <c r="M52" i="2"/>
  <c r="O52" i="2"/>
  <c r="AA52" i="2" s="1" a="1"/>
  <c r="Q52" i="2"/>
  <c r="R52" i="2"/>
  <c r="S52" i="2"/>
  <c r="B53" i="2"/>
  <c r="F53" i="2"/>
  <c r="G53" i="2"/>
  <c r="H53" i="2"/>
  <c r="I53" i="2"/>
  <c r="J53" i="2"/>
  <c r="L53" i="2"/>
  <c r="M53" i="2"/>
  <c r="O53" i="2"/>
  <c r="Q53" i="2"/>
  <c r="R53" i="2"/>
  <c r="S53" i="2"/>
  <c r="AA53" i="2" a="1"/>
  <c r="AB53" i="2" a="1"/>
  <c r="AC53" i="2" a="1"/>
  <c r="AD53" i="2" a="1"/>
  <c r="AE53" i="2" a="1"/>
  <c r="AF53" i="2" a="1"/>
  <c r="AG53" i="2" a="1"/>
  <c r="B54" i="2"/>
  <c r="F54" i="2"/>
  <c r="G54" i="2"/>
  <c r="H54" i="2"/>
  <c r="I54" i="2"/>
  <c r="J54" i="2"/>
  <c r="L54" i="2"/>
  <c r="M54" i="2"/>
  <c r="O54" i="2"/>
  <c r="Q54" i="2"/>
  <c r="R54" i="2"/>
  <c r="S54" i="2"/>
  <c r="AA54" i="2" a="1"/>
  <c r="AB54" i="2" a="1"/>
  <c r="AC54" i="2" a="1"/>
  <c r="AD54" i="2" a="1"/>
  <c r="AE54" i="2" a="1"/>
  <c r="AF54" i="2" a="1"/>
  <c r="AG54" i="2" a="1"/>
  <c r="A5" i="2"/>
  <c r="S5" i="2"/>
  <c r="R5" i="2"/>
  <c r="Q5" i="2"/>
  <c r="O5" i="2"/>
  <c r="M5" i="2"/>
  <c r="L5" i="2"/>
  <c r="J5" i="2"/>
  <c r="I5" i="2"/>
  <c r="H5" i="2"/>
  <c r="G5" i="2"/>
  <c r="F5" i="2"/>
  <c r="B5" i="2"/>
  <c r="AD19" i="2" l="1" a="1"/>
  <c r="AE19" i="2" a="1"/>
  <c r="AF19" i="2" a="1"/>
  <c r="AG19" i="2" a="1"/>
  <c r="AF26" i="2" a="1"/>
  <c r="AG26" i="2" a="1"/>
  <c r="AA45" i="2" a="1"/>
  <c r="AB45" i="2" a="1"/>
  <c r="AC45" i="2" a="1"/>
  <c r="AD45" i="2" a="1"/>
  <c r="AE45" i="2" a="1"/>
  <c r="AF45" i="2" a="1"/>
  <c r="AG45" i="2" a="1"/>
  <c r="AB52" i="2" a="1"/>
  <c r="AC52" i="2" a="1"/>
  <c r="AD52" i="2" a="1"/>
  <c r="AE52" i="2" a="1"/>
  <c r="AF52" i="2" a="1"/>
  <c r="AG52" i="2" a="1"/>
  <c r="AB6" i="2" a="1"/>
  <c r="AA6" i="2" a="1"/>
  <c r="AD6" i="2" a="1"/>
  <c r="AC6" i="2" a="1"/>
  <c r="AE6" i="2" a="1"/>
  <c r="AF6" i="2" a="1"/>
  <c r="AG6" i="2" a="1"/>
  <c r="A6" i="2"/>
  <c r="A8" i="2"/>
  <c r="A12" i="2"/>
  <c r="A10" i="2"/>
  <c r="A11" i="2"/>
  <c r="A13" i="2"/>
  <c r="A14" i="2"/>
  <c r="A15" i="2"/>
  <c r="A17" i="2"/>
  <c r="A18" i="2"/>
  <c r="A19" i="2"/>
  <c r="A20" i="2"/>
  <c r="A21" i="2"/>
  <c r="A22" i="2"/>
  <c r="A24" i="2"/>
  <c r="A25" i="2"/>
  <c r="A26" i="2"/>
  <c r="A28" i="2"/>
  <c r="A29" i="2"/>
  <c r="A31" i="2"/>
  <c r="A32" i="2"/>
  <c r="A33" i="2"/>
  <c r="A35" i="2"/>
  <c r="A36" i="2"/>
  <c r="A38" i="2"/>
  <c r="A39" i="2"/>
  <c r="A40" i="2"/>
  <c r="A42" i="2"/>
  <c r="A43" i="2"/>
  <c r="A48" i="2"/>
  <c r="A45" i="2"/>
  <c r="A46" i="2"/>
  <c r="A47" i="2"/>
  <c r="A49" i="2"/>
  <c r="A50" i="2"/>
  <c r="A54" i="2"/>
  <c r="A52" i="2"/>
  <c r="A53" i="2"/>
  <c r="A7" i="2"/>
  <c r="AA20" i="2" a="1"/>
  <c r="AB20" i="2" a="1"/>
  <c r="AC20" i="2" a="1"/>
  <c r="AD20" i="2" a="1"/>
  <c r="AE20" i="2" a="1"/>
  <c r="AF20" i="2" a="1"/>
  <c r="AG20" i="2" a="1"/>
  <c r="A27" i="2"/>
  <c r="AA27" i="2" a="1"/>
  <c r="AB27" i="2" a="1"/>
  <c r="AC27" i="2" a="1"/>
  <c r="AD27" i="2" a="1"/>
  <c r="AE27" i="2" a="1"/>
  <c r="AF27" i="2" a="1"/>
  <c r="AG27" i="2" a="1"/>
  <c r="A34" i="2"/>
  <c r="AA34" i="2" a="1"/>
  <c r="AB34" i="2" a="1"/>
  <c r="AC34" i="2" a="1"/>
  <c r="AD34" i="2" a="1"/>
  <c r="AE34" i="2" a="1"/>
  <c r="AF34" i="2" a="1"/>
  <c r="AG34" i="2" a="1"/>
  <c r="A41" i="2"/>
  <c r="AA41" i="2" a="1"/>
  <c r="AB41" i="2" a="1"/>
  <c r="AC41" i="2" a="1"/>
  <c r="AD41" i="2" a="1"/>
  <c r="AE41" i="2" a="1"/>
  <c r="AF41" i="2" a="1"/>
  <c r="AG41" i="2" a="1"/>
  <c r="AA48" i="2" a="1"/>
  <c r="AB48" i="2" a="1"/>
  <c r="AC48" i="2" a="1"/>
  <c r="AD48" i="2" a="1"/>
  <c r="AE48" i="2" a="1"/>
  <c r="AF48" i="2" a="1"/>
  <c r="AG48" i="2" a="1"/>
  <c r="A9" i="2"/>
  <c r="AE9" i="2" a="1"/>
  <c r="AA9" i="2" a="1"/>
  <c r="AB9" i="2" a="1"/>
  <c r="AC9" i="2" a="1"/>
  <c r="AD9" i="2" a="1"/>
  <c r="AF9" i="2" a="1"/>
  <c r="AG9" i="2" a="1"/>
  <c r="AA16" i="2" a="1"/>
  <c r="AB16" i="2" a="1"/>
  <c r="AC16" i="2" a="1"/>
  <c r="AD16" i="2" a="1"/>
  <c r="AE16" i="2" a="1"/>
  <c r="AF16" i="2" a="1"/>
  <c r="AG16" i="2" a="1"/>
  <c r="A16" i="2"/>
  <c r="A23" i="2"/>
  <c r="AA23" i="2" a="1"/>
  <c r="AB23" i="2" a="1"/>
  <c r="AC23" i="2" a="1"/>
  <c r="AD23" i="2" a="1"/>
  <c r="AE23" i="2" a="1"/>
  <c r="AF23" i="2" a="1"/>
  <c r="AG23" i="2" a="1"/>
  <c r="A30" i="2"/>
  <c r="AF30" i="2" a="1"/>
  <c r="AG30" i="2" a="1"/>
  <c r="AA30" i="2" a="1"/>
  <c r="AB30" i="2" a="1"/>
  <c r="AC30" i="2" a="1"/>
  <c r="AD30" i="2" a="1"/>
  <c r="AE30" i="2" a="1"/>
  <c r="A37" i="2"/>
  <c r="AB37" i="2" a="1"/>
  <c r="AA37" i="2" a="1"/>
  <c r="AC37" i="2" a="1"/>
  <c r="AD37" i="2" a="1"/>
  <c r="AE37" i="2" a="1"/>
  <c r="AF37" i="2" a="1"/>
  <c r="AG37" i="2" a="1"/>
  <c r="AA44" i="2" a="1"/>
  <c r="AB44" i="2" a="1"/>
  <c r="AC44" i="2" a="1"/>
  <c r="AD44" i="2" a="1"/>
  <c r="AE44" i="2" a="1"/>
  <c r="AF44" i="2" a="1"/>
  <c r="AG44" i="2" a="1"/>
  <c r="A44" i="2"/>
  <c r="A51" i="2"/>
  <c r="AA51" i="2" a="1"/>
  <c r="AB51" i="2" a="1"/>
  <c r="AC51" i="2" a="1"/>
  <c r="AD51" i="2" a="1"/>
  <c r="AE51" i="2" a="1"/>
  <c r="AF51" i="2" a="1"/>
  <c r="AG51" i="2" a="1"/>
  <c r="AA5" i="2" a="1"/>
  <c r="AC5" i="2" a="1"/>
  <c r="AG5" i="2" a="1"/>
  <c r="AF5" i="2" a="1"/>
  <c r="AE5" i="2" a="1"/>
  <c r="AD5" i="2" a="1"/>
  <c r="AB5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<sst xmlns="http://schemas.openxmlformats.org/spreadsheetml/2006/main" count="396" uniqueCount="192">
  <si>
    <t>Weapon</t>
  </si>
  <si>
    <t>사용여부</t>
  </si>
  <si>
    <t>column명</t>
  </si>
  <si>
    <t>한글 명칭</t>
  </si>
  <si>
    <t>데이터 형식</t>
  </si>
  <si>
    <t>형식 설명</t>
  </si>
  <si>
    <t>설명</t>
  </si>
  <si>
    <t>weaponId</t>
  </si>
  <si>
    <t>무기ID</t>
  </si>
  <si>
    <t>string</t>
  </si>
  <si>
    <t>"Weapon_target_00001"</t>
  </si>
  <si>
    <t>포탑 ID 저장</t>
  </si>
  <si>
    <t>weaponName</t>
  </si>
  <si>
    <t>무기명칭</t>
  </si>
  <si>
    <t>"기관포"</t>
  </si>
  <si>
    <t>포탑의 이름 저장</t>
  </si>
  <si>
    <t>weaponLandType</t>
  </si>
  <si>
    <t>weaponPower</t>
  </si>
  <si>
    <t>위력</t>
  </si>
  <si>
    <t xml:space="preserve"> int</t>
  </si>
  <si>
    <t>포탑의 위력 수치 저장</t>
  </si>
  <si>
    <t>weaponRange</t>
  </si>
  <si>
    <t>사정거리</t>
  </si>
  <si>
    <t>float</t>
  </si>
  <si>
    <t>0.0f</t>
  </si>
  <si>
    <t>포탑의 사정거리 수치 저장</t>
  </si>
  <si>
    <t>weaponAtkcycle</t>
  </si>
  <si>
    <t>공격주기</t>
  </si>
  <si>
    <t>포탑의 공격주기 저장</t>
  </si>
  <si>
    <t>"단일형"</t>
  </si>
  <si>
    <t>weaponAtkType</t>
  </si>
  <si>
    <t>공격속성</t>
  </si>
  <si>
    <t>"Spread"</t>
  </si>
  <si>
    <t>weaponHitboxSize</t>
  </si>
  <si>
    <t>발사할  탄환의 크기 저장</t>
  </si>
  <si>
    <t>weaponAmmoSpeed</t>
  </si>
  <si>
    <t>탄환 속도</t>
  </si>
  <si>
    <t>발사할 탄환의 속도 저장</t>
  </si>
  <si>
    <t>weaponRotaionSpeed</t>
  </si>
  <si>
    <t>회전속도</t>
  </si>
  <si>
    <t>포탑의 회전 속도 저장</t>
  </si>
  <si>
    <t>weaponWeight</t>
  </si>
  <si>
    <t>무게</t>
  </si>
  <si>
    <t>int</t>
  </si>
  <si>
    <t>장착할 포탑의 무게수치 저장</t>
  </si>
  <si>
    <t>weaponPrice</t>
  </si>
  <si>
    <t>포탑의 가격수치 저장</t>
  </si>
  <si>
    <t>weaponUseammoType</t>
  </si>
  <si>
    <t>소모탄환 종류</t>
  </si>
  <si>
    <t>"bullet"</t>
  </si>
  <si>
    <t>공격때마다 감소하는 탄환의 종류</t>
  </si>
  <si>
    <t>폭발형, 곡사형만 
 사용</t>
  </si>
  <si>
    <t>weaponExplosionRange</t>
  </si>
  <si>
    <t>탄환이 생성하는 폭발의 범위 수치 저장</t>
  </si>
  <si>
    <t>소환 위치</t>
  </si>
  <si>
    <t>"Weapon"</t>
  </si>
  <si>
    <t>상태이상형 탄환이 소환될 위치 이름을 저장</t>
  </si>
  <si>
    <t>범위 형태</t>
  </si>
  <si>
    <t>"Circle"</t>
  </si>
  <si>
    <t>생성될 상태이상형 탄환의 형태 이름을 저장, "Circle", "Triangle" 2가지 값중 하나가 들어간다.</t>
  </si>
  <si>
    <t>weaponDebuff</t>
  </si>
  <si>
    <t>적용효과</t>
  </si>
  <si>
    <t>"Stun"</t>
  </si>
  <si>
    <t>상태이상형 탄환의 효과 이름 저장</t>
  </si>
  <si>
    <t>weaponAmmoDuration</t>
  </si>
  <si>
    <t>지속시간</t>
  </si>
  <si>
    <t>탄환의 지속시간 수치 저장</t>
  </si>
  <si>
    <t>weaponAmmonMuch</t>
  </si>
  <si>
    <t>탄환개수</t>
  </si>
  <si>
    <t>탄환이 발사될 개수 저장</t>
  </si>
  <si>
    <t>상태이상형만 사용</t>
    <phoneticPr fontId="8" type="noConversion"/>
  </si>
  <si>
    <t>관통형, 상태이상형, 산탄형만 사용</t>
    <phoneticPr fontId="8" type="noConversion"/>
  </si>
  <si>
    <t>곡사형,산탄형만사용</t>
    <phoneticPr fontId="8" type="noConversion"/>
  </si>
  <si>
    <t>모든 무기 보유 스탯</t>
    <phoneticPr fontId="8" type="noConversion"/>
  </si>
  <si>
    <t>소모 탄환별 보정치</t>
    <phoneticPr fontId="8" type="noConversion"/>
  </si>
  <si>
    <t>single</t>
    <phoneticPr fontId="8" type="noConversion"/>
  </si>
  <si>
    <t>blast</t>
    <phoneticPr fontId="8" type="noConversion"/>
  </si>
  <si>
    <t>pierce</t>
    <phoneticPr fontId="8" type="noConversion"/>
  </si>
  <si>
    <t>curved</t>
    <phoneticPr fontId="8" type="noConversion"/>
  </si>
  <si>
    <t>shot</t>
    <phoneticPr fontId="8" type="noConversion"/>
  </si>
  <si>
    <t>L</t>
    <phoneticPr fontId="8" type="noConversion"/>
  </si>
  <si>
    <t>F</t>
    <phoneticPr fontId="8" type="noConversion"/>
  </si>
  <si>
    <t>종류 구분</t>
    <phoneticPr fontId="8" type="noConversion"/>
  </si>
  <si>
    <t>stun</t>
    <phoneticPr fontId="8" type="noConversion"/>
  </si>
  <si>
    <t>dots</t>
    <phoneticPr fontId="8" type="noConversion"/>
  </si>
  <si>
    <t>slow</t>
    <phoneticPr fontId="8" type="noConversion"/>
  </si>
  <si>
    <t>deflow</t>
    <phoneticPr fontId="8" type="noConversion"/>
  </si>
  <si>
    <t>세부 보정치</t>
    <phoneticPr fontId="8" type="noConversion"/>
  </si>
  <si>
    <t>weaponPaturn</t>
    <phoneticPr fontId="8" type="noConversion"/>
  </si>
  <si>
    <t>weaponPaturn</t>
    <phoneticPr fontId="8" type="noConversion"/>
  </si>
  <si>
    <t>weaponAmmo</t>
    <phoneticPr fontId="8" type="noConversion"/>
  </si>
  <si>
    <t>weaponType</t>
    <phoneticPr fontId="8" type="noConversion"/>
  </si>
  <si>
    <t>보정치</t>
    <phoneticPr fontId="8" type="noConversion"/>
  </si>
  <si>
    <r>
      <rPr>
        <sz val="10"/>
        <color theme="1"/>
        <rFont val="맑은 고딕"/>
        <family val="3"/>
        <charset val="129"/>
      </rPr>
      <t>포탑의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공격형식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저장</t>
    </r>
    <r>
      <rPr>
        <sz val="10"/>
        <color theme="1"/>
        <rFont val="Arial"/>
        <family val="2"/>
        <scheme val="minor"/>
      </rPr>
      <t>["single", "blast", "pierce", "curved", "shot", "debuff"] 6</t>
    </r>
    <r>
      <rPr>
        <sz val="10"/>
        <color theme="1"/>
        <rFont val="맑은 고딕"/>
        <family val="3"/>
        <charset val="129"/>
      </rPr>
      <t>개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값중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하나가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들어가며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추후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추가될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있다</t>
    </r>
    <r>
      <rPr>
        <sz val="10"/>
        <color theme="1"/>
        <rFont val="Arial"/>
        <family val="2"/>
        <scheme val="minor"/>
      </rPr>
      <t>.</t>
    </r>
    <phoneticPr fontId="8" type="noConversion"/>
  </si>
  <si>
    <t>debuff</t>
    <phoneticPr fontId="8" type="noConversion"/>
  </si>
  <si>
    <t>ammo</t>
    <phoneticPr fontId="8" type="noConversion"/>
  </si>
  <si>
    <t>ammo</t>
    <phoneticPr fontId="8" type="noConversion"/>
  </si>
  <si>
    <t>shell</t>
    <phoneticPr fontId="8" type="noConversion"/>
  </si>
  <si>
    <t>missile</t>
    <phoneticPr fontId="8" type="noConversion"/>
  </si>
  <si>
    <t>spread</t>
    <phoneticPr fontId="8" type="noConversion"/>
  </si>
  <si>
    <t>normal</t>
    <phoneticPr fontId="8" type="noConversion"/>
  </si>
  <si>
    <t>armored</t>
    <phoneticPr fontId="8" type="noConversion"/>
  </si>
  <si>
    <t>weaponSP</t>
    <phoneticPr fontId="8" type="noConversion"/>
  </si>
  <si>
    <t>weaponZoneShape</t>
    <phoneticPr fontId="8" type="noConversion"/>
  </si>
  <si>
    <t>소수 보정치</t>
    <phoneticPr fontId="8" type="noConversion"/>
  </si>
  <si>
    <t>공격 패턴별 보정치</t>
    <phoneticPr fontId="8" type="noConversion"/>
  </si>
  <si>
    <t>circle</t>
    <phoneticPr fontId="8" type="noConversion"/>
  </si>
  <si>
    <t>triangle</t>
    <phoneticPr fontId="8" type="noConversion"/>
  </si>
  <si>
    <t>head</t>
    <phoneticPr fontId="8" type="noConversion"/>
  </si>
  <si>
    <t>target</t>
    <phoneticPr fontId="8" type="noConversion"/>
  </si>
  <si>
    <t>탄환크기</t>
    <phoneticPr fontId="8" type="noConversion"/>
  </si>
  <si>
    <t>피해 범위</t>
    <phoneticPr fontId="8" type="noConversion"/>
  </si>
  <si>
    <t>공격 속성 보정치</t>
    <phoneticPr fontId="8" type="noConversion"/>
  </si>
  <si>
    <t>지형 보정치</t>
    <phoneticPr fontId="8" type="noConversion"/>
  </si>
  <si>
    <t>상태이상 생성위치 보정치</t>
    <phoneticPr fontId="8" type="noConversion"/>
  </si>
  <si>
    <t>상태이상 형태 범위 보정치</t>
    <phoneticPr fontId="8" type="noConversion"/>
  </si>
  <si>
    <t>가격별 기준 능력치</t>
    <phoneticPr fontId="8" type="noConversion"/>
  </si>
  <si>
    <t>피해범위 보정치</t>
    <phoneticPr fontId="8" type="noConversion"/>
  </si>
  <si>
    <t>상태이상 보정치</t>
    <phoneticPr fontId="8" type="noConversion"/>
  </si>
  <si>
    <t>지속시간 보정치</t>
    <phoneticPr fontId="8" type="noConversion"/>
  </si>
  <si>
    <t>탄환 개수보정치</t>
    <phoneticPr fontId="8" type="noConversion"/>
  </si>
  <si>
    <t>● 해당 페이지에서 모든 또는 특정 종류의 포탑의 능력치를 조절할 수 있다.
● 가격별 기준 능력치가 모든 포탑의 기준 능력치 수치를 조절하며 나머지 테이블은 특정 속성을 가진 포탑의 능력치의 배율을 조정한다.
● 배율을 조정하는 테이블의 요소는 크기가 클수록 증가수치도 증가하기 때문에 큰 수치조정은 권장하지 않는다.
● 일반적인 수치는 크기가 증가하면 강력해지지만 공격주기 수치의 경우 크기가 작을수록 포탑이 빠르게 공격을 진행한다.
● 회전속도 수치는 초당 몇도를 회전하는지에 대한 수치이다. EX) 30이면 초당 30도 회전한다.
● 탄환속도는 초당 몇 M 이동하는지에 대한 수치이다.
● 탄환 크기는 유니티에서 오브젝트 크기 수치를 나타낸다. EX) 1이면 1*1*1 크기가 된다.
●사정거리는 포탑의 적 감지범위인 원형 범위의 반지름 크기이다.
● 소수 보정치는 소수점 단위로 나올 수 있는 능력치에 대하여 0.1초당 추가적인 배율을 어느정도 제공할지에 대한 수치이다.</t>
    <phoneticPr fontId="8" type="noConversion"/>
  </si>
  <si>
    <r>
      <rPr>
        <sz val="10"/>
        <color theme="1"/>
        <rFont val="맑은 고딕"/>
        <family val="3"/>
        <charset val="129"/>
      </rPr>
      <t>포탑의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지형속성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저장</t>
    </r>
    <r>
      <rPr>
        <sz val="10"/>
        <color theme="1"/>
        <rFont val="Arial"/>
        <family val="2"/>
        <scheme val="minor"/>
      </rPr>
      <t>, "L", "F" 2</t>
    </r>
    <r>
      <rPr>
        <sz val="10"/>
        <color theme="1"/>
        <rFont val="맑은 고딕"/>
        <family val="3"/>
        <charset val="129"/>
      </rPr>
      <t>가지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값이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들어갈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있다</t>
    </r>
    <r>
      <rPr>
        <sz val="10"/>
        <color theme="1"/>
        <rFont val="Arial"/>
        <family val="2"/>
        <scheme val="minor"/>
      </rPr>
      <t>.</t>
    </r>
    <phoneticPr fontId="8" type="noConversion"/>
  </si>
  <si>
    <t>"L"</t>
    <phoneticPr fontId="8" type="noConversion"/>
  </si>
  <si>
    <r>
      <rPr>
        <sz val="10"/>
        <color theme="1"/>
        <rFont val="맑은 고딕"/>
        <family val="3"/>
        <charset val="129"/>
      </rPr>
      <t>포탑의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공격속성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저장</t>
    </r>
    <r>
      <rPr>
        <sz val="10"/>
        <color theme="1"/>
        <rFont val="Arial"/>
        <family val="2"/>
        <scheme val="minor"/>
      </rPr>
      <t xml:space="preserve"> "spread", "normal", "armored" 3</t>
    </r>
    <r>
      <rPr>
        <sz val="10"/>
        <color theme="1"/>
        <rFont val="맑은 고딕"/>
        <family val="3"/>
        <charset val="129"/>
      </rPr>
      <t>가지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값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중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하나가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맑은 고딕"/>
        <family val="3"/>
        <charset val="129"/>
      </rPr>
      <t>들어간다</t>
    </r>
    <r>
      <rPr>
        <sz val="10"/>
        <color theme="1"/>
        <rFont val="Arial"/>
        <family val="2"/>
        <scheme val="minor"/>
      </rPr>
      <t>.</t>
    </r>
    <phoneticPr fontId="8" type="noConversion"/>
  </si>
  <si>
    <t>null</t>
  </si>
  <si>
    <t>null</t>
    <phoneticPr fontId="8" type="noConversion"/>
  </si>
  <si>
    <t>weaponSp</t>
    <phoneticPr fontId="8" type="noConversion"/>
  </si>
  <si>
    <r>
      <t xml:space="preserve">● </t>
    </r>
    <r>
      <rPr>
        <sz val="10"/>
        <color rgb="FF000000"/>
        <rFont val="맑은 고딕"/>
        <family val="2"/>
        <charset val="129"/>
      </rPr>
      <t xml:space="preserve">해당 페이지는 실제 사용할 데이터에 대한 내용이 적힌 테이블이다.
</t>
    </r>
    <r>
      <rPr>
        <sz val="10"/>
        <color rgb="FF000000"/>
        <rFont val="Segoe UI Symbol"/>
        <family val="2"/>
      </rPr>
      <t>●3</t>
    </r>
    <r>
      <rPr>
        <sz val="10"/>
        <color rgb="FF000000"/>
        <rFont val="맑은 고딕"/>
        <family val="2"/>
        <charset val="129"/>
      </rPr>
      <t xml:space="preserve">열은 데이터의 자료형이며 자료형이 한글로 되어있는 경우 인게임에서 사용하지 않는 데이터지만 테이블에서 수치조정 또는 색인을 위해 넣은 데이터이다.
</t>
    </r>
    <r>
      <rPr>
        <sz val="10"/>
        <color rgb="FF000000"/>
        <rFont val="Segoe UI Symbol"/>
        <family val="2"/>
      </rPr>
      <t>●</t>
    </r>
    <r>
      <rPr>
        <sz val="10"/>
        <color rgb="FF000000"/>
        <rFont val="맑은 고딕"/>
        <family val="2"/>
        <charset val="129"/>
      </rPr>
      <t>보정치의 수치를 조정해 각 포탑별로 상세 능력치를 조정할 수 있다.
● 보정값의 경우 수치 조정의도가 없는 경우 1을 유지한다.</t>
    </r>
    <r>
      <rPr>
        <sz val="10"/>
        <color rgb="FF000000"/>
        <rFont val="Segoe UI Symbol"/>
        <family val="2"/>
      </rPr>
      <t xml:space="preserve">
●</t>
    </r>
    <r>
      <rPr>
        <sz val="10"/>
        <color rgb="FF000000"/>
        <rFont val="맑은 고딕"/>
        <family val="2"/>
        <charset val="129"/>
      </rPr>
      <t>포탑에 따라 사용하지 않는 칼럼이 존재한다. 데이터를 입력해도 영향을 주지 않지만 통일성을 위하여 사용하지 않는데이터는 문자형의 경우 null값, 정수형/소수형의 경우 0 을 넣는다.</t>
    </r>
    <phoneticPr fontId="8" type="noConversion"/>
  </si>
  <si>
    <t>spread</t>
  </si>
  <si>
    <r>
      <t>무기</t>
    </r>
    <r>
      <rPr>
        <sz val="10"/>
        <color rgb="FF000000"/>
        <rFont val="Arial"/>
        <family val="2"/>
        <scheme val="minor"/>
      </rPr>
      <t>ID</t>
    </r>
  </si>
  <si>
    <r>
      <t>탄환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속도</t>
    </r>
  </si>
  <si>
    <r>
      <t>소모탄환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종류</t>
    </r>
  </si>
  <si>
    <r>
      <t>피해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범위</t>
    </r>
  </si>
  <si>
    <r>
      <t>소환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위치</t>
    </r>
  </si>
  <si>
    <r>
      <t>범위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3"/>
        <charset val="129"/>
        <scheme val="minor"/>
      </rPr>
      <t>형태</t>
    </r>
  </si>
  <si>
    <t>공격패턴</t>
    <phoneticPr fontId="8" type="noConversion"/>
  </si>
  <si>
    <t>탄환 크기</t>
    <phoneticPr fontId="8" type="noConversion"/>
  </si>
  <si>
    <t>지형속성</t>
    <phoneticPr fontId="8" type="noConversion"/>
  </si>
  <si>
    <r>
      <rPr>
        <sz val="11"/>
        <color rgb="FF000000"/>
        <rFont val="맑은 고딕"/>
        <family val="3"/>
        <charset val="129"/>
      </rPr>
      <t>지형</t>
    </r>
    <r>
      <rPr>
        <sz val="11"/>
        <color rgb="FF000000"/>
        <rFont val="&quot;Malgun Gothic&quot;"/>
      </rPr>
      <t>속성</t>
    </r>
    <phoneticPr fontId="8" type="noConversion"/>
  </si>
  <si>
    <t>포탑 가격</t>
    <phoneticPr fontId="8" type="noConversion"/>
  </si>
  <si>
    <r>
      <rPr>
        <sz val="10"/>
        <color rgb="FF000000"/>
        <rFont val="맑은 고딕"/>
        <family val="3"/>
        <charset val="129"/>
      </rPr>
      <t>무게</t>
    </r>
    <r>
      <rPr>
        <sz val="10"/>
        <color rgb="FF000000"/>
        <rFont val="Arial"/>
        <family val="3"/>
        <charset val="129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보정치</t>
    </r>
    <phoneticPr fontId="8" type="noConversion"/>
  </si>
  <si>
    <r>
      <rPr>
        <sz val="10"/>
        <color rgb="FF000000"/>
        <rFont val="맑은 고딕"/>
        <family val="3"/>
        <charset val="129"/>
      </rPr>
      <t>회전속도</t>
    </r>
    <r>
      <rPr>
        <sz val="10"/>
        <color rgb="FF000000"/>
        <rFont val="Arial"/>
        <family val="3"/>
        <charset val="129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보정치</t>
    </r>
    <phoneticPr fontId="8" type="noConversion"/>
  </si>
  <si>
    <r>
      <rPr>
        <sz val="10"/>
        <color rgb="FF000000"/>
        <rFont val="맑은 고딕"/>
        <family val="3"/>
        <charset val="129"/>
      </rPr>
      <t>탄환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속도</t>
    </r>
    <r>
      <rPr>
        <sz val="10"/>
        <color rgb="FF000000"/>
        <rFont val="Arial"/>
        <family val="3"/>
        <charset val="129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보정치</t>
    </r>
    <phoneticPr fontId="8" type="noConversion"/>
  </si>
  <si>
    <t>탄환크기 보정치</t>
    <phoneticPr fontId="8" type="noConversion"/>
  </si>
  <si>
    <r>
      <rPr>
        <sz val="10"/>
        <color rgb="FF000000"/>
        <rFont val="맑은 고딕"/>
        <family val="3"/>
        <charset val="129"/>
      </rPr>
      <t>공격주기</t>
    </r>
    <r>
      <rPr>
        <sz val="10"/>
        <color rgb="FF000000"/>
        <rFont val="Arial"/>
        <family val="3"/>
        <charset val="129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보정치</t>
    </r>
    <phoneticPr fontId="8" type="noConversion"/>
  </si>
  <si>
    <r>
      <rPr>
        <sz val="10"/>
        <color rgb="FF000000"/>
        <rFont val="맑은 고딕"/>
        <family val="3"/>
        <charset val="129"/>
      </rPr>
      <t>사정거리</t>
    </r>
    <r>
      <rPr>
        <sz val="10"/>
        <color rgb="FF000000"/>
        <rFont val="Arial"/>
        <family val="3"/>
        <charset val="129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보정치</t>
    </r>
    <phoneticPr fontId="8" type="noConversion"/>
  </si>
  <si>
    <t>위력 보정치</t>
    <phoneticPr fontId="8" type="noConversion"/>
  </si>
  <si>
    <t>등급</t>
    <phoneticPr fontId="8" type="noConversion"/>
  </si>
  <si>
    <t>weaponTier</t>
    <phoneticPr fontId="8" type="noConversion"/>
  </si>
  <si>
    <t>무기 명칭(구경 입력용)</t>
    <phoneticPr fontId="8" type="noConversion"/>
  </si>
  <si>
    <t>무기 명칭(이름 입력용)</t>
    <phoneticPr fontId="8" type="noConversion"/>
  </si>
  <si>
    <t>녹슨</t>
    <phoneticPr fontId="8" type="noConversion"/>
  </si>
  <si>
    <t>기관포</t>
    <phoneticPr fontId="8" type="noConversion"/>
  </si>
  <si>
    <t>등급 구분</t>
    <phoneticPr fontId="8" type="noConversion"/>
  </si>
  <si>
    <t>녹슨</t>
    <phoneticPr fontId="8" type="noConversion"/>
  </si>
  <si>
    <t>T1</t>
    <phoneticPr fontId="8" type="noConversion"/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</si>
  <si>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</si>
  <si>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</si>
  <si>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</si>
  <si>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</si>
  <si>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</si>
  <si>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</si>
  <si>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</si>
  <si>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</si>
  <si>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</si>
  <si>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탄환 구경 보정치</t>
    <phoneticPr fontId="8" type="noConversion"/>
  </si>
  <si>
    <t>무기 이름별 기본 속성</t>
    <phoneticPr fontId="8" type="noConversion"/>
  </si>
  <si>
    <t>5.56mm</t>
    <phoneticPr fontId="8" type="noConversion"/>
  </si>
  <si>
    <t>7.62mm</t>
    <phoneticPr fontId="8" type="noConversion"/>
  </si>
  <si>
    <t>12.7mm</t>
    <phoneticPr fontId="8" type="noConversion"/>
  </si>
  <si>
    <t>20mm</t>
    <phoneticPr fontId="8" type="noConversion"/>
  </si>
  <si>
    <t>40mm</t>
    <phoneticPr fontId="8" type="noConversion"/>
  </si>
  <si>
    <t>55mm</t>
    <phoneticPr fontId="8" type="noConversion"/>
  </si>
  <si>
    <t>155mm</t>
    <phoneticPr fontId="8" type="noConversion"/>
  </si>
  <si>
    <r>
      <rPr>
        <sz val="10"/>
        <color rgb="FF000000"/>
        <rFont val="맑은 고딕"/>
        <family val="3"/>
        <charset val="129"/>
      </rPr>
      <t>피해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범위</t>
    </r>
    <phoneticPr fontId="8" type="noConversion"/>
  </si>
  <si>
    <r>
      <rPr>
        <sz val="10"/>
        <color rgb="FF000000"/>
        <rFont val="맑은 고딕"/>
        <family val="3"/>
        <charset val="129"/>
      </rPr>
      <t>탄환개수</t>
    </r>
    <r>
      <rPr>
        <sz val="10"/>
        <color rgb="FF000000"/>
        <rFont val="Arial"/>
        <family val="3"/>
        <charset val="129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보정치</t>
    </r>
    <phoneticPr fontId="8" type="noConversion"/>
  </si>
  <si>
    <r>
      <rPr>
        <sz val="10"/>
        <color rgb="FF000000"/>
        <rFont val="맑은 고딕"/>
        <family val="3"/>
        <charset val="129"/>
      </rPr>
      <t>지속시간</t>
    </r>
    <r>
      <rPr>
        <sz val="10"/>
        <color rgb="FF000000"/>
        <rFont val="Arial"/>
        <family val="3"/>
        <charset val="129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보정치</t>
    </r>
    <phoneticPr fontId="8" type="noConversion"/>
  </si>
  <si>
    <r>
      <rPr>
        <sz val="10"/>
        <color rgb="FF000000"/>
        <rFont val="맑은 고딕"/>
        <family val="3"/>
        <charset val="129"/>
      </rPr>
      <t>피해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범위</t>
    </r>
    <r>
      <rPr>
        <sz val="10"/>
        <color rgb="FF000000"/>
        <rFont val="Arial"/>
        <family val="3"/>
        <charset val="129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보정치</t>
    </r>
    <phoneticPr fontId="8" type="noConversion"/>
  </si>
  <si>
    <t>none</t>
    <phoneticPr fontId="8" type="noConversion"/>
  </si>
  <si>
    <t>none</t>
    <phoneticPr fontId="8" type="noConversion"/>
  </si>
  <si>
    <t>81mm</t>
    <phoneticPr fontId="8" type="noConversion"/>
  </si>
  <si>
    <t>105mm</t>
    <phoneticPr fontId="8" type="noConversion"/>
  </si>
  <si>
    <t>240mm</t>
    <phoneticPr fontId="8" type="noConversion"/>
  </si>
  <si>
    <t>내부색인(없으면 none 입력)</t>
    <phoneticPr fontId="8" type="noConversion"/>
  </si>
  <si>
    <t>기관포</t>
    <phoneticPr fontId="8" type="noConversion"/>
  </si>
  <si>
    <t>id구별</t>
    <phoneticPr fontId="8" type="noConversion"/>
  </si>
  <si>
    <t>적힐 이름</t>
    <phoneticPr fontId="8" type="noConversion"/>
  </si>
  <si>
    <t>Am</t>
    <phoneticPr fontId="8" type="noConversion"/>
  </si>
  <si>
    <t>Sh</t>
    <phoneticPr fontId="8" type="noConversion"/>
  </si>
  <si>
    <t>Ms</t>
    <phoneticPr fontId="8" type="noConversion"/>
  </si>
  <si>
    <t>내부색인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</si>
</sst>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0"/>
      <color rgb="FF000000"/>
      <name val="Arial"/>
      <scheme val="minor"/>
    </font>
    <font>
      <sz val="12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1"/>
      <color rgb="FF000000"/>
      <name val="&quot;맑은 고딕&quot;"/>
      <family val="3"/>
      <charset val="129"/>
    </font>
    <font>
      <sz val="11"/>
      <color rgb="FF000000"/>
      <name val="&quot;Malgun Gothic&quot;"/>
    </font>
    <font>
      <sz val="10"/>
      <name val="Arial"/>
      <family val="2"/>
    </font>
    <font>
      <sz val="11"/>
      <color rgb="FF000000"/>
      <name val="Calibri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sz val="10"/>
      <color rgb="FF000000"/>
      <name val="맑은 고딕"/>
      <family val="3"/>
      <charset val="129"/>
    </font>
    <font>
      <sz val="10"/>
      <color theme="1"/>
      <name val="Arial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1"/>
      <color rgb="FF000000"/>
      <name val="&quot;Malgun Gothic&quot;"/>
      <family val="3"/>
      <charset val="129"/>
    </font>
    <font>
      <sz val="10"/>
      <color rgb="FF000000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10"/>
      <color rgb="FF000000"/>
      <name val="Segoe UI Symbol"/>
      <family val="2"/>
    </font>
    <font>
      <sz val="10"/>
      <color rgb="FF000000"/>
      <name val="Arial"/>
      <family val="3"/>
      <charset val="129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C6E0B4"/>
        <bgColor rgb="FFC6E0B4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B4C6E7"/>
        <bgColor rgb="FFB4C6E7"/>
      </patternFill>
    </fill>
    <fill>
      <patternFill patternType="solid">
        <fgColor rgb="FFFFE699"/>
        <bgColor rgb="FFFFE699"/>
      </patternFill>
    </fill>
    <fill>
      <patternFill patternType="solid">
        <fgColor rgb="FFF8CBAD"/>
        <bgColor rgb="FFF8CBAD"/>
      </patternFill>
    </fill>
    <fill>
      <patternFill patternType="solid">
        <fgColor rgb="FFBDD7EE"/>
        <bgColor rgb="FFBDD7EE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2" tint="-0.14999847407452621"/>
      </left>
      <right style="thin">
        <color theme="2" tint="-0.14999847407452621"/>
      </right>
      <top style="thin">
        <color theme="2" tint="-0.14999847407452621"/>
      </top>
      <bottom style="thin">
        <color theme="2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2" tint="-0.14999847407452621"/>
      </left>
      <right style="thin">
        <color theme="2" tint="-0.14999847407452621"/>
      </right>
      <top style="thin">
        <color theme="2" tint="-0.1499984740745262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2" tint="-0.1499984740745262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6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2" borderId="1" xfId="0" applyFont="1" applyFill="1" applyBorder="1"/>
    <xf numFmtId="0" fontId="2" fillId="0" borderId="1" xfId="0" applyFont="1" applyBorder="1"/>
    <xf numFmtId="0" fontId="5" fillId="4" borderId="1" xfId="0" applyFont="1" applyFill="1" applyBorder="1"/>
    <xf numFmtId="0" fontId="5" fillId="5" borderId="1" xfId="0" applyFont="1" applyFill="1" applyBorder="1"/>
    <xf numFmtId="0" fontId="7" fillId="4" borderId="1" xfId="0" applyFont="1" applyFill="1" applyBorder="1"/>
    <xf numFmtId="0" fontId="5" fillId="6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11" fillId="0" borderId="0" xfId="0" applyFont="1"/>
    <xf numFmtId="0" fontId="12" fillId="0" borderId="1" xfId="0" applyFont="1" applyBorder="1"/>
    <xf numFmtId="0" fontId="10" fillId="0" borderId="0" xfId="0" applyFont="1"/>
    <xf numFmtId="0" fontId="15" fillId="4" borderId="1" xfId="0" applyFont="1" applyFill="1" applyBorder="1"/>
    <xf numFmtId="0" fontId="10" fillId="0" borderId="9" xfId="0" applyFont="1" applyBorder="1"/>
    <xf numFmtId="0" fontId="0" fillId="12" borderId="9" xfId="0" applyFill="1" applyBorder="1"/>
    <xf numFmtId="0" fontId="16" fillId="12" borderId="9" xfId="0" applyFont="1" applyFill="1" applyBorder="1"/>
    <xf numFmtId="0" fontId="10" fillId="13" borderId="9" xfId="0" applyFont="1" applyFill="1" applyBorder="1"/>
    <xf numFmtId="0" fontId="11" fillId="13" borderId="9" xfId="0" applyFont="1" applyFill="1" applyBorder="1"/>
    <xf numFmtId="0" fontId="16" fillId="13" borderId="9" xfId="0" applyFont="1" applyFill="1" applyBorder="1"/>
    <xf numFmtId="0" fontId="0" fillId="0" borderId="5" xfId="0" applyBorder="1"/>
    <xf numFmtId="0" fontId="11" fillId="0" borderId="5" xfId="0" applyFont="1" applyBorder="1"/>
    <xf numFmtId="0" fontId="2" fillId="2" borderId="6" xfId="0" applyFont="1" applyFill="1" applyBorder="1"/>
    <xf numFmtId="0" fontId="3" fillId="10" borderId="7" xfId="0" applyFont="1" applyFill="1" applyBorder="1" applyAlignment="1">
      <alignment vertical="center"/>
    </xf>
    <xf numFmtId="0" fontId="3" fillId="10" borderId="7" xfId="1" applyFont="1" applyFill="1" applyBorder="1" applyAlignment="1">
      <alignment vertical="center"/>
    </xf>
    <xf numFmtId="0" fontId="17" fillId="10" borderId="7" xfId="1" applyFont="1" applyFill="1" applyBorder="1" applyAlignment="1">
      <alignment vertical="center"/>
    </xf>
    <xf numFmtId="0" fontId="3" fillId="10" borderId="8" xfId="1" applyFont="1" applyFill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7" xfId="1" applyFont="1" applyBorder="1" applyAlignment="1">
      <alignment vertical="center"/>
    </xf>
    <xf numFmtId="0" fontId="3" fillId="0" borderId="8" xfId="1" applyFont="1" applyBorder="1" applyAlignment="1">
      <alignment vertical="center"/>
    </xf>
    <xf numFmtId="0" fontId="11" fillId="12" borderId="9" xfId="0" applyFont="1" applyFill="1" applyBorder="1"/>
    <xf numFmtId="0" fontId="14" fillId="4" borderId="1" xfId="0" applyFont="1" applyFill="1" applyBorder="1"/>
    <xf numFmtId="0" fontId="0" fillId="0" borderId="13" xfId="0" applyBorder="1"/>
    <xf numFmtId="0" fontId="2" fillId="2" borderId="14" xfId="0" applyFont="1" applyFill="1" applyBorder="1"/>
    <xf numFmtId="0" fontId="10" fillId="0" borderId="0" xfId="0" applyFont="1" applyAlignment="1">
      <alignment vertical="top"/>
    </xf>
    <xf numFmtId="0" fontId="17" fillId="10" borderId="7" xfId="0" applyFont="1" applyFill="1" applyBorder="1" applyAlignment="1">
      <alignment vertical="center"/>
    </xf>
    <xf numFmtId="0" fontId="17" fillId="0" borderId="7" xfId="0" applyFont="1" applyBorder="1" applyAlignment="1">
      <alignment vertical="center"/>
    </xf>
    <xf numFmtId="0" fontId="5" fillId="5" borderId="14" xfId="0" applyFont="1" applyFill="1" applyBorder="1"/>
    <xf numFmtId="0" fontId="5" fillId="5" borderId="16" xfId="0" applyFont="1" applyFill="1" applyBorder="1"/>
    <xf numFmtId="0" fontId="11" fillId="14" borderId="17" xfId="0" applyFont="1" applyFill="1" applyBorder="1"/>
    <xf numFmtId="0" fontId="5" fillId="5" borderId="18" xfId="0" applyFont="1" applyFill="1" applyBorder="1"/>
    <xf numFmtId="0" fontId="19" fillId="12" borderId="9" xfId="0" applyFont="1" applyFill="1" applyBorder="1"/>
    <xf numFmtId="0" fontId="11" fillId="11" borderId="9" xfId="0" applyFont="1" applyFill="1" applyBorder="1" applyAlignment="1">
      <alignment horizontal="center"/>
    </xf>
    <xf numFmtId="0" fontId="18" fillId="0" borderId="0" xfId="0" applyFont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15" xfId="0" applyBorder="1" applyAlignment="1">
      <alignment horizontal="left" vertical="top"/>
    </xf>
    <xf numFmtId="0" fontId="4" fillId="3" borderId="2" xfId="0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4" fillId="7" borderId="2" xfId="0" applyFont="1" applyFill="1" applyBorder="1" applyAlignment="1">
      <alignment horizontal="center" vertical="center"/>
    </xf>
    <xf numFmtId="0" fontId="16" fillId="0" borderId="0" xfId="0" applyFont="1" applyAlignment="1">
      <alignment horizontal="left" vertical="top" wrapText="1"/>
    </xf>
    <xf numFmtId="0" fontId="11" fillId="11" borderId="9" xfId="0" applyFont="1" applyFill="1" applyBorder="1" applyAlignment="1">
      <alignment horizontal="center"/>
    </xf>
    <xf numFmtId="0" fontId="11" fillId="11" borderId="10" xfId="0" applyFont="1" applyFill="1" applyBorder="1" applyAlignment="1">
      <alignment horizontal="center"/>
    </xf>
    <xf numFmtId="0" fontId="11" fillId="11" borderId="11" xfId="0" applyFont="1" applyFill="1" applyBorder="1" applyAlignment="1">
      <alignment horizontal="center"/>
    </xf>
    <xf numFmtId="0" fontId="11" fillId="11" borderId="12" xfId="0" applyFont="1" applyFill="1" applyBorder="1" applyAlignment="1">
      <alignment horizontal="center"/>
    </xf>
    <xf numFmtId="0" fontId="10" fillId="0" borderId="0" xfId="0" applyFont="1" applyBorder="1"/>
    <xf numFmtId="0" fontId="16" fillId="0" borderId="0" xfId="0" applyFont="1"/>
    <xf numFmtId="0" fontId="16" fillId="0" borderId="0" xfId="0" applyFont="1" applyBorder="1" applyAlignment="1">
      <alignment horizontal="center"/>
    </xf>
    <xf numFmtId="0" fontId="16" fillId="11" borderId="19" xfId="0" applyFont="1" applyFill="1" applyBorder="1" applyAlignment="1">
      <alignment horizontal="center"/>
    </xf>
    <xf numFmtId="0" fontId="10" fillId="0" borderId="0" xfId="0" applyFont="1" applyFill="1" applyBorder="1"/>
  </cellXfs>
  <cellStyles count="2">
    <cellStyle name="Normal" xfId="1" xr:uid="{35CBD71F-68C0-4788-8906-A64C81508B3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1000"/>
  <sheetViews>
    <sheetView showGridLines="0" workbookViewId="0">
      <selection activeCell="H27" sqref="H27"/>
    </sheetView>
  </sheetViews>
  <sheetFormatPr defaultColWidth="12.5703125" defaultRowHeight="15.75" customHeight="1"/>
  <cols>
    <col min="1" max="1" width="1.28515625" customWidth="1"/>
    <col min="3" max="3" width="38.42578125" customWidth="1"/>
    <col min="4" max="4" width="27.42578125" customWidth="1"/>
    <col min="5" max="5" width="17.7109375" customWidth="1"/>
    <col min="6" max="6" width="8.28515625" customWidth="1"/>
    <col min="7" max="7" width="21.42578125" customWidth="1"/>
    <col min="8" max="8" width="104" customWidth="1"/>
  </cols>
  <sheetData>
    <row r="1" spans="1:8" ht="6" customHeight="1">
      <c r="A1" s="1"/>
      <c r="B1" s="1"/>
    </row>
    <row r="2" spans="1:8" ht="15">
      <c r="A2" s="1"/>
      <c r="B2" s="1" t="s">
        <v>0</v>
      </c>
    </row>
    <row r="3" spans="1:8" ht="15">
      <c r="A3" s="1"/>
      <c r="B3" s="1"/>
      <c r="C3" s="2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</row>
    <row r="4" spans="1:8" ht="15">
      <c r="A4" s="1"/>
      <c r="B4" s="1"/>
      <c r="C4" s="47" t="s">
        <v>73</v>
      </c>
      <c r="D4" s="4" t="s">
        <v>7</v>
      </c>
      <c r="E4" s="5" t="s">
        <v>8</v>
      </c>
      <c r="F4" s="6" t="s">
        <v>9</v>
      </c>
      <c r="G4" s="4" t="s">
        <v>10</v>
      </c>
      <c r="H4" s="4" t="s">
        <v>11</v>
      </c>
    </row>
    <row r="5" spans="1:8" ht="15">
      <c r="A5" s="1"/>
      <c r="B5" s="1"/>
      <c r="C5" s="48"/>
      <c r="D5" s="4" t="s">
        <v>12</v>
      </c>
      <c r="E5" s="5" t="s">
        <v>13</v>
      </c>
      <c r="F5" s="6" t="s">
        <v>9</v>
      </c>
      <c r="G5" s="4" t="s">
        <v>14</v>
      </c>
      <c r="H5" s="4" t="s">
        <v>15</v>
      </c>
    </row>
    <row r="6" spans="1:8" ht="16.5">
      <c r="A6" s="1"/>
      <c r="B6" s="1"/>
      <c r="C6" s="48"/>
      <c r="D6" s="4" t="s">
        <v>16</v>
      </c>
      <c r="E6" s="14" t="s">
        <v>139</v>
      </c>
      <c r="F6" s="6" t="s">
        <v>9</v>
      </c>
      <c r="G6" s="4" t="s">
        <v>123</v>
      </c>
      <c r="H6" s="12" t="s">
        <v>122</v>
      </c>
    </row>
    <row r="7" spans="1:8" ht="15">
      <c r="A7" s="1"/>
      <c r="B7" s="1"/>
      <c r="C7" s="48"/>
      <c r="D7" s="4" t="s">
        <v>17</v>
      </c>
      <c r="E7" s="5" t="s">
        <v>18</v>
      </c>
      <c r="F7" s="6" t="s">
        <v>19</v>
      </c>
      <c r="G7" s="4">
        <v>0</v>
      </c>
      <c r="H7" s="4" t="s">
        <v>20</v>
      </c>
    </row>
    <row r="8" spans="1:8" ht="15">
      <c r="A8" s="1"/>
      <c r="B8" s="1"/>
      <c r="C8" s="48"/>
      <c r="D8" s="4" t="s">
        <v>21</v>
      </c>
      <c r="E8" s="5" t="s">
        <v>22</v>
      </c>
      <c r="F8" s="6" t="s">
        <v>23</v>
      </c>
      <c r="G8" s="4" t="s">
        <v>24</v>
      </c>
      <c r="H8" s="4" t="s">
        <v>25</v>
      </c>
    </row>
    <row r="9" spans="1:8" ht="15">
      <c r="A9" s="1"/>
      <c r="B9" s="1"/>
      <c r="C9" s="48"/>
      <c r="D9" s="4" t="s">
        <v>26</v>
      </c>
      <c r="E9" s="5" t="s">
        <v>27</v>
      </c>
      <c r="F9" s="6" t="s">
        <v>23</v>
      </c>
      <c r="G9" s="4" t="s">
        <v>24</v>
      </c>
      <c r="H9" s="4" t="s">
        <v>28</v>
      </c>
    </row>
    <row r="10" spans="1:8" ht="16.5">
      <c r="A10" s="1"/>
      <c r="B10" s="1"/>
      <c r="C10" s="48"/>
      <c r="D10" s="4" t="s">
        <v>88</v>
      </c>
      <c r="E10" s="32" t="s">
        <v>136</v>
      </c>
      <c r="F10" s="6" t="s">
        <v>9</v>
      </c>
      <c r="G10" s="4" t="s">
        <v>29</v>
      </c>
      <c r="H10" s="12" t="s">
        <v>93</v>
      </c>
    </row>
    <row r="11" spans="1:8">
      <c r="A11" s="1"/>
      <c r="B11" s="1"/>
      <c r="C11" s="48"/>
      <c r="D11" s="4" t="s">
        <v>30</v>
      </c>
      <c r="E11" s="5" t="s">
        <v>31</v>
      </c>
      <c r="F11" s="6" t="s">
        <v>9</v>
      </c>
      <c r="G11" s="4" t="s">
        <v>32</v>
      </c>
      <c r="H11" s="12" t="s">
        <v>124</v>
      </c>
    </row>
    <row r="12" spans="1:8" ht="16.5">
      <c r="A12" s="1"/>
      <c r="B12" s="1"/>
      <c r="C12" s="48"/>
      <c r="D12" s="4" t="s">
        <v>33</v>
      </c>
      <c r="E12" s="32" t="s">
        <v>137</v>
      </c>
      <c r="F12" s="6" t="s">
        <v>23</v>
      </c>
      <c r="G12" s="4" t="s">
        <v>24</v>
      </c>
      <c r="H12" s="4" t="s">
        <v>34</v>
      </c>
    </row>
    <row r="13" spans="1:8" ht="15">
      <c r="A13" s="1"/>
      <c r="B13" s="1"/>
      <c r="C13" s="48"/>
      <c r="D13" s="4" t="s">
        <v>35</v>
      </c>
      <c r="E13" s="5" t="s">
        <v>36</v>
      </c>
      <c r="F13" s="6" t="s">
        <v>23</v>
      </c>
      <c r="G13" s="4" t="s">
        <v>24</v>
      </c>
      <c r="H13" s="4" t="s">
        <v>37</v>
      </c>
    </row>
    <row r="14" spans="1:8">
      <c r="A14" s="1"/>
      <c r="B14" s="1"/>
      <c r="C14" s="48"/>
      <c r="D14" s="4" t="s">
        <v>38</v>
      </c>
      <c r="E14" s="7" t="s">
        <v>39</v>
      </c>
      <c r="F14" s="6" t="s">
        <v>23</v>
      </c>
      <c r="G14" s="4" t="s">
        <v>24</v>
      </c>
      <c r="H14" s="4" t="s">
        <v>40</v>
      </c>
    </row>
    <row r="15" spans="1:8" ht="15">
      <c r="A15" s="1"/>
      <c r="B15" s="1"/>
      <c r="C15" s="48"/>
      <c r="D15" s="4" t="s">
        <v>41</v>
      </c>
      <c r="E15" s="5" t="s">
        <v>42</v>
      </c>
      <c r="F15" s="6" t="s">
        <v>43</v>
      </c>
      <c r="G15" s="4">
        <v>0</v>
      </c>
      <c r="H15" s="4" t="s">
        <v>44</v>
      </c>
    </row>
    <row r="16" spans="1:8" ht="16.5">
      <c r="A16" s="1"/>
      <c r="B16" s="1"/>
      <c r="C16" s="48"/>
      <c r="D16" s="4" t="s">
        <v>45</v>
      </c>
      <c r="E16" s="32" t="s">
        <v>140</v>
      </c>
      <c r="F16" s="6" t="s">
        <v>43</v>
      </c>
      <c r="G16" s="4">
        <v>0</v>
      </c>
      <c r="H16" s="4" t="s">
        <v>46</v>
      </c>
    </row>
    <row r="17" spans="1:8" ht="15">
      <c r="A17" s="1"/>
      <c r="B17" s="1"/>
      <c r="C17" s="49"/>
      <c r="D17" s="4" t="s">
        <v>47</v>
      </c>
      <c r="E17" s="5" t="s">
        <v>48</v>
      </c>
      <c r="F17" s="6" t="s">
        <v>9</v>
      </c>
      <c r="G17" s="4" t="s">
        <v>49</v>
      </c>
      <c r="H17" s="4" t="s">
        <v>50</v>
      </c>
    </row>
    <row r="18" spans="1:8" ht="16.5">
      <c r="A18" s="1"/>
      <c r="B18" s="1"/>
      <c r="C18" s="8" t="s">
        <v>51</v>
      </c>
      <c r="D18" s="4" t="s">
        <v>52</v>
      </c>
      <c r="E18" s="32" t="s">
        <v>111</v>
      </c>
      <c r="F18" s="6" t="s">
        <v>23</v>
      </c>
      <c r="G18" s="4" t="s">
        <v>24</v>
      </c>
      <c r="H18" s="4" t="s">
        <v>53</v>
      </c>
    </row>
    <row r="19" spans="1:8" ht="15">
      <c r="A19" s="1"/>
      <c r="B19" s="1"/>
      <c r="C19" s="50" t="s">
        <v>70</v>
      </c>
      <c r="D19" s="4" t="s">
        <v>127</v>
      </c>
      <c r="E19" s="5" t="s">
        <v>54</v>
      </c>
      <c r="F19" s="6" t="s">
        <v>9</v>
      </c>
      <c r="G19" s="4" t="s">
        <v>55</v>
      </c>
      <c r="H19" s="4" t="s">
        <v>56</v>
      </c>
    </row>
    <row r="20" spans="1:8" ht="15">
      <c r="A20" s="1"/>
      <c r="B20" s="1"/>
      <c r="C20" s="48"/>
      <c r="D20" t="s">
        <v>103</v>
      </c>
      <c r="E20" s="5" t="s">
        <v>57</v>
      </c>
      <c r="F20" s="6" t="s">
        <v>9</v>
      </c>
      <c r="G20" s="4" t="s">
        <v>58</v>
      </c>
      <c r="H20" s="4" t="s">
        <v>59</v>
      </c>
    </row>
    <row r="21" spans="1:8" ht="15">
      <c r="A21" s="1"/>
      <c r="B21" s="1"/>
      <c r="C21" s="49"/>
      <c r="D21" s="4" t="s">
        <v>60</v>
      </c>
      <c r="E21" s="5" t="s">
        <v>61</v>
      </c>
      <c r="F21" s="6" t="s">
        <v>9</v>
      </c>
      <c r="G21" s="4" t="s">
        <v>62</v>
      </c>
      <c r="H21" s="4" t="s">
        <v>63</v>
      </c>
    </row>
    <row r="22" spans="1:8" ht="15">
      <c r="A22" s="1"/>
      <c r="B22" s="1"/>
      <c r="C22" s="9" t="s">
        <v>71</v>
      </c>
      <c r="D22" s="4" t="s">
        <v>64</v>
      </c>
      <c r="E22" s="5" t="s">
        <v>65</v>
      </c>
      <c r="F22" s="6" t="s">
        <v>23</v>
      </c>
      <c r="G22" s="4" t="s">
        <v>24</v>
      </c>
      <c r="H22" s="4" t="s">
        <v>66</v>
      </c>
    </row>
    <row r="23" spans="1:8" ht="15">
      <c r="A23" s="1"/>
      <c r="B23" s="1"/>
      <c r="C23" s="10" t="s">
        <v>72</v>
      </c>
      <c r="D23" s="4" t="s">
        <v>67</v>
      </c>
      <c r="E23" s="5" t="s">
        <v>68</v>
      </c>
      <c r="F23" s="6" t="s">
        <v>43</v>
      </c>
      <c r="G23" s="4">
        <v>0</v>
      </c>
      <c r="H23" s="4" t="s">
        <v>69</v>
      </c>
    </row>
    <row r="24" spans="1:8" ht="15">
      <c r="A24" s="1"/>
      <c r="B24" s="1"/>
    </row>
    <row r="25" spans="1:8" ht="15">
      <c r="A25" s="1"/>
      <c r="B25" s="1"/>
    </row>
    <row r="26" spans="1:8" ht="15">
      <c r="A26" s="1"/>
      <c r="B26" s="1"/>
    </row>
    <row r="27" spans="1:8" ht="15">
      <c r="A27" s="1"/>
      <c r="B27" s="1"/>
    </row>
    <row r="28" spans="1:8" ht="15">
      <c r="A28" s="1"/>
      <c r="B28" s="1"/>
    </row>
    <row r="29" spans="1:8" ht="15">
      <c r="A29" s="1"/>
      <c r="B29" s="1"/>
    </row>
    <row r="30" spans="1:8" ht="15">
      <c r="A30" s="1"/>
      <c r="B30" s="1"/>
    </row>
    <row r="31" spans="1:8" ht="15">
      <c r="A31" s="1"/>
      <c r="B31" s="1"/>
    </row>
    <row r="32" spans="1:8" ht="15">
      <c r="A32" s="1"/>
      <c r="B32" s="1"/>
    </row>
    <row r="33" spans="1:2" ht="15">
      <c r="A33" s="1"/>
      <c r="B33" s="1"/>
    </row>
    <row r="34" spans="1:2" ht="15">
      <c r="A34" s="1"/>
      <c r="B34" s="1"/>
    </row>
    <row r="35" spans="1:2" ht="15">
      <c r="A35" s="1"/>
      <c r="B35" s="1"/>
    </row>
    <row r="36" spans="1:2" ht="15">
      <c r="A36" s="1"/>
      <c r="B36" s="1"/>
    </row>
    <row r="37" spans="1:2" ht="15">
      <c r="A37" s="1"/>
      <c r="B37" s="1"/>
    </row>
    <row r="38" spans="1:2" ht="15">
      <c r="A38" s="1"/>
      <c r="B38" s="1"/>
    </row>
    <row r="39" spans="1:2" ht="15">
      <c r="A39" s="1"/>
      <c r="B39" s="1"/>
    </row>
    <row r="40" spans="1:2" ht="15">
      <c r="A40" s="1"/>
      <c r="B40" s="1"/>
    </row>
    <row r="41" spans="1:2" ht="15">
      <c r="A41" s="1"/>
      <c r="B41" s="1"/>
    </row>
    <row r="42" spans="1:2" ht="15">
      <c r="A42" s="1"/>
      <c r="B42" s="1"/>
    </row>
    <row r="43" spans="1:2" ht="15">
      <c r="A43" s="1"/>
      <c r="B43" s="1"/>
    </row>
    <row r="44" spans="1:2" ht="15">
      <c r="A44" s="1"/>
      <c r="B44" s="1"/>
    </row>
    <row r="45" spans="1:2" ht="15">
      <c r="A45" s="1"/>
      <c r="B45" s="1"/>
    </row>
    <row r="46" spans="1:2" ht="15">
      <c r="A46" s="1"/>
      <c r="B46" s="1"/>
    </row>
    <row r="47" spans="1:2" ht="15">
      <c r="A47" s="1"/>
      <c r="B47" s="1"/>
    </row>
    <row r="48" spans="1:2" ht="15">
      <c r="A48" s="1"/>
      <c r="B48" s="1"/>
    </row>
    <row r="49" spans="1:2" ht="15">
      <c r="A49" s="1"/>
      <c r="B49" s="1"/>
    </row>
    <row r="50" spans="1:2" ht="15">
      <c r="A50" s="1"/>
      <c r="B50" s="1"/>
    </row>
    <row r="51" spans="1:2" ht="15">
      <c r="A51" s="1"/>
      <c r="B51" s="1"/>
    </row>
    <row r="52" spans="1:2" ht="15">
      <c r="A52" s="1"/>
      <c r="B52" s="1"/>
    </row>
    <row r="53" spans="1:2" ht="15">
      <c r="A53" s="1"/>
      <c r="B53" s="1"/>
    </row>
    <row r="54" spans="1:2" ht="15">
      <c r="A54" s="1"/>
      <c r="B54" s="1"/>
    </row>
    <row r="55" spans="1:2" ht="15">
      <c r="A55" s="1"/>
      <c r="B55" s="1"/>
    </row>
    <row r="56" spans="1:2" ht="15">
      <c r="A56" s="1"/>
      <c r="B56" s="1"/>
    </row>
    <row r="57" spans="1:2" ht="15">
      <c r="A57" s="1"/>
      <c r="B57" s="1"/>
    </row>
    <row r="58" spans="1:2" ht="15">
      <c r="A58" s="1"/>
      <c r="B58" s="1"/>
    </row>
    <row r="59" spans="1:2" ht="15">
      <c r="A59" s="1"/>
      <c r="B59" s="1"/>
    </row>
    <row r="60" spans="1:2" ht="15">
      <c r="A60" s="1"/>
      <c r="B60" s="1"/>
    </row>
    <row r="61" spans="1:2" ht="15">
      <c r="A61" s="1"/>
      <c r="B61" s="1"/>
    </row>
    <row r="62" spans="1:2" ht="15">
      <c r="A62" s="1"/>
      <c r="B62" s="1"/>
    </row>
    <row r="63" spans="1:2" ht="15">
      <c r="A63" s="1"/>
      <c r="B63" s="1"/>
    </row>
    <row r="64" spans="1:2" ht="15">
      <c r="A64" s="1"/>
      <c r="B64" s="1"/>
    </row>
    <row r="65" spans="1:2" ht="15">
      <c r="A65" s="1"/>
      <c r="B65" s="1"/>
    </row>
    <row r="66" spans="1:2" ht="15">
      <c r="A66" s="1"/>
      <c r="B66" s="1"/>
    </row>
    <row r="67" spans="1:2" ht="15">
      <c r="A67" s="1"/>
      <c r="B67" s="1"/>
    </row>
    <row r="68" spans="1:2" ht="15">
      <c r="A68" s="1"/>
      <c r="B68" s="1"/>
    </row>
    <row r="69" spans="1:2" ht="15">
      <c r="A69" s="1"/>
      <c r="B69" s="1"/>
    </row>
    <row r="70" spans="1:2" ht="15">
      <c r="A70" s="1"/>
      <c r="B70" s="1"/>
    </row>
    <row r="71" spans="1:2" ht="15">
      <c r="A71" s="1"/>
      <c r="B71" s="1"/>
    </row>
    <row r="72" spans="1:2" ht="15">
      <c r="A72" s="1"/>
      <c r="B72" s="1"/>
    </row>
    <row r="73" spans="1:2" ht="15">
      <c r="A73" s="1"/>
      <c r="B73" s="1"/>
    </row>
    <row r="74" spans="1:2" ht="15">
      <c r="A74" s="1"/>
      <c r="B74" s="1"/>
    </row>
    <row r="75" spans="1:2" ht="15">
      <c r="A75" s="1"/>
      <c r="B75" s="1"/>
    </row>
    <row r="76" spans="1:2" ht="15">
      <c r="A76" s="1"/>
      <c r="B76" s="1"/>
    </row>
    <row r="77" spans="1:2" ht="15">
      <c r="A77" s="1"/>
      <c r="B77" s="1"/>
    </row>
    <row r="78" spans="1:2" ht="15">
      <c r="A78" s="1"/>
      <c r="B78" s="1"/>
    </row>
    <row r="79" spans="1:2" ht="15">
      <c r="A79" s="1"/>
      <c r="B79" s="1"/>
    </row>
    <row r="80" spans="1:2" ht="15">
      <c r="A80" s="1"/>
      <c r="B80" s="1"/>
    </row>
    <row r="81" spans="1:2" ht="15">
      <c r="A81" s="1"/>
      <c r="B81" s="1"/>
    </row>
    <row r="82" spans="1:2" ht="15">
      <c r="A82" s="1"/>
      <c r="B82" s="1"/>
    </row>
    <row r="83" spans="1:2" ht="15">
      <c r="A83" s="1"/>
      <c r="B83" s="1"/>
    </row>
    <row r="84" spans="1:2" ht="15">
      <c r="A84" s="1"/>
      <c r="B84" s="1"/>
    </row>
    <row r="85" spans="1:2" ht="15">
      <c r="A85" s="1"/>
      <c r="B85" s="1"/>
    </row>
    <row r="86" spans="1:2" ht="15">
      <c r="A86" s="1"/>
      <c r="B86" s="1"/>
    </row>
    <row r="87" spans="1:2" ht="15">
      <c r="A87" s="1"/>
      <c r="B87" s="1"/>
    </row>
    <row r="88" spans="1:2" ht="15">
      <c r="A88" s="1"/>
      <c r="B88" s="1"/>
    </row>
    <row r="89" spans="1:2" ht="15">
      <c r="A89" s="1"/>
      <c r="B89" s="1"/>
    </row>
    <row r="90" spans="1:2" ht="15">
      <c r="A90" s="1"/>
      <c r="B90" s="1"/>
    </row>
    <row r="91" spans="1:2" ht="15">
      <c r="A91" s="1"/>
      <c r="B91" s="1"/>
    </row>
    <row r="92" spans="1:2" ht="15">
      <c r="A92" s="1"/>
      <c r="B92" s="1"/>
    </row>
    <row r="93" spans="1:2" ht="15">
      <c r="A93" s="1"/>
      <c r="B93" s="1"/>
    </row>
    <row r="94" spans="1:2" ht="15">
      <c r="A94" s="1"/>
      <c r="B94" s="1"/>
    </row>
    <row r="95" spans="1:2" ht="15">
      <c r="A95" s="1"/>
      <c r="B95" s="1"/>
    </row>
    <row r="96" spans="1:2" ht="15">
      <c r="A96" s="1"/>
      <c r="B96" s="1"/>
    </row>
    <row r="97" spans="1:2" ht="15">
      <c r="A97" s="1"/>
      <c r="B97" s="1"/>
    </row>
    <row r="98" spans="1:2" ht="15">
      <c r="A98" s="1"/>
      <c r="B98" s="1"/>
    </row>
    <row r="99" spans="1:2" ht="15">
      <c r="A99" s="1"/>
      <c r="B99" s="1"/>
    </row>
    <row r="100" spans="1:2" ht="15">
      <c r="A100" s="1"/>
      <c r="B100" s="1"/>
    </row>
    <row r="101" spans="1:2" ht="15">
      <c r="A101" s="1"/>
      <c r="B101" s="1"/>
    </row>
    <row r="102" spans="1:2" ht="15">
      <c r="A102" s="1"/>
      <c r="B102" s="1"/>
    </row>
    <row r="103" spans="1:2" ht="15">
      <c r="A103" s="1"/>
      <c r="B103" s="1"/>
    </row>
    <row r="104" spans="1:2" ht="15">
      <c r="A104" s="1"/>
      <c r="B104" s="1"/>
    </row>
    <row r="105" spans="1:2" ht="15">
      <c r="A105" s="1"/>
      <c r="B105" s="1"/>
    </row>
    <row r="106" spans="1:2" ht="15">
      <c r="A106" s="1"/>
      <c r="B106" s="1"/>
    </row>
    <row r="107" spans="1:2" ht="15">
      <c r="A107" s="1"/>
      <c r="B107" s="1"/>
    </row>
    <row r="108" spans="1:2" ht="15">
      <c r="A108" s="1"/>
      <c r="B108" s="1"/>
    </row>
    <row r="109" spans="1:2" ht="15">
      <c r="A109" s="1"/>
      <c r="B109" s="1"/>
    </row>
    <row r="110" spans="1:2" ht="15">
      <c r="A110" s="1"/>
      <c r="B110" s="1"/>
    </row>
    <row r="111" spans="1:2" ht="15">
      <c r="A111" s="1"/>
      <c r="B111" s="1"/>
    </row>
    <row r="112" spans="1:2" ht="15">
      <c r="A112" s="1"/>
      <c r="B112" s="1"/>
    </row>
    <row r="113" spans="1:2" ht="15">
      <c r="A113" s="1"/>
      <c r="B113" s="1"/>
    </row>
    <row r="114" spans="1:2" ht="15">
      <c r="A114" s="1"/>
      <c r="B114" s="1"/>
    </row>
    <row r="115" spans="1:2" ht="15">
      <c r="A115" s="1"/>
      <c r="B115" s="1"/>
    </row>
    <row r="116" spans="1:2" ht="15">
      <c r="A116" s="1"/>
      <c r="B116" s="1"/>
    </row>
    <row r="117" spans="1:2" ht="15">
      <c r="A117" s="1"/>
      <c r="B117" s="1"/>
    </row>
    <row r="118" spans="1:2" ht="15">
      <c r="A118" s="1"/>
      <c r="B118" s="1"/>
    </row>
    <row r="119" spans="1:2" ht="15">
      <c r="A119" s="1"/>
      <c r="B119" s="1"/>
    </row>
    <row r="120" spans="1:2" ht="15">
      <c r="A120" s="1"/>
      <c r="B120" s="1"/>
    </row>
    <row r="121" spans="1:2" ht="15">
      <c r="A121" s="1"/>
      <c r="B121" s="1"/>
    </row>
    <row r="122" spans="1:2" ht="15">
      <c r="A122" s="1"/>
      <c r="B122" s="1"/>
    </row>
    <row r="123" spans="1:2" ht="15">
      <c r="A123" s="1"/>
      <c r="B123" s="1"/>
    </row>
    <row r="124" spans="1:2" ht="15">
      <c r="A124" s="1"/>
      <c r="B124" s="1"/>
    </row>
    <row r="125" spans="1:2" ht="15">
      <c r="A125" s="1"/>
      <c r="B125" s="1"/>
    </row>
    <row r="126" spans="1:2" ht="15">
      <c r="A126" s="1"/>
      <c r="B126" s="1"/>
    </row>
    <row r="127" spans="1:2" ht="15">
      <c r="A127" s="1"/>
      <c r="B127" s="1"/>
    </row>
    <row r="128" spans="1:2" ht="15">
      <c r="A128" s="1"/>
      <c r="B128" s="1"/>
    </row>
    <row r="129" spans="1:2" ht="15">
      <c r="A129" s="1"/>
      <c r="B129" s="1"/>
    </row>
    <row r="130" spans="1:2" ht="15">
      <c r="A130" s="1"/>
      <c r="B130" s="1"/>
    </row>
    <row r="131" spans="1:2" ht="15">
      <c r="A131" s="1"/>
      <c r="B131" s="1"/>
    </row>
    <row r="132" spans="1:2" ht="15">
      <c r="A132" s="1"/>
      <c r="B132" s="1"/>
    </row>
    <row r="133" spans="1:2" ht="15">
      <c r="A133" s="1"/>
      <c r="B133" s="1"/>
    </row>
    <row r="134" spans="1:2" ht="15">
      <c r="A134" s="1"/>
      <c r="B134" s="1"/>
    </row>
    <row r="135" spans="1:2" ht="15">
      <c r="A135" s="1"/>
      <c r="B135" s="1"/>
    </row>
    <row r="136" spans="1:2" ht="15">
      <c r="A136" s="1"/>
      <c r="B136" s="1"/>
    </row>
    <row r="137" spans="1:2" ht="15">
      <c r="A137" s="1"/>
      <c r="B137" s="1"/>
    </row>
    <row r="138" spans="1:2" ht="15">
      <c r="A138" s="1"/>
      <c r="B138" s="1"/>
    </row>
    <row r="139" spans="1:2" ht="15">
      <c r="A139" s="1"/>
      <c r="B139" s="1"/>
    </row>
    <row r="140" spans="1:2" ht="15">
      <c r="A140" s="1"/>
      <c r="B140" s="1"/>
    </row>
    <row r="141" spans="1:2" ht="15">
      <c r="A141" s="1"/>
      <c r="B141" s="1"/>
    </row>
    <row r="142" spans="1:2" ht="15">
      <c r="A142" s="1"/>
      <c r="B142" s="1"/>
    </row>
    <row r="143" spans="1:2" ht="15">
      <c r="A143" s="1"/>
      <c r="B143" s="1"/>
    </row>
    <row r="144" spans="1:2" ht="15">
      <c r="A144" s="1"/>
      <c r="B144" s="1"/>
    </row>
    <row r="145" spans="1:2" ht="15">
      <c r="A145" s="1"/>
      <c r="B145" s="1"/>
    </row>
    <row r="146" spans="1:2" ht="15">
      <c r="A146" s="1"/>
      <c r="B146" s="1"/>
    </row>
    <row r="147" spans="1:2" ht="15">
      <c r="A147" s="1"/>
      <c r="B147" s="1"/>
    </row>
    <row r="148" spans="1:2" ht="15">
      <c r="A148" s="1"/>
      <c r="B148" s="1"/>
    </row>
    <row r="149" spans="1:2" ht="15">
      <c r="A149" s="1"/>
      <c r="B149" s="1"/>
    </row>
    <row r="150" spans="1:2" ht="15">
      <c r="A150" s="1"/>
      <c r="B150" s="1"/>
    </row>
    <row r="151" spans="1:2" ht="15">
      <c r="A151" s="1"/>
      <c r="B151" s="1"/>
    </row>
    <row r="152" spans="1:2" ht="15">
      <c r="A152" s="1"/>
      <c r="B152" s="1"/>
    </row>
    <row r="153" spans="1:2" ht="15">
      <c r="A153" s="1"/>
      <c r="B153" s="1"/>
    </row>
    <row r="154" spans="1:2" ht="15">
      <c r="A154" s="1"/>
      <c r="B154" s="1"/>
    </row>
    <row r="155" spans="1:2" ht="15">
      <c r="A155" s="1"/>
      <c r="B155" s="1"/>
    </row>
    <row r="156" spans="1:2" ht="15">
      <c r="A156" s="1"/>
      <c r="B156" s="1"/>
    </row>
    <row r="157" spans="1:2" ht="15">
      <c r="A157" s="1"/>
      <c r="B157" s="1"/>
    </row>
    <row r="158" spans="1:2" ht="15">
      <c r="A158" s="1"/>
      <c r="B158" s="1"/>
    </row>
    <row r="159" spans="1:2" ht="15">
      <c r="A159" s="1"/>
      <c r="B159" s="1"/>
    </row>
    <row r="160" spans="1:2" ht="15">
      <c r="A160" s="1"/>
      <c r="B160" s="1"/>
    </row>
    <row r="161" spans="1:2" ht="15">
      <c r="A161" s="1"/>
      <c r="B161" s="1"/>
    </row>
    <row r="162" spans="1:2" ht="15">
      <c r="A162" s="1"/>
      <c r="B162" s="1"/>
    </row>
    <row r="163" spans="1:2" ht="15">
      <c r="A163" s="1"/>
      <c r="B163" s="1"/>
    </row>
    <row r="164" spans="1:2" ht="15">
      <c r="A164" s="1"/>
      <c r="B164" s="1"/>
    </row>
    <row r="165" spans="1:2" ht="15">
      <c r="A165" s="1"/>
      <c r="B165" s="1"/>
    </row>
    <row r="166" spans="1:2" ht="15">
      <c r="A166" s="1"/>
      <c r="B166" s="1"/>
    </row>
    <row r="167" spans="1:2" ht="15">
      <c r="A167" s="1"/>
      <c r="B167" s="1"/>
    </row>
    <row r="168" spans="1:2" ht="15">
      <c r="A168" s="1"/>
      <c r="B168" s="1"/>
    </row>
    <row r="169" spans="1:2" ht="15">
      <c r="A169" s="1"/>
      <c r="B169" s="1"/>
    </row>
    <row r="170" spans="1:2" ht="15">
      <c r="A170" s="1"/>
      <c r="B170" s="1"/>
    </row>
    <row r="171" spans="1:2" ht="15">
      <c r="A171" s="1"/>
      <c r="B171" s="1"/>
    </row>
    <row r="172" spans="1:2" ht="15">
      <c r="A172" s="1"/>
      <c r="B172" s="1"/>
    </row>
    <row r="173" spans="1:2" ht="15">
      <c r="A173" s="1"/>
      <c r="B173" s="1"/>
    </row>
    <row r="174" spans="1:2" ht="15">
      <c r="A174" s="1"/>
      <c r="B174" s="1"/>
    </row>
    <row r="175" spans="1:2" ht="15">
      <c r="A175" s="1"/>
      <c r="B175" s="1"/>
    </row>
    <row r="176" spans="1:2" ht="15">
      <c r="A176" s="1"/>
      <c r="B176" s="1"/>
    </row>
    <row r="177" spans="1:2" ht="15">
      <c r="A177" s="1"/>
      <c r="B177" s="1"/>
    </row>
    <row r="178" spans="1:2" ht="15">
      <c r="A178" s="1"/>
      <c r="B178" s="1"/>
    </row>
    <row r="179" spans="1:2" ht="15">
      <c r="A179" s="1"/>
      <c r="B179" s="1"/>
    </row>
    <row r="180" spans="1:2" ht="15">
      <c r="A180" s="1"/>
      <c r="B180" s="1"/>
    </row>
    <row r="181" spans="1:2" ht="15">
      <c r="A181" s="1"/>
      <c r="B181" s="1"/>
    </row>
    <row r="182" spans="1:2" ht="15">
      <c r="A182" s="1"/>
      <c r="B182" s="1"/>
    </row>
    <row r="183" spans="1:2" ht="15">
      <c r="A183" s="1"/>
      <c r="B183" s="1"/>
    </row>
    <row r="184" spans="1:2" ht="15">
      <c r="A184" s="1"/>
      <c r="B184" s="1"/>
    </row>
    <row r="185" spans="1:2" ht="15">
      <c r="A185" s="1"/>
      <c r="B185" s="1"/>
    </row>
    <row r="186" spans="1:2" ht="15">
      <c r="A186" s="1"/>
      <c r="B186" s="1"/>
    </row>
    <row r="187" spans="1:2" ht="15">
      <c r="A187" s="1"/>
      <c r="B187" s="1"/>
    </row>
    <row r="188" spans="1:2" ht="15">
      <c r="A188" s="1"/>
      <c r="B188" s="1"/>
    </row>
    <row r="189" spans="1:2" ht="15">
      <c r="A189" s="1"/>
      <c r="B189" s="1"/>
    </row>
    <row r="190" spans="1:2" ht="15">
      <c r="A190" s="1"/>
      <c r="B190" s="1"/>
    </row>
    <row r="191" spans="1:2" ht="15">
      <c r="A191" s="1"/>
      <c r="B191" s="1"/>
    </row>
    <row r="192" spans="1:2" ht="15">
      <c r="A192" s="1"/>
      <c r="B192" s="1"/>
    </row>
    <row r="193" spans="1:2" ht="15">
      <c r="A193" s="1"/>
      <c r="B193" s="1"/>
    </row>
    <row r="194" spans="1:2" ht="15">
      <c r="A194" s="1"/>
      <c r="B194" s="1"/>
    </row>
    <row r="195" spans="1:2" ht="15">
      <c r="A195" s="1"/>
      <c r="B195" s="1"/>
    </row>
    <row r="196" spans="1:2" ht="15">
      <c r="A196" s="1"/>
      <c r="B196" s="1"/>
    </row>
    <row r="197" spans="1:2" ht="15">
      <c r="A197" s="1"/>
      <c r="B197" s="1"/>
    </row>
    <row r="198" spans="1:2" ht="15">
      <c r="A198" s="1"/>
      <c r="B198" s="1"/>
    </row>
    <row r="199" spans="1:2" ht="15">
      <c r="A199" s="1"/>
      <c r="B199" s="1"/>
    </row>
    <row r="200" spans="1:2" ht="15">
      <c r="A200" s="1"/>
      <c r="B200" s="1"/>
    </row>
    <row r="201" spans="1:2" ht="15">
      <c r="A201" s="1"/>
      <c r="B201" s="1"/>
    </row>
    <row r="202" spans="1:2" ht="15">
      <c r="A202" s="1"/>
      <c r="B202" s="1"/>
    </row>
    <row r="203" spans="1:2" ht="15">
      <c r="A203" s="1"/>
      <c r="B203" s="1"/>
    </row>
    <row r="204" spans="1:2" ht="15">
      <c r="A204" s="1"/>
      <c r="B204" s="1"/>
    </row>
    <row r="205" spans="1:2" ht="15">
      <c r="A205" s="1"/>
      <c r="B205" s="1"/>
    </row>
    <row r="206" spans="1:2" ht="15">
      <c r="A206" s="1"/>
      <c r="B206" s="1"/>
    </row>
    <row r="207" spans="1:2" ht="15">
      <c r="A207" s="1"/>
      <c r="B207" s="1"/>
    </row>
    <row r="208" spans="1:2" ht="15">
      <c r="A208" s="1"/>
      <c r="B208" s="1"/>
    </row>
    <row r="209" spans="1:2" ht="15">
      <c r="A209" s="1"/>
      <c r="B209" s="1"/>
    </row>
    <row r="210" spans="1:2" ht="15">
      <c r="A210" s="1"/>
      <c r="B210" s="1"/>
    </row>
    <row r="211" spans="1:2" ht="15">
      <c r="A211" s="1"/>
      <c r="B211" s="1"/>
    </row>
    <row r="212" spans="1:2" ht="15">
      <c r="A212" s="1"/>
      <c r="B212" s="1"/>
    </row>
    <row r="213" spans="1:2" ht="15">
      <c r="A213" s="1"/>
      <c r="B213" s="1"/>
    </row>
    <row r="214" spans="1:2" ht="15">
      <c r="A214" s="1"/>
      <c r="B214" s="1"/>
    </row>
    <row r="215" spans="1:2" ht="15">
      <c r="A215" s="1"/>
      <c r="B215" s="1"/>
    </row>
    <row r="216" spans="1:2" ht="15">
      <c r="A216" s="1"/>
      <c r="B216" s="1"/>
    </row>
    <row r="217" spans="1:2" ht="15">
      <c r="A217" s="1"/>
      <c r="B217" s="1"/>
    </row>
    <row r="218" spans="1:2" ht="15">
      <c r="A218" s="1"/>
      <c r="B218" s="1"/>
    </row>
    <row r="219" spans="1:2" ht="15">
      <c r="A219" s="1"/>
      <c r="B219" s="1"/>
    </row>
    <row r="220" spans="1:2" ht="15">
      <c r="A220" s="1"/>
      <c r="B220" s="1"/>
    </row>
    <row r="221" spans="1:2" ht="15">
      <c r="A221" s="1"/>
      <c r="B221" s="1"/>
    </row>
    <row r="222" spans="1:2" ht="15">
      <c r="A222" s="1"/>
      <c r="B222" s="1"/>
    </row>
    <row r="223" spans="1:2" ht="15">
      <c r="A223" s="1"/>
      <c r="B223" s="1"/>
    </row>
    <row r="224" spans="1:2" ht="15">
      <c r="A224" s="1"/>
      <c r="B224" s="1"/>
    </row>
    <row r="225" spans="1:2" ht="15">
      <c r="A225" s="1"/>
      <c r="B225" s="1"/>
    </row>
    <row r="226" spans="1:2" ht="15">
      <c r="A226" s="1"/>
      <c r="B226" s="1"/>
    </row>
    <row r="227" spans="1:2" ht="15">
      <c r="A227" s="1"/>
      <c r="B227" s="1"/>
    </row>
    <row r="228" spans="1:2" ht="15">
      <c r="A228" s="1"/>
      <c r="B228" s="1"/>
    </row>
    <row r="229" spans="1:2" ht="15">
      <c r="A229" s="1"/>
      <c r="B229" s="1"/>
    </row>
    <row r="230" spans="1:2" ht="15">
      <c r="A230" s="1"/>
      <c r="B230" s="1"/>
    </row>
    <row r="231" spans="1:2" ht="15">
      <c r="A231" s="1"/>
      <c r="B231" s="1"/>
    </row>
    <row r="232" spans="1:2" ht="15">
      <c r="A232" s="1"/>
      <c r="B232" s="1"/>
    </row>
    <row r="233" spans="1:2" ht="15">
      <c r="A233" s="1"/>
      <c r="B233" s="1"/>
    </row>
    <row r="234" spans="1:2" ht="15">
      <c r="A234" s="1"/>
      <c r="B234" s="1"/>
    </row>
    <row r="235" spans="1:2" ht="15">
      <c r="A235" s="1"/>
      <c r="B235" s="1"/>
    </row>
    <row r="236" spans="1:2" ht="15">
      <c r="A236" s="1"/>
      <c r="B236" s="1"/>
    </row>
    <row r="237" spans="1:2" ht="15">
      <c r="A237" s="1"/>
      <c r="B237" s="1"/>
    </row>
    <row r="238" spans="1:2" ht="15">
      <c r="A238" s="1"/>
      <c r="B238" s="1"/>
    </row>
    <row r="239" spans="1:2" ht="15">
      <c r="A239" s="1"/>
      <c r="B239" s="1"/>
    </row>
    <row r="240" spans="1:2" ht="15">
      <c r="A240" s="1"/>
      <c r="B240" s="1"/>
    </row>
    <row r="241" spans="1:2" ht="15">
      <c r="A241" s="1"/>
      <c r="B241" s="1"/>
    </row>
    <row r="242" spans="1:2" ht="15">
      <c r="A242" s="1"/>
      <c r="B242" s="1"/>
    </row>
    <row r="243" spans="1:2" ht="15">
      <c r="A243" s="1"/>
      <c r="B243" s="1"/>
    </row>
    <row r="244" spans="1:2" ht="15">
      <c r="A244" s="1"/>
      <c r="B244" s="1"/>
    </row>
    <row r="245" spans="1:2" ht="15">
      <c r="A245" s="1"/>
      <c r="B245" s="1"/>
    </row>
    <row r="246" spans="1:2" ht="15">
      <c r="A246" s="1"/>
      <c r="B246" s="1"/>
    </row>
    <row r="247" spans="1:2" ht="15">
      <c r="A247" s="1"/>
      <c r="B247" s="1"/>
    </row>
    <row r="248" spans="1:2" ht="15">
      <c r="A248" s="1"/>
      <c r="B248" s="1"/>
    </row>
    <row r="249" spans="1:2" ht="15">
      <c r="A249" s="1"/>
      <c r="B249" s="1"/>
    </row>
    <row r="250" spans="1:2" ht="15">
      <c r="A250" s="1"/>
      <c r="B250" s="1"/>
    </row>
    <row r="251" spans="1:2" ht="15">
      <c r="A251" s="1"/>
      <c r="B251" s="1"/>
    </row>
    <row r="252" spans="1:2" ht="15">
      <c r="A252" s="1"/>
      <c r="B252" s="1"/>
    </row>
    <row r="253" spans="1:2" ht="15">
      <c r="A253" s="1"/>
      <c r="B253" s="1"/>
    </row>
    <row r="254" spans="1:2" ht="15">
      <c r="A254" s="1"/>
      <c r="B254" s="1"/>
    </row>
    <row r="255" spans="1:2" ht="15">
      <c r="A255" s="1"/>
      <c r="B255" s="1"/>
    </row>
    <row r="256" spans="1:2" ht="15">
      <c r="A256" s="1"/>
      <c r="B256" s="1"/>
    </row>
    <row r="257" spans="1:2" ht="15">
      <c r="A257" s="1"/>
      <c r="B257" s="1"/>
    </row>
    <row r="258" spans="1:2" ht="15">
      <c r="A258" s="1"/>
      <c r="B258" s="1"/>
    </row>
    <row r="259" spans="1:2" ht="15">
      <c r="A259" s="1"/>
      <c r="B259" s="1"/>
    </row>
    <row r="260" spans="1:2" ht="15">
      <c r="A260" s="1"/>
      <c r="B260" s="1"/>
    </row>
    <row r="261" spans="1:2" ht="15">
      <c r="A261" s="1"/>
      <c r="B261" s="1"/>
    </row>
    <row r="262" spans="1:2" ht="15">
      <c r="A262" s="1"/>
      <c r="B262" s="1"/>
    </row>
    <row r="263" spans="1:2" ht="15">
      <c r="A263" s="1"/>
      <c r="B263" s="1"/>
    </row>
    <row r="264" spans="1:2" ht="15">
      <c r="A264" s="1"/>
      <c r="B264" s="1"/>
    </row>
    <row r="265" spans="1:2" ht="15">
      <c r="A265" s="1"/>
      <c r="B265" s="1"/>
    </row>
    <row r="266" spans="1:2" ht="15">
      <c r="A266" s="1"/>
      <c r="B266" s="1"/>
    </row>
    <row r="267" spans="1:2" ht="15">
      <c r="A267" s="1"/>
      <c r="B267" s="1"/>
    </row>
    <row r="268" spans="1:2" ht="15">
      <c r="A268" s="1"/>
      <c r="B268" s="1"/>
    </row>
    <row r="269" spans="1:2" ht="15">
      <c r="A269" s="1"/>
      <c r="B269" s="1"/>
    </row>
    <row r="270" spans="1:2" ht="15">
      <c r="A270" s="1"/>
      <c r="B270" s="1"/>
    </row>
    <row r="271" spans="1:2" ht="15">
      <c r="A271" s="1"/>
      <c r="B271" s="1"/>
    </row>
    <row r="272" spans="1:2" ht="15">
      <c r="A272" s="1"/>
      <c r="B272" s="1"/>
    </row>
    <row r="273" spans="1:2" ht="15">
      <c r="A273" s="1"/>
      <c r="B273" s="1"/>
    </row>
    <row r="274" spans="1:2" ht="15">
      <c r="A274" s="1"/>
      <c r="B274" s="1"/>
    </row>
    <row r="275" spans="1:2" ht="15">
      <c r="A275" s="1"/>
      <c r="B275" s="1"/>
    </row>
    <row r="276" spans="1:2" ht="15">
      <c r="A276" s="1"/>
      <c r="B276" s="1"/>
    </row>
    <row r="277" spans="1:2" ht="15">
      <c r="A277" s="1"/>
      <c r="B277" s="1"/>
    </row>
    <row r="278" spans="1:2" ht="15">
      <c r="A278" s="1"/>
      <c r="B278" s="1"/>
    </row>
    <row r="279" spans="1:2" ht="15">
      <c r="A279" s="1"/>
      <c r="B279" s="1"/>
    </row>
    <row r="280" spans="1:2" ht="15">
      <c r="A280" s="1"/>
      <c r="B280" s="1"/>
    </row>
    <row r="281" spans="1:2" ht="15">
      <c r="A281" s="1"/>
      <c r="B281" s="1"/>
    </row>
    <row r="282" spans="1:2" ht="15">
      <c r="A282" s="1"/>
      <c r="B282" s="1"/>
    </row>
    <row r="283" spans="1:2" ht="15">
      <c r="A283" s="1"/>
      <c r="B283" s="1"/>
    </row>
    <row r="284" spans="1:2" ht="15">
      <c r="A284" s="1"/>
      <c r="B284" s="1"/>
    </row>
    <row r="285" spans="1:2" ht="15">
      <c r="A285" s="1"/>
      <c r="B285" s="1"/>
    </row>
    <row r="286" spans="1:2" ht="15">
      <c r="A286" s="1"/>
      <c r="B286" s="1"/>
    </row>
    <row r="287" spans="1:2" ht="15">
      <c r="A287" s="1"/>
      <c r="B287" s="1"/>
    </row>
    <row r="288" spans="1:2" ht="15">
      <c r="A288" s="1"/>
      <c r="B288" s="1"/>
    </row>
    <row r="289" spans="1:2" ht="15">
      <c r="A289" s="1"/>
      <c r="B289" s="1"/>
    </row>
    <row r="290" spans="1:2" ht="15">
      <c r="A290" s="1"/>
      <c r="B290" s="1"/>
    </row>
    <row r="291" spans="1:2" ht="15">
      <c r="A291" s="1"/>
      <c r="B291" s="1"/>
    </row>
    <row r="292" spans="1:2" ht="15">
      <c r="A292" s="1"/>
      <c r="B292" s="1"/>
    </row>
    <row r="293" spans="1:2" ht="15">
      <c r="A293" s="1"/>
      <c r="B293" s="1"/>
    </row>
    <row r="294" spans="1:2" ht="15">
      <c r="A294" s="1"/>
      <c r="B294" s="1"/>
    </row>
    <row r="295" spans="1:2" ht="15">
      <c r="A295" s="1"/>
      <c r="B295" s="1"/>
    </row>
    <row r="296" spans="1:2" ht="15">
      <c r="A296" s="1"/>
      <c r="B296" s="1"/>
    </row>
    <row r="297" spans="1:2" ht="15">
      <c r="A297" s="1"/>
      <c r="B297" s="1"/>
    </row>
    <row r="298" spans="1:2" ht="15">
      <c r="A298" s="1"/>
      <c r="B298" s="1"/>
    </row>
    <row r="299" spans="1:2" ht="15">
      <c r="A299" s="1"/>
      <c r="B299" s="1"/>
    </row>
    <row r="300" spans="1:2" ht="15">
      <c r="A300" s="1"/>
      <c r="B300" s="1"/>
    </row>
    <row r="301" spans="1:2" ht="15">
      <c r="A301" s="1"/>
      <c r="B301" s="1"/>
    </row>
    <row r="302" spans="1:2" ht="15">
      <c r="A302" s="1"/>
      <c r="B302" s="1"/>
    </row>
    <row r="303" spans="1:2" ht="15">
      <c r="A303" s="1"/>
      <c r="B303" s="1"/>
    </row>
    <row r="304" spans="1:2" ht="15">
      <c r="A304" s="1"/>
      <c r="B304" s="1"/>
    </row>
    <row r="305" spans="1:2" ht="15">
      <c r="A305" s="1"/>
      <c r="B305" s="1"/>
    </row>
    <row r="306" spans="1:2" ht="15">
      <c r="A306" s="1"/>
      <c r="B306" s="1"/>
    </row>
    <row r="307" spans="1:2" ht="15">
      <c r="A307" s="1"/>
      <c r="B307" s="1"/>
    </row>
    <row r="308" spans="1:2" ht="15">
      <c r="A308" s="1"/>
      <c r="B308" s="1"/>
    </row>
    <row r="309" spans="1:2" ht="15">
      <c r="A309" s="1"/>
      <c r="B309" s="1"/>
    </row>
    <row r="310" spans="1:2" ht="15">
      <c r="A310" s="1"/>
      <c r="B310" s="1"/>
    </row>
    <row r="311" spans="1:2" ht="15">
      <c r="A311" s="1"/>
      <c r="B311" s="1"/>
    </row>
    <row r="312" spans="1:2" ht="15">
      <c r="A312" s="1"/>
      <c r="B312" s="1"/>
    </row>
    <row r="313" spans="1:2" ht="15">
      <c r="A313" s="1"/>
      <c r="B313" s="1"/>
    </row>
    <row r="314" spans="1:2" ht="15">
      <c r="A314" s="1"/>
      <c r="B314" s="1"/>
    </row>
    <row r="315" spans="1:2" ht="15">
      <c r="A315" s="1"/>
      <c r="B315" s="1"/>
    </row>
    <row r="316" spans="1:2" ht="15">
      <c r="A316" s="1"/>
      <c r="B316" s="1"/>
    </row>
    <row r="317" spans="1:2" ht="15">
      <c r="A317" s="1"/>
      <c r="B317" s="1"/>
    </row>
    <row r="318" spans="1:2" ht="15">
      <c r="A318" s="1"/>
      <c r="B318" s="1"/>
    </row>
    <row r="319" spans="1:2" ht="15">
      <c r="A319" s="1"/>
      <c r="B319" s="1"/>
    </row>
    <row r="320" spans="1:2" ht="15">
      <c r="A320" s="1"/>
      <c r="B320" s="1"/>
    </row>
    <row r="321" spans="1:2" ht="15">
      <c r="A321" s="1"/>
      <c r="B321" s="1"/>
    </row>
    <row r="322" spans="1:2" ht="15">
      <c r="A322" s="1"/>
      <c r="B322" s="1"/>
    </row>
    <row r="323" spans="1:2" ht="15">
      <c r="A323" s="1"/>
      <c r="B323" s="1"/>
    </row>
    <row r="324" spans="1:2" ht="15">
      <c r="A324" s="1"/>
      <c r="B324" s="1"/>
    </row>
    <row r="325" spans="1:2" ht="15">
      <c r="A325" s="1"/>
      <c r="B325" s="1"/>
    </row>
    <row r="326" spans="1:2" ht="15">
      <c r="A326" s="1"/>
      <c r="B326" s="1"/>
    </row>
    <row r="327" spans="1:2" ht="15">
      <c r="A327" s="1"/>
      <c r="B327" s="1"/>
    </row>
    <row r="328" spans="1:2" ht="15">
      <c r="A328" s="1"/>
      <c r="B328" s="1"/>
    </row>
    <row r="329" spans="1:2" ht="15">
      <c r="A329" s="1"/>
      <c r="B329" s="1"/>
    </row>
    <row r="330" spans="1:2" ht="15">
      <c r="A330" s="1"/>
      <c r="B330" s="1"/>
    </row>
    <row r="331" spans="1:2" ht="15">
      <c r="A331" s="1"/>
      <c r="B331" s="1"/>
    </row>
    <row r="332" spans="1:2" ht="15">
      <c r="A332" s="1"/>
      <c r="B332" s="1"/>
    </row>
    <row r="333" spans="1:2" ht="15">
      <c r="A333" s="1"/>
      <c r="B333" s="1"/>
    </row>
    <row r="334" spans="1:2" ht="15">
      <c r="A334" s="1"/>
      <c r="B334" s="1"/>
    </row>
    <row r="335" spans="1:2" ht="15">
      <c r="A335" s="1"/>
      <c r="B335" s="1"/>
    </row>
    <row r="336" spans="1:2" ht="15">
      <c r="A336" s="1"/>
      <c r="B336" s="1"/>
    </row>
    <row r="337" spans="1:2" ht="15">
      <c r="A337" s="1"/>
      <c r="B337" s="1"/>
    </row>
    <row r="338" spans="1:2" ht="15">
      <c r="A338" s="1"/>
      <c r="B338" s="1"/>
    </row>
    <row r="339" spans="1:2" ht="15">
      <c r="A339" s="1"/>
      <c r="B339" s="1"/>
    </row>
    <row r="340" spans="1:2" ht="15">
      <c r="A340" s="1"/>
      <c r="B340" s="1"/>
    </row>
    <row r="341" spans="1:2" ht="15">
      <c r="A341" s="1"/>
      <c r="B341" s="1"/>
    </row>
    <row r="342" spans="1:2" ht="15">
      <c r="A342" s="1"/>
      <c r="B342" s="1"/>
    </row>
    <row r="343" spans="1:2" ht="15">
      <c r="A343" s="1"/>
      <c r="B343" s="1"/>
    </row>
    <row r="344" spans="1:2" ht="15">
      <c r="A344" s="1"/>
      <c r="B344" s="1"/>
    </row>
    <row r="345" spans="1:2" ht="15">
      <c r="A345" s="1"/>
      <c r="B345" s="1"/>
    </row>
    <row r="346" spans="1:2" ht="15">
      <c r="A346" s="1"/>
      <c r="B346" s="1"/>
    </row>
    <row r="347" spans="1:2" ht="15">
      <c r="A347" s="1"/>
      <c r="B347" s="1"/>
    </row>
    <row r="348" spans="1:2" ht="15">
      <c r="A348" s="1"/>
      <c r="B348" s="1"/>
    </row>
    <row r="349" spans="1:2" ht="15">
      <c r="A349" s="1"/>
      <c r="B349" s="1"/>
    </row>
    <row r="350" spans="1:2" ht="15">
      <c r="A350" s="1"/>
      <c r="B350" s="1"/>
    </row>
    <row r="351" spans="1:2" ht="15">
      <c r="A351" s="1"/>
      <c r="B351" s="1"/>
    </row>
    <row r="352" spans="1:2" ht="15">
      <c r="A352" s="1"/>
      <c r="B352" s="1"/>
    </row>
    <row r="353" spans="1:2" ht="15">
      <c r="A353" s="1"/>
      <c r="B353" s="1"/>
    </row>
    <row r="354" spans="1:2" ht="15">
      <c r="A354" s="1"/>
      <c r="B354" s="1"/>
    </row>
    <row r="355" spans="1:2" ht="15">
      <c r="A355" s="1"/>
      <c r="B355" s="1"/>
    </row>
    <row r="356" spans="1:2" ht="15">
      <c r="A356" s="1"/>
      <c r="B356" s="1"/>
    </row>
    <row r="357" spans="1:2" ht="15">
      <c r="A357" s="1"/>
      <c r="B357" s="1"/>
    </row>
    <row r="358" spans="1:2" ht="15">
      <c r="A358" s="1"/>
      <c r="B358" s="1"/>
    </row>
    <row r="359" spans="1:2" ht="15">
      <c r="A359" s="1"/>
      <c r="B359" s="1"/>
    </row>
    <row r="360" spans="1:2" ht="15">
      <c r="A360" s="1"/>
      <c r="B360" s="1"/>
    </row>
    <row r="361" spans="1:2" ht="15">
      <c r="A361" s="1"/>
      <c r="B361" s="1"/>
    </row>
    <row r="362" spans="1:2" ht="15">
      <c r="A362" s="1"/>
      <c r="B362" s="1"/>
    </row>
    <row r="363" spans="1:2" ht="15">
      <c r="A363" s="1"/>
      <c r="B363" s="1"/>
    </row>
    <row r="364" spans="1:2" ht="15">
      <c r="A364" s="1"/>
      <c r="B364" s="1"/>
    </row>
    <row r="365" spans="1:2" ht="15">
      <c r="A365" s="1"/>
      <c r="B365" s="1"/>
    </row>
    <row r="366" spans="1:2" ht="15">
      <c r="A366" s="1"/>
      <c r="B366" s="1"/>
    </row>
    <row r="367" spans="1:2" ht="15">
      <c r="A367" s="1"/>
      <c r="B367" s="1"/>
    </row>
    <row r="368" spans="1:2" ht="15">
      <c r="A368" s="1"/>
      <c r="B368" s="1"/>
    </row>
    <row r="369" spans="1:2" ht="15">
      <c r="A369" s="1"/>
      <c r="B369" s="1"/>
    </row>
    <row r="370" spans="1:2" ht="15">
      <c r="A370" s="1"/>
      <c r="B370" s="1"/>
    </row>
    <row r="371" spans="1:2" ht="15">
      <c r="A371" s="1"/>
      <c r="B371" s="1"/>
    </row>
    <row r="372" spans="1:2" ht="15">
      <c r="A372" s="1"/>
      <c r="B372" s="1"/>
    </row>
    <row r="373" spans="1:2" ht="15">
      <c r="A373" s="1"/>
      <c r="B373" s="1"/>
    </row>
    <row r="374" spans="1:2" ht="15">
      <c r="A374" s="1"/>
      <c r="B374" s="1"/>
    </row>
    <row r="375" spans="1:2" ht="15">
      <c r="A375" s="1"/>
      <c r="B375" s="1"/>
    </row>
    <row r="376" spans="1:2" ht="15">
      <c r="A376" s="1"/>
      <c r="B376" s="1"/>
    </row>
    <row r="377" spans="1:2" ht="15">
      <c r="A377" s="1"/>
      <c r="B377" s="1"/>
    </row>
    <row r="378" spans="1:2" ht="15">
      <c r="A378" s="1"/>
      <c r="B378" s="1"/>
    </row>
    <row r="379" spans="1:2" ht="15">
      <c r="A379" s="1"/>
      <c r="B379" s="1"/>
    </row>
    <row r="380" spans="1:2" ht="15">
      <c r="A380" s="1"/>
      <c r="B380" s="1"/>
    </row>
    <row r="381" spans="1:2" ht="15">
      <c r="A381" s="1"/>
      <c r="B381" s="1"/>
    </row>
    <row r="382" spans="1:2" ht="15">
      <c r="A382" s="1"/>
      <c r="B382" s="1"/>
    </row>
    <row r="383" spans="1:2" ht="15">
      <c r="A383" s="1"/>
      <c r="B383" s="1"/>
    </row>
    <row r="384" spans="1:2" ht="15">
      <c r="A384" s="1"/>
      <c r="B384" s="1"/>
    </row>
    <row r="385" spans="1:2" ht="15">
      <c r="A385" s="1"/>
      <c r="B385" s="1"/>
    </row>
    <row r="386" spans="1:2" ht="15">
      <c r="A386" s="1"/>
      <c r="B386" s="1"/>
    </row>
    <row r="387" spans="1:2" ht="15">
      <c r="A387" s="1"/>
      <c r="B387" s="1"/>
    </row>
    <row r="388" spans="1:2" ht="15">
      <c r="A388" s="1"/>
      <c r="B388" s="1"/>
    </row>
    <row r="389" spans="1:2" ht="15">
      <c r="A389" s="1"/>
      <c r="B389" s="1"/>
    </row>
    <row r="390" spans="1:2" ht="15">
      <c r="A390" s="1"/>
      <c r="B390" s="1"/>
    </row>
    <row r="391" spans="1:2" ht="15">
      <c r="A391" s="1"/>
      <c r="B391" s="1"/>
    </row>
    <row r="392" spans="1:2" ht="15">
      <c r="A392" s="1"/>
      <c r="B392" s="1"/>
    </row>
    <row r="393" spans="1:2" ht="15">
      <c r="A393" s="1"/>
      <c r="B393" s="1"/>
    </row>
    <row r="394" spans="1:2" ht="15">
      <c r="A394" s="1"/>
      <c r="B394" s="1"/>
    </row>
    <row r="395" spans="1:2" ht="15">
      <c r="A395" s="1"/>
      <c r="B395" s="1"/>
    </row>
    <row r="396" spans="1:2" ht="15">
      <c r="A396" s="1"/>
      <c r="B396" s="1"/>
    </row>
    <row r="397" spans="1:2" ht="15">
      <c r="A397" s="1"/>
      <c r="B397" s="1"/>
    </row>
    <row r="398" spans="1:2" ht="15">
      <c r="A398" s="1"/>
      <c r="B398" s="1"/>
    </row>
    <row r="399" spans="1:2" ht="15">
      <c r="A399" s="1"/>
      <c r="B399" s="1"/>
    </row>
    <row r="400" spans="1:2" ht="15">
      <c r="A400" s="1"/>
      <c r="B400" s="1"/>
    </row>
    <row r="401" spans="1:2" ht="15">
      <c r="A401" s="1"/>
      <c r="B401" s="1"/>
    </row>
    <row r="402" spans="1:2" ht="15">
      <c r="A402" s="1"/>
      <c r="B402" s="1"/>
    </row>
    <row r="403" spans="1:2" ht="15">
      <c r="A403" s="1"/>
      <c r="B403" s="1"/>
    </row>
    <row r="404" spans="1:2" ht="15">
      <c r="A404" s="1"/>
      <c r="B404" s="1"/>
    </row>
    <row r="405" spans="1:2" ht="15">
      <c r="A405" s="1"/>
      <c r="B405" s="1"/>
    </row>
    <row r="406" spans="1:2" ht="15">
      <c r="A406" s="1"/>
      <c r="B406" s="1"/>
    </row>
    <row r="407" spans="1:2" ht="15">
      <c r="A407" s="1"/>
      <c r="B407" s="1"/>
    </row>
    <row r="408" spans="1:2" ht="15">
      <c r="A408" s="1"/>
      <c r="B408" s="1"/>
    </row>
    <row r="409" spans="1:2" ht="15">
      <c r="A409" s="1"/>
      <c r="B409" s="1"/>
    </row>
    <row r="410" spans="1:2" ht="15">
      <c r="A410" s="1"/>
      <c r="B410" s="1"/>
    </row>
    <row r="411" spans="1:2" ht="15">
      <c r="A411" s="1"/>
      <c r="B411" s="1"/>
    </row>
    <row r="412" spans="1:2" ht="15">
      <c r="A412" s="1"/>
      <c r="B412" s="1"/>
    </row>
    <row r="413" spans="1:2" ht="15">
      <c r="A413" s="1"/>
      <c r="B413" s="1"/>
    </row>
    <row r="414" spans="1:2" ht="15">
      <c r="A414" s="1"/>
      <c r="B414" s="1"/>
    </row>
    <row r="415" spans="1:2" ht="15">
      <c r="A415" s="1"/>
      <c r="B415" s="1"/>
    </row>
    <row r="416" spans="1:2" ht="15">
      <c r="A416" s="1"/>
      <c r="B416" s="1"/>
    </row>
    <row r="417" spans="1:2" ht="15">
      <c r="A417" s="1"/>
      <c r="B417" s="1"/>
    </row>
    <row r="418" spans="1:2" ht="15">
      <c r="A418" s="1"/>
      <c r="B418" s="1"/>
    </row>
    <row r="419" spans="1:2" ht="15">
      <c r="A419" s="1"/>
      <c r="B419" s="1"/>
    </row>
    <row r="420" spans="1:2" ht="15">
      <c r="A420" s="1"/>
      <c r="B420" s="1"/>
    </row>
    <row r="421" spans="1:2" ht="15">
      <c r="A421" s="1"/>
      <c r="B421" s="1"/>
    </row>
    <row r="422" spans="1:2" ht="15">
      <c r="A422" s="1"/>
      <c r="B422" s="1"/>
    </row>
    <row r="423" spans="1:2" ht="15">
      <c r="A423" s="1"/>
      <c r="B423" s="1"/>
    </row>
    <row r="424" spans="1:2" ht="15">
      <c r="A424" s="1"/>
      <c r="B424" s="1"/>
    </row>
    <row r="425" spans="1:2" ht="15">
      <c r="A425" s="1"/>
      <c r="B425" s="1"/>
    </row>
    <row r="426" spans="1:2" ht="15">
      <c r="A426" s="1"/>
      <c r="B426" s="1"/>
    </row>
    <row r="427" spans="1:2" ht="15">
      <c r="A427" s="1"/>
      <c r="B427" s="1"/>
    </row>
    <row r="428" spans="1:2" ht="15">
      <c r="A428" s="1"/>
      <c r="B428" s="1"/>
    </row>
    <row r="429" spans="1:2" ht="15">
      <c r="A429" s="1"/>
      <c r="B429" s="1"/>
    </row>
    <row r="430" spans="1:2" ht="15">
      <c r="A430" s="1"/>
      <c r="B430" s="1"/>
    </row>
    <row r="431" spans="1:2" ht="15">
      <c r="A431" s="1"/>
      <c r="B431" s="1"/>
    </row>
    <row r="432" spans="1:2" ht="15">
      <c r="A432" s="1"/>
      <c r="B432" s="1"/>
    </row>
    <row r="433" spans="1:2" ht="15">
      <c r="A433" s="1"/>
      <c r="B433" s="1"/>
    </row>
    <row r="434" spans="1:2" ht="15">
      <c r="A434" s="1"/>
      <c r="B434" s="1"/>
    </row>
    <row r="435" spans="1:2" ht="15">
      <c r="A435" s="1"/>
      <c r="B435" s="1"/>
    </row>
    <row r="436" spans="1:2" ht="15">
      <c r="A436" s="1"/>
      <c r="B436" s="1"/>
    </row>
    <row r="437" spans="1:2" ht="15">
      <c r="A437" s="1"/>
      <c r="B437" s="1"/>
    </row>
    <row r="438" spans="1:2" ht="15">
      <c r="A438" s="1"/>
      <c r="B438" s="1"/>
    </row>
    <row r="439" spans="1:2" ht="15">
      <c r="A439" s="1"/>
      <c r="B439" s="1"/>
    </row>
    <row r="440" spans="1:2" ht="15">
      <c r="A440" s="1"/>
      <c r="B440" s="1"/>
    </row>
    <row r="441" spans="1:2" ht="15">
      <c r="A441" s="1"/>
      <c r="B441" s="1"/>
    </row>
    <row r="442" spans="1:2" ht="15">
      <c r="A442" s="1"/>
      <c r="B442" s="1"/>
    </row>
    <row r="443" spans="1:2" ht="15">
      <c r="A443" s="1"/>
      <c r="B443" s="1"/>
    </row>
    <row r="444" spans="1:2" ht="15">
      <c r="A444" s="1"/>
      <c r="B444" s="1"/>
    </row>
    <row r="445" spans="1:2" ht="15">
      <c r="A445" s="1"/>
      <c r="B445" s="1"/>
    </row>
    <row r="446" spans="1:2" ht="15">
      <c r="A446" s="1"/>
      <c r="B446" s="1"/>
    </row>
    <row r="447" spans="1:2" ht="15">
      <c r="A447" s="1"/>
      <c r="B447" s="1"/>
    </row>
    <row r="448" spans="1:2" ht="15">
      <c r="A448" s="1"/>
      <c r="B448" s="1"/>
    </row>
    <row r="449" spans="1:2" ht="15">
      <c r="A449" s="1"/>
      <c r="B449" s="1"/>
    </row>
    <row r="450" spans="1:2" ht="15">
      <c r="A450" s="1"/>
      <c r="B450" s="1"/>
    </row>
    <row r="451" spans="1:2" ht="15">
      <c r="A451" s="1"/>
      <c r="B451" s="1"/>
    </row>
    <row r="452" spans="1:2" ht="15">
      <c r="A452" s="1"/>
      <c r="B452" s="1"/>
    </row>
    <row r="453" spans="1:2" ht="15">
      <c r="A453" s="1"/>
      <c r="B453" s="1"/>
    </row>
    <row r="454" spans="1:2" ht="15">
      <c r="A454" s="1"/>
      <c r="B454" s="1"/>
    </row>
    <row r="455" spans="1:2" ht="15">
      <c r="A455" s="1"/>
      <c r="B455" s="1"/>
    </row>
    <row r="456" spans="1:2" ht="15">
      <c r="A456" s="1"/>
      <c r="B456" s="1"/>
    </row>
    <row r="457" spans="1:2" ht="15">
      <c r="A457" s="1"/>
      <c r="B457" s="1"/>
    </row>
    <row r="458" spans="1:2" ht="15">
      <c r="A458" s="1"/>
      <c r="B458" s="1"/>
    </row>
    <row r="459" spans="1:2" ht="15">
      <c r="A459" s="1"/>
      <c r="B459" s="1"/>
    </row>
    <row r="460" spans="1:2" ht="15">
      <c r="A460" s="1"/>
      <c r="B460" s="1"/>
    </row>
    <row r="461" spans="1:2" ht="15">
      <c r="A461" s="1"/>
      <c r="B461" s="1"/>
    </row>
    <row r="462" spans="1:2" ht="15">
      <c r="A462" s="1"/>
      <c r="B462" s="1"/>
    </row>
    <row r="463" spans="1:2" ht="15">
      <c r="A463" s="1"/>
      <c r="B463" s="1"/>
    </row>
    <row r="464" spans="1:2" ht="15">
      <c r="A464" s="1"/>
      <c r="B464" s="1"/>
    </row>
    <row r="465" spans="1:2" ht="15">
      <c r="A465" s="1"/>
      <c r="B465" s="1"/>
    </row>
    <row r="466" spans="1:2" ht="15">
      <c r="A466" s="1"/>
      <c r="B466" s="1"/>
    </row>
    <row r="467" spans="1:2" ht="15">
      <c r="A467" s="1"/>
      <c r="B467" s="1"/>
    </row>
    <row r="468" spans="1:2" ht="15">
      <c r="A468" s="1"/>
      <c r="B468" s="1"/>
    </row>
    <row r="469" spans="1:2" ht="15">
      <c r="A469" s="1"/>
      <c r="B469" s="1"/>
    </row>
    <row r="470" spans="1:2" ht="15">
      <c r="A470" s="1"/>
      <c r="B470" s="1"/>
    </row>
    <row r="471" spans="1:2" ht="15">
      <c r="A471" s="1"/>
      <c r="B471" s="1"/>
    </row>
    <row r="472" spans="1:2" ht="15">
      <c r="A472" s="1"/>
      <c r="B472" s="1"/>
    </row>
    <row r="473" spans="1:2" ht="15">
      <c r="A473" s="1"/>
      <c r="B473" s="1"/>
    </row>
    <row r="474" spans="1:2" ht="15">
      <c r="A474" s="1"/>
      <c r="B474" s="1"/>
    </row>
    <row r="475" spans="1:2" ht="15">
      <c r="A475" s="1"/>
      <c r="B475" s="1"/>
    </row>
    <row r="476" spans="1:2" ht="15">
      <c r="A476" s="1"/>
      <c r="B476" s="1"/>
    </row>
    <row r="477" spans="1:2" ht="15">
      <c r="A477" s="1"/>
      <c r="B477" s="1"/>
    </row>
    <row r="478" spans="1:2" ht="15">
      <c r="A478" s="1"/>
      <c r="B478" s="1"/>
    </row>
    <row r="479" spans="1:2" ht="15">
      <c r="A479" s="1"/>
      <c r="B479" s="1"/>
    </row>
    <row r="480" spans="1:2" ht="15">
      <c r="A480" s="1"/>
      <c r="B480" s="1"/>
    </row>
    <row r="481" spans="1:2" ht="15">
      <c r="A481" s="1"/>
      <c r="B481" s="1"/>
    </row>
    <row r="482" spans="1:2" ht="15">
      <c r="A482" s="1"/>
      <c r="B482" s="1"/>
    </row>
    <row r="483" spans="1:2" ht="15">
      <c r="A483" s="1"/>
      <c r="B483" s="1"/>
    </row>
    <row r="484" spans="1:2" ht="15">
      <c r="A484" s="1"/>
      <c r="B484" s="1"/>
    </row>
    <row r="485" spans="1:2" ht="15">
      <c r="A485" s="1"/>
      <c r="B485" s="1"/>
    </row>
    <row r="486" spans="1:2" ht="15">
      <c r="A486" s="1"/>
      <c r="B486" s="1"/>
    </row>
    <row r="487" spans="1:2" ht="15">
      <c r="A487" s="1"/>
      <c r="B487" s="1"/>
    </row>
    <row r="488" spans="1:2" ht="15">
      <c r="A488" s="1"/>
      <c r="B488" s="1"/>
    </row>
    <row r="489" spans="1:2" ht="15">
      <c r="A489" s="1"/>
      <c r="B489" s="1"/>
    </row>
    <row r="490" spans="1:2" ht="15">
      <c r="A490" s="1"/>
      <c r="B490" s="1"/>
    </row>
    <row r="491" spans="1:2" ht="15">
      <c r="A491" s="1"/>
      <c r="B491" s="1"/>
    </row>
    <row r="492" spans="1:2" ht="15">
      <c r="A492" s="1"/>
      <c r="B492" s="1"/>
    </row>
    <row r="493" spans="1:2" ht="15">
      <c r="A493" s="1"/>
      <c r="B493" s="1"/>
    </row>
    <row r="494" spans="1:2" ht="15">
      <c r="A494" s="1"/>
      <c r="B494" s="1"/>
    </row>
    <row r="495" spans="1:2" ht="15">
      <c r="A495" s="1"/>
      <c r="B495" s="1"/>
    </row>
    <row r="496" spans="1:2" ht="15">
      <c r="A496" s="1"/>
      <c r="B496" s="1"/>
    </row>
    <row r="497" spans="1:2" ht="15">
      <c r="A497" s="1"/>
      <c r="B497" s="1"/>
    </row>
    <row r="498" spans="1:2" ht="15">
      <c r="A498" s="1"/>
      <c r="B498" s="1"/>
    </row>
    <row r="499" spans="1:2" ht="15">
      <c r="A499" s="1"/>
      <c r="B499" s="1"/>
    </row>
    <row r="500" spans="1:2" ht="15">
      <c r="A500" s="1"/>
      <c r="B500" s="1"/>
    </row>
    <row r="501" spans="1:2" ht="15">
      <c r="A501" s="1"/>
      <c r="B501" s="1"/>
    </row>
    <row r="502" spans="1:2" ht="15">
      <c r="A502" s="1"/>
      <c r="B502" s="1"/>
    </row>
    <row r="503" spans="1:2" ht="15">
      <c r="A503" s="1"/>
      <c r="B503" s="1"/>
    </row>
    <row r="504" spans="1:2" ht="15">
      <c r="A504" s="1"/>
      <c r="B504" s="1"/>
    </row>
    <row r="505" spans="1:2" ht="15">
      <c r="A505" s="1"/>
      <c r="B505" s="1"/>
    </row>
    <row r="506" spans="1:2" ht="15">
      <c r="A506" s="1"/>
      <c r="B506" s="1"/>
    </row>
    <row r="507" spans="1:2" ht="15">
      <c r="A507" s="1"/>
      <c r="B507" s="1"/>
    </row>
    <row r="508" spans="1:2" ht="15">
      <c r="A508" s="1"/>
      <c r="B508" s="1"/>
    </row>
    <row r="509" spans="1:2" ht="15">
      <c r="A509" s="1"/>
      <c r="B509" s="1"/>
    </row>
    <row r="510" spans="1:2" ht="15">
      <c r="A510" s="1"/>
      <c r="B510" s="1"/>
    </row>
    <row r="511" spans="1:2" ht="15">
      <c r="A511" s="1"/>
      <c r="B511" s="1"/>
    </row>
    <row r="512" spans="1:2" ht="15">
      <c r="A512" s="1"/>
      <c r="B512" s="1"/>
    </row>
    <row r="513" spans="1:2" ht="15">
      <c r="A513" s="1"/>
      <c r="B513" s="1"/>
    </row>
    <row r="514" spans="1:2" ht="15">
      <c r="A514" s="1"/>
      <c r="B514" s="1"/>
    </row>
    <row r="515" spans="1:2" ht="15">
      <c r="A515" s="1"/>
      <c r="B515" s="1"/>
    </row>
    <row r="516" spans="1:2" ht="15">
      <c r="A516" s="1"/>
      <c r="B516" s="1"/>
    </row>
    <row r="517" spans="1:2" ht="15">
      <c r="A517" s="1"/>
      <c r="B517" s="1"/>
    </row>
    <row r="518" spans="1:2" ht="15">
      <c r="A518" s="1"/>
      <c r="B518" s="1"/>
    </row>
    <row r="519" spans="1:2" ht="15">
      <c r="A519" s="1"/>
      <c r="B519" s="1"/>
    </row>
    <row r="520" spans="1:2" ht="15">
      <c r="A520" s="1"/>
      <c r="B520" s="1"/>
    </row>
    <row r="521" spans="1:2" ht="15">
      <c r="A521" s="1"/>
      <c r="B521" s="1"/>
    </row>
    <row r="522" spans="1:2" ht="15">
      <c r="A522" s="1"/>
      <c r="B522" s="1"/>
    </row>
    <row r="523" spans="1:2" ht="15">
      <c r="A523" s="1"/>
      <c r="B523" s="1"/>
    </row>
    <row r="524" spans="1:2" ht="15">
      <c r="A524" s="1"/>
      <c r="B524" s="1"/>
    </row>
    <row r="525" spans="1:2" ht="15">
      <c r="A525" s="1"/>
      <c r="B525" s="1"/>
    </row>
    <row r="526" spans="1:2" ht="15">
      <c r="A526" s="1"/>
      <c r="B526" s="1"/>
    </row>
    <row r="527" spans="1:2" ht="15">
      <c r="A527" s="1"/>
      <c r="B527" s="1"/>
    </row>
    <row r="528" spans="1:2" ht="15">
      <c r="A528" s="1"/>
      <c r="B528" s="1"/>
    </row>
    <row r="529" spans="1:2" ht="15">
      <c r="A529" s="1"/>
      <c r="B529" s="1"/>
    </row>
    <row r="530" spans="1:2" ht="15">
      <c r="A530" s="1"/>
      <c r="B530" s="1"/>
    </row>
    <row r="531" spans="1:2" ht="15">
      <c r="A531" s="1"/>
      <c r="B531" s="1"/>
    </row>
    <row r="532" spans="1:2" ht="15">
      <c r="A532" s="1"/>
      <c r="B532" s="1"/>
    </row>
    <row r="533" spans="1:2" ht="15">
      <c r="A533" s="1"/>
      <c r="B533" s="1"/>
    </row>
    <row r="534" spans="1:2" ht="15">
      <c r="A534" s="1"/>
      <c r="B534" s="1"/>
    </row>
    <row r="535" spans="1:2" ht="15">
      <c r="A535" s="1"/>
      <c r="B535" s="1"/>
    </row>
    <row r="536" spans="1:2" ht="15">
      <c r="A536" s="1"/>
      <c r="B536" s="1"/>
    </row>
    <row r="537" spans="1:2" ht="15">
      <c r="A537" s="1"/>
      <c r="B537" s="1"/>
    </row>
    <row r="538" spans="1:2" ht="15">
      <c r="A538" s="1"/>
      <c r="B538" s="1"/>
    </row>
    <row r="539" spans="1:2" ht="15">
      <c r="A539" s="1"/>
      <c r="B539" s="1"/>
    </row>
    <row r="540" spans="1:2" ht="15">
      <c r="A540" s="1"/>
      <c r="B540" s="1"/>
    </row>
    <row r="541" spans="1:2" ht="15">
      <c r="A541" s="1"/>
      <c r="B541" s="1"/>
    </row>
    <row r="542" spans="1:2" ht="15">
      <c r="A542" s="1"/>
      <c r="B542" s="1"/>
    </row>
    <row r="543" spans="1:2" ht="15">
      <c r="A543" s="1"/>
      <c r="B543" s="1"/>
    </row>
    <row r="544" spans="1:2" ht="15">
      <c r="A544" s="1"/>
      <c r="B544" s="1"/>
    </row>
    <row r="545" spans="1:2" ht="15">
      <c r="A545" s="1"/>
      <c r="B545" s="1"/>
    </row>
    <row r="546" spans="1:2" ht="15">
      <c r="A546" s="1"/>
      <c r="B546" s="1"/>
    </row>
    <row r="547" spans="1:2" ht="15">
      <c r="A547" s="1"/>
      <c r="B547" s="1"/>
    </row>
    <row r="548" spans="1:2" ht="15">
      <c r="A548" s="1"/>
      <c r="B548" s="1"/>
    </row>
    <row r="549" spans="1:2" ht="15">
      <c r="A549" s="1"/>
      <c r="B549" s="1"/>
    </row>
    <row r="550" spans="1:2" ht="15">
      <c r="A550" s="1"/>
      <c r="B550" s="1"/>
    </row>
    <row r="551" spans="1:2" ht="15">
      <c r="A551" s="1"/>
      <c r="B551" s="1"/>
    </row>
    <row r="552" spans="1:2" ht="15">
      <c r="A552" s="1"/>
      <c r="B552" s="1"/>
    </row>
    <row r="553" spans="1:2" ht="15">
      <c r="A553" s="1"/>
      <c r="B553" s="1"/>
    </row>
    <row r="554" spans="1:2" ht="15">
      <c r="A554" s="1"/>
      <c r="B554" s="1"/>
    </row>
    <row r="555" spans="1:2" ht="15">
      <c r="A555" s="1"/>
      <c r="B555" s="1"/>
    </row>
    <row r="556" spans="1:2" ht="15">
      <c r="A556" s="1"/>
      <c r="B556" s="1"/>
    </row>
    <row r="557" spans="1:2" ht="15">
      <c r="A557" s="1"/>
      <c r="B557" s="1"/>
    </row>
    <row r="558" spans="1:2" ht="15">
      <c r="A558" s="1"/>
      <c r="B558" s="1"/>
    </row>
    <row r="559" spans="1:2" ht="15">
      <c r="A559" s="1"/>
      <c r="B559" s="1"/>
    </row>
    <row r="560" spans="1:2" ht="15">
      <c r="A560" s="1"/>
      <c r="B560" s="1"/>
    </row>
    <row r="561" spans="1:2" ht="15">
      <c r="A561" s="1"/>
      <c r="B561" s="1"/>
    </row>
    <row r="562" spans="1:2" ht="15">
      <c r="A562" s="1"/>
      <c r="B562" s="1"/>
    </row>
    <row r="563" spans="1:2" ht="15">
      <c r="A563" s="1"/>
      <c r="B563" s="1"/>
    </row>
    <row r="564" spans="1:2" ht="15">
      <c r="A564" s="1"/>
      <c r="B564" s="1"/>
    </row>
    <row r="565" spans="1:2" ht="15">
      <c r="A565" s="1"/>
      <c r="B565" s="1"/>
    </row>
    <row r="566" spans="1:2" ht="15">
      <c r="A566" s="1"/>
      <c r="B566" s="1"/>
    </row>
    <row r="567" spans="1:2" ht="15">
      <c r="A567" s="1"/>
      <c r="B567" s="1"/>
    </row>
    <row r="568" spans="1:2" ht="15">
      <c r="A568" s="1"/>
      <c r="B568" s="1"/>
    </row>
    <row r="569" spans="1:2" ht="15">
      <c r="A569" s="1"/>
      <c r="B569" s="1"/>
    </row>
    <row r="570" spans="1:2" ht="15">
      <c r="A570" s="1"/>
      <c r="B570" s="1"/>
    </row>
    <row r="571" spans="1:2" ht="15">
      <c r="A571" s="1"/>
      <c r="B571" s="1"/>
    </row>
    <row r="572" spans="1:2" ht="15">
      <c r="A572" s="1"/>
      <c r="B572" s="1"/>
    </row>
    <row r="573" spans="1:2" ht="15">
      <c r="A573" s="1"/>
      <c r="B573" s="1"/>
    </row>
    <row r="574" spans="1:2" ht="15">
      <c r="A574" s="1"/>
      <c r="B574" s="1"/>
    </row>
    <row r="575" spans="1:2" ht="15">
      <c r="A575" s="1"/>
      <c r="B575" s="1"/>
    </row>
    <row r="576" spans="1:2" ht="15">
      <c r="A576" s="1"/>
      <c r="B576" s="1"/>
    </row>
    <row r="577" spans="1:2" ht="15">
      <c r="A577" s="1"/>
      <c r="B577" s="1"/>
    </row>
    <row r="578" spans="1:2" ht="15">
      <c r="A578" s="1"/>
      <c r="B578" s="1"/>
    </row>
    <row r="579" spans="1:2" ht="15">
      <c r="A579" s="1"/>
      <c r="B579" s="1"/>
    </row>
    <row r="580" spans="1:2" ht="15">
      <c r="A580" s="1"/>
      <c r="B580" s="1"/>
    </row>
    <row r="581" spans="1:2" ht="15">
      <c r="A581" s="1"/>
      <c r="B581" s="1"/>
    </row>
    <row r="582" spans="1:2" ht="15">
      <c r="A582" s="1"/>
      <c r="B582" s="1"/>
    </row>
    <row r="583" spans="1:2" ht="15">
      <c r="A583" s="1"/>
      <c r="B583" s="1"/>
    </row>
    <row r="584" spans="1:2" ht="15">
      <c r="A584" s="1"/>
      <c r="B584" s="1"/>
    </row>
    <row r="585" spans="1:2" ht="15">
      <c r="A585" s="1"/>
      <c r="B585" s="1"/>
    </row>
    <row r="586" spans="1:2" ht="15">
      <c r="A586" s="1"/>
      <c r="B586" s="1"/>
    </row>
    <row r="587" spans="1:2" ht="15">
      <c r="A587" s="1"/>
      <c r="B587" s="1"/>
    </row>
    <row r="588" spans="1:2" ht="15">
      <c r="A588" s="1"/>
      <c r="B588" s="1"/>
    </row>
    <row r="589" spans="1:2" ht="15">
      <c r="A589" s="1"/>
      <c r="B589" s="1"/>
    </row>
    <row r="590" spans="1:2" ht="15">
      <c r="A590" s="1"/>
      <c r="B590" s="1"/>
    </row>
    <row r="591" spans="1:2" ht="15">
      <c r="A591" s="1"/>
      <c r="B591" s="1"/>
    </row>
    <row r="592" spans="1:2" ht="15">
      <c r="A592" s="1"/>
      <c r="B592" s="1"/>
    </row>
    <row r="593" spans="1:2" ht="15">
      <c r="A593" s="1"/>
      <c r="B593" s="1"/>
    </row>
    <row r="594" spans="1:2" ht="15">
      <c r="A594" s="1"/>
      <c r="B594" s="1"/>
    </row>
    <row r="595" spans="1:2" ht="15">
      <c r="A595" s="1"/>
      <c r="B595" s="1"/>
    </row>
    <row r="596" spans="1:2" ht="15">
      <c r="A596" s="1"/>
      <c r="B596" s="1"/>
    </row>
    <row r="597" spans="1:2" ht="15">
      <c r="A597" s="1"/>
      <c r="B597" s="1"/>
    </row>
    <row r="598" spans="1:2" ht="15">
      <c r="A598" s="1"/>
      <c r="B598" s="1"/>
    </row>
    <row r="599" spans="1:2" ht="15">
      <c r="A599" s="1"/>
      <c r="B599" s="1"/>
    </row>
    <row r="600" spans="1:2" ht="15">
      <c r="A600" s="1"/>
      <c r="B600" s="1"/>
    </row>
    <row r="601" spans="1:2" ht="15">
      <c r="A601" s="1"/>
      <c r="B601" s="1"/>
    </row>
    <row r="602" spans="1:2" ht="15">
      <c r="A602" s="1"/>
      <c r="B602" s="1"/>
    </row>
    <row r="603" spans="1:2" ht="15">
      <c r="A603" s="1"/>
      <c r="B603" s="1"/>
    </row>
    <row r="604" spans="1:2" ht="15">
      <c r="A604" s="1"/>
      <c r="B604" s="1"/>
    </row>
    <row r="605" spans="1:2" ht="15">
      <c r="A605" s="1"/>
      <c r="B605" s="1"/>
    </row>
    <row r="606" spans="1:2" ht="15">
      <c r="A606" s="1"/>
      <c r="B606" s="1"/>
    </row>
    <row r="607" spans="1:2" ht="15">
      <c r="A607" s="1"/>
      <c r="B607" s="1"/>
    </row>
    <row r="608" spans="1:2" ht="15">
      <c r="A608" s="1"/>
      <c r="B608" s="1"/>
    </row>
    <row r="609" spans="1:2" ht="15">
      <c r="A609" s="1"/>
      <c r="B609" s="1"/>
    </row>
    <row r="610" spans="1:2" ht="15">
      <c r="A610" s="1"/>
      <c r="B610" s="1"/>
    </row>
    <row r="611" spans="1:2" ht="15">
      <c r="A611" s="1"/>
      <c r="B611" s="1"/>
    </row>
    <row r="612" spans="1:2" ht="15">
      <c r="A612" s="1"/>
      <c r="B612" s="1"/>
    </row>
    <row r="613" spans="1:2" ht="15">
      <c r="A613" s="1"/>
      <c r="B613" s="1"/>
    </row>
    <row r="614" spans="1:2" ht="15">
      <c r="A614" s="1"/>
      <c r="B614" s="1"/>
    </row>
    <row r="615" spans="1:2" ht="15">
      <c r="A615" s="1"/>
      <c r="B615" s="1"/>
    </row>
    <row r="616" spans="1:2" ht="15">
      <c r="A616" s="1"/>
      <c r="B616" s="1"/>
    </row>
    <row r="617" spans="1:2" ht="15">
      <c r="A617" s="1"/>
      <c r="B617" s="1"/>
    </row>
    <row r="618" spans="1:2" ht="15">
      <c r="A618" s="1"/>
      <c r="B618" s="1"/>
    </row>
    <row r="619" spans="1:2" ht="15">
      <c r="A619" s="1"/>
      <c r="B619" s="1"/>
    </row>
    <row r="620" spans="1:2" ht="15">
      <c r="A620" s="1"/>
      <c r="B620" s="1"/>
    </row>
    <row r="621" spans="1:2" ht="15">
      <c r="A621" s="1"/>
      <c r="B621" s="1"/>
    </row>
    <row r="622" spans="1:2" ht="15">
      <c r="A622" s="1"/>
      <c r="B622" s="1"/>
    </row>
    <row r="623" spans="1:2" ht="15">
      <c r="A623" s="1"/>
      <c r="B623" s="1"/>
    </row>
    <row r="624" spans="1:2" ht="15">
      <c r="A624" s="1"/>
      <c r="B624" s="1"/>
    </row>
    <row r="625" spans="1:2" ht="15">
      <c r="A625" s="1"/>
      <c r="B625" s="1"/>
    </row>
    <row r="626" spans="1:2" ht="15">
      <c r="A626" s="1"/>
      <c r="B626" s="1"/>
    </row>
    <row r="627" spans="1:2" ht="15">
      <c r="A627" s="1"/>
      <c r="B627" s="1"/>
    </row>
    <row r="628" spans="1:2" ht="15">
      <c r="A628" s="1"/>
      <c r="B628" s="1"/>
    </row>
    <row r="629" spans="1:2" ht="15">
      <c r="A629" s="1"/>
      <c r="B629" s="1"/>
    </row>
    <row r="630" spans="1:2" ht="15">
      <c r="A630" s="1"/>
      <c r="B630" s="1"/>
    </row>
    <row r="631" spans="1:2" ht="15">
      <c r="A631" s="1"/>
      <c r="B631" s="1"/>
    </row>
    <row r="632" spans="1:2" ht="15">
      <c r="A632" s="1"/>
      <c r="B632" s="1"/>
    </row>
    <row r="633" spans="1:2" ht="15">
      <c r="A633" s="1"/>
      <c r="B633" s="1"/>
    </row>
    <row r="634" spans="1:2" ht="15">
      <c r="A634" s="1"/>
      <c r="B634" s="1"/>
    </row>
    <row r="635" spans="1:2" ht="15">
      <c r="A635" s="1"/>
      <c r="B635" s="1"/>
    </row>
    <row r="636" spans="1:2" ht="15">
      <c r="A636" s="1"/>
      <c r="B636" s="1"/>
    </row>
    <row r="637" spans="1:2" ht="15">
      <c r="A637" s="1"/>
      <c r="B637" s="1"/>
    </row>
    <row r="638" spans="1:2" ht="15">
      <c r="A638" s="1"/>
      <c r="B638" s="1"/>
    </row>
    <row r="639" spans="1:2" ht="15">
      <c r="A639" s="1"/>
      <c r="B639" s="1"/>
    </row>
    <row r="640" spans="1:2" ht="15">
      <c r="A640" s="1"/>
      <c r="B640" s="1"/>
    </row>
    <row r="641" spans="1:2" ht="15">
      <c r="A641" s="1"/>
      <c r="B641" s="1"/>
    </row>
    <row r="642" spans="1:2" ht="15">
      <c r="A642" s="1"/>
      <c r="B642" s="1"/>
    </row>
    <row r="643" spans="1:2" ht="15">
      <c r="A643" s="1"/>
      <c r="B643" s="1"/>
    </row>
    <row r="644" spans="1:2" ht="15">
      <c r="A644" s="1"/>
      <c r="B644" s="1"/>
    </row>
    <row r="645" spans="1:2" ht="15">
      <c r="A645" s="1"/>
      <c r="B645" s="1"/>
    </row>
    <row r="646" spans="1:2" ht="15">
      <c r="A646" s="1"/>
      <c r="B646" s="1"/>
    </row>
    <row r="647" spans="1:2" ht="15">
      <c r="A647" s="1"/>
      <c r="B647" s="1"/>
    </row>
    <row r="648" spans="1:2" ht="15">
      <c r="A648" s="1"/>
      <c r="B648" s="1"/>
    </row>
    <row r="649" spans="1:2" ht="15">
      <c r="A649" s="1"/>
      <c r="B649" s="1"/>
    </row>
    <row r="650" spans="1:2" ht="15">
      <c r="A650" s="1"/>
      <c r="B650" s="1"/>
    </row>
    <row r="651" spans="1:2" ht="15">
      <c r="A651" s="1"/>
      <c r="B651" s="1"/>
    </row>
    <row r="652" spans="1:2" ht="15">
      <c r="A652" s="1"/>
      <c r="B652" s="1"/>
    </row>
    <row r="653" spans="1:2" ht="15">
      <c r="A653" s="1"/>
      <c r="B653" s="1"/>
    </row>
    <row r="654" spans="1:2" ht="15">
      <c r="A654" s="1"/>
      <c r="B654" s="1"/>
    </row>
    <row r="655" spans="1:2" ht="15">
      <c r="A655" s="1"/>
      <c r="B655" s="1"/>
    </row>
    <row r="656" spans="1:2" ht="15">
      <c r="A656" s="1"/>
      <c r="B656" s="1"/>
    </row>
    <row r="657" spans="1:2" ht="15">
      <c r="A657" s="1"/>
      <c r="B657" s="1"/>
    </row>
    <row r="658" spans="1:2" ht="15">
      <c r="A658" s="1"/>
      <c r="B658" s="1"/>
    </row>
    <row r="659" spans="1:2" ht="15">
      <c r="A659" s="1"/>
      <c r="B659" s="1"/>
    </row>
    <row r="660" spans="1:2" ht="15">
      <c r="A660" s="1"/>
      <c r="B660" s="1"/>
    </row>
    <row r="661" spans="1:2" ht="15">
      <c r="A661" s="1"/>
      <c r="B661" s="1"/>
    </row>
    <row r="662" spans="1:2" ht="15">
      <c r="A662" s="1"/>
      <c r="B662" s="1"/>
    </row>
    <row r="663" spans="1:2" ht="15">
      <c r="A663" s="1"/>
      <c r="B663" s="1"/>
    </row>
    <row r="664" spans="1:2" ht="15">
      <c r="A664" s="1"/>
      <c r="B664" s="1"/>
    </row>
    <row r="665" spans="1:2" ht="15">
      <c r="A665" s="1"/>
      <c r="B665" s="1"/>
    </row>
    <row r="666" spans="1:2" ht="15">
      <c r="A666" s="1"/>
      <c r="B666" s="1"/>
    </row>
    <row r="667" spans="1:2" ht="15">
      <c r="A667" s="1"/>
      <c r="B667" s="1"/>
    </row>
    <row r="668" spans="1:2" ht="15">
      <c r="A668" s="1"/>
      <c r="B668" s="1"/>
    </row>
    <row r="669" spans="1:2" ht="15">
      <c r="A669" s="1"/>
      <c r="B669" s="1"/>
    </row>
    <row r="670" spans="1:2" ht="15">
      <c r="A670" s="1"/>
      <c r="B670" s="1"/>
    </row>
    <row r="671" spans="1:2" ht="15">
      <c r="A671" s="1"/>
      <c r="B671" s="1"/>
    </row>
    <row r="672" spans="1:2" ht="15">
      <c r="A672" s="1"/>
      <c r="B672" s="1"/>
    </row>
    <row r="673" spans="1:2" ht="15">
      <c r="A673" s="1"/>
      <c r="B673" s="1"/>
    </row>
    <row r="674" spans="1:2" ht="15">
      <c r="A674" s="1"/>
      <c r="B674" s="1"/>
    </row>
    <row r="675" spans="1:2" ht="15">
      <c r="A675" s="1"/>
      <c r="B675" s="1"/>
    </row>
    <row r="676" spans="1:2" ht="15">
      <c r="A676" s="1"/>
      <c r="B676" s="1"/>
    </row>
    <row r="677" spans="1:2" ht="15">
      <c r="A677" s="1"/>
      <c r="B677" s="1"/>
    </row>
    <row r="678" spans="1:2" ht="15">
      <c r="A678" s="1"/>
      <c r="B678" s="1"/>
    </row>
    <row r="679" spans="1:2" ht="15">
      <c r="A679" s="1"/>
      <c r="B679" s="1"/>
    </row>
    <row r="680" spans="1:2" ht="15">
      <c r="A680" s="1"/>
      <c r="B680" s="1"/>
    </row>
    <row r="681" spans="1:2" ht="15">
      <c r="A681" s="1"/>
      <c r="B681" s="1"/>
    </row>
    <row r="682" spans="1:2" ht="15">
      <c r="A682" s="1"/>
      <c r="B682" s="1"/>
    </row>
    <row r="683" spans="1:2" ht="15">
      <c r="A683" s="1"/>
      <c r="B683" s="1"/>
    </row>
    <row r="684" spans="1:2" ht="15">
      <c r="A684" s="1"/>
      <c r="B684" s="1"/>
    </row>
    <row r="685" spans="1:2" ht="15">
      <c r="A685" s="1"/>
      <c r="B685" s="1"/>
    </row>
    <row r="686" spans="1:2" ht="15">
      <c r="A686" s="1"/>
      <c r="B686" s="1"/>
    </row>
    <row r="687" spans="1:2" ht="15">
      <c r="A687" s="1"/>
      <c r="B687" s="1"/>
    </row>
    <row r="688" spans="1:2" ht="15">
      <c r="A688" s="1"/>
      <c r="B688" s="1"/>
    </row>
    <row r="689" spans="1:2" ht="15">
      <c r="A689" s="1"/>
      <c r="B689" s="1"/>
    </row>
    <row r="690" spans="1:2" ht="15">
      <c r="A690" s="1"/>
      <c r="B690" s="1"/>
    </row>
    <row r="691" spans="1:2" ht="15">
      <c r="A691" s="1"/>
      <c r="B691" s="1"/>
    </row>
    <row r="692" spans="1:2" ht="15">
      <c r="A692" s="1"/>
      <c r="B692" s="1"/>
    </row>
    <row r="693" spans="1:2" ht="15">
      <c r="A693" s="1"/>
      <c r="B693" s="1"/>
    </row>
    <row r="694" spans="1:2" ht="15">
      <c r="A694" s="1"/>
      <c r="B694" s="1"/>
    </row>
    <row r="695" spans="1:2" ht="15">
      <c r="A695" s="1"/>
      <c r="B695" s="1"/>
    </row>
    <row r="696" spans="1:2" ht="15">
      <c r="A696" s="1"/>
      <c r="B696" s="1"/>
    </row>
    <row r="697" spans="1:2" ht="15">
      <c r="A697" s="1"/>
      <c r="B697" s="1"/>
    </row>
    <row r="698" spans="1:2" ht="15">
      <c r="A698" s="1"/>
      <c r="B698" s="1"/>
    </row>
    <row r="699" spans="1:2" ht="15">
      <c r="A699" s="1"/>
      <c r="B699" s="1"/>
    </row>
    <row r="700" spans="1:2" ht="15">
      <c r="A700" s="1"/>
      <c r="B700" s="1"/>
    </row>
    <row r="701" spans="1:2" ht="15">
      <c r="A701" s="1"/>
      <c r="B701" s="1"/>
    </row>
    <row r="702" spans="1:2" ht="15">
      <c r="A702" s="1"/>
      <c r="B702" s="1"/>
    </row>
    <row r="703" spans="1:2" ht="15">
      <c r="A703" s="1"/>
      <c r="B703" s="1"/>
    </row>
    <row r="704" spans="1:2" ht="15">
      <c r="A704" s="1"/>
      <c r="B704" s="1"/>
    </row>
    <row r="705" spans="1:2" ht="15">
      <c r="A705" s="1"/>
      <c r="B705" s="1"/>
    </row>
    <row r="706" spans="1:2" ht="15">
      <c r="A706" s="1"/>
      <c r="B706" s="1"/>
    </row>
    <row r="707" spans="1:2" ht="15">
      <c r="A707" s="1"/>
      <c r="B707" s="1"/>
    </row>
    <row r="708" spans="1:2" ht="15">
      <c r="A708" s="1"/>
      <c r="B708" s="1"/>
    </row>
    <row r="709" spans="1:2" ht="15">
      <c r="A709" s="1"/>
      <c r="B709" s="1"/>
    </row>
    <row r="710" spans="1:2" ht="15">
      <c r="A710" s="1"/>
      <c r="B710" s="1"/>
    </row>
    <row r="711" spans="1:2" ht="15">
      <c r="A711" s="1"/>
      <c r="B711" s="1"/>
    </row>
    <row r="712" spans="1:2" ht="15">
      <c r="A712" s="1"/>
      <c r="B712" s="1"/>
    </row>
    <row r="713" spans="1:2" ht="15">
      <c r="A713" s="1"/>
      <c r="B713" s="1"/>
    </row>
    <row r="714" spans="1:2" ht="15">
      <c r="A714" s="1"/>
      <c r="B714" s="1"/>
    </row>
    <row r="715" spans="1:2" ht="15">
      <c r="A715" s="1"/>
      <c r="B715" s="1"/>
    </row>
    <row r="716" spans="1:2" ht="15">
      <c r="A716" s="1"/>
      <c r="B716" s="1"/>
    </row>
    <row r="717" spans="1:2" ht="15">
      <c r="A717" s="1"/>
      <c r="B717" s="1"/>
    </row>
    <row r="718" spans="1:2" ht="15">
      <c r="A718" s="1"/>
      <c r="B718" s="1"/>
    </row>
    <row r="719" spans="1:2" ht="15">
      <c r="A719" s="1"/>
      <c r="B719" s="1"/>
    </row>
    <row r="720" spans="1:2" ht="15">
      <c r="A720" s="1"/>
      <c r="B720" s="1"/>
    </row>
    <row r="721" spans="1:2" ht="15">
      <c r="A721" s="1"/>
      <c r="B721" s="1"/>
    </row>
    <row r="722" spans="1:2" ht="15">
      <c r="A722" s="1"/>
      <c r="B722" s="1"/>
    </row>
    <row r="723" spans="1:2" ht="15">
      <c r="A723" s="1"/>
      <c r="B723" s="1"/>
    </row>
    <row r="724" spans="1:2" ht="15">
      <c r="A724" s="1"/>
      <c r="B724" s="1"/>
    </row>
    <row r="725" spans="1:2" ht="15">
      <c r="A725" s="1"/>
      <c r="B725" s="1"/>
    </row>
    <row r="726" spans="1:2" ht="15">
      <c r="A726" s="1"/>
      <c r="B726" s="1"/>
    </row>
    <row r="727" spans="1:2" ht="15">
      <c r="A727" s="1"/>
      <c r="B727" s="1"/>
    </row>
    <row r="728" spans="1:2" ht="15">
      <c r="A728" s="1"/>
      <c r="B728" s="1"/>
    </row>
    <row r="729" spans="1:2" ht="15">
      <c r="A729" s="1"/>
      <c r="B729" s="1"/>
    </row>
    <row r="730" spans="1:2" ht="15">
      <c r="A730" s="1"/>
      <c r="B730" s="1"/>
    </row>
    <row r="731" spans="1:2" ht="15">
      <c r="A731" s="1"/>
      <c r="B731" s="1"/>
    </row>
    <row r="732" spans="1:2" ht="15">
      <c r="A732" s="1"/>
      <c r="B732" s="1"/>
    </row>
    <row r="733" spans="1:2" ht="15">
      <c r="A733" s="1"/>
      <c r="B733" s="1"/>
    </row>
    <row r="734" spans="1:2" ht="15">
      <c r="A734" s="1"/>
      <c r="B734" s="1"/>
    </row>
    <row r="735" spans="1:2" ht="15">
      <c r="A735" s="1"/>
      <c r="B735" s="1"/>
    </row>
    <row r="736" spans="1:2" ht="15">
      <c r="A736" s="1"/>
      <c r="B736" s="1"/>
    </row>
    <row r="737" spans="1:2" ht="15">
      <c r="A737" s="1"/>
      <c r="B737" s="1"/>
    </row>
    <row r="738" spans="1:2" ht="15">
      <c r="A738" s="1"/>
      <c r="B738" s="1"/>
    </row>
    <row r="739" spans="1:2" ht="15">
      <c r="A739" s="1"/>
      <c r="B739" s="1"/>
    </row>
    <row r="740" spans="1:2" ht="15">
      <c r="A740" s="1"/>
      <c r="B740" s="1"/>
    </row>
    <row r="741" spans="1:2" ht="15">
      <c r="A741" s="1"/>
      <c r="B741" s="1"/>
    </row>
    <row r="742" spans="1:2" ht="15">
      <c r="A742" s="1"/>
      <c r="B742" s="1"/>
    </row>
    <row r="743" spans="1:2" ht="15">
      <c r="A743" s="1"/>
      <c r="B743" s="1"/>
    </row>
    <row r="744" spans="1:2" ht="15">
      <c r="A744" s="1"/>
      <c r="B744" s="1"/>
    </row>
    <row r="745" spans="1:2" ht="15">
      <c r="A745" s="1"/>
      <c r="B745" s="1"/>
    </row>
    <row r="746" spans="1:2" ht="15">
      <c r="A746" s="1"/>
      <c r="B746" s="1"/>
    </row>
    <row r="747" spans="1:2" ht="15">
      <c r="A747" s="1"/>
      <c r="B747" s="1"/>
    </row>
    <row r="748" spans="1:2" ht="15">
      <c r="A748" s="1"/>
      <c r="B748" s="1"/>
    </row>
    <row r="749" spans="1:2" ht="15">
      <c r="A749" s="1"/>
      <c r="B749" s="1"/>
    </row>
    <row r="750" spans="1:2" ht="15">
      <c r="A750" s="1"/>
      <c r="B750" s="1"/>
    </row>
    <row r="751" spans="1:2" ht="15">
      <c r="A751" s="1"/>
      <c r="B751" s="1"/>
    </row>
    <row r="752" spans="1:2" ht="15">
      <c r="A752" s="1"/>
      <c r="B752" s="1"/>
    </row>
    <row r="753" spans="1:2" ht="15">
      <c r="A753" s="1"/>
      <c r="B753" s="1"/>
    </row>
    <row r="754" spans="1:2" ht="15">
      <c r="A754" s="1"/>
      <c r="B754" s="1"/>
    </row>
    <row r="755" spans="1:2" ht="15">
      <c r="A755" s="1"/>
      <c r="B755" s="1"/>
    </row>
    <row r="756" spans="1:2" ht="15">
      <c r="A756" s="1"/>
      <c r="B756" s="1"/>
    </row>
    <row r="757" spans="1:2" ht="15">
      <c r="A757" s="1"/>
      <c r="B757" s="1"/>
    </row>
    <row r="758" spans="1:2" ht="15">
      <c r="A758" s="1"/>
      <c r="B758" s="1"/>
    </row>
    <row r="759" spans="1:2" ht="15">
      <c r="A759" s="1"/>
      <c r="B759" s="1"/>
    </row>
    <row r="760" spans="1:2" ht="15">
      <c r="A760" s="1"/>
      <c r="B760" s="1"/>
    </row>
    <row r="761" spans="1:2" ht="15">
      <c r="A761" s="1"/>
      <c r="B761" s="1"/>
    </row>
    <row r="762" spans="1:2" ht="15">
      <c r="A762" s="1"/>
      <c r="B762" s="1"/>
    </row>
    <row r="763" spans="1:2" ht="15">
      <c r="A763" s="1"/>
      <c r="B763" s="1"/>
    </row>
    <row r="764" spans="1:2" ht="15">
      <c r="A764" s="1"/>
      <c r="B764" s="1"/>
    </row>
    <row r="765" spans="1:2" ht="15">
      <c r="A765" s="1"/>
      <c r="B765" s="1"/>
    </row>
    <row r="766" spans="1:2" ht="15">
      <c r="A766" s="1"/>
      <c r="B766" s="1"/>
    </row>
    <row r="767" spans="1:2" ht="15">
      <c r="A767" s="1"/>
      <c r="B767" s="1"/>
    </row>
    <row r="768" spans="1:2" ht="15">
      <c r="A768" s="1"/>
      <c r="B768" s="1"/>
    </row>
    <row r="769" spans="1:2" ht="15">
      <c r="A769" s="1"/>
      <c r="B769" s="1"/>
    </row>
    <row r="770" spans="1:2" ht="15">
      <c r="A770" s="1"/>
      <c r="B770" s="1"/>
    </row>
    <row r="771" spans="1:2" ht="15">
      <c r="A771" s="1"/>
      <c r="B771" s="1"/>
    </row>
    <row r="772" spans="1:2" ht="15">
      <c r="A772" s="1"/>
      <c r="B772" s="1"/>
    </row>
    <row r="773" spans="1:2" ht="15">
      <c r="A773" s="1"/>
      <c r="B773" s="1"/>
    </row>
    <row r="774" spans="1:2" ht="15">
      <c r="A774" s="1"/>
      <c r="B774" s="1"/>
    </row>
    <row r="775" spans="1:2" ht="15">
      <c r="A775" s="1"/>
      <c r="B775" s="1"/>
    </row>
    <row r="776" spans="1:2" ht="15">
      <c r="A776" s="1"/>
      <c r="B776" s="1"/>
    </row>
    <row r="777" spans="1:2" ht="15">
      <c r="A777" s="1"/>
      <c r="B777" s="1"/>
    </row>
    <row r="778" spans="1:2" ht="15">
      <c r="A778" s="1"/>
      <c r="B778" s="1"/>
    </row>
    <row r="779" spans="1:2" ht="15">
      <c r="A779" s="1"/>
      <c r="B779" s="1"/>
    </row>
    <row r="780" spans="1:2" ht="15">
      <c r="A780" s="1"/>
      <c r="B780" s="1"/>
    </row>
    <row r="781" spans="1:2" ht="15">
      <c r="A781" s="1"/>
      <c r="B781" s="1"/>
    </row>
    <row r="782" spans="1:2" ht="15">
      <c r="A782" s="1"/>
      <c r="B782" s="1"/>
    </row>
    <row r="783" spans="1:2" ht="15">
      <c r="A783" s="1"/>
      <c r="B783" s="1"/>
    </row>
    <row r="784" spans="1:2" ht="15">
      <c r="A784" s="1"/>
      <c r="B784" s="1"/>
    </row>
    <row r="785" spans="1:2" ht="15">
      <c r="A785" s="1"/>
      <c r="B785" s="1"/>
    </row>
    <row r="786" spans="1:2" ht="15">
      <c r="A786" s="1"/>
      <c r="B786" s="1"/>
    </row>
    <row r="787" spans="1:2" ht="15">
      <c r="A787" s="1"/>
      <c r="B787" s="1"/>
    </row>
    <row r="788" spans="1:2" ht="15">
      <c r="A788" s="1"/>
      <c r="B788" s="1"/>
    </row>
    <row r="789" spans="1:2" ht="15">
      <c r="A789" s="1"/>
      <c r="B789" s="1"/>
    </row>
    <row r="790" spans="1:2" ht="15">
      <c r="A790" s="1"/>
      <c r="B790" s="1"/>
    </row>
    <row r="791" spans="1:2" ht="15">
      <c r="A791" s="1"/>
      <c r="B791" s="1"/>
    </row>
    <row r="792" spans="1:2" ht="15">
      <c r="A792" s="1"/>
      <c r="B792" s="1"/>
    </row>
    <row r="793" spans="1:2" ht="15">
      <c r="A793" s="1"/>
      <c r="B793" s="1"/>
    </row>
    <row r="794" spans="1:2" ht="15">
      <c r="A794" s="1"/>
      <c r="B794" s="1"/>
    </row>
    <row r="795" spans="1:2" ht="15">
      <c r="A795" s="1"/>
      <c r="B795" s="1"/>
    </row>
    <row r="796" spans="1:2" ht="15">
      <c r="A796" s="1"/>
      <c r="B796" s="1"/>
    </row>
    <row r="797" spans="1:2" ht="15">
      <c r="A797" s="1"/>
      <c r="B797" s="1"/>
    </row>
    <row r="798" spans="1:2" ht="15">
      <c r="A798" s="1"/>
      <c r="B798" s="1"/>
    </row>
    <row r="799" spans="1:2" ht="15">
      <c r="A799" s="1"/>
      <c r="B799" s="1"/>
    </row>
    <row r="800" spans="1:2" ht="15">
      <c r="A800" s="1"/>
      <c r="B800" s="1"/>
    </row>
    <row r="801" spans="1:2" ht="15">
      <c r="A801" s="1"/>
      <c r="B801" s="1"/>
    </row>
    <row r="802" spans="1:2" ht="15">
      <c r="A802" s="1"/>
      <c r="B802" s="1"/>
    </row>
    <row r="803" spans="1:2" ht="15">
      <c r="A803" s="1"/>
      <c r="B803" s="1"/>
    </row>
    <row r="804" spans="1:2" ht="15">
      <c r="A804" s="1"/>
      <c r="B804" s="1"/>
    </row>
    <row r="805" spans="1:2" ht="15">
      <c r="A805" s="1"/>
      <c r="B805" s="1"/>
    </row>
    <row r="806" spans="1:2" ht="15">
      <c r="A806" s="1"/>
      <c r="B806" s="1"/>
    </row>
    <row r="807" spans="1:2" ht="15">
      <c r="A807" s="1"/>
      <c r="B807" s="1"/>
    </row>
    <row r="808" spans="1:2" ht="15">
      <c r="A808" s="1"/>
      <c r="B808" s="1"/>
    </row>
    <row r="809" spans="1:2" ht="15">
      <c r="A809" s="1"/>
      <c r="B809" s="1"/>
    </row>
    <row r="810" spans="1:2" ht="15">
      <c r="A810" s="1"/>
      <c r="B810" s="1"/>
    </row>
    <row r="811" spans="1:2" ht="15">
      <c r="A811" s="1"/>
      <c r="B811" s="1"/>
    </row>
    <row r="812" spans="1:2" ht="15">
      <c r="A812" s="1"/>
      <c r="B812" s="1"/>
    </row>
    <row r="813" spans="1:2" ht="15">
      <c r="A813" s="1"/>
      <c r="B813" s="1"/>
    </row>
    <row r="814" spans="1:2" ht="15">
      <c r="A814" s="1"/>
      <c r="B814" s="1"/>
    </row>
    <row r="815" spans="1:2" ht="15">
      <c r="A815" s="1"/>
      <c r="B815" s="1"/>
    </row>
    <row r="816" spans="1:2" ht="15">
      <c r="A816" s="1"/>
      <c r="B816" s="1"/>
    </row>
    <row r="817" spans="1:2" ht="15">
      <c r="A817" s="1"/>
      <c r="B817" s="1"/>
    </row>
    <row r="818" spans="1:2" ht="15">
      <c r="A818" s="1"/>
      <c r="B818" s="1"/>
    </row>
    <row r="819" spans="1:2" ht="15">
      <c r="A819" s="1"/>
      <c r="B819" s="1"/>
    </row>
    <row r="820" spans="1:2" ht="15">
      <c r="A820" s="1"/>
      <c r="B820" s="1"/>
    </row>
    <row r="821" spans="1:2" ht="15">
      <c r="A821" s="1"/>
      <c r="B821" s="1"/>
    </row>
    <row r="822" spans="1:2" ht="15">
      <c r="A822" s="1"/>
      <c r="B822" s="1"/>
    </row>
    <row r="823" spans="1:2" ht="15">
      <c r="A823" s="1"/>
      <c r="B823" s="1"/>
    </row>
    <row r="824" spans="1:2" ht="15">
      <c r="A824" s="1"/>
      <c r="B824" s="1"/>
    </row>
    <row r="825" spans="1:2" ht="15">
      <c r="A825" s="1"/>
      <c r="B825" s="1"/>
    </row>
    <row r="826" spans="1:2" ht="15">
      <c r="A826" s="1"/>
      <c r="B826" s="1"/>
    </row>
    <row r="827" spans="1:2" ht="15">
      <c r="A827" s="1"/>
      <c r="B827" s="1"/>
    </row>
    <row r="828" spans="1:2" ht="15">
      <c r="A828" s="1"/>
      <c r="B828" s="1"/>
    </row>
    <row r="829" spans="1:2" ht="15">
      <c r="A829" s="1"/>
      <c r="B829" s="1"/>
    </row>
    <row r="830" spans="1:2" ht="15">
      <c r="A830" s="1"/>
      <c r="B830" s="1"/>
    </row>
    <row r="831" spans="1:2" ht="15">
      <c r="A831" s="1"/>
      <c r="B831" s="1"/>
    </row>
    <row r="832" spans="1:2" ht="15">
      <c r="A832" s="1"/>
      <c r="B832" s="1"/>
    </row>
    <row r="833" spans="1:2" ht="15">
      <c r="A833" s="1"/>
      <c r="B833" s="1"/>
    </row>
    <row r="834" spans="1:2" ht="15">
      <c r="A834" s="1"/>
      <c r="B834" s="1"/>
    </row>
    <row r="835" spans="1:2" ht="15">
      <c r="A835" s="1"/>
      <c r="B835" s="1"/>
    </row>
    <row r="836" spans="1:2" ht="15">
      <c r="A836" s="1"/>
      <c r="B836" s="1"/>
    </row>
    <row r="837" spans="1:2" ht="15">
      <c r="A837" s="1"/>
      <c r="B837" s="1"/>
    </row>
    <row r="838" spans="1:2" ht="15">
      <c r="A838" s="1"/>
      <c r="B838" s="1"/>
    </row>
    <row r="839" spans="1:2" ht="15">
      <c r="A839" s="1"/>
      <c r="B839" s="1"/>
    </row>
    <row r="840" spans="1:2" ht="15">
      <c r="A840" s="1"/>
      <c r="B840" s="1"/>
    </row>
    <row r="841" spans="1:2" ht="15">
      <c r="A841" s="1"/>
      <c r="B841" s="1"/>
    </row>
    <row r="842" spans="1:2" ht="15">
      <c r="A842" s="1"/>
      <c r="B842" s="1"/>
    </row>
    <row r="843" spans="1:2" ht="15">
      <c r="A843" s="1"/>
      <c r="B843" s="1"/>
    </row>
    <row r="844" spans="1:2" ht="15">
      <c r="A844" s="1"/>
      <c r="B844" s="1"/>
    </row>
    <row r="845" spans="1:2" ht="15">
      <c r="A845" s="1"/>
      <c r="B845" s="1"/>
    </row>
    <row r="846" spans="1:2" ht="15">
      <c r="A846" s="1"/>
      <c r="B846" s="1"/>
    </row>
    <row r="847" spans="1:2" ht="15">
      <c r="A847" s="1"/>
      <c r="B847" s="1"/>
    </row>
    <row r="848" spans="1:2" ht="15">
      <c r="A848" s="1"/>
      <c r="B848" s="1"/>
    </row>
    <row r="849" spans="1:2" ht="15">
      <c r="A849" s="1"/>
      <c r="B849" s="1"/>
    </row>
    <row r="850" spans="1:2" ht="15">
      <c r="A850" s="1"/>
      <c r="B850" s="1"/>
    </row>
    <row r="851" spans="1:2" ht="15">
      <c r="A851" s="1"/>
      <c r="B851" s="1"/>
    </row>
    <row r="852" spans="1:2" ht="15">
      <c r="A852" s="1"/>
      <c r="B852" s="1"/>
    </row>
    <row r="853" spans="1:2" ht="15">
      <c r="A853" s="1"/>
      <c r="B853" s="1"/>
    </row>
    <row r="854" spans="1:2" ht="15">
      <c r="A854" s="1"/>
      <c r="B854" s="1"/>
    </row>
    <row r="855" spans="1:2" ht="15">
      <c r="A855" s="1"/>
      <c r="B855" s="1"/>
    </row>
    <row r="856" spans="1:2" ht="15">
      <c r="A856" s="1"/>
      <c r="B856" s="1"/>
    </row>
    <row r="857" spans="1:2" ht="15">
      <c r="A857" s="1"/>
      <c r="B857" s="1"/>
    </row>
    <row r="858" spans="1:2" ht="15">
      <c r="A858" s="1"/>
      <c r="B858" s="1"/>
    </row>
    <row r="859" spans="1:2" ht="15">
      <c r="A859" s="1"/>
      <c r="B859" s="1"/>
    </row>
    <row r="860" spans="1:2" ht="15">
      <c r="A860" s="1"/>
      <c r="B860" s="1"/>
    </row>
    <row r="861" spans="1:2" ht="15">
      <c r="A861" s="1"/>
      <c r="B861" s="1"/>
    </row>
    <row r="862" spans="1:2" ht="15">
      <c r="A862" s="1"/>
      <c r="B862" s="1"/>
    </row>
    <row r="863" spans="1:2" ht="15">
      <c r="A863" s="1"/>
      <c r="B863" s="1"/>
    </row>
    <row r="864" spans="1:2" ht="15">
      <c r="A864" s="1"/>
      <c r="B864" s="1"/>
    </row>
    <row r="865" spans="1:2" ht="15">
      <c r="A865" s="1"/>
      <c r="B865" s="1"/>
    </row>
    <row r="866" spans="1:2" ht="15">
      <c r="A866" s="1"/>
      <c r="B866" s="1"/>
    </row>
    <row r="867" spans="1:2" ht="15">
      <c r="A867" s="1"/>
      <c r="B867" s="1"/>
    </row>
    <row r="868" spans="1:2" ht="15">
      <c r="A868" s="1"/>
      <c r="B868" s="1"/>
    </row>
    <row r="869" spans="1:2" ht="15">
      <c r="A869" s="1"/>
      <c r="B869" s="1"/>
    </row>
    <row r="870" spans="1:2" ht="15">
      <c r="A870" s="1"/>
      <c r="B870" s="1"/>
    </row>
    <row r="871" spans="1:2" ht="15">
      <c r="A871" s="1"/>
      <c r="B871" s="1"/>
    </row>
    <row r="872" spans="1:2" ht="15">
      <c r="A872" s="1"/>
      <c r="B872" s="1"/>
    </row>
    <row r="873" spans="1:2" ht="15">
      <c r="A873" s="1"/>
      <c r="B873" s="1"/>
    </row>
    <row r="874" spans="1:2" ht="15">
      <c r="A874" s="1"/>
      <c r="B874" s="1"/>
    </row>
    <row r="875" spans="1:2" ht="15">
      <c r="A875" s="1"/>
      <c r="B875" s="1"/>
    </row>
    <row r="876" spans="1:2" ht="15">
      <c r="A876" s="1"/>
      <c r="B876" s="1"/>
    </row>
    <row r="877" spans="1:2" ht="15">
      <c r="A877" s="1"/>
      <c r="B877" s="1"/>
    </row>
    <row r="878" spans="1:2" ht="15">
      <c r="A878" s="1"/>
      <c r="B878" s="1"/>
    </row>
    <row r="879" spans="1:2" ht="15">
      <c r="A879" s="1"/>
      <c r="B879" s="1"/>
    </row>
    <row r="880" spans="1:2" ht="15">
      <c r="A880" s="1"/>
      <c r="B880" s="1"/>
    </row>
    <row r="881" spans="1:2" ht="15">
      <c r="A881" s="1"/>
      <c r="B881" s="1"/>
    </row>
    <row r="882" spans="1:2" ht="15">
      <c r="A882" s="1"/>
      <c r="B882" s="1"/>
    </row>
    <row r="883" spans="1:2" ht="15">
      <c r="A883" s="1"/>
      <c r="B883" s="1"/>
    </row>
    <row r="884" spans="1:2" ht="15">
      <c r="A884" s="1"/>
      <c r="B884" s="1"/>
    </row>
    <row r="885" spans="1:2" ht="15">
      <c r="A885" s="1"/>
      <c r="B885" s="1"/>
    </row>
    <row r="886" spans="1:2" ht="15">
      <c r="A886" s="1"/>
      <c r="B886" s="1"/>
    </row>
    <row r="887" spans="1:2" ht="15">
      <c r="A887" s="1"/>
      <c r="B887" s="1"/>
    </row>
    <row r="888" spans="1:2" ht="15">
      <c r="A888" s="1"/>
      <c r="B888" s="1"/>
    </row>
    <row r="889" spans="1:2" ht="15">
      <c r="A889" s="1"/>
      <c r="B889" s="1"/>
    </row>
    <row r="890" spans="1:2" ht="15">
      <c r="A890" s="1"/>
      <c r="B890" s="1"/>
    </row>
    <row r="891" spans="1:2" ht="15">
      <c r="A891" s="1"/>
      <c r="B891" s="1"/>
    </row>
    <row r="892" spans="1:2" ht="15">
      <c r="A892" s="1"/>
      <c r="B892" s="1"/>
    </row>
    <row r="893" spans="1:2" ht="15">
      <c r="A893" s="1"/>
      <c r="B893" s="1"/>
    </row>
    <row r="894" spans="1:2" ht="15">
      <c r="A894" s="1"/>
      <c r="B894" s="1"/>
    </row>
    <row r="895" spans="1:2" ht="15">
      <c r="A895" s="1"/>
      <c r="B895" s="1"/>
    </row>
    <row r="896" spans="1:2" ht="15">
      <c r="A896" s="1"/>
      <c r="B896" s="1"/>
    </row>
    <row r="897" spans="1:2" ht="15">
      <c r="A897" s="1"/>
      <c r="B897" s="1"/>
    </row>
    <row r="898" spans="1:2" ht="15">
      <c r="A898" s="1"/>
      <c r="B898" s="1"/>
    </row>
    <row r="899" spans="1:2" ht="15">
      <c r="A899" s="1"/>
      <c r="B899" s="1"/>
    </row>
    <row r="900" spans="1:2" ht="15">
      <c r="A900" s="1"/>
      <c r="B900" s="1"/>
    </row>
    <row r="901" spans="1:2" ht="15">
      <c r="A901" s="1"/>
      <c r="B901" s="1"/>
    </row>
    <row r="902" spans="1:2" ht="15">
      <c r="A902" s="1"/>
      <c r="B902" s="1"/>
    </row>
    <row r="903" spans="1:2" ht="15">
      <c r="A903" s="1"/>
      <c r="B903" s="1"/>
    </row>
    <row r="904" spans="1:2" ht="15">
      <c r="A904" s="1"/>
      <c r="B904" s="1"/>
    </row>
    <row r="905" spans="1:2" ht="15">
      <c r="A905" s="1"/>
      <c r="B905" s="1"/>
    </row>
    <row r="906" spans="1:2" ht="15">
      <c r="A906" s="1"/>
      <c r="B906" s="1"/>
    </row>
    <row r="907" spans="1:2" ht="15">
      <c r="A907" s="1"/>
      <c r="B907" s="1"/>
    </row>
    <row r="908" spans="1:2" ht="15">
      <c r="A908" s="1"/>
      <c r="B908" s="1"/>
    </row>
    <row r="909" spans="1:2" ht="15">
      <c r="A909" s="1"/>
      <c r="B909" s="1"/>
    </row>
    <row r="910" spans="1:2" ht="15">
      <c r="A910" s="1"/>
      <c r="B910" s="1"/>
    </row>
    <row r="911" spans="1:2" ht="15">
      <c r="A911" s="1"/>
      <c r="B911" s="1"/>
    </row>
    <row r="912" spans="1:2" ht="15">
      <c r="A912" s="1"/>
      <c r="B912" s="1"/>
    </row>
    <row r="913" spans="1:2" ht="15">
      <c r="A913" s="1"/>
      <c r="B913" s="1"/>
    </row>
    <row r="914" spans="1:2" ht="15">
      <c r="A914" s="1"/>
      <c r="B914" s="1"/>
    </row>
    <row r="915" spans="1:2" ht="15">
      <c r="A915" s="1"/>
      <c r="B915" s="1"/>
    </row>
    <row r="916" spans="1:2" ht="15">
      <c r="A916" s="1"/>
      <c r="B916" s="1"/>
    </row>
    <row r="917" spans="1:2" ht="15">
      <c r="A917" s="1"/>
      <c r="B917" s="1"/>
    </row>
    <row r="918" spans="1:2" ht="15">
      <c r="A918" s="1"/>
      <c r="B918" s="1"/>
    </row>
    <row r="919" spans="1:2" ht="15">
      <c r="A919" s="1"/>
      <c r="B919" s="1"/>
    </row>
    <row r="920" spans="1:2" ht="15">
      <c r="A920" s="1"/>
      <c r="B920" s="1"/>
    </row>
    <row r="921" spans="1:2" ht="15">
      <c r="A921" s="1"/>
      <c r="B921" s="1"/>
    </row>
    <row r="922" spans="1:2" ht="15">
      <c r="A922" s="1"/>
      <c r="B922" s="1"/>
    </row>
    <row r="923" spans="1:2" ht="15">
      <c r="A923" s="1"/>
      <c r="B923" s="1"/>
    </row>
    <row r="924" spans="1:2" ht="15">
      <c r="A924" s="1"/>
      <c r="B924" s="1"/>
    </row>
    <row r="925" spans="1:2" ht="15">
      <c r="A925" s="1"/>
      <c r="B925" s="1"/>
    </row>
    <row r="926" spans="1:2" ht="15">
      <c r="A926" s="1"/>
      <c r="B926" s="1"/>
    </row>
    <row r="927" spans="1:2" ht="15">
      <c r="A927" s="1"/>
      <c r="B927" s="1"/>
    </row>
    <row r="928" spans="1:2" ht="15">
      <c r="A928" s="1"/>
      <c r="B928" s="1"/>
    </row>
    <row r="929" spans="1:2" ht="15">
      <c r="A929" s="1"/>
      <c r="B929" s="1"/>
    </row>
    <row r="930" spans="1:2" ht="15">
      <c r="A930" s="1"/>
      <c r="B930" s="1"/>
    </row>
    <row r="931" spans="1:2" ht="15">
      <c r="A931" s="1"/>
      <c r="B931" s="1"/>
    </row>
    <row r="932" spans="1:2" ht="15">
      <c r="A932" s="1"/>
      <c r="B932" s="1"/>
    </row>
    <row r="933" spans="1:2" ht="15">
      <c r="A933" s="1"/>
      <c r="B933" s="1"/>
    </row>
    <row r="934" spans="1:2" ht="15">
      <c r="A934" s="1"/>
      <c r="B934" s="1"/>
    </row>
    <row r="935" spans="1:2" ht="15">
      <c r="A935" s="1"/>
      <c r="B935" s="1"/>
    </row>
    <row r="936" spans="1:2" ht="15">
      <c r="A936" s="1"/>
      <c r="B936" s="1"/>
    </row>
    <row r="937" spans="1:2" ht="15">
      <c r="A937" s="1"/>
      <c r="B937" s="1"/>
    </row>
    <row r="938" spans="1:2" ht="15">
      <c r="A938" s="1"/>
      <c r="B938" s="1"/>
    </row>
    <row r="939" spans="1:2" ht="15">
      <c r="A939" s="1"/>
      <c r="B939" s="1"/>
    </row>
    <row r="940" spans="1:2" ht="15">
      <c r="A940" s="1"/>
      <c r="B940" s="1"/>
    </row>
    <row r="941" spans="1:2" ht="15">
      <c r="A941" s="1"/>
      <c r="B941" s="1"/>
    </row>
    <row r="942" spans="1:2" ht="15">
      <c r="A942" s="1"/>
      <c r="B942" s="1"/>
    </row>
    <row r="943" spans="1:2" ht="15">
      <c r="A943" s="1"/>
      <c r="B943" s="1"/>
    </row>
    <row r="944" spans="1:2" ht="15">
      <c r="A944" s="1"/>
      <c r="B944" s="1"/>
    </row>
    <row r="945" spans="1:2" ht="15">
      <c r="A945" s="1"/>
      <c r="B945" s="1"/>
    </row>
    <row r="946" spans="1:2" ht="15">
      <c r="A946" s="1"/>
      <c r="B946" s="1"/>
    </row>
    <row r="947" spans="1:2" ht="15">
      <c r="A947" s="1"/>
      <c r="B947" s="1"/>
    </row>
    <row r="948" spans="1:2" ht="15">
      <c r="A948" s="1"/>
      <c r="B948" s="1"/>
    </row>
    <row r="949" spans="1:2" ht="15">
      <c r="A949" s="1"/>
      <c r="B949" s="1"/>
    </row>
    <row r="950" spans="1:2" ht="15">
      <c r="A950" s="1"/>
      <c r="B950" s="1"/>
    </row>
    <row r="951" spans="1:2" ht="15">
      <c r="A951" s="1"/>
      <c r="B951" s="1"/>
    </row>
    <row r="952" spans="1:2" ht="15">
      <c r="A952" s="1"/>
      <c r="B952" s="1"/>
    </row>
    <row r="953" spans="1:2" ht="15">
      <c r="A953" s="1"/>
      <c r="B953" s="1"/>
    </row>
    <row r="954" spans="1:2" ht="15">
      <c r="A954" s="1"/>
      <c r="B954" s="1"/>
    </row>
    <row r="955" spans="1:2" ht="15">
      <c r="A955" s="1"/>
      <c r="B955" s="1"/>
    </row>
    <row r="956" spans="1:2" ht="15">
      <c r="A956" s="1"/>
      <c r="B956" s="1"/>
    </row>
    <row r="957" spans="1:2" ht="15">
      <c r="A957" s="1"/>
      <c r="B957" s="1"/>
    </row>
    <row r="958" spans="1:2" ht="15">
      <c r="A958" s="1"/>
      <c r="B958" s="1"/>
    </row>
    <row r="959" spans="1:2" ht="15">
      <c r="A959" s="1"/>
      <c r="B959" s="1"/>
    </row>
    <row r="960" spans="1:2" ht="15">
      <c r="A960" s="1"/>
      <c r="B960" s="1"/>
    </row>
    <row r="961" spans="1:2" ht="15">
      <c r="A961" s="1"/>
      <c r="B961" s="1"/>
    </row>
    <row r="962" spans="1:2" ht="15">
      <c r="A962" s="1"/>
      <c r="B962" s="1"/>
    </row>
    <row r="963" spans="1:2" ht="15">
      <c r="A963" s="1"/>
      <c r="B963" s="1"/>
    </row>
    <row r="964" spans="1:2" ht="15">
      <c r="A964" s="1"/>
      <c r="B964" s="1"/>
    </row>
    <row r="965" spans="1:2" ht="15">
      <c r="A965" s="1"/>
      <c r="B965" s="1"/>
    </row>
    <row r="966" spans="1:2" ht="15">
      <c r="A966" s="1"/>
      <c r="B966" s="1"/>
    </row>
    <row r="967" spans="1:2" ht="15">
      <c r="A967" s="1"/>
      <c r="B967" s="1"/>
    </row>
    <row r="968" spans="1:2" ht="15">
      <c r="A968" s="1"/>
      <c r="B968" s="1"/>
    </row>
    <row r="969" spans="1:2" ht="15">
      <c r="A969" s="1"/>
      <c r="B969" s="1"/>
    </row>
    <row r="970" spans="1:2" ht="15">
      <c r="A970" s="1"/>
      <c r="B970" s="1"/>
    </row>
    <row r="971" spans="1:2" ht="15">
      <c r="A971" s="1"/>
      <c r="B971" s="1"/>
    </row>
    <row r="972" spans="1:2" ht="15">
      <c r="A972" s="1"/>
      <c r="B972" s="1"/>
    </row>
    <row r="973" spans="1:2" ht="15">
      <c r="A973" s="1"/>
      <c r="B973" s="1"/>
    </row>
    <row r="974" spans="1:2" ht="15">
      <c r="A974" s="1"/>
      <c r="B974" s="1"/>
    </row>
    <row r="975" spans="1:2" ht="15">
      <c r="A975" s="1"/>
      <c r="B975" s="1"/>
    </row>
    <row r="976" spans="1:2" ht="15">
      <c r="A976" s="1"/>
      <c r="B976" s="1"/>
    </row>
    <row r="977" spans="1:2" ht="15">
      <c r="A977" s="1"/>
      <c r="B977" s="1"/>
    </row>
    <row r="978" spans="1:2" ht="15">
      <c r="A978" s="1"/>
      <c r="B978" s="1"/>
    </row>
    <row r="979" spans="1:2" ht="15">
      <c r="A979" s="1"/>
      <c r="B979" s="1"/>
    </row>
    <row r="980" spans="1:2" ht="15">
      <c r="A980" s="1"/>
      <c r="B980" s="1"/>
    </row>
    <row r="981" spans="1:2" ht="15">
      <c r="A981" s="1"/>
      <c r="B981" s="1"/>
    </row>
    <row r="982" spans="1:2" ht="15">
      <c r="A982" s="1"/>
      <c r="B982" s="1"/>
    </row>
    <row r="983" spans="1:2" ht="15">
      <c r="A983" s="1"/>
      <c r="B983" s="1"/>
    </row>
    <row r="984" spans="1:2" ht="15">
      <c r="A984" s="1"/>
      <c r="B984" s="1"/>
    </row>
    <row r="985" spans="1:2" ht="15">
      <c r="A985" s="1"/>
      <c r="B985" s="1"/>
    </row>
    <row r="986" spans="1:2" ht="15">
      <c r="A986" s="1"/>
      <c r="B986" s="1"/>
    </row>
    <row r="987" spans="1:2" ht="15">
      <c r="A987" s="1"/>
      <c r="B987" s="1"/>
    </row>
    <row r="988" spans="1:2" ht="15">
      <c r="A988" s="1"/>
      <c r="B988" s="1"/>
    </row>
    <row r="989" spans="1:2" ht="15">
      <c r="A989" s="1"/>
      <c r="B989" s="1"/>
    </row>
    <row r="990" spans="1:2" ht="15">
      <c r="A990" s="1"/>
      <c r="B990" s="1"/>
    </row>
    <row r="991" spans="1:2" ht="15">
      <c r="A991" s="1"/>
      <c r="B991" s="1"/>
    </row>
    <row r="992" spans="1:2" ht="15">
      <c r="A992" s="1"/>
      <c r="B992" s="1"/>
    </row>
    <row r="993" spans="1:2" ht="15">
      <c r="A993" s="1"/>
      <c r="B993" s="1"/>
    </row>
    <row r="994" spans="1:2" ht="15">
      <c r="A994" s="1"/>
      <c r="B994" s="1"/>
    </row>
    <row r="995" spans="1:2" ht="15">
      <c r="A995" s="1"/>
      <c r="B995" s="1"/>
    </row>
    <row r="996" spans="1:2" ht="15">
      <c r="A996" s="1"/>
      <c r="B996" s="1"/>
    </row>
    <row r="997" spans="1:2" ht="15">
      <c r="A997" s="1"/>
      <c r="B997" s="1"/>
    </row>
    <row r="998" spans="1:2" ht="15">
      <c r="A998" s="1"/>
      <c r="B998" s="1"/>
    </row>
    <row r="999" spans="1:2" ht="15">
      <c r="A999" s="1"/>
      <c r="B999" s="1"/>
    </row>
    <row r="1000" spans="1:2" ht="15">
      <c r="A1000" s="1"/>
      <c r="B1000" s="1"/>
    </row>
  </sheetData>
  <mergeCells count="2">
    <mergeCell ref="C4:C17"/>
    <mergeCell ref="C19:C21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A85AF-F907-491F-BFF4-5963DB5CD350}">
  <dimension ref="B1:CV38"/>
  <sheetViews>
    <sheetView zoomScale="75" zoomScaleNormal="75" workbookViewId="0">
      <pane ySplit="2" topLeftCell="A3" activePane="bottomLeft" state="frozen"/>
      <selection pane="bottomLeft" activeCell="Y17" sqref="Y17:Y18"/>
    </sheetView>
  </sheetViews>
  <sheetFormatPr defaultRowHeight="12.75"/>
  <cols>
    <col min="1" max="1" width="0.7109375" style="13" customWidth="1"/>
    <col min="2" max="40" width="9.140625" style="13"/>
    <col min="41" max="41" width="12.140625" style="13" customWidth="1"/>
    <col min="42" max="59" width="9.140625" style="13"/>
    <col min="60" max="60" width="13.28515625" style="13" customWidth="1"/>
    <col min="61" max="75" width="9.140625" style="13"/>
    <col min="76" max="76" width="6.42578125" style="13" customWidth="1"/>
    <col min="77" max="90" width="9.140625" style="13"/>
    <col min="91" max="100" width="12.7109375" style="13" customWidth="1"/>
    <col min="101" max="16384" width="9.140625" style="13"/>
  </cols>
  <sheetData>
    <row r="1" spans="2:100" ht="6" customHeight="1"/>
    <row r="2" spans="2:100" s="35" customFormat="1" ht="135.75" customHeight="1">
      <c r="B2" s="51" t="s">
        <v>121</v>
      </c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2:100" ht="13.5">
      <c r="B3" s="52" t="s">
        <v>105</v>
      </c>
      <c r="C3" s="52"/>
      <c r="D3" s="52"/>
      <c r="E3" s="52"/>
      <c r="F3" s="52"/>
      <c r="G3" s="52"/>
      <c r="H3" s="52"/>
      <c r="I3" s="52"/>
      <c r="K3" s="52" t="s">
        <v>112</v>
      </c>
      <c r="L3" s="52"/>
      <c r="M3" s="52"/>
      <c r="N3" s="52"/>
      <c r="O3" s="52"/>
      <c r="P3" s="52"/>
      <c r="Q3" s="52"/>
      <c r="R3" s="52"/>
      <c r="T3" s="52" t="s">
        <v>74</v>
      </c>
      <c r="U3" s="52"/>
      <c r="V3" s="52"/>
      <c r="W3" s="52"/>
      <c r="X3" s="52"/>
      <c r="Y3" s="52"/>
      <c r="Z3" s="52"/>
      <c r="AA3" s="52"/>
      <c r="AB3" s="43" t="s">
        <v>186</v>
      </c>
      <c r="AC3" s="56"/>
      <c r="AE3" s="52" t="s">
        <v>116</v>
      </c>
      <c r="AF3" s="52"/>
      <c r="AG3" s="52"/>
      <c r="AH3" s="52"/>
      <c r="AI3" s="52"/>
      <c r="AJ3" s="52"/>
      <c r="AK3" s="52"/>
      <c r="AL3" s="52"/>
      <c r="AN3" s="52" t="s">
        <v>117</v>
      </c>
      <c r="AO3" s="52"/>
      <c r="AP3" s="52"/>
      <c r="AQ3" s="52"/>
      <c r="AR3" s="52"/>
      <c r="AS3" s="52"/>
      <c r="AT3" s="52"/>
      <c r="AU3" s="52"/>
      <c r="AV3" s="52"/>
      <c r="AX3" s="52" t="s">
        <v>118</v>
      </c>
      <c r="AY3" s="52"/>
      <c r="AZ3" s="52"/>
      <c r="BA3" s="52"/>
      <c r="BB3" s="52"/>
      <c r="BC3" s="52"/>
      <c r="BD3" s="52"/>
      <c r="BE3" s="52"/>
      <c r="BG3" s="52" t="s">
        <v>119</v>
      </c>
      <c r="BH3" s="52"/>
      <c r="BI3" s="52"/>
      <c r="BJ3" s="52"/>
      <c r="BK3" s="52"/>
      <c r="BL3" s="52"/>
      <c r="BM3" s="52"/>
      <c r="BN3" s="52"/>
      <c r="BO3" s="52"/>
      <c r="BQ3" s="52" t="s">
        <v>120</v>
      </c>
      <c r="BR3" s="52"/>
      <c r="BS3" s="52"/>
      <c r="BT3" s="52"/>
      <c r="BU3" s="52"/>
      <c r="BV3" s="52"/>
      <c r="BW3" s="52"/>
      <c r="BX3" s="52"/>
      <c r="BZ3" s="59" t="s">
        <v>166</v>
      </c>
      <c r="CA3" s="59"/>
      <c r="CB3" s="59"/>
      <c r="CC3" s="59"/>
      <c r="CD3" s="59"/>
      <c r="CE3" s="59"/>
      <c r="CF3" s="59"/>
      <c r="CG3" s="59"/>
      <c r="CH3" s="59"/>
      <c r="CI3" s="59"/>
      <c r="CJ3" s="59"/>
      <c r="CK3" s="58"/>
      <c r="CL3" s="59" t="s">
        <v>167</v>
      </c>
      <c r="CM3" s="59"/>
      <c r="CN3" s="59"/>
      <c r="CO3" s="59"/>
      <c r="CP3" s="59"/>
      <c r="CQ3" s="59"/>
      <c r="CR3" s="59"/>
      <c r="CS3" s="59"/>
      <c r="CT3" s="59"/>
      <c r="CU3" s="59"/>
      <c r="CV3" s="59"/>
    </row>
    <row r="4" spans="2:100" ht="13.5">
      <c r="B4" s="16" t="s">
        <v>82</v>
      </c>
      <c r="C4" s="16" t="s">
        <v>18</v>
      </c>
      <c r="D4" s="16" t="s">
        <v>22</v>
      </c>
      <c r="E4" s="16" t="s">
        <v>27</v>
      </c>
      <c r="F4" s="31" t="s">
        <v>110</v>
      </c>
      <c r="G4" s="16" t="s">
        <v>36</v>
      </c>
      <c r="H4" s="16" t="s">
        <v>39</v>
      </c>
      <c r="I4" s="16" t="s">
        <v>42</v>
      </c>
      <c r="K4" s="16" t="s">
        <v>82</v>
      </c>
      <c r="L4" s="16" t="s">
        <v>18</v>
      </c>
      <c r="M4" s="16" t="s">
        <v>22</v>
      </c>
      <c r="N4" s="16" t="s">
        <v>27</v>
      </c>
      <c r="O4" s="31" t="s">
        <v>110</v>
      </c>
      <c r="P4" s="16" t="s">
        <v>36</v>
      </c>
      <c r="Q4" s="16" t="s">
        <v>39</v>
      </c>
      <c r="R4" s="16" t="s">
        <v>42</v>
      </c>
      <c r="T4" s="16" t="s">
        <v>82</v>
      </c>
      <c r="U4" s="16" t="s">
        <v>18</v>
      </c>
      <c r="V4" s="16" t="s">
        <v>22</v>
      </c>
      <c r="W4" s="16" t="s">
        <v>27</v>
      </c>
      <c r="X4" s="31" t="s">
        <v>110</v>
      </c>
      <c r="Y4" s="16" t="s">
        <v>36</v>
      </c>
      <c r="Z4" s="16" t="s">
        <v>39</v>
      </c>
      <c r="AA4" s="16" t="s">
        <v>42</v>
      </c>
      <c r="AB4" s="31" t="s">
        <v>187</v>
      </c>
      <c r="AC4" s="56"/>
      <c r="AD4" s="57" t="s">
        <v>154</v>
      </c>
      <c r="AE4" s="16" t="s">
        <v>82</v>
      </c>
      <c r="AF4" s="16" t="s">
        <v>18</v>
      </c>
      <c r="AG4" s="16" t="s">
        <v>22</v>
      </c>
      <c r="AH4" s="16" t="s">
        <v>27</v>
      </c>
      <c r="AI4" s="31" t="s">
        <v>110</v>
      </c>
      <c r="AJ4" s="16" t="s">
        <v>36</v>
      </c>
      <c r="AK4" s="16" t="s">
        <v>39</v>
      </c>
      <c r="AL4" s="16" t="s">
        <v>42</v>
      </c>
      <c r="AN4" s="16" t="s">
        <v>82</v>
      </c>
      <c r="AO4" s="17" t="s">
        <v>104</v>
      </c>
      <c r="AP4" s="16" t="s">
        <v>18</v>
      </c>
      <c r="AQ4" s="16" t="s">
        <v>22</v>
      </c>
      <c r="AR4" s="16" t="s">
        <v>27</v>
      </c>
      <c r="AS4" s="31" t="s">
        <v>110</v>
      </c>
      <c r="AT4" s="16" t="s">
        <v>36</v>
      </c>
      <c r="AU4" s="16" t="s">
        <v>39</v>
      </c>
      <c r="AV4" s="16" t="s">
        <v>42</v>
      </c>
      <c r="AX4" s="16" t="s">
        <v>82</v>
      </c>
      <c r="AY4" s="16" t="s">
        <v>18</v>
      </c>
      <c r="AZ4" s="16" t="s">
        <v>22</v>
      </c>
      <c r="BA4" s="16" t="s">
        <v>27</v>
      </c>
      <c r="BB4" s="31" t="s">
        <v>110</v>
      </c>
      <c r="BC4" s="16" t="s">
        <v>36</v>
      </c>
      <c r="BD4" s="16" t="s">
        <v>39</v>
      </c>
      <c r="BE4" s="16" t="s">
        <v>42</v>
      </c>
      <c r="BG4" s="16" t="s">
        <v>82</v>
      </c>
      <c r="BH4" s="17" t="s">
        <v>87</v>
      </c>
      <c r="BI4" s="16" t="s">
        <v>18</v>
      </c>
      <c r="BJ4" s="16" t="s">
        <v>22</v>
      </c>
      <c r="BK4" s="16" t="s">
        <v>27</v>
      </c>
      <c r="BL4" s="31" t="s">
        <v>110</v>
      </c>
      <c r="BM4" s="16" t="s">
        <v>36</v>
      </c>
      <c r="BN4" s="16" t="s">
        <v>39</v>
      </c>
      <c r="BO4" s="16" t="s">
        <v>42</v>
      </c>
      <c r="BQ4" s="16" t="s">
        <v>82</v>
      </c>
      <c r="BR4" s="16" t="s">
        <v>18</v>
      </c>
      <c r="BS4" s="16" t="s">
        <v>22</v>
      </c>
      <c r="BT4" s="16" t="s">
        <v>27</v>
      </c>
      <c r="BU4" s="31" t="s">
        <v>110</v>
      </c>
      <c r="BV4" s="16" t="s">
        <v>36</v>
      </c>
      <c r="BW4" s="16" t="s">
        <v>39</v>
      </c>
      <c r="BX4" s="16" t="s">
        <v>42</v>
      </c>
      <c r="BZ4" s="16" t="s">
        <v>82</v>
      </c>
      <c r="CA4" s="16" t="s">
        <v>18</v>
      </c>
      <c r="CB4" s="16" t="s">
        <v>22</v>
      </c>
      <c r="CC4" s="16" t="s">
        <v>27</v>
      </c>
      <c r="CD4" s="31" t="s">
        <v>110</v>
      </c>
      <c r="CE4" s="16" t="s">
        <v>36</v>
      </c>
      <c r="CF4" s="16" t="s">
        <v>39</v>
      </c>
      <c r="CG4" s="16" t="s">
        <v>42</v>
      </c>
      <c r="CH4" s="42" t="s">
        <v>175</v>
      </c>
      <c r="CI4" s="42" t="s">
        <v>65</v>
      </c>
      <c r="CJ4" s="42" t="s">
        <v>68</v>
      </c>
      <c r="CL4" s="16" t="s">
        <v>82</v>
      </c>
      <c r="CM4" s="31" t="s">
        <v>136</v>
      </c>
      <c r="CN4" s="42" t="s">
        <v>132</v>
      </c>
      <c r="CO4" s="31" t="s">
        <v>138</v>
      </c>
      <c r="CP4" s="42" t="s">
        <v>31</v>
      </c>
      <c r="CQ4" s="42" t="s">
        <v>175</v>
      </c>
      <c r="CR4" s="42" t="s">
        <v>61</v>
      </c>
      <c r="CS4" s="42" t="s">
        <v>65</v>
      </c>
      <c r="CT4" s="42" t="s">
        <v>68</v>
      </c>
      <c r="CU4" s="42" t="s">
        <v>134</v>
      </c>
      <c r="CV4" s="42" t="s">
        <v>135</v>
      </c>
    </row>
    <row r="5" spans="2:100" ht="13.5">
      <c r="B5" s="18" t="s">
        <v>75</v>
      </c>
      <c r="C5" s="15">
        <v>1</v>
      </c>
      <c r="D5" s="15">
        <v>1</v>
      </c>
      <c r="E5" s="15">
        <v>1</v>
      </c>
      <c r="F5" s="15">
        <v>1</v>
      </c>
      <c r="G5" s="15">
        <v>1</v>
      </c>
      <c r="H5" s="15">
        <v>1</v>
      </c>
      <c r="I5" s="15">
        <v>1</v>
      </c>
      <c r="K5" s="18" t="s">
        <v>99</v>
      </c>
      <c r="L5" s="15">
        <v>1</v>
      </c>
      <c r="M5" s="15">
        <v>1</v>
      </c>
      <c r="N5" s="15">
        <v>1</v>
      </c>
      <c r="O5" s="15">
        <v>1</v>
      </c>
      <c r="P5" s="15">
        <v>1</v>
      </c>
      <c r="Q5" s="15">
        <v>1</v>
      </c>
      <c r="R5" s="15">
        <v>1</v>
      </c>
      <c r="T5" s="18" t="s">
        <v>96</v>
      </c>
      <c r="U5" s="15">
        <v>1</v>
      </c>
      <c r="V5" s="15">
        <v>1</v>
      </c>
      <c r="W5" s="15">
        <v>1</v>
      </c>
      <c r="X5" s="15">
        <v>1</v>
      </c>
      <c r="Y5" s="15">
        <v>1</v>
      </c>
      <c r="Z5" s="15">
        <v>1</v>
      </c>
      <c r="AA5" s="15">
        <v>1</v>
      </c>
      <c r="AB5" s="15" t="s">
        <v>188</v>
      </c>
      <c r="AC5" s="56"/>
      <c r="AD5" s="57" t="s">
        <v>155</v>
      </c>
      <c r="AE5" s="18">
        <v>0</v>
      </c>
      <c r="AF5" s="15">
        <v>10</v>
      </c>
      <c r="AG5" s="15">
        <v>4</v>
      </c>
      <c r="AH5" s="15">
        <v>1</v>
      </c>
      <c r="AI5" s="15">
        <v>1</v>
      </c>
      <c r="AJ5" s="15">
        <v>1</v>
      </c>
      <c r="AK5" s="15">
        <v>120</v>
      </c>
      <c r="AL5" s="15">
        <v>1</v>
      </c>
      <c r="AN5" s="18">
        <v>0</v>
      </c>
      <c r="AO5" s="15">
        <v>0.01</v>
      </c>
      <c r="AP5" s="15">
        <v>1</v>
      </c>
      <c r="AQ5" s="15">
        <v>1</v>
      </c>
      <c r="AR5" s="15">
        <v>1</v>
      </c>
      <c r="AS5" s="15">
        <v>1</v>
      </c>
      <c r="AT5" s="15">
        <v>1</v>
      </c>
      <c r="AU5" s="15">
        <v>1</v>
      </c>
      <c r="AV5" s="15">
        <v>1</v>
      </c>
      <c r="AX5" s="18" t="s">
        <v>126</v>
      </c>
      <c r="AY5" s="15">
        <v>1</v>
      </c>
      <c r="AZ5" s="15">
        <v>1</v>
      </c>
      <c r="BA5" s="15">
        <v>1</v>
      </c>
      <c r="BB5" s="15">
        <v>1</v>
      </c>
      <c r="BC5" s="15">
        <v>1</v>
      </c>
      <c r="BD5" s="15">
        <v>1</v>
      </c>
      <c r="BE5" s="15">
        <v>1</v>
      </c>
      <c r="BG5" s="18">
        <v>0</v>
      </c>
      <c r="BH5" s="15">
        <v>1</v>
      </c>
      <c r="BI5" s="15">
        <v>1</v>
      </c>
      <c r="BJ5" s="15">
        <v>1</v>
      </c>
      <c r="BK5" s="15">
        <v>1</v>
      </c>
      <c r="BL5" s="15">
        <v>1</v>
      </c>
      <c r="BM5" s="15">
        <v>1</v>
      </c>
      <c r="BN5" s="15">
        <v>1</v>
      </c>
      <c r="BO5" s="15">
        <v>1</v>
      </c>
      <c r="BQ5" s="18">
        <v>1</v>
      </c>
      <c r="BR5" s="13">
        <v>1</v>
      </c>
      <c r="BS5" s="13">
        <v>1</v>
      </c>
      <c r="BT5" s="13">
        <v>1</v>
      </c>
      <c r="BU5" s="13">
        <v>1</v>
      </c>
      <c r="BV5" s="13">
        <v>1</v>
      </c>
      <c r="BW5" s="13">
        <v>1</v>
      </c>
      <c r="BX5" s="15">
        <v>1</v>
      </c>
      <c r="BZ5" s="57" t="s">
        <v>179</v>
      </c>
      <c r="CA5" s="60">
        <v>1</v>
      </c>
      <c r="CB5" s="60">
        <v>1</v>
      </c>
      <c r="CC5" s="60">
        <v>1</v>
      </c>
      <c r="CD5" s="60">
        <v>1</v>
      </c>
      <c r="CE5" s="60">
        <v>1</v>
      </c>
      <c r="CF5" s="60">
        <v>1</v>
      </c>
      <c r="CG5" s="60">
        <v>1</v>
      </c>
      <c r="CH5" s="13">
        <v>1</v>
      </c>
      <c r="CI5" s="13">
        <v>1</v>
      </c>
      <c r="CJ5" s="13">
        <v>1</v>
      </c>
      <c r="CL5" s="57" t="s">
        <v>185</v>
      </c>
      <c r="CM5" t="s">
        <v>75</v>
      </c>
      <c r="CN5" t="s">
        <v>95</v>
      </c>
      <c r="CO5" t="s">
        <v>80</v>
      </c>
      <c r="CP5" t="s">
        <v>129</v>
      </c>
      <c r="CQ5">
        <v>0</v>
      </c>
      <c r="CR5" t="s">
        <v>125</v>
      </c>
      <c r="CS5">
        <v>0</v>
      </c>
      <c r="CT5">
        <v>1</v>
      </c>
      <c r="CU5" t="s">
        <v>125</v>
      </c>
      <c r="CV5" t="s">
        <v>125</v>
      </c>
    </row>
    <row r="6" spans="2:100">
      <c r="B6" s="18" t="s">
        <v>76</v>
      </c>
      <c r="C6" s="15">
        <v>1</v>
      </c>
      <c r="D6" s="15">
        <v>0.9</v>
      </c>
      <c r="E6" s="15">
        <v>0.9</v>
      </c>
      <c r="F6" s="15">
        <v>0.9</v>
      </c>
      <c r="G6" s="15">
        <v>0.9</v>
      </c>
      <c r="H6" s="15">
        <v>0.9</v>
      </c>
      <c r="I6" s="15">
        <v>0.9</v>
      </c>
      <c r="K6" s="18" t="s">
        <v>100</v>
      </c>
      <c r="L6" s="15">
        <v>2</v>
      </c>
      <c r="M6" s="15">
        <v>2</v>
      </c>
      <c r="N6" s="15">
        <v>2</v>
      </c>
      <c r="O6" s="15">
        <v>2</v>
      </c>
      <c r="P6" s="15">
        <v>2</v>
      </c>
      <c r="Q6" s="15">
        <v>2</v>
      </c>
      <c r="R6" s="15">
        <v>2</v>
      </c>
      <c r="T6" s="18" t="s">
        <v>97</v>
      </c>
      <c r="U6" s="15">
        <v>2</v>
      </c>
      <c r="V6" s="15">
        <v>2</v>
      </c>
      <c r="W6" s="15">
        <v>2</v>
      </c>
      <c r="X6" s="15">
        <v>2</v>
      </c>
      <c r="Y6" s="15">
        <v>2</v>
      </c>
      <c r="Z6" s="15">
        <v>2</v>
      </c>
      <c r="AA6" s="15">
        <v>2</v>
      </c>
      <c r="AB6" s="15" t="s">
        <v>189</v>
      </c>
      <c r="AC6" s="56"/>
      <c r="AD6" s="13" t="s">
        <v>156</v>
      </c>
      <c r="AE6" s="18">
        <v>1000</v>
      </c>
      <c r="AF6" s="15">
        <v>20</v>
      </c>
      <c r="AG6" s="15">
        <v>4</v>
      </c>
      <c r="AH6" s="15">
        <v>1</v>
      </c>
      <c r="AI6" s="15">
        <v>2</v>
      </c>
      <c r="AJ6" s="15">
        <v>2</v>
      </c>
      <c r="AK6" s="15">
        <v>120</v>
      </c>
      <c r="AL6" s="15">
        <v>2</v>
      </c>
      <c r="AN6" s="18">
        <v>1</v>
      </c>
      <c r="AO6" s="15">
        <v>0.01</v>
      </c>
      <c r="AP6" s="15">
        <v>1</v>
      </c>
      <c r="AQ6" s="15">
        <v>1</v>
      </c>
      <c r="AR6" s="15">
        <v>1</v>
      </c>
      <c r="AS6" s="15">
        <v>1</v>
      </c>
      <c r="AT6" s="15">
        <v>1</v>
      </c>
      <c r="AU6" s="15">
        <v>1</v>
      </c>
      <c r="AV6" s="15">
        <v>1</v>
      </c>
      <c r="AX6" s="18" t="s">
        <v>83</v>
      </c>
      <c r="AY6" s="15">
        <v>1</v>
      </c>
      <c r="AZ6" s="15">
        <v>1</v>
      </c>
      <c r="BA6" s="15">
        <v>1</v>
      </c>
      <c r="BB6" s="15">
        <v>1</v>
      </c>
      <c r="BC6" s="15">
        <v>1</v>
      </c>
      <c r="BD6" s="15">
        <v>1</v>
      </c>
      <c r="BE6" s="15">
        <v>1</v>
      </c>
      <c r="BG6" s="18">
        <v>1</v>
      </c>
      <c r="BH6" s="15">
        <v>1</v>
      </c>
      <c r="BI6" s="15">
        <v>1</v>
      </c>
      <c r="BJ6" s="15">
        <v>1</v>
      </c>
      <c r="BK6" s="15">
        <v>1</v>
      </c>
      <c r="BL6" s="15">
        <v>1</v>
      </c>
      <c r="BM6" s="15">
        <v>1</v>
      </c>
      <c r="BN6" s="15">
        <v>1</v>
      </c>
      <c r="BO6" s="15">
        <v>1</v>
      </c>
      <c r="BQ6" s="18">
        <v>2</v>
      </c>
      <c r="BR6" s="15">
        <v>2</v>
      </c>
      <c r="BS6" s="15">
        <v>2</v>
      </c>
      <c r="BT6" s="15">
        <v>2</v>
      </c>
      <c r="BU6" s="15">
        <v>2</v>
      </c>
      <c r="BV6" s="15">
        <v>2</v>
      </c>
      <c r="BW6" s="15">
        <v>2</v>
      </c>
      <c r="BX6" s="15">
        <v>2</v>
      </c>
      <c r="BZ6" s="13" t="s">
        <v>168</v>
      </c>
      <c r="CH6" s="13">
        <v>2</v>
      </c>
      <c r="CI6" s="13">
        <v>2</v>
      </c>
      <c r="CJ6" s="13">
        <v>2</v>
      </c>
    </row>
    <row r="7" spans="2:100">
      <c r="B7" s="18" t="s">
        <v>77</v>
      </c>
      <c r="C7" s="15">
        <v>1</v>
      </c>
      <c r="D7" s="15">
        <v>0.8</v>
      </c>
      <c r="E7" s="15">
        <v>0.8</v>
      </c>
      <c r="F7" s="15">
        <v>0.8</v>
      </c>
      <c r="G7" s="15">
        <v>0.8</v>
      </c>
      <c r="H7" s="15">
        <v>0.8</v>
      </c>
      <c r="I7" s="15">
        <v>0.8</v>
      </c>
      <c r="K7" s="18" t="s">
        <v>101</v>
      </c>
      <c r="L7" s="15">
        <v>3</v>
      </c>
      <c r="M7" s="15">
        <v>3</v>
      </c>
      <c r="N7" s="15">
        <v>3</v>
      </c>
      <c r="O7" s="15">
        <v>3</v>
      </c>
      <c r="P7" s="15">
        <v>3</v>
      </c>
      <c r="Q7" s="15">
        <v>3</v>
      </c>
      <c r="R7" s="15">
        <v>3</v>
      </c>
      <c r="T7" s="18" t="s">
        <v>98</v>
      </c>
      <c r="U7" s="15">
        <v>3</v>
      </c>
      <c r="V7" s="15">
        <v>3</v>
      </c>
      <c r="W7" s="15">
        <v>3</v>
      </c>
      <c r="X7" s="15">
        <v>3</v>
      </c>
      <c r="Y7" s="15">
        <v>3</v>
      </c>
      <c r="Z7" s="15">
        <v>3</v>
      </c>
      <c r="AA7" s="15">
        <v>3</v>
      </c>
      <c r="AB7" s="15" t="s">
        <v>190</v>
      </c>
      <c r="AC7" s="56"/>
      <c r="AD7" s="13" t="s">
        <v>157</v>
      </c>
      <c r="AE7" s="18">
        <v>2000</v>
      </c>
      <c r="AF7" s="15">
        <v>30</v>
      </c>
      <c r="AG7" s="15">
        <v>4</v>
      </c>
      <c r="AH7" s="15">
        <v>1</v>
      </c>
      <c r="AI7" s="15">
        <v>3</v>
      </c>
      <c r="AJ7" s="15">
        <v>3</v>
      </c>
      <c r="AK7" s="15">
        <v>120</v>
      </c>
      <c r="AL7" s="15">
        <v>3</v>
      </c>
      <c r="AN7" s="18">
        <v>2</v>
      </c>
      <c r="AO7" s="15">
        <v>0.01</v>
      </c>
      <c r="AP7" s="15">
        <v>2</v>
      </c>
      <c r="AQ7" s="15">
        <v>2</v>
      </c>
      <c r="AR7" s="15">
        <v>2</v>
      </c>
      <c r="AS7" s="15">
        <v>2</v>
      </c>
      <c r="AT7" s="15">
        <v>2</v>
      </c>
      <c r="AU7" s="15">
        <v>2</v>
      </c>
      <c r="AV7" s="15">
        <v>2</v>
      </c>
      <c r="AX7" s="18" t="s">
        <v>84</v>
      </c>
      <c r="AY7" s="15">
        <v>2</v>
      </c>
      <c r="AZ7" s="15">
        <v>2</v>
      </c>
      <c r="BA7" s="15">
        <v>2</v>
      </c>
      <c r="BB7" s="15">
        <v>2</v>
      </c>
      <c r="BC7" s="15">
        <v>2</v>
      </c>
      <c r="BD7" s="15">
        <v>2</v>
      </c>
      <c r="BE7" s="15">
        <v>2</v>
      </c>
      <c r="BG7" s="18">
        <v>2</v>
      </c>
      <c r="BH7" s="15">
        <v>2</v>
      </c>
      <c r="BI7" s="15">
        <v>2</v>
      </c>
      <c r="BJ7" s="15">
        <v>2</v>
      </c>
      <c r="BK7" s="15">
        <v>2</v>
      </c>
      <c r="BL7" s="15">
        <v>2</v>
      </c>
      <c r="BM7" s="15">
        <v>2</v>
      </c>
      <c r="BN7" s="15">
        <v>2</v>
      </c>
      <c r="BO7" s="15">
        <v>2</v>
      </c>
      <c r="BQ7" s="18">
        <v>3</v>
      </c>
      <c r="BR7" s="15">
        <v>3</v>
      </c>
      <c r="BS7" s="15">
        <v>3</v>
      </c>
      <c r="BT7" s="15">
        <v>3</v>
      </c>
      <c r="BU7" s="15">
        <v>3</v>
      </c>
      <c r="BV7" s="15">
        <v>3</v>
      </c>
      <c r="BW7" s="15">
        <v>3</v>
      </c>
      <c r="BX7" s="15">
        <v>3</v>
      </c>
      <c r="BZ7" s="13" t="s">
        <v>169</v>
      </c>
      <c r="CH7" s="13">
        <v>3</v>
      </c>
      <c r="CI7" s="13">
        <v>3</v>
      </c>
      <c r="CJ7" s="13">
        <v>3</v>
      </c>
    </row>
    <row r="8" spans="2:100">
      <c r="B8" s="18" t="s">
        <v>78</v>
      </c>
      <c r="C8" s="15">
        <v>1</v>
      </c>
      <c r="D8" s="15">
        <v>0.7</v>
      </c>
      <c r="E8" s="15">
        <v>0.7</v>
      </c>
      <c r="F8" s="15">
        <v>0.7</v>
      </c>
      <c r="G8" s="15">
        <v>0.7</v>
      </c>
      <c r="H8" s="15">
        <v>0.7</v>
      </c>
      <c r="I8" s="15">
        <v>0.7</v>
      </c>
      <c r="AD8" s="13" t="s">
        <v>158</v>
      </c>
      <c r="AE8" s="18">
        <v>3000</v>
      </c>
      <c r="AF8" s="15">
        <v>40</v>
      </c>
      <c r="AG8" s="15">
        <v>5</v>
      </c>
      <c r="AH8" s="15">
        <v>1</v>
      </c>
      <c r="AI8" s="15">
        <v>4</v>
      </c>
      <c r="AJ8" s="15">
        <v>4</v>
      </c>
      <c r="AK8" s="15">
        <v>120</v>
      </c>
      <c r="AL8" s="15">
        <v>4</v>
      </c>
      <c r="AN8" s="18">
        <v>3</v>
      </c>
      <c r="AO8" s="15">
        <v>0.01</v>
      </c>
      <c r="AP8" s="15">
        <v>3</v>
      </c>
      <c r="AQ8" s="15">
        <v>3</v>
      </c>
      <c r="AR8" s="15">
        <v>3</v>
      </c>
      <c r="AS8" s="15">
        <v>3</v>
      </c>
      <c r="AT8" s="15">
        <v>3</v>
      </c>
      <c r="AU8" s="15">
        <v>3</v>
      </c>
      <c r="AV8" s="15">
        <v>3</v>
      </c>
      <c r="AX8" s="18" t="s">
        <v>85</v>
      </c>
      <c r="AY8" s="15">
        <v>3</v>
      </c>
      <c r="AZ8" s="15">
        <v>3</v>
      </c>
      <c r="BA8" s="15">
        <v>3</v>
      </c>
      <c r="BB8" s="15">
        <v>3</v>
      </c>
      <c r="BC8" s="15">
        <v>3</v>
      </c>
      <c r="BD8" s="15">
        <v>3</v>
      </c>
      <c r="BE8" s="15">
        <v>3</v>
      </c>
      <c r="BG8" s="18">
        <v>3</v>
      </c>
      <c r="BH8" s="15">
        <v>3</v>
      </c>
      <c r="BI8" s="15">
        <v>3</v>
      </c>
      <c r="BJ8" s="15">
        <v>3</v>
      </c>
      <c r="BK8" s="15">
        <v>3</v>
      </c>
      <c r="BL8" s="15">
        <v>3</v>
      </c>
      <c r="BM8" s="15">
        <v>3</v>
      </c>
      <c r="BN8" s="15">
        <v>3</v>
      </c>
      <c r="BO8" s="15">
        <v>3</v>
      </c>
      <c r="BQ8" s="18">
        <v>4</v>
      </c>
      <c r="BR8" s="15">
        <v>4</v>
      </c>
      <c r="BS8" s="15">
        <v>4</v>
      </c>
      <c r="BT8" s="15">
        <v>4</v>
      </c>
      <c r="BU8" s="15">
        <v>4</v>
      </c>
      <c r="BV8" s="15">
        <v>4</v>
      </c>
      <c r="BW8" s="15">
        <v>4</v>
      </c>
      <c r="BX8" s="15">
        <v>4</v>
      </c>
      <c r="BZ8" s="13" t="s">
        <v>170</v>
      </c>
      <c r="CH8" s="13">
        <v>4</v>
      </c>
      <c r="CI8" s="13">
        <v>4</v>
      </c>
      <c r="CJ8" s="13">
        <v>4</v>
      </c>
    </row>
    <row r="9" spans="2:100" ht="13.5">
      <c r="B9" s="18" t="s">
        <v>79</v>
      </c>
      <c r="C9" s="15">
        <v>1</v>
      </c>
      <c r="D9" s="15">
        <v>0.6</v>
      </c>
      <c r="E9" s="15">
        <v>0.6</v>
      </c>
      <c r="F9" s="15">
        <v>0.6</v>
      </c>
      <c r="G9" s="15">
        <v>0.6</v>
      </c>
      <c r="H9" s="15">
        <v>0.6</v>
      </c>
      <c r="I9" s="15">
        <v>0.6</v>
      </c>
      <c r="AD9" s="13" t="s">
        <v>159</v>
      </c>
      <c r="AE9" s="18">
        <v>4000</v>
      </c>
      <c r="AF9" s="15">
        <v>50</v>
      </c>
      <c r="AG9" s="15">
        <v>5</v>
      </c>
      <c r="AH9" s="15">
        <v>1</v>
      </c>
      <c r="AI9" s="15">
        <v>5</v>
      </c>
      <c r="AJ9" s="15">
        <v>5</v>
      </c>
      <c r="AK9" s="15">
        <v>120</v>
      </c>
      <c r="AL9" s="15">
        <v>5</v>
      </c>
      <c r="AN9" s="18">
        <v>4</v>
      </c>
      <c r="AO9" s="15">
        <v>0.01</v>
      </c>
      <c r="AP9" s="15">
        <v>4</v>
      </c>
      <c r="AQ9" s="15">
        <v>4</v>
      </c>
      <c r="AR9" s="15">
        <v>4</v>
      </c>
      <c r="AS9" s="15">
        <v>4</v>
      </c>
      <c r="AT9" s="15">
        <v>4</v>
      </c>
      <c r="AU9" s="15">
        <v>4</v>
      </c>
      <c r="AV9" s="15">
        <v>4</v>
      </c>
      <c r="AX9" s="20" t="s">
        <v>86</v>
      </c>
      <c r="AY9" s="15">
        <v>4</v>
      </c>
      <c r="AZ9" s="15">
        <v>4</v>
      </c>
      <c r="BA9" s="15">
        <v>4</v>
      </c>
      <c r="BB9" s="15">
        <v>4</v>
      </c>
      <c r="BC9" s="15">
        <v>4</v>
      </c>
      <c r="BD9" s="15">
        <v>4</v>
      </c>
      <c r="BE9" s="15">
        <v>4</v>
      </c>
      <c r="BG9" s="18">
        <v>4</v>
      </c>
      <c r="BH9" s="15">
        <v>4</v>
      </c>
      <c r="BI9" s="15">
        <v>4</v>
      </c>
      <c r="BJ9" s="15">
        <v>4</v>
      </c>
      <c r="BK9" s="15">
        <v>4</v>
      </c>
      <c r="BL9" s="15">
        <v>4</v>
      </c>
      <c r="BM9" s="15">
        <v>4</v>
      </c>
      <c r="BN9" s="15">
        <v>4</v>
      </c>
      <c r="BO9" s="15">
        <v>4</v>
      </c>
      <c r="BQ9" s="18">
        <v>5</v>
      </c>
      <c r="BR9" s="15">
        <v>5</v>
      </c>
      <c r="BS9" s="15">
        <v>5</v>
      </c>
      <c r="BT9" s="15">
        <v>5</v>
      </c>
      <c r="BU9" s="15">
        <v>5</v>
      </c>
      <c r="BV9" s="15">
        <v>5</v>
      </c>
      <c r="BW9" s="15">
        <v>5</v>
      </c>
      <c r="BX9" s="15">
        <v>5</v>
      </c>
      <c r="BZ9" s="60" t="s">
        <v>171</v>
      </c>
      <c r="CH9" s="13">
        <v>5</v>
      </c>
      <c r="CI9" s="13">
        <v>5</v>
      </c>
      <c r="CJ9" s="13">
        <v>5</v>
      </c>
    </row>
    <row r="10" spans="2:100" ht="13.5">
      <c r="B10" s="18" t="s">
        <v>94</v>
      </c>
      <c r="C10" s="15">
        <v>1</v>
      </c>
      <c r="D10" s="15">
        <v>0.5</v>
      </c>
      <c r="E10" s="15">
        <v>0.5</v>
      </c>
      <c r="F10" s="15">
        <v>0.5</v>
      </c>
      <c r="G10" s="15">
        <v>0.5</v>
      </c>
      <c r="H10" s="15">
        <v>0.5</v>
      </c>
      <c r="I10" s="15">
        <v>0.5</v>
      </c>
      <c r="K10" s="53" t="s">
        <v>113</v>
      </c>
      <c r="L10" s="54"/>
      <c r="M10" s="54"/>
      <c r="N10" s="54"/>
      <c r="O10" s="54"/>
      <c r="P10" s="54"/>
      <c r="Q10" s="54"/>
      <c r="R10" s="55"/>
      <c r="AD10" s="13" t="s">
        <v>160</v>
      </c>
      <c r="AE10" s="18">
        <v>5000</v>
      </c>
      <c r="AF10" s="15">
        <v>60</v>
      </c>
      <c r="AG10" s="15">
        <v>5</v>
      </c>
      <c r="AH10" s="15">
        <v>1</v>
      </c>
      <c r="AI10" s="15">
        <v>6</v>
      </c>
      <c r="AJ10" s="15">
        <v>6</v>
      </c>
      <c r="AK10" s="15">
        <v>120</v>
      </c>
      <c r="AL10" s="15">
        <v>6</v>
      </c>
      <c r="AN10" s="18">
        <v>5</v>
      </c>
      <c r="AO10" s="15">
        <v>0.01</v>
      </c>
      <c r="AP10" s="15">
        <v>5</v>
      </c>
      <c r="AQ10" s="15">
        <v>5</v>
      </c>
      <c r="AR10" s="15">
        <v>5</v>
      </c>
      <c r="AS10" s="15">
        <v>5</v>
      </c>
      <c r="AT10" s="15">
        <v>5</v>
      </c>
      <c r="AU10" s="15">
        <v>5</v>
      </c>
      <c r="AV10" s="15">
        <v>5</v>
      </c>
      <c r="BG10" s="18">
        <v>5</v>
      </c>
      <c r="BH10" s="15">
        <v>5</v>
      </c>
      <c r="BI10" s="15">
        <v>5</v>
      </c>
      <c r="BJ10" s="15">
        <v>5</v>
      </c>
      <c r="BK10" s="15">
        <v>5</v>
      </c>
      <c r="BL10" s="15">
        <v>5</v>
      </c>
      <c r="BM10" s="15">
        <v>5</v>
      </c>
      <c r="BN10" s="15">
        <v>5</v>
      </c>
      <c r="BO10" s="15">
        <v>5</v>
      </c>
      <c r="BQ10" s="18">
        <v>6</v>
      </c>
      <c r="BR10" s="15">
        <v>6</v>
      </c>
      <c r="BS10" s="15">
        <v>6</v>
      </c>
      <c r="BT10" s="15">
        <v>6</v>
      </c>
      <c r="BU10" s="15">
        <v>6</v>
      </c>
      <c r="BV10" s="15">
        <v>6</v>
      </c>
      <c r="BW10" s="15">
        <v>6</v>
      </c>
      <c r="BX10" s="15">
        <v>6</v>
      </c>
      <c r="BZ10" s="60" t="s">
        <v>172</v>
      </c>
      <c r="CH10" s="13">
        <v>6</v>
      </c>
      <c r="CI10" s="13">
        <v>6</v>
      </c>
      <c r="CJ10" s="13">
        <v>6</v>
      </c>
    </row>
    <row r="11" spans="2:100" ht="13.5">
      <c r="K11" s="16" t="s">
        <v>82</v>
      </c>
      <c r="L11" s="16" t="s">
        <v>18</v>
      </c>
      <c r="M11" s="16" t="s">
        <v>22</v>
      </c>
      <c r="N11" s="16" t="s">
        <v>27</v>
      </c>
      <c r="O11" s="31" t="s">
        <v>110</v>
      </c>
      <c r="P11" s="16" t="s">
        <v>36</v>
      </c>
      <c r="Q11" s="16" t="s">
        <v>39</v>
      </c>
      <c r="R11" s="16" t="s">
        <v>42</v>
      </c>
      <c r="AD11" s="13" t="s">
        <v>161</v>
      </c>
      <c r="AE11" s="18">
        <v>6000</v>
      </c>
      <c r="AF11" s="15">
        <v>70</v>
      </c>
      <c r="AG11" s="15">
        <v>6</v>
      </c>
      <c r="AH11" s="15">
        <v>1</v>
      </c>
      <c r="AI11" s="15">
        <v>7</v>
      </c>
      <c r="AJ11" s="15">
        <v>7</v>
      </c>
      <c r="AK11" s="15">
        <v>120</v>
      </c>
      <c r="AL11" s="15">
        <v>7</v>
      </c>
      <c r="BG11" s="18">
        <v>6</v>
      </c>
      <c r="BH11" s="15">
        <v>6</v>
      </c>
      <c r="BI11" s="15">
        <v>6</v>
      </c>
      <c r="BJ11" s="15">
        <v>6</v>
      </c>
      <c r="BK11" s="15">
        <v>6</v>
      </c>
      <c r="BL11" s="15">
        <v>6</v>
      </c>
      <c r="BM11" s="15">
        <v>6</v>
      </c>
      <c r="BN11" s="15">
        <v>6</v>
      </c>
      <c r="BO11" s="15">
        <v>6</v>
      </c>
      <c r="BQ11" s="18">
        <v>7</v>
      </c>
      <c r="BR11" s="15">
        <v>7</v>
      </c>
      <c r="BS11" s="15">
        <v>7</v>
      </c>
      <c r="BT11" s="15">
        <v>7</v>
      </c>
      <c r="BU11" s="15">
        <v>7</v>
      </c>
      <c r="BV11" s="15">
        <v>7</v>
      </c>
      <c r="BW11" s="15">
        <v>7</v>
      </c>
      <c r="BX11" s="15">
        <v>7</v>
      </c>
      <c r="BZ11" s="60" t="s">
        <v>173</v>
      </c>
      <c r="CH11" s="13">
        <v>7</v>
      </c>
      <c r="CI11" s="13">
        <v>7</v>
      </c>
      <c r="CJ11" s="13">
        <v>7</v>
      </c>
    </row>
    <row r="12" spans="2:100" ht="13.5">
      <c r="K12" s="19" t="s">
        <v>80</v>
      </c>
      <c r="L12" s="15">
        <v>1</v>
      </c>
      <c r="M12" s="15">
        <v>1</v>
      </c>
      <c r="N12" s="15">
        <v>1</v>
      </c>
      <c r="O12" s="15">
        <v>1</v>
      </c>
      <c r="P12" s="15">
        <v>1</v>
      </c>
      <c r="Q12" s="15">
        <v>1</v>
      </c>
      <c r="R12" s="15">
        <v>1</v>
      </c>
      <c r="AD12" s="13" t="s">
        <v>162</v>
      </c>
      <c r="AE12" s="18">
        <v>7000</v>
      </c>
      <c r="AF12" s="15">
        <v>80</v>
      </c>
      <c r="AG12" s="15">
        <v>6</v>
      </c>
      <c r="AH12" s="15">
        <v>1</v>
      </c>
      <c r="AI12" s="15">
        <v>8</v>
      </c>
      <c r="AJ12" s="15">
        <v>8</v>
      </c>
      <c r="AK12" s="15">
        <v>120</v>
      </c>
      <c r="AL12" s="15">
        <v>8</v>
      </c>
      <c r="BG12" s="18">
        <v>7</v>
      </c>
      <c r="BH12" s="15">
        <v>7</v>
      </c>
      <c r="BI12" s="15">
        <v>7</v>
      </c>
      <c r="BJ12" s="15">
        <v>7</v>
      </c>
      <c r="BK12" s="15">
        <v>7</v>
      </c>
      <c r="BL12" s="15">
        <v>7</v>
      </c>
      <c r="BM12" s="15">
        <v>7</v>
      </c>
      <c r="BN12" s="15">
        <v>7</v>
      </c>
      <c r="BO12" s="15">
        <v>7</v>
      </c>
      <c r="BQ12" s="18">
        <v>8</v>
      </c>
      <c r="BR12" s="15">
        <v>8</v>
      </c>
      <c r="BS12" s="15">
        <v>8</v>
      </c>
      <c r="BT12" s="15">
        <v>8</v>
      </c>
      <c r="BU12" s="15">
        <v>8</v>
      </c>
      <c r="BV12" s="15">
        <v>8</v>
      </c>
      <c r="BW12" s="15">
        <v>8</v>
      </c>
      <c r="BX12" s="15">
        <v>8</v>
      </c>
      <c r="BZ12" s="60" t="s">
        <v>181</v>
      </c>
      <c r="CH12" s="13">
        <v>8</v>
      </c>
      <c r="CI12" s="13">
        <v>8</v>
      </c>
      <c r="CJ12" s="13">
        <v>8</v>
      </c>
    </row>
    <row r="13" spans="2:100">
      <c r="K13" s="18" t="s">
        <v>81</v>
      </c>
      <c r="L13" s="15">
        <v>2</v>
      </c>
      <c r="M13" s="15">
        <v>2</v>
      </c>
      <c r="N13" s="15">
        <v>2</v>
      </c>
      <c r="O13" s="15">
        <v>2</v>
      </c>
      <c r="P13" s="15">
        <v>2</v>
      </c>
      <c r="Q13" s="15">
        <v>2</v>
      </c>
      <c r="R13" s="15">
        <v>2</v>
      </c>
      <c r="AD13" s="13" t="s">
        <v>163</v>
      </c>
      <c r="AE13" s="18">
        <v>8000</v>
      </c>
      <c r="AF13" s="15">
        <v>90</v>
      </c>
      <c r="AG13" s="15">
        <v>6</v>
      </c>
      <c r="AH13" s="15">
        <v>1</v>
      </c>
      <c r="AI13" s="15">
        <v>9</v>
      </c>
      <c r="AJ13" s="15">
        <v>9</v>
      </c>
      <c r="AK13" s="15">
        <v>120</v>
      </c>
      <c r="AL13" s="15">
        <v>9</v>
      </c>
      <c r="BG13" s="18">
        <v>8</v>
      </c>
      <c r="BH13" s="15">
        <v>8</v>
      </c>
      <c r="BI13" s="15">
        <v>8</v>
      </c>
      <c r="BJ13" s="15">
        <v>8</v>
      </c>
      <c r="BK13" s="15">
        <v>8</v>
      </c>
      <c r="BL13" s="15">
        <v>8</v>
      </c>
      <c r="BM13" s="15">
        <v>8</v>
      </c>
      <c r="BN13" s="15">
        <v>8</v>
      </c>
      <c r="BO13" s="15">
        <v>8</v>
      </c>
      <c r="BQ13" s="18">
        <v>9</v>
      </c>
      <c r="BR13" s="15">
        <v>9</v>
      </c>
      <c r="BS13" s="15">
        <v>9</v>
      </c>
      <c r="BT13" s="15">
        <v>9</v>
      </c>
      <c r="BU13" s="15">
        <v>9</v>
      </c>
      <c r="BV13" s="15">
        <v>9</v>
      </c>
      <c r="BW13" s="15">
        <v>9</v>
      </c>
      <c r="BX13" s="15">
        <v>9</v>
      </c>
      <c r="BZ13" s="60" t="s">
        <v>182</v>
      </c>
      <c r="CH13" s="13">
        <v>8</v>
      </c>
      <c r="CI13" s="13">
        <v>8</v>
      </c>
      <c r="CJ13" s="13">
        <v>8</v>
      </c>
    </row>
    <row r="14" spans="2:100">
      <c r="AD14" s="13" t="s">
        <v>164</v>
      </c>
      <c r="AE14" s="18">
        <v>9000</v>
      </c>
      <c r="AF14" s="15">
        <v>100</v>
      </c>
      <c r="AG14" s="15">
        <v>7</v>
      </c>
      <c r="AH14" s="15">
        <v>1</v>
      </c>
      <c r="AI14" s="15">
        <v>10</v>
      </c>
      <c r="AJ14" s="15">
        <v>10</v>
      </c>
      <c r="AK14" s="15">
        <v>120</v>
      </c>
      <c r="AL14" s="15">
        <v>10</v>
      </c>
      <c r="BG14" s="18">
        <v>9</v>
      </c>
      <c r="BH14" s="15">
        <v>9</v>
      </c>
      <c r="BI14" s="15">
        <v>9</v>
      </c>
      <c r="BJ14" s="15">
        <v>9</v>
      </c>
      <c r="BK14" s="15">
        <v>9</v>
      </c>
      <c r="BL14" s="15">
        <v>9</v>
      </c>
      <c r="BM14" s="15">
        <v>9</v>
      </c>
      <c r="BN14" s="15">
        <v>9</v>
      </c>
      <c r="BO14" s="15">
        <v>9</v>
      </c>
      <c r="BQ14" s="18">
        <v>10</v>
      </c>
      <c r="BR14" s="15">
        <v>10</v>
      </c>
      <c r="BS14" s="15">
        <v>10</v>
      </c>
      <c r="BT14" s="15">
        <v>10</v>
      </c>
      <c r="BU14" s="15">
        <v>10</v>
      </c>
      <c r="BV14" s="15">
        <v>10</v>
      </c>
      <c r="BW14" s="15">
        <v>10</v>
      </c>
      <c r="BX14" s="15">
        <v>10</v>
      </c>
      <c r="BZ14" s="60" t="s">
        <v>174</v>
      </c>
      <c r="CH14" s="13">
        <v>8</v>
      </c>
      <c r="CI14" s="13">
        <v>8</v>
      </c>
      <c r="CJ14" s="13">
        <v>8</v>
      </c>
    </row>
    <row r="15" spans="2:100">
      <c r="AD15" s="13" t="s">
        <v>165</v>
      </c>
      <c r="AE15" s="18">
        <v>10000</v>
      </c>
      <c r="AF15" s="15">
        <v>110</v>
      </c>
      <c r="AG15" s="15">
        <v>7</v>
      </c>
      <c r="AH15" s="15">
        <v>1</v>
      </c>
      <c r="AI15" s="15">
        <v>11</v>
      </c>
      <c r="AJ15" s="15">
        <v>11</v>
      </c>
      <c r="AK15" s="15">
        <v>120</v>
      </c>
      <c r="AL15" s="15">
        <v>11</v>
      </c>
      <c r="BG15" s="18">
        <v>10</v>
      </c>
      <c r="BH15" s="15">
        <v>10</v>
      </c>
      <c r="BI15" s="15">
        <v>10</v>
      </c>
      <c r="BJ15" s="15">
        <v>10</v>
      </c>
      <c r="BK15" s="15">
        <v>10</v>
      </c>
      <c r="BL15" s="15">
        <v>10</v>
      </c>
      <c r="BM15" s="15">
        <v>10</v>
      </c>
      <c r="BN15" s="15">
        <v>10</v>
      </c>
      <c r="BO15" s="15">
        <v>10</v>
      </c>
      <c r="BZ15" s="60" t="s">
        <v>183</v>
      </c>
      <c r="CH15" s="13">
        <v>8</v>
      </c>
      <c r="CI15" s="13">
        <v>8</v>
      </c>
      <c r="CJ15" s="13">
        <v>8</v>
      </c>
    </row>
    <row r="16" spans="2:100" ht="13.5">
      <c r="K16" s="53" t="s">
        <v>114</v>
      </c>
      <c r="L16" s="54"/>
      <c r="M16" s="54"/>
      <c r="N16" s="54"/>
      <c r="O16" s="54"/>
      <c r="P16" s="54"/>
      <c r="Q16" s="54"/>
      <c r="R16" s="55"/>
    </row>
    <row r="17" spans="2:18" ht="13.5">
      <c r="K17" s="16" t="s">
        <v>82</v>
      </c>
      <c r="L17" s="16" t="s">
        <v>18</v>
      </c>
      <c r="M17" s="16" t="s">
        <v>22</v>
      </c>
      <c r="N17" s="16" t="s">
        <v>27</v>
      </c>
      <c r="O17" s="31" t="s">
        <v>110</v>
      </c>
      <c r="P17" s="16" t="s">
        <v>36</v>
      </c>
      <c r="Q17" s="16" t="s">
        <v>39</v>
      </c>
      <c r="R17" s="16" t="s">
        <v>42</v>
      </c>
    </row>
    <row r="18" spans="2:18" ht="13.5">
      <c r="K18" s="19" t="s">
        <v>108</v>
      </c>
      <c r="L18" s="15">
        <v>1</v>
      </c>
      <c r="M18" s="15">
        <v>1</v>
      </c>
      <c r="N18" s="15">
        <v>1</v>
      </c>
      <c r="O18" s="15">
        <v>1</v>
      </c>
      <c r="P18" s="15">
        <v>1</v>
      </c>
      <c r="Q18" s="15">
        <v>1</v>
      </c>
      <c r="R18" s="15">
        <v>1</v>
      </c>
    </row>
    <row r="19" spans="2:18">
      <c r="K19" s="18" t="s">
        <v>109</v>
      </c>
      <c r="L19" s="15">
        <v>2</v>
      </c>
      <c r="M19" s="15">
        <v>2</v>
      </c>
      <c r="N19" s="15">
        <v>2</v>
      </c>
      <c r="O19" s="15">
        <v>2</v>
      </c>
      <c r="P19" s="15">
        <v>2</v>
      </c>
      <c r="Q19" s="15">
        <v>2</v>
      </c>
      <c r="R19" s="15">
        <v>2</v>
      </c>
    </row>
    <row r="20" spans="2:18">
      <c r="K20" s="13" t="s">
        <v>126</v>
      </c>
    </row>
    <row r="22" spans="2:18" ht="13.5">
      <c r="K22" s="53" t="s">
        <v>115</v>
      </c>
      <c r="L22" s="54"/>
      <c r="M22" s="54"/>
      <c r="N22" s="54"/>
      <c r="O22" s="54"/>
      <c r="P22" s="54"/>
      <c r="Q22" s="54"/>
      <c r="R22" s="55"/>
    </row>
    <row r="23" spans="2:18" ht="13.5">
      <c r="K23" s="16" t="s">
        <v>82</v>
      </c>
      <c r="L23" s="16" t="s">
        <v>18</v>
      </c>
      <c r="M23" s="16" t="s">
        <v>22</v>
      </c>
      <c r="N23" s="16" t="s">
        <v>27</v>
      </c>
      <c r="O23" s="31" t="s">
        <v>110</v>
      </c>
      <c r="P23" s="16" t="s">
        <v>36</v>
      </c>
      <c r="Q23" s="16" t="s">
        <v>39</v>
      </c>
      <c r="R23" s="16" t="s">
        <v>42</v>
      </c>
    </row>
    <row r="24" spans="2:18" ht="13.5">
      <c r="K24" s="19" t="s">
        <v>106</v>
      </c>
      <c r="L24" s="15">
        <v>1</v>
      </c>
      <c r="M24" s="15">
        <v>1</v>
      </c>
      <c r="N24" s="15">
        <v>1</v>
      </c>
      <c r="O24" s="15">
        <v>1</v>
      </c>
      <c r="P24" s="15">
        <v>1</v>
      </c>
      <c r="Q24" s="15">
        <v>1</v>
      </c>
      <c r="R24" s="15">
        <v>1</v>
      </c>
    </row>
    <row r="25" spans="2:18">
      <c r="K25" s="18" t="s">
        <v>107</v>
      </c>
      <c r="L25" s="15">
        <v>2</v>
      </c>
      <c r="M25" s="15">
        <v>2</v>
      </c>
      <c r="N25" s="15">
        <v>2</v>
      </c>
      <c r="O25" s="15">
        <v>2</v>
      </c>
      <c r="P25" s="15">
        <v>2</v>
      </c>
      <c r="Q25" s="15">
        <v>2</v>
      </c>
      <c r="R25" s="15">
        <v>2</v>
      </c>
    </row>
    <row r="26" spans="2:18" ht="13.5">
      <c r="B26" s="11"/>
      <c r="K26" s="13" t="s">
        <v>126</v>
      </c>
    </row>
    <row r="31" spans="2:18" ht="13.5">
      <c r="I31" s="11"/>
    </row>
    <row r="38" spans="2:2" ht="13.5">
      <c r="B38" s="11"/>
    </row>
  </sheetData>
  <mergeCells count="14">
    <mergeCell ref="CL3:CV3"/>
    <mergeCell ref="BZ3:CJ3"/>
    <mergeCell ref="K22:R22"/>
    <mergeCell ref="AN3:AV3"/>
    <mergeCell ref="B3:I3"/>
    <mergeCell ref="K3:R3"/>
    <mergeCell ref="K10:R10"/>
    <mergeCell ref="T3:AA3"/>
    <mergeCell ref="AE3:AL3"/>
    <mergeCell ref="B2:AL2"/>
    <mergeCell ref="AX3:BE3"/>
    <mergeCell ref="BG3:BO3"/>
    <mergeCell ref="BQ3:BX3"/>
    <mergeCell ref="K16:R16"/>
  </mergeCells>
  <phoneticPr fontId="8" type="noConversion"/>
  <dataValidations count="9">
    <dataValidation type="list" allowBlank="1" showInputMessage="1" showErrorMessage="1" sqref="CV5" xr:uid="{8054542F-5762-4EA9-AD15-F8CCF348F79B}">
      <formula1>$K$24:$K$26</formula1>
    </dataValidation>
    <dataValidation type="list" allowBlank="1" showInputMessage="1" showErrorMessage="1" sqref="CU5" xr:uid="{B86B3107-5DB8-40EF-9318-CFE78F737FE9}">
      <formula1>$K$18:$K$20</formula1>
    </dataValidation>
    <dataValidation type="list" allowBlank="1" showInputMessage="1" showErrorMessage="1" sqref="CR5" xr:uid="{3B1E0ED5-CD72-4CE3-BBB7-18A082D57E78}">
      <formula1>$AX$5:$AX$9</formula1>
    </dataValidation>
    <dataValidation type="list" allowBlank="1" showInputMessage="1" showErrorMessage="1" sqref="CP5" xr:uid="{B7F72349-78CD-48D5-95B7-D3CD448600AC}">
      <formula1>$K$5:$K$7</formula1>
    </dataValidation>
    <dataValidation type="list" allowBlank="1" showInputMessage="1" showErrorMessage="1" sqref="CO5" xr:uid="{C1140E19-F547-4DE8-B8CA-15235BE1516C}">
      <formula1>$K$12:$K$13</formula1>
    </dataValidation>
    <dataValidation type="list" allowBlank="1" showInputMessage="1" showErrorMessage="1" sqref="CN5" xr:uid="{206D9F3A-0E5E-420B-8776-41024169D797}">
      <formula1>$T$5:$T$7</formula1>
    </dataValidation>
    <dataValidation type="list" allowBlank="1" showInputMessage="1" showErrorMessage="1" sqref="CM5" xr:uid="{5D3AEB8F-E3E1-4D94-A300-2D44AE582E80}">
      <formula1>$B$5:$B$10</formula1>
    </dataValidation>
    <dataValidation type="whole" operator="greaterThanOrEqual" allowBlank="1" showInputMessage="1" showErrorMessage="1" sqref="CT5" xr:uid="{BA323148-16CE-440D-ABF4-4F9124DB01BC}">
      <formula1>1</formula1>
    </dataValidation>
    <dataValidation type="decimal" operator="greaterThanOrEqual" allowBlank="1" showInputMessage="1" showErrorMessage="1" sqref="CQ5 CS5" xr:uid="{B664960A-3E31-4803-B60F-D63C1FDA602F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N54"/>
  <sheetViews>
    <sheetView tabSelected="1" topLeftCell="F7" zoomScale="75" zoomScaleNormal="75" workbookViewId="0">
      <selection activeCell="N37" sqref="N37"/>
    </sheetView>
  </sheetViews>
  <sheetFormatPr defaultColWidth="12.5703125" defaultRowHeight="15.75" customHeight="1"/>
  <cols>
    <col min="1" max="1" width="24.42578125" style="21" customWidth="1"/>
    <col min="2" max="5" width="29.28515625" style="21" customWidth="1"/>
    <col min="6" max="7" width="20.7109375" style="21" customWidth="1"/>
    <col min="8" max="8" width="23.7109375" style="21" customWidth="1"/>
    <col min="9" max="26" width="20.7109375" style="21" customWidth="1"/>
    <col min="27" max="33" width="18.7109375" style="21" customWidth="1"/>
    <col min="34" max="35" width="12.5703125" style="21"/>
    <col min="36" max="36" width="18.42578125" style="21" customWidth="1"/>
    <col min="37" max="37" width="20.140625" style="21" customWidth="1"/>
    <col min="38" max="38" width="24.5703125" style="21" customWidth="1"/>
    <col min="39" max="39" width="18" style="21" customWidth="1"/>
    <col min="40" max="16384" width="12.5703125" style="21"/>
  </cols>
  <sheetData>
    <row r="1" spans="1:40" ht="90.75" customHeight="1">
      <c r="A1" s="44" t="s">
        <v>128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6"/>
      <c r="Y1" s="33"/>
      <c r="Z1" s="33"/>
      <c r="AA1" s="33"/>
      <c r="AB1" s="33"/>
      <c r="AC1" s="33"/>
      <c r="AD1" s="33"/>
      <c r="AE1" s="33"/>
      <c r="AF1" s="33"/>
      <c r="AG1" s="33"/>
      <c r="AH1"/>
      <c r="AI1"/>
      <c r="AJ1"/>
      <c r="AK1"/>
      <c r="AL1"/>
      <c r="AM1"/>
      <c r="AN1"/>
    </row>
    <row r="2" spans="1:40" ht="15.75" customHeight="1">
      <c r="A2" s="42" t="s">
        <v>130</v>
      </c>
      <c r="B2" s="42" t="s">
        <v>13</v>
      </c>
      <c r="C2" s="31" t="s">
        <v>148</v>
      </c>
      <c r="D2" s="31" t="s">
        <v>150</v>
      </c>
      <c r="E2" s="31" t="s">
        <v>151</v>
      </c>
      <c r="F2" s="31" t="s">
        <v>140</v>
      </c>
      <c r="G2" s="31" t="s">
        <v>136</v>
      </c>
      <c r="H2" s="42" t="s">
        <v>132</v>
      </c>
      <c r="I2" s="31" t="s">
        <v>138</v>
      </c>
      <c r="J2" s="42" t="s">
        <v>31</v>
      </c>
      <c r="K2" s="42" t="s">
        <v>178</v>
      </c>
      <c r="L2" s="42" t="s">
        <v>133</v>
      </c>
      <c r="M2" s="42" t="s">
        <v>61</v>
      </c>
      <c r="N2" s="42" t="s">
        <v>177</v>
      </c>
      <c r="O2" s="42" t="s">
        <v>65</v>
      </c>
      <c r="P2" s="42" t="s">
        <v>176</v>
      </c>
      <c r="Q2" s="42" t="s">
        <v>68</v>
      </c>
      <c r="R2" s="42" t="s">
        <v>134</v>
      </c>
      <c r="S2" s="42" t="s">
        <v>135</v>
      </c>
      <c r="T2" s="31" t="s">
        <v>147</v>
      </c>
      <c r="U2" s="42" t="s">
        <v>146</v>
      </c>
      <c r="V2" s="42" t="s">
        <v>145</v>
      </c>
      <c r="W2" s="31" t="s">
        <v>144</v>
      </c>
      <c r="X2" s="42" t="s">
        <v>143</v>
      </c>
      <c r="Y2" s="42" t="s">
        <v>142</v>
      </c>
      <c r="Z2" s="42" t="s">
        <v>141</v>
      </c>
      <c r="AA2" s="42" t="s">
        <v>18</v>
      </c>
      <c r="AB2" s="42" t="s">
        <v>22</v>
      </c>
      <c r="AC2" s="42" t="s">
        <v>27</v>
      </c>
      <c r="AD2" s="31" t="s">
        <v>110</v>
      </c>
      <c r="AE2" s="42" t="s">
        <v>131</v>
      </c>
      <c r="AF2" s="42" t="s">
        <v>39</v>
      </c>
      <c r="AG2" s="42" t="s">
        <v>42</v>
      </c>
      <c r="AH2"/>
      <c r="AI2"/>
      <c r="AJ2"/>
      <c r="AK2"/>
      <c r="AL2"/>
      <c r="AM2"/>
      <c r="AN2"/>
    </row>
    <row r="3" spans="1:40" ht="15">
      <c r="A3" s="38" t="s">
        <v>9</v>
      </c>
      <c r="B3" s="38" t="s">
        <v>9</v>
      </c>
      <c r="C3" s="40" t="s">
        <v>191</v>
      </c>
      <c r="D3" s="40" t="s">
        <v>184</v>
      </c>
      <c r="E3" s="40" t="s">
        <v>191</v>
      </c>
      <c r="F3" s="38" t="s">
        <v>43</v>
      </c>
      <c r="G3" s="38" t="s">
        <v>9</v>
      </c>
      <c r="H3" s="38" t="s">
        <v>9</v>
      </c>
      <c r="I3" s="38" t="s">
        <v>9</v>
      </c>
      <c r="J3" s="38" t="s">
        <v>9</v>
      </c>
      <c r="K3" s="40" t="s">
        <v>92</v>
      </c>
      <c r="L3" s="38" t="s">
        <v>23</v>
      </c>
      <c r="M3" s="38" t="s">
        <v>9</v>
      </c>
      <c r="N3" s="40" t="s">
        <v>92</v>
      </c>
      <c r="O3" s="38" t="s">
        <v>23</v>
      </c>
      <c r="P3" s="40" t="s">
        <v>92</v>
      </c>
      <c r="Q3" s="38" t="s">
        <v>43</v>
      </c>
      <c r="R3" s="38" t="s">
        <v>9</v>
      </c>
      <c r="S3" s="39" t="s">
        <v>9</v>
      </c>
      <c r="T3" s="40" t="s">
        <v>92</v>
      </c>
      <c r="U3" s="40" t="s">
        <v>92</v>
      </c>
      <c r="V3" s="40" t="s">
        <v>92</v>
      </c>
      <c r="W3" s="40" t="s">
        <v>92</v>
      </c>
      <c r="X3" s="40" t="s">
        <v>92</v>
      </c>
      <c r="Y3" s="40" t="s">
        <v>92</v>
      </c>
      <c r="Z3" s="40" t="s">
        <v>92</v>
      </c>
      <c r="AA3" s="41" t="s">
        <v>19</v>
      </c>
      <c r="AB3" s="38" t="s">
        <v>23</v>
      </c>
      <c r="AC3" s="38" t="s">
        <v>23</v>
      </c>
      <c r="AD3" s="38" t="s">
        <v>23</v>
      </c>
      <c r="AE3" s="38" t="s">
        <v>23</v>
      </c>
      <c r="AF3" s="38" t="s">
        <v>23</v>
      </c>
      <c r="AG3" s="38" t="s">
        <v>43</v>
      </c>
      <c r="AH3"/>
      <c r="AI3"/>
      <c r="AJ3"/>
      <c r="AK3"/>
      <c r="AL3"/>
      <c r="AM3"/>
      <c r="AN3" s="22"/>
    </row>
    <row r="4" spans="1:40" ht="12.75">
      <c r="A4" s="23" t="s">
        <v>7</v>
      </c>
      <c r="B4" s="23" t="s">
        <v>12</v>
      </c>
      <c r="C4" s="23" t="s">
        <v>149</v>
      </c>
      <c r="D4" s="23"/>
      <c r="E4" s="23"/>
      <c r="F4" s="23" t="s">
        <v>45</v>
      </c>
      <c r="G4" s="23" t="s">
        <v>89</v>
      </c>
      <c r="H4" s="23" t="s">
        <v>90</v>
      </c>
      <c r="I4" s="23" t="s">
        <v>16</v>
      </c>
      <c r="J4" s="23" t="s">
        <v>91</v>
      </c>
      <c r="K4" s="23" t="s">
        <v>52</v>
      </c>
      <c r="L4" s="23" t="s">
        <v>52</v>
      </c>
      <c r="M4" s="23" t="s">
        <v>60</v>
      </c>
      <c r="N4" s="23" t="s">
        <v>64</v>
      </c>
      <c r="O4" s="23" t="s">
        <v>64</v>
      </c>
      <c r="P4" s="23" t="s">
        <v>67</v>
      </c>
      <c r="Q4" s="23" t="s">
        <v>67</v>
      </c>
      <c r="R4" s="23" t="s">
        <v>102</v>
      </c>
      <c r="S4" s="23" t="s">
        <v>103</v>
      </c>
      <c r="T4" s="34" t="s">
        <v>17</v>
      </c>
      <c r="U4" s="34" t="s">
        <v>21</v>
      </c>
      <c r="V4" s="34" t="s">
        <v>26</v>
      </c>
      <c r="W4" s="34" t="s">
        <v>33</v>
      </c>
      <c r="X4" s="34" t="s">
        <v>35</v>
      </c>
      <c r="Y4" s="34" t="s">
        <v>38</v>
      </c>
      <c r="Z4" s="34" t="s">
        <v>41</v>
      </c>
      <c r="AA4" s="23" t="s">
        <v>17</v>
      </c>
      <c r="AB4" s="23" t="s">
        <v>21</v>
      </c>
      <c r="AC4" s="23" t="s">
        <v>26</v>
      </c>
      <c r="AD4" s="23" t="s">
        <v>33</v>
      </c>
      <c r="AE4" s="23" t="s">
        <v>35</v>
      </c>
      <c r="AF4" s="23" t="s">
        <v>38</v>
      </c>
      <c r="AG4" s="23" t="s">
        <v>41</v>
      </c>
      <c r="AH4"/>
      <c r="AI4"/>
      <c r="AJ4"/>
      <c r="AK4"/>
      <c r="AL4"/>
      <c r="AM4"/>
      <c r="AN4"/>
    </row>
    <row r="5" spans="1:40" ht="13.5">
      <c r="A5" s="24" t="str">
        <f>"weapon_"&amp;G5&amp;"_"&amp;VLOOKUP(H5, Factor!$T$5:$AB$7, 9, 0)&amp;"_"&amp;IF(COUNTIFS($G$4:G4, G5, $H$4:H4, H5)+1&gt;=100, COUNTIFS($G$4:G4, G5, $H$4:H4, H5)+1,IF(COUNTIFS($G$4:G4, G5, $H$4:H4, H5)+1&gt;=10, "0"&amp;COUNTIFS($G$4:G4, G5, $H$4:H4, H5)+1, "00"&amp;COUNTIFS($G$4:G4, G5, $H$4:H4, H5)+1))</f>
        <v>weapon_single_Am_001</v>
      </c>
      <c r="B5" s="36" t="str">
        <f>C5&amp;" "&amp;IF(D5 = "none","", D5)&amp;E5</f>
        <v>녹슨 기관포</v>
      </c>
      <c r="C5" s="36" t="s">
        <v>152</v>
      </c>
      <c r="D5" s="36" t="s">
        <v>180</v>
      </c>
      <c r="E5" s="36" t="s">
        <v>153</v>
      </c>
      <c r="F5" s="25">
        <f>VLOOKUP(C5, Factor!$AD$5:$AE$15, 2, 0)</f>
        <v>0</v>
      </c>
      <c r="G5" s="26" t="str">
        <f>VLOOKUP(E5, Factor!$CL$5:$CV$50, 2, 0)</f>
        <v>single</v>
      </c>
      <c r="H5" s="25" t="str">
        <f>VLOOKUP(E5, Factor!$CL$5:$CV$50, 3, 0)</f>
        <v>ammo</v>
      </c>
      <c r="I5" s="25" t="str">
        <f>VLOOKUP(E5, Factor!$CL$5:$CV$50, 4, 0)</f>
        <v>L</v>
      </c>
      <c r="J5" s="25" t="str">
        <f>VLOOKUP(E5, Factor!$CL$5:$CV$50, 5, 0)</f>
        <v>spread</v>
      </c>
      <c r="K5" s="25">
        <v>1</v>
      </c>
      <c r="L5" s="25">
        <f>VLOOKUP(E5, Factor!$CL$5:$CV$50, 6, 0)*K5*VLOOKUP(D5, Factor!$BZ$5:$CJ$49, 9, 0)</f>
        <v>0</v>
      </c>
      <c r="M5" s="25" t="str">
        <f>VLOOKUP(E5, Factor!$CL$5:$CV$50, 7, 0)</f>
        <v>null</v>
      </c>
      <c r="N5" s="25">
        <v>1</v>
      </c>
      <c r="O5" s="25">
        <f>VLOOKUP(E5, Factor!$CL$5:$CV$50, 8, 0)*N5*VLOOKUP(D5, Factor!$BZ$5:$CJ$49, 10, 0)</f>
        <v>0</v>
      </c>
      <c r="P5" s="25">
        <v>1</v>
      </c>
      <c r="Q5" s="25">
        <f>VLOOKUP(E5, Factor!$CL$5:$CV$50, 9, 0)*P5*VLOOKUP(D5, Factor!$BZ$5:$CJ$49, 11, 0)</f>
        <v>1</v>
      </c>
      <c r="R5" s="25" t="str">
        <f>VLOOKUP(E5, Factor!$CL$5:$CV$50, 10, 0)</f>
        <v>null</v>
      </c>
      <c r="S5" s="25" t="str">
        <f>VLOOKUP(E5, Factor!$CL$5:$CV$50, 11, 0)</f>
        <v>null</v>
      </c>
      <c r="T5" s="25">
        <v>1</v>
      </c>
      <c r="U5" s="25">
        <v>1</v>
      </c>
      <c r="V5" s="25">
        <v>1</v>
      </c>
      <c r="W5" s="25">
        <v>1</v>
      </c>
      <c r="X5" s="25">
        <v>1</v>
      </c>
      <c r="Y5" s="25">
        <v>1</v>
      </c>
      <c r="Z5" s="25">
        <v>1</v>
      </c>
      <c r="AA5" s="25" cm="1">
        <f t="array" ref="AA5">_xlfn.LET(_xlpm.기본_색인번호, 2,
_xlpm.추가_색인번호, 3,
_xlpm.개별보정치, T5,
_xlpm.패턴보정치, VLOOKUP($G5, Factor!$B$5:$I$51, _xlpm.기본_색인번호, 0),
_xlpm.소모탄환보정치, VLOOKUP($H5, Factor!$T$5:$AA$51, _xlpm.기본_색인번호, 0),
_xlpm.지형보정치, VLOOKUP($I5, Factor!$K$12:$R$13, _xlpm.기본_색인번호, 0),
_xlpm.공격속성보정치, VLOOKUP($J5, Factor!$K$5:$R$7, _xlpm.기본_색인번호, 0),
_xlpm.피해범위보정치, INDEX(Factor!$AN$5:$AV$51, _xlfn.XMATCH(IF(OR($G5="blast", $G5="curved",  $G5= "debuff"), $L5, 0), Factor!$AN$5:$AN$51, -1), _xlpm.추가_색인번호)-IF(AND(OR($G5="blast", $G5="curved", $G5= "debuff"), MOD($L5,1)&lt;&gt;0),INDEX(Factor!$AN$5:$AV$51, _xlfn.XMATCH(IF(OR($G5="blast", $G5="curved", $G5= "debuff"), $L5, 0), Factor!$AN$5:$AN$51, -1), 2)*MOD($L5,1)*10,0),
_xlpm.상태이상보정치, VLOOKUP(IF($G5 = "debuff", $M5, "null"), Factor!$AX$5:$BE$51, _xlpm.기본_색인번호, 0),
_xlpm.지속시간보정치, INDEX(Factor!$BG$5:$BO$51, _xlfn.XMATCH(IF(OR($G5 ="debuff", $G5 = "shot", $G5 = "pierce"), $O5, 0), Factor!$BG$5:$BG$51, -1), _xlpm.추가_색인번호)-IF(AND(OR($G5 ="debuff", $G5 = "shot", $G5 = "pierce"), MOD($O5, 1)&lt;&gt;0), 10*MOD($O5, 1)*INDEX(Factor!$BG$5:$BO$51, _xlfn.XMATCH(IF(OR($G5 ="debuff", $G5 = "shot", $G5 = "pierce"), $O5, 0), Factor!$BG$5:$BG$51, -1), 2), 0),
_xlpm.탄환개수보정치, VLOOKUP(IF(OR($G5 = "curved", $G5 = "shot"), $Q5, 1), Factor!$BQ$5:$BX$51, _xlpm.기본_색인번호, 0),
_xlpm.상태이상탄환생성위치보정치, IF($G5 = "debuff", VLOOKUP($R5, Factor!$K$18:$R$19, _xlpm.기본_색인번호, 0),1),
_xlpm.상태이상탄환형태보정치, IF($G5 = "debuff", VLOOKUP($S5, Factor!$K$24:$R$25, _xlpm.기본_색인번호, 0),1),
_xlpm.가격보정치, INDEX(Factor!$AE$5:$AL$51, _xlfn.XMATCH($F5,Factor!$AE$5:$AE$51, -1), _xlpm.기본_색인번호),
_xlpm.구경보정치, VLOOKUP($D5,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10</v>
      </c>
      <c r="AB5" s="25" cm="1">
        <f t="array" ref="AB5">_xlfn.LET(_xlpm.기본_색인번호, 3,
_xlpm.추가_색인번호, 4,
_xlpm.개별보정치, U5,
_xlpm.패턴보정치, VLOOKUP($G5, Factor!$B$5:$I$51, _xlpm.기본_색인번호, 0),
_xlpm.소모탄환보정치, VLOOKUP($H5, Factor!$T$5:$AA$51, _xlpm.기본_색인번호, 0),
_xlpm.지형보정치, VLOOKUP($I5, Factor!$K$12:$R$13, _xlpm.기본_색인번호, 0),
_xlpm.공격속성보정치, VLOOKUP($J5, Factor!$K$5:$R$7, _xlpm.기본_색인번호, 0),
_xlpm.피해범위보정치, INDEX(Factor!$AN$5:$AV$51, _xlfn.XMATCH(IF(OR($G5="blast", $G5="curved",  $G5= "debuff"), $L5, 0), Factor!$AN$5:$AN$51, -1), _xlpm.추가_색인번호)-IF(AND(OR($G5="blast", $G5="curved", $G5= "debuff"), MOD($L5,1)&lt;&gt;0),INDEX(Factor!$AN$5:$AV$51, _xlfn.XMATCH(IF(OR($G5="blast", $G5="curved", $G5= "debuff"), $L5, 0), Factor!$AN$5:$AN$51, -1), 2)*MOD($L5,1)*10,0),
_xlpm.상태이상보정치, VLOOKUP(IF($G5 = "debuff", $M5, "null"), Factor!$AX$5:$BE$51, _xlpm.기본_색인번호, 0),
_xlpm.지속시간보정치, INDEX(Factor!$BG$5:$BO$51, _xlfn.XMATCH(IF(OR($G5 ="debuff", $G5 = "shot", $G5 = "pierce"), $O5, 0), Factor!$BG$5:$BG$51, -1), _xlpm.추가_색인번호)-IF(AND(OR($G5 ="debuff", $G5 = "shot", $G5 = "pierce"), MOD($O5, 1)&lt;&gt;0), 10*MOD($O5, 1)*INDEX(Factor!$BG$5:$BO$51, _xlfn.XMATCH(IF(OR($G5 ="debuff", $G5 = "shot", $G5 = "pierce"), $O5, 0), Factor!$BG$5:$BG$51, -1), 2), 0),
_xlpm.탄환개수보정치, VLOOKUP(IF(OR($G5 = "curved", $G5 = "shot"), $Q5, 1), Factor!$BQ$5:$BX$51, _xlpm.기본_색인번호, 0),
_xlpm.상태이상탄환생성위치보정치, IF($G5 = "debuff", VLOOKUP($R5, Factor!$K$18:$R$19, _xlpm.기본_색인번호, 0),1),
_xlpm.상태이상탄환형태보정치, IF($G5 = "debuff", VLOOKUP($S5, Factor!$K$24:$R$25, _xlpm.기본_색인번호, 0),1),
_xlpm.가격보정치, INDEX(Factor!$AE$5:$AL$51, _xlfn.XMATCH($F5,Factor!$AE$5:$AE$51, -1), _xlpm.기본_색인번호),
_xlpm.구경보정치, VLOOKUP($D5,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4</v>
      </c>
      <c r="AC5" s="25" cm="1">
        <f t="array" ref="AC5">_xlfn.LET(_xlpm.기본_색인번호, 4,
_xlpm.추가_색인번호, 5,
_xlpm.개별보정치, V5,
_xlpm.패턴보정치, VLOOKUP($G5, Factor!$B$5:$I$51, _xlpm.기본_색인번호, 0),
_xlpm.소모탄환보정치, VLOOKUP($H5, Factor!$T$5:$AA$51, _xlpm.기본_색인번호, 0),
_xlpm.지형보정치, VLOOKUP($I5, Factor!$K$12:$R$13, _xlpm.기본_색인번호, 0),
_xlpm.공격속성보정치, VLOOKUP($J5, Factor!$K$5:$R$7, _xlpm.기본_색인번호, 0),
_xlpm.피해범위보정치, INDEX(Factor!$AN$5:$AV$51, _xlfn.XMATCH(IF(OR($G5="blast", $G5="curved",  $G5= "debuff"), $L5, 0), Factor!$AN$5:$AN$51, -1), _xlpm.추가_색인번호)-IF(AND(OR($G5="blast", $G5="curved", $G5= "debuff"), MOD($L5,1)&lt;&gt;0),INDEX(Factor!$AN$5:$AV$51, _xlfn.XMATCH(IF(OR($G5="blast", $G5="curved", $G5= "debuff"), $L5, 0), Factor!$AN$5:$AN$51, -1), 2)*MOD($L5,1)*10,0),
_xlpm.상태이상보정치, VLOOKUP(IF($G5 = "debuff", $M5, "null"), Factor!$AX$5:$BE$51, _xlpm.기본_색인번호, 0),
_xlpm.지속시간보정치, INDEX(Factor!$BG$5:$BO$51, _xlfn.XMATCH(IF(OR($G5 ="debuff", $G5 = "shot", $G5 = "pierce"), $O5, 0), Factor!$BG$5:$BG$51, -1), _xlpm.추가_색인번호)-IF(AND(OR($G5 ="debuff", $G5 = "shot", $G5 = "pierce"), MOD($O5, 1)&lt;&gt;0), 10*MOD($O5, 1)*INDEX(Factor!$BG$5:$BO$51, _xlfn.XMATCH(IF(OR($G5 ="debuff", $G5 = "shot", $G5 = "pierce"), $O5, 0), Factor!$BG$5:$BG$51, -1), 2), 0),
_xlpm.탄환개수보정치, VLOOKUP(IF(OR($G5 = "curved", $G5 = "shot"), $Q5, 1), Factor!$BQ$5:$BX$51, _xlpm.기본_색인번호, 0),
_xlpm.상태이상탄환생성위치보정치, IF($G5 = "debuff", VLOOKUP($R5, Factor!$K$18:$R$19, _xlpm.기본_색인번호, 0),1),
_xlpm.상태이상탄환형태보정치, IF($G5 = "debuff", VLOOKUP($S5, Factor!$K$24:$R$25, _xlpm.기본_색인번호, 0),1),
_xlpm.가격보정치, INDEX(Factor!$AE$5:$AL$51, _xlfn.XMATCH($F5,Factor!$AE$5:$AE$51, -1), _xlpm.기본_색인번호),
_xlpm.구경보정치, VLOOKUP($D5,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D5" s="25" cm="1">
        <f t="array" ref="AD5">_xlfn.LET(_xlpm.기본_색인번호, 5,
_xlpm.추가_색인번호, 6,
_xlpm.개별보정치, W5,
_xlpm.패턴보정치, VLOOKUP($G5, Factor!$B$5:$I$51, _xlpm.기본_색인번호, 0),
_xlpm.소모탄환보정치, VLOOKUP($H5, Factor!$T$5:$AA$51, _xlpm.기본_색인번호, 0),
_xlpm.지형보정치, VLOOKUP($I5, Factor!$K$12:$R$13, _xlpm.기본_색인번호, 0),
_xlpm.공격속성보정치, VLOOKUP($J5, Factor!$K$5:$R$7, _xlpm.기본_색인번호, 0),
_xlpm.피해범위보정치, INDEX(Factor!$AN$5:$AV$51, _xlfn.XMATCH(IF(OR($G5="blast", $G5="curved",  $G5= "debuff"), $L5, 0), Factor!$AN$5:$AN$51, -1), _xlpm.추가_색인번호)-IF(AND(OR($G5="blast", $G5="curved", $G5= "debuff"), MOD($L5,1)&lt;&gt;0),INDEX(Factor!$AN$5:$AV$51, _xlfn.XMATCH(IF(OR($G5="blast", $G5="curved", $G5= "debuff"), $L5, 0), Factor!$AN$5:$AN$51, -1), 2)*MOD($L5,1)*10,0),
_xlpm.상태이상보정치, VLOOKUP(IF($G5 = "debuff", $M5, "null"), Factor!$AX$5:$BE$51, _xlpm.기본_색인번호, 0),
_xlpm.지속시간보정치, INDEX(Factor!$BG$5:$BO$51, _xlfn.XMATCH(IF(OR($G5 ="debuff", $G5 = "shot", $G5 = "pierce"), $O5, 0), Factor!$BG$5:$BG$51, -1), _xlpm.추가_색인번호)-IF(AND(OR($G5 ="debuff", $G5 = "shot", $G5 = "pierce"), MOD($O5, 1)&lt;&gt;0), 10*MOD($O5, 1)*INDEX(Factor!$BG$5:$BO$51, _xlfn.XMATCH(IF(OR($G5 ="debuff", $G5 = "shot", $G5 = "pierce"), $O5, 0), Factor!$BG$5:$BG$51, -1), 2), 0),
_xlpm.탄환개수보정치, VLOOKUP(IF(OR($G5 = "curved", $G5 = "shot"), $Q5, 1), Factor!$BQ$5:$BX$51, _xlpm.기본_색인번호, 0),
_xlpm.상태이상탄환생성위치보정치, IF($G5 = "debuff", VLOOKUP($R5, Factor!$K$18:$R$19, _xlpm.기본_색인번호, 0),1),
_xlpm.상태이상탄환형태보정치, IF($G5 = "debuff", VLOOKUP($S5, Factor!$K$24:$R$25, _xlpm.기본_색인번호, 0),1),
_xlpm.가격보정치, INDEX(Factor!$AE$5:$AL$51, _xlfn.XMATCH($F5,Factor!$AE$5:$AE$51, -1), _xlpm.기본_색인번호),
_xlpm.구경보정치, VLOOKUP($D5,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E5" s="25" cm="1">
        <f t="array" ref="AE5">_xlfn.LET(_xlpm.기본_색인번호, 6,
_xlpm.추가_색인번호, 7,
_xlpm.개별보정치, X5,
_xlpm.패턴보정치, VLOOKUP($G5, Factor!$B$5:$I$51, _xlpm.기본_색인번호, 0),
_xlpm.소모탄환보정치, VLOOKUP($H5, Factor!$T$5:$AA$51, _xlpm.기본_색인번호, 0),
_xlpm.지형보정치, VLOOKUP($I5, Factor!$K$12:$R$13, _xlpm.기본_색인번호, 0),
_xlpm.공격속성보정치, VLOOKUP($J5, Factor!$K$5:$R$7, _xlpm.기본_색인번호, 0),
_xlpm.피해범위보정치, INDEX(Factor!$AN$5:$AV$51, _xlfn.XMATCH(IF(OR($G5="blast", $G5="curved",  $G5= "debuff"), $L5, 0), Factor!$AN$5:$AN$51, -1), _xlpm.추가_색인번호)-IF(AND(OR($G5="blast", $G5="curved", $G5= "debuff"), MOD($L5,1)&lt;&gt;0),INDEX(Factor!$AN$5:$AV$51, _xlfn.XMATCH(IF(OR($G5="blast", $G5="curved", $G5= "debuff"), $L5, 0), Factor!$AN$5:$AN$51, -1), 2)*MOD($L5,1)*10,0),
_xlpm.상태이상보정치, VLOOKUP(IF($G5 = "debuff", $M5, "null"), Factor!$AX$5:$BE$51, _xlpm.기본_색인번호, 0),
_xlpm.지속시간보정치, INDEX(Factor!$BG$5:$BO$51, _xlfn.XMATCH(IF(OR($G5 ="debuff", $G5 = "shot", $G5 = "pierce"), $O5, 0), Factor!$BG$5:$BG$51, -1), _xlpm.추가_색인번호)-IF(AND(OR($G5 ="debuff", $G5 = "shot", $G5 = "pierce"), MOD($O5, 1)&lt;&gt;0), 10*MOD($O5, 1)*INDEX(Factor!$BG$5:$BO$51, _xlfn.XMATCH(IF(OR($G5 ="debuff", $G5 = "shot", $G5 = "pierce"), $O5, 0), Factor!$BG$5:$BG$51, -1), 2), 0),
_xlpm.탄환개수보정치, VLOOKUP(IF(OR($G5 = "curved", $G5 = "shot"), $Q5, 1), Factor!$BQ$5:$BX$51, _xlpm.기본_색인번호, 0),
_xlpm.상태이상탄환생성위치보정치, IF($G5 = "debuff", VLOOKUP($R5, Factor!$K$18:$R$19, _xlpm.기본_색인번호, 0),1),
_xlpm.상태이상탄환형태보정치, IF($G5 = "debuff", VLOOKUP($S5, Factor!$K$24:$R$25, _xlpm.기본_색인번호, 0),1),
_xlpm.가격보정치, INDEX(Factor!$AE$5:$AL$51, _xlfn.XMATCH($F5,Factor!$AE$5:$AE$51, -1), _xlpm.기본_색인번호),
_xlpm.구경보정치, VLOOKUP($D5,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F5" s="25" cm="1">
        <f t="array" ref="AF5">_xlfn.LET(_xlpm.기본_색인번호, 7,
_xlpm.추가_색인번호, 8,
_xlpm.개별보정치, Y5,
_xlpm.패턴보정치, VLOOKUP($G5, Factor!$B$5:$I$51, _xlpm.기본_색인번호, 0),
_xlpm.소모탄환보정치, VLOOKUP($H5, Factor!$T$5:$AA$51, _xlpm.기본_색인번호, 0),
_xlpm.지형보정치, VLOOKUP($I5, Factor!$K$12:$R$13, _xlpm.기본_색인번호, 0),
_xlpm.공격속성보정치, VLOOKUP($J5, Factor!$K$5:$R$7, _xlpm.기본_색인번호, 0),
_xlpm.피해범위보정치, INDEX(Factor!$AN$5:$AV$51, _xlfn.XMATCH(IF(OR($G5="blast", $G5="curved",  $G5= "debuff"), $L5, 0), Factor!$AN$5:$AN$51, -1), _xlpm.추가_색인번호)-IF(AND(OR($G5="blast", $G5="curved", $G5= "debuff"), MOD($L5,1)&lt;&gt;0),INDEX(Factor!$AN$5:$AV$51, _xlfn.XMATCH(IF(OR($G5="blast", $G5="curved", $G5= "debuff"), $L5, 0), Factor!$AN$5:$AN$51, -1), 2)*MOD($L5,1)*10,0),
_xlpm.상태이상보정치, VLOOKUP(IF($G5 = "debuff", $M5, "null"), Factor!$AX$5:$BE$51, _xlpm.기본_색인번호, 0),
_xlpm.지속시간보정치, INDEX(Factor!$BG$5:$BO$51, _xlfn.XMATCH(IF(OR($G5 ="debuff", $G5 = "shot", $G5 = "pierce"), $O5, 0), Factor!$BG$5:$BG$51, -1), _xlpm.추가_색인번호)-IF(AND(OR($G5 ="debuff", $G5 = "shot", $G5 = "pierce"), MOD($O5, 1)&lt;&gt;0), 10*MOD($O5, 1)*INDEX(Factor!$BG$5:$BO$51, _xlfn.XMATCH(IF(OR($G5 ="debuff", $G5 = "shot", $G5 = "pierce"), $O5, 0), Factor!$BG$5:$BG$51, -1), 2), 0),
_xlpm.탄환개수보정치, VLOOKUP(IF(OR($G5 = "curved", $G5 = "shot"), $Q5, 1), Factor!$BQ$5:$BX$51, _xlpm.기본_색인번호, 0),
_xlpm.상태이상탄환생성위치보정치, IF($G5 = "debuff", VLOOKUP($R5, Factor!$K$18:$R$19, _xlpm.기본_색인번호, 0),1),
_xlpm.상태이상탄환형태보정치, IF($G5 = "debuff", VLOOKUP($S5, Factor!$K$24:$R$25, _xlpm.기본_색인번호, 0),1),
_xlpm.가격보정치, INDEX(Factor!$AE$5:$AL$51, _xlfn.XMATCH($F5,Factor!$AE$5:$AE$51, -1), _xlpm.기본_색인번호),
_xlpm.구경보정치, VLOOKUP($D5,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120</v>
      </c>
      <c r="AG5" s="25" cm="1">
        <f t="array" ref="AG5">_xlfn.LET(_xlpm.기본_색인번호, 8,
_xlpm.추가_색인번호, 9,
_xlpm.개별보정치, Z5,
_xlpm.패턴보정치, VLOOKUP($G5, Factor!$B$5:$I$51, _xlpm.기본_색인번호, 0),
_xlpm.소모탄환보정치, VLOOKUP($H5, Factor!$T$5:$AA$51, _xlpm.기본_색인번호, 0),
_xlpm.지형보정치, VLOOKUP($I5, Factor!$K$12:$R$13, _xlpm.기본_색인번호, 0),
_xlpm.공격속성보정치, VLOOKUP($J5, Factor!$K$5:$R$7, _xlpm.기본_색인번호, 0),
_xlpm.피해범위보정치, INDEX(Factor!$AN$5:$AV$51, _xlfn.XMATCH(IF(OR($G5="blast", $G5="curved",  $G5= "debuff"), $L5, 0), Factor!$AN$5:$AN$51, -1), _xlpm.추가_색인번호)-IF(AND(OR($G5="blast", $G5="curved", $G5= "debuff"), MOD($L5,1)&lt;&gt;0),INDEX(Factor!$AN$5:$AV$51, _xlfn.XMATCH(IF(OR($G5="blast", $G5="curved", $G5= "debuff"), $L5, 0), Factor!$AN$5:$AN$51, -1), 2)*MOD($L5,1)*10,0),
_xlpm.상태이상보정치, VLOOKUP(IF($G5 = "debuff", $M5, "null"), Factor!$AX$5:$BE$51, _xlpm.기본_색인번호, 0),
_xlpm.지속시간보정치, INDEX(Factor!$BG$5:$BO$51, _xlfn.XMATCH(IF(OR($G5 ="debuff", $G5 = "shot", $G5 = "pierce"), $O5, 0), Factor!$BG$5:$BG$51, -1), _xlpm.추가_색인번호)-IF(AND(OR($G5 ="debuff", $G5 = "shot", $G5 = "pierce"), MOD($O5, 1)&lt;&gt;0), 10*MOD($O5, 1)*INDEX(Factor!$BG$5:$BO$51, _xlfn.XMATCH(IF(OR($G5 ="debuff", $G5 = "shot", $G5 = "pierce"), $O5, 0), Factor!$BG$5:$BG$51, -1), 2), 0),
_xlpm.탄환개수보정치, VLOOKUP(IF(OR($G5 = "curved", $G5 = "shot"), $Q5, 1), Factor!$BQ$5:$BX$51, _xlpm.기본_색인번호, 0),
_xlpm.상태이상탄환생성위치보정치, IF($G5 = "debuff", VLOOKUP($R5, Factor!$K$18:$R$19, _xlpm.기본_색인번호, 0),1),
_xlpm.상태이상탄환형태보정치, IF($G5 = "debuff", VLOOKUP($S5, Factor!$K$24:$R$25, _xlpm.기본_색인번호, 0),1),
_xlpm.가격보정치, INDEX(Factor!$AE$5:$AL$51, _xlfn.XMATCH($F5,Factor!$AE$5:$AE$51, -1), _xlpm.기본_색인번호),
_xlpm.구경보정치, VLOOKUP($D5,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1</v>
      </c>
      <c r="AH5"/>
      <c r="AI5"/>
      <c r="AJ5"/>
      <c r="AK5"/>
      <c r="AL5"/>
      <c r="AM5"/>
      <c r="AN5"/>
    </row>
    <row r="6" spans="1:40" ht="13.5">
      <c r="A6" s="28" t="e">
        <f>"weapon_"&amp;G6&amp;"_"&amp;VLOOKUP(H6, Factor!$T$5:$AB$7, 9, 0)&amp;"_"&amp;IF(COUNTIFS($G$4:G5, G6, $H$4:H5, H6)+1&gt;=100, COUNTIFS($G$4:G5, G6, $H$4:H5, H6)+1,IF(COUNTIFS($G$4:G5, G6, $H$4:H5, H6)+1&gt;=10, "0"&amp;COUNTIFS($G$4:G5, G6, $H$4:H5, H6)+1, "00"&amp;COUNTIFS($G$4:G5, G6, $H$4:H5, H6)+1))</f>
        <v>#N/A</v>
      </c>
      <c r="B6" s="37" t="str">
        <f t="shared" ref="B6:B54" si="0">C6&amp;" "&amp;IF(D6 = "none","", D6)&amp;E6</f>
        <v xml:space="preserve"> </v>
      </c>
      <c r="C6" s="37"/>
      <c r="D6" s="37"/>
      <c r="E6" s="37"/>
      <c r="F6" s="29" t="e">
        <f>VLOOKUP(C6, Factor!$AD$5:$AE$15, 2, 0)</f>
        <v>#N/A</v>
      </c>
      <c r="G6" s="29" t="e">
        <f>VLOOKUP(E6, Factor!$CL$5:$CV$50, 2, 0)</f>
        <v>#N/A</v>
      </c>
      <c r="H6" s="29" t="e">
        <f>VLOOKUP(E6, Factor!$CL$5:$CV$50, 3, 0)</f>
        <v>#N/A</v>
      </c>
      <c r="I6" s="29" t="e">
        <f>VLOOKUP(E6, Factor!$CL$5:$CV$50, 4, 0)</f>
        <v>#N/A</v>
      </c>
      <c r="J6" s="29" t="e">
        <f>VLOOKUP(E6, Factor!$CL$5:$CV$50, 5, 0)</f>
        <v>#N/A</v>
      </c>
      <c r="K6" s="29">
        <v>1</v>
      </c>
      <c r="L6" s="29" t="e">
        <f>VLOOKUP(E6, Factor!$CL$5:$CV$50, 6, 0)*K6*VLOOKUP(D6, Factor!$BZ$5:$CJ$49, 9, 0)</f>
        <v>#N/A</v>
      </c>
      <c r="M6" s="29" t="e">
        <f>VLOOKUP(E6, Factor!$CL$5:$CV$50, 7, 0)</f>
        <v>#N/A</v>
      </c>
      <c r="N6" s="29">
        <v>1</v>
      </c>
      <c r="O6" s="29" t="e">
        <f>VLOOKUP(E6, Factor!$CL$5:$CV$50, 8, 0)*N6*VLOOKUP(D6, Factor!$BZ$5:$CJ$49, 10, 0)</f>
        <v>#N/A</v>
      </c>
      <c r="P6" s="29">
        <v>1</v>
      </c>
      <c r="Q6" s="29" t="e">
        <f>VLOOKUP(E6, Factor!$CL$5:$CV$50, 9, 0)*P6*VLOOKUP(D6, Factor!$BZ$5:$CJ$49, 11, 0)</f>
        <v>#N/A</v>
      </c>
      <c r="R6" s="29" t="e">
        <f>VLOOKUP(E6, Factor!$CL$5:$CV$50, 10, 0)</f>
        <v>#N/A</v>
      </c>
      <c r="S6" s="29" t="e">
        <f>VLOOKUP(E6, Factor!$CL$5:$CV$50, 11, 0)</f>
        <v>#N/A</v>
      </c>
      <c r="T6" s="29">
        <v>1</v>
      </c>
      <c r="U6" s="29">
        <v>1</v>
      </c>
      <c r="V6" s="29">
        <v>1</v>
      </c>
      <c r="W6" s="29">
        <v>1</v>
      </c>
      <c r="X6" s="29">
        <v>1</v>
      </c>
      <c r="Y6" s="29">
        <v>1</v>
      </c>
      <c r="Z6" s="29">
        <v>1</v>
      </c>
      <c r="AA6" s="29" t="e" cm="1">
        <f t="array" ref="AA6">_xlfn.LET(_xlpm.기본_색인번호, 2,
_xlpm.추가_색인번호, 3,
_xlpm.개별보정치, T6,
_xlpm.패턴보정치, VLOOKUP($G6, Factor!$B$5:$I$51, _xlpm.기본_색인번호, 0),
_xlpm.소모탄환보정치, VLOOKUP($H6, Factor!$T$5:$AA$51, _xlpm.기본_색인번호, 0),
_xlpm.지형보정치, VLOOKUP($I6, Factor!$K$12:$R$13, _xlpm.기본_색인번호, 0),
_xlpm.공격속성보정치, VLOOKUP($J6, Factor!$K$5:$R$7, _xlpm.기본_색인번호, 0),
_xlpm.피해범위보정치, INDEX(Factor!$AN$5:$AV$51, _xlfn.XMATCH(IF(OR($G6="blast", $G6="curved",  $G6= "debuff"), $L6, 0), Factor!$AN$5:$AN$51, -1), _xlpm.추가_색인번호)-IF(AND(OR($G6="blast", $G6="curved", $G6= "debuff"), MOD($L6,1)&lt;&gt;0),INDEX(Factor!$AN$5:$AV$51, _xlfn.XMATCH(IF(OR($G6="blast", $G6="curved", $G6= "debuff"), $L6, 0), Factor!$AN$5:$AN$51, -1), 2)*MOD($L6,1)*10,0),
_xlpm.상태이상보정치, VLOOKUP(IF($G6 = "debuff", $M6, "null"), Factor!$AX$5:$BE$51, _xlpm.기본_색인번호, 0),
_xlpm.지속시간보정치, INDEX(Factor!$BG$5:$BO$51, _xlfn.XMATCH(IF(OR($G6 ="debuff", $G6 = "shot", $G6 = "pierce"), $O6, 0), Factor!$BG$5:$BG$51, -1), _xlpm.추가_색인번호)-IF(AND(OR($G6 ="debuff", $G6 = "shot", $G6 = "pierce"), MOD($O6, 1)&lt;&gt;0), 10*MOD($O6, 1)*INDEX(Factor!$BG$5:$BO$51, _xlfn.XMATCH(IF(OR($G6 ="debuff", $G6 = "shot", $G6 = "pierce"), $O6, 0), Factor!$BG$5:$BG$51, -1), 2), 0),
_xlpm.탄환개수보정치, VLOOKUP(IF(OR($G6 = "curved", $G6 = "shot"), $Q6, 1), Factor!$BQ$5:$BX$51, _xlpm.기본_색인번호, 0),
_xlpm.상태이상탄환생성위치보정치, IF($G6 = "debuff", VLOOKUP($R6, Factor!$K$18:$R$19, _xlpm.기본_색인번호, 0),1),
_xlpm.상태이상탄환형태보정치, IF($G6 = "debuff", VLOOKUP($S6, Factor!$K$24:$R$25, _xlpm.기본_색인번호, 0),1),
_xlpm.가격보정치, INDEX(Factor!$AE$5:$AL$51, _xlfn.XMATCH($F6,Factor!$AE$5:$AE$51, -1), _xlpm.기본_색인번호),
_xlpm.구경보정치, VLOOKUP($D6,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6" s="29" t="e" cm="1">
        <f t="array" ref="AB6">_xlfn.LET(_xlpm.기본_색인번호, 3,
_xlpm.추가_색인번호, 4,
_xlpm.개별보정치, U6,
_xlpm.패턴보정치, VLOOKUP($G6, Factor!$B$5:$I$51, _xlpm.기본_색인번호, 0),
_xlpm.소모탄환보정치, VLOOKUP($H6, Factor!$T$5:$AA$51, _xlpm.기본_색인번호, 0),
_xlpm.지형보정치, VLOOKUP($I6, Factor!$K$12:$R$13, _xlpm.기본_색인번호, 0),
_xlpm.공격속성보정치, VLOOKUP($J6, Factor!$K$5:$R$7, _xlpm.기본_색인번호, 0),
_xlpm.피해범위보정치, INDEX(Factor!$AN$5:$AV$51, _xlfn.XMATCH(IF(OR($G6="blast", $G6="curved",  $G6= "debuff"), $L6, 0), Factor!$AN$5:$AN$51, -1), _xlpm.추가_색인번호)-IF(AND(OR($G6="blast", $G6="curved", $G6= "debuff"), MOD($L6,1)&lt;&gt;0),INDEX(Factor!$AN$5:$AV$51, _xlfn.XMATCH(IF(OR($G6="blast", $G6="curved", $G6= "debuff"), $L6, 0), Factor!$AN$5:$AN$51, -1), 2)*MOD($L6,1)*10,0),
_xlpm.상태이상보정치, VLOOKUP(IF($G6 = "debuff", $M6, "null"), Factor!$AX$5:$BE$51, _xlpm.기본_색인번호, 0),
_xlpm.지속시간보정치, INDEX(Factor!$BG$5:$BO$51, _xlfn.XMATCH(IF(OR($G6 ="debuff", $G6 = "shot", $G6 = "pierce"), $O6, 0), Factor!$BG$5:$BG$51, -1), _xlpm.추가_색인번호)-IF(AND(OR($G6 ="debuff", $G6 = "shot", $G6 = "pierce"), MOD($O6, 1)&lt;&gt;0), 10*MOD($O6, 1)*INDEX(Factor!$BG$5:$BO$51, _xlfn.XMATCH(IF(OR($G6 ="debuff", $G6 = "shot", $G6 = "pierce"), $O6, 0), Factor!$BG$5:$BG$51, -1), 2), 0),
_xlpm.탄환개수보정치, VLOOKUP(IF(OR($G6 = "curved", $G6 = "shot"), $Q6, 1), Factor!$BQ$5:$BX$51, _xlpm.기본_색인번호, 0),
_xlpm.상태이상탄환생성위치보정치, IF($G6 = "debuff", VLOOKUP($R6, Factor!$K$18:$R$19, _xlpm.기본_색인번호, 0),1),
_xlpm.상태이상탄환형태보정치, IF($G6 = "debuff", VLOOKUP($S6, Factor!$K$24:$R$25, _xlpm.기본_색인번호, 0),1),
_xlpm.가격보정치, INDEX(Factor!$AE$5:$AL$51, _xlfn.XMATCH($F6,Factor!$AE$5:$AE$51, -1), _xlpm.기본_색인번호),
_xlpm.구경보정치, VLOOKUP($D6,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6" s="29" t="e" cm="1">
        <f t="array" ref="AC6">_xlfn.LET(_xlpm.기본_색인번호, 4,
_xlpm.추가_색인번호, 5,
_xlpm.개별보정치, V6,
_xlpm.패턴보정치, VLOOKUP($G6, Factor!$B$5:$I$51, _xlpm.기본_색인번호, 0),
_xlpm.소모탄환보정치, VLOOKUP($H6, Factor!$T$5:$AA$51, _xlpm.기본_색인번호, 0),
_xlpm.지형보정치, VLOOKUP($I6, Factor!$K$12:$R$13, _xlpm.기본_색인번호, 0),
_xlpm.공격속성보정치, VLOOKUP($J6, Factor!$K$5:$R$7, _xlpm.기본_색인번호, 0),
_xlpm.피해범위보정치, INDEX(Factor!$AN$5:$AV$51, _xlfn.XMATCH(IF(OR($G6="blast", $G6="curved",  $G6= "debuff"), $L6, 0), Factor!$AN$5:$AN$51, -1), _xlpm.추가_색인번호)-IF(AND(OR($G6="blast", $G6="curved", $G6= "debuff"), MOD($L6,1)&lt;&gt;0),INDEX(Factor!$AN$5:$AV$51, _xlfn.XMATCH(IF(OR($G6="blast", $G6="curved", $G6= "debuff"), $L6, 0), Factor!$AN$5:$AN$51, -1), 2)*MOD($L6,1)*10,0),
_xlpm.상태이상보정치, VLOOKUP(IF($G6 = "debuff", $M6, "null"), Factor!$AX$5:$BE$51, _xlpm.기본_색인번호, 0),
_xlpm.지속시간보정치, INDEX(Factor!$BG$5:$BO$51, _xlfn.XMATCH(IF(OR($G6 ="debuff", $G6 = "shot", $G6 = "pierce"), $O6, 0), Factor!$BG$5:$BG$51, -1), _xlpm.추가_색인번호)-IF(AND(OR($G6 ="debuff", $G6 = "shot", $G6 = "pierce"), MOD($O6, 1)&lt;&gt;0), 10*MOD($O6, 1)*INDEX(Factor!$BG$5:$BO$51, _xlfn.XMATCH(IF(OR($G6 ="debuff", $G6 = "shot", $G6 = "pierce"), $O6, 0), Factor!$BG$5:$BG$51, -1), 2), 0),
_xlpm.탄환개수보정치, VLOOKUP(IF(OR($G6 = "curved", $G6 = "shot"), $Q6, 1), Factor!$BQ$5:$BX$51, _xlpm.기본_색인번호, 0),
_xlpm.상태이상탄환생성위치보정치, IF($G6 = "debuff", VLOOKUP($R6, Factor!$K$18:$R$19, _xlpm.기본_색인번호, 0),1),
_xlpm.상태이상탄환형태보정치, IF($G6 = "debuff", VLOOKUP($S6, Factor!$K$24:$R$25, _xlpm.기본_색인번호, 0),1),
_xlpm.가격보정치, INDEX(Factor!$AE$5:$AL$51, _xlfn.XMATCH($F6,Factor!$AE$5:$AE$51, -1), _xlpm.기본_색인번호),
_xlpm.구경보정치, VLOOKUP($D6,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6" s="29" t="e" cm="1">
        <f t="array" ref="AD6">_xlfn.LET(_xlpm.기본_색인번호, 5,
_xlpm.추가_색인번호, 6,
_xlpm.개별보정치, W6,
_xlpm.패턴보정치, VLOOKUP($G6, Factor!$B$5:$I$51, _xlpm.기본_색인번호, 0),
_xlpm.소모탄환보정치, VLOOKUP($H6, Factor!$T$5:$AA$51, _xlpm.기본_색인번호, 0),
_xlpm.지형보정치, VLOOKUP($I6, Factor!$K$12:$R$13, _xlpm.기본_색인번호, 0),
_xlpm.공격속성보정치, VLOOKUP($J6, Factor!$K$5:$R$7, _xlpm.기본_색인번호, 0),
_xlpm.피해범위보정치, INDEX(Factor!$AN$5:$AV$51, _xlfn.XMATCH(IF(OR($G6="blast", $G6="curved",  $G6= "debuff"), $L6, 0), Factor!$AN$5:$AN$51, -1), _xlpm.추가_색인번호)-IF(AND(OR($G6="blast", $G6="curved", $G6= "debuff"), MOD($L6,1)&lt;&gt;0),INDEX(Factor!$AN$5:$AV$51, _xlfn.XMATCH(IF(OR($G6="blast", $G6="curved", $G6= "debuff"), $L6, 0), Factor!$AN$5:$AN$51, -1), 2)*MOD($L6,1)*10,0),
_xlpm.상태이상보정치, VLOOKUP(IF($G6 = "debuff", $M6, "null"), Factor!$AX$5:$BE$51, _xlpm.기본_색인번호, 0),
_xlpm.지속시간보정치, INDEX(Factor!$BG$5:$BO$51, _xlfn.XMATCH(IF(OR($G6 ="debuff", $G6 = "shot", $G6 = "pierce"), $O6, 0), Factor!$BG$5:$BG$51, -1), _xlpm.추가_색인번호)-IF(AND(OR($G6 ="debuff", $G6 = "shot", $G6 = "pierce"), MOD($O6, 1)&lt;&gt;0), 10*MOD($O6, 1)*INDEX(Factor!$BG$5:$BO$51, _xlfn.XMATCH(IF(OR($G6 ="debuff", $G6 = "shot", $G6 = "pierce"), $O6, 0), Factor!$BG$5:$BG$51, -1), 2), 0),
_xlpm.탄환개수보정치, VLOOKUP(IF(OR($G6 = "curved", $G6 = "shot"), $Q6, 1), Factor!$BQ$5:$BX$51, _xlpm.기본_색인번호, 0),
_xlpm.상태이상탄환생성위치보정치, IF($G6 = "debuff", VLOOKUP($R6, Factor!$K$18:$R$19, _xlpm.기본_색인번호, 0),1),
_xlpm.상태이상탄환형태보정치, IF($G6 = "debuff", VLOOKUP($S6, Factor!$K$24:$R$25, _xlpm.기본_색인번호, 0),1),
_xlpm.가격보정치, INDEX(Factor!$AE$5:$AL$51, _xlfn.XMATCH($F6,Factor!$AE$5:$AE$51, -1), _xlpm.기본_색인번호),
_xlpm.구경보정치, VLOOKUP($D6,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6" s="29" t="e" cm="1">
        <f t="array" ref="AE6">_xlfn.LET(_xlpm.기본_색인번호, 6,
_xlpm.추가_색인번호, 7,
_xlpm.개별보정치, X6,
_xlpm.패턴보정치, VLOOKUP($G6, Factor!$B$5:$I$51, _xlpm.기본_색인번호, 0),
_xlpm.소모탄환보정치, VLOOKUP($H6, Factor!$T$5:$AA$51, _xlpm.기본_색인번호, 0),
_xlpm.지형보정치, VLOOKUP($I6, Factor!$K$12:$R$13, _xlpm.기본_색인번호, 0),
_xlpm.공격속성보정치, VLOOKUP($J6, Factor!$K$5:$R$7, _xlpm.기본_색인번호, 0),
_xlpm.피해범위보정치, INDEX(Factor!$AN$5:$AV$51, _xlfn.XMATCH(IF(OR($G6="blast", $G6="curved",  $G6= "debuff"), $L6, 0), Factor!$AN$5:$AN$51, -1), _xlpm.추가_색인번호)-IF(AND(OR($G6="blast", $G6="curved", $G6= "debuff"), MOD($L6,1)&lt;&gt;0),INDEX(Factor!$AN$5:$AV$51, _xlfn.XMATCH(IF(OR($G6="blast", $G6="curved", $G6= "debuff"), $L6, 0), Factor!$AN$5:$AN$51, -1), 2)*MOD($L6,1)*10,0),
_xlpm.상태이상보정치, VLOOKUP(IF($G6 = "debuff", $M6, "null"), Factor!$AX$5:$BE$51, _xlpm.기본_색인번호, 0),
_xlpm.지속시간보정치, INDEX(Factor!$BG$5:$BO$51, _xlfn.XMATCH(IF(OR($G6 ="debuff", $G6 = "shot", $G6 = "pierce"), $O6, 0), Factor!$BG$5:$BG$51, -1), _xlpm.추가_색인번호)-IF(AND(OR($G6 ="debuff", $G6 = "shot", $G6 = "pierce"), MOD($O6, 1)&lt;&gt;0), 10*MOD($O6, 1)*INDEX(Factor!$BG$5:$BO$51, _xlfn.XMATCH(IF(OR($G6 ="debuff", $G6 = "shot", $G6 = "pierce"), $O6, 0), Factor!$BG$5:$BG$51, -1), 2), 0),
_xlpm.탄환개수보정치, VLOOKUP(IF(OR($G6 = "curved", $G6 = "shot"), $Q6, 1), Factor!$BQ$5:$BX$51, _xlpm.기본_색인번호, 0),
_xlpm.상태이상탄환생성위치보정치, IF($G6 = "debuff", VLOOKUP($R6, Factor!$K$18:$R$19, _xlpm.기본_색인번호, 0),1),
_xlpm.상태이상탄환형태보정치, IF($G6 = "debuff", VLOOKUP($S6, Factor!$K$24:$R$25, _xlpm.기본_색인번호, 0),1),
_xlpm.가격보정치, INDEX(Factor!$AE$5:$AL$51, _xlfn.XMATCH($F6,Factor!$AE$5:$AE$51, -1), _xlpm.기본_색인번호),
_xlpm.구경보정치, VLOOKUP($D6,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6" s="29" t="e" cm="1">
        <f t="array" ref="AF6">_xlfn.LET(_xlpm.기본_색인번호, 7,
_xlpm.추가_색인번호, 8,
_xlpm.개별보정치, Y6,
_xlpm.패턴보정치, VLOOKUP($G6, Factor!$B$5:$I$51, _xlpm.기본_색인번호, 0),
_xlpm.소모탄환보정치, VLOOKUP($H6, Factor!$T$5:$AA$51, _xlpm.기본_색인번호, 0),
_xlpm.지형보정치, VLOOKUP($I6, Factor!$K$12:$R$13, _xlpm.기본_색인번호, 0),
_xlpm.공격속성보정치, VLOOKUP($J6, Factor!$K$5:$R$7, _xlpm.기본_색인번호, 0),
_xlpm.피해범위보정치, INDEX(Factor!$AN$5:$AV$51, _xlfn.XMATCH(IF(OR($G6="blast", $G6="curved",  $G6= "debuff"), $L6, 0), Factor!$AN$5:$AN$51, -1), _xlpm.추가_색인번호)-IF(AND(OR($G6="blast", $G6="curved", $G6= "debuff"), MOD($L6,1)&lt;&gt;0),INDEX(Factor!$AN$5:$AV$51, _xlfn.XMATCH(IF(OR($G6="blast", $G6="curved", $G6= "debuff"), $L6, 0), Factor!$AN$5:$AN$51, -1), 2)*MOD($L6,1)*10,0),
_xlpm.상태이상보정치, VLOOKUP(IF($G6 = "debuff", $M6, "null"), Factor!$AX$5:$BE$51, _xlpm.기본_색인번호, 0),
_xlpm.지속시간보정치, INDEX(Factor!$BG$5:$BO$51, _xlfn.XMATCH(IF(OR($G6 ="debuff", $G6 = "shot", $G6 = "pierce"), $O6, 0), Factor!$BG$5:$BG$51, -1), _xlpm.추가_색인번호)-IF(AND(OR($G6 ="debuff", $G6 = "shot", $G6 = "pierce"), MOD($O6, 1)&lt;&gt;0), 10*MOD($O6, 1)*INDEX(Factor!$BG$5:$BO$51, _xlfn.XMATCH(IF(OR($G6 ="debuff", $G6 = "shot", $G6 = "pierce"), $O6, 0), Factor!$BG$5:$BG$51, -1), 2), 0),
_xlpm.탄환개수보정치, VLOOKUP(IF(OR($G6 = "curved", $G6 = "shot"), $Q6, 1), Factor!$BQ$5:$BX$51, _xlpm.기본_색인번호, 0),
_xlpm.상태이상탄환생성위치보정치, IF($G6 = "debuff", VLOOKUP($R6, Factor!$K$18:$R$19, _xlpm.기본_색인번호, 0),1),
_xlpm.상태이상탄환형태보정치, IF($G6 = "debuff", VLOOKUP($S6, Factor!$K$24:$R$25, _xlpm.기본_색인번호, 0),1),
_xlpm.가격보정치, INDEX(Factor!$AE$5:$AL$51, _xlfn.XMATCH($F6,Factor!$AE$5:$AE$51, -1), _xlpm.기본_색인번호),
_xlpm.구경보정치, VLOOKUP($D6,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6" s="30" t="e" cm="1">
        <f t="array" ref="AG6">_xlfn.LET(_xlpm.기본_색인번호, 8,
_xlpm.추가_색인번호, 9,
_xlpm.개별보정치, Z6,
_xlpm.패턴보정치, VLOOKUP($G6, Factor!$B$5:$I$51, _xlpm.기본_색인번호, 0),
_xlpm.소모탄환보정치, VLOOKUP($H6, Factor!$T$5:$AA$51, _xlpm.기본_색인번호, 0),
_xlpm.지형보정치, VLOOKUP($I6, Factor!$K$12:$R$13, _xlpm.기본_색인번호, 0),
_xlpm.공격속성보정치, VLOOKUP($J6, Factor!$K$5:$R$7, _xlpm.기본_색인번호, 0),
_xlpm.피해범위보정치, INDEX(Factor!$AN$5:$AV$51, _xlfn.XMATCH(IF(OR($G6="blast", $G6="curved",  $G6= "debuff"), $L6, 0), Factor!$AN$5:$AN$51, -1), _xlpm.추가_색인번호)-IF(AND(OR($G6="blast", $G6="curved", $G6= "debuff"), MOD($L6,1)&lt;&gt;0),INDEX(Factor!$AN$5:$AV$51, _xlfn.XMATCH(IF(OR($G6="blast", $G6="curved", $G6= "debuff"), $L6, 0), Factor!$AN$5:$AN$51, -1), 2)*MOD($L6,1)*10,0),
_xlpm.상태이상보정치, VLOOKUP(IF($G6 = "debuff", $M6, "null"), Factor!$AX$5:$BE$51, _xlpm.기본_색인번호, 0),
_xlpm.지속시간보정치, INDEX(Factor!$BG$5:$BO$51, _xlfn.XMATCH(IF(OR($G6 ="debuff", $G6 = "shot", $G6 = "pierce"), $O6, 0), Factor!$BG$5:$BG$51, -1), _xlpm.추가_색인번호)-IF(AND(OR($G6 ="debuff", $G6 = "shot", $G6 = "pierce"), MOD($O6, 1)&lt;&gt;0), 10*MOD($O6, 1)*INDEX(Factor!$BG$5:$BO$51, _xlfn.XMATCH(IF(OR($G6 ="debuff", $G6 = "shot", $G6 = "pierce"), $O6, 0), Factor!$BG$5:$BG$51, -1), 2), 0),
_xlpm.탄환개수보정치, VLOOKUP(IF(OR($G6 = "curved", $G6 = "shot"), $Q6, 1), Factor!$BQ$5:$BX$51, _xlpm.기본_색인번호, 0),
_xlpm.상태이상탄환생성위치보정치, IF($G6 = "debuff", VLOOKUP($R6, Factor!$K$18:$R$19, _xlpm.기본_색인번호, 0),1),
_xlpm.상태이상탄환형태보정치, IF($G6 = "debuff", VLOOKUP($S6, Factor!$K$24:$R$25, _xlpm.기본_색인번호, 0),1),
_xlpm.가격보정치, INDEX(Factor!$AE$5:$AL$51, _xlfn.XMATCH($F6,Factor!$AE$5:$AE$51, -1), _xlpm.기본_색인번호),
_xlpm.구경보정치, VLOOKUP($D6,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6"/>
      <c r="AI6"/>
      <c r="AJ6"/>
      <c r="AK6"/>
      <c r="AL6"/>
      <c r="AM6"/>
      <c r="AN6"/>
    </row>
    <row r="7" spans="1:40" ht="13.5">
      <c r="A7" s="24" t="e">
        <f>"weapon_"&amp;G7&amp;"_"&amp;VLOOKUP(H7, Factor!$T$5:$AB$7, 9, 0)&amp;"_"&amp;IF(COUNTIFS($G$4:G6, G7, $H$4:H6, H7)+1&gt;=100, COUNTIFS($G$4:G6, G7, $H$4:H6, H7)+1,IF(COUNTIFS($G$4:G6, G7, $H$4:H6, H7)+1&gt;=10, "0"&amp;COUNTIFS($G$4:G6, G7, $H$4:H6, H7)+1, "00"&amp;COUNTIFS($G$4:G6, G7, $H$4:H6, H7)+1))</f>
        <v>#N/A</v>
      </c>
      <c r="B7" s="36" t="str">
        <f t="shared" si="0"/>
        <v xml:space="preserve"> </v>
      </c>
      <c r="C7" s="36"/>
      <c r="D7" s="36"/>
      <c r="E7" s="36"/>
      <c r="F7" s="25" t="e">
        <f>VLOOKUP(C7, Factor!$AD$5:$AE$15, 2, 0)</f>
        <v>#N/A</v>
      </c>
      <c r="G7" s="26" t="e">
        <f>VLOOKUP(E7, Factor!$CL$5:$CV$50, 2, 0)</f>
        <v>#N/A</v>
      </c>
      <c r="H7" s="25" t="e">
        <f>VLOOKUP(E7, Factor!$CL$5:$CV$50, 3, 0)</f>
        <v>#N/A</v>
      </c>
      <c r="I7" s="25" t="e">
        <f>VLOOKUP(E7, Factor!$CL$5:$CV$50, 4, 0)</f>
        <v>#N/A</v>
      </c>
      <c r="J7" s="25" t="e">
        <f>VLOOKUP(E7, Factor!$CL$5:$CV$50, 5, 0)</f>
        <v>#N/A</v>
      </c>
      <c r="K7" s="25">
        <v>1</v>
      </c>
      <c r="L7" s="25" t="e">
        <f>VLOOKUP(E7, Factor!$CL$5:$CV$50, 6, 0)*K7*VLOOKUP(D7, Factor!$BZ$5:$CJ$49, 9, 0)</f>
        <v>#N/A</v>
      </c>
      <c r="M7" s="25" t="e">
        <f>VLOOKUP(E7, Factor!$CL$5:$CV$50, 7, 0)</f>
        <v>#N/A</v>
      </c>
      <c r="N7" s="25">
        <v>1</v>
      </c>
      <c r="O7" s="25" t="e">
        <f>VLOOKUP(E7, Factor!$CL$5:$CV$50, 8, 0)*N7*VLOOKUP(D7, Factor!$BZ$5:$CJ$49, 10, 0)</f>
        <v>#N/A</v>
      </c>
      <c r="P7" s="25">
        <v>1</v>
      </c>
      <c r="Q7" s="25" t="e">
        <f>VLOOKUP(E7, Factor!$CL$5:$CV$50, 9, 0)*P7*VLOOKUP(D7, Factor!$BZ$5:$CJ$49, 11, 0)</f>
        <v>#N/A</v>
      </c>
      <c r="R7" s="25" t="e">
        <f>VLOOKUP(E7, Factor!$CL$5:$CV$50, 10, 0)</f>
        <v>#N/A</v>
      </c>
      <c r="S7" s="25" t="e">
        <f>VLOOKUP(E7, Factor!$CL$5:$CV$50, 11, 0)</f>
        <v>#N/A</v>
      </c>
      <c r="T7" s="25">
        <v>1</v>
      </c>
      <c r="U7" s="25">
        <v>1</v>
      </c>
      <c r="V7" s="25">
        <v>1</v>
      </c>
      <c r="W7" s="25">
        <v>1</v>
      </c>
      <c r="X7" s="25">
        <v>1</v>
      </c>
      <c r="Y7" s="25">
        <v>1</v>
      </c>
      <c r="Z7" s="25">
        <v>1</v>
      </c>
      <c r="AA7" s="25" t="e" cm="1">
        <f t="array" ref="AA7">_xlfn.LET(_xlpm.기본_색인번호, 2,
_xlpm.추가_색인번호, 3,
_xlpm.개별보정치, T7,
_xlpm.패턴보정치, VLOOKUP($G7, Factor!$B$5:$I$51, _xlpm.기본_색인번호, 0),
_xlpm.소모탄환보정치, VLOOKUP($H7, Factor!$T$5:$AA$51, _xlpm.기본_색인번호, 0),
_xlpm.지형보정치, VLOOKUP($I7, Factor!$K$12:$R$13, _xlpm.기본_색인번호, 0),
_xlpm.공격속성보정치, VLOOKUP($J7, Factor!$K$5:$R$7, _xlpm.기본_색인번호, 0),
_xlpm.피해범위보정치, INDEX(Factor!$AN$5:$AV$51, _xlfn.XMATCH(IF(OR($G7="blast", $G7="curved",  $G7= "debuff"), $L7, 0), Factor!$AN$5:$AN$51, -1), _xlpm.추가_색인번호)-IF(AND(OR($G7="blast", $G7="curved", $G7= "debuff"), MOD($L7,1)&lt;&gt;0),INDEX(Factor!$AN$5:$AV$51, _xlfn.XMATCH(IF(OR($G7="blast", $G7="curved", $G7= "debuff"), $L7, 0), Factor!$AN$5:$AN$51, -1), 2)*MOD($L7,1)*10,0),
_xlpm.상태이상보정치, VLOOKUP(IF($G7 = "debuff", $M7, "null"), Factor!$AX$5:$BE$51, _xlpm.기본_색인번호, 0),
_xlpm.지속시간보정치, INDEX(Factor!$BG$5:$BO$51, _xlfn.XMATCH(IF(OR($G7 ="debuff", $G7 = "shot", $G7 = "pierce"), $O7, 0), Factor!$BG$5:$BG$51, -1), _xlpm.추가_색인번호)-IF(AND(OR($G7 ="debuff", $G7 = "shot", $G7 = "pierce"), MOD($O7, 1)&lt;&gt;0), 10*MOD($O7, 1)*INDEX(Factor!$BG$5:$BO$51, _xlfn.XMATCH(IF(OR($G7 ="debuff", $G7 = "shot", $G7 = "pierce"), $O7, 0), Factor!$BG$5:$BG$51, -1), 2), 0),
_xlpm.탄환개수보정치, VLOOKUP(IF(OR($G7 = "curved", $G7 = "shot"), $Q7, 1), Factor!$BQ$5:$BX$51, _xlpm.기본_색인번호, 0),
_xlpm.상태이상탄환생성위치보정치, IF($G7 = "debuff", VLOOKUP($R7, Factor!$K$18:$R$19, _xlpm.기본_색인번호, 0),1),
_xlpm.상태이상탄환형태보정치, IF($G7 = "debuff", VLOOKUP($S7, Factor!$K$24:$R$25, _xlpm.기본_색인번호, 0),1),
_xlpm.가격보정치, INDEX(Factor!$AE$5:$AL$51, _xlfn.XMATCH($F7,Factor!$AE$5:$AE$51, -1), _xlpm.기본_색인번호),
_xlpm.구경보정치, VLOOKUP($D7,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7" s="25" t="e" cm="1">
        <f t="array" ref="AB7">_xlfn.LET(_xlpm.기본_색인번호, 3,
_xlpm.추가_색인번호, 4,
_xlpm.개별보정치, U7,
_xlpm.패턴보정치, VLOOKUP($G7, Factor!$B$5:$I$51, _xlpm.기본_색인번호, 0),
_xlpm.소모탄환보정치, VLOOKUP($H7, Factor!$T$5:$AA$51, _xlpm.기본_색인번호, 0),
_xlpm.지형보정치, VLOOKUP($I7, Factor!$K$12:$R$13, _xlpm.기본_색인번호, 0),
_xlpm.공격속성보정치, VLOOKUP($J7, Factor!$K$5:$R$7, _xlpm.기본_색인번호, 0),
_xlpm.피해범위보정치, INDEX(Factor!$AN$5:$AV$51, _xlfn.XMATCH(IF(OR($G7="blast", $G7="curved",  $G7= "debuff"), $L7, 0), Factor!$AN$5:$AN$51, -1), _xlpm.추가_색인번호)-IF(AND(OR($G7="blast", $G7="curved", $G7= "debuff"), MOD($L7,1)&lt;&gt;0),INDEX(Factor!$AN$5:$AV$51, _xlfn.XMATCH(IF(OR($G7="blast", $G7="curved", $G7= "debuff"), $L7, 0), Factor!$AN$5:$AN$51, -1), 2)*MOD($L7,1)*10,0),
_xlpm.상태이상보정치, VLOOKUP(IF($G7 = "debuff", $M7, "null"), Factor!$AX$5:$BE$51, _xlpm.기본_색인번호, 0),
_xlpm.지속시간보정치, INDEX(Factor!$BG$5:$BO$51, _xlfn.XMATCH(IF(OR($G7 ="debuff", $G7 = "shot", $G7 = "pierce"), $O7, 0), Factor!$BG$5:$BG$51, -1), _xlpm.추가_색인번호)-IF(AND(OR($G7 ="debuff", $G7 = "shot", $G7 = "pierce"), MOD($O7, 1)&lt;&gt;0), 10*MOD($O7, 1)*INDEX(Factor!$BG$5:$BO$51, _xlfn.XMATCH(IF(OR($G7 ="debuff", $G7 = "shot", $G7 = "pierce"), $O7, 0), Factor!$BG$5:$BG$51, -1), 2), 0),
_xlpm.탄환개수보정치, VLOOKUP(IF(OR($G7 = "curved", $G7 = "shot"), $Q7, 1), Factor!$BQ$5:$BX$51, _xlpm.기본_색인번호, 0),
_xlpm.상태이상탄환생성위치보정치, IF($G7 = "debuff", VLOOKUP($R7, Factor!$K$18:$R$19, _xlpm.기본_색인번호, 0),1),
_xlpm.상태이상탄환형태보정치, IF($G7 = "debuff", VLOOKUP($S7, Factor!$K$24:$R$25, _xlpm.기본_색인번호, 0),1),
_xlpm.가격보정치, INDEX(Factor!$AE$5:$AL$51, _xlfn.XMATCH($F7,Factor!$AE$5:$AE$51, -1), _xlpm.기본_색인번호),
_xlpm.구경보정치, VLOOKUP($D7,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7" s="25" t="e" cm="1">
        <f t="array" ref="AC7">_xlfn.LET(_xlpm.기본_색인번호, 4,
_xlpm.추가_색인번호, 5,
_xlpm.개별보정치, V7,
_xlpm.패턴보정치, VLOOKUP($G7, Factor!$B$5:$I$51, _xlpm.기본_색인번호, 0),
_xlpm.소모탄환보정치, VLOOKUP($H7, Factor!$T$5:$AA$51, _xlpm.기본_색인번호, 0),
_xlpm.지형보정치, VLOOKUP($I7, Factor!$K$12:$R$13, _xlpm.기본_색인번호, 0),
_xlpm.공격속성보정치, VLOOKUP($J7, Factor!$K$5:$R$7, _xlpm.기본_색인번호, 0),
_xlpm.피해범위보정치, INDEX(Factor!$AN$5:$AV$51, _xlfn.XMATCH(IF(OR($G7="blast", $G7="curved",  $G7= "debuff"), $L7, 0), Factor!$AN$5:$AN$51, -1), _xlpm.추가_색인번호)-IF(AND(OR($G7="blast", $G7="curved", $G7= "debuff"), MOD($L7,1)&lt;&gt;0),INDEX(Factor!$AN$5:$AV$51, _xlfn.XMATCH(IF(OR($G7="blast", $G7="curved", $G7= "debuff"), $L7, 0), Factor!$AN$5:$AN$51, -1), 2)*MOD($L7,1)*10,0),
_xlpm.상태이상보정치, VLOOKUP(IF($G7 = "debuff", $M7, "null"), Factor!$AX$5:$BE$51, _xlpm.기본_색인번호, 0),
_xlpm.지속시간보정치, INDEX(Factor!$BG$5:$BO$51, _xlfn.XMATCH(IF(OR($G7 ="debuff", $G7 = "shot", $G7 = "pierce"), $O7, 0), Factor!$BG$5:$BG$51, -1), _xlpm.추가_색인번호)-IF(AND(OR($G7 ="debuff", $G7 = "shot", $G7 = "pierce"), MOD($O7, 1)&lt;&gt;0), 10*MOD($O7, 1)*INDEX(Factor!$BG$5:$BO$51, _xlfn.XMATCH(IF(OR($G7 ="debuff", $G7 = "shot", $G7 = "pierce"), $O7, 0), Factor!$BG$5:$BG$51, -1), 2), 0),
_xlpm.탄환개수보정치, VLOOKUP(IF(OR($G7 = "curved", $G7 = "shot"), $Q7, 1), Factor!$BQ$5:$BX$51, _xlpm.기본_색인번호, 0),
_xlpm.상태이상탄환생성위치보정치, IF($G7 = "debuff", VLOOKUP($R7, Factor!$K$18:$R$19, _xlpm.기본_색인번호, 0),1),
_xlpm.상태이상탄환형태보정치, IF($G7 = "debuff", VLOOKUP($S7, Factor!$K$24:$R$25, _xlpm.기본_색인번호, 0),1),
_xlpm.가격보정치, INDEX(Factor!$AE$5:$AL$51, _xlfn.XMATCH($F7,Factor!$AE$5:$AE$51, -1), _xlpm.기본_색인번호),
_xlpm.구경보정치, VLOOKUP($D7,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7" s="25" t="e" cm="1">
        <f t="array" ref="AD7">_xlfn.LET(_xlpm.기본_색인번호, 5,
_xlpm.추가_색인번호, 6,
_xlpm.개별보정치, W7,
_xlpm.패턴보정치, VLOOKUP($G7, Factor!$B$5:$I$51, _xlpm.기본_색인번호, 0),
_xlpm.소모탄환보정치, VLOOKUP($H7, Factor!$T$5:$AA$51, _xlpm.기본_색인번호, 0),
_xlpm.지형보정치, VLOOKUP($I7, Factor!$K$12:$R$13, _xlpm.기본_색인번호, 0),
_xlpm.공격속성보정치, VLOOKUP($J7, Factor!$K$5:$R$7, _xlpm.기본_색인번호, 0),
_xlpm.피해범위보정치, INDEX(Factor!$AN$5:$AV$51, _xlfn.XMATCH(IF(OR($G7="blast", $G7="curved",  $G7= "debuff"), $L7, 0), Factor!$AN$5:$AN$51, -1), _xlpm.추가_색인번호)-IF(AND(OR($G7="blast", $G7="curved", $G7= "debuff"), MOD($L7,1)&lt;&gt;0),INDEX(Factor!$AN$5:$AV$51, _xlfn.XMATCH(IF(OR($G7="blast", $G7="curved", $G7= "debuff"), $L7, 0), Factor!$AN$5:$AN$51, -1), 2)*MOD($L7,1)*10,0),
_xlpm.상태이상보정치, VLOOKUP(IF($G7 = "debuff", $M7, "null"), Factor!$AX$5:$BE$51, _xlpm.기본_색인번호, 0),
_xlpm.지속시간보정치, INDEX(Factor!$BG$5:$BO$51, _xlfn.XMATCH(IF(OR($G7 ="debuff", $G7 = "shot", $G7 = "pierce"), $O7, 0), Factor!$BG$5:$BG$51, -1), _xlpm.추가_색인번호)-IF(AND(OR($G7 ="debuff", $G7 = "shot", $G7 = "pierce"), MOD($O7, 1)&lt;&gt;0), 10*MOD($O7, 1)*INDEX(Factor!$BG$5:$BO$51, _xlfn.XMATCH(IF(OR($G7 ="debuff", $G7 = "shot", $G7 = "pierce"), $O7, 0), Factor!$BG$5:$BG$51, -1), 2), 0),
_xlpm.탄환개수보정치, VLOOKUP(IF(OR($G7 = "curved", $G7 = "shot"), $Q7, 1), Factor!$BQ$5:$BX$51, _xlpm.기본_색인번호, 0),
_xlpm.상태이상탄환생성위치보정치, IF($G7 = "debuff", VLOOKUP($R7, Factor!$K$18:$R$19, _xlpm.기본_색인번호, 0),1),
_xlpm.상태이상탄환형태보정치, IF($G7 = "debuff", VLOOKUP($S7, Factor!$K$24:$R$25, _xlpm.기본_색인번호, 0),1),
_xlpm.가격보정치, INDEX(Factor!$AE$5:$AL$51, _xlfn.XMATCH($F7,Factor!$AE$5:$AE$51, -1), _xlpm.기본_색인번호),
_xlpm.구경보정치, VLOOKUP($D7,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7" s="25" t="e" cm="1">
        <f t="array" ref="AE7">_xlfn.LET(_xlpm.기본_색인번호, 6,
_xlpm.추가_색인번호, 7,
_xlpm.개별보정치, X7,
_xlpm.패턴보정치, VLOOKUP($G7, Factor!$B$5:$I$51, _xlpm.기본_색인번호, 0),
_xlpm.소모탄환보정치, VLOOKUP($H7, Factor!$T$5:$AA$51, _xlpm.기본_색인번호, 0),
_xlpm.지형보정치, VLOOKUP($I7, Factor!$K$12:$R$13, _xlpm.기본_색인번호, 0),
_xlpm.공격속성보정치, VLOOKUP($J7, Factor!$K$5:$R$7, _xlpm.기본_색인번호, 0),
_xlpm.피해범위보정치, INDEX(Factor!$AN$5:$AV$51, _xlfn.XMATCH(IF(OR($G7="blast", $G7="curved",  $G7= "debuff"), $L7, 0), Factor!$AN$5:$AN$51, -1), _xlpm.추가_색인번호)-IF(AND(OR($G7="blast", $G7="curved", $G7= "debuff"), MOD($L7,1)&lt;&gt;0),INDEX(Factor!$AN$5:$AV$51, _xlfn.XMATCH(IF(OR($G7="blast", $G7="curved", $G7= "debuff"), $L7, 0), Factor!$AN$5:$AN$51, -1), 2)*MOD($L7,1)*10,0),
_xlpm.상태이상보정치, VLOOKUP(IF($G7 = "debuff", $M7, "null"), Factor!$AX$5:$BE$51, _xlpm.기본_색인번호, 0),
_xlpm.지속시간보정치, INDEX(Factor!$BG$5:$BO$51, _xlfn.XMATCH(IF(OR($G7 ="debuff", $G7 = "shot", $G7 = "pierce"), $O7, 0), Factor!$BG$5:$BG$51, -1), _xlpm.추가_색인번호)-IF(AND(OR($G7 ="debuff", $G7 = "shot", $G7 = "pierce"), MOD($O7, 1)&lt;&gt;0), 10*MOD($O7, 1)*INDEX(Factor!$BG$5:$BO$51, _xlfn.XMATCH(IF(OR($G7 ="debuff", $G7 = "shot", $G7 = "pierce"), $O7, 0), Factor!$BG$5:$BG$51, -1), 2), 0),
_xlpm.탄환개수보정치, VLOOKUP(IF(OR($G7 = "curved", $G7 = "shot"), $Q7, 1), Factor!$BQ$5:$BX$51, _xlpm.기본_색인번호, 0),
_xlpm.상태이상탄환생성위치보정치, IF($G7 = "debuff", VLOOKUP($R7, Factor!$K$18:$R$19, _xlpm.기본_색인번호, 0),1),
_xlpm.상태이상탄환형태보정치, IF($G7 = "debuff", VLOOKUP($S7, Factor!$K$24:$R$25, _xlpm.기본_색인번호, 0),1),
_xlpm.가격보정치, INDEX(Factor!$AE$5:$AL$51, _xlfn.XMATCH($F7,Factor!$AE$5:$AE$51, -1), _xlpm.기본_색인번호),
_xlpm.구경보정치, VLOOKUP($D7,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7" s="25" t="e" cm="1">
        <f t="array" ref="AF7">_xlfn.LET(_xlpm.기본_색인번호, 7,
_xlpm.추가_색인번호, 8,
_xlpm.개별보정치, Y7,
_xlpm.패턴보정치, VLOOKUP($G7, Factor!$B$5:$I$51, _xlpm.기본_색인번호, 0),
_xlpm.소모탄환보정치, VLOOKUP($H7, Factor!$T$5:$AA$51, _xlpm.기본_색인번호, 0),
_xlpm.지형보정치, VLOOKUP($I7, Factor!$K$12:$R$13, _xlpm.기본_색인번호, 0),
_xlpm.공격속성보정치, VLOOKUP($J7, Factor!$K$5:$R$7, _xlpm.기본_색인번호, 0),
_xlpm.피해범위보정치, INDEX(Factor!$AN$5:$AV$51, _xlfn.XMATCH(IF(OR($G7="blast", $G7="curved",  $G7= "debuff"), $L7, 0), Factor!$AN$5:$AN$51, -1), _xlpm.추가_색인번호)-IF(AND(OR($G7="blast", $G7="curved", $G7= "debuff"), MOD($L7,1)&lt;&gt;0),INDEX(Factor!$AN$5:$AV$51, _xlfn.XMATCH(IF(OR($G7="blast", $G7="curved", $G7= "debuff"), $L7, 0), Factor!$AN$5:$AN$51, -1), 2)*MOD($L7,1)*10,0),
_xlpm.상태이상보정치, VLOOKUP(IF($G7 = "debuff", $M7, "null"), Factor!$AX$5:$BE$51, _xlpm.기본_색인번호, 0),
_xlpm.지속시간보정치, INDEX(Factor!$BG$5:$BO$51, _xlfn.XMATCH(IF(OR($G7 ="debuff", $G7 = "shot", $G7 = "pierce"), $O7, 0), Factor!$BG$5:$BG$51, -1), _xlpm.추가_색인번호)-IF(AND(OR($G7 ="debuff", $G7 = "shot", $G7 = "pierce"), MOD($O7, 1)&lt;&gt;0), 10*MOD($O7, 1)*INDEX(Factor!$BG$5:$BO$51, _xlfn.XMATCH(IF(OR($G7 ="debuff", $G7 = "shot", $G7 = "pierce"), $O7, 0), Factor!$BG$5:$BG$51, -1), 2), 0),
_xlpm.탄환개수보정치, VLOOKUP(IF(OR($G7 = "curved", $G7 = "shot"), $Q7, 1), Factor!$BQ$5:$BX$51, _xlpm.기본_색인번호, 0),
_xlpm.상태이상탄환생성위치보정치, IF($G7 = "debuff", VLOOKUP($R7, Factor!$K$18:$R$19, _xlpm.기본_색인번호, 0),1),
_xlpm.상태이상탄환형태보정치, IF($G7 = "debuff", VLOOKUP($S7, Factor!$K$24:$R$25, _xlpm.기본_색인번호, 0),1),
_xlpm.가격보정치, INDEX(Factor!$AE$5:$AL$51, _xlfn.XMATCH($F7,Factor!$AE$5:$AE$51, -1), _xlpm.기본_색인번호),
_xlpm.구경보정치, VLOOKUP($D7,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7" s="27" t="e" cm="1">
        <f t="array" ref="AG7">_xlfn.LET(_xlpm.기본_색인번호, 8,
_xlpm.추가_색인번호, 9,
_xlpm.개별보정치, Z7,
_xlpm.패턴보정치, VLOOKUP($G7, Factor!$B$5:$I$51, _xlpm.기본_색인번호, 0),
_xlpm.소모탄환보정치, VLOOKUP($H7, Factor!$T$5:$AA$51, _xlpm.기본_색인번호, 0),
_xlpm.지형보정치, VLOOKUP($I7, Factor!$K$12:$R$13, _xlpm.기본_색인번호, 0),
_xlpm.공격속성보정치, VLOOKUP($J7, Factor!$K$5:$R$7, _xlpm.기본_색인번호, 0),
_xlpm.피해범위보정치, INDEX(Factor!$AN$5:$AV$51, _xlfn.XMATCH(IF(OR($G7="blast", $G7="curved",  $G7= "debuff"), $L7, 0), Factor!$AN$5:$AN$51, -1), _xlpm.추가_색인번호)-IF(AND(OR($G7="blast", $G7="curved", $G7= "debuff"), MOD($L7,1)&lt;&gt;0),INDEX(Factor!$AN$5:$AV$51, _xlfn.XMATCH(IF(OR($G7="blast", $G7="curved", $G7= "debuff"), $L7, 0), Factor!$AN$5:$AN$51, -1), 2)*MOD($L7,1)*10,0),
_xlpm.상태이상보정치, VLOOKUP(IF($G7 = "debuff", $M7, "null"), Factor!$AX$5:$BE$51, _xlpm.기본_색인번호, 0),
_xlpm.지속시간보정치, INDEX(Factor!$BG$5:$BO$51, _xlfn.XMATCH(IF(OR($G7 ="debuff", $G7 = "shot", $G7 = "pierce"), $O7, 0), Factor!$BG$5:$BG$51, -1), _xlpm.추가_색인번호)-IF(AND(OR($G7 ="debuff", $G7 = "shot", $G7 = "pierce"), MOD($O7, 1)&lt;&gt;0), 10*MOD($O7, 1)*INDEX(Factor!$BG$5:$BO$51, _xlfn.XMATCH(IF(OR($G7 ="debuff", $G7 = "shot", $G7 = "pierce"), $O7, 0), Factor!$BG$5:$BG$51, -1), 2), 0),
_xlpm.탄환개수보정치, VLOOKUP(IF(OR($G7 = "curved", $G7 = "shot"), $Q7, 1), Factor!$BQ$5:$BX$51, _xlpm.기본_색인번호, 0),
_xlpm.상태이상탄환생성위치보정치, IF($G7 = "debuff", VLOOKUP($R7, Factor!$K$18:$R$19, _xlpm.기본_색인번호, 0),1),
_xlpm.상태이상탄환형태보정치, IF($G7 = "debuff", VLOOKUP($S7, Factor!$K$24:$R$25, _xlpm.기본_색인번호, 0),1),
_xlpm.가격보정치, INDEX(Factor!$AE$5:$AL$51, _xlfn.XMATCH($F7,Factor!$AE$5:$AE$51, -1), _xlpm.기본_색인번호),
_xlpm.구경보정치, VLOOKUP($D7,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7"/>
      <c r="AI7"/>
      <c r="AJ7"/>
      <c r="AK7"/>
      <c r="AL7"/>
      <c r="AM7"/>
      <c r="AN7"/>
    </row>
    <row r="8" spans="1:40" ht="13.5">
      <c r="A8" s="28" t="e">
        <f>"weapon_"&amp;G8&amp;"_"&amp;VLOOKUP(H8, Factor!$T$5:$AB$7, 9, 0)&amp;"_"&amp;IF(COUNTIFS($G$4:G7, G8, $H$4:H7, H8)+1&gt;=100, COUNTIFS($G$4:G7, G8, $H$4:H7, H8)+1,IF(COUNTIFS($G$4:G7, G8, $H$4:H7, H8)+1&gt;=10, "0"&amp;COUNTIFS($G$4:G7, G8, $H$4:H7, H8)+1, "00"&amp;COUNTIFS($G$4:G7, G8, $H$4:H7, H8)+1))</f>
        <v>#N/A</v>
      </c>
      <c r="B8" s="37" t="str">
        <f t="shared" si="0"/>
        <v xml:space="preserve"> </v>
      </c>
      <c r="C8" s="37"/>
      <c r="D8" s="37"/>
      <c r="E8" s="37"/>
      <c r="F8" s="29" t="e">
        <f>VLOOKUP(C8, Factor!$AD$5:$AE$15, 2, 0)</f>
        <v>#N/A</v>
      </c>
      <c r="G8" s="29" t="e">
        <f>VLOOKUP(E8, Factor!$CL$5:$CV$50, 2, 0)</f>
        <v>#N/A</v>
      </c>
      <c r="H8" s="29" t="e">
        <f>VLOOKUP(E8, Factor!$CL$5:$CV$50, 3, 0)</f>
        <v>#N/A</v>
      </c>
      <c r="I8" s="29" t="e">
        <f>VLOOKUP(E8, Factor!$CL$5:$CV$50, 4, 0)</f>
        <v>#N/A</v>
      </c>
      <c r="J8" s="29" t="e">
        <f>VLOOKUP(E8, Factor!$CL$5:$CV$50, 5, 0)</f>
        <v>#N/A</v>
      </c>
      <c r="K8" s="29">
        <v>1</v>
      </c>
      <c r="L8" s="29" t="e">
        <f>VLOOKUP(E8, Factor!$CL$5:$CV$50, 6, 0)*K8*VLOOKUP(D8, Factor!$BZ$5:$CJ$49, 9, 0)</f>
        <v>#N/A</v>
      </c>
      <c r="M8" s="29" t="e">
        <f>VLOOKUP(E8, Factor!$CL$5:$CV$50, 7, 0)</f>
        <v>#N/A</v>
      </c>
      <c r="N8" s="29">
        <v>1</v>
      </c>
      <c r="O8" s="29" t="e">
        <f>VLOOKUP(E8, Factor!$CL$5:$CV$50, 8, 0)*N8*VLOOKUP(D8, Factor!$BZ$5:$CJ$49, 10, 0)</f>
        <v>#N/A</v>
      </c>
      <c r="P8" s="29">
        <v>1</v>
      </c>
      <c r="Q8" s="29" t="e">
        <f>VLOOKUP(E8, Factor!$CL$5:$CV$50, 9, 0)*P8*VLOOKUP(D8, Factor!$BZ$5:$CJ$49, 11, 0)</f>
        <v>#N/A</v>
      </c>
      <c r="R8" s="29" t="e">
        <f>VLOOKUP(E8, Factor!$CL$5:$CV$50, 10, 0)</f>
        <v>#N/A</v>
      </c>
      <c r="S8" s="29" t="e">
        <f>VLOOKUP(E8, Factor!$CL$5:$CV$50, 11, 0)</f>
        <v>#N/A</v>
      </c>
      <c r="T8" s="29">
        <v>1</v>
      </c>
      <c r="U8" s="29">
        <v>1</v>
      </c>
      <c r="V8" s="29">
        <v>1</v>
      </c>
      <c r="W8" s="29">
        <v>1</v>
      </c>
      <c r="X8" s="29">
        <v>1</v>
      </c>
      <c r="Y8" s="29">
        <v>1</v>
      </c>
      <c r="Z8" s="29">
        <v>1</v>
      </c>
      <c r="AA8" s="29" t="e" cm="1">
        <f t="array" ref="AA8">_xlfn.LET(_xlpm.기본_색인번호, 2,
_xlpm.추가_색인번호, 3,
_xlpm.개별보정치, T8,
_xlpm.패턴보정치, VLOOKUP($G8, Factor!$B$5:$I$51, _xlpm.기본_색인번호, 0),
_xlpm.소모탄환보정치, VLOOKUP($H8, Factor!$T$5:$AA$51, _xlpm.기본_색인번호, 0),
_xlpm.지형보정치, VLOOKUP($I8, Factor!$K$12:$R$13, _xlpm.기본_색인번호, 0),
_xlpm.공격속성보정치, VLOOKUP($J8, Factor!$K$5:$R$7, _xlpm.기본_색인번호, 0),
_xlpm.피해범위보정치, INDEX(Factor!$AN$5:$AV$51, _xlfn.XMATCH(IF(OR($G8="blast", $G8="curved",  $G8= "debuff"), $L8, 0), Factor!$AN$5:$AN$51, -1), _xlpm.추가_색인번호)-IF(AND(OR($G8="blast", $G8="curved", $G8= "debuff"), MOD($L8,1)&lt;&gt;0),INDEX(Factor!$AN$5:$AV$51, _xlfn.XMATCH(IF(OR($G8="blast", $G8="curved", $G8= "debuff"), $L8, 0), Factor!$AN$5:$AN$51, -1), 2)*MOD($L8,1)*10,0),
_xlpm.상태이상보정치, VLOOKUP(IF($G8 = "debuff", $M8, "null"), Factor!$AX$5:$BE$51, _xlpm.기본_색인번호, 0),
_xlpm.지속시간보정치, INDEX(Factor!$BG$5:$BO$51, _xlfn.XMATCH(IF(OR($G8 ="debuff", $G8 = "shot", $G8 = "pierce"), $O8, 0), Factor!$BG$5:$BG$51, -1), _xlpm.추가_색인번호)-IF(AND(OR($G8 ="debuff", $G8 = "shot", $G8 = "pierce"), MOD($O8, 1)&lt;&gt;0), 10*MOD($O8, 1)*INDEX(Factor!$BG$5:$BO$51, _xlfn.XMATCH(IF(OR($G8 ="debuff", $G8 = "shot", $G8 = "pierce"), $O8, 0), Factor!$BG$5:$BG$51, -1), 2), 0),
_xlpm.탄환개수보정치, VLOOKUP(IF(OR($G8 = "curved", $G8 = "shot"), $Q8, 1), Factor!$BQ$5:$BX$51, _xlpm.기본_색인번호, 0),
_xlpm.상태이상탄환생성위치보정치, IF($G8 = "debuff", VLOOKUP($R8, Factor!$K$18:$R$19, _xlpm.기본_색인번호, 0),1),
_xlpm.상태이상탄환형태보정치, IF($G8 = "debuff", VLOOKUP($S8, Factor!$K$24:$R$25, _xlpm.기본_색인번호, 0),1),
_xlpm.가격보정치, INDEX(Factor!$AE$5:$AL$51, _xlfn.XMATCH($F8,Factor!$AE$5:$AE$51, -1), _xlpm.기본_색인번호),
_xlpm.구경보정치, VLOOKUP($D8,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8" s="29" t="e" cm="1">
        <f t="array" ref="AB8">_xlfn.LET(_xlpm.기본_색인번호, 3,
_xlpm.추가_색인번호, 4,
_xlpm.개별보정치, U8,
_xlpm.패턴보정치, VLOOKUP($G8, Factor!$B$5:$I$51, _xlpm.기본_색인번호, 0),
_xlpm.소모탄환보정치, VLOOKUP($H8, Factor!$T$5:$AA$51, _xlpm.기본_색인번호, 0),
_xlpm.지형보정치, VLOOKUP($I8, Factor!$K$12:$R$13, _xlpm.기본_색인번호, 0),
_xlpm.공격속성보정치, VLOOKUP($J8, Factor!$K$5:$R$7, _xlpm.기본_색인번호, 0),
_xlpm.피해범위보정치, INDEX(Factor!$AN$5:$AV$51, _xlfn.XMATCH(IF(OR($G8="blast", $G8="curved",  $G8= "debuff"), $L8, 0), Factor!$AN$5:$AN$51, -1), _xlpm.추가_색인번호)-IF(AND(OR($G8="blast", $G8="curved", $G8= "debuff"), MOD($L8,1)&lt;&gt;0),INDEX(Factor!$AN$5:$AV$51, _xlfn.XMATCH(IF(OR($G8="blast", $G8="curved", $G8= "debuff"), $L8, 0), Factor!$AN$5:$AN$51, -1), 2)*MOD($L8,1)*10,0),
_xlpm.상태이상보정치, VLOOKUP(IF($G8 = "debuff", $M8, "null"), Factor!$AX$5:$BE$51, _xlpm.기본_색인번호, 0),
_xlpm.지속시간보정치, INDEX(Factor!$BG$5:$BO$51, _xlfn.XMATCH(IF(OR($G8 ="debuff", $G8 = "shot", $G8 = "pierce"), $O8, 0), Factor!$BG$5:$BG$51, -1), _xlpm.추가_색인번호)-IF(AND(OR($G8 ="debuff", $G8 = "shot", $G8 = "pierce"), MOD($O8, 1)&lt;&gt;0), 10*MOD($O8, 1)*INDEX(Factor!$BG$5:$BO$51, _xlfn.XMATCH(IF(OR($G8 ="debuff", $G8 = "shot", $G8 = "pierce"), $O8, 0), Factor!$BG$5:$BG$51, -1), 2), 0),
_xlpm.탄환개수보정치, VLOOKUP(IF(OR($G8 = "curved", $G8 = "shot"), $Q8, 1), Factor!$BQ$5:$BX$51, _xlpm.기본_색인번호, 0),
_xlpm.상태이상탄환생성위치보정치, IF($G8 = "debuff", VLOOKUP($R8, Factor!$K$18:$R$19, _xlpm.기본_색인번호, 0),1),
_xlpm.상태이상탄환형태보정치, IF($G8 = "debuff", VLOOKUP($S8, Factor!$K$24:$R$25, _xlpm.기본_색인번호, 0),1),
_xlpm.가격보정치, INDEX(Factor!$AE$5:$AL$51, _xlfn.XMATCH($F8,Factor!$AE$5:$AE$51, -1), _xlpm.기본_색인번호),
_xlpm.구경보정치, VLOOKUP($D8,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8" s="29" t="e" cm="1">
        <f t="array" ref="AC8">_xlfn.LET(_xlpm.기본_색인번호, 4,
_xlpm.추가_색인번호, 5,
_xlpm.개별보정치, V8,
_xlpm.패턴보정치, VLOOKUP($G8, Factor!$B$5:$I$51, _xlpm.기본_색인번호, 0),
_xlpm.소모탄환보정치, VLOOKUP($H8, Factor!$T$5:$AA$51, _xlpm.기본_색인번호, 0),
_xlpm.지형보정치, VLOOKUP($I8, Factor!$K$12:$R$13, _xlpm.기본_색인번호, 0),
_xlpm.공격속성보정치, VLOOKUP($J8, Factor!$K$5:$R$7, _xlpm.기본_색인번호, 0),
_xlpm.피해범위보정치, INDEX(Factor!$AN$5:$AV$51, _xlfn.XMATCH(IF(OR($G8="blast", $G8="curved",  $G8= "debuff"), $L8, 0), Factor!$AN$5:$AN$51, -1), _xlpm.추가_색인번호)-IF(AND(OR($G8="blast", $G8="curved", $G8= "debuff"), MOD($L8,1)&lt;&gt;0),INDEX(Factor!$AN$5:$AV$51, _xlfn.XMATCH(IF(OR($G8="blast", $G8="curved", $G8= "debuff"), $L8, 0), Factor!$AN$5:$AN$51, -1), 2)*MOD($L8,1)*10,0),
_xlpm.상태이상보정치, VLOOKUP(IF($G8 = "debuff", $M8, "null"), Factor!$AX$5:$BE$51, _xlpm.기본_색인번호, 0),
_xlpm.지속시간보정치, INDEX(Factor!$BG$5:$BO$51, _xlfn.XMATCH(IF(OR($G8 ="debuff", $G8 = "shot", $G8 = "pierce"), $O8, 0), Factor!$BG$5:$BG$51, -1), _xlpm.추가_색인번호)-IF(AND(OR($G8 ="debuff", $G8 = "shot", $G8 = "pierce"), MOD($O8, 1)&lt;&gt;0), 10*MOD($O8, 1)*INDEX(Factor!$BG$5:$BO$51, _xlfn.XMATCH(IF(OR($G8 ="debuff", $G8 = "shot", $G8 = "pierce"), $O8, 0), Factor!$BG$5:$BG$51, -1), 2), 0),
_xlpm.탄환개수보정치, VLOOKUP(IF(OR($G8 = "curved", $G8 = "shot"), $Q8, 1), Factor!$BQ$5:$BX$51, _xlpm.기본_색인번호, 0),
_xlpm.상태이상탄환생성위치보정치, IF($G8 = "debuff", VLOOKUP($R8, Factor!$K$18:$R$19, _xlpm.기본_색인번호, 0),1),
_xlpm.상태이상탄환형태보정치, IF($G8 = "debuff", VLOOKUP($S8, Factor!$K$24:$R$25, _xlpm.기본_색인번호, 0),1),
_xlpm.가격보정치, INDEX(Factor!$AE$5:$AL$51, _xlfn.XMATCH($F8,Factor!$AE$5:$AE$51, -1), _xlpm.기본_색인번호),
_xlpm.구경보정치, VLOOKUP($D8,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8" s="29" t="e" cm="1">
        <f t="array" ref="AD8">_xlfn.LET(_xlpm.기본_색인번호, 5,
_xlpm.추가_색인번호, 6,
_xlpm.개별보정치, W8,
_xlpm.패턴보정치, VLOOKUP($G8, Factor!$B$5:$I$51, _xlpm.기본_색인번호, 0),
_xlpm.소모탄환보정치, VLOOKUP($H8, Factor!$T$5:$AA$51, _xlpm.기본_색인번호, 0),
_xlpm.지형보정치, VLOOKUP($I8, Factor!$K$12:$R$13, _xlpm.기본_색인번호, 0),
_xlpm.공격속성보정치, VLOOKUP($J8, Factor!$K$5:$R$7, _xlpm.기본_색인번호, 0),
_xlpm.피해범위보정치, INDEX(Factor!$AN$5:$AV$51, _xlfn.XMATCH(IF(OR($G8="blast", $G8="curved",  $G8= "debuff"), $L8, 0), Factor!$AN$5:$AN$51, -1), _xlpm.추가_색인번호)-IF(AND(OR($G8="blast", $G8="curved", $G8= "debuff"), MOD($L8,1)&lt;&gt;0),INDEX(Factor!$AN$5:$AV$51, _xlfn.XMATCH(IF(OR($G8="blast", $G8="curved", $G8= "debuff"), $L8, 0), Factor!$AN$5:$AN$51, -1), 2)*MOD($L8,1)*10,0),
_xlpm.상태이상보정치, VLOOKUP(IF($G8 = "debuff", $M8, "null"), Factor!$AX$5:$BE$51, _xlpm.기본_색인번호, 0),
_xlpm.지속시간보정치, INDEX(Factor!$BG$5:$BO$51, _xlfn.XMATCH(IF(OR($G8 ="debuff", $G8 = "shot", $G8 = "pierce"), $O8, 0), Factor!$BG$5:$BG$51, -1), _xlpm.추가_색인번호)-IF(AND(OR($G8 ="debuff", $G8 = "shot", $G8 = "pierce"), MOD($O8, 1)&lt;&gt;0), 10*MOD($O8, 1)*INDEX(Factor!$BG$5:$BO$51, _xlfn.XMATCH(IF(OR($G8 ="debuff", $G8 = "shot", $G8 = "pierce"), $O8, 0), Factor!$BG$5:$BG$51, -1), 2), 0),
_xlpm.탄환개수보정치, VLOOKUP(IF(OR($G8 = "curved", $G8 = "shot"), $Q8, 1), Factor!$BQ$5:$BX$51, _xlpm.기본_색인번호, 0),
_xlpm.상태이상탄환생성위치보정치, IF($G8 = "debuff", VLOOKUP($R8, Factor!$K$18:$R$19, _xlpm.기본_색인번호, 0),1),
_xlpm.상태이상탄환형태보정치, IF($G8 = "debuff", VLOOKUP($S8, Factor!$K$24:$R$25, _xlpm.기본_색인번호, 0),1),
_xlpm.가격보정치, INDEX(Factor!$AE$5:$AL$51, _xlfn.XMATCH($F8,Factor!$AE$5:$AE$51, -1), _xlpm.기본_색인번호),
_xlpm.구경보정치, VLOOKUP($D8,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8" s="29" t="e" cm="1">
        <f t="array" ref="AE8">_xlfn.LET(_xlpm.기본_색인번호, 6,
_xlpm.추가_색인번호, 7,
_xlpm.개별보정치, X8,
_xlpm.패턴보정치, VLOOKUP($G8, Factor!$B$5:$I$51, _xlpm.기본_색인번호, 0),
_xlpm.소모탄환보정치, VLOOKUP($H8, Factor!$T$5:$AA$51, _xlpm.기본_색인번호, 0),
_xlpm.지형보정치, VLOOKUP($I8, Factor!$K$12:$R$13, _xlpm.기본_색인번호, 0),
_xlpm.공격속성보정치, VLOOKUP($J8, Factor!$K$5:$R$7, _xlpm.기본_색인번호, 0),
_xlpm.피해범위보정치, INDEX(Factor!$AN$5:$AV$51, _xlfn.XMATCH(IF(OR($G8="blast", $G8="curved",  $G8= "debuff"), $L8, 0), Factor!$AN$5:$AN$51, -1), _xlpm.추가_색인번호)-IF(AND(OR($G8="blast", $G8="curved", $G8= "debuff"), MOD($L8,1)&lt;&gt;0),INDEX(Factor!$AN$5:$AV$51, _xlfn.XMATCH(IF(OR($G8="blast", $G8="curved", $G8= "debuff"), $L8, 0), Factor!$AN$5:$AN$51, -1), 2)*MOD($L8,1)*10,0),
_xlpm.상태이상보정치, VLOOKUP(IF($G8 = "debuff", $M8, "null"), Factor!$AX$5:$BE$51, _xlpm.기본_색인번호, 0),
_xlpm.지속시간보정치, INDEX(Factor!$BG$5:$BO$51, _xlfn.XMATCH(IF(OR($G8 ="debuff", $G8 = "shot", $G8 = "pierce"), $O8, 0), Factor!$BG$5:$BG$51, -1), _xlpm.추가_색인번호)-IF(AND(OR($G8 ="debuff", $G8 = "shot", $G8 = "pierce"), MOD($O8, 1)&lt;&gt;0), 10*MOD($O8, 1)*INDEX(Factor!$BG$5:$BO$51, _xlfn.XMATCH(IF(OR($G8 ="debuff", $G8 = "shot", $G8 = "pierce"), $O8, 0), Factor!$BG$5:$BG$51, -1), 2), 0),
_xlpm.탄환개수보정치, VLOOKUP(IF(OR($G8 = "curved", $G8 = "shot"), $Q8, 1), Factor!$BQ$5:$BX$51, _xlpm.기본_색인번호, 0),
_xlpm.상태이상탄환생성위치보정치, IF($G8 = "debuff", VLOOKUP($R8, Factor!$K$18:$R$19, _xlpm.기본_색인번호, 0),1),
_xlpm.상태이상탄환형태보정치, IF($G8 = "debuff", VLOOKUP($S8, Factor!$K$24:$R$25, _xlpm.기본_색인번호, 0),1),
_xlpm.가격보정치, INDEX(Factor!$AE$5:$AL$51, _xlfn.XMATCH($F8,Factor!$AE$5:$AE$51, -1), _xlpm.기본_색인번호),
_xlpm.구경보정치, VLOOKUP($D8,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8" s="29" t="e" cm="1">
        <f t="array" ref="AF8">_xlfn.LET(_xlpm.기본_색인번호, 7,
_xlpm.추가_색인번호, 8,
_xlpm.개별보정치, Y8,
_xlpm.패턴보정치, VLOOKUP($G8, Factor!$B$5:$I$51, _xlpm.기본_색인번호, 0),
_xlpm.소모탄환보정치, VLOOKUP($H8, Factor!$T$5:$AA$51, _xlpm.기본_색인번호, 0),
_xlpm.지형보정치, VLOOKUP($I8, Factor!$K$12:$R$13, _xlpm.기본_색인번호, 0),
_xlpm.공격속성보정치, VLOOKUP($J8, Factor!$K$5:$R$7, _xlpm.기본_색인번호, 0),
_xlpm.피해범위보정치, INDEX(Factor!$AN$5:$AV$51, _xlfn.XMATCH(IF(OR($G8="blast", $G8="curved",  $G8= "debuff"), $L8, 0), Factor!$AN$5:$AN$51, -1), _xlpm.추가_색인번호)-IF(AND(OR($G8="blast", $G8="curved", $G8= "debuff"), MOD($L8,1)&lt;&gt;0),INDEX(Factor!$AN$5:$AV$51, _xlfn.XMATCH(IF(OR($G8="blast", $G8="curved", $G8= "debuff"), $L8, 0), Factor!$AN$5:$AN$51, -1), 2)*MOD($L8,1)*10,0),
_xlpm.상태이상보정치, VLOOKUP(IF($G8 = "debuff", $M8, "null"), Factor!$AX$5:$BE$51, _xlpm.기본_색인번호, 0),
_xlpm.지속시간보정치, INDEX(Factor!$BG$5:$BO$51, _xlfn.XMATCH(IF(OR($G8 ="debuff", $G8 = "shot", $G8 = "pierce"), $O8, 0), Factor!$BG$5:$BG$51, -1), _xlpm.추가_색인번호)-IF(AND(OR($G8 ="debuff", $G8 = "shot", $G8 = "pierce"), MOD($O8, 1)&lt;&gt;0), 10*MOD($O8, 1)*INDEX(Factor!$BG$5:$BO$51, _xlfn.XMATCH(IF(OR($G8 ="debuff", $G8 = "shot", $G8 = "pierce"), $O8, 0), Factor!$BG$5:$BG$51, -1), 2), 0),
_xlpm.탄환개수보정치, VLOOKUP(IF(OR($G8 = "curved", $G8 = "shot"), $Q8, 1), Factor!$BQ$5:$BX$51, _xlpm.기본_색인번호, 0),
_xlpm.상태이상탄환생성위치보정치, IF($G8 = "debuff", VLOOKUP($R8, Factor!$K$18:$R$19, _xlpm.기본_색인번호, 0),1),
_xlpm.상태이상탄환형태보정치, IF($G8 = "debuff", VLOOKUP($S8, Factor!$K$24:$R$25, _xlpm.기본_색인번호, 0),1),
_xlpm.가격보정치, INDEX(Factor!$AE$5:$AL$51, _xlfn.XMATCH($F8,Factor!$AE$5:$AE$51, -1), _xlpm.기본_색인번호),
_xlpm.구경보정치, VLOOKUP($D8,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8" s="30" t="e" cm="1">
        <f t="array" ref="AG8">_xlfn.LET(_xlpm.기본_색인번호, 8,
_xlpm.추가_색인번호, 9,
_xlpm.개별보정치, Z8,
_xlpm.패턴보정치, VLOOKUP($G8, Factor!$B$5:$I$51, _xlpm.기본_색인번호, 0),
_xlpm.소모탄환보정치, VLOOKUP($H8, Factor!$T$5:$AA$51, _xlpm.기본_색인번호, 0),
_xlpm.지형보정치, VLOOKUP($I8, Factor!$K$12:$R$13, _xlpm.기본_색인번호, 0),
_xlpm.공격속성보정치, VLOOKUP($J8, Factor!$K$5:$R$7, _xlpm.기본_색인번호, 0),
_xlpm.피해범위보정치, INDEX(Factor!$AN$5:$AV$51, _xlfn.XMATCH(IF(OR($G8="blast", $G8="curved",  $G8= "debuff"), $L8, 0), Factor!$AN$5:$AN$51, -1), _xlpm.추가_색인번호)-IF(AND(OR($G8="blast", $G8="curved", $G8= "debuff"), MOD($L8,1)&lt;&gt;0),INDEX(Factor!$AN$5:$AV$51, _xlfn.XMATCH(IF(OR($G8="blast", $G8="curved", $G8= "debuff"), $L8, 0), Factor!$AN$5:$AN$51, -1), 2)*MOD($L8,1)*10,0),
_xlpm.상태이상보정치, VLOOKUP(IF($G8 = "debuff", $M8, "null"), Factor!$AX$5:$BE$51, _xlpm.기본_색인번호, 0),
_xlpm.지속시간보정치, INDEX(Factor!$BG$5:$BO$51, _xlfn.XMATCH(IF(OR($G8 ="debuff", $G8 = "shot", $G8 = "pierce"), $O8, 0), Factor!$BG$5:$BG$51, -1), _xlpm.추가_색인번호)-IF(AND(OR($G8 ="debuff", $G8 = "shot", $G8 = "pierce"), MOD($O8, 1)&lt;&gt;0), 10*MOD($O8, 1)*INDEX(Factor!$BG$5:$BO$51, _xlfn.XMATCH(IF(OR($G8 ="debuff", $G8 = "shot", $G8 = "pierce"), $O8, 0), Factor!$BG$5:$BG$51, -1), 2), 0),
_xlpm.탄환개수보정치, VLOOKUP(IF(OR($G8 = "curved", $G8 = "shot"), $Q8, 1), Factor!$BQ$5:$BX$51, _xlpm.기본_색인번호, 0),
_xlpm.상태이상탄환생성위치보정치, IF($G8 = "debuff", VLOOKUP($R8, Factor!$K$18:$R$19, _xlpm.기본_색인번호, 0),1),
_xlpm.상태이상탄환형태보정치, IF($G8 = "debuff", VLOOKUP($S8, Factor!$K$24:$R$25, _xlpm.기본_색인번호, 0),1),
_xlpm.가격보정치, INDEX(Factor!$AE$5:$AL$51, _xlfn.XMATCH($F8,Factor!$AE$5:$AE$51, -1), _xlpm.기본_색인번호),
_xlpm.구경보정치, VLOOKUP($D8,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8"/>
      <c r="AI8"/>
      <c r="AJ8"/>
      <c r="AK8"/>
      <c r="AL8"/>
      <c r="AM8"/>
      <c r="AN8"/>
    </row>
    <row r="9" spans="1:40" ht="13.5">
      <c r="A9" s="24" t="e">
        <f>"weapon_"&amp;G9&amp;"_"&amp;VLOOKUP(H9, Factor!$T$5:$AB$7, 9, 0)&amp;"_"&amp;IF(COUNTIFS($G$4:G8, G9, $H$4:H8, H9)+1&gt;=100, COUNTIFS($G$4:G8, G9, $H$4:H8, H9)+1,IF(COUNTIFS($G$4:G8, G9, $H$4:H8, H9)+1&gt;=10, "0"&amp;COUNTIFS($G$4:G8, G9, $H$4:H8, H9)+1, "00"&amp;COUNTIFS($G$4:G8, G9, $H$4:H8, H9)+1))</f>
        <v>#N/A</v>
      </c>
      <c r="B9" s="36" t="str">
        <f t="shared" si="0"/>
        <v xml:space="preserve"> </v>
      </c>
      <c r="C9" s="36"/>
      <c r="D9" s="36"/>
      <c r="E9" s="36"/>
      <c r="F9" s="25" t="e">
        <f>VLOOKUP(C9, Factor!$AD$5:$AE$15, 2, 0)</f>
        <v>#N/A</v>
      </c>
      <c r="G9" s="26" t="e">
        <f>VLOOKUP(E9, Factor!$CL$5:$CV$50, 2, 0)</f>
        <v>#N/A</v>
      </c>
      <c r="H9" s="25" t="e">
        <f>VLOOKUP(E9, Factor!$CL$5:$CV$50, 3, 0)</f>
        <v>#N/A</v>
      </c>
      <c r="I9" s="25" t="e">
        <f>VLOOKUP(E9, Factor!$CL$5:$CV$50, 4, 0)</f>
        <v>#N/A</v>
      </c>
      <c r="J9" s="25" t="e">
        <f>VLOOKUP(E9, Factor!$CL$5:$CV$50, 5, 0)</f>
        <v>#N/A</v>
      </c>
      <c r="K9" s="25">
        <v>1</v>
      </c>
      <c r="L9" s="25" t="e">
        <f>VLOOKUP(E9, Factor!$CL$5:$CV$50, 6, 0)*K9*VLOOKUP(D9, Factor!$BZ$5:$CJ$49, 9, 0)</f>
        <v>#N/A</v>
      </c>
      <c r="M9" s="25" t="e">
        <f>VLOOKUP(E9, Factor!$CL$5:$CV$50, 7, 0)</f>
        <v>#N/A</v>
      </c>
      <c r="N9" s="25">
        <v>1</v>
      </c>
      <c r="O9" s="25" t="e">
        <f>VLOOKUP(E9, Factor!$CL$5:$CV$50, 8, 0)*N9*VLOOKUP(D9, Factor!$BZ$5:$CJ$49, 10, 0)</f>
        <v>#N/A</v>
      </c>
      <c r="P9" s="25">
        <v>1</v>
      </c>
      <c r="Q9" s="25" t="e">
        <f>VLOOKUP(E9, Factor!$CL$5:$CV$50, 9, 0)*P9*VLOOKUP(D9, Factor!$BZ$5:$CJ$49, 11, 0)</f>
        <v>#N/A</v>
      </c>
      <c r="R9" s="25" t="e">
        <f>VLOOKUP(E9, Factor!$CL$5:$CV$50, 10, 0)</f>
        <v>#N/A</v>
      </c>
      <c r="S9" s="25" t="e">
        <f>VLOOKUP(E9, Factor!$CL$5:$CV$50, 11, 0)</f>
        <v>#N/A</v>
      </c>
      <c r="T9" s="25">
        <v>1</v>
      </c>
      <c r="U9" s="25">
        <v>1</v>
      </c>
      <c r="V9" s="25">
        <v>1</v>
      </c>
      <c r="W9" s="25">
        <v>1</v>
      </c>
      <c r="X9" s="25">
        <v>1</v>
      </c>
      <c r="Y9" s="25">
        <v>1</v>
      </c>
      <c r="Z9" s="25">
        <v>1</v>
      </c>
      <c r="AA9" s="25" t="e" cm="1">
        <f t="array" ref="AA9">_xlfn.LET(_xlpm.기본_색인번호, 2,
_xlpm.추가_색인번호, 3,
_xlpm.개별보정치, T9,
_xlpm.패턴보정치, VLOOKUP($G9, Factor!$B$5:$I$51, _xlpm.기본_색인번호, 0),
_xlpm.소모탄환보정치, VLOOKUP($H9, Factor!$T$5:$AA$51, _xlpm.기본_색인번호, 0),
_xlpm.지형보정치, VLOOKUP($I9, Factor!$K$12:$R$13, _xlpm.기본_색인번호, 0),
_xlpm.공격속성보정치, VLOOKUP($J9, Factor!$K$5:$R$7, _xlpm.기본_색인번호, 0),
_xlpm.피해범위보정치, INDEX(Factor!$AN$5:$AV$51, _xlfn.XMATCH(IF(OR($G9="blast", $G9="curved",  $G9= "debuff"), $L9, 0), Factor!$AN$5:$AN$51, -1), _xlpm.추가_색인번호)-IF(AND(OR($G9="blast", $G9="curved", $G9= "debuff"), MOD($L9,1)&lt;&gt;0),INDEX(Factor!$AN$5:$AV$51, _xlfn.XMATCH(IF(OR($G9="blast", $G9="curved", $G9= "debuff"), $L9, 0), Factor!$AN$5:$AN$51, -1), 2)*MOD($L9,1)*10,0),
_xlpm.상태이상보정치, VLOOKUP(IF($G9 = "debuff", $M9, "null"), Factor!$AX$5:$BE$51, _xlpm.기본_색인번호, 0),
_xlpm.지속시간보정치, INDEX(Factor!$BG$5:$BO$51, _xlfn.XMATCH(IF(OR($G9 ="debuff", $G9 = "shot", $G9 = "pierce"), $O9, 0), Factor!$BG$5:$BG$51, -1), _xlpm.추가_색인번호)-IF(AND(OR($G9 ="debuff", $G9 = "shot", $G9 = "pierce"), MOD($O9, 1)&lt;&gt;0), 10*MOD($O9, 1)*INDEX(Factor!$BG$5:$BO$51, _xlfn.XMATCH(IF(OR($G9 ="debuff", $G9 = "shot", $G9 = "pierce"), $O9, 0), Factor!$BG$5:$BG$51, -1), 2), 0),
_xlpm.탄환개수보정치, VLOOKUP(IF(OR($G9 = "curved", $G9 = "shot"), $Q9, 1), Factor!$BQ$5:$BX$51, _xlpm.기본_색인번호, 0),
_xlpm.상태이상탄환생성위치보정치, IF($G9 = "debuff", VLOOKUP($R9, Factor!$K$18:$R$19, _xlpm.기본_색인번호, 0),1),
_xlpm.상태이상탄환형태보정치, IF($G9 = "debuff", VLOOKUP($S9, Factor!$K$24:$R$25, _xlpm.기본_색인번호, 0),1),
_xlpm.가격보정치, INDEX(Factor!$AE$5:$AL$51, _xlfn.XMATCH($F9,Factor!$AE$5:$AE$51, -1), _xlpm.기본_색인번호),
_xlpm.구경보정치, VLOOKUP($D9,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9" s="25" t="e" cm="1">
        <f t="array" ref="AB9">_xlfn.LET(_xlpm.기본_색인번호, 3,
_xlpm.추가_색인번호, 4,
_xlpm.개별보정치, U9,
_xlpm.패턴보정치, VLOOKUP($G9, Factor!$B$5:$I$51, _xlpm.기본_색인번호, 0),
_xlpm.소모탄환보정치, VLOOKUP($H9, Factor!$T$5:$AA$51, _xlpm.기본_색인번호, 0),
_xlpm.지형보정치, VLOOKUP($I9, Factor!$K$12:$R$13, _xlpm.기본_색인번호, 0),
_xlpm.공격속성보정치, VLOOKUP($J9, Factor!$K$5:$R$7, _xlpm.기본_색인번호, 0),
_xlpm.피해범위보정치, INDEX(Factor!$AN$5:$AV$51, _xlfn.XMATCH(IF(OR($G9="blast", $G9="curved",  $G9= "debuff"), $L9, 0), Factor!$AN$5:$AN$51, -1), _xlpm.추가_색인번호)-IF(AND(OR($G9="blast", $G9="curved", $G9= "debuff"), MOD($L9,1)&lt;&gt;0),INDEX(Factor!$AN$5:$AV$51, _xlfn.XMATCH(IF(OR($G9="blast", $G9="curved", $G9= "debuff"), $L9, 0), Factor!$AN$5:$AN$51, -1), 2)*MOD($L9,1)*10,0),
_xlpm.상태이상보정치, VLOOKUP(IF($G9 = "debuff", $M9, "null"), Factor!$AX$5:$BE$51, _xlpm.기본_색인번호, 0),
_xlpm.지속시간보정치, INDEX(Factor!$BG$5:$BO$51, _xlfn.XMATCH(IF(OR($G9 ="debuff", $G9 = "shot", $G9 = "pierce"), $O9, 0), Factor!$BG$5:$BG$51, -1), _xlpm.추가_색인번호)-IF(AND(OR($G9 ="debuff", $G9 = "shot", $G9 = "pierce"), MOD($O9, 1)&lt;&gt;0), 10*MOD($O9, 1)*INDEX(Factor!$BG$5:$BO$51, _xlfn.XMATCH(IF(OR($G9 ="debuff", $G9 = "shot", $G9 = "pierce"), $O9, 0), Factor!$BG$5:$BG$51, -1), 2), 0),
_xlpm.탄환개수보정치, VLOOKUP(IF(OR($G9 = "curved", $G9 = "shot"), $Q9, 1), Factor!$BQ$5:$BX$51, _xlpm.기본_색인번호, 0),
_xlpm.상태이상탄환생성위치보정치, IF($G9 = "debuff", VLOOKUP($R9, Factor!$K$18:$R$19, _xlpm.기본_색인번호, 0),1),
_xlpm.상태이상탄환형태보정치, IF($G9 = "debuff", VLOOKUP($S9, Factor!$K$24:$R$25, _xlpm.기본_색인번호, 0),1),
_xlpm.가격보정치, INDEX(Factor!$AE$5:$AL$51, _xlfn.XMATCH($F9,Factor!$AE$5:$AE$51, -1), _xlpm.기본_색인번호),
_xlpm.구경보정치, VLOOKUP($D9,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9" s="25" t="e" cm="1">
        <f t="array" ref="AC9">_xlfn.LET(_xlpm.기본_색인번호, 4,
_xlpm.추가_색인번호, 5,
_xlpm.개별보정치, V9,
_xlpm.패턴보정치, VLOOKUP($G9, Factor!$B$5:$I$51, _xlpm.기본_색인번호, 0),
_xlpm.소모탄환보정치, VLOOKUP($H9, Factor!$T$5:$AA$51, _xlpm.기본_색인번호, 0),
_xlpm.지형보정치, VLOOKUP($I9, Factor!$K$12:$R$13, _xlpm.기본_색인번호, 0),
_xlpm.공격속성보정치, VLOOKUP($J9, Factor!$K$5:$R$7, _xlpm.기본_색인번호, 0),
_xlpm.피해범위보정치, INDEX(Factor!$AN$5:$AV$51, _xlfn.XMATCH(IF(OR($G9="blast", $G9="curved",  $G9= "debuff"), $L9, 0), Factor!$AN$5:$AN$51, -1), _xlpm.추가_색인번호)-IF(AND(OR($G9="blast", $G9="curved", $G9= "debuff"), MOD($L9,1)&lt;&gt;0),INDEX(Factor!$AN$5:$AV$51, _xlfn.XMATCH(IF(OR($G9="blast", $G9="curved", $G9= "debuff"), $L9, 0), Factor!$AN$5:$AN$51, -1), 2)*MOD($L9,1)*10,0),
_xlpm.상태이상보정치, VLOOKUP(IF($G9 = "debuff", $M9, "null"), Factor!$AX$5:$BE$51, _xlpm.기본_색인번호, 0),
_xlpm.지속시간보정치, INDEX(Factor!$BG$5:$BO$51, _xlfn.XMATCH(IF(OR($G9 ="debuff", $G9 = "shot", $G9 = "pierce"), $O9, 0), Factor!$BG$5:$BG$51, -1), _xlpm.추가_색인번호)-IF(AND(OR($G9 ="debuff", $G9 = "shot", $G9 = "pierce"), MOD($O9, 1)&lt;&gt;0), 10*MOD($O9, 1)*INDEX(Factor!$BG$5:$BO$51, _xlfn.XMATCH(IF(OR($G9 ="debuff", $G9 = "shot", $G9 = "pierce"), $O9, 0), Factor!$BG$5:$BG$51, -1), 2), 0),
_xlpm.탄환개수보정치, VLOOKUP(IF(OR($G9 = "curved", $G9 = "shot"), $Q9, 1), Factor!$BQ$5:$BX$51, _xlpm.기본_색인번호, 0),
_xlpm.상태이상탄환생성위치보정치, IF($G9 = "debuff", VLOOKUP($R9, Factor!$K$18:$R$19, _xlpm.기본_색인번호, 0),1),
_xlpm.상태이상탄환형태보정치, IF($G9 = "debuff", VLOOKUP($S9, Factor!$K$24:$R$25, _xlpm.기본_색인번호, 0),1),
_xlpm.가격보정치, INDEX(Factor!$AE$5:$AL$51, _xlfn.XMATCH($F9,Factor!$AE$5:$AE$51, -1), _xlpm.기본_색인번호),
_xlpm.구경보정치, VLOOKUP($D9,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9" s="25" t="e" cm="1">
        <f t="array" ref="AD9">_xlfn.LET(_xlpm.기본_색인번호, 5,
_xlpm.추가_색인번호, 6,
_xlpm.개별보정치, W9,
_xlpm.패턴보정치, VLOOKUP($G9, Factor!$B$5:$I$51, _xlpm.기본_색인번호, 0),
_xlpm.소모탄환보정치, VLOOKUP($H9, Factor!$T$5:$AA$51, _xlpm.기본_색인번호, 0),
_xlpm.지형보정치, VLOOKUP($I9, Factor!$K$12:$R$13, _xlpm.기본_색인번호, 0),
_xlpm.공격속성보정치, VLOOKUP($J9, Factor!$K$5:$R$7, _xlpm.기본_색인번호, 0),
_xlpm.피해범위보정치, INDEX(Factor!$AN$5:$AV$51, _xlfn.XMATCH(IF(OR($G9="blast", $G9="curved",  $G9= "debuff"), $L9, 0), Factor!$AN$5:$AN$51, -1), _xlpm.추가_색인번호)-IF(AND(OR($G9="blast", $G9="curved", $G9= "debuff"), MOD($L9,1)&lt;&gt;0),INDEX(Factor!$AN$5:$AV$51, _xlfn.XMATCH(IF(OR($G9="blast", $G9="curved", $G9= "debuff"), $L9, 0), Factor!$AN$5:$AN$51, -1), 2)*MOD($L9,1)*10,0),
_xlpm.상태이상보정치, VLOOKUP(IF($G9 = "debuff", $M9, "null"), Factor!$AX$5:$BE$51, _xlpm.기본_색인번호, 0),
_xlpm.지속시간보정치, INDEX(Factor!$BG$5:$BO$51, _xlfn.XMATCH(IF(OR($G9 ="debuff", $G9 = "shot", $G9 = "pierce"), $O9, 0), Factor!$BG$5:$BG$51, -1), _xlpm.추가_색인번호)-IF(AND(OR($G9 ="debuff", $G9 = "shot", $G9 = "pierce"), MOD($O9, 1)&lt;&gt;0), 10*MOD($O9, 1)*INDEX(Factor!$BG$5:$BO$51, _xlfn.XMATCH(IF(OR($G9 ="debuff", $G9 = "shot", $G9 = "pierce"), $O9, 0), Factor!$BG$5:$BG$51, -1), 2), 0),
_xlpm.탄환개수보정치, VLOOKUP(IF(OR($G9 = "curved", $G9 = "shot"), $Q9, 1), Factor!$BQ$5:$BX$51, _xlpm.기본_색인번호, 0),
_xlpm.상태이상탄환생성위치보정치, IF($G9 = "debuff", VLOOKUP($R9, Factor!$K$18:$R$19, _xlpm.기본_색인번호, 0),1),
_xlpm.상태이상탄환형태보정치, IF($G9 = "debuff", VLOOKUP($S9, Factor!$K$24:$R$25, _xlpm.기본_색인번호, 0),1),
_xlpm.가격보정치, INDEX(Factor!$AE$5:$AL$51, _xlfn.XMATCH($F9,Factor!$AE$5:$AE$51, -1), _xlpm.기본_색인번호),
_xlpm.구경보정치, VLOOKUP($D9,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9" s="25" t="e" cm="1">
        <f t="array" ref="AE9">_xlfn.LET(_xlpm.기본_색인번호, 6,
_xlpm.추가_색인번호, 7,
_xlpm.개별보정치, X9,
_xlpm.패턴보정치, VLOOKUP($G9, Factor!$B$5:$I$51, _xlpm.기본_색인번호, 0),
_xlpm.소모탄환보정치, VLOOKUP($H9, Factor!$T$5:$AA$51, _xlpm.기본_색인번호, 0),
_xlpm.지형보정치, VLOOKUP($I9, Factor!$K$12:$R$13, _xlpm.기본_색인번호, 0),
_xlpm.공격속성보정치, VLOOKUP($J9, Factor!$K$5:$R$7, _xlpm.기본_색인번호, 0),
_xlpm.피해범위보정치, INDEX(Factor!$AN$5:$AV$51, _xlfn.XMATCH(IF(OR($G9="blast", $G9="curved",  $G9= "debuff"), $L9, 0), Factor!$AN$5:$AN$51, -1), _xlpm.추가_색인번호)-IF(AND(OR($G9="blast", $G9="curved", $G9= "debuff"), MOD($L9,1)&lt;&gt;0),INDEX(Factor!$AN$5:$AV$51, _xlfn.XMATCH(IF(OR($G9="blast", $G9="curved", $G9= "debuff"), $L9, 0), Factor!$AN$5:$AN$51, -1), 2)*MOD($L9,1)*10,0),
_xlpm.상태이상보정치, VLOOKUP(IF($G9 = "debuff", $M9, "null"), Factor!$AX$5:$BE$51, _xlpm.기본_색인번호, 0),
_xlpm.지속시간보정치, INDEX(Factor!$BG$5:$BO$51, _xlfn.XMATCH(IF(OR($G9 ="debuff", $G9 = "shot", $G9 = "pierce"), $O9, 0), Factor!$BG$5:$BG$51, -1), _xlpm.추가_색인번호)-IF(AND(OR($G9 ="debuff", $G9 = "shot", $G9 = "pierce"), MOD($O9, 1)&lt;&gt;0), 10*MOD($O9, 1)*INDEX(Factor!$BG$5:$BO$51, _xlfn.XMATCH(IF(OR($G9 ="debuff", $G9 = "shot", $G9 = "pierce"), $O9, 0), Factor!$BG$5:$BG$51, -1), 2), 0),
_xlpm.탄환개수보정치, VLOOKUP(IF(OR($G9 = "curved", $G9 = "shot"), $Q9, 1), Factor!$BQ$5:$BX$51, _xlpm.기본_색인번호, 0),
_xlpm.상태이상탄환생성위치보정치, IF($G9 = "debuff", VLOOKUP($R9, Factor!$K$18:$R$19, _xlpm.기본_색인번호, 0),1),
_xlpm.상태이상탄환형태보정치, IF($G9 = "debuff", VLOOKUP($S9, Factor!$K$24:$R$25, _xlpm.기본_색인번호, 0),1),
_xlpm.가격보정치, INDEX(Factor!$AE$5:$AL$51, _xlfn.XMATCH($F9,Factor!$AE$5:$AE$51, -1), _xlpm.기본_색인번호),
_xlpm.구경보정치, VLOOKUP($D9,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9" s="25" t="e" cm="1">
        <f t="array" ref="AF9">_xlfn.LET(_xlpm.기본_색인번호, 7,
_xlpm.추가_색인번호, 8,
_xlpm.개별보정치, Y9,
_xlpm.패턴보정치, VLOOKUP($G9, Factor!$B$5:$I$51, _xlpm.기본_색인번호, 0),
_xlpm.소모탄환보정치, VLOOKUP($H9, Factor!$T$5:$AA$51, _xlpm.기본_색인번호, 0),
_xlpm.지형보정치, VLOOKUP($I9, Factor!$K$12:$R$13, _xlpm.기본_색인번호, 0),
_xlpm.공격속성보정치, VLOOKUP($J9, Factor!$K$5:$R$7, _xlpm.기본_색인번호, 0),
_xlpm.피해범위보정치, INDEX(Factor!$AN$5:$AV$51, _xlfn.XMATCH(IF(OR($G9="blast", $G9="curved",  $G9= "debuff"), $L9, 0), Factor!$AN$5:$AN$51, -1), _xlpm.추가_색인번호)-IF(AND(OR($G9="blast", $G9="curved", $G9= "debuff"), MOD($L9,1)&lt;&gt;0),INDEX(Factor!$AN$5:$AV$51, _xlfn.XMATCH(IF(OR($G9="blast", $G9="curved", $G9= "debuff"), $L9, 0), Factor!$AN$5:$AN$51, -1), 2)*MOD($L9,1)*10,0),
_xlpm.상태이상보정치, VLOOKUP(IF($G9 = "debuff", $M9, "null"), Factor!$AX$5:$BE$51, _xlpm.기본_색인번호, 0),
_xlpm.지속시간보정치, INDEX(Factor!$BG$5:$BO$51, _xlfn.XMATCH(IF(OR($G9 ="debuff", $G9 = "shot", $G9 = "pierce"), $O9, 0), Factor!$BG$5:$BG$51, -1), _xlpm.추가_색인번호)-IF(AND(OR($G9 ="debuff", $G9 = "shot", $G9 = "pierce"), MOD($O9, 1)&lt;&gt;0), 10*MOD($O9, 1)*INDEX(Factor!$BG$5:$BO$51, _xlfn.XMATCH(IF(OR($G9 ="debuff", $G9 = "shot", $G9 = "pierce"), $O9, 0), Factor!$BG$5:$BG$51, -1), 2), 0),
_xlpm.탄환개수보정치, VLOOKUP(IF(OR($G9 = "curved", $G9 = "shot"), $Q9, 1), Factor!$BQ$5:$BX$51, _xlpm.기본_색인번호, 0),
_xlpm.상태이상탄환생성위치보정치, IF($G9 = "debuff", VLOOKUP($R9, Factor!$K$18:$R$19, _xlpm.기본_색인번호, 0),1),
_xlpm.상태이상탄환형태보정치, IF($G9 = "debuff", VLOOKUP($S9, Factor!$K$24:$R$25, _xlpm.기본_색인번호, 0),1),
_xlpm.가격보정치, INDEX(Factor!$AE$5:$AL$51, _xlfn.XMATCH($F9,Factor!$AE$5:$AE$51, -1), _xlpm.기본_색인번호),
_xlpm.구경보정치, VLOOKUP($D9,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9" s="27" t="e" cm="1">
        <f t="array" ref="AG9">_xlfn.LET(_xlpm.기본_색인번호, 8,
_xlpm.추가_색인번호, 9,
_xlpm.개별보정치, Z9,
_xlpm.패턴보정치, VLOOKUP($G9, Factor!$B$5:$I$51, _xlpm.기본_색인번호, 0),
_xlpm.소모탄환보정치, VLOOKUP($H9, Factor!$T$5:$AA$51, _xlpm.기본_색인번호, 0),
_xlpm.지형보정치, VLOOKUP($I9, Factor!$K$12:$R$13, _xlpm.기본_색인번호, 0),
_xlpm.공격속성보정치, VLOOKUP($J9, Factor!$K$5:$R$7, _xlpm.기본_색인번호, 0),
_xlpm.피해범위보정치, INDEX(Factor!$AN$5:$AV$51, _xlfn.XMATCH(IF(OR($G9="blast", $G9="curved",  $G9= "debuff"), $L9, 0), Factor!$AN$5:$AN$51, -1), _xlpm.추가_색인번호)-IF(AND(OR($G9="blast", $G9="curved", $G9= "debuff"), MOD($L9,1)&lt;&gt;0),INDEX(Factor!$AN$5:$AV$51, _xlfn.XMATCH(IF(OR($G9="blast", $G9="curved", $G9= "debuff"), $L9, 0), Factor!$AN$5:$AN$51, -1), 2)*MOD($L9,1)*10,0),
_xlpm.상태이상보정치, VLOOKUP(IF($G9 = "debuff", $M9, "null"), Factor!$AX$5:$BE$51, _xlpm.기본_색인번호, 0),
_xlpm.지속시간보정치, INDEX(Factor!$BG$5:$BO$51, _xlfn.XMATCH(IF(OR($G9 ="debuff", $G9 = "shot", $G9 = "pierce"), $O9, 0), Factor!$BG$5:$BG$51, -1), _xlpm.추가_색인번호)-IF(AND(OR($G9 ="debuff", $G9 = "shot", $G9 = "pierce"), MOD($O9, 1)&lt;&gt;0), 10*MOD($O9, 1)*INDEX(Factor!$BG$5:$BO$51, _xlfn.XMATCH(IF(OR($G9 ="debuff", $G9 = "shot", $G9 = "pierce"), $O9, 0), Factor!$BG$5:$BG$51, -1), 2), 0),
_xlpm.탄환개수보정치, VLOOKUP(IF(OR($G9 = "curved", $G9 = "shot"), $Q9, 1), Factor!$BQ$5:$BX$51, _xlpm.기본_색인번호, 0),
_xlpm.상태이상탄환생성위치보정치, IF($G9 = "debuff", VLOOKUP($R9, Factor!$K$18:$R$19, _xlpm.기본_색인번호, 0),1),
_xlpm.상태이상탄환형태보정치, IF($G9 = "debuff", VLOOKUP($S9, Factor!$K$24:$R$25, _xlpm.기본_색인번호, 0),1),
_xlpm.가격보정치, INDEX(Factor!$AE$5:$AL$51, _xlfn.XMATCH($F9,Factor!$AE$5:$AE$51, -1), _xlpm.기본_색인번호),
_xlpm.구경보정치, VLOOKUP($D9,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9"/>
      <c r="AI9"/>
      <c r="AJ9"/>
      <c r="AK9"/>
      <c r="AL9"/>
      <c r="AM9"/>
      <c r="AN9"/>
    </row>
    <row r="10" spans="1:40" ht="13.5">
      <c r="A10" s="28" t="e">
        <f>"weapon_"&amp;G10&amp;"_"&amp;VLOOKUP(H10, Factor!$T$5:$AB$7, 9, 0)&amp;"_"&amp;IF(COUNTIFS($G$4:G9, G10, $H$4:H9, H10)+1&gt;=100, COUNTIFS($G$4:G9, G10, $H$4:H9, H10)+1,IF(COUNTIFS($G$4:G9, G10, $H$4:H9, H10)+1&gt;=10, "0"&amp;COUNTIFS($G$4:G9, G10, $H$4:H9, H10)+1, "00"&amp;COUNTIFS($G$4:G9, G10, $H$4:H9, H10)+1))</f>
        <v>#N/A</v>
      </c>
      <c r="B10" s="37" t="str">
        <f t="shared" si="0"/>
        <v xml:space="preserve"> </v>
      </c>
      <c r="C10" s="37"/>
      <c r="D10" s="37"/>
      <c r="E10" s="37"/>
      <c r="F10" s="29" t="e">
        <f>VLOOKUP(C10, Factor!$AD$5:$AE$15, 2, 0)</f>
        <v>#N/A</v>
      </c>
      <c r="G10" s="29" t="e">
        <f>VLOOKUP(E10, Factor!$CL$5:$CV$50, 2, 0)</f>
        <v>#N/A</v>
      </c>
      <c r="H10" s="29" t="e">
        <f>VLOOKUP(E10, Factor!$CL$5:$CV$50, 3, 0)</f>
        <v>#N/A</v>
      </c>
      <c r="I10" s="29" t="e">
        <f>VLOOKUP(E10, Factor!$CL$5:$CV$50, 4, 0)</f>
        <v>#N/A</v>
      </c>
      <c r="J10" s="29" t="e">
        <f>VLOOKUP(E10, Factor!$CL$5:$CV$50, 5, 0)</f>
        <v>#N/A</v>
      </c>
      <c r="K10" s="29">
        <v>1</v>
      </c>
      <c r="L10" s="29" t="e">
        <f>VLOOKUP(E10, Factor!$CL$5:$CV$50, 6, 0)*K10*VLOOKUP(D10, Factor!$BZ$5:$CJ$49, 9, 0)</f>
        <v>#N/A</v>
      </c>
      <c r="M10" s="29" t="e">
        <f>VLOOKUP(E10, Factor!$CL$5:$CV$50, 7, 0)</f>
        <v>#N/A</v>
      </c>
      <c r="N10" s="29">
        <v>1</v>
      </c>
      <c r="O10" s="29" t="e">
        <f>VLOOKUP(E10, Factor!$CL$5:$CV$50, 8, 0)*N10*VLOOKUP(D10, Factor!$BZ$5:$CJ$49, 10, 0)</f>
        <v>#N/A</v>
      </c>
      <c r="P10" s="29">
        <v>1</v>
      </c>
      <c r="Q10" s="29" t="e">
        <f>VLOOKUP(E10, Factor!$CL$5:$CV$50, 9, 0)*P10*VLOOKUP(D10, Factor!$BZ$5:$CJ$49, 11, 0)</f>
        <v>#N/A</v>
      </c>
      <c r="R10" s="29" t="e">
        <f>VLOOKUP(E10, Factor!$CL$5:$CV$50, 10, 0)</f>
        <v>#N/A</v>
      </c>
      <c r="S10" s="29" t="e">
        <f>VLOOKUP(E10, Factor!$CL$5:$CV$50, 11, 0)</f>
        <v>#N/A</v>
      </c>
      <c r="T10" s="29">
        <v>1</v>
      </c>
      <c r="U10" s="29">
        <v>1</v>
      </c>
      <c r="V10" s="29">
        <v>1</v>
      </c>
      <c r="W10" s="29">
        <v>1</v>
      </c>
      <c r="X10" s="29">
        <v>1</v>
      </c>
      <c r="Y10" s="29">
        <v>1</v>
      </c>
      <c r="Z10" s="29">
        <v>1</v>
      </c>
      <c r="AA10" s="29" t="e" cm="1">
        <f t="array" ref="AA10">_xlfn.LET(_xlpm.기본_색인번호, 2,
_xlpm.추가_색인번호, 3,
_xlpm.개별보정치, T10,
_xlpm.패턴보정치, VLOOKUP($G10, Factor!$B$5:$I$51, _xlpm.기본_색인번호, 0),
_xlpm.소모탄환보정치, VLOOKUP($H10, Factor!$T$5:$AA$51, _xlpm.기본_색인번호, 0),
_xlpm.지형보정치, VLOOKUP($I10, Factor!$K$12:$R$13, _xlpm.기본_색인번호, 0),
_xlpm.공격속성보정치, VLOOKUP($J10, Factor!$K$5:$R$7, _xlpm.기본_색인번호, 0),
_xlpm.피해범위보정치, INDEX(Factor!$AN$5:$AV$51, _xlfn.XMATCH(IF(OR($G10="blast", $G10="curved",  $G10= "debuff"), $L10, 0), Factor!$AN$5:$AN$51, -1), _xlpm.추가_색인번호)-IF(AND(OR($G10="blast", $G10="curved", $G10= "debuff"), MOD($L10,1)&lt;&gt;0),INDEX(Factor!$AN$5:$AV$51, _xlfn.XMATCH(IF(OR($G10="blast", $G10="curved", $G10= "debuff"), $L10, 0), Factor!$AN$5:$AN$51, -1), 2)*MOD($L10,1)*10,0),
_xlpm.상태이상보정치, VLOOKUP(IF($G10 = "debuff", $M10, "null"), Factor!$AX$5:$BE$51, _xlpm.기본_색인번호, 0),
_xlpm.지속시간보정치, INDEX(Factor!$BG$5:$BO$51, _xlfn.XMATCH(IF(OR($G10 ="debuff", $G10 = "shot", $G10 = "pierce"), $O10, 0), Factor!$BG$5:$BG$51, -1), _xlpm.추가_색인번호)-IF(AND(OR($G10 ="debuff", $G10 = "shot", $G10 = "pierce"), MOD($O10, 1)&lt;&gt;0), 10*MOD($O10, 1)*INDEX(Factor!$BG$5:$BO$51, _xlfn.XMATCH(IF(OR($G10 ="debuff", $G10 = "shot", $G10 = "pierce"), $O10, 0), Factor!$BG$5:$BG$51, -1), 2), 0),
_xlpm.탄환개수보정치, VLOOKUP(IF(OR($G10 = "curved", $G10 = "shot"), $Q10, 1), Factor!$BQ$5:$BX$51, _xlpm.기본_색인번호, 0),
_xlpm.상태이상탄환생성위치보정치, IF($G10 = "debuff", VLOOKUP($R10, Factor!$K$18:$R$19, _xlpm.기본_색인번호, 0),1),
_xlpm.상태이상탄환형태보정치, IF($G10 = "debuff", VLOOKUP($S10, Factor!$K$24:$R$25, _xlpm.기본_색인번호, 0),1),
_xlpm.가격보정치, INDEX(Factor!$AE$5:$AL$51, _xlfn.XMATCH($F10,Factor!$AE$5:$AE$51, -1), _xlpm.기본_색인번호),
_xlpm.구경보정치, VLOOKUP($D10,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10" s="29" t="e" cm="1">
        <f t="array" ref="AB10">_xlfn.LET(_xlpm.기본_색인번호, 3,
_xlpm.추가_색인번호, 4,
_xlpm.개별보정치, U10,
_xlpm.패턴보정치, VLOOKUP($G10, Factor!$B$5:$I$51, _xlpm.기본_색인번호, 0),
_xlpm.소모탄환보정치, VLOOKUP($H10, Factor!$T$5:$AA$51, _xlpm.기본_색인번호, 0),
_xlpm.지형보정치, VLOOKUP($I10, Factor!$K$12:$R$13, _xlpm.기본_색인번호, 0),
_xlpm.공격속성보정치, VLOOKUP($J10, Factor!$K$5:$R$7, _xlpm.기본_색인번호, 0),
_xlpm.피해범위보정치, INDEX(Factor!$AN$5:$AV$51, _xlfn.XMATCH(IF(OR($G10="blast", $G10="curved",  $G10= "debuff"), $L10, 0), Factor!$AN$5:$AN$51, -1), _xlpm.추가_색인번호)-IF(AND(OR($G10="blast", $G10="curved", $G10= "debuff"), MOD($L10,1)&lt;&gt;0),INDEX(Factor!$AN$5:$AV$51, _xlfn.XMATCH(IF(OR($G10="blast", $G10="curved", $G10= "debuff"), $L10, 0), Factor!$AN$5:$AN$51, -1), 2)*MOD($L10,1)*10,0),
_xlpm.상태이상보정치, VLOOKUP(IF($G10 = "debuff", $M10, "null"), Factor!$AX$5:$BE$51, _xlpm.기본_색인번호, 0),
_xlpm.지속시간보정치, INDEX(Factor!$BG$5:$BO$51, _xlfn.XMATCH(IF(OR($G10 ="debuff", $G10 = "shot", $G10 = "pierce"), $O10, 0), Factor!$BG$5:$BG$51, -1), _xlpm.추가_색인번호)-IF(AND(OR($G10 ="debuff", $G10 = "shot", $G10 = "pierce"), MOD($O10, 1)&lt;&gt;0), 10*MOD($O10, 1)*INDEX(Factor!$BG$5:$BO$51, _xlfn.XMATCH(IF(OR($G10 ="debuff", $G10 = "shot", $G10 = "pierce"), $O10, 0), Factor!$BG$5:$BG$51, -1), 2), 0),
_xlpm.탄환개수보정치, VLOOKUP(IF(OR($G10 = "curved", $G10 = "shot"), $Q10, 1), Factor!$BQ$5:$BX$51, _xlpm.기본_색인번호, 0),
_xlpm.상태이상탄환생성위치보정치, IF($G10 = "debuff", VLOOKUP($R10, Factor!$K$18:$R$19, _xlpm.기본_색인번호, 0),1),
_xlpm.상태이상탄환형태보정치, IF($G10 = "debuff", VLOOKUP($S10, Factor!$K$24:$R$25, _xlpm.기본_색인번호, 0),1),
_xlpm.가격보정치, INDEX(Factor!$AE$5:$AL$51, _xlfn.XMATCH($F10,Factor!$AE$5:$AE$51, -1), _xlpm.기본_색인번호),
_xlpm.구경보정치, VLOOKUP($D10,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10" s="29" t="e" cm="1">
        <f t="array" ref="AC10">_xlfn.LET(_xlpm.기본_색인번호, 4,
_xlpm.추가_색인번호, 5,
_xlpm.개별보정치, V10,
_xlpm.패턴보정치, VLOOKUP($G10, Factor!$B$5:$I$51, _xlpm.기본_색인번호, 0),
_xlpm.소모탄환보정치, VLOOKUP($H10, Factor!$T$5:$AA$51, _xlpm.기본_색인번호, 0),
_xlpm.지형보정치, VLOOKUP($I10, Factor!$K$12:$R$13, _xlpm.기본_색인번호, 0),
_xlpm.공격속성보정치, VLOOKUP($J10, Factor!$K$5:$R$7, _xlpm.기본_색인번호, 0),
_xlpm.피해범위보정치, INDEX(Factor!$AN$5:$AV$51, _xlfn.XMATCH(IF(OR($G10="blast", $G10="curved",  $G10= "debuff"), $L10, 0), Factor!$AN$5:$AN$51, -1), _xlpm.추가_색인번호)-IF(AND(OR($G10="blast", $G10="curved", $G10= "debuff"), MOD($L10,1)&lt;&gt;0),INDEX(Factor!$AN$5:$AV$51, _xlfn.XMATCH(IF(OR($G10="blast", $G10="curved", $G10= "debuff"), $L10, 0), Factor!$AN$5:$AN$51, -1), 2)*MOD($L10,1)*10,0),
_xlpm.상태이상보정치, VLOOKUP(IF($G10 = "debuff", $M10, "null"), Factor!$AX$5:$BE$51, _xlpm.기본_색인번호, 0),
_xlpm.지속시간보정치, INDEX(Factor!$BG$5:$BO$51, _xlfn.XMATCH(IF(OR($G10 ="debuff", $G10 = "shot", $G10 = "pierce"), $O10, 0), Factor!$BG$5:$BG$51, -1), _xlpm.추가_색인번호)-IF(AND(OR($G10 ="debuff", $G10 = "shot", $G10 = "pierce"), MOD($O10, 1)&lt;&gt;0), 10*MOD($O10, 1)*INDEX(Factor!$BG$5:$BO$51, _xlfn.XMATCH(IF(OR($G10 ="debuff", $G10 = "shot", $G10 = "pierce"), $O10, 0), Factor!$BG$5:$BG$51, -1), 2), 0),
_xlpm.탄환개수보정치, VLOOKUP(IF(OR($G10 = "curved", $G10 = "shot"), $Q10, 1), Factor!$BQ$5:$BX$51, _xlpm.기본_색인번호, 0),
_xlpm.상태이상탄환생성위치보정치, IF($G10 = "debuff", VLOOKUP($R10, Factor!$K$18:$R$19, _xlpm.기본_색인번호, 0),1),
_xlpm.상태이상탄환형태보정치, IF($G10 = "debuff", VLOOKUP($S10, Factor!$K$24:$R$25, _xlpm.기본_색인번호, 0),1),
_xlpm.가격보정치, INDEX(Factor!$AE$5:$AL$51, _xlfn.XMATCH($F10,Factor!$AE$5:$AE$51, -1), _xlpm.기본_색인번호),
_xlpm.구경보정치, VLOOKUP($D10,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10" s="29" t="e" cm="1">
        <f t="array" ref="AD10">_xlfn.LET(_xlpm.기본_색인번호, 5,
_xlpm.추가_색인번호, 6,
_xlpm.개별보정치, W10,
_xlpm.패턴보정치, VLOOKUP($G10, Factor!$B$5:$I$51, _xlpm.기본_색인번호, 0),
_xlpm.소모탄환보정치, VLOOKUP($H10, Factor!$T$5:$AA$51, _xlpm.기본_색인번호, 0),
_xlpm.지형보정치, VLOOKUP($I10, Factor!$K$12:$R$13, _xlpm.기본_색인번호, 0),
_xlpm.공격속성보정치, VLOOKUP($J10, Factor!$K$5:$R$7, _xlpm.기본_색인번호, 0),
_xlpm.피해범위보정치, INDEX(Factor!$AN$5:$AV$51, _xlfn.XMATCH(IF(OR($G10="blast", $G10="curved",  $G10= "debuff"), $L10, 0), Factor!$AN$5:$AN$51, -1), _xlpm.추가_색인번호)-IF(AND(OR($G10="blast", $G10="curved", $G10= "debuff"), MOD($L10,1)&lt;&gt;0),INDEX(Factor!$AN$5:$AV$51, _xlfn.XMATCH(IF(OR($G10="blast", $G10="curved", $G10= "debuff"), $L10, 0), Factor!$AN$5:$AN$51, -1), 2)*MOD($L10,1)*10,0),
_xlpm.상태이상보정치, VLOOKUP(IF($G10 = "debuff", $M10, "null"), Factor!$AX$5:$BE$51, _xlpm.기본_색인번호, 0),
_xlpm.지속시간보정치, INDEX(Factor!$BG$5:$BO$51, _xlfn.XMATCH(IF(OR($G10 ="debuff", $G10 = "shot", $G10 = "pierce"), $O10, 0), Factor!$BG$5:$BG$51, -1), _xlpm.추가_색인번호)-IF(AND(OR($G10 ="debuff", $G10 = "shot", $G10 = "pierce"), MOD($O10, 1)&lt;&gt;0), 10*MOD($O10, 1)*INDEX(Factor!$BG$5:$BO$51, _xlfn.XMATCH(IF(OR($G10 ="debuff", $G10 = "shot", $G10 = "pierce"), $O10, 0), Factor!$BG$5:$BG$51, -1), 2), 0),
_xlpm.탄환개수보정치, VLOOKUP(IF(OR($G10 = "curved", $G10 = "shot"), $Q10, 1), Factor!$BQ$5:$BX$51, _xlpm.기본_색인번호, 0),
_xlpm.상태이상탄환생성위치보정치, IF($G10 = "debuff", VLOOKUP($R10, Factor!$K$18:$R$19, _xlpm.기본_색인번호, 0),1),
_xlpm.상태이상탄환형태보정치, IF($G10 = "debuff", VLOOKUP($S10, Factor!$K$24:$R$25, _xlpm.기본_색인번호, 0),1),
_xlpm.가격보정치, INDEX(Factor!$AE$5:$AL$51, _xlfn.XMATCH($F10,Factor!$AE$5:$AE$51, -1), _xlpm.기본_색인번호),
_xlpm.구경보정치, VLOOKUP($D10,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10" s="29" t="e" cm="1">
        <f t="array" ref="AE10">_xlfn.LET(_xlpm.기본_색인번호, 6,
_xlpm.추가_색인번호, 7,
_xlpm.개별보정치, X10,
_xlpm.패턴보정치, VLOOKUP($G10, Factor!$B$5:$I$51, _xlpm.기본_색인번호, 0),
_xlpm.소모탄환보정치, VLOOKUP($H10, Factor!$T$5:$AA$51, _xlpm.기본_색인번호, 0),
_xlpm.지형보정치, VLOOKUP($I10, Factor!$K$12:$R$13, _xlpm.기본_색인번호, 0),
_xlpm.공격속성보정치, VLOOKUP($J10, Factor!$K$5:$R$7, _xlpm.기본_색인번호, 0),
_xlpm.피해범위보정치, INDEX(Factor!$AN$5:$AV$51, _xlfn.XMATCH(IF(OR($G10="blast", $G10="curved",  $G10= "debuff"), $L10, 0), Factor!$AN$5:$AN$51, -1), _xlpm.추가_색인번호)-IF(AND(OR($G10="blast", $G10="curved", $G10= "debuff"), MOD($L10,1)&lt;&gt;0),INDEX(Factor!$AN$5:$AV$51, _xlfn.XMATCH(IF(OR($G10="blast", $G10="curved", $G10= "debuff"), $L10, 0), Factor!$AN$5:$AN$51, -1), 2)*MOD($L10,1)*10,0),
_xlpm.상태이상보정치, VLOOKUP(IF($G10 = "debuff", $M10, "null"), Factor!$AX$5:$BE$51, _xlpm.기본_색인번호, 0),
_xlpm.지속시간보정치, INDEX(Factor!$BG$5:$BO$51, _xlfn.XMATCH(IF(OR($G10 ="debuff", $G10 = "shot", $G10 = "pierce"), $O10, 0), Factor!$BG$5:$BG$51, -1), _xlpm.추가_색인번호)-IF(AND(OR($G10 ="debuff", $G10 = "shot", $G10 = "pierce"), MOD($O10, 1)&lt;&gt;0), 10*MOD($O10, 1)*INDEX(Factor!$BG$5:$BO$51, _xlfn.XMATCH(IF(OR($G10 ="debuff", $G10 = "shot", $G10 = "pierce"), $O10, 0), Factor!$BG$5:$BG$51, -1), 2), 0),
_xlpm.탄환개수보정치, VLOOKUP(IF(OR($G10 = "curved", $G10 = "shot"), $Q10, 1), Factor!$BQ$5:$BX$51, _xlpm.기본_색인번호, 0),
_xlpm.상태이상탄환생성위치보정치, IF($G10 = "debuff", VLOOKUP($R10, Factor!$K$18:$R$19, _xlpm.기본_색인번호, 0),1),
_xlpm.상태이상탄환형태보정치, IF($G10 = "debuff", VLOOKUP($S10, Factor!$K$24:$R$25, _xlpm.기본_색인번호, 0),1),
_xlpm.가격보정치, INDEX(Factor!$AE$5:$AL$51, _xlfn.XMATCH($F10,Factor!$AE$5:$AE$51, -1), _xlpm.기본_색인번호),
_xlpm.구경보정치, VLOOKUP($D10,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10" s="29" t="e" cm="1">
        <f t="array" ref="AF10">_xlfn.LET(_xlpm.기본_색인번호, 7,
_xlpm.추가_색인번호, 8,
_xlpm.개별보정치, Y10,
_xlpm.패턴보정치, VLOOKUP($G10, Factor!$B$5:$I$51, _xlpm.기본_색인번호, 0),
_xlpm.소모탄환보정치, VLOOKUP($H10, Factor!$T$5:$AA$51, _xlpm.기본_색인번호, 0),
_xlpm.지형보정치, VLOOKUP($I10, Factor!$K$12:$R$13, _xlpm.기본_색인번호, 0),
_xlpm.공격속성보정치, VLOOKUP($J10, Factor!$K$5:$R$7, _xlpm.기본_색인번호, 0),
_xlpm.피해범위보정치, INDEX(Factor!$AN$5:$AV$51, _xlfn.XMATCH(IF(OR($G10="blast", $G10="curved",  $G10= "debuff"), $L10, 0), Factor!$AN$5:$AN$51, -1), _xlpm.추가_색인번호)-IF(AND(OR($G10="blast", $G10="curved", $G10= "debuff"), MOD($L10,1)&lt;&gt;0),INDEX(Factor!$AN$5:$AV$51, _xlfn.XMATCH(IF(OR($G10="blast", $G10="curved", $G10= "debuff"), $L10, 0), Factor!$AN$5:$AN$51, -1), 2)*MOD($L10,1)*10,0),
_xlpm.상태이상보정치, VLOOKUP(IF($G10 = "debuff", $M10, "null"), Factor!$AX$5:$BE$51, _xlpm.기본_색인번호, 0),
_xlpm.지속시간보정치, INDEX(Factor!$BG$5:$BO$51, _xlfn.XMATCH(IF(OR($G10 ="debuff", $G10 = "shot", $G10 = "pierce"), $O10, 0), Factor!$BG$5:$BG$51, -1), _xlpm.추가_색인번호)-IF(AND(OR($G10 ="debuff", $G10 = "shot", $G10 = "pierce"), MOD($O10, 1)&lt;&gt;0), 10*MOD($O10, 1)*INDEX(Factor!$BG$5:$BO$51, _xlfn.XMATCH(IF(OR($G10 ="debuff", $G10 = "shot", $G10 = "pierce"), $O10, 0), Factor!$BG$5:$BG$51, -1), 2), 0),
_xlpm.탄환개수보정치, VLOOKUP(IF(OR($G10 = "curved", $G10 = "shot"), $Q10, 1), Factor!$BQ$5:$BX$51, _xlpm.기본_색인번호, 0),
_xlpm.상태이상탄환생성위치보정치, IF($G10 = "debuff", VLOOKUP($R10, Factor!$K$18:$R$19, _xlpm.기본_색인번호, 0),1),
_xlpm.상태이상탄환형태보정치, IF($G10 = "debuff", VLOOKUP($S10, Factor!$K$24:$R$25, _xlpm.기본_색인번호, 0),1),
_xlpm.가격보정치, INDEX(Factor!$AE$5:$AL$51, _xlfn.XMATCH($F10,Factor!$AE$5:$AE$51, -1), _xlpm.기본_색인번호),
_xlpm.구경보정치, VLOOKUP($D10,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10" s="30" t="e" cm="1">
        <f t="array" ref="AG10">_xlfn.LET(_xlpm.기본_색인번호, 8,
_xlpm.추가_색인번호, 9,
_xlpm.개별보정치, Z10,
_xlpm.패턴보정치, VLOOKUP($G10, Factor!$B$5:$I$51, _xlpm.기본_색인번호, 0),
_xlpm.소모탄환보정치, VLOOKUP($H10, Factor!$T$5:$AA$51, _xlpm.기본_색인번호, 0),
_xlpm.지형보정치, VLOOKUP($I10, Factor!$K$12:$R$13, _xlpm.기본_색인번호, 0),
_xlpm.공격속성보정치, VLOOKUP($J10, Factor!$K$5:$R$7, _xlpm.기본_색인번호, 0),
_xlpm.피해범위보정치, INDEX(Factor!$AN$5:$AV$51, _xlfn.XMATCH(IF(OR($G10="blast", $G10="curved",  $G10= "debuff"), $L10, 0), Factor!$AN$5:$AN$51, -1), _xlpm.추가_색인번호)-IF(AND(OR($G10="blast", $G10="curved", $G10= "debuff"), MOD($L10,1)&lt;&gt;0),INDEX(Factor!$AN$5:$AV$51, _xlfn.XMATCH(IF(OR($G10="blast", $G10="curved", $G10= "debuff"), $L10, 0), Factor!$AN$5:$AN$51, -1), 2)*MOD($L10,1)*10,0),
_xlpm.상태이상보정치, VLOOKUP(IF($G10 = "debuff", $M10, "null"), Factor!$AX$5:$BE$51, _xlpm.기본_색인번호, 0),
_xlpm.지속시간보정치, INDEX(Factor!$BG$5:$BO$51, _xlfn.XMATCH(IF(OR($G10 ="debuff", $G10 = "shot", $G10 = "pierce"), $O10, 0), Factor!$BG$5:$BG$51, -1), _xlpm.추가_색인번호)-IF(AND(OR($G10 ="debuff", $G10 = "shot", $G10 = "pierce"), MOD($O10, 1)&lt;&gt;0), 10*MOD($O10, 1)*INDEX(Factor!$BG$5:$BO$51, _xlfn.XMATCH(IF(OR($G10 ="debuff", $G10 = "shot", $G10 = "pierce"), $O10, 0), Factor!$BG$5:$BG$51, -1), 2), 0),
_xlpm.탄환개수보정치, VLOOKUP(IF(OR($G10 = "curved", $G10 = "shot"), $Q10, 1), Factor!$BQ$5:$BX$51, _xlpm.기본_색인번호, 0),
_xlpm.상태이상탄환생성위치보정치, IF($G10 = "debuff", VLOOKUP($R10, Factor!$K$18:$R$19, _xlpm.기본_색인번호, 0),1),
_xlpm.상태이상탄환형태보정치, IF($G10 = "debuff", VLOOKUP($S10, Factor!$K$24:$R$25, _xlpm.기본_색인번호, 0),1),
_xlpm.가격보정치, INDEX(Factor!$AE$5:$AL$51, _xlfn.XMATCH($F10,Factor!$AE$5:$AE$51, -1), _xlpm.기본_색인번호),
_xlpm.구경보정치, VLOOKUP($D10,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10"/>
      <c r="AI10"/>
      <c r="AJ10"/>
      <c r="AK10"/>
      <c r="AL10"/>
      <c r="AM10"/>
      <c r="AN10"/>
    </row>
    <row r="11" spans="1:40" ht="13.5">
      <c r="A11" s="24" t="e">
        <f>"weapon_"&amp;G11&amp;"_"&amp;VLOOKUP(H11, Factor!$T$5:$AB$7, 9, 0)&amp;"_"&amp;IF(COUNTIFS($G$4:G10, G11, $H$4:H10, H11)+1&gt;=100, COUNTIFS($G$4:G10, G11, $H$4:H10, H11)+1,IF(COUNTIFS($G$4:G10, G11, $H$4:H10, H11)+1&gt;=10, "0"&amp;COUNTIFS($G$4:G10, G11, $H$4:H10, H11)+1, "00"&amp;COUNTIFS($G$4:G10, G11, $H$4:H10, H11)+1))</f>
        <v>#N/A</v>
      </c>
      <c r="B11" s="36" t="str">
        <f t="shared" si="0"/>
        <v xml:space="preserve"> </v>
      </c>
      <c r="C11" s="36"/>
      <c r="D11" s="36"/>
      <c r="E11" s="36"/>
      <c r="F11" s="25" t="e">
        <f>VLOOKUP(C11, Factor!$AD$5:$AE$15, 2, 0)</f>
        <v>#N/A</v>
      </c>
      <c r="G11" s="26" t="e">
        <f>VLOOKUP(E11, Factor!$CL$5:$CV$50, 2, 0)</f>
        <v>#N/A</v>
      </c>
      <c r="H11" s="25" t="e">
        <f>VLOOKUP(E11, Factor!$CL$5:$CV$50, 3, 0)</f>
        <v>#N/A</v>
      </c>
      <c r="I11" s="25" t="e">
        <f>VLOOKUP(E11, Factor!$CL$5:$CV$50, 4, 0)</f>
        <v>#N/A</v>
      </c>
      <c r="J11" s="25" t="e">
        <f>VLOOKUP(E11, Factor!$CL$5:$CV$50, 5, 0)</f>
        <v>#N/A</v>
      </c>
      <c r="K11" s="25">
        <v>1</v>
      </c>
      <c r="L11" s="25" t="e">
        <f>VLOOKUP(E11, Factor!$CL$5:$CV$50, 6, 0)*K11*VLOOKUP(D11, Factor!$BZ$5:$CJ$49, 9, 0)</f>
        <v>#N/A</v>
      </c>
      <c r="M11" s="25" t="e">
        <f>VLOOKUP(E11, Factor!$CL$5:$CV$50, 7, 0)</f>
        <v>#N/A</v>
      </c>
      <c r="N11" s="25">
        <v>1</v>
      </c>
      <c r="O11" s="25" t="e">
        <f>VLOOKUP(E11, Factor!$CL$5:$CV$50, 8, 0)*N11*VLOOKUP(D11, Factor!$BZ$5:$CJ$49, 10, 0)</f>
        <v>#N/A</v>
      </c>
      <c r="P11" s="25">
        <v>1</v>
      </c>
      <c r="Q11" s="25" t="e">
        <f>VLOOKUP(E11, Factor!$CL$5:$CV$50, 9, 0)*P11*VLOOKUP(D11, Factor!$BZ$5:$CJ$49, 11, 0)</f>
        <v>#N/A</v>
      </c>
      <c r="R11" s="25" t="e">
        <f>VLOOKUP(E11, Factor!$CL$5:$CV$50, 10, 0)</f>
        <v>#N/A</v>
      </c>
      <c r="S11" s="25" t="e">
        <f>VLOOKUP(E11, Factor!$CL$5:$CV$50, 11, 0)</f>
        <v>#N/A</v>
      </c>
      <c r="T11" s="25">
        <v>1</v>
      </c>
      <c r="U11" s="25">
        <v>1</v>
      </c>
      <c r="V11" s="25">
        <v>1</v>
      </c>
      <c r="W11" s="25">
        <v>1</v>
      </c>
      <c r="X11" s="25">
        <v>1</v>
      </c>
      <c r="Y11" s="25">
        <v>1</v>
      </c>
      <c r="Z11" s="25">
        <v>1</v>
      </c>
      <c r="AA11" s="25" t="e" cm="1">
        <f t="array" ref="AA11">_xlfn.LET(_xlpm.기본_색인번호, 2,
_xlpm.추가_색인번호, 3,
_xlpm.개별보정치, T11,
_xlpm.패턴보정치, VLOOKUP($G11, Factor!$B$5:$I$51, _xlpm.기본_색인번호, 0),
_xlpm.소모탄환보정치, VLOOKUP($H11, Factor!$T$5:$AA$51, _xlpm.기본_색인번호, 0),
_xlpm.지형보정치, VLOOKUP($I11, Factor!$K$12:$R$13, _xlpm.기본_색인번호, 0),
_xlpm.공격속성보정치, VLOOKUP($J11, Factor!$K$5:$R$7, _xlpm.기본_색인번호, 0),
_xlpm.피해범위보정치, INDEX(Factor!$AN$5:$AV$51, _xlfn.XMATCH(IF(OR($G11="blast", $G11="curved",  $G11= "debuff"), $L11, 0), Factor!$AN$5:$AN$51, -1), _xlpm.추가_색인번호)-IF(AND(OR($G11="blast", $G11="curved", $G11= "debuff"), MOD($L11,1)&lt;&gt;0),INDEX(Factor!$AN$5:$AV$51, _xlfn.XMATCH(IF(OR($G11="blast", $G11="curved", $G11= "debuff"), $L11, 0), Factor!$AN$5:$AN$51, -1), 2)*MOD($L11,1)*10,0),
_xlpm.상태이상보정치, VLOOKUP(IF($G11 = "debuff", $M11, "null"), Factor!$AX$5:$BE$51, _xlpm.기본_색인번호, 0),
_xlpm.지속시간보정치, INDEX(Factor!$BG$5:$BO$51, _xlfn.XMATCH(IF(OR($G11 ="debuff", $G11 = "shot", $G11 = "pierce"), $O11, 0), Factor!$BG$5:$BG$51, -1), _xlpm.추가_색인번호)-IF(AND(OR($G11 ="debuff", $G11 = "shot", $G11 = "pierce"), MOD($O11, 1)&lt;&gt;0), 10*MOD($O11, 1)*INDEX(Factor!$BG$5:$BO$51, _xlfn.XMATCH(IF(OR($G11 ="debuff", $G11 = "shot", $G11 = "pierce"), $O11, 0), Factor!$BG$5:$BG$51, -1), 2), 0),
_xlpm.탄환개수보정치, VLOOKUP(IF(OR($G11 = "curved", $G11 = "shot"), $Q11, 1), Factor!$BQ$5:$BX$51, _xlpm.기본_색인번호, 0),
_xlpm.상태이상탄환생성위치보정치, IF($G11 = "debuff", VLOOKUP($R11, Factor!$K$18:$R$19, _xlpm.기본_색인번호, 0),1),
_xlpm.상태이상탄환형태보정치, IF($G11 = "debuff", VLOOKUP($S11, Factor!$K$24:$R$25, _xlpm.기본_색인번호, 0),1),
_xlpm.가격보정치, INDEX(Factor!$AE$5:$AL$51, _xlfn.XMATCH($F11,Factor!$AE$5:$AE$51, -1), _xlpm.기본_색인번호),
_xlpm.구경보정치, VLOOKUP($D11,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11" s="25" t="e" cm="1">
        <f t="array" ref="AB11">_xlfn.LET(_xlpm.기본_색인번호, 3,
_xlpm.추가_색인번호, 4,
_xlpm.개별보정치, U11,
_xlpm.패턴보정치, VLOOKUP($G11, Factor!$B$5:$I$51, _xlpm.기본_색인번호, 0),
_xlpm.소모탄환보정치, VLOOKUP($H11, Factor!$T$5:$AA$51, _xlpm.기본_색인번호, 0),
_xlpm.지형보정치, VLOOKUP($I11, Factor!$K$12:$R$13, _xlpm.기본_색인번호, 0),
_xlpm.공격속성보정치, VLOOKUP($J11, Factor!$K$5:$R$7, _xlpm.기본_색인번호, 0),
_xlpm.피해범위보정치, INDEX(Factor!$AN$5:$AV$51, _xlfn.XMATCH(IF(OR($G11="blast", $G11="curved",  $G11= "debuff"), $L11, 0), Factor!$AN$5:$AN$51, -1), _xlpm.추가_색인번호)-IF(AND(OR($G11="blast", $G11="curved", $G11= "debuff"), MOD($L11,1)&lt;&gt;0),INDEX(Factor!$AN$5:$AV$51, _xlfn.XMATCH(IF(OR($G11="blast", $G11="curved", $G11= "debuff"), $L11, 0), Factor!$AN$5:$AN$51, -1), 2)*MOD($L11,1)*10,0),
_xlpm.상태이상보정치, VLOOKUP(IF($G11 = "debuff", $M11, "null"), Factor!$AX$5:$BE$51, _xlpm.기본_색인번호, 0),
_xlpm.지속시간보정치, INDEX(Factor!$BG$5:$BO$51, _xlfn.XMATCH(IF(OR($G11 ="debuff", $G11 = "shot", $G11 = "pierce"), $O11, 0), Factor!$BG$5:$BG$51, -1), _xlpm.추가_색인번호)-IF(AND(OR($G11 ="debuff", $G11 = "shot", $G11 = "pierce"), MOD($O11, 1)&lt;&gt;0), 10*MOD($O11, 1)*INDEX(Factor!$BG$5:$BO$51, _xlfn.XMATCH(IF(OR($G11 ="debuff", $G11 = "shot", $G11 = "pierce"), $O11, 0), Factor!$BG$5:$BG$51, -1), 2), 0),
_xlpm.탄환개수보정치, VLOOKUP(IF(OR($G11 = "curved", $G11 = "shot"), $Q11, 1), Factor!$BQ$5:$BX$51, _xlpm.기본_색인번호, 0),
_xlpm.상태이상탄환생성위치보정치, IF($G11 = "debuff", VLOOKUP($R11, Factor!$K$18:$R$19, _xlpm.기본_색인번호, 0),1),
_xlpm.상태이상탄환형태보정치, IF($G11 = "debuff", VLOOKUP($S11, Factor!$K$24:$R$25, _xlpm.기본_색인번호, 0),1),
_xlpm.가격보정치, INDEX(Factor!$AE$5:$AL$51, _xlfn.XMATCH($F11,Factor!$AE$5:$AE$51, -1), _xlpm.기본_색인번호),
_xlpm.구경보정치, VLOOKUP($D11,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11" s="25" t="e" cm="1">
        <f t="array" ref="AC11">_xlfn.LET(_xlpm.기본_색인번호, 4,
_xlpm.추가_색인번호, 5,
_xlpm.개별보정치, V11,
_xlpm.패턴보정치, VLOOKUP($G11, Factor!$B$5:$I$51, _xlpm.기본_색인번호, 0),
_xlpm.소모탄환보정치, VLOOKUP($H11, Factor!$T$5:$AA$51, _xlpm.기본_색인번호, 0),
_xlpm.지형보정치, VLOOKUP($I11, Factor!$K$12:$R$13, _xlpm.기본_색인번호, 0),
_xlpm.공격속성보정치, VLOOKUP($J11, Factor!$K$5:$R$7, _xlpm.기본_색인번호, 0),
_xlpm.피해범위보정치, INDEX(Factor!$AN$5:$AV$51, _xlfn.XMATCH(IF(OR($G11="blast", $G11="curved",  $G11= "debuff"), $L11, 0), Factor!$AN$5:$AN$51, -1), _xlpm.추가_색인번호)-IF(AND(OR($G11="blast", $G11="curved", $G11= "debuff"), MOD($L11,1)&lt;&gt;0),INDEX(Factor!$AN$5:$AV$51, _xlfn.XMATCH(IF(OR($G11="blast", $G11="curved", $G11= "debuff"), $L11, 0), Factor!$AN$5:$AN$51, -1), 2)*MOD($L11,1)*10,0),
_xlpm.상태이상보정치, VLOOKUP(IF($G11 = "debuff", $M11, "null"), Factor!$AX$5:$BE$51, _xlpm.기본_색인번호, 0),
_xlpm.지속시간보정치, INDEX(Factor!$BG$5:$BO$51, _xlfn.XMATCH(IF(OR($G11 ="debuff", $G11 = "shot", $G11 = "pierce"), $O11, 0), Factor!$BG$5:$BG$51, -1), _xlpm.추가_색인번호)-IF(AND(OR($G11 ="debuff", $G11 = "shot", $G11 = "pierce"), MOD($O11, 1)&lt;&gt;0), 10*MOD($O11, 1)*INDEX(Factor!$BG$5:$BO$51, _xlfn.XMATCH(IF(OR($G11 ="debuff", $G11 = "shot", $G11 = "pierce"), $O11, 0), Factor!$BG$5:$BG$51, -1), 2), 0),
_xlpm.탄환개수보정치, VLOOKUP(IF(OR($G11 = "curved", $G11 = "shot"), $Q11, 1), Factor!$BQ$5:$BX$51, _xlpm.기본_색인번호, 0),
_xlpm.상태이상탄환생성위치보정치, IF($G11 = "debuff", VLOOKUP($R11, Factor!$K$18:$R$19, _xlpm.기본_색인번호, 0),1),
_xlpm.상태이상탄환형태보정치, IF($G11 = "debuff", VLOOKUP($S11, Factor!$K$24:$R$25, _xlpm.기본_색인번호, 0),1),
_xlpm.가격보정치, INDEX(Factor!$AE$5:$AL$51, _xlfn.XMATCH($F11,Factor!$AE$5:$AE$51, -1), _xlpm.기본_색인번호),
_xlpm.구경보정치, VLOOKUP($D11,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11" s="25" t="e" cm="1">
        <f t="array" ref="AD11">_xlfn.LET(_xlpm.기본_색인번호, 5,
_xlpm.추가_색인번호, 6,
_xlpm.개별보정치, W11,
_xlpm.패턴보정치, VLOOKUP($G11, Factor!$B$5:$I$51, _xlpm.기본_색인번호, 0),
_xlpm.소모탄환보정치, VLOOKUP($H11, Factor!$T$5:$AA$51, _xlpm.기본_색인번호, 0),
_xlpm.지형보정치, VLOOKUP($I11, Factor!$K$12:$R$13, _xlpm.기본_색인번호, 0),
_xlpm.공격속성보정치, VLOOKUP($J11, Factor!$K$5:$R$7, _xlpm.기본_색인번호, 0),
_xlpm.피해범위보정치, INDEX(Factor!$AN$5:$AV$51, _xlfn.XMATCH(IF(OR($G11="blast", $G11="curved",  $G11= "debuff"), $L11, 0), Factor!$AN$5:$AN$51, -1), _xlpm.추가_색인번호)-IF(AND(OR($G11="blast", $G11="curved", $G11= "debuff"), MOD($L11,1)&lt;&gt;0),INDEX(Factor!$AN$5:$AV$51, _xlfn.XMATCH(IF(OR($G11="blast", $G11="curved", $G11= "debuff"), $L11, 0), Factor!$AN$5:$AN$51, -1), 2)*MOD($L11,1)*10,0),
_xlpm.상태이상보정치, VLOOKUP(IF($G11 = "debuff", $M11, "null"), Factor!$AX$5:$BE$51, _xlpm.기본_색인번호, 0),
_xlpm.지속시간보정치, INDEX(Factor!$BG$5:$BO$51, _xlfn.XMATCH(IF(OR($G11 ="debuff", $G11 = "shot", $G11 = "pierce"), $O11, 0), Factor!$BG$5:$BG$51, -1), _xlpm.추가_색인번호)-IF(AND(OR($G11 ="debuff", $G11 = "shot", $G11 = "pierce"), MOD($O11, 1)&lt;&gt;0), 10*MOD($O11, 1)*INDEX(Factor!$BG$5:$BO$51, _xlfn.XMATCH(IF(OR($G11 ="debuff", $G11 = "shot", $G11 = "pierce"), $O11, 0), Factor!$BG$5:$BG$51, -1), 2), 0),
_xlpm.탄환개수보정치, VLOOKUP(IF(OR($G11 = "curved", $G11 = "shot"), $Q11, 1), Factor!$BQ$5:$BX$51, _xlpm.기본_색인번호, 0),
_xlpm.상태이상탄환생성위치보정치, IF($G11 = "debuff", VLOOKUP($R11, Factor!$K$18:$R$19, _xlpm.기본_색인번호, 0),1),
_xlpm.상태이상탄환형태보정치, IF($G11 = "debuff", VLOOKUP($S11, Factor!$K$24:$R$25, _xlpm.기본_색인번호, 0),1),
_xlpm.가격보정치, INDEX(Factor!$AE$5:$AL$51, _xlfn.XMATCH($F11,Factor!$AE$5:$AE$51, -1), _xlpm.기본_색인번호),
_xlpm.구경보정치, VLOOKUP($D11,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11" s="25" t="e" cm="1">
        <f t="array" ref="AE11">_xlfn.LET(_xlpm.기본_색인번호, 6,
_xlpm.추가_색인번호, 7,
_xlpm.개별보정치, X11,
_xlpm.패턴보정치, VLOOKUP($G11, Factor!$B$5:$I$51, _xlpm.기본_색인번호, 0),
_xlpm.소모탄환보정치, VLOOKUP($H11, Factor!$T$5:$AA$51, _xlpm.기본_색인번호, 0),
_xlpm.지형보정치, VLOOKUP($I11, Factor!$K$12:$R$13, _xlpm.기본_색인번호, 0),
_xlpm.공격속성보정치, VLOOKUP($J11, Factor!$K$5:$R$7, _xlpm.기본_색인번호, 0),
_xlpm.피해범위보정치, INDEX(Factor!$AN$5:$AV$51, _xlfn.XMATCH(IF(OR($G11="blast", $G11="curved",  $G11= "debuff"), $L11, 0), Factor!$AN$5:$AN$51, -1), _xlpm.추가_색인번호)-IF(AND(OR($G11="blast", $G11="curved", $G11= "debuff"), MOD($L11,1)&lt;&gt;0),INDEX(Factor!$AN$5:$AV$51, _xlfn.XMATCH(IF(OR($G11="blast", $G11="curved", $G11= "debuff"), $L11, 0), Factor!$AN$5:$AN$51, -1), 2)*MOD($L11,1)*10,0),
_xlpm.상태이상보정치, VLOOKUP(IF($G11 = "debuff", $M11, "null"), Factor!$AX$5:$BE$51, _xlpm.기본_색인번호, 0),
_xlpm.지속시간보정치, INDEX(Factor!$BG$5:$BO$51, _xlfn.XMATCH(IF(OR($G11 ="debuff", $G11 = "shot", $G11 = "pierce"), $O11, 0), Factor!$BG$5:$BG$51, -1), _xlpm.추가_색인번호)-IF(AND(OR($G11 ="debuff", $G11 = "shot", $G11 = "pierce"), MOD($O11, 1)&lt;&gt;0), 10*MOD($O11, 1)*INDEX(Factor!$BG$5:$BO$51, _xlfn.XMATCH(IF(OR($G11 ="debuff", $G11 = "shot", $G11 = "pierce"), $O11, 0), Factor!$BG$5:$BG$51, -1), 2), 0),
_xlpm.탄환개수보정치, VLOOKUP(IF(OR($G11 = "curved", $G11 = "shot"), $Q11, 1), Factor!$BQ$5:$BX$51, _xlpm.기본_색인번호, 0),
_xlpm.상태이상탄환생성위치보정치, IF($G11 = "debuff", VLOOKUP($R11, Factor!$K$18:$R$19, _xlpm.기본_색인번호, 0),1),
_xlpm.상태이상탄환형태보정치, IF($G11 = "debuff", VLOOKUP($S11, Factor!$K$24:$R$25, _xlpm.기본_색인번호, 0),1),
_xlpm.가격보정치, INDEX(Factor!$AE$5:$AL$51, _xlfn.XMATCH($F11,Factor!$AE$5:$AE$51, -1), _xlpm.기본_색인번호),
_xlpm.구경보정치, VLOOKUP($D11,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11" s="25" t="e" cm="1">
        <f t="array" ref="AF11">_xlfn.LET(_xlpm.기본_색인번호, 7,
_xlpm.추가_색인번호, 8,
_xlpm.개별보정치, Y11,
_xlpm.패턴보정치, VLOOKUP($G11, Factor!$B$5:$I$51, _xlpm.기본_색인번호, 0),
_xlpm.소모탄환보정치, VLOOKUP($H11, Factor!$T$5:$AA$51, _xlpm.기본_색인번호, 0),
_xlpm.지형보정치, VLOOKUP($I11, Factor!$K$12:$R$13, _xlpm.기본_색인번호, 0),
_xlpm.공격속성보정치, VLOOKUP($J11, Factor!$K$5:$R$7, _xlpm.기본_색인번호, 0),
_xlpm.피해범위보정치, INDEX(Factor!$AN$5:$AV$51, _xlfn.XMATCH(IF(OR($G11="blast", $G11="curved",  $G11= "debuff"), $L11, 0), Factor!$AN$5:$AN$51, -1), _xlpm.추가_색인번호)-IF(AND(OR($G11="blast", $G11="curved", $G11= "debuff"), MOD($L11,1)&lt;&gt;0),INDEX(Factor!$AN$5:$AV$51, _xlfn.XMATCH(IF(OR($G11="blast", $G11="curved", $G11= "debuff"), $L11, 0), Factor!$AN$5:$AN$51, -1), 2)*MOD($L11,1)*10,0),
_xlpm.상태이상보정치, VLOOKUP(IF($G11 = "debuff", $M11, "null"), Factor!$AX$5:$BE$51, _xlpm.기본_색인번호, 0),
_xlpm.지속시간보정치, INDEX(Factor!$BG$5:$BO$51, _xlfn.XMATCH(IF(OR($G11 ="debuff", $G11 = "shot", $G11 = "pierce"), $O11, 0), Factor!$BG$5:$BG$51, -1), _xlpm.추가_색인번호)-IF(AND(OR($G11 ="debuff", $G11 = "shot", $G11 = "pierce"), MOD($O11, 1)&lt;&gt;0), 10*MOD($O11, 1)*INDEX(Factor!$BG$5:$BO$51, _xlfn.XMATCH(IF(OR($G11 ="debuff", $G11 = "shot", $G11 = "pierce"), $O11, 0), Factor!$BG$5:$BG$51, -1), 2), 0),
_xlpm.탄환개수보정치, VLOOKUP(IF(OR($G11 = "curved", $G11 = "shot"), $Q11, 1), Factor!$BQ$5:$BX$51, _xlpm.기본_색인번호, 0),
_xlpm.상태이상탄환생성위치보정치, IF($G11 = "debuff", VLOOKUP($R11, Factor!$K$18:$R$19, _xlpm.기본_색인번호, 0),1),
_xlpm.상태이상탄환형태보정치, IF($G11 = "debuff", VLOOKUP($S11, Factor!$K$24:$R$25, _xlpm.기본_색인번호, 0),1),
_xlpm.가격보정치, INDEX(Factor!$AE$5:$AL$51, _xlfn.XMATCH($F11,Factor!$AE$5:$AE$51, -1), _xlpm.기본_색인번호),
_xlpm.구경보정치, VLOOKUP($D11,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11" s="27" t="e" cm="1">
        <f t="array" ref="AG11">_xlfn.LET(_xlpm.기본_색인번호, 8,
_xlpm.추가_색인번호, 9,
_xlpm.개별보정치, Z11,
_xlpm.패턴보정치, VLOOKUP($G11, Factor!$B$5:$I$51, _xlpm.기본_색인번호, 0),
_xlpm.소모탄환보정치, VLOOKUP($H11, Factor!$T$5:$AA$51, _xlpm.기본_색인번호, 0),
_xlpm.지형보정치, VLOOKUP($I11, Factor!$K$12:$R$13, _xlpm.기본_색인번호, 0),
_xlpm.공격속성보정치, VLOOKUP($J11, Factor!$K$5:$R$7, _xlpm.기본_색인번호, 0),
_xlpm.피해범위보정치, INDEX(Factor!$AN$5:$AV$51, _xlfn.XMATCH(IF(OR($G11="blast", $G11="curved",  $G11= "debuff"), $L11, 0), Factor!$AN$5:$AN$51, -1), _xlpm.추가_색인번호)-IF(AND(OR($G11="blast", $G11="curved", $G11= "debuff"), MOD($L11,1)&lt;&gt;0),INDEX(Factor!$AN$5:$AV$51, _xlfn.XMATCH(IF(OR($G11="blast", $G11="curved", $G11= "debuff"), $L11, 0), Factor!$AN$5:$AN$51, -1), 2)*MOD($L11,1)*10,0),
_xlpm.상태이상보정치, VLOOKUP(IF($G11 = "debuff", $M11, "null"), Factor!$AX$5:$BE$51, _xlpm.기본_색인번호, 0),
_xlpm.지속시간보정치, INDEX(Factor!$BG$5:$BO$51, _xlfn.XMATCH(IF(OR($G11 ="debuff", $G11 = "shot", $G11 = "pierce"), $O11, 0), Factor!$BG$5:$BG$51, -1), _xlpm.추가_색인번호)-IF(AND(OR($G11 ="debuff", $G11 = "shot", $G11 = "pierce"), MOD($O11, 1)&lt;&gt;0), 10*MOD($O11, 1)*INDEX(Factor!$BG$5:$BO$51, _xlfn.XMATCH(IF(OR($G11 ="debuff", $G11 = "shot", $G11 = "pierce"), $O11, 0), Factor!$BG$5:$BG$51, -1), 2), 0),
_xlpm.탄환개수보정치, VLOOKUP(IF(OR($G11 = "curved", $G11 = "shot"), $Q11, 1), Factor!$BQ$5:$BX$51, _xlpm.기본_색인번호, 0),
_xlpm.상태이상탄환생성위치보정치, IF($G11 = "debuff", VLOOKUP($R11, Factor!$K$18:$R$19, _xlpm.기본_색인번호, 0),1),
_xlpm.상태이상탄환형태보정치, IF($G11 = "debuff", VLOOKUP($S11, Factor!$K$24:$R$25, _xlpm.기본_색인번호, 0),1),
_xlpm.가격보정치, INDEX(Factor!$AE$5:$AL$51, _xlfn.XMATCH($F11,Factor!$AE$5:$AE$51, -1), _xlpm.기본_색인번호),
_xlpm.구경보정치, VLOOKUP($D11,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11"/>
      <c r="AI11"/>
      <c r="AJ11"/>
      <c r="AK11"/>
      <c r="AL11"/>
      <c r="AM11"/>
      <c r="AN11"/>
    </row>
    <row r="12" spans="1:40" ht="13.5">
      <c r="A12" s="28" t="e">
        <f>"weapon_"&amp;G12&amp;"_"&amp;VLOOKUP(H12, Factor!$T$5:$AB$7, 9, 0)&amp;"_"&amp;IF(COUNTIFS($G$4:G11, G12, $H$4:H11, H12)+1&gt;=100, COUNTIFS($G$4:G11, G12, $H$4:H11, H12)+1,IF(COUNTIFS($G$4:G11, G12, $H$4:H11, H12)+1&gt;=10, "0"&amp;COUNTIFS($G$4:G11, G12, $H$4:H11, H12)+1, "00"&amp;COUNTIFS($G$4:G11, G12, $H$4:H11, H12)+1))</f>
        <v>#N/A</v>
      </c>
      <c r="B12" s="37" t="str">
        <f t="shared" si="0"/>
        <v xml:space="preserve"> </v>
      </c>
      <c r="C12" s="37"/>
      <c r="D12" s="37"/>
      <c r="E12" s="37"/>
      <c r="F12" s="29" t="e">
        <f>VLOOKUP(C12, Factor!$AD$5:$AE$15, 2, 0)</f>
        <v>#N/A</v>
      </c>
      <c r="G12" s="29" t="e">
        <f>VLOOKUP(E12, Factor!$CL$5:$CV$50, 2, 0)</f>
        <v>#N/A</v>
      </c>
      <c r="H12" s="29" t="e">
        <f>VLOOKUP(E12, Factor!$CL$5:$CV$50, 3, 0)</f>
        <v>#N/A</v>
      </c>
      <c r="I12" s="29" t="e">
        <f>VLOOKUP(E12, Factor!$CL$5:$CV$50, 4, 0)</f>
        <v>#N/A</v>
      </c>
      <c r="J12" s="29" t="e">
        <f>VLOOKUP(E12, Factor!$CL$5:$CV$50, 5, 0)</f>
        <v>#N/A</v>
      </c>
      <c r="K12" s="29">
        <v>1</v>
      </c>
      <c r="L12" s="29" t="e">
        <f>VLOOKUP(E12, Factor!$CL$5:$CV$50, 6, 0)*K12*VLOOKUP(D12, Factor!$BZ$5:$CJ$49, 9, 0)</f>
        <v>#N/A</v>
      </c>
      <c r="M12" s="29" t="e">
        <f>VLOOKUP(E12, Factor!$CL$5:$CV$50, 7, 0)</f>
        <v>#N/A</v>
      </c>
      <c r="N12" s="29">
        <v>1</v>
      </c>
      <c r="O12" s="29" t="e">
        <f>VLOOKUP(E12, Factor!$CL$5:$CV$50, 8, 0)*N12*VLOOKUP(D12, Factor!$BZ$5:$CJ$49, 10, 0)</f>
        <v>#N/A</v>
      </c>
      <c r="P12" s="29">
        <v>1</v>
      </c>
      <c r="Q12" s="29" t="e">
        <f>VLOOKUP(E12, Factor!$CL$5:$CV$50, 9, 0)*P12*VLOOKUP(D12, Factor!$BZ$5:$CJ$49, 11, 0)</f>
        <v>#N/A</v>
      </c>
      <c r="R12" s="29" t="e">
        <f>VLOOKUP(E12, Factor!$CL$5:$CV$50, 10, 0)</f>
        <v>#N/A</v>
      </c>
      <c r="S12" s="29" t="e">
        <f>VLOOKUP(E12, Factor!$CL$5:$CV$50, 11, 0)</f>
        <v>#N/A</v>
      </c>
      <c r="T12" s="29">
        <v>1</v>
      </c>
      <c r="U12" s="29">
        <v>1</v>
      </c>
      <c r="V12" s="29">
        <v>1</v>
      </c>
      <c r="W12" s="29">
        <v>1</v>
      </c>
      <c r="X12" s="29">
        <v>1</v>
      </c>
      <c r="Y12" s="29">
        <v>1</v>
      </c>
      <c r="Z12" s="29">
        <v>1</v>
      </c>
      <c r="AA12" s="29" t="e" cm="1">
        <f t="array" ref="AA12">_xlfn.LET(_xlpm.기본_색인번호, 2,
_xlpm.추가_색인번호, 3,
_xlpm.개별보정치, T12,
_xlpm.패턴보정치, VLOOKUP($G12, Factor!$B$5:$I$51, _xlpm.기본_색인번호, 0),
_xlpm.소모탄환보정치, VLOOKUP($H12, Factor!$T$5:$AA$51, _xlpm.기본_색인번호, 0),
_xlpm.지형보정치, VLOOKUP($I12, Factor!$K$12:$R$13, _xlpm.기본_색인번호, 0),
_xlpm.공격속성보정치, VLOOKUP($J12, Factor!$K$5:$R$7, _xlpm.기본_색인번호, 0),
_xlpm.피해범위보정치, INDEX(Factor!$AN$5:$AV$51, _xlfn.XMATCH(IF(OR($G12="blast", $G12="curved",  $G12= "debuff"), $L12, 0), Factor!$AN$5:$AN$51, -1), _xlpm.추가_색인번호)-IF(AND(OR($G12="blast", $G12="curved", $G12= "debuff"), MOD($L12,1)&lt;&gt;0),INDEX(Factor!$AN$5:$AV$51, _xlfn.XMATCH(IF(OR($G12="blast", $G12="curved", $G12= "debuff"), $L12, 0), Factor!$AN$5:$AN$51, -1), 2)*MOD($L12,1)*10,0),
_xlpm.상태이상보정치, VLOOKUP(IF($G12 = "debuff", $M12, "null"), Factor!$AX$5:$BE$51, _xlpm.기본_색인번호, 0),
_xlpm.지속시간보정치, INDEX(Factor!$BG$5:$BO$51, _xlfn.XMATCH(IF(OR($G12 ="debuff", $G12 = "shot", $G12 = "pierce"), $O12, 0), Factor!$BG$5:$BG$51, -1), _xlpm.추가_색인번호)-IF(AND(OR($G12 ="debuff", $G12 = "shot", $G12 = "pierce"), MOD($O12, 1)&lt;&gt;0), 10*MOD($O12, 1)*INDEX(Factor!$BG$5:$BO$51, _xlfn.XMATCH(IF(OR($G12 ="debuff", $G12 = "shot", $G12 = "pierce"), $O12, 0), Factor!$BG$5:$BG$51, -1), 2), 0),
_xlpm.탄환개수보정치, VLOOKUP(IF(OR($G12 = "curved", $G12 = "shot"), $Q12, 1), Factor!$BQ$5:$BX$51, _xlpm.기본_색인번호, 0),
_xlpm.상태이상탄환생성위치보정치, IF($G12 = "debuff", VLOOKUP($R12, Factor!$K$18:$R$19, _xlpm.기본_색인번호, 0),1),
_xlpm.상태이상탄환형태보정치, IF($G12 = "debuff", VLOOKUP($S12, Factor!$K$24:$R$25, _xlpm.기본_색인번호, 0),1),
_xlpm.가격보정치, INDEX(Factor!$AE$5:$AL$51, _xlfn.XMATCH($F12,Factor!$AE$5:$AE$51, -1), _xlpm.기본_색인번호),
_xlpm.구경보정치, VLOOKUP($D12,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12" s="29" t="e" cm="1">
        <f t="array" ref="AB12">_xlfn.LET(_xlpm.기본_색인번호, 3,
_xlpm.추가_색인번호, 4,
_xlpm.개별보정치, U12,
_xlpm.패턴보정치, VLOOKUP($G12, Factor!$B$5:$I$51, _xlpm.기본_색인번호, 0),
_xlpm.소모탄환보정치, VLOOKUP($H12, Factor!$T$5:$AA$51, _xlpm.기본_색인번호, 0),
_xlpm.지형보정치, VLOOKUP($I12, Factor!$K$12:$R$13, _xlpm.기본_색인번호, 0),
_xlpm.공격속성보정치, VLOOKUP($J12, Factor!$K$5:$R$7, _xlpm.기본_색인번호, 0),
_xlpm.피해범위보정치, INDEX(Factor!$AN$5:$AV$51, _xlfn.XMATCH(IF(OR($G12="blast", $G12="curved",  $G12= "debuff"), $L12, 0), Factor!$AN$5:$AN$51, -1), _xlpm.추가_색인번호)-IF(AND(OR($G12="blast", $G12="curved", $G12= "debuff"), MOD($L12,1)&lt;&gt;0),INDEX(Factor!$AN$5:$AV$51, _xlfn.XMATCH(IF(OR($G12="blast", $G12="curved", $G12= "debuff"), $L12, 0), Factor!$AN$5:$AN$51, -1), 2)*MOD($L12,1)*10,0),
_xlpm.상태이상보정치, VLOOKUP(IF($G12 = "debuff", $M12, "null"), Factor!$AX$5:$BE$51, _xlpm.기본_색인번호, 0),
_xlpm.지속시간보정치, INDEX(Factor!$BG$5:$BO$51, _xlfn.XMATCH(IF(OR($G12 ="debuff", $G12 = "shot", $G12 = "pierce"), $O12, 0), Factor!$BG$5:$BG$51, -1), _xlpm.추가_색인번호)-IF(AND(OR($G12 ="debuff", $G12 = "shot", $G12 = "pierce"), MOD($O12, 1)&lt;&gt;0), 10*MOD($O12, 1)*INDEX(Factor!$BG$5:$BO$51, _xlfn.XMATCH(IF(OR($G12 ="debuff", $G12 = "shot", $G12 = "pierce"), $O12, 0), Factor!$BG$5:$BG$51, -1), 2), 0),
_xlpm.탄환개수보정치, VLOOKUP(IF(OR($G12 = "curved", $G12 = "shot"), $Q12, 1), Factor!$BQ$5:$BX$51, _xlpm.기본_색인번호, 0),
_xlpm.상태이상탄환생성위치보정치, IF($G12 = "debuff", VLOOKUP($R12, Factor!$K$18:$R$19, _xlpm.기본_색인번호, 0),1),
_xlpm.상태이상탄환형태보정치, IF($G12 = "debuff", VLOOKUP($S12, Factor!$K$24:$R$25, _xlpm.기본_색인번호, 0),1),
_xlpm.가격보정치, INDEX(Factor!$AE$5:$AL$51, _xlfn.XMATCH($F12,Factor!$AE$5:$AE$51, -1), _xlpm.기본_색인번호),
_xlpm.구경보정치, VLOOKUP($D12,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12" s="29" t="e" cm="1">
        <f t="array" ref="AC12">_xlfn.LET(_xlpm.기본_색인번호, 4,
_xlpm.추가_색인번호, 5,
_xlpm.개별보정치, V12,
_xlpm.패턴보정치, VLOOKUP($G12, Factor!$B$5:$I$51, _xlpm.기본_색인번호, 0),
_xlpm.소모탄환보정치, VLOOKUP($H12, Factor!$T$5:$AA$51, _xlpm.기본_색인번호, 0),
_xlpm.지형보정치, VLOOKUP($I12, Factor!$K$12:$R$13, _xlpm.기본_색인번호, 0),
_xlpm.공격속성보정치, VLOOKUP($J12, Factor!$K$5:$R$7, _xlpm.기본_색인번호, 0),
_xlpm.피해범위보정치, INDEX(Factor!$AN$5:$AV$51, _xlfn.XMATCH(IF(OR($G12="blast", $G12="curved",  $G12= "debuff"), $L12, 0), Factor!$AN$5:$AN$51, -1), _xlpm.추가_색인번호)-IF(AND(OR($G12="blast", $G12="curved", $G12= "debuff"), MOD($L12,1)&lt;&gt;0),INDEX(Factor!$AN$5:$AV$51, _xlfn.XMATCH(IF(OR($G12="blast", $G12="curved", $G12= "debuff"), $L12, 0), Factor!$AN$5:$AN$51, -1), 2)*MOD($L12,1)*10,0),
_xlpm.상태이상보정치, VLOOKUP(IF($G12 = "debuff", $M12, "null"), Factor!$AX$5:$BE$51, _xlpm.기본_색인번호, 0),
_xlpm.지속시간보정치, INDEX(Factor!$BG$5:$BO$51, _xlfn.XMATCH(IF(OR($G12 ="debuff", $G12 = "shot", $G12 = "pierce"), $O12, 0), Factor!$BG$5:$BG$51, -1), _xlpm.추가_색인번호)-IF(AND(OR($G12 ="debuff", $G12 = "shot", $G12 = "pierce"), MOD($O12, 1)&lt;&gt;0), 10*MOD($O12, 1)*INDEX(Factor!$BG$5:$BO$51, _xlfn.XMATCH(IF(OR($G12 ="debuff", $G12 = "shot", $G12 = "pierce"), $O12, 0), Factor!$BG$5:$BG$51, -1), 2), 0),
_xlpm.탄환개수보정치, VLOOKUP(IF(OR($G12 = "curved", $G12 = "shot"), $Q12, 1), Factor!$BQ$5:$BX$51, _xlpm.기본_색인번호, 0),
_xlpm.상태이상탄환생성위치보정치, IF($G12 = "debuff", VLOOKUP($R12, Factor!$K$18:$R$19, _xlpm.기본_색인번호, 0),1),
_xlpm.상태이상탄환형태보정치, IF($G12 = "debuff", VLOOKUP($S12, Factor!$K$24:$R$25, _xlpm.기본_색인번호, 0),1),
_xlpm.가격보정치, INDEX(Factor!$AE$5:$AL$51, _xlfn.XMATCH($F12,Factor!$AE$5:$AE$51, -1), _xlpm.기본_색인번호),
_xlpm.구경보정치, VLOOKUP($D12,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12" s="29" t="e" cm="1">
        <f t="array" ref="AD12">_xlfn.LET(_xlpm.기본_색인번호, 5,
_xlpm.추가_색인번호, 6,
_xlpm.개별보정치, W12,
_xlpm.패턴보정치, VLOOKUP($G12, Factor!$B$5:$I$51, _xlpm.기본_색인번호, 0),
_xlpm.소모탄환보정치, VLOOKUP($H12, Factor!$T$5:$AA$51, _xlpm.기본_색인번호, 0),
_xlpm.지형보정치, VLOOKUP($I12, Factor!$K$12:$R$13, _xlpm.기본_색인번호, 0),
_xlpm.공격속성보정치, VLOOKUP($J12, Factor!$K$5:$R$7, _xlpm.기본_색인번호, 0),
_xlpm.피해범위보정치, INDEX(Factor!$AN$5:$AV$51, _xlfn.XMATCH(IF(OR($G12="blast", $G12="curved",  $G12= "debuff"), $L12, 0), Factor!$AN$5:$AN$51, -1), _xlpm.추가_색인번호)-IF(AND(OR($G12="blast", $G12="curved", $G12= "debuff"), MOD($L12,1)&lt;&gt;0),INDEX(Factor!$AN$5:$AV$51, _xlfn.XMATCH(IF(OR($G12="blast", $G12="curved", $G12= "debuff"), $L12, 0), Factor!$AN$5:$AN$51, -1), 2)*MOD($L12,1)*10,0),
_xlpm.상태이상보정치, VLOOKUP(IF($G12 = "debuff", $M12, "null"), Factor!$AX$5:$BE$51, _xlpm.기본_색인번호, 0),
_xlpm.지속시간보정치, INDEX(Factor!$BG$5:$BO$51, _xlfn.XMATCH(IF(OR($G12 ="debuff", $G12 = "shot", $G12 = "pierce"), $O12, 0), Factor!$BG$5:$BG$51, -1), _xlpm.추가_색인번호)-IF(AND(OR($G12 ="debuff", $G12 = "shot", $G12 = "pierce"), MOD($O12, 1)&lt;&gt;0), 10*MOD($O12, 1)*INDEX(Factor!$BG$5:$BO$51, _xlfn.XMATCH(IF(OR($G12 ="debuff", $G12 = "shot", $G12 = "pierce"), $O12, 0), Factor!$BG$5:$BG$51, -1), 2), 0),
_xlpm.탄환개수보정치, VLOOKUP(IF(OR($G12 = "curved", $G12 = "shot"), $Q12, 1), Factor!$BQ$5:$BX$51, _xlpm.기본_색인번호, 0),
_xlpm.상태이상탄환생성위치보정치, IF($G12 = "debuff", VLOOKUP($R12, Factor!$K$18:$R$19, _xlpm.기본_색인번호, 0),1),
_xlpm.상태이상탄환형태보정치, IF($G12 = "debuff", VLOOKUP($S12, Factor!$K$24:$R$25, _xlpm.기본_색인번호, 0),1),
_xlpm.가격보정치, INDEX(Factor!$AE$5:$AL$51, _xlfn.XMATCH($F12,Factor!$AE$5:$AE$51, -1), _xlpm.기본_색인번호),
_xlpm.구경보정치, VLOOKUP($D12,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12" s="29" t="e" cm="1">
        <f t="array" ref="AE12">_xlfn.LET(_xlpm.기본_색인번호, 6,
_xlpm.추가_색인번호, 7,
_xlpm.개별보정치, X12,
_xlpm.패턴보정치, VLOOKUP($G12, Factor!$B$5:$I$51, _xlpm.기본_색인번호, 0),
_xlpm.소모탄환보정치, VLOOKUP($H12, Factor!$T$5:$AA$51, _xlpm.기본_색인번호, 0),
_xlpm.지형보정치, VLOOKUP($I12, Factor!$K$12:$R$13, _xlpm.기본_색인번호, 0),
_xlpm.공격속성보정치, VLOOKUP($J12, Factor!$K$5:$R$7, _xlpm.기본_색인번호, 0),
_xlpm.피해범위보정치, INDEX(Factor!$AN$5:$AV$51, _xlfn.XMATCH(IF(OR($G12="blast", $G12="curved",  $G12= "debuff"), $L12, 0), Factor!$AN$5:$AN$51, -1), _xlpm.추가_색인번호)-IF(AND(OR($G12="blast", $G12="curved", $G12= "debuff"), MOD($L12,1)&lt;&gt;0),INDEX(Factor!$AN$5:$AV$51, _xlfn.XMATCH(IF(OR($G12="blast", $G12="curved", $G12= "debuff"), $L12, 0), Factor!$AN$5:$AN$51, -1), 2)*MOD($L12,1)*10,0),
_xlpm.상태이상보정치, VLOOKUP(IF($G12 = "debuff", $M12, "null"), Factor!$AX$5:$BE$51, _xlpm.기본_색인번호, 0),
_xlpm.지속시간보정치, INDEX(Factor!$BG$5:$BO$51, _xlfn.XMATCH(IF(OR($G12 ="debuff", $G12 = "shot", $G12 = "pierce"), $O12, 0), Factor!$BG$5:$BG$51, -1), _xlpm.추가_색인번호)-IF(AND(OR($G12 ="debuff", $G12 = "shot", $G12 = "pierce"), MOD($O12, 1)&lt;&gt;0), 10*MOD($O12, 1)*INDEX(Factor!$BG$5:$BO$51, _xlfn.XMATCH(IF(OR($G12 ="debuff", $G12 = "shot", $G12 = "pierce"), $O12, 0), Factor!$BG$5:$BG$51, -1), 2), 0),
_xlpm.탄환개수보정치, VLOOKUP(IF(OR($G12 = "curved", $G12 = "shot"), $Q12, 1), Factor!$BQ$5:$BX$51, _xlpm.기본_색인번호, 0),
_xlpm.상태이상탄환생성위치보정치, IF($G12 = "debuff", VLOOKUP($R12, Factor!$K$18:$R$19, _xlpm.기본_색인번호, 0),1),
_xlpm.상태이상탄환형태보정치, IF($G12 = "debuff", VLOOKUP($S12, Factor!$K$24:$R$25, _xlpm.기본_색인번호, 0),1),
_xlpm.가격보정치, INDEX(Factor!$AE$5:$AL$51, _xlfn.XMATCH($F12,Factor!$AE$5:$AE$51, -1), _xlpm.기본_색인번호),
_xlpm.구경보정치, VLOOKUP($D12,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12" s="29" t="e" cm="1">
        <f t="array" ref="AF12">_xlfn.LET(_xlpm.기본_색인번호, 7,
_xlpm.추가_색인번호, 8,
_xlpm.개별보정치, Y12,
_xlpm.패턴보정치, VLOOKUP($G12, Factor!$B$5:$I$51, _xlpm.기본_색인번호, 0),
_xlpm.소모탄환보정치, VLOOKUP($H12, Factor!$T$5:$AA$51, _xlpm.기본_색인번호, 0),
_xlpm.지형보정치, VLOOKUP($I12, Factor!$K$12:$R$13, _xlpm.기본_색인번호, 0),
_xlpm.공격속성보정치, VLOOKUP($J12, Factor!$K$5:$R$7, _xlpm.기본_색인번호, 0),
_xlpm.피해범위보정치, INDEX(Factor!$AN$5:$AV$51, _xlfn.XMATCH(IF(OR($G12="blast", $G12="curved",  $G12= "debuff"), $L12, 0), Factor!$AN$5:$AN$51, -1), _xlpm.추가_색인번호)-IF(AND(OR($G12="blast", $G12="curved", $G12= "debuff"), MOD($L12,1)&lt;&gt;0),INDEX(Factor!$AN$5:$AV$51, _xlfn.XMATCH(IF(OR($G12="blast", $G12="curved", $G12= "debuff"), $L12, 0), Factor!$AN$5:$AN$51, -1), 2)*MOD($L12,1)*10,0),
_xlpm.상태이상보정치, VLOOKUP(IF($G12 = "debuff", $M12, "null"), Factor!$AX$5:$BE$51, _xlpm.기본_색인번호, 0),
_xlpm.지속시간보정치, INDEX(Factor!$BG$5:$BO$51, _xlfn.XMATCH(IF(OR($G12 ="debuff", $G12 = "shot", $G12 = "pierce"), $O12, 0), Factor!$BG$5:$BG$51, -1), _xlpm.추가_색인번호)-IF(AND(OR($G12 ="debuff", $G12 = "shot", $G12 = "pierce"), MOD($O12, 1)&lt;&gt;0), 10*MOD($O12, 1)*INDEX(Factor!$BG$5:$BO$51, _xlfn.XMATCH(IF(OR($G12 ="debuff", $G12 = "shot", $G12 = "pierce"), $O12, 0), Factor!$BG$5:$BG$51, -1), 2), 0),
_xlpm.탄환개수보정치, VLOOKUP(IF(OR($G12 = "curved", $G12 = "shot"), $Q12, 1), Factor!$BQ$5:$BX$51, _xlpm.기본_색인번호, 0),
_xlpm.상태이상탄환생성위치보정치, IF($G12 = "debuff", VLOOKUP($R12, Factor!$K$18:$R$19, _xlpm.기본_색인번호, 0),1),
_xlpm.상태이상탄환형태보정치, IF($G12 = "debuff", VLOOKUP($S12, Factor!$K$24:$R$25, _xlpm.기본_색인번호, 0),1),
_xlpm.가격보정치, INDEX(Factor!$AE$5:$AL$51, _xlfn.XMATCH($F12,Factor!$AE$5:$AE$51, -1), _xlpm.기본_색인번호),
_xlpm.구경보정치, VLOOKUP($D12,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12" s="30" t="e" cm="1">
        <f t="array" ref="AG12">_xlfn.LET(_xlpm.기본_색인번호, 8,
_xlpm.추가_색인번호, 9,
_xlpm.개별보정치, Z12,
_xlpm.패턴보정치, VLOOKUP($G12, Factor!$B$5:$I$51, _xlpm.기본_색인번호, 0),
_xlpm.소모탄환보정치, VLOOKUP($H12, Factor!$T$5:$AA$51, _xlpm.기본_색인번호, 0),
_xlpm.지형보정치, VLOOKUP($I12, Factor!$K$12:$R$13, _xlpm.기본_색인번호, 0),
_xlpm.공격속성보정치, VLOOKUP($J12, Factor!$K$5:$R$7, _xlpm.기본_색인번호, 0),
_xlpm.피해범위보정치, INDEX(Factor!$AN$5:$AV$51, _xlfn.XMATCH(IF(OR($G12="blast", $G12="curved",  $G12= "debuff"), $L12, 0), Factor!$AN$5:$AN$51, -1), _xlpm.추가_색인번호)-IF(AND(OR($G12="blast", $G12="curved", $G12= "debuff"), MOD($L12,1)&lt;&gt;0),INDEX(Factor!$AN$5:$AV$51, _xlfn.XMATCH(IF(OR($G12="blast", $G12="curved", $G12= "debuff"), $L12, 0), Factor!$AN$5:$AN$51, -1), 2)*MOD($L12,1)*10,0),
_xlpm.상태이상보정치, VLOOKUP(IF($G12 = "debuff", $M12, "null"), Factor!$AX$5:$BE$51, _xlpm.기본_색인번호, 0),
_xlpm.지속시간보정치, INDEX(Factor!$BG$5:$BO$51, _xlfn.XMATCH(IF(OR($G12 ="debuff", $G12 = "shot", $G12 = "pierce"), $O12, 0), Factor!$BG$5:$BG$51, -1), _xlpm.추가_색인번호)-IF(AND(OR($G12 ="debuff", $G12 = "shot", $G12 = "pierce"), MOD($O12, 1)&lt;&gt;0), 10*MOD($O12, 1)*INDEX(Factor!$BG$5:$BO$51, _xlfn.XMATCH(IF(OR($G12 ="debuff", $G12 = "shot", $G12 = "pierce"), $O12, 0), Factor!$BG$5:$BG$51, -1), 2), 0),
_xlpm.탄환개수보정치, VLOOKUP(IF(OR($G12 = "curved", $G12 = "shot"), $Q12, 1), Factor!$BQ$5:$BX$51, _xlpm.기본_색인번호, 0),
_xlpm.상태이상탄환생성위치보정치, IF($G12 = "debuff", VLOOKUP($R12, Factor!$K$18:$R$19, _xlpm.기본_색인번호, 0),1),
_xlpm.상태이상탄환형태보정치, IF($G12 = "debuff", VLOOKUP($S12, Factor!$K$24:$R$25, _xlpm.기본_색인번호, 0),1),
_xlpm.가격보정치, INDEX(Factor!$AE$5:$AL$51, _xlfn.XMATCH($F12,Factor!$AE$5:$AE$51, -1), _xlpm.기본_색인번호),
_xlpm.구경보정치, VLOOKUP($D12,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12"/>
      <c r="AI12"/>
      <c r="AJ12"/>
      <c r="AK12"/>
      <c r="AL12"/>
      <c r="AM12"/>
      <c r="AN12"/>
    </row>
    <row r="13" spans="1:40" ht="13.5">
      <c r="A13" s="24" t="e">
        <f>"weapon_"&amp;G13&amp;"_"&amp;VLOOKUP(H13, Factor!$T$5:$AB$7, 9, 0)&amp;"_"&amp;IF(COUNTIFS($G$4:G12, G13, $H$4:H12, H13)+1&gt;=100, COUNTIFS($G$4:G12, G13, $H$4:H12, H13)+1,IF(COUNTIFS($G$4:G12, G13, $H$4:H12, H13)+1&gt;=10, "0"&amp;COUNTIFS($G$4:G12, G13, $H$4:H12, H13)+1, "00"&amp;COUNTIFS($G$4:G12, G13, $H$4:H12, H13)+1))</f>
        <v>#N/A</v>
      </c>
      <c r="B13" s="36" t="str">
        <f t="shared" si="0"/>
        <v xml:space="preserve"> </v>
      </c>
      <c r="C13" s="36"/>
      <c r="D13" s="36"/>
      <c r="E13" s="36"/>
      <c r="F13" s="25" t="e">
        <f>VLOOKUP(C13, Factor!$AD$5:$AE$15, 2, 0)</f>
        <v>#N/A</v>
      </c>
      <c r="G13" s="26" t="e">
        <f>VLOOKUP(E13, Factor!$CL$5:$CV$50, 2, 0)</f>
        <v>#N/A</v>
      </c>
      <c r="H13" s="25" t="e">
        <f>VLOOKUP(E13, Factor!$CL$5:$CV$50, 3, 0)</f>
        <v>#N/A</v>
      </c>
      <c r="I13" s="25" t="e">
        <f>VLOOKUP(E13, Factor!$CL$5:$CV$50, 4, 0)</f>
        <v>#N/A</v>
      </c>
      <c r="J13" s="25" t="e">
        <f>VLOOKUP(E13, Factor!$CL$5:$CV$50, 5, 0)</f>
        <v>#N/A</v>
      </c>
      <c r="K13" s="25">
        <v>1</v>
      </c>
      <c r="L13" s="25" t="e">
        <f>VLOOKUP(E13, Factor!$CL$5:$CV$50, 6, 0)*K13*VLOOKUP(D13, Factor!$BZ$5:$CJ$49, 9, 0)</f>
        <v>#N/A</v>
      </c>
      <c r="M13" s="25" t="e">
        <f>VLOOKUP(E13, Factor!$CL$5:$CV$50, 7, 0)</f>
        <v>#N/A</v>
      </c>
      <c r="N13" s="25">
        <v>1</v>
      </c>
      <c r="O13" s="25" t="e">
        <f>VLOOKUP(E13, Factor!$CL$5:$CV$50, 8, 0)*N13*VLOOKUP(D13, Factor!$BZ$5:$CJ$49, 10, 0)</f>
        <v>#N/A</v>
      </c>
      <c r="P13" s="25">
        <v>1</v>
      </c>
      <c r="Q13" s="25" t="e">
        <f>VLOOKUP(E13, Factor!$CL$5:$CV$50, 9, 0)*P13*VLOOKUP(D13, Factor!$BZ$5:$CJ$49, 11, 0)</f>
        <v>#N/A</v>
      </c>
      <c r="R13" s="25" t="e">
        <f>VLOOKUP(E13, Factor!$CL$5:$CV$50, 10, 0)</f>
        <v>#N/A</v>
      </c>
      <c r="S13" s="25" t="e">
        <f>VLOOKUP(E13, Factor!$CL$5:$CV$50, 11, 0)</f>
        <v>#N/A</v>
      </c>
      <c r="T13" s="25">
        <v>1</v>
      </c>
      <c r="U13" s="25">
        <v>1</v>
      </c>
      <c r="V13" s="25">
        <v>1</v>
      </c>
      <c r="W13" s="25">
        <v>1</v>
      </c>
      <c r="X13" s="25">
        <v>1</v>
      </c>
      <c r="Y13" s="25">
        <v>1</v>
      </c>
      <c r="Z13" s="25">
        <v>1</v>
      </c>
      <c r="AA13" s="25" t="e" cm="1">
        <f t="array" ref="AA13">_xlfn.LET(_xlpm.기본_색인번호, 2,
_xlpm.추가_색인번호, 3,
_xlpm.개별보정치, T13,
_xlpm.패턴보정치, VLOOKUP($G13, Factor!$B$5:$I$51, _xlpm.기본_색인번호, 0),
_xlpm.소모탄환보정치, VLOOKUP($H13, Factor!$T$5:$AA$51, _xlpm.기본_색인번호, 0),
_xlpm.지형보정치, VLOOKUP($I13, Factor!$K$12:$R$13, _xlpm.기본_색인번호, 0),
_xlpm.공격속성보정치, VLOOKUP($J13, Factor!$K$5:$R$7, _xlpm.기본_색인번호, 0),
_xlpm.피해범위보정치, INDEX(Factor!$AN$5:$AV$51, _xlfn.XMATCH(IF(OR($G13="blast", $G13="curved",  $G13= "debuff"), $L13, 0), Factor!$AN$5:$AN$51, -1), _xlpm.추가_색인번호)-IF(AND(OR($G13="blast", $G13="curved", $G13= "debuff"), MOD($L13,1)&lt;&gt;0),INDEX(Factor!$AN$5:$AV$51, _xlfn.XMATCH(IF(OR($G13="blast", $G13="curved", $G13= "debuff"), $L13, 0), Factor!$AN$5:$AN$51, -1), 2)*MOD($L13,1)*10,0),
_xlpm.상태이상보정치, VLOOKUP(IF($G13 = "debuff", $M13, "null"), Factor!$AX$5:$BE$51, _xlpm.기본_색인번호, 0),
_xlpm.지속시간보정치, INDEX(Factor!$BG$5:$BO$51, _xlfn.XMATCH(IF(OR($G13 ="debuff", $G13 = "shot", $G13 = "pierce"), $O13, 0), Factor!$BG$5:$BG$51, -1), _xlpm.추가_색인번호)-IF(AND(OR($G13 ="debuff", $G13 = "shot", $G13 = "pierce"), MOD($O13, 1)&lt;&gt;0), 10*MOD($O13, 1)*INDEX(Factor!$BG$5:$BO$51, _xlfn.XMATCH(IF(OR($G13 ="debuff", $G13 = "shot", $G13 = "pierce"), $O13, 0), Factor!$BG$5:$BG$51, -1), 2), 0),
_xlpm.탄환개수보정치, VLOOKUP(IF(OR($G13 = "curved", $G13 = "shot"), $Q13, 1), Factor!$BQ$5:$BX$51, _xlpm.기본_색인번호, 0),
_xlpm.상태이상탄환생성위치보정치, IF($G13 = "debuff", VLOOKUP($R13, Factor!$K$18:$R$19, _xlpm.기본_색인번호, 0),1),
_xlpm.상태이상탄환형태보정치, IF($G13 = "debuff", VLOOKUP($S13, Factor!$K$24:$R$25, _xlpm.기본_색인번호, 0),1),
_xlpm.가격보정치, INDEX(Factor!$AE$5:$AL$51, _xlfn.XMATCH($F13,Factor!$AE$5:$AE$51, -1), _xlpm.기본_색인번호),
_xlpm.구경보정치, VLOOKUP($D13,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13" s="25" t="e" cm="1">
        <f t="array" ref="AB13">_xlfn.LET(_xlpm.기본_색인번호, 3,
_xlpm.추가_색인번호, 4,
_xlpm.개별보정치, U13,
_xlpm.패턴보정치, VLOOKUP($G13, Factor!$B$5:$I$51, _xlpm.기본_색인번호, 0),
_xlpm.소모탄환보정치, VLOOKUP($H13, Factor!$T$5:$AA$51, _xlpm.기본_색인번호, 0),
_xlpm.지형보정치, VLOOKUP($I13, Factor!$K$12:$R$13, _xlpm.기본_색인번호, 0),
_xlpm.공격속성보정치, VLOOKUP($J13, Factor!$K$5:$R$7, _xlpm.기본_색인번호, 0),
_xlpm.피해범위보정치, INDEX(Factor!$AN$5:$AV$51, _xlfn.XMATCH(IF(OR($G13="blast", $G13="curved",  $G13= "debuff"), $L13, 0), Factor!$AN$5:$AN$51, -1), _xlpm.추가_색인번호)-IF(AND(OR($G13="blast", $G13="curved", $G13= "debuff"), MOD($L13,1)&lt;&gt;0),INDEX(Factor!$AN$5:$AV$51, _xlfn.XMATCH(IF(OR($G13="blast", $G13="curved", $G13= "debuff"), $L13, 0), Factor!$AN$5:$AN$51, -1), 2)*MOD($L13,1)*10,0),
_xlpm.상태이상보정치, VLOOKUP(IF($G13 = "debuff", $M13, "null"), Factor!$AX$5:$BE$51, _xlpm.기본_색인번호, 0),
_xlpm.지속시간보정치, INDEX(Factor!$BG$5:$BO$51, _xlfn.XMATCH(IF(OR($G13 ="debuff", $G13 = "shot", $G13 = "pierce"), $O13, 0), Factor!$BG$5:$BG$51, -1), _xlpm.추가_색인번호)-IF(AND(OR($G13 ="debuff", $G13 = "shot", $G13 = "pierce"), MOD($O13, 1)&lt;&gt;0), 10*MOD($O13, 1)*INDEX(Factor!$BG$5:$BO$51, _xlfn.XMATCH(IF(OR($G13 ="debuff", $G13 = "shot", $G13 = "pierce"), $O13, 0), Factor!$BG$5:$BG$51, -1), 2), 0),
_xlpm.탄환개수보정치, VLOOKUP(IF(OR($G13 = "curved", $G13 = "shot"), $Q13, 1), Factor!$BQ$5:$BX$51, _xlpm.기본_색인번호, 0),
_xlpm.상태이상탄환생성위치보정치, IF($G13 = "debuff", VLOOKUP($R13, Factor!$K$18:$R$19, _xlpm.기본_색인번호, 0),1),
_xlpm.상태이상탄환형태보정치, IF($G13 = "debuff", VLOOKUP($S13, Factor!$K$24:$R$25, _xlpm.기본_색인번호, 0),1),
_xlpm.가격보정치, INDEX(Factor!$AE$5:$AL$51, _xlfn.XMATCH($F13,Factor!$AE$5:$AE$51, -1), _xlpm.기본_색인번호),
_xlpm.구경보정치, VLOOKUP($D13,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13" s="25" t="e" cm="1">
        <f t="array" ref="AC13">_xlfn.LET(_xlpm.기본_색인번호, 4,
_xlpm.추가_색인번호, 5,
_xlpm.개별보정치, V13,
_xlpm.패턴보정치, VLOOKUP($G13, Factor!$B$5:$I$51, _xlpm.기본_색인번호, 0),
_xlpm.소모탄환보정치, VLOOKUP($H13, Factor!$T$5:$AA$51, _xlpm.기본_색인번호, 0),
_xlpm.지형보정치, VLOOKUP($I13, Factor!$K$12:$R$13, _xlpm.기본_색인번호, 0),
_xlpm.공격속성보정치, VLOOKUP($J13, Factor!$K$5:$R$7, _xlpm.기본_색인번호, 0),
_xlpm.피해범위보정치, INDEX(Factor!$AN$5:$AV$51, _xlfn.XMATCH(IF(OR($G13="blast", $G13="curved",  $G13= "debuff"), $L13, 0), Factor!$AN$5:$AN$51, -1), _xlpm.추가_색인번호)-IF(AND(OR($G13="blast", $G13="curved", $G13= "debuff"), MOD($L13,1)&lt;&gt;0),INDEX(Factor!$AN$5:$AV$51, _xlfn.XMATCH(IF(OR($G13="blast", $G13="curved", $G13= "debuff"), $L13, 0), Factor!$AN$5:$AN$51, -1), 2)*MOD($L13,1)*10,0),
_xlpm.상태이상보정치, VLOOKUP(IF($G13 = "debuff", $M13, "null"), Factor!$AX$5:$BE$51, _xlpm.기본_색인번호, 0),
_xlpm.지속시간보정치, INDEX(Factor!$BG$5:$BO$51, _xlfn.XMATCH(IF(OR($G13 ="debuff", $G13 = "shot", $G13 = "pierce"), $O13, 0), Factor!$BG$5:$BG$51, -1), _xlpm.추가_색인번호)-IF(AND(OR($G13 ="debuff", $G13 = "shot", $G13 = "pierce"), MOD($O13, 1)&lt;&gt;0), 10*MOD($O13, 1)*INDEX(Factor!$BG$5:$BO$51, _xlfn.XMATCH(IF(OR($G13 ="debuff", $G13 = "shot", $G13 = "pierce"), $O13, 0), Factor!$BG$5:$BG$51, -1), 2), 0),
_xlpm.탄환개수보정치, VLOOKUP(IF(OR($G13 = "curved", $G13 = "shot"), $Q13, 1), Factor!$BQ$5:$BX$51, _xlpm.기본_색인번호, 0),
_xlpm.상태이상탄환생성위치보정치, IF($G13 = "debuff", VLOOKUP($R13, Factor!$K$18:$R$19, _xlpm.기본_색인번호, 0),1),
_xlpm.상태이상탄환형태보정치, IF($G13 = "debuff", VLOOKUP($S13, Factor!$K$24:$R$25, _xlpm.기본_색인번호, 0),1),
_xlpm.가격보정치, INDEX(Factor!$AE$5:$AL$51, _xlfn.XMATCH($F13,Factor!$AE$5:$AE$51, -1), _xlpm.기본_색인번호),
_xlpm.구경보정치, VLOOKUP($D13,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13" s="25" t="e" cm="1">
        <f t="array" ref="AD13">_xlfn.LET(_xlpm.기본_색인번호, 5,
_xlpm.추가_색인번호, 6,
_xlpm.개별보정치, W13,
_xlpm.패턴보정치, VLOOKUP($G13, Factor!$B$5:$I$51, _xlpm.기본_색인번호, 0),
_xlpm.소모탄환보정치, VLOOKUP($H13, Factor!$T$5:$AA$51, _xlpm.기본_색인번호, 0),
_xlpm.지형보정치, VLOOKUP($I13, Factor!$K$12:$R$13, _xlpm.기본_색인번호, 0),
_xlpm.공격속성보정치, VLOOKUP($J13, Factor!$K$5:$R$7, _xlpm.기본_색인번호, 0),
_xlpm.피해범위보정치, INDEX(Factor!$AN$5:$AV$51, _xlfn.XMATCH(IF(OR($G13="blast", $G13="curved",  $G13= "debuff"), $L13, 0), Factor!$AN$5:$AN$51, -1), _xlpm.추가_색인번호)-IF(AND(OR($G13="blast", $G13="curved", $G13= "debuff"), MOD($L13,1)&lt;&gt;0),INDEX(Factor!$AN$5:$AV$51, _xlfn.XMATCH(IF(OR($G13="blast", $G13="curved", $G13= "debuff"), $L13, 0), Factor!$AN$5:$AN$51, -1), 2)*MOD($L13,1)*10,0),
_xlpm.상태이상보정치, VLOOKUP(IF($G13 = "debuff", $M13, "null"), Factor!$AX$5:$BE$51, _xlpm.기본_색인번호, 0),
_xlpm.지속시간보정치, INDEX(Factor!$BG$5:$BO$51, _xlfn.XMATCH(IF(OR($G13 ="debuff", $G13 = "shot", $G13 = "pierce"), $O13, 0), Factor!$BG$5:$BG$51, -1), _xlpm.추가_색인번호)-IF(AND(OR($G13 ="debuff", $G13 = "shot", $G13 = "pierce"), MOD($O13, 1)&lt;&gt;0), 10*MOD($O13, 1)*INDEX(Factor!$BG$5:$BO$51, _xlfn.XMATCH(IF(OR($G13 ="debuff", $G13 = "shot", $G13 = "pierce"), $O13, 0), Factor!$BG$5:$BG$51, -1), 2), 0),
_xlpm.탄환개수보정치, VLOOKUP(IF(OR($G13 = "curved", $G13 = "shot"), $Q13, 1), Factor!$BQ$5:$BX$51, _xlpm.기본_색인번호, 0),
_xlpm.상태이상탄환생성위치보정치, IF($G13 = "debuff", VLOOKUP($R13, Factor!$K$18:$R$19, _xlpm.기본_색인번호, 0),1),
_xlpm.상태이상탄환형태보정치, IF($G13 = "debuff", VLOOKUP($S13, Factor!$K$24:$R$25, _xlpm.기본_색인번호, 0),1),
_xlpm.가격보정치, INDEX(Factor!$AE$5:$AL$51, _xlfn.XMATCH($F13,Factor!$AE$5:$AE$51, -1), _xlpm.기본_색인번호),
_xlpm.구경보정치, VLOOKUP($D13,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13" s="25" t="e" cm="1">
        <f t="array" ref="AE13">_xlfn.LET(_xlpm.기본_색인번호, 6,
_xlpm.추가_색인번호, 7,
_xlpm.개별보정치, X13,
_xlpm.패턴보정치, VLOOKUP($G13, Factor!$B$5:$I$51, _xlpm.기본_색인번호, 0),
_xlpm.소모탄환보정치, VLOOKUP($H13, Factor!$T$5:$AA$51, _xlpm.기본_색인번호, 0),
_xlpm.지형보정치, VLOOKUP($I13, Factor!$K$12:$R$13, _xlpm.기본_색인번호, 0),
_xlpm.공격속성보정치, VLOOKUP($J13, Factor!$K$5:$R$7, _xlpm.기본_색인번호, 0),
_xlpm.피해범위보정치, INDEX(Factor!$AN$5:$AV$51, _xlfn.XMATCH(IF(OR($G13="blast", $G13="curved",  $G13= "debuff"), $L13, 0), Factor!$AN$5:$AN$51, -1), _xlpm.추가_색인번호)-IF(AND(OR($G13="blast", $G13="curved", $G13= "debuff"), MOD($L13,1)&lt;&gt;0),INDEX(Factor!$AN$5:$AV$51, _xlfn.XMATCH(IF(OR($G13="blast", $G13="curved", $G13= "debuff"), $L13, 0), Factor!$AN$5:$AN$51, -1), 2)*MOD($L13,1)*10,0),
_xlpm.상태이상보정치, VLOOKUP(IF($G13 = "debuff", $M13, "null"), Factor!$AX$5:$BE$51, _xlpm.기본_색인번호, 0),
_xlpm.지속시간보정치, INDEX(Factor!$BG$5:$BO$51, _xlfn.XMATCH(IF(OR($G13 ="debuff", $G13 = "shot", $G13 = "pierce"), $O13, 0), Factor!$BG$5:$BG$51, -1), _xlpm.추가_색인번호)-IF(AND(OR($G13 ="debuff", $G13 = "shot", $G13 = "pierce"), MOD($O13, 1)&lt;&gt;0), 10*MOD($O13, 1)*INDEX(Factor!$BG$5:$BO$51, _xlfn.XMATCH(IF(OR($G13 ="debuff", $G13 = "shot", $G13 = "pierce"), $O13, 0), Factor!$BG$5:$BG$51, -1), 2), 0),
_xlpm.탄환개수보정치, VLOOKUP(IF(OR($G13 = "curved", $G13 = "shot"), $Q13, 1), Factor!$BQ$5:$BX$51, _xlpm.기본_색인번호, 0),
_xlpm.상태이상탄환생성위치보정치, IF($G13 = "debuff", VLOOKUP($R13, Factor!$K$18:$R$19, _xlpm.기본_색인번호, 0),1),
_xlpm.상태이상탄환형태보정치, IF($G13 = "debuff", VLOOKUP($S13, Factor!$K$24:$R$25, _xlpm.기본_색인번호, 0),1),
_xlpm.가격보정치, INDEX(Factor!$AE$5:$AL$51, _xlfn.XMATCH($F13,Factor!$AE$5:$AE$51, -1), _xlpm.기본_색인번호),
_xlpm.구경보정치, VLOOKUP($D13,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13" s="25" t="e" cm="1">
        <f t="array" ref="AF13">_xlfn.LET(_xlpm.기본_색인번호, 7,
_xlpm.추가_색인번호, 8,
_xlpm.개별보정치, Y13,
_xlpm.패턴보정치, VLOOKUP($G13, Factor!$B$5:$I$51, _xlpm.기본_색인번호, 0),
_xlpm.소모탄환보정치, VLOOKUP($H13, Factor!$T$5:$AA$51, _xlpm.기본_색인번호, 0),
_xlpm.지형보정치, VLOOKUP($I13, Factor!$K$12:$R$13, _xlpm.기본_색인번호, 0),
_xlpm.공격속성보정치, VLOOKUP($J13, Factor!$K$5:$R$7, _xlpm.기본_색인번호, 0),
_xlpm.피해범위보정치, INDEX(Factor!$AN$5:$AV$51, _xlfn.XMATCH(IF(OR($G13="blast", $G13="curved",  $G13= "debuff"), $L13, 0), Factor!$AN$5:$AN$51, -1), _xlpm.추가_색인번호)-IF(AND(OR($G13="blast", $G13="curved", $G13= "debuff"), MOD($L13,1)&lt;&gt;0),INDEX(Factor!$AN$5:$AV$51, _xlfn.XMATCH(IF(OR($G13="blast", $G13="curved", $G13= "debuff"), $L13, 0), Factor!$AN$5:$AN$51, -1), 2)*MOD($L13,1)*10,0),
_xlpm.상태이상보정치, VLOOKUP(IF($G13 = "debuff", $M13, "null"), Factor!$AX$5:$BE$51, _xlpm.기본_색인번호, 0),
_xlpm.지속시간보정치, INDEX(Factor!$BG$5:$BO$51, _xlfn.XMATCH(IF(OR($G13 ="debuff", $G13 = "shot", $G13 = "pierce"), $O13, 0), Factor!$BG$5:$BG$51, -1), _xlpm.추가_색인번호)-IF(AND(OR($G13 ="debuff", $G13 = "shot", $G13 = "pierce"), MOD($O13, 1)&lt;&gt;0), 10*MOD($O13, 1)*INDEX(Factor!$BG$5:$BO$51, _xlfn.XMATCH(IF(OR($G13 ="debuff", $G13 = "shot", $G13 = "pierce"), $O13, 0), Factor!$BG$5:$BG$51, -1), 2), 0),
_xlpm.탄환개수보정치, VLOOKUP(IF(OR($G13 = "curved", $G13 = "shot"), $Q13, 1), Factor!$BQ$5:$BX$51, _xlpm.기본_색인번호, 0),
_xlpm.상태이상탄환생성위치보정치, IF($G13 = "debuff", VLOOKUP($R13, Factor!$K$18:$R$19, _xlpm.기본_색인번호, 0),1),
_xlpm.상태이상탄환형태보정치, IF($G13 = "debuff", VLOOKUP($S13, Factor!$K$24:$R$25, _xlpm.기본_색인번호, 0),1),
_xlpm.가격보정치, INDEX(Factor!$AE$5:$AL$51, _xlfn.XMATCH($F13,Factor!$AE$5:$AE$51, -1), _xlpm.기본_색인번호),
_xlpm.구경보정치, VLOOKUP($D13,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13" s="27" t="e" cm="1">
        <f t="array" ref="AG13">_xlfn.LET(_xlpm.기본_색인번호, 8,
_xlpm.추가_색인번호, 9,
_xlpm.개별보정치, Z13,
_xlpm.패턴보정치, VLOOKUP($G13, Factor!$B$5:$I$51, _xlpm.기본_색인번호, 0),
_xlpm.소모탄환보정치, VLOOKUP($H13, Factor!$T$5:$AA$51, _xlpm.기본_색인번호, 0),
_xlpm.지형보정치, VLOOKUP($I13, Factor!$K$12:$R$13, _xlpm.기본_색인번호, 0),
_xlpm.공격속성보정치, VLOOKUP($J13, Factor!$K$5:$R$7, _xlpm.기본_색인번호, 0),
_xlpm.피해범위보정치, INDEX(Factor!$AN$5:$AV$51, _xlfn.XMATCH(IF(OR($G13="blast", $G13="curved",  $G13= "debuff"), $L13, 0), Factor!$AN$5:$AN$51, -1), _xlpm.추가_색인번호)-IF(AND(OR($G13="blast", $G13="curved", $G13= "debuff"), MOD($L13,1)&lt;&gt;0),INDEX(Factor!$AN$5:$AV$51, _xlfn.XMATCH(IF(OR($G13="blast", $G13="curved", $G13= "debuff"), $L13, 0), Factor!$AN$5:$AN$51, -1), 2)*MOD($L13,1)*10,0),
_xlpm.상태이상보정치, VLOOKUP(IF($G13 = "debuff", $M13, "null"), Factor!$AX$5:$BE$51, _xlpm.기본_색인번호, 0),
_xlpm.지속시간보정치, INDEX(Factor!$BG$5:$BO$51, _xlfn.XMATCH(IF(OR($G13 ="debuff", $G13 = "shot", $G13 = "pierce"), $O13, 0), Factor!$BG$5:$BG$51, -1), _xlpm.추가_색인번호)-IF(AND(OR($G13 ="debuff", $G13 = "shot", $G13 = "pierce"), MOD($O13, 1)&lt;&gt;0), 10*MOD($O13, 1)*INDEX(Factor!$BG$5:$BO$51, _xlfn.XMATCH(IF(OR($G13 ="debuff", $G13 = "shot", $G13 = "pierce"), $O13, 0), Factor!$BG$5:$BG$51, -1), 2), 0),
_xlpm.탄환개수보정치, VLOOKUP(IF(OR($G13 = "curved", $G13 = "shot"), $Q13, 1), Factor!$BQ$5:$BX$51, _xlpm.기본_색인번호, 0),
_xlpm.상태이상탄환생성위치보정치, IF($G13 = "debuff", VLOOKUP($R13, Factor!$K$18:$R$19, _xlpm.기본_색인번호, 0),1),
_xlpm.상태이상탄환형태보정치, IF($G13 = "debuff", VLOOKUP($S13, Factor!$K$24:$R$25, _xlpm.기본_색인번호, 0),1),
_xlpm.가격보정치, INDEX(Factor!$AE$5:$AL$51, _xlfn.XMATCH($F13,Factor!$AE$5:$AE$51, -1), _xlpm.기본_색인번호),
_xlpm.구경보정치, VLOOKUP($D13,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13"/>
      <c r="AI13"/>
      <c r="AJ13"/>
      <c r="AK13"/>
      <c r="AL13"/>
      <c r="AM13"/>
      <c r="AN13"/>
    </row>
    <row r="14" spans="1:40" ht="13.5">
      <c r="A14" s="28" t="e">
        <f>"weapon_"&amp;G14&amp;"_"&amp;VLOOKUP(H14, Factor!$T$5:$AB$7, 9, 0)&amp;"_"&amp;IF(COUNTIFS($G$4:G13, G14, $H$4:H13, H14)+1&gt;=100, COUNTIFS($G$4:G13, G14, $H$4:H13, H14)+1,IF(COUNTIFS($G$4:G13, G14, $H$4:H13, H14)+1&gt;=10, "0"&amp;COUNTIFS($G$4:G13, G14, $H$4:H13, H14)+1, "00"&amp;COUNTIFS($G$4:G13, G14, $H$4:H13, H14)+1))</f>
        <v>#N/A</v>
      </c>
      <c r="B14" s="37" t="str">
        <f t="shared" si="0"/>
        <v xml:space="preserve"> </v>
      </c>
      <c r="C14" s="37"/>
      <c r="D14" s="37"/>
      <c r="E14" s="37"/>
      <c r="F14" s="29" t="e">
        <f>VLOOKUP(C14, Factor!$AD$5:$AE$15, 2, 0)</f>
        <v>#N/A</v>
      </c>
      <c r="G14" s="29" t="e">
        <f>VLOOKUP(E14, Factor!$CL$5:$CV$50, 2, 0)</f>
        <v>#N/A</v>
      </c>
      <c r="H14" s="29" t="e">
        <f>VLOOKUP(E14, Factor!$CL$5:$CV$50, 3, 0)</f>
        <v>#N/A</v>
      </c>
      <c r="I14" s="29" t="e">
        <f>VLOOKUP(E14, Factor!$CL$5:$CV$50, 4, 0)</f>
        <v>#N/A</v>
      </c>
      <c r="J14" s="29" t="e">
        <f>VLOOKUP(E14, Factor!$CL$5:$CV$50, 5, 0)</f>
        <v>#N/A</v>
      </c>
      <c r="K14" s="29">
        <v>1</v>
      </c>
      <c r="L14" s="29" t="e">
        <f>VLOOKUP(E14, Factor!$CL$5:$CV$50, 6, 0)*K14*VLOOKUP(D14, Factor!$BZ$5:$CJ$49, 9, 0)</f>
        <v>#N/A</v>
      </c>
      <c r="M14" s="29" t="e">
        <f>VLOOKUP(E14, Factor!$CL$5:$CV$50, 7, 0)</f>
        <v>#N/A</v>
      </c>
      <c r="N14" s="29">
        <v>1</v>
      </c>
      <c r="O14" s="29" t="e">
        <f>VLOOKUP(E14, Factor!$CL$5:$CV$50, 8, 0)*N14*VLOOKUP(D14, Factor!$BZ$5:$CJ$49, 10, 0)</f>
        <v>#N/A</v>
      </c>
      <c r="P14" s="29">
        <v>1</v>
      </c>
      <c r="Q14" s="29" t="e">
        <f>VLOOKUP(E14, Factor!$CL$5:$CV$50, 9, 0)*P14*VLOOKUP(D14, Factor!$BZ$5:$CJ$49, 11, 0)</f>
        <v>#N/A</v>
      </c>
      <c r="R14" s="29" t="e">
        <f>VLOOKUP(E14, Factor!$CL$5:$CV$50, 10, 0)</f>
        <v>#N/A</v>
      </c>
      <c r="S14" s="29" t="e">
        <f>VLOOKUP(E14, Factor!$CL$5:$CV$50, 11, 0)</f>
        <v>#N/A</v>
      </c>
      <c r="T14" s="29">
        <v>1</v>
      </c>
      <c r="U14" s="29">
        <v>1</v>
      </c>
      <c r="V14" s="29">
        <v>1</v>
      </c>
      <c r="W14" s="29">
        <v>1</v>
      </c>
      <c r="X14" s="29">
        <v>1</v>
      </c>
      <c r="Y14" s="29">
        <v>1</v>
      </c>
      <c r="Z14" s="29">
        <v>1</v>
      </c>
      <c r="AA14" s="29" t="e" cm="1">
        <f t="array" ref="AA14">_xlfn.LET(_xlpm.기본_색인번호, 2,
_xlpm.추가_색인번호, 3,
_xlpm.개별보정치, T14,
_xlpm.패턴보정치, VLOOKUP($G14, Factor!$B$5:$I$51, _xlpm.기본_색인번호, 0),
_xlpm.소모탄환보정치, VLOOKUP($H14, Factor!$T$5:$AA$51, _xlpm.기본_색인번호, 0),
_xlpm.지형보정치, VLOOKUP($I14, Factor!$K$12:$R$13, _xlpm.기본_색인번호, 0),
_xlpm.공격속성보정치, VLOOKUP($J14, Factor!$K$5:$R$7, _xlpm.기본_색인번호, 0),
_xlpm.피해범위보정치, INDEX(Factor!$AN$5:$AV$51, _xlfn.XMATCH(IF(OR($G14="blast", $G14="curved",  $G14= "debuff"), $L14, 0), Factor!$AN$5:$AN$51, -1), _xlpm.추가_색인번호)-IF(AND(OR($G14="blast", $G14="curved", $G14= "debuff"), MOD($L14,1)&lt;&gt;0),INDEX(Factor!$AN$5:$AV$51, _xlfn.XMATCH(IF(OR($G14="blast", $G14="curved", $G14= "debuff"), $L14, 0), Factor!$AN$5:$AN$51, -1), 2)*MOD($L14,1)*10,0),
_xlpm.상태이상보정치, VLOOKUP(IF($G14 = "debuff", $M14, "null"), Factor!$AX$5:$BE$51, _xlpm.기본_색인번호, 0),
_xlpm.지속시간보정치, INDEX(Factor!$BG$5:$BO$51, _xlfn.XMATCH(IF(OR($G14 ="debuff", $G14 = "shot", $G14 = "pierce"), $O14, 0), Factor!$BG$5:$BG$51, -1), _xlpm.추가_색인번호)-IF(AND(OR($G14 ="debuff", $G14 = "shot", $G14 = "pierce"), MOD($O14, 1)&lt;&gt;0), 10*MOD($O14, 1)*INDEX(Factor!$BG$5:$BO$51, _xlfn.XMATCH(IF(OR($G14 ="debuff", $G14 = "shot", $G14 = "pierce"), $O14, 0), Factor!$BG$5:$BG$51, -1), 2), 0),
_xlpm.탄환개수보정치, VLOOKUP(IF(OR($G14 = "curved", $G14 = "shot"), $Q14, 1), Factor!$BQ$5:$BX$51, _xlpm.기본_색인번호, 0),
_xlpm.상태이상탄환생성위치보정치, IF($G14 = "debuff", VLOOKUP($R14, Factor!$K$18:$R$19, _xlpm.기본_색인번호, 0),1),
_xlpm.상태이상탄환형태보정치, IF($G14 = "debuff", VLOOKUP($S14, Factor!$K$24:$R$25, _xlpm.기본_색인번호, 0),1),
_xlpm.가격보정치, INDEX(Factor!$AE$5:$AL$51, _xlfn.XMATCH($F14,Factor!$AE$5:$AE$51, -1), _xlpm.기본_색인번호),
_xlpm.구경보정치, VLOOKUP($D14,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14" s="29" t="e" cm="1">
        <f t="array" ref="AB14">_xlfn.LET(_xlpm.기본_색인번호, 3,
_xlpm.추가_색인번호, 4,
_xlpm.개별보정치, U14,
_xlpm.패턴보정치, VLOOKUP($G14, Factor!$B$5:$I$51, _xlpm.기본_색인번호, 0),
_xlpm.소모탄환보정치, VLOOKUP($H14, Factor!$T$5:$AA$51, _xlpm.기본_색인번호, 0),
_xlpm.지형보정치, VLOOKUP($I14, Factor!$K$12:$R$13, _xlpm.기본_색인번호, 0),
_xlpm.공격속성보정치, VLOOKUP($J14, Factor!$K$5:$R$7, _xlpm.기본_색인번호, 0),
_xlpm.피해범위보정치, INDEX(Factor!$AN$5:$AV$51, _xlfn.XMATCH(IF(OR($G14="blast", $G14="curved",  $G14= "debuff"), $L14, 0), Factor!$AN$5:$AN$51, -1), _xlpm.추가_색인번호)-IF(AND(OR($G14="blast", $G14="curved", $G14= "debuff"), MOD($L14,1)&lt;&gt;0),INDEX(Factor!$AN$5:$AV$51, _xlfn.XMATCH(IF(OR($G14="blast", $G14="curved", $G14= "debuff"), $L14, 0), Factor!$AN$5:$AN$51, -1), 2)*MOD($L14,1)*10,0),
_xlpm.상태이상보정치, VLOOKUP(IF($G14 = "debuff", $M14, "null"), Factor!$AX$5:$BE$51, _xlpm.기본_색인번호, 0),
_xlpm.지속시간보정치, INDEX(Factor!$BG$5:$BO$51, _xlfn.XMATCH(IF(OR($G14 ="debuff", $G14 = "shot", $G14 = "pierce"), $O14, 0), Factor!$BG$5:$BG$51, -1), _xlpm.추가_색인번호)-IF(AND(OR($G14 ="debuff", $G14 = "shot", $G14 = "pierce"), MOD($O14, 1)&lt;&gt;0), 10*MOD($O14, 1)*INDEX(Factor!$BG$5:$BO$51, _xlfn.XMATCH(IF(OR($G14 ="debuff", $G14 = "shot", $G14 = "pierce"), $O14, 0), Factor!$BG$5:$BG$51, -1), 2), 0),
_xlpm.탄환개수보정치, VLOOKUP(IF(OR($G14 = "curved", $G14 = "shot"), $Q14, 1), Factor!$BQ$5:$BX$51, _xlpm.기본_색인번호, 0),
_xlpm.상태이상탄환생성위치보정치, IF($G14 = "debuff", VLOOKUP($R14, Factor!$K$18:$R$19, _xlpm.기본_색인번호, 0),1),
_xlpm.상태이상탄환형태보정치, IF($G14 = "debuff", VLOOKUP($S14, Factor!$K$24:$R$25, _xlpm.기본_색인번호, 0),1),
_xlpm.가격보정치, INDEX(Factor!$AE$5:$AL$51, _xlfn.XMATCH($F14,Factor!$AE$5:$AE$51, -1), _xlpm.기본_색인번호),
_xlpm.구경보정치, VLOOKUP($D14,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14" s="29" t="e" cm="1">
        <f t="array" ref="AC14">_xlfn.LET(_xlpm.기본_색인번호, 4,
_xlpm.추가_색인번호, 5,
_xlpm.개별보정치, V14,
_xlpm.패턴보정치, VLOOKUP($G14, Factor!$B$5:$I$51, _xlpm.기본_색인번호, 0),
_xlpm.소모탄환보정치, VLOOKUP($H14, Factor!$T$5:$AA$51, _xlpm.기본_색인번호, 0),
_xlpm.지형보정치, VLOOKUP($I14, Factor!$K$12:$R$13, _xlpm.기본_색인번호, 0),
_xlpm.공격속성보정치, VLOOKUP($J14, Factor!$K$5:$R$7, _xlpm.기본_색인번호, 0),
_xlpm.피해범위보정치, INDEX(Factor!$AN$5:$AV$51, _xlfn.XMATCH(IF(OR($G14="blast", $G14="curved",  $G14= "debuff"), $L14, 0), Factor!$AN$5:$AN$51, -1), _xlpm.추가_색인번호)-IF(AND(OR($G14="blast", $G14="curved", $G14= "debuff"), MOD($L14,1)&lt;&gt;0),INDEX(Factor!$AN$5:$AV$51, _xlfn.XMATCH(IF(OR($G14="blast", $G14="curved", $G14= "debuff"), $L14, 0), Factor!$AN$5:$AN$51, -1), 2)*MOD($L14,1)*10,0),
_xlpm.상태이상보정치, VLOOKUP(IF($G14 = "debuff", $M14, "null"), Factor!$AX$5:$BE$51, _xlpm.기본_색인번호, 0),
_xlpm.지속시간보정치, INDEX(Factor!$BG$5:$BO$51, _xlfn.XMATCH(IF(OR($G14 ="debuff", $G14 = "shot", $G14 = "pierce"), $O14, 0), Factor!$BG$5:$BG$51, -1), _xlpm.추가_색인번호)-IF(AND(OR($G14 ="debuff", $G14 = "shot", $G14 = "pierce"), MOD($O14, 1)&lt;&gt;0), 10*MOD($O14, 1)*INDEX(Factor!$BG$5:$BO$51, _xlfn.XMATCH(IF(OR($G14 ="debuff", $G14 = "shot", $G14 = "pierce"), $O14, 0), Factor!$BG$5:$BG$51, -1), 2), 0),
_xlpm.탄환개수보정치, VLOOKUP(IF(OR($G14 = "curved", $G14 = "shot"), $Q14, 1), Factor!$BQ$5:$BX$51, _xlpm.기본_색인번호, 0),
_xlpm.상태이상탄환생성위치보정치, IF($G14 = "debuff", VLOOKUP($R14, Factor!$K$18:$R$19, _xlpm.기본_색인번호, 0),1),
_xlpm.상태이상탄환형태보정치, IF($G14 = "debuff", VLOOKUP($S14, Factor!$K$24:$R$25, _xlpm.기본_색인번호, 0),1),
_xlpm.가격보정치, INDEX(Factor!$AE$5:$AL$51, _xlfn.XMATCH($F14,Factor!$AE$5:$AE$51, -1), _xlpm.기본_색인번호),
_xlpm.구경보정치, VLOOKUP($D14,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14" s="29" t="e" cm="1">
        <f t="array" ref="AD14">_xlfn.LET(_xlpm.기본_색인번호, 5,
_xlpm.추가_색인번호, 6,
_xlpm.개별보정치, W14,
_xlpm.패턴보정치, VLOOKUP($G14, Factor!$B$5:$I$51, _xlpm.기본_색인번호, 0),
_xlpm.소모탄환보정치, VLOOKUP($H14, Factor!$T$5:$AA$51, _xlpm.기본_색인번호, 0),
_xlpm.지형보정치, VLOOKUP($I14, Factor!$K$12:$R$13, _xlpm.기본_색인번호, 0),
_xlpm.공격속성보정치, VLOOKUP($J14, Factor!$K$5:$R$7, _xlpm.기본_색인번호, 0),
_xlpm.피해범위보정치, INDEX(Factor!$AN$5:$AV$51, _xlfn.XMATCH(IF(OR($G14="blast", $G14="curved",  $G14= "debuff"), $L14, 0), Factor!$AN$5:$AN$51, -1), _xlpm.추가_색인번호)-IF(AND(OR($G14="blast", $G14="curved", $G14= "debuff"), MOD($L14,1)&lt;&gt;0),INDEX(Factor!$AN$5:$AV$51, _xlfn.XMATCH(IF(OR($G14="blast", $G14="curved", $G14= "debuff"), $L14, 0), Factor!$AN$5:$AN$51, -1), 2)*MOD($L14,1)*10,0),
_xlpm.상태이상보정치, VLOOKUP(IF($G14 = "debuff", $M14, "null"), Factor!$AX$5:$BE$51, _xlpm.기본_색인번호, 0),
_xlpm.지속시간보정치, INDEX(Factor!$BG$5:$BO$51, _xlfn.XMATCH(IF(OR($G14 ="debuff", $G14 = "shot", $G14 = "pierce"), $O14, 0), Factor!$BG$5:$BG$51, -1), _xlpm.추가_색인번호)-IF(AND(OR($G14 ="debuff", $G14 = "shot", $G14 = "pierce"), MOD($O14, 1)&lt;&gt;0), 10*MOD($O14, 1)*INDEX(Factor!$BG$5:$BO$51, _xlfn.XMATCH(IF(OR($G14 ="debuff", $G14 = "shot", $G14 = "pierce"), $O14, 0), Factor!$BG$5:$BG$51, -1), 2), 0),
_xlpm.탄환개수보정치, VLOOKUP(IF(OR($G14 = "curved", $G14 = "shot"), $Q14, 1), Factor!$BQ$5:$BX$51, _xlpm.기본_색인번호, 0),
_xlpm.상태이상탄환생성위치보정치, IF($G14 = "debuff", VLOOKUP($R14, Factor!$K$18:$R$19, _xlpm.기본_색인번호, 0),1),
_xlpm.상태이상탄환형태보정치, IF($G14 = "debuff", VLOOKUP($S14, Factor!$K$24:$R$25, _xlpm.기본_색인번호, 0),1),
_xlpm.가격보정치, INDEX(Factor!$AE$5:$AL$51, _xlfn.XMATCH($F14,Factor!$AE$5:$AE$51, -1), _xlpm.기본_색인번호),
_xlpm.구경보정치, VLOOKUP($D14,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14" s="29" t="e" cm="1">
        <f t="array" ref="AE14">_xlfn.LET(_xlpm.기본_색인번호, 6,
_xlpm.추가_색인번호, 7,
_xlpm.개별보정치, X14,
_xlpm.패턴보정치, VLOOKUP($G14, Factor!$B$5:$I$51, _xlpm.기본_색인번호, 0),
_xlpm.소모탄환보정치, VLOOKUP($H14, Factor!$T$5:$AA$51, _xlpm.기본_색인번호, 0),
_xlpm.지형보정치, VLOOKUP($I14, Factor!$K$12:$R$13, _xlpm.기본_색인번호, 0),
_xlpm.공격속성보정치, VLOOKUP($J14, Factor!$K$5:$R$7, _xlpm.기본_색인번호, 0),
_xlpm.피해범위보정치, INDEX(Factor!$AN$5:$AV$51, _xlfn.XMATCH(IF(OR($G14="blast", $G14="curved",  $G14= "debuff"), $L14, 0), Factor!$AN$5:$AN$51, -1), _xlpm.추가_색인번호)-IF(AND(OR($G14="blast", $G14="curved", $G14= "debuff"), MOD($L14,1)&lt;&gt;0),INDEX(Factor!$AN$5:$AV$51, _xlfn.XMATCH(IF(OR($G14="blast", $G14="curved", $G14= "debuff"), $L14, 0), Factor!$AN$5:$AN$51, -1), 2)*MOD($L14,1)*10,0),
_xlpm.상태이상보정치, VLOOKUP(IF($G14 = "debuff", $M14, "null"), Factor!$AX$5:$BE$51, _xlpm.기본_색인번호, 0),
_xlpm.지속시간보정치, INDEX(Factor!$BG$5:$BO$51, _xlfn.XMATCH(IF(OR($G14 ="debuff", $G14 = "shot", $G14 = "pierce"), $O14, 0), Factor!$BG$5:$BG$51, -1), _xlpm.추가_색인번호)-IF(AND(OR($G14 ="debuff", $G14 = "shot", $G14 = "pierce"), MOD($O14, 1)&lt;&gt;0), 10*MOD($O14, 1)*INDEX(Factor!$BG$5:$BO$51, _xlfn.XMATCH(IF(OR($G14 ="debuff", $G14 = "shot", $G14 = "pierce"), $O14, 0), Factor!$BG$5:$BG$51, -1), 2), 0),
_xlpm.탄환개수보정치, VLOOKUP(IF(OR($G14 = "curved", $G14 = "shot"), $Q14, 1), Factor!$BQ$5:$BX$51, _xlpm.기본_색인번호, 0),
_xlpm.상태이상탄환생성위치보정치, IF($G14 = "debuff", VLOOKUP($R14, Factor!$K$18:$R$19, _xlpm.기본_색인번호, 0),1),
_xlpm.상태이상탄환형태보정치, IF($G14 = "debuff", VLOOKUP($S14, Factor!$K$24:$R$25, _xlpm.기본_색인번호, 0),1),
_xlpm.가격보정치, INDEX(Factor!$AE$5:$AL$51, _xlfn.XMATCH($F14,Factor!$AE$5:$AE$51, -1), _xlpm.기본_색인번호),
_xlpm.구경보정치, VLOOKUP($D14,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14" s="29" t="e" cm="1">
        <f t="array" ref="AF14">_xlfn.LET(_xlpm.기본_색인번호, 7,
_xlpm.추가_색인번호, 8,
_xlpm.개별보정치, Y14,
_xlpm.패턴보정치, VLOOKUP($G14, Factor!$B$5:$I$51, _xlpm.기본_색인번호, 0),
_xlpm.소모탄환보정치, VLOOKUP($H14, Factor!$T$5:$AA$51, _xlpm.기본_색인번호, 0),
_xlpm.지형보정치, VLOOKUP($I14, Factor!$K$12:$R$13, _xlpm.기본_색인번호, 0),
_xlpm.공격속성보정치, VLOOKUP($J14, Factor!$K$5:$R$7, _xlpm.기본_색인번호, 0),
_xlpm.피해범위보정치, INDEX(Factor!$AN$5:$AV$51, _xlfn.XMATCH(IF(OR($G14="blast", $G14="curved",  $G14= "debuff"), $L14, 0), Factor!$AN$5:$AN$51, -1), _xlpm.추가_색인번호)-IF(AND(OR($G14="blast", $G14="curved", $G14= "debuff"), MOD($L14,1)&lt;&gt;0),INDEX(Factor!$AN$5:$AV$51, _xlfn.XMATCH(IF(OR($G14="blast", $G14="curved", $G14= "debuff"), $L14, 0), Factor!$AN$5:$AN$51, -1), 2)*MOD($L14,1)*10,0),
_xlpm.상태이상보정치, VLOOKUP(IF($G14 = "debuff", $M14, "null"), Factor!$AX$5:$BE$51, _xlpm.기본_색인번호, 0),
_xlpm.지속시간보정치, INDEX(Factor!$BG$5:$BO$51, _xlfn.XMATCH(IF(OR($G14 ="debuff", $G14 = "shot", $G14 = "pierce"), $O14, 0), Factor!$BG$5:$BG$51, -1), _xlpm.추가_색인번호)-IF(AND(OR($G14 ="debuff", $G14 = "shot", $G14 = "pierce"), MOD($O14, 1)&lt;&gt;0), 10*MOD($O14, 1)*INDEX(Factor!$BG$5:$BO$51, _xlfn.XMATCH(IF(OR($G14 ="debuff", $G14 = "shot", $G14 = "pierce"), $O14, 0), Factor!$BG$5:$BG$51, -1), 2), 0),
_xlpm.탄환개수보정치, VLOOKUP(IF(OR($G14 = "curved", $G14 = "shot"), $Q14, 1), Factor!$BQ$5:$BX$51, _xlpm.기본_색인번호, 0),
_xlpm.상태이상탄환생성위치보정치, IF($G14 = "debuff", VLOOKUP($R14, Factor!$K$18:$R$19, _xlpm.기본_색인번호, 0),1),
_xlpm.상태이상탄환형태보정치, IF($G14 = "debuff", VLOOKUP($S14, Factor!$K$24:$R$25, _xlpm.기본_색인번호, 0),1),
_xlpm.가격보정치, INDEX(Factor!$AE$5:$AL$51, _xlfn.XMATCH($F14,Factor!$AE$5:$AE$51, -1), _xlpm.기본_색인번호),
_xlpm.구경보정치, VLOOKUP($D14,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14" s="30" t="e" cm="1">
        <f t="array" ref="AG14">_xlfn.LET(_xlpm.기본_색인번호, 8,
_xlpm.추가_색인번호, 9,
_xlpm.개별보정치, Z14,
_xlpm.패턴보정치, VLOOKUP($G14, Factor!$B$5:$I$51, _xlpm.기본_색인번호, 0),
_xlpm.소모탄환보정치, VLOOKUP($H14, Factor!$T$5:$AA$51, _xlpm.기본_색인번호, 0),
_xlpm.지형보정치, VLOOKUP($I14, Factor!$K$12:$R$13, _xlpm.기본_색인번호, 0),
_xlpm.공격속성보정치, VLOOKUP($J14, Factor!$K$5:$R$7, _xlpm.기본_색인번호, 0),
_xlpm.피해범위보정치, INDEX(Factor!$AN$5:$AV$51, _xlfn.XMATCH(IF(OR($G14="blast", $G14="curved",  $G14= "debuff"), $L14, 0), Factor!$AN$5:$AN$51, -1), _xlpm.추가_색인번호)-IF(AND(OR($G14="blast", $G14="curved", $G14= "debuff"), MOD($L14,1)&lt;&gt;0),INDEX(Factor!$AN$5:$AV$51, _xlfn.XMATCH(IF(OR($G14="blast", $G14="curved", $G14= "debuff"), $L14, 0), Factor!$AN$5:$AN$51, -1), 2)*MOD($L14,1)*10,0),
_xlpm.상태이상보정치, VLOOKUP(IF($G14 = "debuff", $M14, "null"), Factor!$AX$5:$BE$51, _xlpm.기본_색인번호, 0),
_xlpm.지속시간보정치, INDEX(Factor!$BG$5:$BO$51, _xlfn.XMATCH(IF(OR($G14 ="debuff", $G14 = "shot", $G14 = "pierce"), $O14, 0), Factor!$BG$5:$BG$51, -1), _xlpm.추가_색인번호)-IF(AND(OR($G14 ="debuff", $G14 = "shot", $G14 = "pierce"), MOD($O14, 1)&lt;&gt;0), 10*MOD($O14, 1)*INDEX(Factor!$BG$5:$BO$51, _xlfn.XMATCH(IF(OR($G14 ="debuff", $G14 = "shot", $G14 = "pierce"), $O14, 0), Factor!$BG$5:$BG$51, -1), 2), 0),
_xlpm.탄환개수보정치, VLOOKUP(IF(OR($G14 = "curved", $G14 = "shot"), $Q14, 1), Factor!$BQ$5:$BX$51, _xlpm.기본_색인번호, 0),
_xlpm.상태이상탄환생성위치보정치, IF($G14 = "debuff", VLOOKUP($R14, Factor!$K$18:$R$19, _xlpm.기본_색인번호, 0),1),
_xlpm.상태이상탄환형태보정치, IF($G14 = "debuff", VLOOKUP($S14, Factor!$K$24:$R$25, _xlpm.기본_색인번호, 0),1),
_xlpm.가격보정치, INDEX(Factor!$AE$5:$AL$51, _xlfn.XMATCH($F14,Factor!$AE$5:$AE$51, -1), _xlpm.기본_색인번호),
_xlpm.구경보정치, VLOOKUP($D14,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14"/>
      <c r="AI14"/>
      <c r="AJ14"/>
      <c r="AK14"/>
      <c r="AL14"/>
      <c r="AM14"/>
      <c r="AN14"/>
    </row>
    <row r="15" spans="1:40" ht="13.5">
      <c r="A15" s="24" t="e">
        <f>"weapon_"&amp;G15&amp;"_"&amp;VLOOKUP(H15, Factor!$T$5:$AB$7, 9, 0)&amp;"_"&amp;IF(COUNTIFS($G$4:G14, G15, $H$4:H14, H15)+1&gt;=100, COUNTIFS($G$4:G14, G15, $H$4:H14, H15)+1,IF(COUNTIFS($G$4:G14, G15, $H$4:H14, H15)+1&gt;=10, "0"&amp;COUNTIFS($G$4:G14, G15, $H$4:H14, H15)+1, "00"&amp;COUNTIFS($G$4:G14, G15, $H$4:H14, H15)+1))</f>
        <v>#N/A</v>
      </c>
      <c r="B15" s="36" t="str">
        <f t="shared" si="0"/>
        <v xml:space="preserve"> </v>
      </c>
      <c r="C15" s="36"/>
      <c r="D15" s="36"/>
      <c r="E15" s="36"/>
      <c r="F15" s="25" t="e">
        <f>VLOOKUP(C15, Factor!$AD$5:$AE$15, 2, 0)</f>
        <v>#N/A</v>
      </c>
      <c r="G15" s="26" t="e">
        <f>VLOOKUP(E15, Factor!$CL$5:$CV$50, 2, 0)</f>
        <v>#N/A</v>
      </c>
      <c r="H15" s="25" t="e">
        <f>VLOOKUP(E15, Factor!$CL$5:$CV$50, 3, 0)</f>
        <v>#N/A</v>
      </c>
      <c r="I15" s="25" t="e">
        <f>VLOOKUP(E15, Factor!$CL$5:$CV$50, 4, 0)</f>
        <v>#N/A</v>
      </c>
      <c r="J15" s="25" t="e">
        <f>VLOOKUP(E15, Factor!$CL$5:$CV$50, 5, 0)</f>
        <v>#N/A</v>
      </c>
      <c r="K15" s="25">
        <v>1</v>
      </c>
      <c r="L15" s="25" t="e">
        <f>VLOOKUP(E15, Factor!$CL$5:$CV$50, 6, 0)*K15*VLOOKUP(D15, Factor!$BZ$5:$CJ$49, 9, 0)</f>
        <v>#N/A</v>
      </c>
      <c r="M15" s="25" t="e">
        <f>VLOOKUP(E15, Factor!$CL$5:$CV$50, 7, 0)</f>
        <v>#N/A</v>
      </c>
      <c r="N15" s="25">
        <v>1</v>
      </c>
      <c r="O15" s="25" t="e">
        <f>VLOOKUP(E15, Factor!$CL$5:$CV$50, 8, 0)*N15*VLOOKUP(D15, Factor!$BZ$5:$CJ$49, 10, 0)</f>
        <v>#N/A</v>
      </c>
      <c r="P15" s="25">
        <v>1</v>
      </c>
      <c r="Q15" s="25" t="e">
        <f>VLOOKUP(E15, Factor!$CL$5:$CV$50, 9, 0)*P15*VLOOKUP(D15, Factor!$BZ$5:$CJ$49, 11, 0)</f>
        <v>#N/A</v>
      </c>
      <c r="R15" s="25" t="e">
        <f>VLOOKUP(E15, Factor!$CL$5:$CV$50, 10, 0)</f>
        <v>#N/A</v>
      </c>
      <c r="S15" s="25" t="e">
        <f>VLOOKUP(E15, Factor!$CL$5:$CV$50, 11, 0)</f>
        <v>#N/A</v>
      </c>
      <c r="T15" s="25">
        <v>1</v>
      </c>
      <c r="U15" s="25">
        <v>1</v>
      </c>
      <c r="V15" s="25">
        <v>1</v>
      </c>
      <c r="W15" s="25">
        <v>1</v>
      </c>
      <c r="X15" s="25">
        <v>1</v>
      </c>
      <c r="Y15" s="25">
        <v>1</v>
      </c>
      <c r="Z15" s="25">
        <v>1</v>
      </c>
      <c r="AA15" s="25" t="e" cm="1">
        <f t="array" ref="AA15">_xlfn.LET(_xlpm.기본_색인번호, 2,
_xlpm.추가_색인번호, 3,
_xlpm.개별보정치, T15,
_xlpm.패턴보정치, VLOOKUP($G15, Factor!$B$5:$I$51, _xlpm.기본_색인번호, 0),
_xlpm.소모탄환보정치, VLOOKUP($H15, Factor!$T$5:$AA$51, _xlpm.기본_색인번호, 0),
_xlpm.지형보정치, VLOOKUP($I15, Factor!$K$12:$R$13, _xlpm.기본_색인번호, 0),
_xlpm.공격속성보정치, VLOOKUP($J15, Factor!$K$5:$R$7, _xlpm.기본_색인번호, 0),
_xlpm.피해범위보정치, INDEX(Factor!$AN$5:$AV$51, _xlfn.XMATCH(IF(OR($G15="blast", $G15="curved",  $G15= "debuff"), $L15, 0), Factor!$AN$5:$AN$51, -1), _xlpm.추가_색인번호)-IF(AND(OR($G15="blast", $G15="curved", $G15= "debuff"), MOD($L15,1)&lt;&gt;0),INDEX(Factor!$AN$5:$AV$51, _xlfn.XMATCH(IF(OR($G15="blast", $G15="curved", $G15= "debuff"), $L15, 0), Factor!$AN$5:$AN$51, -1), 2)*MOD($L15,1)*10,0),
_xlpm.상태이상보정치, VLOOKUP(IF($G15 = "debuff", $M15, "null"), Factor!$AX$5:$BE$51, _xlpm.기본_색인번호, 0),
_xlpm.지속시간보정치, INDEX(Factor!$BG$5:$BO$51, _xlfn.XMATCH(IF(OR($G15 ="debuff", $G15 = "shot", $G15 = "pierce"), $O15, 0), Factor!$BG$5:$BG$51, -1), _xlpm.추가_색인번호)-IF(AND(OR($G15 ="debuff", $G15 = "shot", $G15 = "pierce"), MOD($O15, 1)&lt;&gt;0), 10*MOD($O15, 1)*INDEX(Factor!$BG$5:$BO$51, _xlfn.XMATCH(IF(OR($G15 ="debuff", $G15 = "shot", $G15 = "pierce"), $O15, 0), Factor!$BG$5:$BG$51, -1), 2), 0),
_xlpm.탄환개수보정치, VLOOKUP(IF(OR($G15 = "curved", $G15 = "shot"), $Q15, 1), Factor!$BQ$5:$BX$51, _xlpm.기본_색인번호, 0),
_xlpm.상태이상탄환생성위치보정치, IF($G15 = "debuff", VLOOKUP($R15, Factor!$K$18:$R$19, _xlpm.기본_색인번호, 0),1),
_xlpm.상태이상탄환형태보정치, IF($G15 = "debuff", VLOOKUP($S15, Factor!$K$24:$R$25, _xlpm.기본_색인번호, 0),1),
_xlpm.가격보정치, INDEX(Factor!$AE$5:$AL$51, _xlfn.XMATCH($F15,Factor!$AE$5:$AE$51, -1), _xlpm.기본_색인번호),
_xlpm.구경보정치, VLOOKUP($D15,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15" s="25" t="e" cm="1">
        <f t="array" ref="AB15">_xlfn.LET(_xlpm.기본_색인번호, 3,
_xlpm.추가_색인번호, 4,
_xlpm.개별보정치, U15,
_xlpm.패턴보정치, VLOOKUP($G15, Factor!$B$5:$I$51, _xlpm.기본_색인번호, 0),
_xlpm.소모탄환보정치, VLOOKUP($H15, Factor!$T$5:$AA$51, _xlpm.기본_색인번호, 0),
_xlpm.지형보정치, VLOOKUP($I15, Factor!$K$12:$R$13, _xlpm.기본_색인번호, 0),
_xlpm.공격속성보정치, VLOOKUP($J15, Factor!$K$5:$R$7, _xlpm.기본_색인번호, 0),
_xlpm.피해범위보정치, INDEX(Factor!$AN$5:$AV$51, _xlfn.XMATCH(IF(OR($G15="blast", $G15="curved",  $G15= "debuff"), $L15, 0), Factor!$AN$5:$AN$51, -1), _xlpm.추가_색인번호)-IF(AND(OR($G15="blast", $G15="curved", $G15= "debuff"), MOD($L15,1)&lt;&gt;0),INDEX(Factor!$AN$5:$AV$51, _xlfn.XMATCH(IF(OR($G15="blast", $G15="curved", $G15= "debuff"), $L15, 0), Factor!$AN$5:$AN$51, -1), 2)*MOD($L15,1)*10,0),
_xlpm.상태이상보정치, VLOOKUP(IF($G15 = "debuff", $M15, "null"), Factor!$AX$5:$BE$51, _xlpm.기본_색인번호, 0),
_xlpm.지속시간보정치, INDEX(Factor!$BG$5:$BO$51, _xlfn.XMATCH(IF(OR($G15 ="debuff", $G15 = "shot", $G15 = "pierce"), $O15, 0), Factor!$BG$5:$BG$51, -1), _xlpm.추가_색인번호)-IF(AND(OR($G15 ="debuff", $G15 = "shot", $G15 = "pierce"), MOD($O15, 1)&lt;&gt;0), 10*MOD($O15, 1)*INDEX(Factor!$BG$5:$BO$51, _xlfn.XMATCH(IF(OR($G15 ="debuff", $G15 = "shot", $G15 = "pierce"), $O15, 0), Factor!$BG$5:$BG$51, -1), 2), 0),
_xlpm.탄환개수보정치, VLOOKUP(IF(OR($G15 = "curved", $G15 = "shot"), $Q15, 1), Factor!$BQ$5:$BX$51, _xlpm.기본_색인번호, 0),
_xlpm.상태이상탄환생성위치보정치, IF($G15 = "debuff", VLOOKUP($R15, Factor!$K$18:$R$19, _xlpm.기본_색인번호, 0),1),
_xlpm.상태이상탄환형태보정치, IF($G15 = "debuff", VLOOKUP($S15, Factor!$K$24:$R$25, _xlpm.기본_색인번호, 0),1),
_xlpm.가격보정치, INDEX(Factor!$AE$5:$AL$51, _xlfn.XMATCH($F15,Factor!$AE$5:$AE$51, -1), _xlpm.기본_색인번호),
_xlpm.구경보정치, VLOOKUP($D15,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15" s="25" t="e" cm="1">
        <f t="array" ref="AC15">_xlfn.LET(_xlpm.기본_색인번호, 4,
_xlpm.추가_색인번호, 5,
_xlpm.개별보정치, V15,
_xlpm.패턴보정치, VLOOKUP($G15, Factor!$B$5:$I$51, _xlpm.기본_색인번호, 0),
_xlpm.소모탄환보정치, VLOOKUP($H15, Factor!$T$5:$AA$51, _xlpm.기본_색인번호, 0),
_xlpm.지형보정치, VLOOKUP($I15, Factor!$K$12:$R$13, _xlpm.기본_색인번호, 0),
_xlpm.공격속성보정치, VLOOKUP($J15, Factor!$K$5:$R$7, _xlpm.기본_색인번호, 0),
_xlpm.피해범위보정치, INDEX(Factor!$AN$5:$AV$51, _xlfn.XMATCH(IF(OR($G15="blast", $G15="curved",  $G15= "debuff"), $L15, 0), Factor!$AN$5:$AN$51, -1), _xlpm.추가_색인번호)-IF(AND(OR($G15="blast", $G15="curved", $G15= "debuff"), MOD($L15,1)&lt;&gt;0),INDEX(Factor!$AN$5:$AV$51, _xlfn.XMATCH(IF(OR($G15="blast", $G15="curved", $G15= "debuff"), $L15, 0), Factor!$AN$5:$AN$51, -1), 2)*MOD($L15,1)*10,0),
_xlpm.상태이상보정치, VLOOKUP(IF($G15 = "debuff", $M15, "null"), Factor!$AX$5:$BE$51, _xlpm.기본_색인번호, 0),
_xlpm.지속시간보정치, INDEX(Factor!$BG$5:$BO$51, _xlfn.XMATCH(IF(OR($G15 ="debuff", $G15 = "shot", $G15 = "pierce"), $O15, 0), Factor!$BG$5:$BG$51, -1), _xlpm.추가_색인번호)-IF(AND(OR($G15 ="debuff", $G15 = "shot", $G15 = "pierce"), MOD($O15, 1)&lt;&gt;0), 10*MOD($O15, 1)*INDEX(Factor!$BG$5:$BO$51, _xlfn.XMATCH(IF(OR($G15 ="debuff", $G15 = "shot", $G15 = "pierce"), $O15, 0), Factor!$BG$5:$BG$51, -1), 2), 0),
_xlpm.탄환개수보정치, VLOOKUP(IF(OR($G15 = "curved", $G15 = "shot"), $Q15, 1), Factor!$BQ$5:$BX$51, _xlpm.기본_색인번호, 0),
_xlpm.상태이상탄환생성위치보정치, IF($G15 = "debuff", VLOOKUP($R15, Factor!$K$18:$R$19, _xlpm.기본_색인번호, 0),1),
_xlpm.상태이상탄환형태보정치, IF($G15 = "debuff", VLOOKUP($S15, Factor!$K$24:$R$25, _xlpm.기본_색인번호, 0),1),
_xlpm.가격보정치, INDEX(Factor!$AE$5:$AL$51, _xlfn.XMATCH($F15,Factor!$AE$5:$AE$51, -1), _xlpm.기본_색인번호),
_xlpm.구경보정치, VLOOKUP($D15,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15" s="25" t="e" cm="1">
        <f t="array" ref="AD15">_xlfn.LET(_xlpm.기본_색인번호, 5,
_xlpm.추가_색인번호, 6,
_xlpm.개별보정치, W15,
_xlpm.패턴보정치, VLOOKUP($G15, Factor!$B$5:$I$51, _xlpm.기본_색인번호, 0),
_xlpm.소모탄환보정치, VLOOKUP($H15, Factor!$T$5:$AA$51, _xlpm.기본_색인번호, 0),
_xlpm.지형보정치, VLOOKUP($I15, Factor!$K$12:$R$13, _xlpm.기본_색인번호, 0),
_xlpm.공격속성보정치, VLOOKUP($J15, Factor!$K$5:$R$7, _xlpm.기본_색인번호, 0),
_xlpm.피해범위보정치, INDEX(Factor!$AN$5:$AV$51, _xlfn.XMATCH(IF(OR($G15="blast", $G15="curved",  $G15= "debuff"), $L15, 0), Factor!$AN$5:$AN$51, -1), _xlpm.추가_색인번호)-IF(AND(OR($G15="blast", $G15="curved", $G15= "debuff"), MOD($L15,1)&lt;&gt;0),INDEX(Factor!$AN$5:$AV$51, _xlfn.XMATCH(IF(OR($G15="blast", $G15="curved", $G15= "debuff"), $L15, 0), Factor!$AN$5:$AN$51, -1), 2)*MOD($L15,1)*10,0),
_xlpm.상태이상보정치, VLOOKUP(IF($G15 = "debuff", $M15, "null"), Factor!$AX$5:$BE$51, _xlpm.기본_색인번호, 0),
_xlpm.지속시간보정치, INDEX(Factor!$BG$5:$BO$51, _xlfn.XMATCH(IF(OR($G15 ="debuff", $G15 = "shot", $G15 = "pierce"), $O15, 0), Factor!$BG$5:$BG$51, -1), _xlpm.추가_색인번호)-IF(AND(OR($G15 ="debuff", $G15 = "shot", $G15 = "pierce"), MOD($O15, 1)&lt;&gt;0), 10*MOD($O15, 1)*INDEX(Factor!$BG$5:$BO$51, _xlfn.XMATCH(IF(OR($G15 ="debuff", $G15 = "shot", $G15 = "pierce"), $O15, 0), Factor!$BG$5:$BG$51, -1), 2), 0),
_xlpm.탄환개수보정치, VLOOKUP(IF(OR($G15 = "curved", $G15 = "shot"), $Q15, 1), Factor!$BQ$5:$BX$51, _xlpm.기본_색인번호, 0),
_xlpm.상태이상탄환생성위치보정치, IF($G15 = "debuff", VLOOKUP($R15, Factor!$K$18:$R$19, _xlpm.기본_색인번호, 0),1),
_xlpm.상태이상탄환형태보정치, IF($G15 = "debuff", VLOOKUP($S15, Factor!$K$24:$R$25, _xlpm.기본_색인번호, 0),1),
_xlpm.가격보정치, INDEX(Factor!$AE$5:$AL$51, _xlfn.XMATCH($F15,Factor!$AE$5:$AE$51, -1), _xlpm.기본_색인번호),
_xlpm.구경보정치, VLOOKUP($D15,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15" s="25" t="e" cm="1">
        <f t="array" ref="AE15">_xlfn.LET(_xlpm.기본_색인번호, 6,
_xlpm.추가_색인번호, 7,
_xlpm.개별보정치, X15,
_xlpm.패턴보정치, VLOOKUP($G15, Factor!$B$5:$I$51, _xlpm.기본_색인번호, 0),
_xlpm.소모탄환보정치, VLOOKUP($H15, Factor!$T$5:$AA$51, _xlpm.기본_색인번호, 0),
_xlpm.지형보정치, VLOOKUP($I15, Factor!$K$12:$R$13, _xlpm.기본_색인번호, 0),
_xlpm.공격속성보정치, VLOOKUP($J15, Factor!$K$5:$R$7, _xlpm.기본_색인번호, 0),
_xlpm.피해범위보정치, INDEX(Factor!$AN$5:$AV$51, _xlfn.XMATCH(IF(OR($G15="blast", $G15="curved",  $G15= "debuff"), $L15, 0), Factor!$AN$5:$AN$51, -1), _xlpm.추가_색인번호)-IF(AND(OR($G15="blast", $G15="curved", $G15= "debuff"), MOD($L15,1)&lt;&gt;0),INDEX(Factor!$AN$5:$AV$51, _xlfn.XMATCH(IF(OR($G15="blast", $G15="curved", $G15= "debuff"), $L15, 0), Factor!$AN$5:$AN$51, -1), 2)*MOD($L15,1)*10,0),
_xlpm.상태이상보정치, VLOOKUP(IF($G15 = "debuff", $M15, "null"), Factor!$AX$5:$BE$51, _xlpm.기본_색인번호, 0),
_xlpm.지속시간보정치, INDEX(Factor!$BG$5:$BO$51, _xlfn.XMATCH(IF(OR($G15 ="debuff", $G15 = "shot", $G15 = "pierce"), $O15, 0), Factor!$BG$5:$BG$51, -1), _xlpm.추가_색인번호)-IF(AND(OR($G15 ="debuff", $G15 = "shot", $G15 = "pierce"), MOD($O15, 1)&lt;&gt;0), 10*MOD($O15, 1)*INDEX(Factor!$BG$5:$BO$51, _xlfn.XMATCH(IF(OR($G15 ="debuff", $G15 = "shot", $G15 = "pierce"), $O15, 0), Factor!$BG$5:$BG$51, -1), 2), 0),
_xlpm.탄환개수보정치, VLOOKUP(IF(OR($G15 = "curved", $G15 = "shot"), $Q15, 1), Factor!$BQ$5:$BX$51, _xlpm.기본_색인번호, 0),
_xlpm.상태이상탄환생성위치보정치, IF($G15 = "debuff", VLOOKUP($R15, Factor!$K$18:$R$19, _xlpm.기본_색인번호, 0),1),
_xlpm.상태이상탄환형태보정치, IF($G15 = "debuff", VLOOKUP($S15, Factor!$K$24:$R$25, _xlpm.기본_색인번호, 0),1),
_xlpm.가격보정치, INDEX(Factor!$AE$5:$AL$51, _xlfn.XMATCH($F15,Factor!$AE$5:$AE$51, -1), _xlpm.기본_색인번호),
_xlpm.구경보정치, VLOOKUP($D15,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15" s="25" t="e" cm="1">
        <f t="array" ref="AF15">_xlfn.LET(_xlpm.기본_색인번호, 7,
_xlpm.추가_색인번호, 8,
_xlpm.개별보정치, Y15,
_xlpm.패턴보정치, VLOOKUP($G15, Factor!$B$5:$I$51, _xlpm.기본_색인번호, 0),
_xlpm.소모탄환보정치, VLOOKUP($H15, Factor!$T$5:$AA$51, _xlpm.기본_색인번호, 0),
_xlpm.지형보정치, VLOOKUP($I15, Factor!$K$12:$R$13, _xlpm.기본_색인번호, 0),
_xlpm.공격속성보정치, VLOOKUP($J15, Factor!$K$5:$R$7, _xlpm.기본_색인번호, 0),
_xlpm.피해범위보정치, INDEX(Factor!$AN$5:$AV$51, _xlfn.XMATCH(IF(OR($G15="blast", $G15="curved",  $G15= "debuff"), $L15, 0), Factor!$AN$5:$AN$51, -1), _xlpm.추가_색인번호)-IF(AND(OR($G15="blast", $G15="curved", $G15= "debuff"), MOD($L15,1)&lt;&gt;0),INDEX(Factor!$AN$5:$AV$51, _xlfn.XMATCH(IF(OR($G15="blast", $G15="curved", $G15= "debuff"), $L15, 0), Factor!$AN$5:$AN$51, -1), 2)*MOD($L15,1)*10,0),
_xlpm.상태이상보정치, VLOOKUP(IF($G15 = "debuff", $M15, "null"), Factor!$AX$5:$BE$51, _xlpm.기본_색인번호, 0),
_xlpm.지속시간보정치, INDEX(Factor!$BG$5:$BO$51, _xlfn.XMATCH(IF(OR($G15 ="debuff", $G15 = "shot", $G15 = "pierce"), $O15, 0), Factor!$BG$5:$BG$51, -1), _xlpm.추가_색인번호)-IF(AND(OR($G15 ="debuff", $G15 = "shot", $G15 = "pierce"), MOD($O15, 1)&lt;&gt;0), 10*MOD($O15, 1)*INDEX(Factor!$BG$5:$BO$51, _xlfn.XMATCH(IF(OR($G15 ="debuff", $G15 = "shot", $G15 = "pierce"), $O15, 0), Factor!$BG$5:$BG$51, -1), 2), 0),
_xlpm.탄환개수보정치, VLOOKUP(IF(OR($G15 = "curved", $G15 = "shot"), $Q15, 1), Factor!$BQ$5:$BX$51, _xlpm.기본_색인번호, 0),
_xlpm.상태이상탄환생성위치보정치, IF($G15 = "debuff", VLOOKUP($R15, Factor!$K$18:$R$19, _xlpm.기본_색인번호, 0),1),
_xlpm.상태이상탄환형태보정치, IF($G15 = "debuff", VLOOKUP($S15, Factor!$K$24:$R$25, _xlpm.기본_색인번호, 0),1),
_xlpm.가격보정치, INDEX(Factor!$AE$5:$AL$51, _xlfn.XMATCH($F15,Factor!$AE$5:$AE$51, -1), _xlpm.기본_색인번호),
_xlpm.구경보정치, VLOOKUP($D15,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15" s="27" t="e" cm="1">
        <f t="array" ref="AG15">_xlfn.LET(_xlpm.기본_색인번호, 8,
_xlpm.추가_색인번호, 9,
_xlpm.개별보정치, Z15,
_xlpm.패턴보정치, VLOOKUP($G15, Factor!$B$5:$I$51, _xlpm.기본_색인번호, 0),
_xlpm.소모탄환보정치, VLOOKUP($H15, Factor!$T$5:$AA$51, _xlpm.기본_색인번호, 0),
_xlpm.지형보정치, VLOOKUP($I15, Factor!$K$12:$R$13, _xlpm.기본_색인번호, 0),
_xlpm.공격속성보정치, VLOOKUP($J15, Factor!$K$5:$R$7, _xlpm.기본_색인번호, 0),
_xlpm.피해범위보정치, INDEX(Factor!$AN$5:$AV$51, _xlfn.XMATCH(IF(OR($G15="blast", $G15="curved",  $G15= "debuff"), $L15, 0), Factor!$AN$5:$AN$51, -1), _xlpm.추가_색인번호)-IF(AND(OR($G15="blast", $G15="curved", $G15= "debuff"), MOD($L15,1)&lt;&gt;0),INDEX(Factor!$AN$5:$AV$51, _xlfn.XMATCH(IF(OR($G15="blast", $G15="curved", $G15= "debuff"), $L15, 0), Factor!$AN$5:$AN$51, -1), 2)*MOD($L15,1)*10,0),
_xlpm.상태이상보정치, VLOOKUP(IF($G15 = "debuff", $M15, "null"), Factor!$AX$5:$BE$51, _xlpm.기본_색인번호, 0),
_xlpm.지속시간보정치, INDEX(Factor!$BG$5:$BO$51, _xlfn.XMATCH(IF(OR($G15 ="debuff", $G15 = "shot", $G15 = "pierce"), $O15, 0), Factor!$BG$5:$BG$51, -1), _xlpm.추가_색인번호)-IF(AND(OR($G15 ="debuff", $G15 = "shot", $G15 = "pierce"), MOD($O15, 1)&lt;&gt;0), 10*MOD($O15, 1)*INDEX(Factor!$BG$5:$BO$51, _xlfn.XMATCH(IF(OR($G15 ="debuff", $G15 = "shot", $G15 = "pierce"), $O15, 0), Factor!$BG$5:$BG$51, -1), 2), 0),
_xlpm.탄환개수보정치, VLOOKUP(IF(OR($G15 = "curved", $G15 = "shot"), $Q15, 1), Factor!$BQ$5:$BX$51, _xlpm.기본_색인번호, 0),
_xlpm.상태이상탄환생성위치보정치, IF($G15 = "debuff", VLOOKUP($R15, Factor!$K$18:$R$19, _xlpm.기본_색인번호, 0),1),
_xlpm.상태이상탄환형태보정치, IF($G15 = "debuff", VLOOKUP($S15, Factor!$K$24:$R$25, _xlpm.기본_색인번호, 0),1),
_xlpm.가격보정치, INDEX(Factor!$AE$5:$AL$51, _xlfn.XMATCH($F15,Factor!$AE$5:$AE$51, -1), _xlpm.기본_색인번호),
_xlpm.구경보정치, VLOOKUP($D15,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15"/>
      <c r="AI15"/>
      <c r="AJ15"/>
      <c r="AK15"/>
      <c r="AL15"/>
      <c r="AM15"/>
      <c r="AN15"/>
    </row>
    <row r="16" spans="1:40" ht="15.75" customHeight="1">
      <c r="A16" s="28" t="e">
        <f>"weapon_"&amp;G16&amp;"_"&amp;VLOOKUP(H16, Factor!$T$5:$AB$7, 9, 0)&amp;"_"&amp;IF(COUNTIFS($G$4:G15, G16, $H$4:H15, H16)+1&gt;=100, COUNTIFS($G$4:G15, G16, $H$4:H15, H16)+1,IF(COUNTIFS($G$4:G15, G16, $H$4:H15, H16)+1&gt;=10, "0"&amp;COUNTIFS($G$4:G15, G16, $H$4:H15, H16)+1, "00"&amp;COUNTIFS($G$4:G15, G16, $H$4:H15, H16)+1))</f>
        <v>#N/A</v>
      </c>
      <c r="B16" s="37" t="str">
        <f t="shared" si="0"/>
        <v xml:space="preserve"> </v>
      </c>
      <c r="C16" s="37"/>
      <c r="D16" s="37"/>
      <c r="E16" s="37"/>
      <c r="F16" s="29" t="e">
        <f>VLOOKUP(C16, Factor!$AD$5:$AE$15, 2, 0)</f>
        <v>#N/A</v>
      </c>
      <c r="G16" s="29" t="e">
        <f>VLOOKUP(E16, Factor!$CL$5:$CV$50, 2, 0)</f>
        <v>#N/A</v>
      </c>
      <c r="H16" s="29" t="e">
        <f>VLOOKUP(E16, Factor!$CL$5:$CV$50, 3, 0)</f>
        <v>#N/A</v>
      </c>
      <c r="I16" s="29" t="e">
        <f>VLOOKUP(E16, Factor!$CL$5:$CV$50, 4, 0)</f>
        <v>#N/A</v>
      </c>
      <c r="J16" s="29" t="e">
        <f>VLOOKUP(E16, Factor!$CL$5:$CV$50, 5, 0)</f>
        <v>#N/A</v>
      </c>
      <c r="K16" s="29">
        <v>1</v>
      </c>
      <c r="L16" s="29" t="e">
        <f>VLOOKUP(E16, Factor!$CL$5:$CV$50, 6, 0)*K16*VLOOKUP(D16, Factor!$BZ$5:$CJ$49, 9, 0)</f>
        <v>#N/A</v>
      </c>
      <c r="M16" s="29" t="e">
        <f>VLOOKUP(E16, Factor!$CL$5:$CV$50, 7, 0)</f>
        <v>#N/A</v>
      </c>
      <c r="N16" s="29">
        <v>1</v>
      </c>
      <c r="O16" s="29" t="e">
        <f>VLOOKUP(E16, Factor!$CL$5:$CV$50, 8, 0)*N16*VLOOKUP(D16, Factor!$BZ$5:$CJ$49, 10, 0)</f>
        <v>#N/A</v>
      </c>
      <c r="P16" s="29">
        <v>1</v>
      </c>
      <c r="Q16" s="29" t="e">
        <f>VLOOKUP(E16, Factor!$CL$5:$CV$50, 9, 0)*P16*VLOOKUP(D16, Factor!$BZ$5:$CJ$49, 11, 0)</f>
        <v>#N/A</v>
      </c>
      <c r="R16" s="29" t="e">
        <f>VLOOKUP(E16, Factor!$CL$5:$CV$50, 10, 0)</f>
        <v>#N/A</v>
      </c>
      <c r="S16" s="29" t="e">
        <f>VLOOKUP(E16, Factor!$CL$5:$CV$50, 11, 0)</f>
        <v>#N/A</v>
      </c>
      <c r="T16" s="29">
        <v>1</v>
      </c>
      <c r="U16" s="29">
        <v>1</v>
      </c>
      <c r="V16" s="29">
        <v>1</v>
      </c>
      <c r="W16" s="29">
        <v>1</v>
      </c>
      <c r="X16" s="29">
        <v>1</v>
      </c>
      <c r="Y16" s="29">
        <v>1</v>
      </c>
      <c r="Z16" s="29">
        <v>1</v>
      </c>
      <c r="AA16" s="29" t="e" cm="1">
        <f t="array" ref="AA16">_xlfn.LET(_xlpm.기본_색인번호, 2,
_xlpm.추가_색인번호, 3,
_xlpm.개별보정치, T16,
_xlpm.패턴보정치, VLOOKUP($G16, Factor!$B$5:$I$51, _xlpm.기본_색인번호, 0),
_xlpm.소모탄환보정치, VLOOKUP($H16, Factor!$T$5:$AA$51, _xlpm.기본_색인번호, 0),
_xlpm.지형보정치, VLOOKUP($I16, Factor!$K$12:$R$13, _xlpm.기본_색인번호, 0),
_xlpm.공격속성보정치, VLOOKUP($J16, Factor!$K$5:$R$7, _xlpm.기본_색인번호, 0),
_xlpm.피해범위보정치, INDEX(Factor!$AN$5:$AV$51, _xlfn.XMATCH(IF(OR($G16="blast", $G16="curved",  $G16= "debuff"), $L16, 0), Factor!$AN$5:$AN$51, -1), _xlpm.추가_색인번호)-IF(AND(OR($G16="blast", $G16="curved", $G16= "debuff"), MOD($L16,1)&lt;&gt;0),INDEX(Factor!$AN$5:$AV$51, _xlfn.XMATCH(IF(OR($G16="blast", $G16="curved", $G16= "debuff"), $L16, 0), Factor!$AN$5:$AN$51, -1), 2)*MOD($L16,1)*10,0),
_xlpm.상태이상보정치, VLOOKUP(IF($G16 = "debuff", $M16, "null"), Factor!$AX$5:$BE$51, _xlpm.기본_색인번호, 0),
_xlpm.지속시간보정치, INDEX(Factor!$BG$5:$BO$51, _xlfn.XMATCH(IF(OR($G16 ="debuff", $G16 = "shot", $G16 = "pierce"), $O16, 0), Factor!$BG$5:$BG$51, -1), _xlpm.추가_색인번호)-IF(AND(OR($G16 ="debuff", $G16 = "shot", $G16 = "pierce"), MOD($O16, 1)&lt;&gt;0), 10*MOD($O16, 1)*INDEX(Factor!$BG$5:$BO$51, _xlfn.XMATCH(IF(OR($G16 ="debuff", $G16 = "shot", $G16 = "pierce"), $O16, 0), Factor!$BG$5:$BG$51, -1), 2), 0),
_xlpm.탄환개수보정치, VLOOKUP(IF(OR($G16 = "curved", $G16 = "shot"), $Q16, 1), Factor!$BQ$5:$BX$51, _xlpm.기본_색인번호, 0),
_xlpm.상태이상탄환생성위치보정치, IF($G16 = "debuff", VLOOKUP($R16, Factor!$K$18:$R$19, _xlpm.기본_색인번호, 0),1),
_xlpm.상태이상탄환형태보정치, IF($G16 = "debuff", VLOOKUP($S16, Factor!$K$24:$R$25, _xlpm.기본_색인번호, 0),1),
_xlpm.가격보정치, INDEX(Factor!$AE$5:$AL$51, _xlfn.XMATCH($F16,Factor!$AE$5:$AE$51, -1), _xlpm.기본_색인번호),
_xlpm.구경보정치, VLOOKUP($D16,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16" s="29" t="e" cm="1">
        <f t="array" ref="AB16">_xlfn.LET(_xlpm.기본_색인번호, 3,
_xlpm.추가_색인번호, 4,
_xlpm.개별보정치, U16,
_xlpm.패턴보정치, VLOOKUP($G16, Factor!$B$5:$I$51, _xlpm.기본_색인번호, 0),
_xlpm.소모탄환보정치, VLOOKUP($H16, Factor!$T$5:$AA$51, _xlpm.기본_색인번호, 0),
_xlpm.지형보정치, VLOOKUP($I16, Factor!$K$12:$R$13, _xlpm.기본_색인번호, 0),
_xlpm.공격속성보정치, VLOOKUP($J16, Factor!$K$5:$R$7, _xlpm.기본_색인번호, 0),
_xlpm.피해범위보정치, INDEX(Factor!$AN$5:$AV$51, _xlfn.XMATCH(IF(OR($G16="blast", $G16="curved",  $G16= "debuff"), $L16, 0), Factor!$AN$5:$AN$51, -1), _xlpm.추가_색인번호)-IF(AND(OR($G16="blast", $G16="curved", $G16= "debuff"), MOD($L16,1)&lt;&gt;0),INDEX(Factor!$AN$5:$AV$51, _xlfn.XMATCH(IF(OR($G16="blast", $G16="curved", $G16= "debuff"), $L16, 0), Factor!$AN$5:$AN$51, -1), 2)*MOD($L16,1)*10,0),
_xlpm.상태이상보정치, VLOOKUP(IF($G16 = "debuff", $M16, "null"), Factor!$AX$5:$BE$51, _xlpm.기본_색인번호, 0),
_xlpm.지속시간보정치, INDEX(Factor!$BG$5:$BO$51, _xlfn.XMATCH(IF(OR($G16 ="debuff", $G16 = "shot", $G16 = "pierce"), $O16, 0), Factor!$BG$5:$BG$51, -1), _xlpm.추가_색인번호)-IF(AND(OR($G16 ="debuff", $G16 = "shot", $G16 = "pierce"), MOD($O16, 1)&lt;&gt;0), 10*MOD($O16, 1)*INDEX(Factor!$BG$5:$BO$51, _xlfn.XMATCH(IF(OR($G16 ="debuff", $G16 = "shot", $G16 = "pierce"), $O16, 0), Factor!$BG$5:$BG$51, -1), 2), 0),
_xlpm.탄환개수보정치, VLOOKUP(IF(OR($G16 = "curved", $G16 = "shot"), $Q16, 1), Factor!$BQ$5:$BX$51, _xlpm.기본_색인번호, 0),
_xlpm.상태이상탄환생성위치보정치, IF($G16 = "debuff", VLOOKUP($R16, Factor!$K$18:$R$19, _xlpm.기본_색인번호, 0),1),
_xlpm.상태이상탄환형태보정치, IF($G16 = "debuff", VLOOKUP($S16, Factor!$K$24:$R$25, _xlpm.기본_색인번호, 0),1),
_xlpm.가격보정치, INDEX(Factor!$AE$5:$AL$51, _xlfn.XMATCH($F16,Factor!$AE$5:$AE$51, -1), _xlpm.기본_색인번호),
_xlpm.구경보정치, VLOOKUP($D16,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16" s="29" t="e" cm="1">
        <f t="array" ref="AC16">_xlfn.LET(_xlpm.기본_색인번호, 4,
_xlpm.추가_색인번호, 5,
_xlpm.개별보정치, V16,
_xlpm.패턴보정치, VLOOKUP($G16, Factor!$B$5:$I$51, _xlpm.기본_색인번호, 0),
_xlpm.소모탄환보정치, VLOOKUP($H16, Factor!$T$5:$AA$51, _xlpm.기본_색인번호, 0),
_xlpm.지형보정치, VLOOKUP($I16, Factor!$K$12:$R$13, _xlpm.기본_색인번호, 0),
_xlpm.공격속성보정치, VLOOKUP($J16, Factor!$K$5:$R$7, _xlpm.기본_색인번호, 0),
_xlpm.피해범위보정치, INDEX(Factor!$AN$5:$AV$51, _xlfn.XMATCH(IF(OR($G16="blast", $G16="curved",  $G16= "debuff"), $L16, 0), Factor!$AN$5:$AN$51, -1), _xlpm.추가_색인번호)-IF(AND(OR($G16="blast", $G16="curved", $G16= "debuff"), MOD($L16,1)&lt;&gt;0),INDEX(Factor!$AN$5:$AV$51, _xlfn.XMATCH(IF(OR($G16="blast", $G16="curved", $G16= "debuff"), $L16, 0), Factor!$AN$5:$AN$51, -1), 2)*MOD($L16,1)*10,0),
_xlpm.상태이상보정치, VLOOKUP(IF($G16 = "debuff", $M16, "null"), Factor!$AX$5:$BE$51, _xlpm.기본_색인번호, 0),
_xlpm.지속시간보정치, INDEX(Factor!$BG$5:$BO$51, _xlfn.XMATCH(IF(OR($G16 ="debuff", $G16 = "shot", $G16 = "pierce"), $O16, 0), Factor!$BG$5:$BG$51, -1), _xlpm.추가_색인번호)-IF(AND(OR($G16 ="debuff", $G16 = "shot", $G16 = "pierce"), MOD($O16, 1)&lt;&gt;0), 10*MOD($O16, 1)*INDEX(Factor!$BG$5:$BO$51, _xlfn.XMATCH(IF(OR($G16 ="debuff", $G16 = "shot", $G16 = "pierce"), $O16, 0), Factor!$BG$5:$BG$51, -1), 2), 0),
_xlpm.탄환개수보정치, VLOOKUP(IF(OR($G16 = "curved", $G16 = "shot"), $Q16, 1), Factor!$BQ$5:$BX$51, _xlpm.기본_색인번호, 0),
_xlpm.상태이상탄환생성위치보정치, IF($G16 = "debuff", VLOOKUP($R16, Factor!$K$18:$R$19, _xlpm.기본_색인번호, 0),1),
_xlpm.상태이상탄환형태보정치, IF($G16 = "debuff", VLOOKUP($S16, Factor!$K$24:$R$25, _xlpm.기본_색인번호, 0),1),
_xlpm.가격보정치, INDEX(Factor!$AE$5:$AL$51, _xlfn.XMATCH($F16,Factor!$AE$5:$AE$51, -1), _xlpm.기본_색인번호),
_xlpm.구경보정치, VLOOKUP($D16,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16" s="29" t="e" cm="1">
        <f t="array" ref="AD16">_xlfn.LET(_xlpm.기본_색인번호, 5,
_xlpm.추가_색인번호, 6,
_xlpm.개별보정치, W16,
_xlpm.패턴보정치, VLOOKUP($G16, Factor!$B$5:$I$51, _xlpm.기본_색인번호, 0),
_xlpm.소모탄환보정치, VLOOKUP($H16, Factor!$T$5:$AA$51, _xlpm.기본_색인번호, 0),
_xlpm.지형보정치, VLOOKUP($I16, Factor!$K$12:$R$13, _xlpm.기본_색인번호, 0),
_xlpm.공격속성보정치, VLOOKUP($J16, Factor!$K$5:$R$7, _xlpm.기본_색인번호, 0),
_xlpm.피해범위보정치, INDEX(Factor!$AN$5:$AV$51, _xlfn.XMATCH(IF(OR($G16="blast", $G16="curved",  $G16= "debuff"), $L16, 0), Factor!$AN$5:$AN$51, -1), _xlpm.추가_색인번호)-IF(AND(OR($G16="blast", $G16="curved", $G16= "debuff"), MOD($L16,1)&lt;&gt;0),INDEX(Factor!$AN$5:$AV$51, _xlfn.XMATCH(IF(OR($G16="blast", $G16="curved", $G16= "debuff"), $L16, 0), Factor!$AN$5:$AN$51, -1), 2)*MOD($L16,1)*10,0),
_xlpm.상태이상보정치, VLOOKUP(IF($G16 = "debuff", $M16, "null"), Factor!$AX$5:$BE$51, _xlpm.기본_색인번호, 0),
_xlpm.지속시간보정치, INDEX(Factor!$BG$5:$BO$51, _xlfn.XMATCH(IF(OR($G16 ="debuff", $G16 = "shot", $G16 = "pierce"), $O16, 0), Factor!$BG$5:$BG$51, -1), _xlpm.추가_색인번호)-IF(AND(OR($G16 ="debuff", $G16 = "shot", $G16 = "pierce"), MOD($O16, 1)&lt;&gt;0), 10*MOD($O16, 1)*INDEX(Factor!$BG$5:$BO$51, _xlfn.XMATCH(IF(OR($G16 ="debuff", $G16 = "shot", $G16 = "pierce"), $O16, 0), Factor!$BG$5:$BG$51, -1), 2), 0),
_xlpm.탄환개수보정치, VLOOKUP(IF(OR($G16 = "curved", $G16 = "shot"), $Q16, 1), Factor!$BQ$5:$BX$51, _xlpm.기본_색인번호, 0),
_xlpm.상태이상탄환생성위치보정치, IF($G16 = "debuff", VLOOKUP($R16, Factor!$K$18:$R$19, _xlpm.기본_색인번호, 0),1),
_xlpm.상태이상탄환형태보정치, IF($G16 = "debuff", VLOOKUP($S16, Factor!$K$24:$R$25, _xlpm.기본_색인번호, 0),1),
_xlpm.가격보정치, INDEX(Factor!$AE$5:$AL$51, _xlfn.XMATCH($F16,Factor!$AE$5:$AE$51, -1), _xlpm.기본_색인번호),
_xlpm.구경보정치, VLOOKUP($D16,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16" s="29" t="e" cm="1">
        <f t="array" ref="AE16">_xlfn.LET(_xlpm.기본_색인번호, 6,
_xlpm.추가_색인번호, 7,
_xlpm.개별보정치, X16,
_xlpm.패턴보정치, VLOOKUP($G16, Factor!$B$5:$I$51, _xlpm.기본_색인번호, 0),
_xlpm.소모탄환보정치, VLOOKUP($H16, Factor!$T$5:$AA$51, _xlpm.기본_색인번호, 0),
_xlpm.지형보정치, VLOOKUP($I16, Factor!$K$12:$R$13, _xlpm.기본_색인번호, 0),
_xlpm.공격속성보정치, VLOOKUP($J16, Factor!$K$5:$R$7, _xlpm.기본_색인번호, 0),
_xlpm.피해범위보정치, INDEX(Factor!$AN$5:$AV$51, _xlfn.XMATCH(IF(OR($G16="blast", $G16="curved",  $G16= "debuff"), $L16, 0), Factor!$AN$5:$AN$51, -1), _xlpm.추가_색인번호)-IF(AND(OR($G16="blast", $G16="curved", $G16= "debuff"), MOD($L16,1)&lt;&gt;0),INDEX(Factor!$AN$5:$AV$51, _xlfn.XMATCH(IF(OR($G16="blast", $G16="curved", $G16= "debuff"), $L16, 0), Factor!$AN$5:$AN$51, -1), 2)*MOD($L16,1)*10,0),
_xlpm.상태이상보정치, VLOOKUP(IF($G16 = "debuff", $M16, "null"), Factor!$AX$5:$BE$51, _xlpm.기본_색인번호, 0),
_xlpm.지속시간보정치, INDEX(Factor!$BG$5:$BO$51, _xlfn.XMATCH(IF(OR($G16 ="debuff", $G16 = "shot", $G16 = "pierce"), $O16, 0), Factor!$BG$5:$BG$51, -1), _xlpm.추가_색인번호)-IF(AND(OR($G16 ="debuff", $G16 = "shot", $G16 = "pierce"), MOD($O16, 1)&lt;&gt;0), 10*MOD($O16, 1)*INDEX(Factor!$BG$5:$BO$51, _xlfn.XMATCH(IF(OR($G16 ="debuff", $G16 = "shot", $G16 = "pierce"), $O16, 0), Factor!$BG$5:$BG$51, -1), 2), 0),
_xlpm.탄환개수보정치, VLOOKUP(IF(OR($G16 = "curved", $G16 = "shot"), $Q16, 1), Factor!$BQ$5:$BX$51, _xlpm.기본_색인번호, 0),
_xlpm.상태이상탄환생성위치보정치, IF($G16 = "debuff", VLOOKUP($R16, Factor!$K$18:$R$19, _xlpm.기본_색인번호, 0),1),
_xlpm.상태이상탄환형태보정치, IF($G16 = "debuff", VLOOKUP($S16, Factor!$K$24:$R$25, _xlpm.기본_색인번호, 0),1),
_xlpm.가격보정치, INDEX(Factor!$AE$5:$AL$51, _xlfn.XMATCH($F16,Factor!$AE$5:$AE$51, -1), _xlpm.기본_색인번호),
_xlpm.구경보정치, VLOOKUP($D16,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16" s="29" t="e" cm="1">
        <f t="array" ref="AF16">_xlfn.LET(_xlpm.기본_색인번호, 7,
_xlpm.추가_색인번호, 8,
_xlpm.개별보정치, Y16,
_xlpm.패턴보정치, VLOOKUP($G16, Factor!$B$5:$I$51, _xlpm.기본_색인번호, 0),
_xlpm.소모탄환보정치, VLOOKUP($H16, Factor!$T$5:$AA$51, _xlpm.기본_색인번호, 0),
_xlpm.지형보정치, VLOOKUP($I16, Factor!$K$12:$R$13, _xlpm.기본_색인번호, 0),
_xlpm.공격속성보정치, VLOOKUP($J16, Factor!$K$5:$R$7, _xlpm.기본_색인번호, 0),
_xlpm.피해범위보정치, INDEX(Factor!$AN$5:$AV$51, _xlfn.XMATCH(IF(OR($G16="blast", $G16="curved",  $G16= "debuff"), $L16, 0), Factor!$AN$5:$AN$51, -1), _xlpm.추가_색인번호)-IF(AND(OR($G16="blast", $G16="curved", $G16= "debuff"), MOD($L16,1)&lt;&gt;0),INDEX(Factor!$AN$5:$AV$51, _xlfn.XMATCH(IF(OR($G16="blast", $G16="curved", $G16= "debuff"), $L16, 0), Factor!$AN$5:$AN$51, -1), 2)*MOD($L16,1)*10,0),
_xlpm.상태이상보정치, VLOOKUP(IF($G16 = "debuff", $M16, "null"), Factor!$AX$5:$BE$51, _xlpm.기본_색인번호, 0),
_xlpm.지속시간보정치, INDEX(Factor!$BG$5:$BO$51, _xlfn.XMATCH(IF(OR($G16 ="debuff", $G16 = "shot", $G16 = "pierce"), $O16, 0), Factor!$BG$5:$BG$51, -1), _xlpm.추가_색인번호)-IF(AND(OR($G16 ="debuff", $G16 = "shot", $G16 = "pierce"), MOD($O16, 1)&lt;&gt;0), 10*MOD($O16, 1)*INDEX(Factor!$BG$5:$BO$51, _xlfn.XMATCH(IF(OR($G16 ="debuff", $G16 = "shot", $G16 = "pierce"), $O16, 0), Factor!$BG$5:$BG$51, -1), 2), 0),
_xlpm.탄환개수보정치, VLOOKUP(IF(OR($G16 = "curved", $G16 = "shot"), $Q16, 1), Factor!$BQ$5:$BX$51, _xlpm.기본_색인번호, 0),
_xlpm.상태이상탄환생성위치보정치, IF($G16 = "debuff", VLOOKUP($R16, Factor!$K$18:$R$19, _xlpm.기본_색인번호, 0),1),
_xlpm.상태이상탄환형태보정치, IF($G16 = "debuff", VLOOKUP($S16, Factor!$K$24:$R$25, _xlpm.기본_색인번호, 0),1),
_xlpm.가격보정치, INDEX(Factor!$AE$5:$AL$51, _xlfn.XMATCH($F16,Factor!$AE$5:$AE$51, -1), _xlpm.기본_색인번호),
_xlpm.구경보정치, VLOOKUP($D16,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16" s="30" t="e" cm="1">
        <f t="array" ref="AG16">_xlfn.LET(_xlpm.기본_색인번호, 8,
_xlpm.추가_색인번호, 9,
_xlpm.개별보정치, Z16,
_xlpm.패턴보정치, VLOOKUP($G16, Factor!$B$5:$I$51, _xlpm.기본_색인번호, 0),
_xlpm.소모탄환보정치, VLOOKUP($H16, Factor!$T$5:$AA$51, _xlpm.기본_색인번호, 0),
_xlpm.지형보정치, VLOOKUP($I16, Factor!$K$12:$R$13, _xlpm.기본_색인번호, 0),
_xlpm.공격속성보정치, VLOOKUP($J16, Factor!$K$5:$R$7, _xlpm.기본_색인번호, 0),
_xlpm.피해범위보정치, INDEX(Factor!$AN$5:$AV$51, _xlfn.XMATCH(IF(OR($G16="blast", $G16="curved",  $G16= "debuff"), $L16, 0), Factor!$AN$5:$AN$51, -1), _xlpm.추가_색인번호)-IF(AND(OR($G16="blast", $G16="curved", $G16= "debuff"), MOD($L16,1)&lt;&gt;0),INDEX(Factor!$AN$5:$AV$51, _xlfn.XMATCH(IF(OR($G16="blast", $G16="curved", $G16= "debuff"), $L16, 0), Factor!$AN$5:$AN$51, -1), 2)*MOD($L16,1)*10,0),
_xlpm.상태이상보정치, VLOOKUP(IF($G16 = "debuff", $M16, "null"), Factor!$AX$5:$BE$51, _xlpm.기본_색인번호, 0),
_xlpm.지속시간보정치, INDEX(Factor!$BG$5:$BO$51, _xlfn.XMATCH(IF(OR($G16 ="debuff", $G16 = "shot", $G16 = "pierce"), $O16, 0), Factor!$BG$5:$BG$51, -1), _xlpm.추가_색인번호)-IF(AND(OR($G16 ="debuff", $G16 = "shot", $G16 = "pierce"), MOD($O16, 1)&lt;&gt;0), 10*MOD($O16, 1)*INDEX(Factor!$BG$5:$BO$51, _xlfn.XMATCH(IF(OR($G16 ="debuff", $G16 = "shot", $G16 = "pierce"), $O16, 0), Factor!$BG$5:$BG$51, -1), 2), 0),
_xlpm.탄환개수보정치, VLOOKUP(IF(OR($G16 = "curved", $G16 = "shot"), $Q16, 1), Factor!$BQ$5:$BX$51, _xlpm.기본_색인번호, 0),
_xlpm.상태이상탄환생성위치보정치, IF($G16 = "debuff", VLOOKUP($R16, Factor!$K$18:$R$19, _xlpm.기본_색인번호, 0),1),
_xlpm.상태이상탄환형태보정치, IF($G16 = "debuff", VLOOKUP($S16, Factor!$K$24:$R$25, _xlpm.기본_색인번호, 0),1),
_xlpm.가격보정치, INDEX(Factor!$AE$5:$AL$51, _xlfn.XMATCH($F16,Factor!$AE$5:$AE$51, -1), _xlpm.기본_색인번호),
_xlpm.구경보정치, VLOOKUP($D16,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16"/>
      <c r="AI16"/>
      <c r="AJ16"/>
      <c r="AK16"/>
      <c r="AL16"/>
      <c r="AM16"/>
      <c r="AN16"/>
    </row>
    <row r="17" spans="1:40" ht="13.5">
      <c r="A17" s="24" t="e">
        <f>"weapon_"&amp;G17&amp;"_"&amp;VLOOKUP(H17, Factor!$T$5:$AB$7, 9, 0)&amp;"_"&amp;IF(COUNTIFS($G$4:G16, G17, $H$4:H16, H17)+1&gt;=100, COUNTIFS($G$4:G16, G17, $H$4:H16, H17)+1,IF(COUNTIFS($G$4:G16, G17, $H$4:H16, H17)+1&gt;=10, "0"&amp;COUNTIFS($G$4:G16, G17, $H$4:H16, H17)+1, "00"&amp;COUNTIFS($G$4:G16, G17, $H$4:H16, H17)+1))</f>
        <v>#N/A</v>
      </c>
      <c r="B17" s="36" t="str">
        <f t="shared" si="0"/>
        <v xml:space="preserve"> </v>
      </c>
      <c r="C17" s="36"/>
      <c r="D17" s="36"/>
      <c r="E17" s="36"/>
      <c r="F17" s="25" t="e">
        <f>VLOOKUP(C17, Factor!$AD$5:$AE$15, 2, 0)</f>
        <v>#N/A</v>
      </c>
      <c r="G17" s="26" t="e">
        <f>VLOOKUP(E17, Factor!$CL$5:$CV$50, 2, 0)</f>
        <v>#N/A</v>
      </c>
      <c r="H17" s="25" t="e">
        <f>VLOOKUP(E17, Factor!$CL$5:$CV$50, 3, 0)</f>
        <v>#N/A</v>
      </c>
      <c r="I17" s="25" t="e">
        <f>VLOOKUP(E17, Factor!$CL$5:$CV$50, 4, 0)</f>
        <v>#N/A</v>
      </c>
      <c r="J17" s="25" t="e">
        <f>VLOOKUP(E17, Factor!$CL$5:$CV$50, 5, 0)</f>
        <v>#N/A</v>
      </c>
      <c r="K17" s="25">
        <v>1</v>
      </c>
      <c r="L17" s="25" t="e">
        <f>VLOOKUP(E17, Factor!$CL$5:$CV$50, 6, 0)*K17*VLOOKUP(D17, Factor!$BZ$5:$CJ$49, 9, 0)</f>
        <v>#N/A</v>
      </c>
      <c r="M17" s="25" t="e">
        <f>VLOOKUP(E17, Factor!$CL$5:$CV$50, 7, 0)</f>
        <v>#N/A</v>
      </c>
      <c r="N17" s="25">
        <v>1</v>
      </c>
      <c r="O17" s="25" t="e">
        <f>VLOOKUP(E17, Factor!$CL$5:$CV$50, 8, 0)*N17*VLOOKUP(D17, Factor!$BZ$5:$CJ$49, 10, 0)</f>
        <v>#N/A</v>
      </c>
      <c r="P17" s="25">
        <v>1</v>
      </c>
      <c r="Q17" s="25" t="e">
        <f>VLOOKUP(E17, Factor!$CL$5:$CV$50, 9, 0)*P17*VLOOKUP(D17, Factor!$BZ$5:$CJ$49, 11, 0)</f>
        <v>#N/A</v>
      </c>
      <c r="R17" s="25" t="e">
        <f>VLOOKUP(E17, Factor!$CL$5:$CV$50, 10, 0)</f>
        <v>#N/A</v>
      </c>
      <c r="S17" s="25" t="e">
        <f>VLOOKUP(E17, Factor!$CL$5:$CV$50, 11, 0)</f>
        <v>#N/A</v>
      </c>
      <c r="T17" s="25">
        <v>1</v>
      </c>
      <c r="U17" s="25">
        <v>1</v>
      </c>
      <c r="V17" s="25">
        <v>1</v>
      </c>
      <c r="W17" s="25">
        <v>1</v>
      </c>
      <c r="X17" s="25">
        <v>1</v>
      </c>
      <c r="Y17" s="25">
        <v>1</v>
      </c>
      <c r="Z17" s="25">
        <v>1</v>
      </c>
      <c r="AA17" s="25" t="e" cm="1">
        <f t="array" ref="AA17">_xlfn.LET(_xlpm.기본_색인번호, 2,
_xlpm.추가_색인번호, 3,
_xlpm.개별보정치, T17,
_xlpm.패턴보정치, VLOOKUP($G17, Factor!$B$5:$I$51, _xlpm.기본_색인번호, 0),
_xlpm.소모탄환보정치, VLOOKUP($H17, Factor!$T$5:$AA$51, _xlpm.기본_색인번호, 0),
_xlpm.지형보정치, VLOOKUP($I17, Factor!$K$12:$R$13, _xlpm.기본_색인번호, 0),
_xlpm.공격속성보정치, VLOOKUP($J17, Factor!$K$5:$R$7, _xlpm.기본_색인번호, 0),
_xlpm.피해범위보정치, INDEX(Factor!$AN$5:$AV$51, _xlfn.XMATCH(IF(OR($G17="blast", $G17="curved",  $G17= "debuff"), $L17, 0), Factor!$AN$5:$AN$51, -1), _xlpm.추가_색인번호)-IF(AND(OR($G17="blast", $G17="curved", $G17= "debuff"), MOD($L17,1)&lt;&gt;0),INDEX(Factor!$AN$5:$AV$51, _xlfn.XMATCH(IF(OR($G17="blast", $G17="curved", $G17= "debuff"), $L17, 0), Factor!$AN$5:$AN$51, -1), 2)*MOD($L17,1)*10,0),
_xlpm.상태이상보정치, VLOOKUP(IF($G17 = "debuff", $M17, "null"), Factor!$AX$5:$BE$51, _xlpm.기본_색인번호, 0),
_xlpm.지속시간보정치, INDEX(Factor!$BG$5:$BO$51, _xlfn.XMATCH(IF(OR($G17 ="debuff", $G17 = "shot", $G17 = "pierce"), $O17, 0), Factor!$BG$5:$BG$51, -1), _xlpm.추가_색인번호)-IF(AND(OR($G17 ="debuff", $G17 = "shot", $G17 = "pierce"), MOD($O17, 1)&lt;&gt;0), 10*MOD($O17, 1)*INDEX(Factor!$BG$5:$BO$51, _xlfn.XMATCH(IF(OR($G17 ="debuff", $G17 = "shot", $G17 = "pierce"), $O17, 0), Factor!$BG$5:$BG$51, -1), 2), 0),
_xlpm.탄환개수보정치, VLOOKUP(IF(OR($G17 = "curved", $G17 = "shot"), $Q17, 1), Factor!$BQ$5:$BX$51, _xlpm.기본_색인번호, 0),
_xlpm.상태이상탄환생성위치보정치, IF($G17 = "debuff", VLOOKUP($R17, Factor!$K$18:$R$19, _xlpm.기본_색인번호, 0),1),
_xlpm.상태이상탄환형태보정치, IF($G17 = "debuff", VLOOKUP($S17, Factor!$K$24:$R$25, _xlpm.기본_색인번호, 0),1),
_xlpm.가격보정치, INDEX(Factor!$AE$5:$AL$51, _xlfn.XMATCH($F17,Factor!$AE$5:$AE$51, -1), _xlpm.기본_색인번호),
_xlpm.구경보정치, VLOOKUP($D17,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17" s="25" t="e" cm="1">
        <f t="array" ref="AB17">_xlfn.LET(_xlpm.기본_색인번호, 3,
_xlpm.추가_색인번호, 4,
_xlpm.개별보정치, U17,
_xlpm.패턴보정치, VLOOKUP($G17, Factor!$B$5:$I$51, _xlpm.기본_색인번호, 0),
_xlpm.소모탄환보정치, VLOOKUP($H17, Factor!$T$5:$AA$51, _xlpm.기본_색인번호, 0),
_xlpm.지형보정치, VLOOKUP($I17, Factor!$K$12:$R$13, _xlpm.기본_색인번호, 0),
_xlpm.공격속성보정치, VLOOKUP($J17, Factor!$K$5:$R$7, _xlpm.기본_색인번호, 0),
_xlpm.피해범위보정치, INDEX(Factor!$AN$5:$AV$51, _xlfn.XMATCH(IF(OR($G17="blast", $G17="curved",  $G17= "debuff"), $L17, 0), Factor!$AN$5:$AN$51, -1), _xlpm.추가_색인번호)-IF(AND(OR($G17="blast", $G17="curved", $G17= "debuff"), MOD($L17,1)&lt;&gt;0),INDEX(Factor!$AN$5:$AV$51, _xlfn.XMATCH(IF(OR($G17="blast", $G17="curved", $G17= "debuff"), $L17, 0), Factor!$AN$5:$AN$51, -1), 2)*MOD($L17,1)*10,0),
_xlpm.상태이상보정치, VLOOKUP(IF($G17 = "debuff", $M17, "null"), Factor!$AX$5:$BE$51, _xlpm.기본_색인번호, 0),
_xlpm.지속시간보정치, INDEX(Factor!$BG$5:$BO$51, _xlfn.XMATCH(IF(OR($G17 ="debuff", $G17 = "shot", $G17 = "pierce"), $O17, 0), Factor!$BG$5:$BG$51, -1), _xlpm.추가_색인번호)-IF(AND(OR($G17 ="debuff", $G17 = "shot", $G17 = "pierce"), MOD($O17, 1)&lt;&gt;0), 10*MOD($O17, 1)*INDEX(Factor!$BG$5:$BO$51, _xlfn.XMATCH(IF(OR($G17 ="debuff", $G17 = "shot", $G17 = "pierce"), $O17, 0), Factor!$BG$5:$BG$51, -1), 2), 0),
_xlpm.탄환개수보정치, VLOOKUP(IF(OR($G17 = "curved", $G17 = "shot"), $Q17, 1), Factor!$BQ$5:$BX$51, _xlpm.기본_색인번호, 0),
_xlpm.상태이상탄환생성위치보정치, IF($G17 = "debuff", VLOOKUP($R17, Factor!$K$18:$R$19, _xlpm.기본_색인번호, 0),1),
_xlpm.상태이상탄환형태보정치, IF($G17 = "debuff", VLOOKUP($S17, Factor!$K$24:$R$25, _xlpm.기본_색인번호, 0),1),
_xlpm.가격보정치, INDEX(Factor!$AE$5:$AL$51, _xlfn.XMATCH($F17,Factor!$AE$5:$AE$51, -1), _xlpm.기본_색인번호),
_xlpm.구경보정치, VLOOKUP($D17,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17" s="25" t="e" cm="1">
        <f t="array" ref="AC17">_xlfn.LET(_xlpm.기본_색인번호, 4,
_xlpm.추가_색인번호, 5,
_xlpm.개별보정치, V17,
_xlpm.패턴보정치, VLOOKUP($G17, Factor!$B$5:$I$51, _xlpm.기본_색인번호, 0),
_xlpm.소모탄환보정치, VLOOKUP($H17, Factor!$T$5:$AA$51, _xlpm.기본_색인번호, 0),
_xlpm.지형보정치, VLOOKUP($I17, Factor!$K$12:$R$13, _xlpm.기본_색인번호, 0),
_xlpm.공격속성보정치, VLOOKUP($J17, Factor!$K$5:$R$7, _xlpm.기본_색인번호, 0),
_xlpm.피해범위보정치, INDEX(Factor!$AN$5:$AV$51, _xlfn.XMATCH(IF(OR($G17="blast", $G17="curved",  $G17= "debuff"), $L17, 0), Factor!$AN$5:$AN$51, -1), _xlpm.추가_색인번호)-IF(AND(OR($G17="blast", $G17="curved", $G17= "debuff"), MOD($L17,1)&lt;&gt;0),INDEX(Factor!$AN$5:$AV$51, _xlfn.XMATCH(IF(OR($G17="blast", $G17="curved", $G17= "debuff"), $L17, 0), Factor!$AN$5:$AN$51, -1), 2)*MOD($L17,1)*10,0),
_xlpm.상태이상보정치, VLOOKUP(IF($G17 = "debuff", $M17, "null"), Factor!$AX$5:$BE$51, _xlpm.기본_색인번호, 0),
_xlpm.지속시간보정치, INDEX(Factor!$BG$5:$BO$51, _xlfn.XMATCH(IF(OR($G17 ="debuff", $G17 = "shot", $G17 = "pierce"), $O17, 0), Factor!$BG$5:$BG$51, -1), _xlpm.추가_색인번호)-IF(AND(OR($G17 ="debuff", $G17 = "shot", $G17 = "pierce"), MOD($O17, 1)&lt;&gt;0), 10*MOD($O17, 1)*INDEX(Factor!$BG$5:$BO$51, _xlfn.XMATCH(IF(OR($G17 ="debuff", $G17 = "shot", $G17 = "pierce"), $O17, 0), Factor!$BG$5:$BG$51, -1), 2), 0),
_xlpm.탄환개수보정치, VLOOKUP(IF(OR($G17 = "curved", $G17 = "shot"), $Q17, 1), Factor!$BQ$5:$BX$51, _xlpm.기본_색인번호, 0),
_xlpm.상태이상탄환생성위치보정치, IF($G17 = "debuff", VLOOKUP($R17, Factor!$K$18:$R$19, _xlpm.기본_색인번호, 0),1),
_xlpm.상태이상탄환형태보정치, IF($G17 = "debuff", VLOOKUP($S17, Factor!$K$24:$R$25, _xlpm.기본_색인번호, 0),1),
_xlpm.가격보정치, INDEX(Factor!$AE$5:$AL$51, _xlfn.XMATCH($F17,Factor!$AE$5:$AE$51, -1), _xlpm.기본_색인번호),
_xlpm.구경보정치, VLOOKUP($D17,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17" s="25" t="e" cm="1">
        <f t="array" ref="AD17">_xlfn.LET(_xlpm.기본_색인번호, 5,
_xlpm.추가_색인번호, 6,
_xlpm.개별보정치, W17,
_xlpm.패턴보정치, VLOOKUP($G17, Factor!$B$5:$I$51, _xlpm.기본_색인번호, 0),
_xlpm.소모탄환보정치, VLOOKUP($H17, Factor!$T$5:$AA$51, _xlpm.기본_색인번호, 0),
_xlpm.지형보정치, VLOOKUP($I17, Factor!$K$12:$R$13, _xlpm.기본_색인번호, 0),
_xlpm.공격속성보정치, VLOOKUP($J17, Factor!$K$5:$R$7, _xlpm.기본_색인번호, 0),
_xlpm.피해범위보정치, INDEX(Factor!$AN$5:$AV$51, _xlfn.XMATCH(IF(OR($G17="blast", $G17="curved",  $G17= "debuff"), $L17, 0), Factor!$AN$5:$AN$51, -1), _xlpm.추가_색인번호)-IF(AND(OR($G17="blast", $G17="curved", $G17= "debuff"), MOD($L17,1)&lt;&gt;0),INDEX(Factor!$AN$5:$AV$51, _xlfn.XMATCH(IF(OR($G17="blast", $G17="curved", $G17= "debuff"), $L17, 0), Factor!$AN$5:$AN$51, -1), 2)*MOD($L17,1)*10,0),
_xlpm.상태이상보정치, VLOOKUP(IF($G17 = "debuff", $M17, "null"), Factor!$AX$5:$BE$51, _xlpm.기본_색인번호, 0),
_xlpm.지속시간보정치, INDEX(Factor!$BG$5:$BO$51, _xlfn.XMATCH(IF(OR($G17 ="debuff", $G17 = "shot", $G17 = "pierce"), $O17, 0), Factor!$BG$5:$BG$51, -1), _xlpm.추가_색인번호)-IF(AND(OR($G17 ="debuff", $G17 = "shot", $G17 = "pierce"), MOD($O17, 1)&lt;&gt;0), 10*MOD($O17, 1)*INDEX(Factor!$BG$5:$BO$51, _xlfn.XMATCH(IF(OR($G17 ="debuff", $G17 = "shot", $G17 = "pierce"), $O17, 0), Factor!$BG$5:$BG$51, -1), 2), 0),
_xlpm.탄환개수보정치, VLOOKUP(IF(OR($G17 = "curved", $G17 = "shot"), $Q17, 1), Factor!$BQ$5:$BX$51, _xlpm.기본_색인번호, 0),
_xlpm.상태이상탄환생성위치보정치, IF($G17 = "debuff", VLOOKUP($R17, Factor!$K$18:$R$19, _xlpm.기본_색인번호, 0),1),
_xlpm.상태이상탄환형태보정치, IF($G17 = "debuff", VLOOKUP($S17, Factor!$K$24:$R$25, _xlpm.기본_색인번호, 0),1),
_xlpm.가격보정치, INDEX(Factor!$AE$5:$AL$51, _xlfn.XMATCH($F17,Factor!$AE$5:$AE$51, -1), _xlpm.기본_색인번호),
_xlpm.구경보정치, VLOOKUP($D17,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17" s="25" t="e" cm="1">
        <f t="array" ref="AE17">_xlfn.LET(_xlpm.기본_색인번호, 6,
_xlpm.추가_색인번호, 7,
_xlpm.개별보정치, X17,
_xlpm.패턴보정치, VLOOKUP($G17, Factor!$B$5:$I$51, _xlpm.기본_색인번호, 0),
_xlpm.소모탄환보정치, VLOOKUP($H17, Factor!$T$5:$AA$51, _xlpm.기본_색인번호, 0),
_xlpm.지형보정치, VLOOKUP($I17, Factor!$K$12:$R$13, _xlpm.기본_색인번호, 0),
_xlpm.공격속성보정치, VLOOKUP($J17, Factor!$K$5:$R$7, _xlpm.기본_색인번호, 0),
_xlpm.피해범위보정치, INDEX(Factor!$AN$5:$AV$51, _xlfn.XMATCH(IF(OR($G17="blast", $G17="curved",  $G17= "debuff"), $L17, 0), Factor!$AN$5:$AN$51, -1), _xlpm.추가_색인번호)-IF(AND(OR($G17="blast", $G17="curved", $G17= "debuff"), MOD($L17,1)&lt;&gt;0),INDEX(Factor!$AN$5:$AV$51, _xlfn.XMATCH(IF(OR($G17="blast", $G17="curved", $G17= "debuff"), $L17, 0), Factor!$AN$5:$AN$51, -1), 2)*MOD($L17,1)*10,0),
_xlpm.상태이상보정치, VLOOKUP(IF($G17 = "debuff", $M17, "null"), Factor!$AX$5:$BE$51, _xlpm.기본_색인번호, 0),
_xlpm.지속시간보정치, INDEX(Factor!$BG$5:$BO$51, _xlfn.XMATCH(IF(OR($G17 ="debuff", $G17 = "shot", $G17 = "pierce"), $O17, 0), Factor!$BG$5:$BG$51, -1), _xlpm.추가_색인번호)-IF(AND(OR($G17 ="debuff", $G17 = "shot", $G17 = "pierce"), MOD($O17, 1)&lt;&gt;0), 10*MOD($O17, 1)*INDEX(Factor!$BG$5:$BO$51, _xlfn.XMATCH(IF(OR($G17 ="debuff", $G17 = "shot", $G17 = "pierce"), $O17, 0), Factor!$BG$5:$BG$51, -1), 2), 0),
_xlpm.탄환개수보정치, VLOOKUP(IF(OR($G17 = "curved", $G17 = "shot"), $Q17, 1), Factor!$BQ$5:$BX$51, _xlpm.기본_색인번호, 0),
_xlpm.상태이상탄환생성위치보정치, IF($G17 = "debuff", VLOOKUP($R17, Factor!$K$18:$R$19, _xlpm.기본_색인번호, 0),1),
_xlpm.상태이상탄환형태보정치, IF($G17 = "debuff", VLOOKUP($S17, Factor!$K$24:$R$25, _xlpm.기본_색인번호, 0),1),
_xlpm.가격보정치, INDEX(Factor!$AE$5:$AL$51, _xlfn.XMATCH($F17,Factor!$AE$5:$AE$51, -1), _xlpm.기본_색인번호),
_xlpm.구경보정치, VLOOKUP($D17,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17" s="25" t="e" cm="1">
        <f t="array" ref="AF17">_xlfn.LET(_xlpm.기본_색인번호, 7,
_xlpm.추가_색인번호, 8,
_xlpm.개별보정치, Y17,
_xlpm.패턴보정치, VLOOKUP($G17, Factor!$B$5:$I$51, _xlpm.기본_색인번호, 0),
_xlpm.소모탄환보정치, VLOOKUP($H17, Factor!$T$5:$AA$51, _xlpm.기본_색인번호, 0),
_xlpm.지형보정치, VLOOKUP($I17, Factor!$K$12:$R$13, _xlpm.기본_색인번호, 0),
_xlpm.공격속성보정치, VLOOKUP($J17, Factor!$K$5:$R$7, _xlpm.기본_색인번호, 0),
_xlpm.피해범위보정치, INDEX(Factor!$AN$5:$AV$51, _xlfn.XMATCH(IF(OR($G17="blast", $G17="curved",  $G17= "debuff"), $L17, 0), Factor!$AN$5:$AN$51, -1), _xlpm.추가_색인번호)-IF(AND(OR($G17="blast", $G17="curved", $G17= "debuff"), MOD($L17,1)&lt;&gt;0),INDEX(Factor!$AN$5:$AV$51, _xlfn.XMATCH(IF(OR($G17="blast", $G17="curved", $G17= "debuff"), $L17, 0), Factor!$AN$5:$AN$51, -1), 2)*MOD($L17,1)*10,0),
_xlpm.상태이상보정치, VLOOKUP(IF($G17 = "debuff", $M17, "null"), Factor!$AX$5:$BE$51, _xlpm.기본_색인번호, 0),
_xlpm.지속시간보정치, INDEX(Factor!$BG$5:$BO$51, _xlfn.XMATCH(IF(OR($G17 ="debuff", $G17 = "shot", $G17 = "pierce"), $O17, 0), Factor!$BG$5:$BG$51, -1), _xlpm.추가_색인번호)-IF(AND(OR($G17 ="debuff", $G17 = "shot", $G17 = "pierce"), MOD($O17, 1)&lt;&gt;0), 10*MOD($O17, 1)*INDEX(Factor!$BG$5:$BO$51, _xlfn.XMATCH(IF(OR($G17 ="debuff", $G17 = "shot", $G17 = "pierce"), $O17, 0), Factor!$BG$5:$BG$51, -1), 2), 0),
_xlpm.탄환개수보정치, VLOOKUP(IF(OR($G17 = "curved", $G17 = "shot"), $Q17, 1), Factor!$BQ$5:$BX$51, _xlpm.기본_색인번호, 0),
_xlpm.상태이상탄환생성위치보정치, IF($G17 = "debuff", VLOOKUP($R17, Factor!$K$18:$R$19, _xlpm.기본_색인번호, 0),1),
_xlpm.상태이상탄환형태보정치, IF($G17 = "debuff", VLOOKUP($S17, Factor!$K$24:$R$25, _xlpm.기본_색인번호, 0),1),
_xlpm.가격보정치, INDEX(Factor!$AE$5:$AL$51, _xlfn.XMATCH($F17,Factor!$AE$5:$AE$51, -1), _xlpm.기본_색인번호),
_xlpm.구경보정치, VLOOKUP($D17,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17" s="27" t="e" cm="1">
        <f t="array" ref="AG17">_xlfn.LET(_xlpm.기본_색인번호, 8,
_xlpm.추가_색인번호, 9,
_xlpm.개별보정치, Z17,
_xlpm.패턴보정치, VLOOKUP($G17, Factor!$B$5:$I$51, _xlpm.기본_색인번호, 0),
_xlpm.소모탄환보정치, VLOOKUP($H17, Factor!$T$5:$AA$51, _xlpm.기본_색인번호, 0),
_xlpm.지형보정치, VLOOKUP($I17, Factor!$K$12:$R$13, _xlpm.기본_색인번호, 0),
_xlpm.공격속성보정치, VLOOKUP($J17, Factor!$K$5:$R$7, _xlpm.기본_색인번호, 0),
_xlpm.피해범위보정치, INDEX(Factor!$AN$5:$AV$51, _xlfn.XMATCH(IF(OR($G17="blast", $G17="curved",  $G17= "debuff"), $L17, 0), Factor!$AN$5:$AN$51, -1), _xlpm.추가_색인번호)-IF(AND(OR($G17="blast", $G17="curved", $G17= "debuff"), MOD($L17,1)&lt;&gt;0),INDEX(Factor!$AN$5:$AV$51, _xlfn.XMATCH(IF(OR($G17="blast", $G17="curved", $G17= "debuff"), $L17, 0), Factor!$AN$5:$AN$51, -1), 2)*MOD($L17,1)*10,0),
_xlpm.상태이상보정치, VLOOKUP(IF($G17 = "debuff", $M17, "null"), Factor!$AX$5:$BE$51, _xlpm.기본_색인번호, 0),
_xlpm.지속시간보정치, INDEX(Factor!$BG$5:$BO$51, _xlfn.XMATCH(IF(OR($G17 ="debuff", $G17 = "shot", $G17 = "pierce"), $O17, 0), Factor!$BG$5:$BG$51, -1), _xlpm.추가_색인번호)-IF(AND(OR($G17 ="debuff", $G17 = "shot", $G17 = "pierce"), MOD($O17, 1)&lt;&gt;0), 10*MOD($O17, 1)*INDEX(Factor!$BG$5:$BO$51, _xlfn.XMATCH(IF(OR($G17 ="debuff", $G17 = "shot", $G17 = "pierce"), $O17, 0), Factor!$BG$5:$BG$51, -1), 2), 0),
_xlpm.탄환개수보정치, VLOOKUP(IF(OR($G17 = "curved", $G17 = "shot"), $Q17, 1), Factor!$BQ$5:$BX$51, _xlpm.기본_색인번호, 0),
_xlpm.상태이상탄환생성위치보정치, IF($G17 = "debuff", VLOOKUP($R17, Factor!$K$18:$R$19, _xlpm.기본_색인번호, 0),1),
_xlpm.상태이상탄환형태보정치, IF($G17 = "debuff", VLOOKUP($S17, Factor!$K$24:$R$25, _xlpm.기본_색인번호, 0),1),
_xlpm.가격보정치, INDEX(Factor!$AE$5:$AL$51, _xlfn.XMATCH($F17,Factor!$AE$5:$AE$51, -1), _xlpm.기본_색인번호),
_xlpm.구경보정치, VLOOKUP($D17,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17"/>
      <c r="AI17"/>
      <c r="AJ17"/>
      <c r="AK17"/>
      <c r="AL17"/>
      <c r="AM17"/>
      <c r="AN17"/>
    </row>
    <row r="18" spans="1:40" ht="13.5">
      <c r="A18" s="28" t="e">
        <f>"weapon_"&amp;G18&amp;"_"&amp;VLOOKUP(H18, Factor!$T$5:$AB$7, 9, 0)&amp;"_"&amp;IF(COUNTIFS($G$4:G17, G18, $H$4:H17, H18)+1&gt;=100, COUNTIFS($G$4:G17, G18, $H$4:H17, H18)+1,IF(COUNTIFS($G$4:G17, G18, $H$4:H17, H18)+1&gt;=10, "0"&amp;COUNTIFS($G$4:G17, G18, $H$4:H17, H18)+1, "00"&amp;COUNTIFS($G$4:G17, G18, $H$4:H17, H18)+1))</f>
        <v>#N/A</v>
      </c>
      <c r="B18" s="37" t="str">
        <f t="shared" si="0"/>
        <v xml:space="preserve"> </v>
      </c>
      <c r="C18" s="37"/>
      <c r="D18" s="37"/>
      <c r="E18" s="37"/>
      <c r="F18" s="29" t="e">
        <f>VLOOKUP(C18, Factor!$AD$5:$AE$15, 2, 0)</f>
        <v>#N/A</v>
      </c>
      <c r="G18" s="29" t="e">
        <f>VLOOKUP(E18, Factor!$CL$5:$CV$50, 2, 0)</f>
        <v>#N/A</v>
      </c>
      <c r="H18" s="29" t="e">
        <f>VLOOKUP(E18, Factor!$CL$5:$CV$50, 3, 0)</f>
        <v>#N/A</v>
      </c>
      <c r="I18" s="29" t="e">
        <f>VLOOKUP(E18, Factor!$CL$5:$CV$50, 4, 0)</f>
        <v>#N/A</v>
      </c>
      <c r="J18" s="29" t="e">
        <f>VLOOKUP(E18, Factor!$CL$5:$CV$50, 5, 0)</f>
        <v>#N/A</v>
      </c>
      <c r="K18" s="29">
        <v>1</v>
      </c>
      <c r="L18" s="29" t="e">
        <f>VLOOKUP(E18, Factor!$CL$5:$CV$50, 6, 0)*K18*VLOOKUP(D18, Factor!$BZ$5:$CJ$49, 9, 0)</f>
        <v>#N/A</v>
      </c>
      <c r="M18" s="29" t="e">
        <f>VLOOKUP(E18, Factor!$CL$5:$CV$50, 7, 0)</f>
        <v>#N/A</v>
      </c>
      <c r="N18" s="29">
        <v>1</v>
      </c>
      <c r="O18" s="29" t="e">
        <f>VLOOKUP(E18, Factor!$CL$5:$CV$50, 8, 0)*N18*VLOOKUP(D18, Factor!$BZ$5:$CJ$49, 10, 0)</f>
        <v>#N/A</v>
      </c>
      <c r="P18" s="29">
        <v>1</v>
      </c>
      <c r="Q18" s="29" t="e">
        <f>VLOOKUP(E18, Factor!$CL$5:$CV$50, 9, 0)*P18*VLOOKUP(D18, Factor!$BZ$5:$CJ$49, 11, 0)</f>
        <v>#N/A</v>
      </c>
      <c r="R18" s="29" t="e">
        <f>VLOOKUP(E18, Factor!$CL$5:$CV$50, 10, 0)</f>
        <v>#N/A</v>
      </c>
      <c r="S18" s="29" t="e">
        <f>VLOOKUP(E18, Factor!$CL$5:$CV$50, 11, 0)</f>
        <v>#N/A</v>
      </c>
      <c r="T18" s="29">
        <v>1</v>
      </c>
      <c r="U18" s="29">
        <v>1</v>
      </c>
      <c r="V18" s="29">
        <v>1</v>
      </c>
      <c r="W18" s="29">
        <v>1</v>
      </c>
      <c r="X18" s="29">
        <v>1</v>
      </c>
      <c r="Y18" s="29">
        <v>1</v>
      </c>
      <c r="Z18" s="29">
        <v>1</v>
      </c>
      <c r="AA18" s="29" t="e" cm="1">
        <f t="array" ref="AA18">_xlfn.LET(_xlpm.기본_색인번호, 2,
_xlpm.추가_색인번호, 3,
_xlpm.개별보정치, T18,
_xlpm.패턴보정치, VLOOKUP($G18, Factor!$B$5:$I$51, _xlpm.기본_색인번호, 0),
_xlpm.소모탄환보정치, VLOOKUP($H18, Factor!$T$5:$AA$51, _xlpm.기본_색인번호, 0),
_xlpm.지형보정치, VLOOKUP($I18, Factor!$K$12:$R$13, _xlpm.기본_색인번호, 0),
_xlpm.공격속성보정치, VLOOKUP($J18, Factor!$K$5:$R$7, _xlpm.기본_색인번호, 0),
_xlpm.피해범위보정치, INDEX(Factor!$AN$5:$AV$51, _xlfn.XMATCH(IF(OR($G18="blast", $G18="curved",  $G18= "debuff"), $L18, 0), Factor!$AN$5:$AN$51, -1), _xlpm.추가_색인번호)-IF(AND(OR($G18="blast", $G18="curved", $G18= "debuff"), MOD($L18,1)&lt;&gt;0),INDEX(Factor!$AN$5:$AV$51, _xlfn.XMATCH(IF(OR($G18="blast", $G18="curved", $G18= "debuff"), $L18, 0), Factor!$AN$5:$AN$51, -1), 2)*MOD($L18,1)*10,0),
_xlpm.상태이상보정치, VLOOKUP(IF($G18 = "debuff", $M18, "null"), Factor!$AX$5:$BE$51, _xlpm.기본_색인번호, 0),
_xlpm.지속시간보정치, INDEX(Factor!$BG$5:$BO$51, _xlfn.XMATCH(IF(OR($G18 ="debuff", $G18 = "shot", $G18 = "pierce"), $O18, 0), Factor!$BG$5:$BG$51, -1), _xlpm.추가_색인번호)-IF(AND(OR($G18 ="debuff", $G18 = "shot", $G18 = "pierce"), MOD($O18, 1)&lt;&gt;0), 10*MOD($O18, 1)*INDEX(Factor!$BG$5:$BO$51, _xlfn.XMATCH(IF(OR($G18 ="debuff", $G18 = "shot", $G18 = "pierce"), $O18, 0), Factor!$BG$5:$BG$51, -1), 2), 0),
_xlpm.탄환개수보정치, VLOOKUP(IF(OR($G18 = "curved", $G18 = "shot"), $Q18, 1), Factor!$BQ$5:$BX$51, _xlpm.기본_색인번호, 0),
_xlpm.상태이상탄환생성위치보정치, IF($G18 = "debuff", VLOOKUP($R18, Factor!$K$18:$R$19, _xlpm.기본_색인번호, 0),1),
_xlpm.상태이상탄환형태보정치, IF($G18 = "debuff", VLOOKUP($S18, Factor!$K$24:$R$25, _xlpm.기본_색인번호, 0),1),
_xlpm.가격보정치, INDEX(Factor!$AE$5:$AL$51, _xlfn.XMATCH($F18,Factor!$AE$5:$AE$51, -1), _xlpm.기본_색인번호),
_xlpm.구경보정치, VLOOKUP($D18,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18" s="29" t="e" cm="1">
        <f t="array" ref="AB18">_xlfn.LET(_xlpm.기본_색인번호, 3,
_xlpm.추가_색인번호, 4,
_xlpm.개별보정치, U18,
_xlpm.패턴보정치, VLOOKUP($G18, Factor!$B$5:$I$51, _xlpm.기본_색인번호, 0),
_xlpm.소모탄환보정치, VLOOKUP($H18, Factor!$T$5:$AA$51, _xlpm.기본_색인번호, 0),
_xlpm.지형보정치, VLOOKUP($I18, Factor!$K$12:$R$13, _xlpm.기본_색인번호, 0),
_xlpm.공격속성보정치, VLOOKUP($J18, Factor!$K$5:$R$7, _xlpm.기본_색인번호, 0),
_xlpm.피해범위보정치, INDEX(Factor!$AN$5:$AV$51, _xlfn.XMATCH(IF(OR($G18="blast", $G18="curved",  $G18= "debuff"), $L18, 0), Factor!$AN$5:$AN$51, -1), _xlpm.추가_색인번호)-IF(AND(OR($G18="blast", $G18="curved", $G18= "debuff"), MOD($L18,1)&lt;&gt;0),INDEX(Factor!$AN$5:$AV$51, _xlfn.XMATCH(IF(OR($G18="blast", $G18="curved", $G18= "debuff"), $L18, 0), Factor!$AN$5:$AN$51, -1), 2)*MOD($L18,1)*10,0),
_xlpm.상태이상보정치, VLOOKUP(IF($G18 = "debuff", $M18, "null"), Factor!$AX$5:$BE$51, _xlpm.기본_색인번호, 0),
_xlpm.지속시간보정치, INDEX(Factor!$BG$5:$BO$51, _xlfn.XMATCH(IF(OR($G18 ="debuff", $G18 = "shot", $G18 = "pierce"), $O18, 0), Factor!$BG$5:$BG$51, -1), _xlpm.추가_색인번호)-IF(AND(OR($G18 ="debuff", $G18 = "shot", $G18 = "pierce"), MOD($O18, 1)&lt;&gt;0), 10*MOD($O18, 1)*INDEX(Factor!$BG$5:$BO$51, _xlfn.XMATCH(IF(OR($G18 ="debuff", $G18 = "shot", $G18 = "pierce"), $O18, 0), Factor!$BG$5:$BG$51, -1), 2), 0),
_xlpm.탄환개수보정치, VLOOKUP(IF(OR($G18 = "curved", $G18 = "shot"), $Q18, 1), Factor!$BQ$5:$BX$51, _xlpm.기본_색인번호, 0),
_xlpm.상태이상탄환생성위치보정치, IF($G18 = "debuff", VLOOKUP($R18, Factor!$K$18:$R$19, _xlpm.기본_색인번호, 0),1),
_xlpm.상태이상탄환형태보정치, IF($G18 = "debuff", VLOOKUP($S18, Factor!$K$24:$R$25, _xlpm.기본_색인번호, 0),1),
_xlpm.가격보정치, INDEX(Factor!$AE$5:$AL$51, _xlfn.XMATCH($F18,Factor!$AE$5:$AE$51, -1), _xlpm.기본_색인번호),
_xlpm.구경보정치, VLOOKUP($D18,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18" s="29" t="e" cm="1">
        <f t="array" ref="AC18">_xlfn.LET(_xlpm.기본_색인번호, 4,
_xlpm.추가_색인번호, 5,
_xlpm.개별보정치, V18,
_xlpm.패턴보정치, VLOOKUP($G18, Factor!$B$5:$I$51, _xlpm.기본_색인번호, 0),
_xlpm.소모탄환보정치, VLOOKUP($H18, Factor!$T$5:$AA$51, _xlpm.기본_색인번호, 0),
_xlpm.지형보정치, VLOOKUP($I18, Factor!$K$12:$R$13, _xlpm.기본_색인번호, 0),
_xlpm.공격속성보정치, VLOOKUP($J18, Factor!$K$5:$R$7, _xlpm.기본_색인번호, 0),
_xlpm.피해범위보정치, INDEX(Factor!$AN$5:$AV$51, _xlfn.XMATCH(IF(OR($G18="blast", $G18="curved",  $G18= "debuff"), $L18, 0), Factor!$AN$5:$AN$51, -1), _xlpm.추가_색인번호)-IF(AND(OR($G18="blast", $G18="curved", $G18= "debuff"), MOD($L18,1)&lt;&gt;0),INDEX(Factor!$AN$5:$AV$51, _xlfn.XMATCH(IF(OR($G18="blast", $G18="curved", $G18= "debuff"), $L18, 0), Factor!$AN$5:$AN$51, -1), 2)*MOD($L18,1)*10,0),
_xlpm.상태이상보정치, VLOOKUP(IF($G18 = "debuff", $M18, "null"), Factor!$AX$5:$BE$51, _xlpm.기본_색인번호, 0),
_xlpm.지속시간보정치, INDEX(Factor!$BG$5:$BO$51, _xlfn.XMATCH(IF(OR($G18 ="debuff", $G18 = "shot", $G18 = "pierce"), $O18, 0), Factor!$BG$5:$BG$51, -1), _xlpm.추가_색인번호)-IF(AND(OR($G18 ="debuff", $G18 = "shot", $G18 = "pierce"), MOD($O18, 1)&lt;&gt;0), 10*MOD($O18, 1)*INDEX(Factor!$BG$5:$BO$51, _xlfn.XMATCH(IF(OR($G18 ="debuff", $G18 = "shot", $G18 = "pierce"), $O18, 0), Factor!$BG$5:$BG$51, -1), 2), 0),
_xlpm.탄환개수보정치, VLOOKUP(IF(OR($G18 = "curved", $G18 = "shot"), $Q18, 1), Factor!$BQ$5:$BX$51, _xlpm.기본_색인번호, 0),
_xlpm.상태이상탄환생성위치보정치, IF($G18 = "debuff", VLOOKUP($R18, Factor!$K$18:$R$19, _xlpm.기본_색인번호, 0),1),
_xlpm.상태이상탄환형태보정치, IF($G18 = "debuff", VLOOKUP($S18, Factor!$K$24:$R$25, _xlpm.기본_색인번호, 0),1),
_xlpm.가격보정치, INDEX(Factor!$AE$5:$AL$51, _xlfn.XMATCH($F18,Factor!$AE$5:$AE$51, -1), _xlpm.기본_색인번호),
_xlpm.구경보정치, VLOOKUP($D18,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18" s="29" t="e" cm="1">
        <f t="array" ref="AD18">_xlfn.LET(_xlpm.기본_색인번호, 5,
_xlpm.추가_색인번호, 6,
_xlpm.개별보정치, W18,
_xlpm.패턴보정치, VLOOKUP($G18, Factor!$B$5:$I$51, _xlpm.기본_색인번호, 0),
_xlpm.소모탄환보정치, VLOOKUP($H18, Factor!$T$5:$AA$51, _xlpm.기본_색인번호, 0),
_xlpm.지형보정치, VLOOKUP($I18, Factor!$K$12:$R$13, _xlpm.기본_색인번호, 0),
_xlpm.공격속성보정치, VLOOKUP($J18, Factor!$K$5:$R$7, _xlpm.기본_색인번호, 0),
_xlpm.피해범위보정치, INDEX(Factor!$AN$5:$AV$51, _xlfn.XMATCH(IF(OR($G18="blast", $G18="curved",  $G18= "debuff"), $L18, 0), Factor!$AN$5:$AN$51, -1), _xlpm.추가_색인번호)-IF(AND(OR($G18="blast", $G18="curved", $G18= "debuff"), MOD($L18,1)&lt;&gt;0),INDEX(Factor!$AN$5:$AV$51, _xlfn.XMATCH(IF(OR($G18="blast", $G18="curved", $G18= "debuff"), $L18, 0), Factor!$AN$5:$AN$51, -1), 2)*MOD($L18,1)*10,0),
_xlpm.상태이상보정치, VLOOKUP(IF($G18 = "debuff", $M18, "null"), Factor!$AX$5:$BE$51, _xlpm.기본_색인번호, 0),
_xlpm.지속시간보정치, INDEX(Factor!$BG$5:$BO$51, _xlfn.XMATCH(IF(OR($G18 ="debuff", $G18 = "shot", $G18 = "pierce"), $O18, 0), Factor!$BG$5:$BG$51, -1), _xlpm.추가_색인번호)-IF(AND(OR($G18 ="debuff", $G18 = "shot", $G18 = "pierce"), MOD($O18, 1)&lt;&gt;0), 10*MOD($O18, 1)*INDEX(Factor!$BG$5:$BO$51, _xlfn.XMATCH(IF(OR($G18 ="debuff", $G18 = "shot", $G18 = "pierce"), $O18, 0), Factor!$BG$5:$BG$51, -1), 2), 0),
_xlpm.탄환개수보정치, VLOOKUP(IF(OR($G18 = "curved", $G18 = "shot"), $Q18, 1), Factor!$BQ$5:$BX$51, _xlpm.기본_색인번호, 0),
_xlpm.상태이상탄환생성위치보정치, IF($G18 = "debuff", VLOOKUP($R18, Factor!$K$18:$R$19, _xlpm.기본_색인번호, 0),1),
_xlpm.상태이상탄환형태보정치, IF($G18 = "debuff", VLOOKUP($S18, Factor!$K$24:$R$25, _xlpm.기본_색인번호, 0),1),
_xlpm.가격보정치, INDEX(Factor!$AE$5:$AL$51, _xlfn.XMATCH($F18,Factor!$AE$5:$AE$51, -1), _xlpm.기본_색인번호),
_xlpm.구경보정치, VLOOKUP($D18,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18" s="29" t="e" cm="1">
        <f t="array" ref="AE18">_xlfn.LET(_xlpm.기본_색인번호, 6,
_xlpm.추가_색인번호, 7,
_xlpm.개별보정치, X18,
_xlpm.패턴보정치, VLOOKUP($G18, Factor!$B$5:$I$51, _xlpm.기본_색인번호, 0),
_xlpm.소모탄환보정치, VLOOKUP($H18, Factor!$T$5:$AA$51, _xlpm.기본_색인번호, 0),
_xlpm.지형보정치, VLOOKUP($I18, Factor!$K$12:$R$13, _xlpm.기본_색인번호, 0),
_xlpm.공격속성보정치, VLOOKUP($J18, Factor!$K$5:$R$7, _xlpm.기본_색인번호, 0),
_xlpm.피해범위보정치, INDEX(Factor!$AN$5:$AV$51, _xlfn.XMATCH(IF(OR($G18="blast", $G18="curved",  $G18= "debuff"), $L18, 0), Factor!$AN$5:$AN$51, -1), _xlpm.추가_색인번호)-IF(AND(OR($G18="blast", $G18="curved", $G18= "debuff"), MOD($L18,1)&lt;&gt;0),INDEX(Factor!$AN$5:$AV$51, _xlfn.XMATCH(IF(OR($G18="blast", $G18="curved", $G18= "debuff"), $L18, 0), Factor!$AN$5:$AN$51, -1), 2)*MOD($L18,1)*10,0),
_xlpm.상태이상보정치, VLOOKUP(IF($G18 = "debuff", $M18, "null"), Factor!$AX$5:$BE$51, _xlpm.기본_색인번호, 0),
_xlpm.지속시간보정치, INDEX(Factor!$BG$5:$BO$51, _xlfn.XMATCH(IF(OR($G18 ="debuff", $G18 = "shot", $G18 = "pierce"), $O18, 0), Factor!$BG$5:$BG$51, -1), _xlpm.추가_색인번호)-IF(AND(OR($G18 ="debuff", $G18 = "shot", $G18 = "pierce"), MOD($O18, 1)&lt;&gt;0), 10*MOD($O18, 1)*INDEX(Factor!$BG$5:$BO$51, _xlfn.XMATCH(IF(OR($G18 ="debuff", $G18 = "shot", $G18 = "pierce"), $O18, 0), Factor!$BG$5:$BG$51, -1), 2), 0),
_xlpm.탄환개수보정치, VLOOKUP(IF(OR($G18 = "curved", $G18 = "shot"), $Q18, 1), Factor!$BQ$5:$BX$51, _xlpm.기본_색인번호, 0),
_xlpm.상태이상탄환생성위치보정치, IF($G18 = "debuff", VLOOKUP($R18, Factor!$K$18:$R$19, _xlpm.기본_색인번호, 0),1),
_xlpm.상태이상탄환형태보정치, IF($G18 = "debuff", VLOOKUP($S18, Factor!$K$24:$R$25, _xlpm.기본_색인번호, 0),1),
_xlpm.가격보정치, INDEX(Factor!$AE$5:$AL$51, _xlfn.XMATCH($F18,Factor!$AE$5:$AE$51, -1), _xlpm.기본_색인번호),
_xlpm.구경보정치, VLOOKUP($D18,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18" s="29" t="e" cm="1">
        <f t="array" ref="AF18">_xlfn.LET(_xlpm.기본_색인번호, 7,
_xlpm.추가_색인번호, 8,
_xlpm.개별보정치, Y18,
_xlpm.패턴보정치, VLOOKUP($G18, Factor!$B$5:$I$51, _xlpm.기본_색인번호, 0),
_xlpm.소모탄환보정치, VLOOKUP($H18, Factor!$T$5:$AA$51, _xlpm.기본_색인번호, 0),
_xlpm.지형보정치, VLOOKUP($I18, Factor!$K$12:$R$13, _xlpm.기본_색인번호, 0),
_xlpm.공격속성보정치, VLOOKUP($J18, Factor!$K$5:$R$7, _xlpm.기본_색인번호, 0),
_xlpm.피해범위보정치, INDEX(Factor!$AN$5:$AV$51, _xlfn.XMATCH(IF(OR($G18="blast", $G18="curved",  $G18= "debuff"), $L18, 0), Factor!$AN$5:$AN$51, -1), _xlpm.추가_색인번호)-IF(AND(OR($G18="blast", $G18="curved", $G18= "debuff"), MOD($L18,1)&lt;&gt;0),INDEX(Factor!$AN$5:$AV$51, _xlfn.XMATCH(IF(OR($G18="blast", $G18="curved", $G18= "debuff"), $L18, 0), Factor!$AN$5:$AN$51, -1), 2)*MOD($L18,1)*10,0),
_xlpm.상태이상보정치, VLOOKUP(IF($G18 = "debuff", $M18, "null"), Factor!$AX$5:$BE$51, _xlpm.기본_색인번호, 0),
_xlpm.지속시간보정치, INDEX(Factor!$BG$5:$BO$51, _xlfn.XMATCH(IF(OR($G18 ="debuff", $G18 = "shot", $G18 = "pierce"), $O18, 0), Factor!$BG$5:$BG$51, -1), _xlpm.추가_색인번호)-IF(AND(OR($G18 ="debuff", $G18 = "shot", $G18 = "pierce"), MOD($O18, 1)&lt;&gt;0), 10*MOD($O18, 1)*INDEX(Factor!$BG$5:$BO$51, _xlfn.XMATCH(IF(OR($G18 ="debuff", $G18 = "shot", $G18 = "pierce"), $O18, 0), Factor!$BG$5:$BG$51, -1), 2), 0),
_xlpm.탄환개수보정치, VLOOKUP(IF(OR($G18 = "curved", $G18 = "shot"), $Q18, 1), Factor!$BQ$5:$BX$51, _xlpm.기본_색인번호, 0),
_xlpm.상태이상탄환생성위치보정치, IF($G18 = "debuff", VLOOKUP($R18, Factor!$K$18:$R$19, _xlpm.기본_색인번호, 0),1),
_xlpm.상태이상탄환형태보정치, IF($G18 = "debuff", VLOOKUP($S18, Factor!$K$24:$R$25, _xlpm.기본_색인번호, 0),1),
_xlpm.가격보정치, INDEX(Factor!$AE$5:$AL$51, _xlfn.XMATCH($F18,Factor!$AE$5:$AE$51, -1), _xlpm.기본_색인번호),
_xlpm.구경보정치, VLOOKUP($D18,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18" s="30" t="e" cm="1">
        <f t="array" ref="AG18">_xlfn.LET(_xlpm.기본_색인번호, 8,
_xlpm.추가_색인번호, 9,
_xlpm.개별보정치, Z18,
_xlpm.패턴보정치, VLOOKUP($G18, Factor!$B$5:$I$51, _xlpm.기본_색인번호, 0),
_xlpm.소모탄환보정치, VLOOKUP($H18, Factor!$T$5:$AA$51, _xlpm.기본_색인번호, 0),
_xlpm.지형보정치, VLOOKUP($I18, Factor!$K$12:$R$13, _xlpm.기본_색인번호, 0),
_xlpm.공격속성보정치, VLOOKUP($J18, Factor!$K$5:$R$7, _xlpm.기본_색인번호, 0),
_xlpm.피해범위보정치, INDEX(Factor!$AN$5:$AV$51, _xlfn.XMATCH(IF(OR($G18="blast", $G18="curved",  $G18= "debuff"), $L18, 0), Factor!$AN$5:$AN$51, -1), _xlpm.추가_색인번호)-IF(AND(OR($G18="blast", $G18="curved", $G18= "debuff"), MOD($L18,1)&lt;&gt;0),INDEX(Factor!$AN$5:$AV$51, _xlfn.XMATCH(IF(OR($G18="blast", $G18="curved", $G18= "debuff"), $L18, 0), Factor!$AN$5:$AN$51, -1), 2)*MOD($L18,1)*10,0),
_xlpm.상태이상보정치, VLOOKUP(IF($G18 = "debuff", $M18, "null"), Factor!$AX$5:$BE$51, _xlpm.기본_색인번호, 0),
_xlpm.지속시간보정치, INDEX(Factor!$BG$5:$BO$51, _xlfn.XMATCH(IF(OR($G18 ="debuff", $G18 = "shot", $G18 = "pierce"), $O18, 0), Factor!$BG$5:$BG$51, -1), _xlpm.추가_색인번호)-IF(AND(OR($G18 ="debuff", $G18 = "shot", $G18 = "pierce"), MOD($O18, 1)&lt;&gt;0), 10*MOD($O18, 1)*INDEX(Factor!$BG$5:$BO$51, _xlfn.XMATCH(IF(OR($G18 ="debuff", $G18 = "shot", $G18 = "pierce"), $O18, 0), Factor!$BG$5:$BG$51, -1), 2), 0),
_xlpm.탄환개수보정치, VLOOKUP(IF(OR($G18 = "curved", $G18 = "shot"), $Q18, 1), Factor!$BQ$5:$BX$51, _xlpm.기본_색인번호, 0),
_xlpm.상태이상탄환생성위치보정치, IF($G18 = "debuff", VLOOKUP($R18, Factor!$K$18:$R$19, _xlpm.기본_색인번호, 0),1),
_xlpm.상태이상탄환형태보정치, IF($G18 = "debuff", VLOOKUP($S18, Factor!$K$24:$R$25, _xlpm.기본_색인번호, 0),1),
_xlpm.가격보정치, INDEX(Factor!$AE$5:$AL$51, _xlfn.XMATCH($F18,Factor!$AE$5:$AE$51, -1), _xlpm.기본_색인번호),
_xlpm.구경보정치, VLOOKUP($D18,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18"/>
      <c r="AI18"/>
      <c r="AJ18"/>
      <c r="AK18"/>
      <c r="AL18"/>
      <c r="AM18"/>
      <c r="AN18"/>
    </row>
    <row r="19" spans="1:40" ht="13.5">
      <c r="A19" s="24" t="e">
        <f>"weapon_"&amp;G19&amp;"_"&amp;VLOOKUP(H19, Factor!$T$5:$AB$7, 9, 0)&amp;"_"&amp;IF(COUNTIFS($G$4:G18, G19, $H$4:H18, H19)+1&gt;=100, COUNTIFS($G$4:G18, G19, $H$4:H18, H19)+1,IF(COUNTIFS($G$4:G18, G19, $H$4:H18, H19)+1&gt;=10, "0"&amp;COUNTIFS($G$4:G18, G19, $H$4:H18, H19)+1, "00"&amp;COUNTIFS($G$4:G18, G19, $H$4:H18, H19)+1))</f>
        <v>#N/A</v>
      </c>
      <c r="B19" s="36" t="str">
        <f t="shared" si="0"/>
        <v xml:space="preserve"> </v>
      </c>
      <c r="C19" s="36"/>
      <c r="D19" s="36"/>
      <c r="E19" s="36"/>
      <c r="F19" s="25" t="e">
        <f>VLOOKUP(C19, Factor!$AD$5:$AE$15, 2, 0)</f>
        <v>#N/A</v>
      </c>
      <c r="G19" s="26" t="e">
        <f>VLOOKUP(E19, Factor!$CL$5:$CV$50, 2, 0)</f>
        <v>#N/A</v>
      </c>
      <c r="H19" s="25" t="e">
        <f>VLOOKUP(E19, Factor!$CL$5:$CV$50, 3, 0)</f>
        <v>#N/A</v>
      </c>
      <c r="I19" s="25" t="e">
        <f>VLOOKUP(E19, Factor!$CL$5:$CV$50, 4, 0)</f>
        <v>#N/A</v>
      </c>
      <c r="J19" s="25" t="e">
        <f>VLOOKUP(E19, Factor!$CL$5:$CV$50, 5, 0)</f>
        <v>#N/A</v>
      </c>
      <c r="K19" s="25">
        <v>1</v>
      </c>
      <c r="L19" s="25" t="e">
        <f>VLOOKUP(E19, Factor!$CL$5:$CV$50, 6, 0)*K19*VLOOKUP(D19, Factor!$BZ$5:$CJ$49, 9, 0)</f>
        <v>#N/A</v>
      </c>
      <c r="M19" s="25" t="e">
        <f>VLOOKUP(E19, Factor!$CL$5:$CV$50, 7, 0)</f>
        <v>#N/A</v>
      </c>
      <c r="N19" s="25">
        <v>1</v>
      </c>
      <c r="O19" s="25" t="e">
        <f>VLOOKUP(E19, Factor!$CL$5:$CV$50, 8, 0)*N19*VLOOKUP(D19, Factor!$BZ$5:$CJ$49, 10, 0)</f>
        <v>#N/A</v>
      </c>
      <c r="P19" s="25">
        <v>1</v>
      </c>
      <c r="Q19" s="25" t="e">
        <f>VLOOKUP(E19, Factor!$CL$5:$CV$50, 9, 0)*P19*VLOOKUP(D19, Factor!$BZ$5:$CJ$49, 11, 0)</f>
        <v>#N/A</v>
      </c>
      <c r="R19" s="25" t="e">
        <f>VLOOKUP(E19, Factor!$CL$5:$CV$50, 10, 0)</f>
        <v>#N/A</v>
      </c>
      <c r="S19" s="25" t="e">
        <f>VLOOKUP(E19, Factor!$CL$5:$CV$50, 11, 0)</f>
        <v>#N/A</v>
      </c>
      <c r="T19" s="25">
        <v>1</v>
      </c>
      <c r="U19" s="25">
        <v>1</v>
      </c>
      <c r="V19" s="25">
        <v>1</v>
      </c>
      <c r="W19" s="25">
        <v>1</v>
      </c>
      <c r="X19" s="25">
        <v>1</v>
      </c>
      <c r="Y19" s="25">
        <v>1</v>
      </c>
      <c r="Z19" s="25">
        <v>1</v>
      </c>
      <c r="AA19" s="25" t="e" cm="1">
        <f t="array" ref="AA19">_xlfn.LET(_xlpm.기본_색인번호, 2,
_xlpm.추가_색인번호, 3,
_xlpm.개별보정치, T19,
_xlpm.패턴보정치, VLOOKUP($G19, Factor!$B$5:$I$51, _xlpm.기본_색인번호, 0),
_xlpm.소모탄환보정치, VLOOKUP($H19, Factor!$T$5:$AA$51, _xlpm.기본_색인번호, 0),
_xlpm.지형보정치, VLOOKUP($I19, Factor!$K$12:$R$13, _xlpm.기본_색인번호, 0),
_xlpm.공격속성보정치, VLOOKUP($J19, Factor!$K$5:$R$7, _xlpm.기본_색인번호, 0),
_xlpm.피해범위보정치, INDEX(Factor!$AN$5:$AV$51, _xlfn.XMATCH(IF(OR($G19="blast", $G19="curved",  $G19= "debuff"), $L19, 0), Factor!$AN$5:$AN$51, -1), _xlpm.추가_색인번호)-IF(AND(OR($G19="blast", $G19="curved", $G19= "debuff"), MOD($L19,1)&lt;&gt;0),INDEX(Factor!$AN$5:$AV$51, _xlfn.XMATCH(IF(OR($G19="blast", $G19="curved", $G19= "debuff"), $L19, 0), Factor!$AN$5:$AN$51, -1), 2)*MOD($L19,1)*10,0),
_xlpm.상태이상보정치, VLOOKUP(IF($G19 = "debuff", $M19, "null"), Factor!$AX$5:$BE$51, _xlpm.기본_색인번호, 0),
_xlpm.지속시간보정치, INDEX(Factor!$BG$5:$BO$51, _xlfn.XMATCH(IF(OR($G19 ="debuff", $G19 = "shot", $G19 = "pierce"), $O19, 0), Factor!$BG$5:$BG$51, -1), _xlpm.추가_색인번호)-IF(AND(OR($G19 ="debuff", $G19 = "shot", $G19 = "pierce"), MOD($O19, 1)&lt;&gt;0), 10*MOD($O19, 1)*INDEX(Factor!$BG$5:$BO$51, _xlfn.XMATCH(IF(OR($G19 ="debuff", $G19 = "shot", $G19 = "pierce"), $O19, 0), Factor!$BG$5:$BG$51, -1), 2), 0),
_xlpm.탄환개수보정치, VLOOKUP(IF(OR($G19 = "curved", $G19 = "shot"), $Q19, 1), Factor!$BQ$5:$BX$51, _xlpm.기본_색인번호, 0),
_xlpm.상태이상탄환생성위치보정치, IF($G19 = "debuff", VLOOKUP($R19, Factor!$K$18:$R$19, _xlpm.기본_색인번호, 0),1),
_xlpm.상태이상탄환형태보정치, IF($G19 = "debuff", VLOOKUP($S19, Factor!$K$24:$R$25, _xlpm.기본_색인번호, 0),1),
_xlpm.가격보정치, INDEX(Factor!$AE$5:$AL$51, _xlfn.XMATCH($F19,Factor!$AE$5:$AE$51, -1), _xlpm.기본_색인번호),
_xlpm.구경보정치, VLOOKUP($D19,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19" s="25" t="e" cm="1">
        <f t="array" ref="AB19">_xlfn.LET(_xlpm.기본_색인번호, 3,
_xlpm.추가_색인번호, 4,
_xlpm.개별보정치, U19,
_xlpm.패턴보정치, VLOOKUP($G19, Factor!$B$5:$I$51, _xlpm.기본_색인번호, 0),
_xlpm.소모탄환보정치, VLOOKUP($H19, Factor!$T$5:$AA$51, _xlpm.기본_색인번호, 0),
_xlpm.지형보정치, VLOOKUP($I19, Factor!$K$12:$R$13, _xlpm.기본_색인번호, 0),
_xlpm.공격속성보정치, VLOOKUP($J19, Factor!$K$5:$R$7, _xlpm.기본_색인번호, 0),
_xlpm.피해범위보정치, INDEX(Factor!$AN$5:$AV$51, _xlfn.XMATCH(IF(OR($G19="blast", $G19="curved",  $G19= "debuff"), $L19, 0), Factor!$AN$5:$AN$51, -1), _xlpm.추가_색인번호)-IF(AND(OR($G19="blast", $G19="curved", $G19= "debuff"), MOD($L19,1)&lt;&gt;0),INDEX(Factor!$AN$5:$AV$51, _xlfn.XMATCH(IF(OR($G19="blast", $G19="curved", $G19= "debuff"), $L19, 0), Factor!$AN$5:$AN$51, -1), 2)*MOD($L19,1)*10,0),
_xlpm.상태이상보정치, VLOOKUP(IF($G19 = "debuff", $M19, "null"), Factor!$AX$5:$BE$51, _xlpm.기본_색인번호, 0),
_xlpm.지속시간보정치, INDEX(Factor!$BG$5:$BO$51, _xlfn.XMATCH(IF(OR($G19 ="debuff", $G19 = "shot", $G19 = "pierce"), $O19, 0), Factor!$BG$5:$BG$51, -1), _xlpm.추가_색인번호)-IF(AND(OR($G19 ="debuff", $G19 = "shot", $G19 = "pierce"), MOD($O19, 1)&lt;&gt;0), 10*MOD($O19, 1)*INDEX(Factor!$BG$5:$BO$51, _xlfn.XMATCH(IF(OR($G19 ="debuff", $G19 = "shot", $G19 = "pierce"), $O19, 0), Factor!$BG$5:$BG$51, -1), 2), 0),
_xlpm.탄환개수보정치, VLOOKUP(IF(OR($G19 = "curved", $G19 = "shot"), $Q19, 1), Factor!$BQ$5:$BX$51, _xlpm.기본_색인번호, 0),
_xlpm.상태이상탄환생성위치보정치, IF($G19 = "debuff", VLOOKUP($R19, Factor!$K$18:$R$19, _xlpm.기본_색인번호, 0),1),
_xlpm.상태이상탄환형태보정치, IF($G19 = "debuff", VLOOKUP($S19, Factor!$K$24:$R$25, _xlpm.기본_색인번호, 0),1),
_xlpm.가격보정치, INDEX(Factor!$AE$5:$AL$51, _xlfn.XMATCH($F19,Factor!$AE$5:$AE$51, -1), _xlpm.기본_색인번호),
_xlpm.구경보정치, VLOOKUP($D19,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19" s="25" t="e" cm="1">
        <f t="array" ref="AC19">_xlfn.LET(_xlpm.기본_색인번호, 4,
_xlpm.추가_색인번호, 5,
_xlpm.개별보정치, V19,
_xlpm.패턴보정치, VLOOKUP($G19, Factor!$B$5:$I$51, _xlpm.기본_색인번호, 0),
_xlpm.소모탄환보정치, VLOOKUP($H19, Factor!$T$5:$AA$51, _xlpm.기본_색인번호, 0),
_xlpm.지형보정치, VLOOKUP($I19, Factor!$K$12:$R$13, _xlpm.기본_색인번호, 0),
_xlpm.공격속성보정치, VLOOKUP($J19, Factor!$K$5:$R$7, _xlpm.기본_색인번호, 0),
_xlpm.피해범위보정치, INDEX(Factor!$AN$5:$AV$51, _xlfn.XMATCH(IF(OR($G19="blast", $G19="curved",  $G19= "debuff"), $L19, 0), Factor!$AN$5:$AN$51, -1), _xlpm.추가_색인번호)-IF(AND(OR($G19="blast", $G19="curved", $G19= "debuff"), MOD($L19,1)&lt;&gt;0),INDEX(Factor!$AN$5:$AV$51, _xlfn.XMATCH(IF(OR($G19="blast", $G19="curved", $G19= "debuff"), $L19, 0), Factor!$AN$5:$AN$51, -1), 2)*MOD($L19,1)*10,0),
_xlpm.상태이상보정치, VLOOKUP(IF($G19 = "debuff", $M19, "null"), Factor!$AX$5:$BE$51, _xlpm.기본_색인번호, 0),
_xlpm.지속시간보정치, INDEX(Factor!$BG$5:$BO$51, _xlfn.XMATCH(IF(OR($G19 ="debuff", $G19 = "shot", $G19 = "pierce"), $O19, 0), Factor!$BG$5:$BG$51, -1), _xlpm.추가_색인번호)-IF(AND(OR($G19 ="debuff", $G19 = "shot", $G19 = "pierce"), MOD($O19, 1)&lt;&gt;0), 10*MOD($O19, 1)*INDEX(Factor!$BG$5:$BO$51, _xlfn.XMATCH(IF(OR($G19 ="debuff", $G19 = "shot", $G19 = "pierce"), $O19, 0), Factor!$BG$5:$BG$51, -1), 2), 0),
_xlpm.탄환개수보정치, VLOOKUP(IF(OR($G19 = "curved", $G19 = "shot"), $Q19, 1), Factor!$BQ$5:$BX$51, _xlpm.기본_색인번호, 0),
_xlpm.상태이상탄환생성위치보정치, IF($G19 = "debuff", VLOOKUP($R19, Factor!$K$18:$R$19, _xlpm.기본_색인번호, 0),1),
_xlpm.상태이상탄환형태보정치, IF($G19 = "debuff", VLOOKUP($S19, Factor!$K$24:$R$25, _xlpm.기본_색인번호, 0),1),
_xlpm.가격보정치, INDEX(Factor!$AE$5:$AL$51, _xlfn.XMATCH($F19,Factor!$AE$5:$AE$51, -1), _xlpm.기본_색인번호),
_xlpm.구경보정치, VLOOKUP($D19,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19" s="25" t="e" cm="1">
        <f t="array" ref="AD19">_xlfn.LET(_xlpm.기본_색인번호, 5,
_xlpm.추가_색인번호, 6,
_xlpm.개별보정치, W19,
_xlpm.패턴보정치, VLOOKUP($G19, Factor!$B$5:$I$51, _xlpm.기본_색인번호, 0),
_xlpm.소모탄환보정치, VLOOKUP($H19, Factor!$T$5:$AA$51, _xlpm.기본_색인번호, 0),
_xlpm.지형보정치, VLOOKUP($I19, Factor!$K$12:$R$13, _xlpm.기본_색인번호, 0),
_xlpm.공격속성보정치, VLOOKUP($J19, Factor!$K$5:$R$7, _xlpm.기본_색인번호, 0),
_xlpm.피해범위보정치, INDEX(Factor!$AN$5:$AV$51, _xlfn.XMATCH(IF(OR($G19="blast", $G19="curved",  $G19= "debuff"), $L19, 0), Factor!$AN$5:$AN$51, -1), _xlpm.추가_색인번호)-IF(AND(OR($G19="blast", $G19="curved", $G19= "debuff"), MOD($L19,1)&lt;&gt;0),INDEX(Factor!$AN$5:$AV$51, _xlfn.XMATCH(IF(OR($G19="blast", $G19="curved", $G19= "debuff"), $L19, 0), Factor!$AN$5:$AN$51, -1), 2)*MOD($L19,1)*10,0),
_xlpm.상태이상보정치, VLOOKUP(IF($G19 = "debuff", $M19, "null"), Factor!$AX$5:$BE$51, _xlpm.기본_색인번호, 0),
_xlpm.지속시간보정치, INDEX(Factor!$BG$5:$BO$51, _xlfn.XMATCH(IF(OR($G19 ="debuff", $G19 = "shot", $G19 = "pierce"), $O19, 0), Factor!$BG$5:$BG$51, -1), _xlpm.추가_색인번호)-IF(AND(OR($G19 ="debuff", $G19 = "shot", $G19 = "pierce"), MOD($O19, 1)&lt;&gt;0), 10*MOD($O19, 1)*INDEX(Factor!$BG$5:$BO$51, _xlfn.XMATCH(IF(OR($G19 ="debuff", $G19 = "shot", $G19 = "pierce"), $O19, 0), Factor!$BG$5:$BG$51, -1), 2), 0),
_xlpm.탄환개수보정치, VLOOKUP(IF(OR($G19 = "curved", $G19 = "shot"), $Q19, 1), Factor!$BQ$5:$BX$51, _xlpm.기본_색인번호, 0),
_xlpm.상태이상탄환생성위치보정치, IF($G19 = "debuff", VLOOKUP($R19, Factor!$K$18:$R$19, _xlpm.기본_색인번호, 0),1),
_xlpm.상태이상탄환형태보정치, IF($G19 = "debuff", VLOOKUP($S19, Factor!$K$24:$R$25, _xlpm.기본_색인번호, 0),1),
_xlpm.가격보정치, INDEX(Factor!$AE$5:$AL$51, _xlfn.XMATCH($F19,Factor!$AE$5:$AE$51, -1), _xlpm.기본_색인번호),
_xlpm.구경보정치, VLOOKUP($D19,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19" s="25" t="e" cm="1">
        <f t="array" ref="AE19">_xlfn.LET(_xlpm.기본_색인번호, 6,
_xlpm.추가_색인번호, 7,
_xlpm.개별보정치, X19,
_xlpm.패턴보정치, VLOOKUP($G19, Factor!$B$5:$I$51, _xlpm.기본_색인번호, 0),
_xlpm.소모탄환보정치, VLOOKUP($H19, Factor!$T$5:$AA$51, _xlpm.기본_색인번호, 0),
_xlpm.지형보정치, VLOOKUP($I19, Factor!$K$12:$R$13, _xlpm.기본_색인번호, 0),
_xlpm.공격속성보정치, VLOOKUP($J19, Factor!$K$5:$R$7, _xlpm.기본_색인번호, 0),
_xlpm.피해범위보정치, INDEX(Factor!$AN$5:$AV$51, _xlfn.XMATCH(IF(OR($G19="blast", $G19="curved",  $G19= "debuff"), $L19, 0), Factor!$AN$5:$AN$51, -1), _xlpm.추가_색인번호)-IF(AND(OR($G19="blast", $G19="curved", $G19= "debuff"), MOD($L19,1)&lt;&gt;0),INDEX(Factor!$AN$5:$AV$51, _xlfn.XMATCH(IF(OR($G19="blast", $G19="curved", $G19= "debuff"), $L19, 0), Factor!$AN$5:$AN$51, -1), 2)*MOD($L19,1)*10,0),
_xlpm.상태이상보정치, VLOOKUP(IF($G19 = "debuff", $M19, "null"), Factor!$AX$5:$BE$51, _xlpm.기본_색인번호, 0),
_xlpm.지속시간보정치, INDEX(Factor!$BG$5:$BO$51, _xlfn.XMATCH(IF(OR($G19 ="debuff", $G19 = "shot", $G19 = "pierce"), $O19, 0), Factor!$BG$5:$BG$51, -1), _xlpm.추가_색인번호)-IF(AND(OR($G19 ="debuff", $G19 = "shot", $G19 = "pierce"), MOD($O19, 1)&lt;&gt;0), 10*MOD($O19, 1)*INDEX(Factor!$BG$5:$BO$51, _xlfn.XMATCH(IF(OR($G19 ="debuff", $G19 = "shot", $G19 = "pierce"), $O19, 0), Factor!$BG$5:$BG$51, -1), 2), 0),
_xlpm.탄환개수보정치, VLOOKUP(IF(OR($G19 = "curved", $G19 = "shot"), $Q19, 1), Factor!$BQ$5:$BX$51, _xlpm.기본_색인번호, 0),
_xlpm.상태이상탄환생성위치보정치, IF($G19 = "debuff", VLOOKUP($R19, Factor!$K$18:$R$19, _xlpm.기본_색인번호, 0),1),
_xlpm.상태이상탄환형태보정치, IF($G19 = "debuff", VLOOKUP($S19, Factor!$K$24:$R$25, _xlpm.기본_색인번호, 0),1),
_xlpm.가격보정치, INDEX(Factor!$AE$5:$AL$51, _xlfn.XMATCH($F19,Factor!$AE$5:$AE$51, -1), _xlpm.기본_색인번호),
_xlpm.구경보정치, VLOOKUP($D19,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19" s="25" t="e" cm="1">
        <f t="array" ref="AF19">_xlfn.LET(_xlpm.기본_색인번호, 7,
_xlpm.추가_색인번호, 8,
_xlpm.개별보정치, Y19,
_xlpm.패턴보정치, VLOOKUP($G19, Factor!$B$5:$I$51, _xlpm.기본_색인번호, 0),
_xlpm.소모탄환보정치, VLOOKUP($H19, Factor!$T$5:$AA$51, _xlpm.기본_색인번호, 0),
_xlpm.지형보정치, VLOOKUP($I19, Factor!$K$12:$R$13, _xlpm.기본_색인번호, 0),
_xlpm.공격속성보정치, VLOOKUP($J19, Factor!$K$5:$R$7, _xlpm.기본_색인번호, 0),
_xlpm.피해범위보정치, INDEX(Factor!$AN$5:$AV$51, _xlfn.XMATCH(IF(OR($G19="blast", $G19="curved",  $G19= "debuff"), $L19, 0), Factor!$AN$5:$AN$51, -1), _xlpm.추가_색인번호)-IF(AND(OR($G19="blast", $G19="curved", $G19= "debuff"), MOD($L19,1)&lt;&gt;0),INDEX(Factor!$AN$5:$AV$51, _xlfn.XMATCH(IF(OR($G19="blast", $G19="curved", $G19= "debuff"), $L19, 0), Factor!$AN$5:$AN$51, -1), 2)*MOD($L19,1)*10,0),
_xlpm.상태이상보정치, VLOOKUP(IF($G19 = "debuff", $M19, "null"), Factor!$AX$5:$BE$51, _xlpm.기본_색인번호, 0),
_xlpm.지속시간보정치, INDEX(Factor!$BG$5:$BO$51, _xlfn.XMATCH(IF(OR($G19 ="debuff", $G19 = "shot", $G19 = "pierce"), $O19, 0), Factor!$BG$5:$BG$51, -1), _xlpm.추가_색인번호)-IF(AND(OR($G19 ="debuff", $G19 = "shot", $G19 = "pierce"), MOD($O19, 1)&lt;&gt;0), 10*MOD($O19, 1)*INDEX(Factor!$BG$5:$BO$51, _xlfn.XMATCH(IF(OR($G19 ="debuff", $G19 = "shot", $G19 = "pierce"), $O19, 0), Factor!$BG$5:$BG$51, -1), 2), 0),
_xlpm.탄환개수보정치, VLOOKUP(IF(OR($G19 = "curved", $G19 = "shot"), $Q19, 1), Factor!$BQ$5:$BX$51, _xlpm.기본_색인번호, 0),
_xlpm.상태이상탄환생성위치보정치, IF($G19 = "debuff", VLOOKUP($R19, Factor!$K$18:$R$19, _xlpm.기본_색인번호, 0),1),
_xlpm.상태이상탄환형태보정치, IF($G19 = "debuff", VLOOKUP($S19, Factor!$K$24:$R$25, _xlpm.기본_색인번호, 0),1),
_xlpm.가격보정치, INDEX(Factor!$AE$5:$AL$51, _xlfn.XMATCH($F19,Factor!$AE$5:$AE$51, -1), _xlpm.기본_색인번호),
_xlpm.구경보정치, VLOOKUP($D19,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19" s="27" t="e" cm="1">
        <f t="array" ref="AG19">_xlfn.LET(_xlpm.기본_색인번호, 8,
_xlpm.추가_색인번호, 9,
_xlpm.개별보정치, Z19,
_xlpm.패턴보정치, VLOOKUP($G19, Factor!$B$5:$I$51, _xlpm.기본_색인번호, 0),
_xlpm.소모탄환보정치, VLOOKUP($H19, Factor!$T$5:$AA$51, _xlpm.기본_색인번호, 0),
_xlpm.지형보정치, VLOOKUP($I19, Factor!$K$12:$R$13, _xlpm.기본_색인번호, 0),
_xlpm.공격속성보정치, VLOOKUP($J19, Factor!$K$5:$R$7, _xlpm.기본_색인번호, 0),
_xlpm.피해범위보정치, INDEX(Factor!$AN$5:$AV$51, _xlfn.XMATCH(IF(OR($G19="blast", $G19="curved",  $G19= "debuff"), $L19, 0), Factor!$AN$5:$AN$51, -1), _xlpm.추가_색인번호)-IF(AND(OR($G19="blast", $G19="curved", $G19= "debuff"), MOD($L19,1)&lt;&gt;0),INDEX(Factor!$AN$5:$AV$51, _xlfn.XMATCH(IF(OR($G19="blast", $G19="curved", $G19= "debuff"), $L19, 0), Factor!$AN$5:$AN$51, -1), 2)*MOD($L19,1)*10,0),
_xlpm.상태이상보정치, VLOOKUP(IF($G19 = "debuff", $M19, "null"), Factor!$AX$5:$BE$51, _xlpm.기본_색인번호, 0),
_xlpm.지속시간보정치, INDEX(Factor!$BG$5:$BO$51, _xlfn.XMATCH(IF(OR($G19 ="debuff", $G19 = "shot", $G19 = "pierce"), $O19, 0), Factor!$BG$5:$BG$51, -1), _xlpm.추가_색인번호)-IF(AND(OR($G19 ="debuff", $G19 = "shot", $G19 = "pierce"), MOD($O19, 1)&lt;&gt;0), 10*MOD($O19, 1)*INDEX(Factor!$BG$5:$BO$51, _xlfn.XMATCH(IF(OR($G19 ="debuff", $G19 = "shot", $G19 = "pierce"), $O19, 0), Factor!$BG$5:$BG$51, -1), 2), 0),
_xlpm.탄환개수보정치, VLOOKUP(IF(OR($G19 = "curved", $G19 = "shot"), $Q19, 1), Factor!$BQ$5:$BX$51, _xlpm.기본_색인번호, 0),
_xlpm.상태이상탄환생성위치보정치, IF($G19 = "debuff", VLOOKUP($R19, Factor!$K$18:$R$19, _xlpm.기본_색인번호, 0),1),
_xlpm.상태이상탄환형태보정치, IF($G19 = "debuff", VLOOKUP($S19, Factor!$K$24:$R$25, _xlpm.기본_색인번호, 0),1),
_xlpm.가격보정치, INDEX(Factor!$AE$5:$AL$51, _xlfn.XMATCH($F19,Factor!$AE$5:$AE$51, -1), _xlpm.기본_색인번호),
_xlpm.구경보정치, VLOOKUP($D19,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19"/>
      <c r="AI19"/>
      <c r="AJ19"/>
      <c r="AK19"/>
      <c r="AL19"/>
      <c r="AM19"/>
      <c r="AN19"/>
    </row>
    <row r="20" spans="1:40" ht="13.5">
      <c r="A20" s="28" t="e">
        <f>"weapon_"&amp;G20&amp;"_"&amp;VLOOKUP(H20, Factor!$T$5:$AB$7, 9, 0)&amp;"_"&amp;IF(COUNTIFS($G$4:G19, G20, $H$4:H19, H20)+1&gt;=100, COUNTIFS($G$4:G19, G20, $H$4:H19, H20)+1,IF(COUNTIFS($G$4:G19, G20, $H$4:H19, H20)+1&gt;=10, "0"&amp;COUNTIFS($G$4:G19, G20, $H$4:H19, H20)+1, "00"&amp;COUNTIFS($G$4:G19, G20, $H$4:H19, H20)+1))</f>
        <v>#N/A</v>
      </c>
      <c r="B20" s="37" t="str">
        <f t="shared" si="0"/>
        <v xml:space="preserve"> </v>
      </c>
      <c r="C20" s="37"/>
      <c r="D20" s="37"/>
      <c r="E20" s="37"/>
      <c r="F20" s="29" t="e">
        <f>VLOOKUP(C20, Factor!$AD$5:$AE$15, 2, 0)</f>
        <v>#N/A</v>
      </c>
      <c r="G20" s="29" t="e">
        <f>VLOOKUP(E20, Factor!$CL$5:$CV$50, 2, 0)</f>
        <v>#N/A</v>
      </c>
      <c r="H20" s="29" t="e">
        <f>VLOOKUP(E20, Factor!$CL$5:$CV$50, 3, 0)</f>
        <v>#N/A</v>
      </c>
      <c r="I20" s="29" t="e">
        <f>VLOOKUP(E20, Factor!$CL$5:$CV$50, 4, 0)</f>
        <v>#N/A</v>
      </c>
      <c r="J20" s="29" t="e">
        <f>VLOOKUP(E20, Factor!$CL$5:$CV$50, 5, 0)</f>
        <v>#N/A</v>
      </c>
      <c r="K20" s="29">
        <v>1</v>
      </c>
      <c r="L20" s="29" t="e">
        <f>VLOOKUP(E20, Factor!$CL$5:$CV$50, 6, 0)*K20*VLOOKUP(D20, Factor!$BZ$5:$CJ$49, 9, 0)</f>
        <v>#N/A</v>
      </c>
      <c r="M20" s="29" t="e">
        <f>VLOOKUP(E20, Factor!$CL$5:$CV$50, 7, 0)</f>
        <v>#N/A</v>
      </c>
      <c r="N20" s="29">
        <v>1</v>
      </c>
      <c r="O20" s="29" t="e">
        <f>VLOOKUP(E20, Factor!$CL$5:$CV$50, 8, 0)*N20*VLOOKUP(D20, Factor!$BZ$5:$CJ$49, 10, 0)</f>
        <v>#N/A</v>
      </c>
      <c r="P20" s="29">
        <v>1</v>
      </c>
      <c r="Q20" s="29" t="e">
        <f>VLOOKUP(E20, Factor!$CL$5:$CV$50, 9, 0)*P20*VLOOKUP(D20, Factor!$BZ$5:$CJ$49, 11, 0)</f>
        <v>#N/A</v>
      </c>
      <c r="R20" s="29" t="e">
        <f>VLOOKUP(E20, Factor!$CL$5:$CV$50, 10, 0)</f>
        <v>#N/A</v>
      </c>
      <c r="S20" s="29" t="e">
        <f>VLOOKUP(E20, Factor!$CL$5:$CV$50, 11, 0)</f>
        <v>#N/A</v>
      </c>
      <c r="T20" s="29">
        <v>1</v>
      </c>
      <c r="U20" s="29">
        <v>1</v>
      </c>
      <c r="V20" s="29">
        <v>1</v>
      </c>
      <c r="W20" s="29">
        <v>1</v>
      </c>
      <c r="X20" s="29">
        <v>1</v>
      </c>
      <c r="Y20" s="29">
        <v>1</v>
      </c>
      <c r="Z20" s="29">
        <v>1</v>
      </c>
      <c r="AA20" s="29" t="e" cm="1">
        <f t="array" ref="AA20">_xlfn.LET(_xlpm.기본_색인번호, 2,
_xlpm.추가_색인번호, 3,
_xlpm.개별보정치, T20,
_xlpm.패턴보정치, VLOOKUP($G20, Factor!$B$5:$I$51, _xlpm.기본_색인번호, 0),
_xlpm.소모탄환보정치, VLOOKUP($H20, Factor!$T$5:$AA$51, _xlpm.기본_색인번호, 0),
_xlpm.지형보정치, VLOOKUP($I20, Factor!$K$12:$R$13, _xlpm.기본_색인번호, 0),
_xlpm.공격속성보정치, VLOOKUP($J20, Factor!$K$5:$R$7, _xlpm.기본_색인번호, 0),
_xlpm.피해범위보정치, INDEX(Factor!$AN$5:$AV$51, _xlfn.XMATCH(IF(OR($G20="blast", $G20="curved",  $G20= "debuff"), $L20, 0), Factor!$AN$5:$AN$51, -1), _xlpm.추가_색인번호)-IF(AND(OR($G20="blast", $G20="curved", $G20= "debuff"), MOD($L20,1)&lt;&gt;0),INDEX(Factor!$AN$5:$AV$51, _xlfn.XMATCH(IF(OR($G20="blast", $G20="curved", $G20= "debuff"), $L20, 0), Factor!$AN$5:$AN$51, -1), 2)*MOD($L20,1)*10,0),
_xlpm.상태이상보정치, VLOOKUP(IF($G20 = "debuff", $M20, "null"), Factor!$AX$5:$BE$51, _xlpm.기본_색인번호, 0),
_xlpm.지속시간보정치, INDEX(Factor!$BG$5:$BO$51, _xlfn.XMATCH(IF(OR($G20 ="debuff", $G20 = "shot", $G20 = "pierce"), $O20, 0), Factor!$BG$5:$BG$51, -1), _xlpm.추가_색인번호)-IF(AND(OR($G20 ="debuff", $G20 = "shot", $G20 = "pierce"), MOD($O20, 1)&lt;&gt;0), 10*MOD($O20, 1)*INDEX(Factor!$BG$5:$BO$51, _xlfn.XMATCH(IF(OR($G20 ="debuff", $G20 = "shot", $G20 = "pierce"), $O20, 0), Factor!$BG$5:$BG$51, -1), 2), 0),
_xlpm.탄환개수보정치, VLOOKUP(IF(OR($G20 = "curved", $G20 = "shot"), $Q20, 1), Factor!$BQ$5:$BX$51, _xlpm.기본_색인번호, 0),
_xlpm.상태이상탄환생성위치보정치, IF($G20 = "debuff", VLOOKUP($R20, Factor!$K$18:$R$19, _xlpm.기본_색인번호, 0),1),
_xlpm.상태이상탄환형태보정치, IF($G20 = "debuff", VLOOKUP($S20, Factor!$K$24:$R$25, _xlpm.기본_색인번호, 0),1),
_xlpm.가격보정치, INDEX(Factor!$AE$5:$AL$51, _xlfn.XMATCH($F20,Factor!$AE$5:$AE$51, -1), _xlpm.기본_색인번호),
_xlpm.구경보정치, VLOOKUP($D20,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20" s="29" t="e" cm="1">
        <f t="array" ref="AB20">_xlfn.LET(_xlpm.기본_색인번호, 3,
_xlpm.추가_색인번호, 4,
_xlpm.개별보정치, U20,
_xlpm.패턴보정치, VLOOKUP($G20, Factor!$B$5:$I$51, _xlpm.기본_색인번호, 0),
_xlpm.소모탄환보정치, VLOOKUP($H20, Factor!$T$5:$AA$51, _xlpm.기본_색인번호, 0),
_xlpm.지형보정치, VLOOKUP($I20, Factor!$K$12:$R$13, _xlpm.기본_색인번호, 0),
_xlpm.공격속성보정치, VLOOKUP($J20, Factor!$K$5:$R$7, _xlpm.기본_색인번호, 0),
_xlpm.피해범위보정치, INDEX(Factor!$AN$5:$AV$51, _xlfn.XMATCH(IF(OR($G20="blast", $G20="curved",  $G20= "debuff"), $L20, 0), Factor!$AN$5:$AN$51, -1), _xlpm.추가_색인번호)-IF(AND(OR($G20="blast", $G20="curved", $G20= "debuff"), MOD($L20,1)&lt;&gt;0),INDEX(Factor!$AN$5:$AV$51, _xlfn.XMATCH(IF(OR($G20="blast", $G20="curved", $G20= "debuff"), $L20, 0), Factor!$AN$5:$AN$51, -1), 2)*MOD($L20,1)*10,0),
_xlpm.상태이상보정치, VLOOKUP(IF($G20 = "debuff", $M20, "null"), Factor!$AX$5:$BE$51, _xlpm.기본_색인번호, 0),
_xlpm.지속시간보정치, INDEX(Factor!$BG$5:$BO$51, _xlfn.XMATCH(IF(OR($G20 ="debuff", $G20 = "shot", $G20 = "pierce"), $O20, 0), Factor!$BG$5:$BG$51, -1), _xlpm.추가_색인번호)-IF(AND(OR($G20 ="debuff", $G20 = "shot", $G20 = "pierce"), MOD($O20, 1)&lt;&gt;0), 10*MOD($O20, 1)*INDEX(Factor!$BG$5:$BO$51, _xlfn.XMATCH(IF(OR($G20 ="debuff", $G20 = "shot", $G20 = "pierce"), $O20, 0), Factor!$BG$5:$BG$51, -1), 2), 0),
_xlpm.탄환개수보정치, VLOOKUP(IF(OR($G20 = "curved", $G20 = "shot"), $Q20, 1), Factor!$BQ$5:$BX$51, _xlpm.기본_색인번호, 0),
_xlpm.상태이상탄환생성위치보정치, IF($G20 = "debuff", VLOOKUP($R20, Factor!$K$18:$R$19, _xlpm.기본_색인번호, 0),1),
_xlpm.상태이상탄환형태보정치, IF($G20 = "debuff", VLOOKUP($S20, Factor!$K$24:$R$25, _xlpm.기본_색인번호, 0),1),
_xlpm.가격보정치, INDEX(Factor!$AE$5:$AL$51, _xlfn.XMATCH($F20,Factor!$AE$5:$AE$51, -1), _xlpm.기본_색인번호),
_xlpm.구경보정치, VLOOKUP($D20,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20" s="29" t="e" cm="1">
        <f t="array" ref="AC20">_xlfn.LET(_xlpm.기본_색인번호, 4,
_xlpm.추가_색인번호, 5,
_xlpm.개별보정치, V20,
_xlpm.패턴보정치, VLOOKUP($G20, Factor!$B$5:$I$51, _xlpm.기본_색인번호, 0),
_xlpm.소모탄환보정치, VLOOKUP($H20, Factor!$T$5:$AA$51, _xlpm.기본_색인번호, 0),
_xlpm.지형보정치, VLOOKUP($I20, Factor!$K$12:$R$13, _xlpm.기본_색인번호, 0),
_xlpm.공격속성보정치, VLOOKUP($J20, Factor!$K$5:$R$7, _xlpm.기본_색인번호, 0),
_xlpm.피해범위보정치, INDEX(Factor!$AN$5:$AV$51, _xlfn.XMATCH(IF(OR($G20="blast", $G20="curved",  $G20= "debuff"), $L20, 0), Factor!$AN$5:$AN$51, -1), _xlpm.추가_색인번호)-IF(AND(OR($G20="blast", $G20="curved", $G20= "debuff"), MOD($L20,1)&lt;&gt;0),INDEX(Factor!$AN$5:$AV$51, _xlfn.XMATCH(IF(OR($G20="blast", $G20="curved", $G20= "debuff"), $L20, 0), Factor!$AN$5:$AN$51, -1), 2)*MOD($L20,1)*10,0),
_xlpm.상태이상보정치, VLOOKUP(IF($G20 = "debuff", $M20, "null"), Factor!$AX$5:$BE$51, _xlpm.기본_색인번호, 0),
_xlpm.지속시간보정치, INDEX(Factor!$BG$5:$BO$51, _xlfn.XMATCH(IF(OR($G20 ="debuff", $G20 = "shot", $G20 = "pierce"), $O20, 0), Factor!$BG$5:$BG$51, -1), _xlpm.추가_색인번호)-IF(AND(OR($G20 ="debuff", $G20 = "shot", $G20 = "pierce"), MOD($O20, 1)&lt;&gt;0), 10*MOD($O20, 1)*INDEX(Factor!$BG$5:$BO$51, _xlfn.XMATCH(IF(OR($G20 ="debuff", $G20 = "shot", $G20 = "pierce"), $O20, 0), Factor!$BG$5:$BG$51, -1), 2), 0),
_xlpm.탄환개수보정치, VLOOKUP(IF(OR($G20 = "curved", $G20 = "shot"), $Q20, 1), Factor!$BQ$5:$BX$51, _xlpm.기본_색인번호, 0),
_xlpm.상태이상탄환생성위치보정치, IF($G20 = "debuff", VLOOKUP($R20, Factor!$K$18:$R$19, _xlpm.기본_색인번호, 0),1),
_xlpm.상태이상탄환형태보정치, IF($G20 = "debuff", VLOOKUP($S20, Factor!$K$24:$R$25, _xlpm.기본_색인번호, 0),1),
_xlpm.가격보정치, INDEX(Factor!$AE$5:$AL$51, _xlfn.XMATCH($F20,Factor!$AE$5:$AE$51, -1), _xlpm.기본_색인번호),
_xlpm.구경보정치, VLOOKUP($D20,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20" s="29" t="e" cm="1">
        <f t="array" ref="AD20">_xlfn.LET(_xlpm.기본_색인번호, 5,
_xlpm.추가_색인번호, 6,
_xlpm.개별보정치, W20,
_xlpm.패턴보정치, VLOOKUP($G20, Factor!$B$5:$I$51, _xlpm.기본_색인번호, 0),
_xlpm.소모탄환보정치, VLOOKUP($H20, Factor!$T$5:$AA$51, _xlpm.기본_색인번호, 0),
_xlpm.지형보정치, VLOOKUP($I20, Factor!$K$12:$R$13, _xlpm.기본_색인번호, 0),
_xlpm.공격속성보정치, VLOOKUP($J20, Factor!$K$5:$R$7, _xlpm.기본_색인번호, 0),
_xlpm.피해범위보정치, INDEX(Factor!$AN$5:$AV$51, _xlfn.XMATCH(IF(OR($G20="blast", $G20="curved",  $G20= "debuff"), $L20, 0), Factor!$AN$5:$AN$51, -1), _xlpm.추가_색인번호)-IF(AND(OR($G20="blast", $G20="curved", $G20= "debuff"), MOD($L20,1)&lt;&gt;0),INDEX(Factor!$AN$5:$AV$51, _xlfn.XMATCH(IF(OR($G20="blast", $G20="curved", $G20= "debuff"), $L20, 0), Factor!$AN$5:$AN$51, -1), 2)*MOD($L20,1)*10,0),
_xlpm.상태이상보정치, VLOOKUP(IF($G20 = "debuff", $M20, "null"), Factor!$AX$5:$BE$51, _xlpm.기본_색인번호, 0),
_xlpm.지속시간보정치, INDEX(Factor!$BG$5:$BO$51, _xlfn.XMATCH(IF(OR($G20 ="debuff", $G20 = "shot", $G20 = "pierce"), $O20, 0), Factor!$BG$5:$BG$51, -1), _xlpm.추가_색인번호)-IF(AND(OR($G20 ="debuff", $G20 = "shot", $G20 = "pierce"), MOD($O20, 1)&lt;&gt;0), 10*MOD($O20, 1)*INDEX(Factor!$BG$5:$BO$51, _xlfn.XMATCH(IF(OR($G20 ="debuff", $G20 = "shot", $G20 = "pierce"), $O20, 0), Factor!$BG$5:$BG$51, -1), 2), 0),
_xlpm.탄환개수보정치, VLOOKUP(IF(OR($G20 = "curved", $G20 = "shot"), $Q20, 1), Factor!$BQ$5:$BX$51, _xlpm.기본_색인번호, 0),
_xlpm.상태이상탄환생성위치보정치, IF($G20 = "debuff", VLOOKUP($R20, Factor!$K$18:$R$19, _xlpm.기본_색인번호, 0),1),
_xlpm.상태이상탄환형태보정치, IF($G20 = "debuff", VLOOKUP($S20, Factor!$K$24:$R$25, _xlpm.기본_색인번호, 0),1),
_xlpm.가격보정치, INDEX(Factor!$AE$5:$AL$51, _xlfn.XMATCH($F20,Factor!$AE$5:$AE$51, -1), _xlpm.기본_색인번호),
_xlpm.구경보정치, VLOOKUP($D20,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20" s="29" t="e" cm="1">
        <f t="array" ref="AE20">_xlfn.LET(_xlpm.기본_색인번호, 6,
_xlpm.추가_색인번호, 7,
_xlpm.개별보정치, X20,
_xlpm.패턴보정치, VLOOKUP($G20, Factor!$B$5:$I$51, _xlpm.기본_색인번호, 0),
_xlpm.소모탄환보정치, VLOOKUP($H20, Factor!$T$5:$AA$51, _xlpm.기본_색인번호, 0),
_xlpm.지형보정치, VLOOKUP($I20, Factor!$K$12:$R$13, _xlpm.기본_색인번호, 0),
_xlpm.공격속성보정치, VLOOKUP($J20, Factor!$K$5:$R$7, _xlpm.기본_색인번호, 0),
_xlpm.피해범위보정치, INDEX(Factor!$AN$5:$AV$51, _xlfn.XMATCH(IF(OR($G20="blast", $G20="curved",  $G20= "debuff"), $L20, 0), Factor!$AN$5:$AN$51, -1), _xlpm.추가_색인번호)-IF(AND(OR($G20="blast", $G20="curved", $G20= "debuff"), MOD($L20,1)&lt;&gt;0),INDEX(Factor!$AN$5:$AV$51, _xlfn.XMATCH(IF(OR($G20="blast", $G20="curved", $G20= "debuff"), $L20, 0), Factor!$AN$5:$AN$51, -1), 2)*MOD($L20,1)*10,0),
_xlpm.상태이상보정치, VLOOKUP(IF($G20 = "debuff", $M20, "null"), Factor!$AX$5:$BE$51, _xlpm.기본_색인번호, 0),
_xlpm.지속시간보정치, INDEX(Factor!$BG$5:$BO$51, _xlfn.XMATCH(IF(OR($G20 ="debuff", $G20 = "shot", $G20 = "pierce"), $O20, 0), Factor!$BG$5:$BG$51, -1), _xlpm.추가_색인번호)-IF(AND(OR($G20 ="debuff", $G20 = "shot", $G20 = "pierce"), MOD($O20, 1)&lt;&gt;0), 10*MOD($O20, 1)*INDEX(Factor!$BG$5:$BO$51, _xlfn.XMATCH(IF(OR($G20 ="debuff", $G20 = "shot", $G20 = "pierce"), $O20, 0), Factor!$BG$5:$BG$51, -1), 2), 0),
_xlpm.탄환개수보정치, VLOOKUP(IF(OR($G20 = "curved", $G20 = "shot"), $Q20, 1), Factor!$BQ$5:$BX$51, _xlpm.기본_색인번호, 0),
_xlpm.상태이상탄환생성위치보정치, IF($G20 = "debuff", VLOOKUP($R20, Factor!$K$18:$R$19, _xlpm.기본_색인번호, 0),1),
_xlpm.상태이상탄환형태보정치, IF($G20 = "debuff", VLOOKUP($S20, Factor!$K$24:$R$25, _xlpm.기본_색인번호, 0),1),
_xlpm.가격보정치, INDEX(Factor!$AE$5:$AL$51, _xlfn.XMATCH($F20,Factor!$AE$5:$AE$51, -1), _xlpm.기본_색인번호),
_xlpm.구경보정치, VLOOKUP($D20,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20" s="29" t="e" cm="1">
        <f t="array" ref="AF20">_xlfn.LET(_xlpm.기본_색인번호, 7,
_xlpm.추가_색인번호, 8,
_xlpm.개별보정치, Y20,
_xlpm.패턴보정치, VLOOKUP($G20, Factor!$B$5:$I$51, _xlpm.기본_색인번호, 0),
_xlpm.소모탄환보정치, VLOOKUP($H20, Factor!$T$5:$AA$51, _xlpm.기본_색인번호, 0),
_xlpm.지형보정치, VLOOKUP($I20, Factor!$K$12:$R$13, _xlpm.기본_색인번호, 0),
_xlpm.공격속성보정치, VLOOKUP($J20, Factor!$K$5:$R$7, _xlpm.기본_색인번호, 0),
_xlpm.피해범위보정치, INDEX(Factor!$AN$5:$AV$51, _xlfn.XMATCH(IF(OR($G20="blast", $G20="curved",  $G20= "debuff"), $L20, 0), Factor!$AN$5:$AN$51, -1), _xlpm.추가_색인번호)-IF(AND(OR($G20="blast", $G20="curved", $G20= "debuff"), MOD($L20,1)&lt;&gt;0),INDEX(Factor!$AN$5:$AV$51, _xlfn.XMATCH(IF(OR($G20="blast", $G20="curved", $G20= "debuff"), $L20, 0), Factor!$AN$5:$AN$51, -1), 2)*MOD($L20,1)*10,0),
_xlpm.상태이상보정치, VLOOKUP(IF($G20 = "debuff", $M20, "null"), Factor!$AX$5:$BE$51, _xlpm.기본_색인번호, 0),
_xlpm.지속시간보정치, INDEX(Factor!$BG$5:$BO$51, _xlfn.XMATCH(IF(OR($G20 ="debuff", $G20 = "shot", $G20 = "pierce"), $O20, 0), Factor!$BG$5:$BG$51, -1), _xlpm.추가_색인번호)-IF(AND(OR($G20 ="debuff", $G20 = "shot", $G20 = "pierce"), MOD($O20, 1)&lt;&gt;0), 10*MOD($O20, 1)*INDEX(Factor!$BG$5:$BO$51, _xlfn.XMATCH(IF(OR($G20 ="debuff", $G20 = "shot", $G20 = "pierce"), $O20, 0), Factor!$BG$5:$BG$51, -1), 2), 0),
_xlpm.탄환개수보정치, VLOOKUP(IF(OR($G20 = "curved", $G20 = "shot"), $Q20, 1), Factor!$BQ$5:$BX$51, _xlpm.기본_색인번호, 0),
_xlpm.상태이상탄환생성위치보정치, IF($G20 = "debuff", VLOOKUP($R20, Factor!$K$18:$R$19, _xlpm.기본_색인번호, 0),1),
_xlpm.상태이상탄환형태보정치, IF($G20 = "debuff", VLOOKUP($S20, Factor!$K$24:$R$25, _xlpm.기본_색인번호, 0),1),
_xlpm.가격보정치, INDEX(Factor!$AE$5:$AL$51, _xlfn.XMATCH($F20,Factor!$AE$5:$AE$51, -1), _xlpm.기본_색인번호),
_xlpm.구경보정치, VLOOKUP($D20,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20" s="30" t="e" cm="1">
        <f t="array" ref="AG20">_xlfn.LET(_xlpm.기본_색인번호, 8,
_xlpm.추가_색인번호, 9,
_xlpm.개별보정치, Z20,
_xlpm.패턴보정치, VLOOKUP($G20, Factor!$B$5:$I$51, _xlpm.기본_색인번호, 0),
_xlpm.소모탄환보정치, VLOOKUP($H20, Factor!$T$5:$AA$51, _xlpm.기본_색인번호, 0),
_xlpm.지형보정치, VLOOKUP($I20, Factor!$K$12:$R$13, _xlpm.기본_색인번호, 0),
_xlpm.공격속성보정치, VLOOKUP($J20, Factor!$K$5:$R$7, _xlpm.기본_색인번호, 0),
_xlpm.피해범위보정치, INDEX(Factor!$AN$5:$AV$51, _xlfn.XMATCH(IF(OR($G20="blast", $G20="curved",  $G20= "debuff"), $L20, 0), Factor!$AN$5:$AN$51, -1), _xlpm.추가_색인번호)-IF(AND(OR($G20="blast", $G20="curved", $G20= "debuff"), MOD($L20,1)&lt;&gt;0),INDEX(Factor!$AN$5:$AV$51, _xlfn.XMATCH(IF(OR($G20="blast", $G20="curved", $G20= "debuff"), $L20, 0), Factor!$AN$5:$AN$51, -1), 2)*MOD($L20,1)*10,0),
_xlpm.상태이상보정치, VLOOKUP(IF($G20 = "debuff", $M20, "null"), Factor!$AX$5:$BE$51, _xlpm.기본_색인번호, 0),
_xlpm.지속시간보정치, INDEX(Factor!$BG$5:$BO$51, _xlfn.XMATCH(IF(OR($G20 ="debuff", $G20 = "shot", $G20 = "pierce"), $O20, 0), Factor!$BG$5:$BG$51, -1), _xlpm.추가_색인번호)-IF(AND(OR($G20 ="debuff", $G20 = "shot", $G20 = "pierce"), MOD($O20, 1)&lt;&gt;0), 10*MOD($O20, 1)*INDEX(Factor!$BG$5:$BO$51, _xlfn.XMATCH(IF(OR($G20 ="debuff", $G20 = "shot", $G20 = "pierce"), $O20, 0), Factor!$BG$5:$BG$51, -1), 2), 0),
_xlpm.탄환개수보정치, VLOOKUP(IF(OR($G20 = "curved", $G20 = "shot"), $Q20, 1), Factor!$BQ$5:$BX$51, _xlpm.기본_색인번호, 0),
_xlpm.상태이상탄환생성위치보정치, IF($G20 = "debuff", VLOOKUP($R20, Factor!$K$18:$R$19, _xlpm.기본_색인번호, 0),1),
_xlpm.상태이상탄환형태보정치, IF($G20 = "debuff", VLOOKUP($S20, Factor!$K$24:$R$25, _xlpm.기본_색인번호, 0),1),
_xlpm.가격보정치, INDEX(Factor!$AE$5:$AL$51, _xlfn.XMATCH($F20,Factor!$AE$5:$AE$51, -1), _xlpm.기본_색인번호),
_xlpm.구경보정치, VLOOKUP($D20,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20"/>
      <c r="AI20"/>
      <c r="AJ20"/>
      <c r="AK20"/>
      <c r="AL20"/>
      <c r="AM20"/>
      <c r="AN20"/>
    </row>
    <row r="21" spans="1:40" ht="13.5">
      <c r="A21" s="24" t="e">
        <f>"weapon_"&amp;G21&amp;"_"&amp;VLOOKUP(H21, Factor!$T$5:$AB$7, 9, 0)&amp;"_"&amp;IF(COUNTIFS($G$4:G20, G21, $H$4:H20, H21)+1&gt;=100, COUNTIFS($G$4:G20, G21, $H$4:H20, H21)+1,IF(COUNTIFS($G$4:G20, G21, $H$4:H20, H21)+1&gt;=10, "0"&amp;COUNTIFS($G$4:G20, G21, $H$4:H20, H21)+1, "00"&amp;COUNTIFS($G$4:G20, G21, $H$4:H20, H21)+1))</f>
        <v>#N/A</v>
      </c>
      <c r="B21" s="36" t="str">
        <f t="shared" si="0"/>
        <v xml:space="preserve"> </v>
      </c>
      <c r="C21" s="36"/>
      <c r="D21" s="36"/>
      <c r="E21" s="36"/>
      <c r="F21" s="25" t="e">
        <f>VLOOKUP(C21, Factor!$AD$5:$AE$15, 2, 0)</f>
        <v>#N/A</v>
      </c>
      <c r="G21" s="26" t="e">
        <f>VLOOKUP(E21, Factor!$CL$5:$CV$50, 2, 0)</f>
        <v>#N/A</v>
      </c>
      <c r="H21" s="25" t="e">
        <f>VLOOKUP(E21, Factor!$CL$5:$CV$50, 3, 0)</f>
        <v>#N/A</v>
      </c>
      <c r="I21" s="25" t="e">
        <f>VLOOKUP(E21, Factor!$CL$5:$CV$50, 4, 0)</f>
        <v>#N/A</v>
      </c>
      <c r="J21" s="25" t="e">
        <f>VLOOKUP(E21, Factor!$CL$5:$CV$50, 5, 0)</f>
        <v>#N/A</v>
      </c>
      <c r="K21" s="25">
        <v>1</v>
      </c>
      <c r="L21" s="25" t="e">
        <f>VLOOKUP(E21, Factor!$CL$5:$CV$50, 6, 0)*K21*VLOOKUP(D21, Factor!$BZ$5:$CJ$49, 9, 0)</f>
        <v>#N/A</v>
      </c>
      <c r="M21" s="25" t="e">
        <f>VLOOKUP(E21, Factor!$CL$5:$CV$50, 7, 0)</f>
        <v>#N/A</v>
      </c>
      <c r="N21" s="25">
        <v>1</v>
      </c>
      <c r="O21" s="25" t="e">
        <f>VLOOKUP(E21, Factor!$CL$5:$CV$50, 8, 0)*N21*VLOOKUP(D21, Factor!$BZ$5:$CJ$49, 10, 0)</f>
        <v>#N/A</v>
      </c>
      <c r="P21" s="25">
        <v>1</v>
      </c>
      <c r="Q21" s="25" t="e">
        <f>VLOOKUP(E21, Factor!$CL$5:$CV$50, 9, 0)*P21*VLOOKUP(D21, Factor!$BZ$5:$CJ$49, 11, 0)</f>
        <v>#N/A</v>
      </c>
      <c r="R21" s="25" t="e">
        <f>VLOOKUP(E21, Factor!$CL$5:$CV$50, 10, 0)</f>
        <v>#N/A</v>
      </c>
      <c r="S21" s="25" t="e">
        <f>VLOOKUP(E21, Factor!$CL$5:$CV$50, 11, 0)</f>
        <v>#N/A</v>
      </c>
      <c r="T21" s="25">
        <v>1</v>
      </c>
      <c r="U21" s="25">
        <v>1</v>
      </c>
      <c r="V21" s="25">
        <v>1</v>
      </c>
      <c r="W21" s="25">
        <v>1</v>
      </c>
      <c r="X21" s="25">
        <v>1</v>
      </c>
      <c r="Y21" s="25">
        <v>1</v>
      </c>
      <c r="Z21" s="25">
        <v>1</v>
      </c>
      <c r="AA21" s="25" t="e" cm="1">
        <f t="array" ref="AA21">_xlfn.LET(_xlpm.기본_색인번호, 2,
_xlpm.추가_색인번호, 3,
_xlpm.개별보정치, T21,
_xlpm.패턴보정치, VLOOKUP($G21, Factor!$B$5:$I$51, _xlpm.기본_색인번호, 0),
_xlpm.소모탄환보정치, VLOOKUP($H21, Factor!$T$5:$AA$51, _xlpm.기본_색인번호, 0),
_xlpm.지형보정치, VLOOKUP($I21, Factor!$K$12:$R$13, _xlpm.기본_색인번호, 0),
_xlpm.공격속성보정치, VLOOKUP($J21, Factor!$K$5:$R$7, _xlpm.기본_색인번호, 0),
_xlpm.피해범위보정치, INDEX(Factor!$AN$5:$AV$51, _xlfn.XMATCH(IF(OR($G21="blast", $G21="curved",  $G21= "debuff"), $L21, 0), Factor!$AN$5:$AN$51, -1), _xlpm.추가_색인번호)-IF(AND(OR($G21="blast", $G21="curved", $G21= "debuff"), MOD($L21,1)&lt;&gt;0),INDEX(Factor!$AN$5:$AV$51, _xlfn.XMATCH(IF(OR($G21="blast", $G21="curved", $G21= "debuff"), $L21, 0), Factor!$AN$5:$AN$51, -1), 2)*MOD($L21,1)*10,0),
_xlpm.상태이상보정치, VLOOKUP(IF($G21 = "debuff", $M21, "null"), Factor!$AX$5:$BE$51, _xlpm.기본_색인번호, 0),
_xlpm.지속시간보정치, INDEX(Factor!$BG$5:$BO$51, _xlfn.XMATCH(IF(OR($G21 ="debuff", $G21 = "shot", $G21 = "pierce"), $O21, 0), Factor!$BG$5:$BG$51, -1), _xlpm.추가_색인번호)-IF(AND(OR($G21 ="debuff", $G21 = "shot", $G21 = "pierce"), MOD($O21, 1)&lt;&gt;0), 10*MOD($O21, 1)*INDEX(Factor!$BG$5:$BO$51, _xlfn.XMATCH(IF(OR($G21 ="debuff", $G21 = "shot", $G21 = "pierce"), $O21, 0), Factor!$BG$5:$BG$51, -1), 2), 0),
_xlpm.탄환개수보정치, VLOOKUP(IF(OR($G21 = "curved", $G21 = "shot"), $Q21, 1), Factor!$BQ$5:$BX$51, _xlpm.기본_색인번호, 0),
_xlpm.상태이상탄환생성위치보정치, IF($G21 = "debuff", VLOOKUP($R21, Factor!$K$18:$R$19, _xlpm.기본_색인번호, 0),1),
_xlpm.상태이상탄환형태보정치, IF($G21 = "debuff", VLOOKUP($S21, Factor!$K$24:$R$25, _xlpm.기본_색인번호, 0),1),
_xlpm.가격보정치, INDEX(Factor!$AE$5:$AL$51, _xlfn.XMATCH($F21,Factor!$AE$5:$AE$51, -1), _xlpm.기본_색인번호),
_xlpm.구경보정치, VLOOKUP($D21,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21" s="25" t="e" cm="1">
        <f t="array" ref="AB21">_xlfn.LET(_xlpm.기본_색인번호, 3,
_xlpm.추가_색인번호, 4,
_xlpm.개별보정치, U21,
_xlpm.패턴보정치, VLOOKUP($G21, Factor!$B$5:$I$51, _xlpm.기본_색인번호, 0),
_xlpm.소모탄환보정치, VLOOKUP($H21, Factor!$T$5:$AA$51, _xlpm.기본_색인번호, 0),
_xlpm.지형보정치, VLOOKUP($I21, Factor!$K$12:$R$13, _xlpm.기본_색인번호, 0),
_xlpm.공격속성보정치, VLOOKUP($J21, Factor!$K$5:$R$7, _xlpm.기본_색인번호, 0),
_xlpm.피해범위보정치, INDEX(Factor!$AN$5:$AV$51, _xlfn.XMATCH(IF(OR($G21="blast", $G21="curved",  $G21= "debuff"), $L21, 0), Factor!$AN$5:$AN$51, -1), _xlpm.추가_색인번호)-IF(AND(OR($G21="blast", $G21="curved", $G21= "debuff"), MOD($L21,1)&lt;&gt;0),INDEX(Factor!$AN$5:$AV$51, _xlfn.XMATCH(IF(OR($G21="blast", $G21="curved", $G21= "debuff"), $L21, 0), Factor!$AN$5:$AN$51, -1), 2)*MOD($L21,1)*10,0),
_xlpm.상태이상보정치, VLOOKUP(IF($G21 = "debuff", $M21, "null"), Factor!$AX$5:$BE$51, _xlpm.기본_색인번호, 0),
_xlpm.지속시간보정치, INDEX(Factor!$BG$5:$BO$51, _xlfn.XMATCH(IF(OR($G21 ="debuff", $G21 = "shot", $G21 = "pierce"), $O21, 0), Factor!$BG$5:$BG$51, -1), _xlpm.추가_색인번호)-IF(AND(OR($G21 ="debuff", $G21 = "shot", $G21 = "pierce"), MOD($O21, 1)&lt;&gt;0), 10*MOD($O21, 1)*INDEX(Factor!$BG$5:$BO$51, _xlfn.XMATCH(IF(OR($G21 ="debuff", $G21 = "shot", $G21 = "pierce"), $O21, 0), Factor!$BG$5:$BG$51, -1), 2), 0),
_xlpm.탄환개수보정치, VLOOKUP(IF(OR($G21 = "curved", $G21 = "shot"), $Q21, 1), Factor!$BQ$5:$BX$51, _xlpm.기본_색인번호, 0),
_xlpm.상태이상탄환생성위치보정치, IF($G21 = "debuff", VLOOKUP($R21, Factor!$K$18:$R$19, _xlpm.기본_색인번호, 0),1),
_xlpm.상태이상탄환형태보정치, IF($G21 = "debuff", VLOOKUP($S21, Factor!$K$24:$R$25, _xlpm.기본_색인번호, 0),1),
_xlpm.가격보정치, INDEX(Factor!$AE$5:$AL$51, _xlfn.XMATCH($F21,Factor!$AE$5:$AE$51, -1), _xlpm.기본_색인번호),
_xlpm.구경보정치, VLOOKUP($D21,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21" s="25" t="e" cm="1">
        <f t="array" ref="AC21">_xlfn.LET(_xlpm.기본_색인번호, 4,
_xlpm.추가_색인번호, 5,
_xlpm.개별보정치, V21,
_xlpm.패턴보정치, VLOOKUP($G21, Factor!$B$5:$I$51, _xlpm.기본_색인번호, 0),
_xlpm.소모탄환보정치, VLOOKUP($H21, Factor!$T$5:$AA$51, _xlpm.기본_색인번호, 0),
_xlpm.지형보정치, VLOOKUP($I21, Factor!$K$12:$R$13, _xlpm.기본_색인번호, 0),
_xlpm.공격속성보정치, VLOOKUP($J21, Factor!$K$5:$R$7, _xlpm.기본_색인번호, 0),
_xlpm.피해범위보정치, INDEX(Factor!$AN$5:$AV$51, _xlfn.XMATCH(IF(OR($G21="blast", $G21="curved",  $G21= "debuff"), $L21, 0), Factor!$AN$5:$AN$51, -1), _xlpm.추가_색인번호)-IF(AND(OR($G21="blast", $G21="curved", $G21= "debuff"), MOD($L21,1)&lt;&gt;0),INDEX(Factor!$AN$5:$AV$51, _xlfn.XMATCH(IF(OR($G21="blast", $G21="curved", $G21= "debuff"), $L21, 0), Factor!$AN$5:$AN$51, -1), 2)*MOD($L21,1)*10,0),
_xlpm.상태이상보정치, VLOOKUP(IF($G21 = "debuff", $M21, "null"), Factor!$AX$5:$BE$51, _xlpm.기본_색인번호, 0),
_xlpm.지속시간보정치, INDEX(Factor!$BG$5:$BO$51, _xlfn.XMATCH(IF(OR($G21 ="debuff", $G21 = "shot", $G21 = "pierce"), $O21, 0), Factor!$BG$5:$BG$51, -1), _xlpm.추가_색인번호)-IF(AND(OR($G21 ="debuff", $G21 = "shot", $G21 = "pierce"), MOD($O21, 1)&lt;&gt;0), 10*MOD($O21, 1)*INDEX(Factor!$BG$5:$BO$51, _xlfn.XMATCH(IF(OR($G21 ="debuff", $G21 = "shot", $G21 = "pierce"), $O21, 0), Factor!$BG$5:$BG$51, -1), 2), 0),
_xlpm.탄환개수보정치, VLOOKUP(IF(OR($G21 = "curved", $G21 = "shot"), $Q21, 1), Factor!$BQ$5:$BX$51, _xlpm.기본_색인번호, 0),
_xlpm.상태이상탄환생성위치보정치, IF($G21 = "debuff", VLOOKUP($R21, Factor!$K$18:$R$19, _xlpm.기본_색인번호, 0),1),
_xlpm.상태이상탄환형태보정치, IF($G21 = "debuff", VLOOKUP($S21, Factor!$K$24:$R$25, _xlpm.기본_색인번호, 0),1),
_xlpm.가격보정치, INDEX(Factor!$AE$5:$AL$51, _xlfn.XMATCH($F21,Factor!$AE$5:$AE$51, -1), _xlpm.기본_색인번호),
_xlpm.구경보정치, VLOOKUP($D21,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21" s="25" t="e" cm="1">
        <f t="array" ref="AD21">_xlfn.LET(_xlpm.기본_색인번호, 5,
_xlpm.추가_색인번호, 6,
_xlpm.개별보정치, W21,
_xlpm.패턴보정치, VLOOKUP($G21, Factor!$B$5:$I$51, _xlpm.기본_색인번호, 0),
_xlpm.소모탄환보정치, VLOOKUP($H21, Factor!$T$5:$AA$51, _xlpm.기본_색인번호, 0),
_xlpm.지형보정치, VLOOKUP($I21, Factor!$K$12:$R$13, _xlpm.기본_색인번호, 0),
_xlpm.공격속성보정치, VLOOKUP($J21, Factor!$K$5:$R$7, _xlpm.기본_색인번호, 0),
_xlpm.피해범위보정치, INDEX(Factor!$AN$5:$AV$51, _xlfn.XMATCH(IF(OR($G21="blast", $G21="curved",  $G21= "debuff"), $L21, 0), Factor!$AN$5:$AN$51, -1), _xlpm.추가_색인번호)-IF(AND(OR($G21="blast", $G21="curved", $G21= "debuff"), MOD($L21,1)&lt;&gt;0),INDEX(Factor!$AN$5:$AV$51, _xlfn.XMATCH(IF(OR($G21="blast", $G21="curved", $G21= "debuff"), $L21, 0), Factor!$AN$5:$AN$51, -1), 2)*MOD($L21,1)*10,0),
_xlpm.상태이상보정치, VLOOKUP(IF($G21 = "debuff", $M21, "null"), Factor!$AX$5:$BE$51, _xlpm.기본_색인번호, 0),
_xlpm.지속시간보정치, INDEX(Factor!$BG$5:$BO$51, _xlfn.XMATCH(IF(OR($G21 ="debuff", $G21 = "shot", $G21 = "pierce"), $O21, 0), Factor!$BG$5:$BG$51, -1), _xlpm.추가_색인번호)-IF(AND(OR($G21 ="debuff", $G21 = "shot", $G21 = "pierce"), MOD($O21, 1)&lt;&gt;0), 10*MOD($O21, 1)*INDEX(Factor!$BG$5:$BO$51, _xlfn.XMATCH(IF(OR($G21 ="debuff", $G21 = "shot", $G21 = "pierce"), $O21, 0), Factor!$BG$5:$BG$51, -1), 2), 0),
_xlpm.탄환개수보정치, VLOOKUP(IF(OR($G21 = "curved", $G21 = "shot"), $Q21, 1), Factor!$BQ$5:$BX$51, _xlpm.기본_색인번호, 0),
_xlpm.상태이상탄환생성위치보정치, IF($G21 = "debuff", VLOOKUP($R21, Factor!$K$18:$R$19, _xlpm.기본_색인번호, 0),1),
_xlpm.상태이상탄환형태보정치, IF($G21 = "debuff", VLOOKUP($S21, Factor!$K$24:$R$25, _xlpm.기본_색인번호, 0),1),
_xlpm.가격보정치, INDEX(Factor!$AE$5:$AL$51, _xlfn.XMATCH($F21,Factor!$AE$5:$AE$51, -1), _xlpm.기본_색인번호),
_xlpm.구경보정치, VLOOKUP($D21,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21" s="25" t="e" cm="1">
        <f t="array" ref="AE21">_xlfn.LET(_xlpm.기본_색인번호, 6,
_xlpm.추가_색인번호, 7,
_xlpm.개별보정치, X21,
_xlpm.패턴보정치, VLOOKUP($G21, Factor!$B$5:$I$51, _xlpm.기본_색인번호, 0),
_xlpm.소모탄환보정치, VLOOKUP($H21, Factor!$T$5:$AA$51, _xlpm.기본_색인번호, 0),
_xlpm.지형보정치, VLOOKUP($I21, Factor!$K$12:$R$13, _xlpm.기본_색인번호, 0),
_xlpm.공격속성보정치, VLOOKUP($J21, Factor!$K$5:$R$7, _xlpm.기본_색인번호, 0),
_xlpm.피해범위보정치, INDEX(Factor!$AN$5:$AV$51, _xlfn.XMATCH(IF(OR($G21="blast", $G21="curved",  $G21= "debuff"), $L21, 0), Factor!$AN$5:$AN$51, -1), _xlpm.추가_색인번호)-IF(AND(OR($G21="blast", $G21="curved", $G21= "debuff"), MOD($L21,1)&lt;&gt;0),INDEX(Factor!$AN$5:$AV$51, _xlfn.XMATCH(IF(OR($G21="blast", $G21="curved", $G21= "debuff"), $L21, 0), Factor!$AN$5:$AN$51, -1), 2)*MOD($L21,1)*10,0),
_xlpm.상태이상보정치, VLOOKUP(IF($G21 = "debuff", $M21, "null"), Factor!$AX$5:$BE$51, _xlpm.기본_색인번호, 0),
_xlpm.지속시간보정치, INDEX(Factor!$BG$5:$BO$51, _xlfn.XMATCH(IF(OR($G21 ="debuff", $G21 = "shot", $G21 = "pierce"), $O21, 0), Factor!$BG$5:$BG$51, -1), _xlpm.추가_색인번호)-IF(AND(OR($G21 ="debuff", $G21 = "shot", $G21 = "pierce"), MOD($O21, 1)&lt;&gt;0), 10*MOD($O21, 1)*INDEX(Factor!$BG$5:$BO$51, _xlfn.XMATCH(IF(OR($G21 ="debuff", $G21 = "shot", $G21 = "pierce"), $O21, 0), Factor!$BG$5:$BG$51, -1), 2), 0),
_xlpm.탄환개수보정치, VLOOKUP(IF(OR($G21 = "curved", $G21 = "shot"), $Q21, 1), Factor!$BQ$5:$BX$51, _xlpm.기본_색인번호, 0),
_xlpm.상태이상탄환생성위치보정치, IF($G21 = "debuff", VLOOKUP($R21, Factor!$K$18:$R$19, _xlpm.기본_색인번호, 0),1),
_xlpm.상태이상탄환형태보정치, IF($G21 = "debuff", VLOOKUP($S21, Factor!$K$24:$R$25, _xlpm.기본_색인번호, 0),1),
_xlpm.가격보정치, INDEX(Factor!$AE$5:$AL$51, _xlfn.XMATCH($F21,Factor!$AE$5:$AE$51, -1), _xlpm.기본_색인번호),
_xlpm.구경보정치, VLOOKUP($D21,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21" s="25" t="e" cm="1">
        <f t="array" ref="AF21">_xlfn.LET(_xlpm.기본_색인번호, 7,
_xlpm.추가_색인번호, 8,
_xlpm.개별보정치, Y21,
_xlpm.패턴보정치, VLOOKUP($G21, Factor!$B$5:$I$51, _xlpm.기본_색인번호, 0),
_xlpm.소모탄환보정치, VLOOKUP($H21, Factor!$T$5:$AA$51, _xlpm.기본_색인번호, 0),
_xlpm.지형보정치, VLOOKUP($I21, Factor!$K$12:$R$13, _xlpm.기본_색인번호, 0),
_xlpm.공격속성보정치, VLOOKUP($J21, Factor!$K$5:$R$7, _xlpm.기본_색인번호, 0),
_xlpm.피해범위보정치, INDEX(Factor!$AN$5:$AV$51, _xlfn.XMATCH(IF(OR($G21="blast", $G21="curved",  $G21= "debuff"), $L21, 0), Factor!$AN$5:$AN$51, -1), _xlpm.추가_색인번호)-IF(AND(OR($G21="blast", $G21="curved", $G21= "debuff"), MOD($L21,1)&lt;&gt;0),INDEX(Factor!$AN$5:$AV$51, _xlfn.XMATCH(IF(OR($G21="blast", $G21="curved", $G21= "debuff"), $L21, 0), Factor!$AN$5:$AN$51, -1), 2)*MOD($L21,1)*10,0),
_xlpm.상태이상보정치, VLOOKUP(IF($G21 = "debuff", $M21, "null"), Factor!$AX$5:$BE$51, _xlpm.기본_색인번호, 0),
_xlpm.지속시간보정치, INDEX(Factor!$BG$5:$BO$51, _xlfn.XMATCH(IF(OR($G21 ="debuff", $G21 = "shot", $G21 = "pierce"), $O21, 0), Factor!$BG$5:$BG$51, -1), _xlpm.추가_색인번호)-IF(AND(OR($G21 ="debuff", $G21 = "shot", $G21 = "pierce"), MOD($O21, 1)&lt;&gt;0), 10*MOD($O21, 1)*INDEX(Factor!$BG$5:$BO$51, _xlfn.XMATCH(IF(OR($G21 ="debuff", $G21 = "shot", $G21 = "pierce"), $O21, 0), Factor!$BG$5:$BG$51, -1), 2), 0),
_xlpm.탄환개수보정치, VLOOKUP(IF(OR($G21 = "curved", $G21 = "shot"), $Q21, 1), Factor!$BQ$5:$BX$51, _xlpm.기본_색인번호, 0),
_xlpm.상태이상탄환생성위치보정치, IF($G21 = "debuff", VLOOKUP($R21, Factor!$K$18:$R$19, _xlpm.기본_색인번호, 0),1),
_xlpm.상태이상탄환형태보정치, IF($G21 = "debuff", VLOOKUP($S21, Factor!$K$24:$R$25, _xlpm.기본_색인번호, 0),1),
_xlpm.가격보정치, INDEX(Factor!$AE$5:$AL$51, _xlfn.XMATCH($F21,Factor!$AE$5:$AE$51, -1), _xlpm.기본_색인번호),
_xlpm.구경보정치, VLOOKUP($D21,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21" s="27" t="e" cm="1">
        <f t="array" ref="AG21">_xlfn.LET(_xlpm.기본_색인번호, 8,
_xlpm.추가_색인번호, 9,
_xlpm.개별보정치, Z21,
_xlpm.패턴보정치, VLOOKUP($G21, Factor!$B$5:$I$51, _xlpm.기본_색인번호, 0),
_xlpm.소모탄환보정치, VLOOKUP($H21, Factor!$T$5:$AA$51, _xlpm.기본_색인번호, 0),
_xlpm.지형보정치, VLOOKUP($I21, Factor!$K$12:$R$13, _xlpm.기본_색인번호, 0),
_xlpm.공격속성보정치, VLOOKUP($J21, Factor!$K$5:$R$7, _xlpm.기본_색인번호, 0),
_xlpm.피해범위보정치, INDEX(Factor!$AN$5:$AV$51, _xlfn.XMATCH(IF(OR($G21="blast", $G21="curved",  $G21= "debuff"), $L21, 0), Factor!$AN$5:$AN$51, -1), _xlpm.추가_색인번호)-IF(AND(OR($G21="blast", $G21="curved", $G21= "debuff"), MOD($L21,1)&lt;&gt;0),INDEX(Factor!$AN$5:$AV$51, _xlfn.XMATCH(IF(OR($G21="blast", $G21="curved", $G21= "debuff"), $L21, 0), Factor!$AN$5:$AN$51, -1), 2)*MOD($L21,1)*10,0),
_xlpm.상태이상보정치, VLOOKUP(IF($G21 = "debuff", $M21, "null"), Factor!$AX$5:$BE$51, _xlpm.기본_색인번호, 0),
_xlpm.지속시간보정치, INDEX(Factor!$BG$5:$BO$51, _xlfn.XMATCH(IF(OR($G21 ="debuff", $G21 = "shot", $G21 = "pierce"), $O21, 0), Factor!$BG$5:$BG$51, -1), _xlpm.추가_색인번호)-IF(AND(OR($G21 ="debuff", $G21 = "shot", $G21 = "pierce"), MOD($O21, 1)&lt;&gt;0), 10*MOD($O21, 1)*INDEX(Factor!$BG$5:$BO$51, _xlfn.XMATCH(IF(OR($G21 ="debuff", $G21 = "shot", $G21 = "pierce"), $O21, 0), Factor!$BG$5:$BG$51, -1), 2), 0),
_xlpm.탄환개수보정치, VLOOKUP(IF(OR($G21 = "curved", $G21 = "shot"), $Q21, 1), Factor!$BQ$5:$BX$51, _xlpm.기본_색인번호, 0),
_xlpm.상태이상탄환생성위치보정치, IF($G21 = "debuff", VLOOKUP($R21, Factor!$K$18:$R$19, _xlpm.기본_색인번호, 0),1),
_xlpm.상태이상탄환형태보정치, IF($G21 = "debuff", VLOOKUP($S21, Factor!$K$24:$R$25, _xlpm.기본_색인번호, 0),1),
_xlpm.가격보정치, INDEX(Factor!$AE$5:$AL$51, _xlfn.XMATCH($F21,Factor!$AE$5:$AE$51, -1), _xlpm.기본_색인번호),
_xlpm.구경보정치, VLOOKUP($D21,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21"/>
      <c r="AI21"/>
      <c r="AJ21"/>
      <c r="AK21"/>
      <c r="AL21"/>
      <c r="AM21"/>
      <c r="AN21"/>
    </row>
    <row r="22" spans="1:40" ht="13.5">
      <c r="A22" s="28" t="e">
        <f>"weapon_"&amp;G22&amp;"_"&amp;VLOOKUP(H22, Factor!$T$5:$AB$7, 9, 0)&amp;"_"&amp;IF(COUNTIFS($G$4:G21, G22, $H$4:H21, H22)+1&gt;=100, COUNTIFS($G$4:G21, G22, $H$4:H21, H22)+1,IF(COUNTIFS($G$4:G21, G22, $H$4:H21, H22)+1&gt;=10, "0"&amp;COUNTIFS($G$4:G21, G22, $H$4:H21, H22)+1, "00"&amp;COUNTIFS($G$4:G21, G22, $H$4:H21, H22)+1))</f>
        <v>#N/A</v>
      </c>
      <c r="B22" s="37" t="str">
        <f t="shared" si="0"/>
        <v xml:space="preserve"> </v>
      </c>
      <c r="C22" s="37"/>
      <c r="D22" s="37"/>
      <c r="E22" s="37"/>
      <c r="F22" s="29" t="e">
        <f>VLOOKUP(C22, Factor!$AD$5:$AE$15, 2, 0)</f>
        <v>#N/A</v>
      </c>
      <c r="G22" s="29" t="e">
        <f>VLOOKUP(E22, Factor!$CL$5:$CV$50, 2, 0)</f>
        <v>#N/A</v>
      </c>
      <c r="H22" s="29" t="e">
        <f>VLOOKUP(E22, Factor!$CL$5:$CV$50, 3, 0)</f>
        <v>#N/A</v>
      </c>
      <c r="I22" s="29" t="e">
        <f>VLOOKUP(E22, Factor!$CL$5:$CV$50, 4, 0)</f>
        <v>#N/A</v>
      </c>
      <c r="J22" s="29" t="e">
        <f>VLOOKUP(E22, Factor!$CL$5:$CV$50, 5, 0)</f>
        <v>#N/A</v>
      </c>
      <c r="K22" s="29">
        <v>1</v>
      </c>
      <c r="L22" s="29" t="e">
        <f>VLOOKUP(E22, Factor!$CL$5:$CV$50, 6, 0)*K22*VLOOKUP(D22, Factor!$BZ$5:$CJ$49, 9, 0)</f>
        <v>#N/A</v>
      </c>
      <c r="M22" s="29" t="e">
        <f>VLOOKUP(E22, Factor!$CL$5:$CV$50, 7, 0)</f>
        <v>#N/A</v>
      </c>
      <c r="N22" s="29">
        <v>1</v>
      </c>
      <c r="O22" s="29" t="e">
        <f>VLOOKUP(E22, Factor!$CL$5:$CV$50, 8, 0)*N22*VLOOKUP(D22, Factor!$BZ$5:$CJ$49, 10, 0)</f>
        <v>#N/A</v>
      </c>
      <c r="P22" s="29">
        <v>1</v>
      </c>
      <c r="Q22" s="29" t="e">
        <f>VLOOKUP(E22, Factor!$CL$5:$CV$50, 9, 0)*P22*VLOOKUP(D22, Factor!$BZ$5:$CJ$49, 11, 0)</f>
        <v>#N/A</v>
      </c>
      <c r="R22" s="29" t="e">
        <f>VLOOKUP(E22, Factor!$CL$5:$CV$50, 10, 0)</f>
        <v>#N/A</v>
      </c>
      <c r="S22" s="29" t="e">
        <f>VLOOKUP(E22, Factor!$CL$5:$CV$50, 11, 0)</f>
        <v>#N/A</v>
      </c>
      <c r="T22" s="29">
        <v>1</v>
      </c>
      <c r="U22" s="29">
        <v>1</v>
      </c>
      <c r="V22" s="29">
        <v>1</v>
      </c>
      <c r="W22" s="29">
        <v>1</v>
      </c>
      <c r="X22" s="29">
        <v>1</v>
      </c>
      <c r="Y22" s="29">
        <v>1</v>
      </c>
      <c r="Z22" s="29">
        <v>1</v>
      </c>
      <c r="AA22" s="29" t="e" cm="1">
        <f t="array" ref="AA22">_xlfn.LET(_xlpm.기본_색인번호, 2,
_xlpm.추가_색인번호, 3,
_xlpm.개별보정치, T22,
_xlpm.패턴보정치, VLOOKUP($G22, Factor!$B$5:$I$51, _xlpm.기본_색인번호, 0),
_xlpm.소모탄환보정치, VLOOKUP($H22, Factor!$T$5:$AA$51, _xlpm.기본_색인번호, 0),
_xlpm.지형보정치, VLOOKUP($I22, Factor!$K$12:$R$13, _xlpm.기본_색인번호, 0),
_xlpm.공격속성보정치, VLOOKUP($J22, Factor!$K$5:$R$7, _xlpm.기본_색인번호, 0),
_xlpm.피해범위보정치, INDEX(Factor!$AN$5:$AV$51, _xlfn.XMATCH(IF(OR($G22="blast", $G22="curved",  $G22= "debuff"), $L22, 0), Factor!$AN$5:$AN$51, -1), _xlpm.추가_색인번호)-IF(AND(OR($G22="blast", $G22="curved", $G22= "debuff"), MOD($L22,1)&lt;&gt;0),INDEX(Factor!$AN$5:$AV$51, _xlfn.XMATCH(IF(OR($G22="blast", $G22="curved", $G22= "debuff"), $L22, 0), Factor!$AN$5:$AN$51, -1), 2)*MOD($L22,1)*10,0),
_xlpm.상태이상보정치, VLOOKUP(IF($G22 = "debuff", $M22, "null"), Factor!$AX$5:$BE$51, _xlpm.기본_색인번호, 0),
_xlpm.지속시간보정치, INDEX(Factor!$BG$5:$BO$51, _xlfn.XMATCH(IF(OR($G22 ="debuff", $G22 = "shot", $G22 = "pierce"), $O22, 0), Factor!$BG$5:$BG$51, -1), _xlpm.추가_색인번호)-IF(AND(OR($G22 ="debuff", $G22 = "shot", $G22 = "pierce"), MOD($O22, 1)&lt;&gt;0), 10*MOD($O22, 1)*INDEX(Factor!$BG$5:$BO$51, _xlfn.XMATCH(IF(OR($G22 ="debuff", $G22 = "shot", $G22 = "pierce"), $O22, 0), Factor!$BG$5:$BG$51, -1), 2), 0),
_xlpm.탄환개수보정치, VLOOKUP(IF(OR($G22 = "curved", $G22 = "shot"), $Q22, 1), Factor!$BQ$5:$BX$51, _xlpm.기본_색인번호, 0),
_xlpm.상태이상탄환생성위치보정치, IF($G22 = "debuff", VLOOKUP($R22, Factor!$K$18:$R$19, _xlpm.기본_색인번호, 0),1),
_xlpm.상태이상탄환형태보정치, IF($G22 = "debuff", VLOOKUP($S22, Factor!$K$24:$R$25, _xlpm.기본_색인번호, 0),1),
_xlpm.가격보정치, INDEX(Factor!$AE$5:$AL$51, _xlfn.XMATCH($F22,Factor!$AE$5:$AE$51, -1), _xlpm.기본_색인번호),
_xlpm.구경보정치, VLOOKUP($D22,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22" s="29" t="e" cm="1">
        <f t="array" ref="AB22">_xlfn.LET(_xlpm.기본_색인번호, 3,
_xlpm.추가_색인번호, 4,
_xlpm.개별보정치, U22,
_xlpm.패턴보정치, VLOOKUP($G22, Factor!$B$5:$I$51, _xlpm.기본_색인번호, 0),
_xlpm.소모탄환보정치, VLOOKUP($H22, Factor!$T$5:$AA$51, _xlpm.기본_색인번호, 0),
_xlpm.지형보정치, VLOOKUP($I22, Factor!$K$12:$R$13, _xlpm.기본_색인번호, 0),
_xlpm.공격속성보정치, VLOOKUP($J22, Factor!$K$5:$R$7, _xlpm.기본_색인번호, 0),
_xlpm.피해범위보정치, INDEX(Factor!$AN$5:$AV$51, _xlfn.XMATCH(IF(OR($G22="blast", $G22="curved",  $G22= "debuff"), $L22, 0), Factor!$AN$5:$AN$51, -1), _xlpm.추가_색인번호)-IF(AND(OR($G22="blast", $G22="curved", $G22= "debuff"), MOD($L22,1)&lt;&gt;0),INDEX(Factor!$AN$5:$AV$51, _xlfn.XMATCH(IF(OR($G22="blast", $G22="curved", $G22= "debuff"), $L22, 0), Factor!$AN$5:$AN$51, -1), 2)*MOD($L22,1)*10,0),
_xlpm.상태이상보정치, VLOOKUP(IF($G22 = "debuff", $M22, "null"), Factor!$AX$5:$BE$51, _xlpm.기본_색인번호, 0),
_xlpm.지속시간보정치, INDEX(Factor!$BG$5:$BO$51, _xlfn.XMATCH(IF(OR($G22 ="debuff", $G22 = "shot", $G22 = "pierce"), $O22, 0), Factor!$BG$5:$BG$51, -1), _xlpm.추가_색인번호)-IF(AND(OR($G22 ="debuff", $G22 = "shot", $G22 = "pierce"), MOD($O22, 1)&lt;&gt;0), 10*MOD($O22, 1)*INDEX(Factor!$BG$5:$BO$51, _xlfn.XMATCH(IF(OR($G22 ="debuff", $G22 = "shot", $G22 = "pierce"), $O22, 0), Factor!$BG$5:$BG$51, -1), 2), 0),
_xlpm.탄환개수보정치, VLOOKUP(IF(OR($G22 = "curved", $G22 = "shot"), $Q22, 1), Factor!$BQ$5:$BX$51, _xlpm.기본_색인번호, 0),
_xlpm.상태이상탄환생성위치보정치, IF($G22 = "debuff", VLOOKUP($R22, Factor!$K$18:$R$19, _xlpm.기본_색인번호, 0),1),
_xlpm.상태이상탄환형태보정치, IF($G22 = "debuff", VLOOKUP($S22, Factor!$K$24:$R$25, _xlpm.기본_색인번호, 0),1),
_xlpm.가격보정치, INDEX(Factor!$AE$5:$AL$51, _xlfn.XMATCH($F22,Factor!$AE$5:$AE$51, -1), _xlpm.기본_색인번호),
_xlpm.구경보정치, VLOOKUP($D22,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22" s="29" t="e" cm="1">
        <f t="array" ref="AC22">_xlfn.LET(_xlpm.기본_색인번호, 4,
_xlpm.추가_색인번호, 5,
_xlpm.개별보정치, V22,
_xlpm.패턴보정치, VLOOKUP($G22, Factor!$B$5:$I$51, _xlpm.기본_색인번호, 0),
_xlpm.소모탄환보정치, VLOOKUP($H22, Factor!$T$5:$AA$51, _xlpm.기본_색인번호, 0),
_xlpm.지형보정치, VLOOKUP($I22, Factor!$K$12:$R$13, _xlpm.기본_색인번호, 0),
_xlpm.공격속성보정치, VLOOKUP($J22, Factor!$K$5:$R$7, _xlpm.기본_색인번호, 0),
_xlpm.피해범위보정치, INDEX(Factor!$AN$5:$AV$51, _xlfn.XMATCH(IF(OR($G22="blast", $G22="curved",  $G22= "debuff"), $L22, 0), Factor!$AN$5:$AN$51, -1), _xlpm.추가_색인번호)-IF(AND(OR($G22="blast", $G22="curved", $G22= "debuff"), MOD($L22,1)&lt;&gt;0),INDEX(Factor!$AN$5:$AV$51, _xlfn.XMATCH(IF(OR($G22="blast", $G22="curved", $G22= "debuff"), $L22, 0), Factor!$AN$5:$AN$51, -1), 2)*MOD($L22,1)*10,0),
_xlpm.상태이상보정치, VLOOKUP(IF($G22 = "debuff", $M22, "null"), Factor!$AX$5:$BE$51, _xlpm.기본_색인번호, 0),
_xlpm.지속시간보정치, INDEX(Factor!$BG$5:$BO$51, _xlfn.XMATCH(IF(OR($G22 ="debuff", $G22 = "shot", $G22 = "pierce"), $O22, 0), Factor!$BG$5:$BG$51, -1), _xlpm.추가_색인번호)-IF(AND(OR($G22 ="debuff", $G22 = "shot", $G22 = "pierce"), MOD($O22, 1)&lt;&gt;0), 10*MOD($O22, 1)*INDEX(Factor!$BG$5:$BO$51, _xlfn.XMATCH(IF(OR($G22 ="debuff", $G22 = "shot", $G22 = "pierce"), $O22, 0), Factor!$BG$5:$BG$51, -1), 2), 0),
_xlpm.탄환개수보정치, VLOOKUP(IF(OR($G22 = "curved", $G22 = "shot"), $Q22, 1), Factor!$BQ$5:$BX$51, _xlpm.기본_색인번호, 0),
_xlpm.상태이상탄환생성위치보정치, IF($G22 = "debuff", VLOOKUP($R22, Factor!$K$18:$R$19, _xlpm.기본_색인번호, 0),1),
_xlpm.상태이상탄환형태보정치, IF($G22 = "debuff", VLOOKUP($S22, Factor!$K$24:$R$25, _xlpm.기본_색인번호, 0),1),
_xlpm.가격보정치, INDEX(Factor!$AE$5:$AL$51, _xlfn.XMATCH($F22,Factor!$AE$5:$AE$51, -1), _xlpm.기본_색인번호),
_xlpm.구경보정치, VLOOKUP($D22,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22" s="29" t="e" cm="1">
        <f t="array" ref="AD22">_xlfn.LET(_xlpm.기본_색인번호, 5,
_xlpm.추가_색인번호, 6,
_xlpm.개별보정치, W22,
_xlpm.패턴보정치, VLOOKUP($G22, Factor!$B$5:$I$51, _xlpm.기본_색인번호, 0),
_xlpm.소모탄환보정치, VLOOKUP($H22, Factor!$T$5:$AA$51, _xlpm.기본_색인번호, 0),
_xlpm.지형보정치, VLOOKUP($I22, Factor!$K$12:$R$13, _xlpm.기본_색인번호, 0),
_xlpm.공격속성보정치, VLOOKUP($J22, Factor!$K$5:$R$7, _xlpm.기본_색인번호, 0),
_xlpm.피해범위보정치, INDEX(Factor!$AN$5:$AV$51, _xlfn.XMATCH(IF(OR($G22="blast", $G22="curved",  $G22= "debuff"), $L22, 0), Factor!$AN$5:$AN$51, -1), _xlpm.추가_색인번호)-IF(AND(OR($G22="blast", $G22="curved", $G22= "debuff"), MOD($L22,1)&lt;&gt;0),INDEX(Factor!$AN$5:$AV$51, _xlfn.XMATCH(IF(OR($G22="blast", $G22="curved", $G22= "debuff"), $L22, 0), Factor!$AN$5:$AN$51, -1), 2)*MOD($L22,1)*10,0),
_xlpm.상태이상보정치, VLOOKUP(IF($G22 = "debuff", $M22, "null"), Factor!$AX$5:$BE$51, _xlpm.기본_색인번호, 0),
_xlpm.지속시간보정치, INDEX(Factor!$BG$5:$BO$51, _xlfn.XMATCH(IF(OR($G22 ="debuff", $G22 = "shot", $G22 = "pierce"), $O22, 0), Factor!$BG$5:$BG$51, -1), _xlpm.추가_색인번호)-IF(AND(OR($G22 ="debuff", $G22 = "shot", $G22 = "pierce"), MOD($O22, 1)&lt;&gt;0), 10*MOD($O22, 1)*INDEX(Factor!$BG$5:$BO$51, _xlfn.XMATCH(IF(OR($G22 ="debuff", $G22 = "shot", $G22 = "pierce"), $O22, 0), Factor!$BG$5:$BG$51, -1), 2), 0),
_xlpm.탄환개수보정치, VLOOKUP(IF(OR($G22 = "curved", $G22 = "shot"), $Q22, 1), Factor!$BQ$5:$BX$51, _xlpm.기본_색인번호, 0),
_xlpm.상태이상탄환생성위치보정치, IF($G22 = "debuff", VLOOKUP($R22, Factor!$K$18:$R$19, _xlpm.기본_색인번호, 0),1),
_xlpm.상태이상탄환형태보정치, IF($G22 = "debuff", VLOOKUP($S22, Factor!$K$24:$R$25, _xlpm.기본_색인번호, 0),1),
_xlpm.가격보정치, INDEX(Factor!$AE$5:$AL$51, _xlfn.XMATCH($F22,Factor!$AE$5:$AE$51, -1), _xlpm.기본_색인번호),
_xlpm.구경보정치, VLOOKUP($D22,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22" s="29" t="e" cm="1">
        <f t="array" ref="AE22">_xlfn.LET(_xlpm.기본_색인번호, 6,
_xlpm.추가_색인번호, 7,
_xlpm.개별보정치, X22,
_xlpm.패턴보정치, VLOOKUP($G22, Factor!$B$5:$I$51, _xlpm.기본_색인번호, 0),
_xlpm.소모탄환보정치, VLOOKUP($H22, Factor!$T$5:$AA$51, _xlpm.기본_색인번호, 0),
_xlpm.지형보정치, VLOOKUP($I22, Factor!$K$12:$R$13, _xlpm.기본_색인번호, 0),
_xlpm.공격속성보정치, VLOOKUP($J22, Factor!$K$5:$R$7, _xlpm.기본_색인번호, 0),
_xlpm.피해범위보정치, INDEX(Factor!$AN$5:$AV$51, _xlfn.XMATCH(IF(OR($G22="blast", $G22="curved",  $G22= "debuff"), $L22, 0), Factor!$AN$5:$AN$51, -1), _xlpm.추가_색인번호)-IF(AND(OR($G22="blast", $G22="curved", $G22= "debuff"), MOD($L22,1)&lt;&gt;0),INDEX(Factor!$AN$5:$AV$51, _xlfn.XMATCH(IF(OR($G22="blast", $G22="curved", $G22= "debuff"), $L22, 0), Factor!$AN$5:$AN$51, -1), 2)*MOD($L22,1)*10,0),
_xlpm.상태이상보정치, VLOOKUP(IF($G22 = "debuff", $M22, "null"), Factor!$AX$5:$BE$51, _xlpm.기본_색인번호, 0),
_xlpm.지속시간보정치, INDEX(Factor!$BG$5:$BO$51, _xlfn.XMATCH(IF(OR($G22 ="debuff", $G22 = "shot", $G22 = "pierce"), $O22, 0), Factor!$BG$5:$BG$51, -1), _xlpm.추가_색인번호)-IF(AND(OR($G22 ="debuff", $G22 = "shot", $G22 = "pierce"), MOD($O22, 1)&lt;&gt;0), 10*MOD($O22, 1)*INDEX(Factor!$BG$5:$BO$51, _xlfn.XMATCH(IF(OR($G22 ="debuff", $G22 = "shot", $G22 = "pierce"), $O22, 0), Factor!$BG$5:$BG$51, -1), 2), 0),
_xlpm.탄환개수보정치, VLOOKUP(IF(OR($G22 = "curved", $G22 = "shot"), $Q22, 1), Factor!$BQ$5:$BX$51, _xlpm.기본_색인번호, 0),
_xlpm.상태이상탄환생성위치보정치, IF($G22 = "debuff", VLOOKUP($R22, Factor!$K$18:$R$19, _xlpm.기본_색인번호, 0),1),
_xlpm.상태이상탄환형태보정치, IF($G22 = "debuff", VLOOKUP($S22, Factor!$K$24:$R$25, _xlpm.기본_색인번호, 0),1),
_xlpm.가격보정치, INDEX(Factor!$AE$5:$AL$51, _xlfn.XMATCH($F22,Factor!$AE$5:$AE$51, -1), _xlpm.기본_색인번호),
_xlpm.구경보정치, VLOOKUP($D22,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22" s="29" t="e" cm="1">
        <f t="array" ref="AF22">_xlfn.LET(_xlpm.기본_색인번호, 7,
_xlpm.추가_색인번호, 8,
_xlpm.개별보정치, Y22,
_xlpm.패턴보정치, VLOOKUP($G22, Factor!$B$5:$I$51, _xlpm.기본_색인번호, 0),
_xlpm.소모탄환보정치, VLOOKUP($H22, Factor!$T$5:$AA$51, _xlpm.기본_색인번호, 0),
_xlpm.지형보정치, VLOOKUP($I22, Factor!$K$12:$R$13, _xlpm.기본_색인번호, 0),
_xlpm.공격속성보정치, VLOOKUP($J22, Factor!$K$5:$R$7, _xlpm.기본_색인번호, 0),
_xlpm.피해범위보정치, INDEX(Factor!$AN$5:$AV$51, _xlfn.XMATCH(IF(OR($G22="blast", $G22="curved",  $G22= "debuff"), $L22, 0), Factor!$AN$5:$AN$51, -1), _xlpm.추가_색인번호)-IF(AND(OR($G22="blast", $G22="curved", $G22= "debuff"), MOD($L22,1)&lt;&gt;0),INDEX(Factor!$AN$5:$AV$51, _xlfn.XMATCH(IF(OR($G22="blast", $G22="curved", $G22= "debuff"), $L22, 0), Factor!$AN$5:$AN$51, -1), 2)*MOD($L22,1)*10,0),
_xlpm.상태이상보정치, VLOOKUP(IF($G22 = "debuff", $M22, "null"), Factor!$AX$5:$BE$51, _xlpm.기본_색인번호, 0),
_xlpm.지속시간보정치, INDEX(Factor!$BG$5:$BO$51, _xlfn.XMATCH(IF(OR($G22 ="debuff", $G22 = "shot", $G22 = "pierce"), $O22, 0), Factor!$BG$5:$BG$51, -1), _xlpm.추가_색인번호)-IF(AND(OR($G22 ="debuff", $G22 = "shot", $G22 = "pierce"), MOD($O22, 1)&lt;&gt;0), 10*MOD($O22, 1)*INDEX(Factor!$BG$5:$BO$51, _xlfn.XMATCH(IF(OR($G22 ="debuff", $G22 = "shot", $G22 = "pierce"), $O22, 0), Factor!$BG$5:$BG$51, -1), 2), 0),
_xlpm.탄환개수보정치, VLOOKUP(IF(OR($G22 = "curved", $G22 = "shot"), $Q22, 1), Factor!$BQ$5:$BX$51, _xlpm.기본_색인번호, 0),
_xlpm.상태이상탄환생성위치보정치, IF($G22 = "debuff", VLOOKUP($R22, Factor!$K$18:$R$19, _xlpm.기본_색인번호, 0),1),
_xlpm.상태이상탄환형태보정치, IF($G22 = "debuff", VLOOKUP($S22, Factor!$K$24:$R$25, _xlpm.기본_색인번호, 0),1),
_xlpm.가격보정치, INDEX(Factor!$AE$5:$AL$51, _xlfn.XMATCH($F22,Factor!$AE$5:$AE$51, -1), _xlpm.기본_색인번호),
_xlpm.구경보정치, VLOOKUP($D22,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22" s="30" t="e" cm="1">
        <f t="array" ref="AG22">_xlfn.LET(_xlpm.기본_색인번호, 8,
_xlpm.추가_색인번호, 9,
_xlpm.개별보정치, Z22,
_xlpm.패턴보정치, VLOOKUP($G22, Factor!$B$5:$I$51, _xlpm.기본_색인번호, 0),
_xlpm.소모탄환보정치, VLOOKUP($H22, Factor!$T$5:$AA$51, _xlpm.기본_색인번호, 0),
_xlpm.지형보정치, VLOOKUP($I22, Factor!$K$12:$R$13, _xlpm.기본_색인번호, 0),
_xlpm.공격속성보정치, VLOOKUP($J22, Factor!$K$5:$R$7, _xlpm.기본_색인번호, 0),
_xlpm.피해범위보정치, INDEX(Factor!$AN$5:$AV$51, _xlfn.XMATCH(IF(OR($G22="blast", $G22="curved",  $G22= "debuff"), $L22, 0), Factor!$AN$5:$AN$51, -1), _xlpm.추가_색인번호)-IF(AND(OR($G22="blast", $G22="curved", $G22= "debuff"), MOD($L22,1)&lt;&gt;0),INDEX(Factor!$AN$5:$AV$51, _xlfn.XMATCH(IF(OR($G22="blast", $G22="curved", $G22= "debuff"), $L22, 0), Factor!$AN$5:$AN$51, -1), 2)*MOD($L22,1)*10,0),
_xlpm.상태이상보정치, VLOOKUP(IF($G22 = "debuff", $M22, "null"), Factor!$AX$5:$BE$51, _xlpm.기본_색인번호, 0),
_xlpm.지속시간보정치, INDEX(Factor!$BG$5:$BO$51, _xlfn.XMATCH(IF(OR($G22 ="debuff", $G22 = "shot", $G22 = "pierce"), $O22, 0), Factor!$BG$5:$BG$51, -1), _xlpm.추가_색인번호)-IF(AND(OR($G22 ="debuff", $G22 = "shot", $G22 = "pierce"), MOD($O22, 1)&lt;&gt;0), 10*MOD($O22, 1)*INDEX(Factor!$BG$5:$BO$51, _xlfn.XMATCH(IF(OR($G22 ="debuff", $G22 = "shot", $G22 = "pierce"), $O22, 0), Factor!$BG$5:$BG$51, -1), 2), 0),
_xlpm.탄환개수보정치, VLOOKUP(IF(OR($G22 = "curved", $G22 = "shot"), $Q22, 1), Factor!$BQ$5:$BX$51, _xlpm.기본_색인번호, 0),
_xlpm.상태이상탄환생성위치보정치, IF($G22 = "debuff", VLOOKUP($R22, Factor!$K$18:$R$19, _xlpm.기본_색인번호, 0),1),
_xlpm.상태이상탄환형태보정치, IF($G22 = "debuff", VLOOKUP($S22, Factor!$K$24:$R$25, _xlpm.기본_색인번호, 0),1),
_xlpm.가격보정치, INDEX(Factor!$AE$5:$AL$51, _xlfn.XMATCH($F22,Factor!$AE$5:$AE$51, -1), _xlpm.기본_색인번호),
_xlpm.구경보정치, VLOOKUP($D22,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22"/>
      <c r="AI22"/>
      <c r="AJ22"/>
      <c r="AK22"/>
      <c r="AL22"/>
      <c r="AM22"/>
      <c r="AN22"/>
    </row>
    <row r="23" spans="1:40" ht="13.5">
      <c r="A23" s="24" t="e">
        <f>"weapon_"&amp;G23&amp;"_"&amp;VLOOKUP(H23, Factor!$T$5:$AB$7, 9, 0)&amp;"_"&amp;IF(COUNTIFS($G$4:G22, G23, $H$4:H22, H23)+1&gt;=100, COUNTIFS($G$4:G22, G23, $H$4:H22, H23)+1,IF(COUNTIFS($G$4:G22, G23, $H$4:H22, H23)+1&gt;=10, "0"&amp;COUNTIFS($G$4:G22, G23, $H$4:H22, H23)+1, "00"&amp;COUNTIFS($G$4:G22, G23, $H$4:H22, H23)+1))</f>
        <v>#N/A</v>
      </c>
      <c r="B23" s="36" t="str">
        <f t="shared" si="0"/>
        <v xml:space="preserve"> </v>
      </c>
      <c r="C23" s="36"/>
      <c r="D23" s="36"/>
      <c r="E23" s="36"/>
      <c r="F23" s="25" t="e">
        <f>VLOOKUP(C23, Factor!$AD$5:$AE$15, 2, 0)</f>
        <v>#N/A</v>
      </c>
      <c r="G23" s="26" t="e">
        <f>VLOOKUP(E23, Factor!$CL$5:$CV$50, 2, 0)</f>
        <v>#N/A</v>
      </c>
      <c r="H23" s="25" t="e">
        <f>VLOOKUP(E23, Factor!$CL$5:$CV$50, 3, 0)</f>
        <v>#N/A</v>
      </c>
      <c r="I23" s="25" t="e">
        <f>VLOOKUP(E23, Factor!$CL$5:$CV$50, 4, 0)</f>
        <v>#N/A</v>
      </c>
      <c r="J23" s="25" t="e">
        <f>VLOOKUP(E23, Factor!$CL$5:$CV$50, 5, 0)</f>
        <v>#N/A</v>
      </c>
      <c r="K23" s="25">
        <v>1</v>
      </c>
      <c r="L23" s="25" t="e">
        <f>VLOOKUP(E23, Factor!$CL$5:$CV$50, 6, 0)*K23*VLOOKUP(D23, Factor!$BZ$5:$CJ$49, 9, 0)</f>
        <v>#N/A</v>
      </c>
      <c r="M23" s="25" t="e">
        <f>VLOOKUP(E23, Factor!$CL$5:$CV$50, 7, 0)</f>
        <v>#N/A</v>
      </c>
      <c r="N23" s="25">
        <v>1</v>
      </c>
      <c r="O23" s="25" t="e">
        <f>VLOOKUP(E23, Factor!$CL$5:$CV$50, 8, 0)*N23*VLOOKUP(D23, Factor!$BZ$5:$CJ$49, 10, 0)</f>
        <v>#N/A</v>
      </c>
      <c r="P23" s="25">
        <v>1</v>
      </c>
      <c r="Q23" s="25" t="e">
        <f>VLOOKUP(E23, Factor!$CL$5:$CV$50, 9, 0)*P23*VLOOKUP(D23, Factor!$BZ$5:$CJ$49, 11, 0)</f>
        <v>#N/A</v>
      </c>
      <c r="R23" s="25" t="e">
        <f>VLOOKUP(E23, Factor!$CL$5:$CV$50, 10, 0)</f>
        <v>#N/A</v>
      </c>
      <c r="S23" s="25" t="e">
        <f>VLOOKUP(E23, Factor!$CL$5:$CV$50, 11, 0)</f>
        <v>#N/A</v>
      </c>
      <c r="T23" s="25">
        <v>1</v>
      </c>
      <c r="U23" s="25">
        <v>1</v>
      </c>
      <c r="V23" s="25">
        <v>1</v>
      </c>
      <c r="W23" s="25">
        <v>1</v>
      </c>
      <c r="X23" s="25">
        <v>1</v>
      </c>
      <c r="Y23" s="25">
        <v>1</v>
      </c>
      <c r="Z23" s="25">
        <v>1</v>
      </c>
      <c r="AA23" s="25" t="e" cm="1">
        <f t="array" ref="AA23">_xlfn.LET(_xlpm.기본_색인번호, 2,
_xlpm.추가_색인번호, 3,
_xlpm.개별보정치, T23,
_xlpm.패턴보정치, VLOOKUP($G23, Factor!$B$5:$I$51, _xlpm.기본_색인번호, 0),
_xlpm.소모탄환보정치, VLOOKUP($H23, Factor!$T$5:$AA$51, _xlpm.기본_색인번호, 0),
_xlpm.지형보정치, VLOOKUP($I23, Factor!$K$12:$R$13, _xlpm.기본_색인번호, 0),
_xlpm.공격속성보정치, VLOOKUP($J23, Factor!$K$5:$R$7, _xlpm.기본_색인번호, 0),
_xlpm.피해범위보정치, INDEX(Factor!$AN$5:$AV$51, _xlfn.XMATCH(IF(OR($G23="blast", $G23="curved",  $G23= "debuff"), $L23, 0), Factor!$AN$5:$AN$51, -1), _xlpm.추가_색인번호)-IF(AND(OR($G23="blast", $G23="curved", $G23= "debuff"), MOD($L23,1)&lt;&gt;0),INDEX(Factor!$AN$5:$AV$51, _xlfn.XMATCH(IF(OR($G23="blast", $G23="curved", $G23= "debuff"), $L23, 0), Factor!$AN$5:$AN$51, -1), 2)*MOD($L23,1)*10,0),
_xlpm.상태이상보정치, VLOOKUP(IF($G23 = "debuff", $M23, "null"), Factor!$AX$5:$BE$51, _xlpm.기본_색인번호, 0),
_xlpm.지속시간보정치, INDEX(Factor!$BG$5:$BO$51, _xlfn.XMATCH(IF(OR($G23 ="debuff", $G23 = "shot", $G23 = "pierce"), $O23, 0), Factor!$BG$5:$BG$51, -1), _xlpm.추가_색인번호)-IF(AND(OR($G23 ="debuff", $G23 = "shot", $G23 = "pierce"), MOD($O23, 1)&lt;&gt;0), 10*MOD($O23, 1)*INDEX(Factor!$BG$5:$BO$51, _xlfn.XMATCH(IF(OR($G23 ="debuff", $G23 = "shot", $G23 = "pierce"), $O23, 0), Factor!$BG$5:$BG$51, -1), 2), 0),
_xlpm.탄환개수보정치, VLOOKUP(IF(OR($G23 = "curved", $G23 = "shot"), $Q23, 1), Factor!$BQ$5:$BX$51, _xlpm.기본_색인번호, 0),
_xlpm.상태이상탄환생성위치보정치, IF($G23 = "debuff", VLOOKUP($R23, Factor!$K$18:$R$19, _xlpm.기본_색인번호, 0),1),
_xlpm.상태이상탄환형태보정치, IF($G23 = "debuff", VLOOKUP($S23, Factor!$K$24:$R$25, _xlpm.기본_색인번호, 0),1),
_xlpm.가격보정치, INDEX(Factor!$AE$5:$AL$51, _xlfn.XMATCH($F23,Factor!$AE$5:$AE$51, -1), _xlpm.기본_색인번호),
_xlpm.구경보정치, VLOOKUP($D23,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23" s="25" t="e" cm="1">
        <f t="array" ref="AB23">_xlfn.LET(_xlpm.기본_색인번호, 3,
_xlpm.추가_색인번호, 4,
_xlpm.개별보정치, U23,
_xlpm.패턴보정치, VLOOKUP($G23, Factor!$B$5:$I$51, _xlpm.기본_색인번호, 0),
_xlpm.소모탄환보정치, VLOOKUP($H23, Factor!$T$5:$AA$51, _xlpm.기본_색인번호, 0),
_xlpm.지형보정치, VLOOKUP($I23, Factor!$K$12:$R$13, _xlpm.기본_색인번호, 0),
_xlpm.공격속성보정치, VLOOKUP($J23, Factor!$K$5:$R$7, _xlpm.기본_색인번호, 0),
_xlpm.피해범위보정치, INDEX(Factor!$AN$5:$AV$51, _xlfn.XMATCH(IF(OR($G23="blast", $G23="curved",  $G23= "debuff"), $L23, 0), Factor!$AN$5:$AN$51, -1), _xlpm.추가_색인번호)-IF(AND(OR($G23="blast", $G23="curved", $G23= "debuff"), MOD($L23,1)&lt;&gt;0),INDEX(Factor!$AN$5:$AV$51, _xlfn.XMATCH(IF(OR($G23="blast", $G23="curved", $G23= "debuff"), $L23, 0), Factor!$AN$5:$AN$51, -1), 2)*MOD($L23,1)*10,0),
_xlpm.상태이상보정치, VLOOKUP(IF($G23 = "debuff", $M23, "null"), Factor!$AX$5:$BE$51, _xlpm.기본_색인번호, 0),
_xlpm.지속시간보정치, INDEX(Factor!$BG$5:$BO$51, _xlfn.XMATCH(IF(OR($G23 ="debuff", $G23 = "shot", $G23 = "pierce"), $O23, 0), Factor!$BG$5:$BG$51, -1), _xlpm.추가_색인번호)-IF(AND(OR($G23 ="debuff", $G23 = "shot", $G23 = "pierce"), MOD($O23, 1)&lt;&gt;0), 10*MOD($O23, 1)*INDEX(Factor!$BG$5:$BO$51, _xlfn.XMATCH(IF(OR($G23 ="debuff", $G23 = "shot", $G23 = "pierce"), $O23, 0), Factor!$BG$5:$BG$51, -1), 2), 0),
_xlpm.탄환개수보정치, VLOOKUP(IF(OR($G23 = "curved", $G23 = "shot"), $Q23, 1), Factor!$BQ$5:$BX$51, _xlpm.기본_색인번호, 0),
_xlpm.상태이상탄환생성위치보정치, IF($G23 = "debuff", VLOOKUP($R23, Factor!$K$18:$R$19, _xlpm.기본_색인번호, 0),1),
_xlpm.상태이상탄환형태보정치, IF($G23 = "debuff", VLOOKUP($S23, Factor!$K$24:$R$25, _xlpm.기본_색인번호, 0),1),
_xlpm.가격보정치, INDEX(Factor!$AE$5:$AL$51, _xlfn.XMATCH($F23,Factor!$AE$5:$AE$51, -1), _xlpm.기본_색인번호),
_xlpm.구경보정치, VLOOKUP($D23,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23" s="25" t="e" cm="1">
        <f t="array" ref="AC23">_xlfn.LET(_xlpm.기본_색인번호, 4,
_xlpm.추가_색인번호, 5,
_xlpm.개별보정치, V23,
_xlpm.패턴보정치, VLOOKUP($G23, Factor!$B$5:$I$51, _xlpm.기본_색인번호, 0),
_xlpm.소모탄환보정치, VLOOKUP($H23, Factor!$T$5:$AA$51, _xlpm.기본_색인번호, 0),
_xlpm.지형보정치, VLOOKUP($I23, Factor!$K$12:$R$13, _xlpm.기본_색인번호, 0),
_xlpm.공격속성보정치, VLOOKUP($J23, Factor!$K$5:$R$7, _xlpm.기본_색인번호, 0),
_xlpm.피해범위보정치, INDEX(Factor!$AN$5:$AV$51, _xlfn.XMATCH(IF(OR($G23="blast", $G23="curved",  $G23= "debuff"), $L23, 0), Factor!$AN$5:$AN$51, -1), _xlpm.추가_색인번호)-IF(AND(OR($G23="blast", $G23="curved", $G23= "debuff"), MOD($L23,1)&lt;&gt;0),INDEX(Factor!$AN$5:$AV$51, _xlfn.XMATCH(IF(OR($G23="blast", $G23="curved", $G23= "debuff"), $L23, 0), Factor!$AN$5:$AN$51, -1), 2)*MOD($L23,1)*10,0),
_xlpm.상태이상보정치, VLOOKUP(IF($G23 = "debuff", $M23, "null"), Factor!$AX$5:$BE$51, _xlpm.기본_색인번호, 0),
_xlpm.지속시간보정치, INDEX(Factor!$BG$5:$BO$51, _xlfn.XMATCH(IF(OR($G23 ="debuff", $G23 = "shot", $G23 = "pierce"), $O23, 0), Factor!$BG$5:$BG$51, -1), _xlpm.추가_색인번호)-IF(AND(OR($G23 ="debuff", $G23 = "shot", $G23 = "pierce"), MOD($O23, 1)&lt;&gt;0), 10*MOD($O23, 1)*INDEX(Factor!$BG$5:$BO$51, _xlfn.XMATCH(IF(OR($G23 ="debuff", $G23 = "shot", $G23 = "pierce"), $O23, 0), Factor!$BG$5:$BG$51, -1), 2), 0),
_xlpm.탄환개수보정치, VLOOKUP(IF(OR($G23 = "curved", $G23 = "shot"), $Q23, 1), Factor!$BQ$5:$BX$51, _xlpm.기본_색인번호, 0),
_xlpm.상태이상탄환생성위치보정치, IF($G23 = "debuff", VLOOKUP($R23, Factor!$K$18:$R$19, _xlpm.기본_색인번호, 0),1),
_xlpm.상태이상탄환형태보정치, IF($G23 = "debuff", VLOOKUP($S23, Factor!$K$24:$R$25, _xlpm.기본_색인번호, 0),1),
_xlpm.가격보정치, INDEX(Factor!$AE$5:$AL$51, _xlfn.XMATCH($F23,Factor!$AE$5:$AE$51, -1), _xlpm.기본_색인번호),
_xlpm.구경보정치, VLOOKUP($D23,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23" s="25" t="e" cm="1">
        <f t="array" ref="AD23">_xlfn.LET(_xlpm.기본_색인번호, 5,
_xlpm.추가_색인번호, 6,
_xlpm.개별보정치, W23,
_xlpm.패턴보정치, VLOOKUP($G23, Factor!$B$5:$I$51, _xlpm.기본_색인번호, 0),
_xlpm.소모탄환보정치, VLOOKUP($H23, Factor!$T$5:$AA$51, _xlpm.기본_색인번호, 0),
_xlpm.지형보정치, VLOOKUP($I23, Factor!$K$12:$R$13, _xlpm.기본_색인번호, 0),
_xlpm.공격속성보정치, VLOOKUP($J23, Factor!$K$5:$R$7, _xlpm.기본_색인번호, 0),
_xlpm.피해범위보정치, INDEX(Factor!$AN$5:$AV$51, _xlfn.XMATCH(IF(OR($G23="blast", $G23="curved",  $G23= "debuff"), $L23, 0), Factor!$AN$5:$AN$51, -1), _xlpm.추가_색인번호)-IF(AND(OR($G23="blast", $G23="curved", $G23= "debuff"), MOD($L23,1)&lt;&gt;0),INDEX(Factor!$AN$5:$AV$51, _xlfn.XMATCH(IF(OR($G23="blast", $G23="curved", $G23= "debuff"), $L23, 0), Factor!$AN$5:$AN$51, -1), 2)*MOD($L23,1)*10,0),
_xlpm.상태이상보정치, VLOOKUP(IF($G23 = "debuff", $M23, "null"), Factor!$AX$5:$BE$51, _xlpm.기본_색인번호, 0),
_xlpm.지속시간보정치, INDEX(Factor!$BG$5:$BO$51, _xlfn.XMATCH(IF(OR($G23 ="debuff", $G23 = "shot", $G23 = "pierce"), $O23, 0), Factor!$BG$5:$BG$51, -1), _xlpm.추가_색인번호)-IF(AND(OR($G23 ="debuff", $G23 = "shot", $G23 = "pierce"), MOD($O23, 1)&lt;&gt;0), 10*MOD($O23, 1)*INDEX(Factor!$BG$5:$BO$51, _xlfn.XMATCH(IF(OR($G23 ="debuff", $G23 = "shot", $G23 = "pierce"), $O23, 0), Factor!$BG$5:$BG$51, -1), 2), 0),
_xlpm.탄환개수보정치, VLOOKUP(IF(OR($G23 = "curved", $G23 = "shot"), $Q23, 1), Factor!$BQ$5:$BX$51, _xlpm.기본_색인번호, 0),
_xlpm.상태이상탄환생성위치보정치, IF($G23 = "debuff", VLOOKUP($R23, Factor!$K$18:$R$19, _xlpm.기본_색인번호, 0),1),
_xlpm.상태이상탄환형태보정치, IF($G23 = "debuff", VLOOKUP($S23, Factor!$K$24:$R$25, _xlpm.기본_색인번호, 0),1),
_xlpm.가격보정치, INDEX(Factor!$AE$5:$AL$51, _xlfn.XMATCH($F23,Factor!$AE$5:$AE$51, -1), _xlpm.기본_색인번호),
_xlpm.구경보정치, VLOOKUP($D23,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23" s="25" t="e" cm="1">
        <f t="array" ref="AE23">_xlfn.LET(_xlpm.기본_색인번호, 6,
_xlpm.추가_색인번호, 7,
_xlpm.개별보정치, X23,
_xlpm.패턴보정치, VLOOKUP($G23, Factor!$B$5:$I$51, _xlpm.기본_색인번호, 0),
_xlpm.소모탄환보정치, VLOOKUP($H23, Factor!$T$5:$AA$51, _xlpm.기본_색인번호, 0),
_xlpm.지형보정치, VLOOKUP($I23, Factor!$K$12:$R$13, _xlpm.기본_색인번호, 0),
_xlpm.공격속성보정치, VLOOKUP($J23, Factor!$K$5:$R$7, _xlpm.기본_색인번호, 0),
_xlpm.피해범위보정치, INDEX(Factor!$AN$5:$AV$51, _xlfn.XMATCH(IF(OR($G23="blast", $G23="curved",  $G23= "debuff"), $L23, 0), Factor!$AN$5:$AN$51, -1), _xlpm.추가_색인번호)-IF(AND(OR($G23="blast", $G23="curved", $G23= "debuff"), MOD($L23,1)&lt;&gt;0),INDEX(Factor!$AN$5:$AV$51, _xlfn.XMATCH(IF(OR($G23="blast", $G23="curved", $G23= "debuff"), $L23, 0), Factor!$AN$5:$AN$51, -1), 2)*MOD($L23,1)*10,0),
_xlpm.상태이상보정치, VLOOKUP(IF($G23 = "debuff", $M23, "null"), Factor!$AX$5:$BE$51, _xlpm.기본_색인번호, 0),
_xlpm.지속시간보정치, INDEX(Factor!$BG$5:$BO$51, _xlfn.XMATCH(IF(OR($G23 ="debuff", $G23 = "shot", $G23 = "pierce"), $O23, 0), Factor!$BG$5:$BG$51, -1), _xlpm.추가_색인번호)-IF(AND(OR($G23 ="debuff", $G23 = "shot", $G23 = "pierce"), MOD($O23, 1)&lt;&gt;0), 10*MOD($O23, 1)*INDEX(Factor!$BG$5:$BO$51, _xlfn.XMATCH(IF(OR($G23 ="debuff", $G23 = "shot", $G23 = "pierce"), $O23, 0), Factor!$BG$5:$BG$51, -1), 2), 0),
_xlpm.탄환개수보정치, VLOOKUP(IF(OR($G23 = "curved", $G23 = "shot"), $Q23, 1), Factor!$BQ$5:$BX$51, _xlpm.기본_색인번호, 0),
_xlpm.상태이상탄환생성위치보정치, IF($G23 = "debuff", VLOOKUP($R23, Factor!$K$18:$R$19, _xlpm.기본_색인번호, 0),1),
_xlpm.상태이상탄환형태보정치, IF($G23 = "debuff", VLOOKUP($S23, Factor!$K$24:$R$25, _xlpm.기본_색인번호, 0),1),
_xlpm.가격보정치, INDEX(Factor!$AE$5:$AL$51, _xlfn.XMATCH($F23,Factor!$AE$5:$AE$51, -1), _xlpm.기본_색인번호),
_xlpm.구경보정치, VLOOKUP($D23,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23" s="25" t="e" cm="1">
        <f t="array" ref="AF23">_xlfn.LET(_xlpm.기본_색인번호, 7,
_xlpm.추가_색인번호, 8,
_xlpm.개별보정치, Y23,
_xlpm.패턴보정치, VLOOKUP($G23, Factor!$B$5:$I$51, _xlpm.기본_색인번호, 0),
_xlpm.소모탄환보정치, VLOOKUP($H23, Factor!$T$5:$AA$51, _xlpm.기본_색인번호, 0),
_xlpm.지형보정치, VLOOKUP($I23, Factor!$K$12:$R$13, _xlpm.기본_색인번호, 0),
_xlpm.공격속성보정치, VLOOKUP($J23, Factor!$K$5:$R$7, _xlpm.기본_색인번호, 0),
_xlpm.피해범위보정치, INDEX(Factor!$AN$5:$AV$51, _xlfn.XMATCH(IF(OR($G23="blast", $G23="curved",  $G23= "debuff"), $L23, 0), Factor!$AN$5:$AN$51, -1), _xlpm.추가_색인번호)-IF(AND(OR($G23="blast", $G23="curved", $G23= "debuff"), MOD($L23,1)&lt;&gt;0),INDEX(Factor!$AN$5:$AV$51, _xlfn.XMATCH(IF(OR($G23="blast", $G23="curved", $G23= "debuff"), $L23, 0), Factor!$AN$5:$AN$51, -1), 2)*MOD($L23,1)*10,0),
_xlpm.상태이상보정치, VLOOKUP(IF($G23 = "debuff", $M23, "null"), Factor!$AX$5:$BE$51, _xlpm.기본_색인번호, 0),
_xlpm.지속시간보정치, INDEX(Factor!$BG$5:$BO$51, _xlfn.XMATCH(IF(OR($G23 ="debuff", $G23 = "shot", $G23 = "pierce"), $O23, 0), Factor!$BG$5:$BG$51, -1), _xlpm.추가_색인번호)-IF(AND(OR($G23 ="debuff", $G23 = "shot", $G23 = "pierce"), MOD($O23, 1)&lt;&gt;0), 10*MOD($O23, 1)*INDEX(Factor!$BG$5:$BO$51, _xlfn.XMATCH(IF(OR($G23 ="debuff", $G23 = "shot", $G23 = "pierce"), $O23, 0), Factor!$BG$5:$BG$51, -1), 2), 0),
_xlpm.탄환개수보정치, VLOOKUP(IF(OR($G23 = "curved", $G23 = "shot"), $Q23, 1), Factor!$BQ$5:$BX$51, _xlpm.기본_색인번호, 0),
_xlpm.상태이상탄환생성위치보정치, IF($G23 = "debuff", VLOOKUP($R23, Factor!$K$18:$R$19, _xlpm.기본_색인번호, 0),1),
_xlpm.상태이상탄환형태보정치, IF($G23 = "debuff", VLOOKUP($S23, Factor!$K$24:$R$25, _xlpm.기본_색인번호, 0),1),
_xlpm.가격보정치, INDEX(Factor!$AE$5:$AL$51, _xlfn.XMATCH($F23,Factor!$AE$5:$AE$51, -1), _xlpm.기본_색인번호),
_xlpm.구경보정치, VLOOKUP($D23,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23" s="27" t="e" cm="1">
        <f t="array" ref="AG23">_xlfn.LET(_xlpm.기본_색인번호, 8,
_xlpm.추가_색인번호, 9,
_xlpm.개별보정치, Z23,
_xlpm.패턴보정치, VLOOKUP($G23, Factor!$B$5:$I$51, _xlpm.기본_색인번호, 0),
_xlpm.소모탄환보정치, VLOOKUP($H23, Factor!$T$5:$AA$51, _xlpm.기본_색인번호, 0),
_xlpm.지형보정치, VLOOKUP($I23, Factor!$K$12:$R$13, _xlpm.기본_색인번호, 0),
_xlpm.공격속성보정치, VLOOKUP($J23, Factor!$K$5:$R$7, _xlpm.기본_색인번호, 0),
_xlpm.피해범위보정치, INDEX(Factor!$AN$5:$AV$51, _xlfn.XMATCH(IF(OR($G23="blast", $G23="curved",  $G23= "debuff"), $L23, 0), Factor!$AN$5:$AN$51, -1), _xlpm.추가_색인번호)-IF(AND(OR($G23="blast", $G23="curved", $G23= "debuff"), MOD($L23,1)&lt;&gt;0),INDEX(Factor!$AN$5:$AV$51, _xlfn.XMATCH(IF(OR($G23="blast", $G23="curved", $G23= "debuff"), $L23, 0), Factor!$AN$5:$AN$51, -1), 2)*MOD($L23,1)*10,0),
_xlpm.상태이상보정치, VLOOKUP(IF($G23 = "debuff", $M23, "null"), Factor!$AX$5:$BE$51, _xlpm.기본_색인번호, 0),
_xlpm.지속시간보정치, INDEX(Factor!$BG$5:$BO$51, _xlfn.XMATCH(IF(OR($G23 ="debuff", $G23 = "shot", $G23 = "pierce"), $O23, 0), Factor!$BG$5:$BG$51, -1), _xlpm.추가_색인번호)-IF(AND(OR($G23 ="debuff", $G23 = "shot", $G23 = "pierce"), MOD($O23, 1)&lt;&gt;0), 10*MOD($O23, 1)*INDEX(Factor!$BG$5:$BO$51, _xlfn.XMATCH(IF(OR($G23 ="debuff", $G23 = "shot", $G23 = "pierce"), $O23, 0), Factor!$BG$5:$BG$51, -1), 2), 0),
_xlpm.탄환개수보정치, VLOOKUP(IF(OR($G23 = "curved", $G23 = "shot"), $Q23, 1), Factor!$BQ$5:$BX$51, _xlpm.기본_색인번호, 0),
_xlpm.상태이상탄환생성위치보정치, IF($G23 = "debuff", VLOOKUP($R23, Factor!$K$18:$R$19, _xlpm.기본_색인번호, 0),1),
_xlpm.상태이상탄환형태보정치, IF($G23 = "debuff", VLOOKUP($S23, Factor!$K$24:$R$25, _xlpm.기본_색인번호, 0),1),
_xlpm.가격보정치, INDEX(Factor!$AE$5:$AL$51, _xlfn.XMATCH($F23,Factor!$AE$5:$AE$51, -1), _xlpm.기본_색인번호),
_xlpm.구경보정치, VLOOKUP($D23,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23"/>
      <c r="AI23"/>
      <c r="AJ23"/>
      <c r="AK23"/>
      <c r="AL23"/>
      <c r="AM23"/>
      <c r="AN23"/>
    </row>
    <row r="24" spans="1:40" ht="13.5">
      <c r="A24" s="28" t="e">
        <f>"weapon_"&amp;G24&amp;"_"&amp;VLOOKUP(H24, Factor!$T$5:$AB$7, 9, 0)&amp;"_"&amp;IF(COUNTIFS($G$4:G23, G24, $H$4:H23, H24)+1&gt;=100, COUNTIFS($G$4:G23, G24, $H$4:H23, H24)+1,IF(COUNTIFS($G$4:G23, G24, $H$4:H23, H24)+1&gt;=10, "0"&amp;COUNTIFS($G$4:G23, G24, $H$4:H23, H24)+1, "00"&amp;COUNTIFS($G$4:G23, G24, $H$4:H23, H24)+1))</f>
        <v>#N/A</v>
      </c>
      <c r="B24" s="37" t="str">
        <f t="shared" si="0"/>
        <v xml:space="preserve"> </v>
      </c>
      <c r="C24" s="37"/>
      <c r="D24" s="37"/>
      <c r="E24" s="37"/>
      <c r="F24" s="29" t="e">
        <f>VLOOKUP(C24, Factor!$AD$5:$AE$15, 2, 0)</f>
        <v>#N/A</v>
      </c>
      <c r="G24" s="29" t="e">
        <f>VLOOKUP(E24, Factor!$CL$5:$CV$50, 2, 0)</f>
        <v>#N/A</v>
      </c>
      <c r="H24" s="29" t="e">
        <f>VLOOKUP(E24, Factor!$CL$5:$CV$50, 3, 0)</f>
        <v>#N/A</v>
      </c>
      <c r="I24" s="29" t="e">
        <f>VLOOKUP(E24, Factor!$CL$5:$CV$50, 4, 0)</f>
        <v>#N/A</v>
      </c>
      <c r="J24" s="29" t="e">
        <f>VLOOKUP(E24, Factor!$CL$5:$CV$50, 5, 0)</f>
        <v>#N/A</v>
      </c>
      <c r="K24" s="29">
        <v>1</v>
      </c>
      <c r="L24" s="29" t="e">
        <f>VLOOKUP(E24, Factor!$CL$5:$CV$50, 6, 0)*K24*VLOOKUP(D24, Factor!$BZ$5:$CJ$49, 9, 0)</f>
        <v>#N/A</v>
      </c>
      <c r="M24" s="29" t="e">
        <f>VLOOKUP(E24, Factor!$CL$5:$CV$50, 7, 0)</f>
        <v>#N/A</v>
      </c>
      <c r="N24" s="29">
        <v>1</v>
      </c>
      <c r="O24" s="29" t="e">
        <f>VLOOKUP(E24, Factor!$CL$5:$CV$50, 8, 0)*N24*VLOOKUP(D24, Factor!$BZ$5:$CJ$49, 10, 0)</f>
        <v>#N/A</v>
      </c>
      <c r="P24" s="29">
        <v>1</v>
      </c>
      <c r="Q24" s="29" t="e">
        <f>VLOOKUP(E24, Factor!$CL$5:$CV$50, 9, 0)*P24*VLOOKUP(D24, Factor!$BZ$5:$CJ$49, 11, 0)</f>
        <v>#N/A</v>
      </c>
      <c r="R24" s="29" t="e">
        <f>VLOOKUP(E24, Factor!$CL$5:$CV$50, 10, 0)</f>
        <v>#N/A</v>
      </c>
      <c r="S24" s="29" t="e">
        <f>VLOOKUP(E24, Factor!$CL$5:$CV$50, 11, 0)</f>
        <v>#N/A</v>
      </c>
      <c r="T24" s="29">
        <v>1</v>
      </c>
      <c r="U24" s="29">
        <v>1</v>
      </c>
      <c r="V24" s="29">
        <v>1</v>
      </c>
      <c r="W24" s="29">
        <v>1</v>
      </c>
      <c r="X24" s="29">
        <v>1</v>
      </c>
      <c r="Y24" s="29">
        <v>1</v>
      </c>
      <c r="Z24" s="29">
        <v>1</v>
      </c>
      <c r="AA24" s="29" t="e" cm="1">
        <f t="array" ref="AA24">_xlfn.LET(_xlpm.기본_색인번호, 2,
_xlpm.추가_색인번호, 3,
_xlpm.개별보정치, T24,
_xlpm.패턴보정치, VLOOKUP($G24, Factor!$B$5:$I$51, _xlpm.기본_색인번호, 0),
_xlpm.소모탄환보정치, VLOOKUP($H24, Factor!$T$5:$AA$51, _xlpm.기본_색인번호, 0),
_xlpm.지형보정치, VLOOKUP($I24, Factor!$K$12:$R$13, _xlpm.기본_색인번호, 0),
_xlpm.공격속성보정치, VLOOKUP($J24, Factor!$K$5:$R$7, _xlpm.기본_색인번호, 0),
_xlpm.피해범위보정치, INDEX(Factor!$AN$5:$AV$51, _xlfn.XMATCH(IF(OR($G24="blast", $G24="curved",  $G24= "debuff"), $L24, 0), Factor!$AN$5:$AN$51, -1), _xlpm.추가_색인번호)-IF(AND(OR($G24="blast", $G24="curved", $G24= "debuff"), MOD($L24,1)&lt;&gt;0),INDEX(Factor!$AN$5:$AV$51, _xlfn.XMATCH(IF(OR($G24="blast", $G24="curved", $G24= "debuff"), $L24, 0), Factor!$AN$5:$AN$51, -1), 2)*MOD($L24,1)*10,0),
_xlpm.상태이상보정치, VLOOKUP(IF($G24 = "debuff", $M24, "null"), Factor!$AX$5:$BE$51, _xlpm.기본_색인번호, 0),
_xlpm.지속시간보정치, INDEX(Factor!$BG$5:$BO$51, _xlfn.XMATCH(IF(OR($G24 ="debuff", $G24 = "shot", $G24 = "pierce"), $O24, 0), Factor!$BG$5:$BG$51, -1), _xlpm.추가_색인번호)-IF(AND(OR($G24 ="debuff", $G24 = "shot", $G24 = "pierce"), MOD($O24, 1)&lt;&gt;0), 10*MOD($O24, 1)*INDEX(Factor!$BG$5:$BO$51, _xlfn.XMATCH(IF(OR($G24 ="debuff", $G24 = "shot", $G24 = "pierce"), $O24, 0), Factor!$BG$5:$BG$51, -1), 2), 0),
_xlpm.탄환개수보정치, VLOOKUP(IF(OR($G24 = "curved", $G24 = "shot"), $Q24, 1), Factor!$BQ$5:$BX$51, _xlpm.기본_색인번호, 0),
_xlpm.상태이상탄환생성위치보정치, IF($G24 = "debuff", VLOOKUP($R24, Factor!$K$18:$R$19, _xlpm.기본_색인번호, 0),1),
_xlpm.상태이상탄환형태보정치, IF($G24 = "debuff", VLOOKUP($S24, Factor!$K$24:$R$25, _xlpm.기본_색인번호, 0),1),
_xlpm.가격보정치, INDEX(Factor!$AE$5:$AL$51, _xlfn.XMATCH($F24,Factor!$AE$5:$AE$51, -1), _xlpm.기본_색인번호),
_xlpm.구경보정치, VLOOKUP($D24,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24" s="29" t="e" cm="1">
        <f t="array" ref="AB24">_xlfn.LET(_xlpm.기본_색인번호, 3,
_xlpm.추가_색인번호, 4,
_xlpm.개별보정치, U24,
_xlpm.패턴보정치, VLOOKUP($G24, Factor!$B$5:$I$51, _xlpm.기본_색인번호, 0),
_xlpm.소모탄환보정치, VLOOKUP($H24, Factor!$T$5:$AA$51, _xlpm.기본_색인번호, 0),
_xlpm.지형보정치, VLOOKUP($I24, Factor!$K$12:$R$13, _xlpm.기본_색인번호, 0),
_xlpm.공격속성보정치, VLOOKUP($J24, Factor!$K$5:$R$7, _xlpm.기본_색인번호, 0),
_xlpm.피해범위보정치, INDEX(Factor!$AN$5:$AV$51, _xlfn.XMATCH(IF(OR($G24="blast", $G24="curved",  $G24= "debuff"), $L24, 0), Factor!$AN$5:$AN$51, -1), _xlpm.추가_색인번호)-IF(AND(OR($G24="blast", $G24="curved", $G24= "debuff"), MOD($L24,1)&lt;&gt;0),INDEX(Factor!$AN$5:$AV$51, _xlfn.XMATCH(IF(OR($G24="blast", $G24="curved", $G24= "debuff"), $L24, 0), Factor!$AN$5:$AN$51, -1), 2)*MOD($L24,1)*10,0),
_xlpm.상태이상보정치, VLOOKUP(IF($G24 = "debuff", $M24, "null"), Factor!$AX$5:$BE$51, _xlpm.기본_색인번호, 0),
_xlpm.지속시간보정치, INDEX(Factor!$BG$5:$BO$51, _xlfn.XMATCH(IF(OR($G24 ="debuff", $G24 = "shot", $G24 = "pierce"), $O24, 0), Factor!$BG$5:$BG$51, -1), _xlpm.추가_색인번호)-IF(AND(OR($G24 ="debuff", $G24 = "shot", $G24 = "pierce"), MOD($O24, 1)&lt;&gt;0), 10*MOD($O24, 1)*INDEX(Factor!$BG$5:$BO$51, _xlfn.XMATCH(IF(OR($G24 ="debuff", $G24 = "shot", $G24 = "pierce"), $O24, 0), Factor!$BG$5:$BG$51, -1), 2), 0),
_xlpm.탄환개수보정치, VLOOKUP(IF(OR($G24 = "curved", $G24 = "shot"), $Q24, 1), Factor!$BQ$5:$BX$51, _xlpm.기본_색인번호, 0),
_xlpm.상태이상탄환생성위치보정치, IF($G24 = "debuff", VLOOKUP($R24, Factor!$K$18:$R$19, _xlpm.기본_색인번호, 0),1),
_xlpm.상태이상탄환형태보정치, IF($G24 = "debuff", VLOOKUP($S24, Factor!$K$24:$R$25, _xlpm.기본_색인번호, 0),1),
_xlpm.가격보정치, INDEX(Factor!$AE$5:$AL$51, _xlfn.XMATCH($F24,Factor!$AE$5:$AE$51, -1), _xlpm.기본_색인번호),
_xlpm.구경보정치, VLOOKUP($D24,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24" s="29" t="e" cm="1">
        <f t="array" ref="AC24">_xlfn.LET(_xlpm.기본_색인번호, 4,
_xlpm.추가_색인번호, 5,
_xlpm.개별보정치, V24,
_xlpm.패턴보정치, VLOOKUP($G24, Factor!$B$5:$I$51, _xlpm.기본_색인번호, 0),
_xlpm.소모탄환보정치, VLOOKUP($H24, Factor!$T$5:$AA$51, _xlpm.기본_색인번호, 0),
_xlpm.지형보정치, VLOOKUP($I24, Factor!$K$12:$R$13, _xlpm.기본_색인번호, 0),
_xlpm.공격속성보정치, VLOOKUP($J24, Factor!$K$5:$R$7, _xlpm.기본_색인번호, 0),
_xlpm.피해범위보정치, INDEX(Factor!$AN$5:$AV$51, _xlfn.XMATCH(IF(OR($G24="blast", $G24="curved",  $G24= "debuff"), $L24, 0), Factor!$AN$5:$AN$51, -1), _xlpm.추가_색인번호)-IF(AND(OR($G24="blast", $G24="curved", $G24= "debuff"), MOD($L24,1)&lt;&gt;0),INDEX(Factor!$AN$5:$AV$51, _xlfn.XMATCH(IF(OR($G24="blast", $G24="curved", $G24= "debuff"), $L24, 0), Factor!$AN$5:$AN$51, -1), 2)*MOD($L24,1)*10,0),
_xlpm.상태이상보정치, VLOOKUP(IF($G24 = "debuff", $M24, "null"), Factor!$AX$5:$BE$51, _xlpm.기본_색인번호, 0),
_xlpm.지속시간보정치, INDEX(Factor!$BG$5:$BO$51, _xlfn.XMATCH(IF(OR($G24 ="debuff", $G24 = "shot", $G24 = "pierce"), $O24, 0), Factor!$BG$5:$BG$51, -1), _xlpm.추가_색인번호)-IF(AND(OR($G24 ="debuff", $G24 = "shot", $G24 = "pierce"), MOD($O24, 1)&lt;&gt;0), 10*MOD($O24, 1)*INDEX(Factor!$BG$5:$BO$51, _xlfn.XMATCH(IF(OR($G24 ="debuff", $G24 = "shot", $G24 = "pierce"), $O24, 0), Factor!$BG$5:$BG$51, -1), 2), 0),
_xlpm.탄환개수보정치, VLOOKUP(IF(OR($G24 = "curved", $G24 = "shot"), $Q24, 1), Factor!$BQ$5:$BX$51, _xlpm.기본_색인번호, 0),
_xlpm.상태이상탄환생성위치보정치, IF($G24 = "debuff", VLOOKUP($R24, Factor!$K$18:$R$19, _xlpm.기본_색인번호, 0),1),
_xlpm.상태이상탄환형태보정치, IF($G24 = "debuff", VLOOKUP($S24, Factor!$K$24:$R$25, _xlpm.기본_색인번호, 0),1),
_xlpm.가격보정치, INDEX(Factor!$AE$5:$AL$51, _xlfn.XMATCH($F24,Factor!$AE$5:$AE$51, -1), _xlpm.기본_색인번호),
_xlpm.구경보정치, VLOOKUP($D24,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24" s="29" t="e" cm="1">
        <f t="array" ref="AD24">_xlfn.LET(_xlpm.기본_색인번호, 5,
_xlpm.추가_색인번호, 6,
_xlpm.개별보정치, W24,
_xlpm.패턴보정치, VLOOKUP($G24, Factor!$B$5:$I$51, _xlpm.기본_색인번호, 0),
_xlpm.소모탄환보정치, VLOOKUP($H24, Factor!$T$5:$AA$51, _xlpm.기본_색인번호, 0),
_xlpm.지형보정치, VLOOKUP($I24, Factor!$K$12:$R$13, _xlpm.기본_색인번호, 0),
_xlpm.공격속성보정치, VLOOKUP($J24, Factor!$K$5:$R$7, _xlpm.기본_색인번호, 0),
_xlpm.피해범위보정치, INDEX(Factor!$AN$5:$AV$51, _xlfn.XMATCH(IF(OR($G24="blast", $G24="curved",  $G24= "debuff"), $L24, 0), Factor!$AN$5:$AN$51, -1), _xlpm.추가_색인번호)-IF(AND(OR($G24="blast", $G24="curved", $G24= "debuff"), MOD($L24,1)&lt;&gt;0),INDEX(Factor!$AN$5:$AV$51, _xlfn.XMATCH(IF(OR($G24="blast", $G24="curved", $G24= "debuff"), $L24, 0), Factor!$AN$5:$AN$51, -1), 2)*MOD($L24,1)*10,0),
_xlpm.상태이상보정치, VLOOKUP(IF($G24 = "debuff", $M24, "null"), Factor!$AX$5:$BE$51, _xlpm.기본_색인번호, 0),
_xlpm.지속시간보정치, INDEX(Factor!$BG$5:$BO$51, _xlfn.XMATCH(IF(OR($G24 ="debuff", $G24 = "shot", $G24 = "pierce"), $O24, 0), Factor!$BG$5:$BG$51, -1), _xlpm.추가_색인번호)-IF(AND(OR($G24 ="debuff", $G24 = "shot", $G24 = "pierce"), MOD($O24, 1)&lt;&gt;0), 10*MOD($O24, 1)*INDEX(Factor!$BG$5:$BO$51, _xlfn.XMATCH(IF(OR($G24 ="debuff", $G24 = "shot", $G24 = "pierce"), $O24, 0), Factor!$BG$5:$BG$51, -1), 2), 0),
_xlpm.탄환개수보정치, VLOOKUP(IF(OR($G24 = "curved", $G24 = "shot"), $Q24, 1), Factor!$BQ$5:$BX$51, _xlpm.기본_색인번호, 0),
_xlpm.상태이상탄환생성위치보정치, IF($G24 = "debuff", VLOOKUP($R24, Factor!$K$18:$R$19, _xlpm.기본_색인번호, 0),1),
_xlpm.상태이상탄환형태보정치, IF($G24 = "debuff", VLOOKUP($S24, Factor!$K$24:$R$25, _xlpm.기본_색인번호, 0),1),
_xlpm.가격보정치, INDEX(Factor!$AE$5:$AL$51, _xlfn.XMATCH($F24,Factor!$AE$5:$AE$51, -1), _xlpm.기본_색인번호),
_xlpm.구경보정치, VLOOKUP($D24,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24" s="29" t="e" cm="1">
        <f t="array" ref="AE24">_xlfn.LET(_xlpm.기본_색인번호, 6,
_xlpm.추가_색인번호, 7,
_xlpm.개별보정치, X24,
_xlpm.패턴보정치, VLOOKUP($G24, Factor!$B$5:$I$51, _xlpm.기본_색인번호, 0),
_xlpm.소모탄환보정치, VLOOKUP($H24, Factor!$T$5:$AA$51, _xlpm.기본_색인번호, 0),
_xlpm.지형보정치, VLOOKUP($I24, Factor!$K$12:$R$13, _xlpm.기본_색인번호, 0),
_xlpm.공격속성보정치, VLOOKUP($J24, Factor!$K$5:$R$7, _xlpm.기본_색인번호, 0),
_xlpm.피해범위보정치, INDEX(Factor!$AN$5:$AV$51, _xlfn.XMATCH(IF(OR($G24="blast", $G24="curved",  $G24= "debuff"), $L24, 0), Factor!$AN$5:$AN$51, -1), _xlpm.추가_색인번호)-IF(AND(OR($G24="blast", $G24="curved", $G24= "debuff"), MOD($L24,1)&lt;&gt;0),INDEX(Factor!$AN$5:$AV$51, _xlfn.XMATCH(IF(OR($G24="blast", $G24="curved", $G24= "debuff"), $L24, 0), Factor!$AN$5:$AN$51, -1), 2)*MOD($L24,1)*10,0),
_xlpm.상태이상보정치, VLOOKUP(IF($G24 = "debuff", $M24, "null"), Factor!$AX$5:$BE$51, _xlpm.기본_색인번호, 0),
_xlpm.지속시간보정치, INDEX(Factor!$BG$5:$BO$51, _xlfn.XMATCH(IF(OR($G24 ="debuff", $G24 = "shot", $G24 = "pierce"), $O24, 0), Factor!$BG$5:$BG$51, -1), _xlpm.추가_색인번호)-IF(AND(OR($G24 ="debuff", $G24 = "shot", $G24 = "pierce"), MOD($O24, 1)&lt;&gt;0), 10*MOD($O24, 1)*INDEX(Factor!$BG$5:$BO$51, _xlfn.XMATCH(IF(OR($G24 ="debuff", $G24 = "shot", $G24 = "pierce"), $O24, 0), Factor!$BG$5:$BG$51, -1), 2), 0),
_xlpm.탄환개수보정치, VLOOKUP(IF(OR($G24 = "curved", $G24 = "shot"), $Q24, 1), Factor!$BQ$5:$BX$51, _xlpm.기본_색인번호, 0),
_xlpm.상태이상탄환생성위치보정치, IF($G24 = "debuff", VLOOKUP($R24, Factor!$K$18:$R$19, _xlpm.기본_색인번호, 0),1),
_xlpm.상태이상탄환형태보정치, IF($G24 = "debuff", VLOOKUP($S24, Factor!$K$24:$R$25, _xlpm.기본_색인번호, 0),1),
_xlpm.가격보정치, INDEX(Factor!$AE$5:$AL$51, _xlfn.XMATCH($F24,Factor!$AE$5:$AE$51, -1), _xlpm.기본_색인번호),
_xlpm.구경보정치, VLOOKUP($D24,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24" s="29" t="e" cm="1">
        <f t="array" ref="AF24">_xlfn.LET(_xlpm.기본_색인번호, 7,
_xlpm.추가_색인번호, 8,
_xlpm.개별보정치, Y24,
_xlpm.패턴보정치, VLOOKUP($G24, Factor!$B$5:$I$51, _xlpm.기본_색인번호, 0),
_xlpm.소모탄환보정치, VLOOKUP($H24, Factor!$T$5:$AA$51, _xlpm.기본_색인번호, 0),
_xlpm.지형보정치, VLOOKUP($I24, Factor!$K$12:$R$13, _xlpm.기본_색인번호, 0),
_xlpm.공격속성보정치, VLOOKUP($J24, Factor!$K$5:$R$7, _xlpm.기본_색인번호, 0),
_xlpm.피해범위보정치, INDEX(Factor!$AN$5:$AV$51, _xlfn.XMATCH(IF(OR($G24="blast", $G24="curved",  $G24= "debuff"), $L24, 0), Factor!$AN$5:$AN$51, -1), _xlpm.추가_색인번호)-IF(AND(OR($G24="blast", $G24="curved", $G24= "debuff"), MOD($L24,1)&lt;&gt;0),INDEX(Factor!$AN$5:$AV$51, _xlfn.XMATCH(IF(OR($G24="blast", $G24="curved", $G24= "debuff"), $L24, 0), Factor!$AN$5:$AN$51, -1), 2)*MOD($L24,1)*10,0),
_xlpm.상태이상보정치, VLOOKUP(IF($G24 = "debuff", $M24, "null"), Factor!$AX$5:$BE$51, _xlpm.기본_색인번호, 0),
_xlpm.지속시간보정치, INDEX(Factor!$BG$5:$BO$51, _xlfn.XMATCH(IF(OR($G24 ="debuff", $G24 = "shot", $G24 = "pierce"), $O24, 0), Factor!$BG$5:$BG$51, -1), _xlpm.추가_색인번호)-IF(AND(OR($G24 ="debuff", $G24 = "shot", $G24 = "pierce"), MOD($O24, 1)&lt;&gt;0), 10*MOD($O24, 1)*INDEX(Factor!$BG$5:$BO$51, _xlfn.XMATCH(IF(OR($G24 ="debuff", $G24 = "shot", $G24 = "pierce"), $O24, 0), Factor!$BG$5:$BG$51, -1), 2), 0),
_xlpm.탄환개수보정치, VLOOKUP(IF(OR($G24 = "curved", $G24 = "shot"), $Q24, 1), Factor!$BQ$5:$BX$51, _xlpm.기본_색인번호, 0),
_xlpm.상태이상탄환생성위치보정치, IF($G24 = "debuff", VLOOKUP($R24, Factor!$K$18:$R$19, _xlpm.기본_색인번호, 0),1),
_xlpm.상태이상탄환형태보정치, IF($G24 = "debuff", VLOOKUP($S24, Factor!$K$24:$R$25, _xlpm.기본_색인번호, 0),1),
_xlpm.가격보정치, INDEX(Factor!$AE$5:$AL$51, _xlfn.XMATCH($F24,Factor!$AE$5:$AE$51, -1), _xlpm.기본_색인번호),
_xlpm.구경보정치, VLOOKUP($D24,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24" s="30" t="e" cm="1">
        <f t="array" ref="AG24">_xlfn.LET(_xlpm.기본_색인번호, 8,
_xlpm.추가_색인번호, 9,
_xlpm.개별보정치, Z24,
_xlpm.패턴보정치, VLOOKUP($G24, Factor!$B$5:$I$51, _xlpm.기본_색인번호, 0),
_xlpm.소모탄환보정치, VLOOKUP($H24, Factor!$T$5:$AA$51, _xlpm.기본_색인번호, 0),
_xlpm.지형보정치, VLOOKUP($I24, Factor!$K$12:$R$13, _xlpm.기본_색인번호, 0),
_xlpm.공격속성보정치, VLOOKUP($J24, Factor!$K$5:$R$7, _xlpm.기본_색인번호, 0),
_xlpm.피해범위보정치, INDEX(Factor!$AN$5:$AV$51, _xlfn.XMATCH(IF(OR($G24="blast", $G24="curved",  $G24= "debuff"), $L24, 0), Factor!$AN$5:$AN$51, -1), _xlpm.추가_색인번호)-IF(AND(OR($G24="blast", $G24="curved", $G24= "debuff"), MOD($L24,1)&lt;&gt;0),INDEX(Factor!$AN$5:$AV$51, _xlfn.XMATCH(IF(OR($G24="blast", $G24="curved", $G24= "debuff"), $L24, 0), Factor!$AN$5:$AN$51, -1), 2)*MOD($L24,1)*10,0),
_xlpm.상태이상보정치, VLOOKUP(IF($G24 = "debuff", $M24, "null"), Factor!$AX$5:$BE$51, _xlpm.기본_색인번호, 0),
_xlpm.지속시간보정치, INDEX(Factor!$BG$5:$BO$51, _xlfn.XMATCH(IF(OR($G24 ="debuff", $G24 = "shot", $G24 = "pierce"), $O24, 0), Factor!$BG$5:$BG$51, -1), _xlpm.추가_색인번호)-IF(AND(OR($G24 ="debuff", $G24 = "shot", $G24 = "pierce"), MOD($O24, 1)&lt;&gt;0), 10*MOD($O24, 1)*INDEX(Factor!$BG$5:$BO$51, _xlfn.XMATCH(IF(OR($G24 ="debuff", $G24 = "shot", $G24 = "pierce"), $O24, 0), Factor!$BG$5:$BG$51, -1), 2), 0),
_xlpm.탄환개수보정치, VLOOKUP(IF(OR($G24 = "curved", $G24 = "shot"), $Q24, 1), Factor!$BQ$5:$BX$51, _xlpm.기본_색인번호, 0),
_xlpm.상태이상탄환생성위치보정치, IF($G24 = "debuff", VLOOKUP($R24, Factor!$K$18:$R$19, _xlpm.기본_색인번호, 0),1),
_xlpm.상태이상탄환형태보정치, IF($G24 = "debuff", VLOOKUP($S24, Factor!$K$24:$R$25, _xlpm.기본_색인번호, 0),1),
_xlpm.가격보정치, INDEX(Factor!$AE$5:$AL$51, _xlfn.XMATCH($F24,Factor!$AE$5:$AE$51, -1), _xlpm.기본_색인번호),
_xlpm.구경보정치, VLOOKUP($D24,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24"/>
      <c r="AI24"/>
      <c r="AJ24"/>
      <c r="AK24"/>
      <c r="AL24"/>
      <c r="AM24"/>
      <c r="AN24"/>
    </row>
    <row r="25" spans="1:40" ht="13.5">
      <c r="A25" s="24" t="e">
        <f>"weapon_"&amp;G25&amp;"_"&amp;VLOOKUP(H25, Factor!$T$5:$AB$7, 9, 0)&amp;"_"&amp;IF(COUNTIFS($G$4:G24, G25, $H$4:H24, H25)+1&gt;=100, COUNTIFS($G$4:G24, G25, $H$4:H24, H25)+1,IF(COUNTIFS($G$4:G24, G25, $H$4:H24, H25)+1&gt;=10, "0"&amp;COUNTIFS($G$4:G24, G25, $H$4:H24, H25)+1, "00"&amp;COUNTIFS($G$4:G24, G25, $H$4:H24, H25)+1))</f>
        <v>#N/A</v>
      </c>
      <c r="B25" s="36" t="str">
        <f t="shared" si="0"/>
        <v xml:space="preserve"> </v>
      </c>
      <c r="C25" s="36"/>
      <c r="D25" s="36"/>
      <c r="E25" s="36"/>
      <c r="F25" s="25" t="e">
        <f>VLOOKUP(C25, Factor!$AD$5:$AE$15, 2, 0)</f>
        <v>#N/A</v>
      </c>
      <c r="G25" s="26" t="e">
        <f>VLOOKUP(E25, Factor!$CL$5:$CV$50, 2, 0)</f>
        <v>#N/A</v>
      </c>
      <c r="H25" s="25" t="e">
        <f>VLOOKUP(E25, Factor!$CL$5:$CV$50, 3, 0)</f>
        <v>#N/A</v>
      </c>
      <c r="I25" s="25" t="e">
        <f>VLOOKUP(E25, Factor!$CL$5:$CV$50, 4, 0)</f>
        <v>#N/A</v>
      </c>
      <c r="J25" s="25" t="e">
        <f>VLOOKUP(E25, Factor!$CL$5:$CV$50, 5, 0)</f>
        <v>#N/A</v>
      </c>
      <c r="K25" s="25">
        <v>1</v>
      </c>
      <c r="L25" s="25" t="e">
        <f>VLOOKUP(E25, Factor!$CL$5:$CV$50, 6, 0)*K25*VLOOKUP(D25, Factor!$BZ$5:$CJ$49, 9, 0)</f>
        <v>#N/A</v>
      </c>
      <c r="M25" s="25" t="e">
        <f>VLOOKUP(E25, Factor!$CL$5:$CV$50, 7, 0)</f>
        <v>#N/A</v>
      </c>
      <c r="N25" s="25">
        <v>1</v>
      </c>
      <c r="O25" s="25" t="e">
        <f>VLOOKUP(E25, Factor!$CL$5:$CV$50, 8, 0)*N25*VLOOKUP(D25, Factor!$BZ$5:$CJ$49, 10, 0)</f>
        <v>#N/A</v>
      </c>
      <c r="P25" s="25">
        <v>1</v>
      </c>
      <c r="Q25" s="25" t="e">
        <f>VLOOKUP(E25, Factor!$CL$5:$CV$50, 9, 0)*P25*VLOOKUP(D25, Factor!$BZ$5:$CJ$49, 11, 0)</f>
        <v>#N/A</v>
      </c>
      <c r="R25" s="25" t="e">
        <f>VLOOKUP(E25, Factor!$CL$5:$CV$50, 10, 0)</f>
        <v>#N/A</v>
      </c>
      <c r="S25" s="25" t="e">
        <f>VLOOKUP(E25, Factor!$CL$5:$CV$50, 11, 0)</f>
        <v>#N/A</v>
      </c>
      <c r="T25" s="25">
        <v>1</v>
      </c>
      <c r="U25" s="25">
        <v>1</v>
      </c>
      <c r="V25" s="25">
        <v>1</v>
      </c>
      <c r="W25" s="25">
        <v>1</v>
      </c>
      <c r="X25" s="25">
        <v>1</v>
      </c>
      <c r="Y25" s="25">
        <v>1</v>
      </c>
      <c r="Z25" s="25">
        <v>1</v>
      </c>
      <c r="AA25" s="25" t="e" cm="1">
        <f t="array" ref="AA25">_xlfn.LET(_xlpm.기본_색인번호, 2,
_xlpm.추가_색인번호, 3,
_xlpm.개별보정치, T25,
_xlpm.패턴보정치, VLOOKUP($G25, Factor!$B$5:$I$51, _xlpm.기본_색인번호, 0),
_xlpm.소모탄환보정치, VLOOKUP($H25, Factor!$T$5:$AA$51, _xlpm.기본_색인번호, 0),
_xlpm.지형보정치, VLOOKUP($I25, Factor!$K$12:$R$13, _xlpm.기본_색인번호, 0),
_xlpm.공격속성보정치, VLOOKUP($J25, Factor!$K$5:$R$7, _xlpm.기본_색인번호, 0),
_xlpm.피해범위보정치, INDEX(Factor!$AN$5:$AV$51, _xlfn.XMATCH(IF(OR($G25="blast", $G25="curved",  $G25= "debuff"), $L25, 0), Factor!$AN$5:$AN$51, -1), _xlpm.추가_색인번호)-IF(AND(OR($G25="blast", $G25="curved", $G25= "debuff"), MOD($L25,1)&lt;&gt;0),INDEX(Factor!$AN$5:$AV$51, _xlfn.XMATCH(IF(OR($G25="blast", $G25="curved", $G25= "debuff"), $L25, 0), Factor!$AN$5:$AN$51, -1), 2)*MOD($L25,1)*10,0),
_xlpm.상태이상보정치, VLOOKUP(IF($G25 = "debuff", $M25, "null"), Factor!$AX$5:$BE$51, _xlpm.기본_색인번호, 0),
_xlpm.지속시간보정치, INDEX(Factor!$BG$5:$BO$51, _xlfn.XMATCH(IF(OR($G25 ="debuff", $G25 = "shot", $G25 = "pierce"), $O25, 0), Factor!$BG$5:$BG$51, -1), _xlpm.추가_색인번호)-IF(AND(OR($G25 ="debuff", $G25 = "shot", $G25 = "pierce"), MOD($O25, 1)&lt;&gt;0), 10*MOD($O25, 1)*INDEX(Factor!$BG$5:$BO$51, _xlfn.XMATCH(IF(OR($G25 ="debuff", $G25 = "shot", $G25 = "pierce"), $O25, 0), Factor!$BG$5:$BG$51, -1), 2), 0),
_xlpm.탄환개수보정치, VLOOKUP(IF(OR($G25 = "curved", $G25 = "shot"), $Q25, 1), Factor!$BQ$5:$BX$51, _xlpm.기본_색인번호, 0),
_xlpm.상태이상탄환생성위치보정치, IF($G25 = "debuff", VLOOKUP($R25, Factor!$K$18:$R$19, _xlpm.기본_색인번호, 0),1),
_xlpm.상태이상탄환형태보정치, IF($G25 = "debuff", VLOOKUP($S25, Factor!$K$24:$R$25, _xlpm.기본_색인번호, 0),1),
_xlpm.가격보정치, INDEX(Factor!$AE$5:$AL$51, _xlfn.XMATCH($F25,Factor!$AE$5:$AE$51, -1), _xlpm.기본_색인번호),
_xlpm.구경보정치, VLOOKUP($D25,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25" s="25" t="e" cm="1">
        <f t="array" ref="AB25">_xlfn.LET(_xlpm.기본_색인번호, 3,
_xlpm.추가_색인번호, 4,
_xlpm.개별보정치, U25,
_xlpm.패턴보정치, VLOOKUP($G25, Factor!$B$5:$I$51, _xlpm.기본_색인번호, 0),
_xlpm.소모탄환보정치, VLOOKUP($H25, Factor!$T$5:$AA$51, _xlpm.기본_색인번호, 0),
_xlpm.지형보정치, VLOOKUP($I25, Factor!$K$12:$R$13, _xlpm.기본_색인번호, 0),
_xlpm.공격속성보정치, VLOOKUP($J25, Factor!$K$5:$R$7, _xlpm.기본_색인번호, 0),
_xlpm.피해범위보정치, INDEX(Factor!$AN$5:$AV$51, _xlfn.XMATCH(IF(OR($G25="blast", $G25="curved",  $G25= "debuff"), $L25, 0), Factor!$AN$5:$AN$51, -1), _xlpm.추가_색인번호)-IF(AND(OR($G25="blast", $G25="curved", $G25= "debuff"), MOD($L25,1)&lt;&gt;0),INDEX(Factor!$AN$5:$AV$51, _xlfn.XMATCH(IF(OR($G25="blast", $G25="curved", $G25= "debuff"), $L25, 0), Factor!$AN$5:$AN$51, -1), 2)*MOD($L25,1)*10,0),
_xlpm.상태이상보정치, VLOOKUP(IF($G25 = "debuff", $M25, "null"), Factor!$AX$5:$BE$51, _xlpm.기본_색인번호, 0),
_xlpm.지속시간보정치, INDEX(Factor!$BG$5:$BO$51, _xlfn.XMATCH(IF(OR($G25 ="debuff", $G25 = "shot", $G25 = "pierce"), $O25, 0), Factor!$BG$5:$BG$51, -1), _xlpm.추가_색인번호)-IF(AND(OR($G25 ="debuff", $G25 = "shot", $G25 = "pierce"), MOD($O25, 1)&lt;&gt;0), 10*MOD($O25, 1)*INDEX(Factor!$BG$5:$BO$51, _xlfn.XMATCH(IF(OR($G25 ="debuff", $G25 = "shot", $G25 = "pierce"), $O25, 0), Factor!$BG$5:$BG$51, -1), 2), 0),
_xlpm.탄환개수보정치, VLOOKUP(IF(OR($G25 = "curved", $G25 = "shot"), $Q25, 1), Factor!$BQ$5:$BX$51, _xlpm.기본_색인번호, 0),
_xlpm.상태이상탄환생성위치보정치, IF($G25 = "debuff", VLOOKUP($R25, Factor!$K$18:$R$19, _xlpm.기본_색인번호, 0),1),
_xlpm.상태이상탄환형태보정치, IF($G25 = "debuff", VLOOKUP($S25, Factor!$K$24:$R$25, _xlpm.기본_색인번호, 0),1),
_xlpm.가격보정치, INDEX(Factor!$AE$5:$AL$51, _xlfn.XMATCH($F25,Factor!$AE$5:$AE$51, -1), _xlpm.기본_색인번호),
_xlpm.구경보정치, VLOOKUP($D25,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25" s="25" t="e" cm="1">
        <f t="array" ref="AC25">_xlfn.LET(_xlpm.기본_색인번호, 4,
_xlpm.추가_색인번호, 5,
_xlpm.개별보정치, V25,
_xlpm.패턴보정치, VLOOKUP($G25, Factor!$B$5:$I$51, _xlpm.기본_색인번호, 0),
_xlpm.소모탄환보정치, VLOOKUP($H25, Factor!$T$5:$AA$51, _xlpm.기본_색인번호, 0),
_xlpm.지형보정치, VLOOKUP($I25, Factor!$K$12:$R$13, _xlpm.기본_색인번호, 0),
_xlpm.공격속성보정치, VLOOKUP($J25, Factor!$K$5:$R$7, _xlpm.기본_색인번호, 0),
_xlpm.피해범위보정치, INDEX(Factor!$AN$5:$AV$51, _xlfn.XMATCH(IF(OR($G25="blast", $G25="curved",  $G25= "debuff"), $L25, 0), Factor!$AN$5:$AN$51, -1), _xlpm.추가_색인번호)-IF(AND(OR($G25="blast", $G25="curved", $G25= "debuff"), MOD($L25,1)&lt;&gt;0),INDEX(Factor!$AN$5:$AV$51, _xlfn.XMATCH(IF(OR($G25="blast", $G25="curved", $G25= "debuff"), $L25, 0), Factor!$AN$5:$AN$51, -1), 2)*MOD($L25,1)*10,0),
_xlpm.상태이상보정치, VLOOKUP(IF($G25 = "debuff", $M25, "null"), Factor!$AX$5:$BE$51, _xlpm.기본_색인번호, 0),
_xlpm.지속시간보정치, INDEX(Factor!$BG$5:$BO$51, _xlfn.XMATCH(IF(OR($G25 ="debuff", $G25 = "shot", $G25 = "pierce"), $O25, 0), Factor!$BG$5:$BG$51, -1), _xlpm.추가_색인번호)-IF(AND(OR($G25 ="debuff", $G25 = "shot", $G25 = "pierce"), MOD($O25, 1)&lt;&gt;0), 10*MOD($O25, 1)*INDEX(Factor!$BG$5:$BO$51, _xlfn.XMATCH(IF(OR($G25 ="debuff", $G25 = "shot", $G25 = "pierce"), $O25, 0), Factor!$BG$5:$BG$51, -1), 2), 0),
_xlpm.탄환개수보정치, VLOOKUP(IF(OR($G25 = "curved", $G25 = "shot"), $Q25, 1), Factor!$BQ$5:$BX$51, _xlpm.기본_색인번호, 0),
_xlpm.상태이상탄환생성위치보정치, IF($G25 = "debuff", VLOOKUP($R25, Factor!$K$18:$R$19, _xlpm.기본_색인번호, 0),1),
_xlpm.상태이상탄환형태보정치, IF($G25 = "debuff", VLOOKUP($S25, Factor!$K$24:$R$25, _xlpm.기본_색인번호, 0),1),
_xlpm.가격보정치, INDEX(Factor!$AE$5:$AL$51, _xlfn.XMATCH($F25,Factor!$AE$5:$AE$51, -1), _xlpm.기본_색인번호),
_xlpm.구경보정치, VLOOKUP($D25,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25" s="25" t="e" cm="1">
        <f t="array" ref="AD25">_xlfn.LET(_xlpm.기본_색인번호, 5,
_xlpm.추가_색인번호, 6,
_xlpm.개별보정치, W25,
_xlpm.패턴보정치, VLOOKUP($G25, Factor!$B$5:$I$51, _xlpm.기본_색인번호, 0),
_xlpm.소모탄환보정치, VLOOKUP($H25, Factor!$T$5:$AA$51, _xlpm.기본_색인번호, 0),
_xlpm.지형보정치, VLOOKUP($I25, Factor!$K$12:$R$13, _xlpm.기본_색인번호, 0),
_xlpm.공격속성보정치, VLOOKUP($J25, Factor!$K$5:$R$7, _xlpm.기본_색인번호, 0),
_xlpm.피해범위보정치, INDEX(Factor!$AN$5:$AV$51, _xlfn.XMATCH(IF(OR($G25="blast", $G25="curved",  $G25= "debuff"), $L25, 0), Factor!$AN$5:$AN$51, -1), _xlpm.추가_색인번호)-IF(AND(OR($G25="blast", $G25="curved", $G25= "debuff"), MOD($L25,1)&lt;&gt;0),INDEX(Factor!$AN$5:$AV$51, _xlfn.XMATCH(IF(OR($G25="blast", $G25="curved", $G25= "debuff"), $L25, 0), Factor!$AN$5:$AN$51, -1), 2)*MOD($L25,1)*10,0),
_xlpm.상태이상보정치, VLOOKUP(IF($G25 = "debuff", $M25, "null"), Factor!$AX$5:$BE$51, _xlpm.기본_색인번호, 0),
_xlpm.지속시간보정치, INDEX(Factor!$BG$5:$BO$51, _xlfn.XMATCH(IF(OR($G25 ="debuff", $G25 = "shot", $G25 = "pierce"), $O25, 0), Factor!$BG$5:$BG$51, -1), _xlpm.추가_색인번호)-IF(AND(OR($G25 ="debuff", $G25 = "shot", $G25 = "pierce"), MOD($O25, 1)&lt;&gt;0), 10*MOD($O25, 1)*INDEX(Factor!$BG$5:$BO$51, _xlfn.XMATCH(IF(OR($G25 ="debuff", $G25 = "shot", $G25 = "pierce"), $O25, 0), Factor!$BG$5:$BG$51, -1), 2), 0),
_xlpm.탄환개수보정치, VLOOKUP(IF(OR($G25 = "curved", $G25 = "shot"), $Q25, 1), Factor!$BQ$5:$BX$51, _xlpm.기본_색인번호, 0),
_xlpm.상태이상탄환생성위치보정치, IF($G25 = "debuff", VLOOKUP($R25, Factor!$K$18:$R$19, _xlpm.기본_색인번호, 0),1),
_xlpm.상태이상탄환형태보정치, IF($G25 = "debuff", VLOOKUP($S25, Factor!$K$24:$R$25, _xlpm.기본_색인번호, 0),1),
_xlpm.가격보정치, INDEX(Factor!$AE$5:$AL$51, _xlfn.XMATCH($F25,Factor!$AE$5:$AE$51, -1), _xlpm.기본_색인번호),
_xlpm.구경보정치, VLOOKUP($D25,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25" s="25" t="e" cm="1">
        <f t="array" ref="AE25">_xlfn.LET(_xlpm.기본_색인번호, 6,
_xlpm.추가_색인번호, 7,
_xlpm.개별보정치, X25,
_xlpm.패턴보정치, VLOOKUP($G25, Factor!$B$5:$I$51, _xlpm.기본_색인번호, 0),
_xlpm.소모탄환보정치, VLOOKUP($H25, Factor!$T$5:$AA$51, _xlpm.기본_색인번호, 0),
_xlpm.지형보정치, VLOOKUP($I25, Factor!$K$12:$R$13, _xlpm.기본_색인번호, 0),
_xlpm.공격속성보정치, VLOOKUP($J25, Factor!$K$5:$R$7, _xlpm.기본_색인번호, 0),
_xlpm.피해범위보정치, INDEX(Factor!$AN$5:$AV$51, _xlfn.XMATCH(IF(OR($G25="blast", $G25="curved",  $G25= "debuff"), $L25, 0), Factor!$AN$5:$AN$51, -1), _xlpm.추가_색인번호)-IF(AND(OR($G25="blast", $G25="curved", $G25= "debuff"), MOD($L25,1)&lt;&gt;0),INDEX(Factor!$AN$5:$AV$51, _xlfn.XMATCH(IF(OR($G25="blast", $G25="curved", $G25= "debuff"), $L25, 0), Factor!$AN$5:$AN$51, -1), 2)*MOD($L25,1)*10,0),
_xlpm.상태이상보정치, VLOOKUP(IF($G25 = "debuff", $M25, "null"), Factor!$AX$5:$BE$51, _xlpm.기본_색인번호, 0),
_xlpm.지속시간보정치, INDEX(Factor!$BG$5:$BO$51, _xlfn.XMATCH(IF(OR($G25 ="debuff", $G25 = "shot", $G25 = "pierce"), $O25, 0), Factor!$BG$5:$BG$51, -1), _xlpm.추가_색인번호)-IF(AND(OR($G25 ="debuff", $G25 = "shot", $G25 = "pierce"), MOD($O25, 1)&lt;&gt;0), 10*MOD($O25, 1)*INDEX(Factor!$BG$5:$BO$51, _xlfn.XMATCH(IF(OR($G25 ="debuff", $G25 = "shot", $G25 = "pierce"), $O25, 0), Factor!$BG$5:$BG$51, -1), 2), 0),
_xlpm.탄환개수보정치, VLOOKUP(IF(OR($G25 = "curved", $G25 = "shot"), $Q25, 1), Factor!$BQ$5:$BX$51, _xlpm.기본_색인번호, 0),
_xlpm.상태이상탄환생성위치보정치, IF($G25 = "debuff", VLOOKUP($R25, Factor!$K$18:$R$19, _xlpm.기본_색인번호, 0),1),
_xlpm.상태이상탄환형태보정치, IF($G25 = "debuff", VLOOKUP($S25, Factor!$K$24:$R$25, _xlpm.기본_색인번호, 0),1),
_xlpm.가격보정치, INDEX(Factor!$AE$5:$AL$51, _xlfn.XMATCH($F25,Factor!$AE$5:$AE$51, -1), _xlpm.기본_색인번호),
_xlpm.구경보정치, VLOOKUP($D25,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25" s="25" t="e" cm="1">
        <f t="array" ref="AF25">_xlfn.LET(_xlpm.기본_색인번호, 7,
_xlpm.추가_색인번호, 8,
_xlpm.개별보정치, Y25,
_xlpm.패턴보정치, VLOOKUP($G25, Factor!$B$5:$I$51, _xlpm.기본_색인번호, 0),
_xlpm.소모탄환보정치, VLOOKUP($H25, Factor!$T$5:$AA$51, _xlpm.기본_색인번호, 0),
_xlpm.지형보정치, VLOOKUP($I25, Factor!$K$12:$R$13, _xlpm.기본_색인번호, 0),
_xlpm.공격속성보정치, VLOOKUP($J25, Factor!$K$5:$R$7, _xlpm.기본_색인번호, 0),
_xlpm.피해범위보정치, INDEX(Factor!$AN$5:$AV$51, _xlfn.XMATCH(IF(OR($G25="blast", $G25="curved",  $G25= "debuff"), $L25, 0), Factor!$AN$5:$AN$51, -1), _xlpm.추가_색인번호)-IF(AND(OR($G25="blast", $G25="curved", $G25= "debuff"), MOD($L25,1)&lt;&gt;0),INDEX(Factor!$AN$5:$AV$51, _xlfn.XMATCH(IF(OR($G25="blast", $G25="curved", $G25= "debuff"), $L25, 0), Factor!$AN$5:$AN$51, -1), 2)*MOD($L25,1)*10,0),
_xlpm.상태이상보정치, VLOOKUP(IF($G25 = "debuff", $M25, "null"), Factor!$AX$5:$BE$51, _xlpm.기본_색인번호, 0),
_xlpm.지속시간보정치, INDEX(Factor!$BG$5:$BO$51, _xlfn.XMATCH(IF(OR($G25 ="debuff", $G25 = "shot", $G25 = "pierce"), $O25, 0), Factor!$BG$5:$BG$51, -1), _xlpm.추가_색인번호)-IF(AND(OR($G25 ="debuff", $G25 = "shot", $G25 = "pierce"), MOD($O25, 1)&lt;&gt;0), 10*MOD($O25, 1)*INDEX(Factor!$BG$5:$BO$51, _xlfn.XMATCH(IF(OR($G25 ="debuff", $G25 = "shot", $G25 = "pierce"), $O25, 0), Factor!$BG$5:$BG$51, -1), 2), 0),
_xlpm.탄환개수보정치, VLOOKUP(IF(OR($G25 = "curved", $G25 = "shot"), $Q25, 1), Factor!$BQ$5:$BX$51, _xlpm.기본_색인번호, 0),
_xlpm.상태이상탄환생성위치보정치, IF($G25 = "debuff", VLOOKUP($R25, Factor!$K$18:$R$19, _xlpm.기본_색인번호, 0),1),
_xlpm.상태이상탄환형태보정치, IF($G25 = "debuff", VLOOKUP($S25, Factor!$K$24:$R$25, _xlpm.기본_색인번호, 0),1),
_xlpm.가격보정치, INDEX(Factor!$AE$5:$AL$51, _xlfn.XMATCH($F25,Factor!$AE$5:$AE$51, -1), _xlpm.기본_색인번호),
_xlpm.구경보정치, VLOOKUP($D25,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25" s="27" t="e" cm="1">
        <f t="array" ref="AG25">_xlfn.LET(_xlpm.기본_색인번호, 8,
_xlpm.추가_색인번호, 9,
_xlpm.개별보정치, Z25,
_xlpm.패턴보정치, VLOOKUP($G25, Factor!$B$5:$I$51, _xlpm.기본_색인번호, 0),
_xlpm.소모탄환보정치, VLOOKUP($H25, Factor!$T$5:$AA$51, _xlpm.기본_색인번호, 0),
_xlpm.지형보정치, VLOOKUP($I25, Factor!$K$12:$R$13, _xlpm.기본_색인번호, 0),
_xlpm.공격속성보정치, VLOOKUP($J25, Factor!$K$5:$R$7, _xlpm.기본_색인번호, 0),
_xlpm.피해범위보정치, INDEX(Factor!$AN$5:$AV$51, _xlfn.XMATCH(IF(OR($G25="blast", $G25="curved",  $G25= "debuff"), $L25, 0), Factor!$AN$5:$AN$51, -1), _xlpm.추가_색인번호)-IF(AND(OR($G25="blast", $G25="curved", $G25= "debuff"), MOD($L25,1)&lt;&gt;0),INDEX(Factor!$AN$5:$AV$51, _xlfn.XMATCH(IF(OR($G25="blast", $G25="curved", $G25= "debuff"), $L25, 0), Factor!$AN$5:$AN$51, -1), 2)*MOD($L25,1)*10,0),
_xlpm.상태이상보정치, VLOOKUP(IF($G25 = "debuff", $M25, "null"), Factor!$AX$5:$BE$51, _xlpm.기본_색인번호, 0),
_xlpm.지속시간보정치, INDEX(Factor!$BG$5:$BO$51, _xlfn.XMATCH(IF(OR($G25 ="debuff", $G25 = "shot", $G25 = "pierce"), $O25, 0), Factor!$BG$5:$BG$51, -1), _xlpm.추가_색인번호)-IF(AND(OR($G25 ="debuff", $G25 = "shot", $G25 = "pierce"), MOD($O25, 1)&lt;&gt;0), 10*MOD($O25, 1)*INDEX(Factor!$BG$5:$BO$51, _xlfn.XMATCH(IF(OR($G25 ="debuff", $G25 = "shot", $G25 = "pierce"), $O25, 0), Factor!$BG$5:$BG$51, -1), 2), 0),
_xlpm.탄환개수보정치, VLOOKUP(IF(OR($G25 = "curved", $G25 = "shot"), $Q25, 1), Factor!$BQ$5:$BX$51, _xlpm.기본_색인번호, 0),
_xlpm.상태이상탄환생성위치보정치, IF($G25 = "debuff", VLOOKUP($R25, Factor!$K$18:$R$19, _xlpm.기본_색인번호, 0),1),
_xlpm.상태이상탄환형태보정치, IF($G25 = "debuff", VLOOKUP($S25, Factor!$K$24:$R$25, _xlpm.기본_색인번호, 0),1),
_xlpm.가격보정치, INDEX(Factor!$AE$5:$AL$51, _xlfn.XMATCH($F25,Factor!$AE$5:$AE$51, -1), _xlpm.기본_색인번호),
_xlpm.구경보정치, VLOOKUP($D25,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25"/>
      <c r="AI25"/>
      <c r="AJ25"/>
      <c r="AK25"/>
      <c r="AL25"/>
      <c r="AM25"/>
      <c r="AN25"/>
    </row>
    <row r="26" spans="1:40" ht="15.75" customHeight="1">
      <c r="A26" s="28" t="e">
        <f>"weapon_"&amp;G26&amp;"_"&amp;VLOOKUP(H26, Factor!$T$5:$AB$7, 9, 0)&amp;"_"&amp;IF(COUNTIFS($G$4:G25, G26, $H$4:H25, H26)+1&gt;=100, COUNTIFS($G$4:G25, G26, $H$4:H25, H26)+1,IF(COUNTIFS($G$4:G25, G26, $H$4:H25, H26)+1&gt;=10, "0"&amp;COUNTIFS($G$4:G25, G26, $H$4:H25, H26)+1, "00"&amp;COUNTIFS($G$4:G25, G26, $H$4:H25, H26)+1))</f>
        <v>#N/A</v>
      </c>
      <c r="B26" s="37" t="str">
        <f t="shared" si="0"/>
        <v xml:space="preserve"> </v>
      </c>
      <c r="C26" s="37"/>
      <c r="D26" s="37"/>
      <c r="E26" s="37"/>
      <c r="F26" s="29" t="e">
        <f>VLOOKUP(C26, Factor!$AD$5:$AE$15, 2, 0)</f>
        <v>#N/A</v>
      </c>
      <c r="G26" s="29" t="e">
        <f>VLOOKUP(E26, Factor!$CL$5:$CV$50, 2, 0)</f>
        <v>#N/A</v>
      </c>
      <c r="H26" s="29" t="e">
        <f>VLOOKUP(E26, Factor!$CL$5:$CV$50, 3, 0)</f>
        <v>#N/A</v>
      </c>
      <c r="I26" s="29" t="e">
        <f>VLOOKUP(E26, Factor!$CL$5:$CV$50, 4, 0)</f>
        <v>#N/A</v>
      </c>
      <c r="J26" s="29" t="e">
        <f>VLOOKUP(E26, Factor!$CL$5:$CV$50, 5, 0)</f>
        <v>#N/A</v>
      </c>
      <c r="K26" s="29">
        <v>1</v>
      </c>
      <c r="L26" s="29" t="e">
        <f>VLOOKUP(E26, Factor!$CL$5:$CV$50, 6, 0)*K26*VLOOKUP(D26, Factor!$BZ$5:$CJ$49, 9, 0)</f>
        <v>#N/A</v>
      </c>
      <c r="M26" s="29" t="e">
        <f>VLOOKUP(E26, Factor!$CL$5:$CV$50, 7, 0)</f>
        <v>#N/A</v>
      </c>
      <c r="N26" s="29">
        <v>1</v>
      </c>
      <c r="O26" s="29" t="e">
        <f>VLOOKUP(E26, Factor!$CL$5:$CV$50, 8, 0)*N26*VLOOKUP(D26, Factor!$BZ$5:$CJ$49, 10, 0)</f>
        <v>#N/A</v>
      </c>
      <c r="P26" s="29">
        <v>1</v>
      </c>
      <c r="Q26" s="29" t="e">
        <f>VLOOKUP(E26, Factor!$CL$5:$CV$50, 9, 0)*P26*VLOOKUP(D26, Factor!$BZ$5:$CJ$49, 11, 0)</f>
        <v>#N/A</v>
      </c>
      <c r="R26" s="29" t="e">
        <f>VLOOKUP(E26, Factor!$CL$5:$CV$50, 10, 0)</f>
        <v>#N/A</v>
      </c>
      <c r="S26" s="29" t="e">
        <f>VLOOKUP(E26, Factor!$CL$5:$CV$50, 11, 0)</f>
        <v>#N/A</v>
      </c>
      <c r="T26" s="29">
        <v>1</v>
      </c>
      <c r="U26" s="29">
        <v>1</v>
      </c>
      <c r="V26" s="29">
        <v>1</v>
      </c>
      <c r="W26" s="29">
        <v>1</v>
      </c>
      <c r="X26" s="29">
        <v>1</v>
      </c>
      <c r="Y26" s="29">
        <v>1</v>
      </c>
      <c r="Z26" s="29">
        <v>1</v>
      </c>
      <c r="AA26" s="29" t="e" cm="1">
        <f t="array" ref="AA26">_xlfn.LET(_xlpm.기본_색인번호, 2,
_xlpm.추가_색인번호, 3,
_xlpm.개별보정치, T26,
_xlpm.패턴보정치, VLOOKUP($G26, Factor!$B$5:$I$51, _xlpm.기본_색인번호, 0),
_xlpm.소모탄환보정치, VLOOKUP($H26, Factor!$T$5:$AA$51, _xlpm.기본_색인번호, 0),
_xlpm.지형보정치, VLOOKUP($I26, Factor!$K$12:$R$13, _xlpm.기본_색인번호, 0),
_xlpm.공격속성보정치, VLOOKUP($J26, Factor!$K$5:$R$7, _xlpm.기본_색인번호, 0),
_xlpm.피해범위보정치, INDEX(Factor!$AN$5:$AV$51, _xlfn.XMATCH(IF(OR($G26="blast", $G26="curved",  $G26= "debuff"), $L26, 0), Factor!$AN$5:$AN$51, -1), _xlpm.추가_색인번호)-IF(AND(OR($G26="blast", $G26="curved", $G26= "debuff"), MOD($L26,1)&lt;&gt;0),INDEX(Factor!$AN$5:$AV$51, _xlfn.XMATCH(IF(OR($G26="blast", $G26="curved", $G26= "debuff"), $L26, 0), Factor!$AN$5:$AN$51, -1), 2)*MOD($L26,1)*10,0),
_xlpm.상태이상보정치, VLOOKUP(IF($G26 = "debuff", $M26, "null"), Factor!$AX$5:$BE$51, _xlpm.기본_색인번호, 0),
_xlpm.지속시간보정치, INDEX(Factor!$BG$5:$BO$51, _xlfn.XMATCH(IF(OR($G26 ="debuff", $G26 = "shot", $G26 = "pierce"), $O26, 0), Factor!$BG$5:$BG$51, -1), _xlpm.추가_색인번호)-IF(AND(OR($G26 ="debuff", $G26 = "shot", $G26 = "pierce"), MOD($O26, 1)&lt;&gt;0), 10*MOD($O26, 1)*INDEX(Factor!$BG$5:$BO$51, _xlfn.XMATCH(IF(OR($G26 ="debuff", $G26 = "shot", $G26 = "pierce"), $O26, 0), Factor!$BG$5:$BG$51, -1), 2), 0),
_xlpm.탄환개수보정치, VLOOKUP(IF(OR($G26 = "curved", $G26 = "shot"), $Q26, 1), Factor!$BQ$5:$BX$51, _xlpm.기본_색인번호, 0),
_xlpm.상태이상탄환생성위치보정치, IF($G26 = "debuff", VLOOKUP($R26, Factor!$K$18:$R$19, _xlpm.기본_색인번호, 0),1),
_xlpm.상태이상탄환형태보정치, IF($G26 = "debuff", VLOOKUP($S26, Factor!$K$24:$R$25, _xlpm.기본_색인번호, 0),1),
_xlpm.가격보정치, INDEX(Factor!$AE$5:$AL$51, _xlfn.XMATCH($F26,Factor!$AE$5:$AE$51, -1), _xlpm.기본_색인번호),
_xlpm.구경보정치, VLOOKUP($D26,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26" s="29" t="e" cm="1">
        <f t="array" ref="AB26">_xlfn.LET(_xlpm.기본_색인번호, 3,
_xlpm.추가_색인번호, 4,
_xlpm.개별보정치, U26,
_xlpm.패턴보정치, VLOOKUP($G26, Factor!$B$5:$I$51, _xlpm.기본_색인번호, 0),
_xlpm.소모탄환보정치, VLOOKUP($H26, Factor!$T$5:$AA$51, _xlpm.기본_색인번호, 0),
_xlpm.지형보정치, VLOOKUP($I26, Factor!$K$12:$R$13, _xlpm.기본_색인번호, 0),
_xlpm.공격속성보정치, VLOOKUP($J26, Factor!$K$5:$R$7, _xlpm.기본_색인번호, 0),
_xlpm.피해범위보정치, INDEX(Factor!$AN$5:$AV$51, _xlfn.XMATCH(IF(OR($G26="blast", $G26="curved",  $G26= "debuff"), $L26, 0), Factor!$AN$5:$AN$51, -1), _xlpm.추가_색인번호)-IF(AND(OR($G26="blast", $G26="curved", $G26= "debuff"), MOD($L26,1)&lt;&gt;0),INDEX(Factor!$AN$5:$AV$51, _xlfn.XMATCH(IF(OR($G26="blast", $G26="curved", $G26= "debuff"), $L26, 0), Factor!$AN$5:$AN$51, -1), 2)*MOD($L26,1)*10,0),
_xlpm.상태이상보정치, VLOOKUP(IF($G26 = "debuff", $M26, "null"), Factor!$AX$5:$BE$51, _xlpm.기본_색인번호, 0),
_xlpm.지속시간보정치, INDEX(Factor!$BG$5:$BO$51, _xlfn.XMATCH(IF(OR($G26 ="debuff", $G26 = "shot", $G26 = "pierce"), $O26, 0), Factor!$BG$5:$BG$51, -1), _xlpm.추가_색인번호)-IF(AND(OR($G26 ="debuff", $G26 = "shot", $G26 = "pierce"), MOD($O26, 1)&lt;&gt;0), 10*MOD($O26, 1)*INDEX(Factor!$BG$5:$BO$51, _xlfn.XMATCH(IF(OR($G26 ="debuff", $G26 = "shot", $G26 = "pierce"), $O26, 0), Factor!$BG$5:$BG$51, -1), 2), 0),
_xlpm.탄환개수보정치, VLOOKUP(IF(OR($G26 = "curved", $G26 = "shot"), $Q26, 1), Factor!$BQ$5:$BX$51, _xlpm.기본_색인번호, 0),
_xlpm.상태이상탄환생성위치보정치, IF($G26 = "debuff", VLOOKUP($R26, Factor!$K$18:$R$19, _xlpm.기본_색인번호, 0),1),
_xlpm.상태이상탄환형태보정치, IF($G26 = "debuff", VLOOKUP($S26, Factor!$K$24:$R$25, _xlpm.기본_색인번호, 0),1),
_xlpm.가격보정치, INDEX(Factor!$AE$5:$AL$51, _xlfn.XMATCH($F26,Factor!$AE$5:$AE$51, -1), _xlpm.기본_색인번호),
_xlpm.구경보정치, VLOOKUP($D26,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26" s="29" t="e" cm="1">
        <f t="array" ref="AC26">_xlfn.LET(_xlpm.기본_색인번호, 4,
_xlpm.추가_색인번호, 5,
_xlpm.개별보정치, V26,
_xlpm.패턴보정치, VLOOKUP($G26, Factor!$B$5:$I$51, _xlpm.기본_색인번호, 0),
_xlpm.소모탄환보정치, VLOOKUP($H26, Factor!$T$5:$AA$51, _xlpm.기본_색인번호, 0),
_xlpm.지형보정치, VLOOKUP($I26, Factor!$K$12:$R$13, _xlpm.기본_색인번호, 0),
_xlpm.공격속성보정치, VLOOKUP($J26, Factor!$K$5:$R$7, _xlpm.기본_색인번호, 0),
_xlpm.피해범위보정치, INDEX(Factor!$AN$5:$AV$51, _xlfn.XMATCH(IF(OR($G26="blast", $G26="curved",  $G26= "debuff"), $L26, 0), Factor!$AN$5:$AN$51, -1), _xlpm.추가_색인번호)-IF(AND(OR($G26="blast", $G26="curved", $G26= "debuff"), MOD($L26,1)&lt;&gt;0),INDEX(Factor!$AN$5:$AV$51, _xlfn.XMATCH(IF(OR($G26="blast", $G26="curved", $G26= "debuff"), $L26, 0), Factor!$AN$5:$AN$51, -1), 2)*MOD($L26,1)*10,0),
_xlpm.상태이상보정치, VLOOKUP(IF($G26 = "debuff", $M26, "null"), Factor!$AX$5:$BE$51, _xlpm.기본_색인번호, 0),
_xlpm.지속시간보정치, INDEX(Factor!$BG$5:$BO$51, _xlfn.XMATCH(IF(OR($G26 ="debuff", $G26 = "shot", $G26 = "pierce"), $O26, 0), Factor!$BG$5:$BG$51, -1), _xlpm.추가_색인번호)-IF(AND(OR($G26 ="debuff", $G26 = "shot", $G26 = "pierce"), MOD($O26, 1)&lt;&gt;0), 10*MOD($O26, 1)*INDEX(Factor!$BG$5:$BO$51, _xlfn.XMATCH(IF(OR($G26 ="debuff", $G26 = "shot", $G26 = "pierce"), $O26, 0), Factor!$BG$5:$BG$51, -1), 2), 0),
_xlpm.탄환개수보정치, VLOOKUP(IF(OR($G26 = "curved", $G26 = "shot"), $Q26, 1), Factor!$BQ$5:$BX$51, _xlpm.기본_색인번호, 0),
_xlpm.상태이상탄환생성위치보정치, IF($G26 = "debuff", VLOOKUP($R26, Factor!$K$18:$R$19, _xlpm.기본_색인번호, 0),1),
_xlpm.상태이상탄환형태보정치, IF($G26 = "debuff", VLOOKUP($S26, Factor!$K$24:$R$25, _xlpm.기본_색인번호, 0),1),
_xlpm.가격보정치, INDEX(Factor!$AE$5:$AL$51, _xlfn.XMATCH($F26,Factor!$AE$5:$AE$51, -1), _xlpm.기본_색인번호),
_xlpm.구경보정치, VLOOKUP($D26,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26" s="29" t="e" cm="1">
        <f t="array" ref="AD26">_xlfn.LET(_xlpm.기본_색인번호, 5,
_xlpm.추가_색인번호, 6,
_xlpm.개별보정치, W26,
_xlpm.패턴보정치, VLOOKUP($G26, Factor!$B$5:$I$51, _xlpm.기본_색인번호, 0),
_xlpm.소모탄환보정치, VLOOKUP($H26, Factor!$T$5:$AA$51, _xlpm.기본_색인번호, 0),
_xlpm.지형보정치, VLOOKUP($I26, Factor!$K$12:$R$13, _xlpm.기본_색인번호, 0),
_xlpm.공격속성보정치, VLOOKUP($J26, Factor!$K$5:$R$7, _xlpm.기본_색인번호, 0),
_xlpm.피해범위보정치, INDEX(Factor!$AN$5:$AV$51, _xlfn.XMATCH(IF(OR($G26="blast", $G26="curved",  $G26= "debuff"), $L26, 0), Factor!$AN$5:$AN$51, -1), _xlpm.추가_색인번호)-IF(AND(OR($G26="blast", $G26="curved", $G26= "debuff"), MOD($L26,1)&lt;&gt;0),INDEX(Factor!$AN$5:$AV$51, _xlfn.XMATCH(IF(OR($G26="blast", $G26="curved", $G26= "debuff"), $L26, 0), Factor!$AN$5:$AN$51, -1), 2)*MOD($L26,1)*10,0),
_xlpm.상태이상보정치, VLOOKUP(IF($G26 = "debuff", $M26, "null"), Factor!$AX$5:$BE$51, _xlpm.기본_색인번호, 0),
_xlpm.지속시간보정치, INDEX(Factor!$BG$5:$BO$51, _xlfn.XMATCH(IF(OR($G26 ="debuff", $G26 = "shot", $G26 = "pierce"), $O26, 0), Factor!$BG$5:$BG$51, -1), _xlpm.추가_색인번호)-IF(AND(OR($G26 ="debuff", $G26 = "shot", $G26 = "pierce"), MOD($O26, 1)&lt;&gt;0), 10*MOD($O26, 1)*INDEX(Factor!$BG$5:$BO$51, _xlfn.XMATCH(IF(OR($G26 ="debuff", $G26 = "shot", $G26 = "pierce"), $O26, 0), Factor!$BG$5:$BG$51, -1), 2), 0),
_xlpm.탄환개수보정치, VLOOKUP(IF(OR($G26 = "curved", $G26 = "shot"), $Q26, 1), Factor!$BQ$5:$BX$51, _xlpm.기본_색인번호, 0),
_xlpm.상태이상탄환생성위치보정치, IF($G26 = "debuff", VLOOKUP($R26, Factor!$K$18:$R$19, _xlpm.기본_색인번호, 0),1),
_xlpm.상태이상탄환형태보정치, IF($G26 = "debuff", VLOOKUP($S26, Factor!$K$24:$R$25, _xlpm.기본_색인번호, 0),1),
_xlpm.가격보정치, INDEX(Factor!$AE$5:$AL$51, _xlfn.XMATCH($F26,Factor!$AE$5:$AE$51, -1), _xlpm.기본_색인번호),
_xlpm.구경보정치, VLOOKUP($D26,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26" s="29" t="e" cm="1">
        <f t="array" ref="AE26">_xlfn.LET(_xlpm.기본_색인번호, 6,
_xlpm.추가_색인번호, 7,
_xlpm.개별보정치, X26,
_xlpm.패턴보정치, VLOOKUP($G26, Factor!$B$5:$I$51, _xlpm.기본_색인번호, 0),
_xlpm.소모탄환보정치, VLOOKUP($H26, Factor!$T$5:$AA$51, _xlpm.기본_색인번호, 0),
_xlpm.지형보정치, VLOOKUP($I26, Factor!$K$12:$R$13, _xlpm.기본_색인번호, 0),
_xlpm.공격속성보정치, VLOOKUP($J26, Factor!$K$5:$R$7, _xlpm.기본_색인번호, 0),
_xlpm.피해범위보정치, INDEX(Factor!$AN$5:$AV$51, _xlfn.XMATCH(IF(OR($G26="blast", $G26="curved",  $G26= "debuff"), $L26, 0), Factor!$AN$5:$AN$51, -1), _xlpm.추가_색인번호)-IF(AND(OR($G26="blast", $G26="curved", $G26= "debuff"), MOD($L26,1)&lt;&gt;0),INDEX(Factor!$AN$5:$AV$51, _xlfn.XMATCH(IF(OR($G26="blast", $G26="curved", $G26= "debuff"), $L26, 0), Factor!$AN$5:$AN$51, -1), 2)*MOD($L26,1)*10,0),
_xlpm.상태이상보정치, VLOOKUP(IF($G26 = "debuff", $M26, "null"), Factor!$AX$5:$BE$51, _xlpm.기본_색인번호, 0),
_xlpm.지속시간보정치, INDEX(Factor!$BG$5:$BO$51, _xlfn.XMATCH(IF(OR($G26 ="debuff", $G26 = "shot", $G26 = "pierce"), $O26, 0), Factor!$BG$5:$BG$51, -1), _xlpm.추가_색인번호)-IF(AND(OR($G26 ="debuff", $G26 = "shot", $G26 = "pierce"), MOD($O26, 1)&lt;&gt;0), 10*MOD($O26, 1)*INDEX(Factor!$BG$5:$BO$51, _xlfn.XMATCH(IF(OR($G26 ="debuff", $G26 = "shot", $G26 = "pierce"), $O26, 0), Factor!$BG$5:$BG$51, -1), 2), 0),
_xlpm.탄환개수보정치, VLOOKUP(IF(OR($G26 = "curved", $G26 = "shot"), $Q26, 1), Factor!$BQ$5:$BX$51, _xlpm.기본_색인번호, 0),
_xlpm.상태이상탄환생성위치보정치, IF($G26 = "debuff", VLOOKUP($R26, Factor!$K$18:$R$19, _xlpm.기본_색인번호, 0),1),
_xlpm.상태이상탄환형태보정치, IF($G26 = "debuff", VLOOKUP($S26, Factor!$K$24:$R$25, _xlpm.기본_색인번호, 0),1),
_xlpm.가격보정치, INDEX(Factor!$AE$5:$AL$51, _xlfn.XMATCH($F26,Factor!$AE$5:$AE$51, -1), _xlpm.기본_색인번호),
_xlpm.구경보정치, VLOOKUP($D26,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26" s="29" t="e" cm="1">
        <f t="array" ref="AF26">_xlfn.LET(_xlpm.기본_색인번호, 7,
_xlpm.추가_색인번호, 8,
_xlpm.개별보정치, Y26,
_xlpm.패턴보정치, VLOOKUP($G26, Factor!$B$5:$I$51, _xlpm.기본_색인번호, 0),
_xlpm.소모탄환보정치, VLOOKUP($H26, Factor!$T$5:$AA$51, _xlpm.기본_색인번호, 0),
_xlpm.지형보정치, VLOOKUP($I26, Factor!$K$12:$R$13, _xlpm.기본_색인번호, 0),
_xlpm.공격속성보정치, VLOOKUP($J26, Factor!$K$5:$R$7, _xlpm.기본_색인번호, 0),
_xlpm.피해범위보정치, INDEX(Factor!$AN$5:$AV$51, _xlfn.XMATCH(IF(OR($G26="blast", $G26="curved",  $G26= "debuff"), $L26, 0), Factor!$AN$5:$AN$51, -1), _xlpm.추가_색인번호)-IF(AND(OR($G26="blast", $G26="curved", $G26= "debuff"), MOD($L26,1)&lt;&gt;0),INDEX(Factor!$AN$5:$AV$51, _xlfn.XMATCH(IF(OR($G26="blast", $G26="curved", $G26= "debuff"), $L26, 0), Factor!$AN$5:$AN$51, -1), 2)*MOD($L26,1)*10,0),
_xlpm.상태이상보정치, VLOOKUP(IF($G26 = "debuff", $M26, "null"), Factor!$AX$5:$BE$51, _xlpm.기본_색인번호, 0),
_xlpm.지속시간보정치, INDEX(Factor!$BG$5:$BO$51, _xlfn.XMATCH(IF(OR($G26 ="debuff", $G26 = "shot", $G26 = "pierce"), $O26, 0), Factor!$BG$5:$BG$51, -1), _xlpm.추가_색인번호)-IF(AND(OR($G26 ="debuff", $G26 = "shot", $G26 = "pierce"), MOD($O26, 1)&lt;&gt;0), 10*MOD($O26, 1)*INDEX(Factor!$BG$5:$BO$51, _xlfn.XMATCH(IF(OR($G26 ="debuff", $G26 = "shot", $G26 = "pierce"), $O26, 0), Factor!$BG$5:$BG$51, -1), 2), 0),
_xlpm.탄환개수보정치, VLOOKUP(IF(OR($G26 = "curved", $G26 = "shot"), $Q26, 1), Factor!$BQ$5:$BX$51, _xlpm.기본_색인번호, 0),
_xlpm.상태이상탄환생성위치보정치, IF($G26 = "debuff", VLOOKUP($R26, Factor!$K$18:$R$19, _xlpm.기본_색인번호, 0),1),
_xlpm.상태이상탄환형태보정치, IF($G26 = "debuff", VLOOKUP($S26, Factor!$K$24:$R$25, _xlpm.기본_색인번호, 0),1),
_xlpm.가격보정치, INDEX(Factor!$AE$5:$AL$51, _xlfn.XMATCH($F26,Factor!$AE$5:$AE$51, -1), _xlpm.기본_색인번호),
_xlpm.구경보정치, VLOOKUP($D26,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26" s="30" t="e" cm="1">
        <f t="array" ref="AG26">_xlfn.LET(_xlpm.기본_색인번호, 8,
_xlpm.추가_색인번호, 9,
_xlpm.개별보정치, Z26,
_xlpm.패턴보정치, VLOOKUP($G26, Factor!$B$5:$I$51, _xlpm.기본_색인번호, 0),
_xlpm.소모탄환보정치, VLOOKUP($H26, Factor!$T$5:$AA$51, _xlpm.기본_색인번호, 0),
_xlpm.지형보정치, VLOOKUP($I26, Factor!$K$12:$R$13, _xlpm.기본_색인번호, 0),
_xlpm.공격속성보정치, VLOOKUP($J26, Factor!$K$5:$R$7, _xlpm.기본_색인번호, 0),
_xlpm.피해범위보정치, INDEX(Factor!$AN$5:$AV$51, _xlfn.XMATCH(IF(OR($G26="blast", $G26="curved",  $G26= "debuff"), $L26, 0), Factor!$AN$5:$AN$51, -1), _xlpm.추가_색인번호)-IF(AND(OR($G26="blast", $G26="curved", $G26= "debuff"), MOD($L26,1)&lt;&gt;0),INDEX(Factor!$AN$5:$AV$51, _xlfn.XMATCH(IF(OR($G26="blast", $G26="curved", $G26= "debuff"), $L26, 0), Factor!$AN$5:$AN$51, -1), 2)*MOD($L26,1)*10,0),
_xlpm.상태이상보정치, VLOOKUP(IF($G26 = "debuff", $M26, "null"), Factor!$AX$5:$BE$51, _xlpm.기본_색인번호, 0),
_xlpm.지속시간보정치, INDEX(Factor!$BG$5:$BO$51, _xlfn.XMATCH(IF(OR($G26 ="debuff", $G26 = "shot", $G26 = "pierce"), $O26, 0), Factor!$BG$5:$BG$51, -1), _xlpm.추가_색인번호)-IF(AND(OR($G26 ="debuff", $G26 = "shot", $G26 = "pierce"), MOD($O26, 1)&lt;&gt;0), 10*MOD($O26, 1)*INDEX(Factor!$BG$5:$BO$51, _xlfn.XMATCH(IF(OR($G26 ="debuff", $G26 = "shot", $G26 = "pierce"), $O26, 0), Factor!$BG$5:$BG$51, -1), 2), 0),
_xlpm.탄환개수보정치, VLOOKUP(IF(OR($G26 = "curved", $G26 = "shot"), $Q26, 1), Factor!$BQ$5:$BX$51, _xlpm.기본_색인번호, 0),
_xlpm.상태이상탄환생성위치보정치, IF($G26 = "debuff", VLOOKUP($R26, Factor!$K$18:$R$19, _xlpm.기본_색인번호, 0),1),
_xlpm.상태이상탄환형태보정치, IF($G26 = "debuff", VLOOKUP($S26, Factor!$K$24:$R$25, _xlpm.기본_색인번호, 0),1),
_xlpm.가격보정치, INDEX(Factor!$AE$5:$AL$51, _xlfn.XMATCH($F26,Factor!$AE$5:$AE$51, -1), _xlpm.기본_색인번호),
_xlpm.구경보정치, VLOOKUP($D26,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26"/>
      <c r="AI26"/>
      <c r="AJ26"/>
      <c r="AK26"/>
      <c r="AL26"/>
      <c r="AM26"/>
      <c r="AN26"/>
    </row>
    <row r="27" spans="1:40" ht="15.75" customHeight="1">
      <c r="A27" s="24" t="e">
        <f>"weapon_"&amp;G27&amp;"_"&amp;VLOOKUP(H27, Factor!$T$5:$AB$7, 9, 0)&amp;"_"&amp;IF(COUNTIFS($G$4:G26, G27, $H$4:H26, H27)+1&gt;=100, COUNTIFS($G$4:G26, G27, $H$4:H26, H27)+1,IF(COUNTIFS($G$4:G26, G27, $H$4:H26, H27)+1&gt;=10, "0"&amp;COUNTIFS($G$4:G26, G27, $H$4:H26, H27)+1, "00"&amp;COUNTIFS($G$4:G26, G27, $H$4:H26, H27)+1))</f>
        <v>#N/A</v>
      </c>
      <c r="B27" s="36" t="str">
        <f t="shared" si="0"/>
        <v xml:space="preserve"> </v>
      </c>
      <c r="C27" s="36"/>
      <c r="D27" s="36"/>
      <c r="E27" s="36"/>
      <c r="F27" s="25" t="e">
        <f>VLOOKUP(C27, Factor!$AD$5:$AE$15, 2, 0)</f>
        <v>#N/A</v>
      </c>
      <c r="G27" s="26" t="e">
        <f>VLOOKUP(E27, Factor!$CL$5:$CV$50, 2, 0)</f>
        <v>#N/A</v>
      </c>
      <c r="H27" s="25" t="e">
        <f>VLOOKUP(E27, Factor!$CL$5:$CV$50, 3, 0)</f>
        <v>#N/A</v>
      </c>
      <c r="I27" s="25" t="e">
        <f>VLOOKUP(E27, Factor!$CL$5:$CV$50, 4, 0)</f>
        <v>#N/A</v>
      </c>
      <c r="J27" s="25" t="e">
        <f>VLOOKUP(E27, Factor!$CL$5:$CV$50, 5, 0)</f>
        <v>#N/A</v>
      </c>
      <c r="K27" s="25">
        <v>1</v>
      </c>
      <c r="L27" s="25" t="e">
        <f>VLOOKUP(E27, Factor!$CL$5:$CV$50, 6, 0)*K27*VLOOKUP(D27, Factor!$BZ$5:$CJ$49, 9, 0)</f>
        <v>#N/A</v>
      </c>
      <c r="M27" s="25" t="e">
        <f>VLOOKUP(E27, Factor!$CL$5:$CV$50, 7, 0)</f>
        <v>#N/A</v>
      </c>
      <c r="N27" s="25">
        <v>1</v>
      </c>
      <c r="O27" s="25" t="e">
        <f>VLOOKUP(E27, Factor!$CL$5:$CV$50, 8, 0)*N27*VLOOKUP(D27, Factor!$BZ$5:$CJ$49, 10, 0)</f>
        <v>#N/A</v>
      </c>
      <c r="P27" s="25">
        <v>1</v>
      </c>
      <c r="Q27" s="25" t="e">
        <f>VLOOKUP(E27, Factor!$CL$5:$CV$50, 9, 0)*P27*VLOOKUP(D27, Factor!$BZ$5:$CJ$49, 11, 0)</f>
        <v>#N/A</v>
      </c>
      <c r="R27" s="25" t="e">
        <f>VLOOKUP(E27, Factor!$CL$5:$CV$50, 10, 0)</f>
        <v>#N/A</v>
      </c>
      <c r="S27" s="25" t="e">
        <f>VLOOKUP(E27, Factor!$CL$5:$CV$50, 11, 0)</f>
        <v>#N/A</v>
      </c>
      <c r="T27" s="25">
        <v>1</v>
      </c>
      <c r="U27" s="25">
        <v>1</v>
      </c>
      <c r="V27" s="25">
        <v>1</v>
      </c>
      <c r="W27" s="25">
        <v>1</v>
      </c>
      <c r="X27" s="25">
        <v>1</v>
      </c>
      <c r="Y27" s="25">
        <v>1</v>
      </c>
      <c r="Z27" s="25">
        <v>1</v>
      </c>
      <c r="AA27" s="25" t="e" cm="1">
        <f t="array" ref="AA27">_xlfn.LET(_xlpm.기본_색인번호, 2,
_xlpm.추가_색인번호, 3,
_xlpm.개별보정치, T27,
_xlpm.패턴보정치, VLOOKUP($G27, Factor!$B$5:$I$51, _xlpm.기본_색인번호, 0),
_xlpm.소모탄환보정치, VLOOKUP($H27, Factor!$T$5:$AA$51, _xlpm.기본_색인번호, 0),
_xlpm.지형보정치, VLOOKUP($I27, Factor!$K$12:$R$13, _xlpm.기본_색인번호, 0),
_xlpm.공격속성보정치, VLOOKUP($J27, Factor!$K$5:$R$7, _xlpm.기본_색인번호, 0),
_xlpm.피해범위보정치, INDEX(Factor!$AN$5:$AV$51, _xlfn.XMATCH(IF(OR($G27="blast", $G27="curved",  $G27= "debuff"), $L27, 0), Factor!$AN$5:$AN$51, -1), _xlpm.추가_색인번호)-IF(AND(OR($G27="blast", $G27="curved", $G27= "debuff"), MOD($L27,1)&lt;&gt;0),INDEX(Factor!$AN$5:$AV$51, _xlfn.XMATCH(IF(OR($G27="blast", $G27="curved", $G27= "debuff"), $L27, 0), Factor!$AN$5:$AN$51, -1), 2)*MOD($L27,1)*10,0),
_xlpm.상태이상보정치, VLOOKUP(IF($G27 = "debuff", $M27, "null"), Factor!$AX$5:$BE$51, _xlpm.기본_색인번호, 0),
_xlpm.지속시간보정치, INDEX(Factor!$BG$5:$BO$51, _xlfn.XMATCH(IF(OR($G27 ="debuff", $G27 = "shot", $G27 = "pierce"), $O27, 0), Factor!$BG$5:$BG$51, -1), _xlpm.추가_색인번호)-IF(AND(OR($G27 ="debuff", $G27 = "shot", $G27 = "pierce"), MOD($O27, 1)&lt;&gt;0), 10*MOD($O27, 1)*INDEX(Factor!$BG$5:$BO$51, _xlfn.XMATCH(IF(OR($G27 ="debuff", $G27 = "shot", $G27 = "pierce"), $O27, 0), Factor!$BG$5:$BG$51, -1), 2), 0),
_xlpm.탄환개수보정치, VLOOKUP(IF(OR($G27 = "curved", $G27 = "shot"), $Q27, 1), Factor!$BQ$5:$BX$51, _xlpm.기본_색인번호, 0),
_xlpm.상태이상탄환생성위치보정치, IF($G27 = "debuff", VLOOKUP($R27, Factor!$K$18:$R$19, _xlpm.기본_색인번호, 0),1),
_xlpm.상태이상탄환형태보정치, IF($G27 = "debuff", VLOOKUP($S27, Factor!$K$24:$R$25, _xlpm.기본_색인번호, 0),1),
_xlpm.가격보정치, INDEX(Factor!$AE$5:$AL$51, _xlfn.XMATCH($F27,Factor!$AE$5:$AE$51, -1), _xlpm.기본_색인번호),
_xlpm.구경보정치, VLOOKUP($D27,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27" s="25" t="e" cm="1">
        <f t="array" ref="AB27">_xlfn.LET(_xlpm.기본_색인번호, 3,
_xlpm.추가_색인번호, 4,
_xlpm.개별보정치, U27,
_xlpm.패턴보정치, VLOOKUP($G27, Factor!$B$5:$I$51, _xlpm.기본_색인번호, 0),
_xlpm.소모탄환보정치, VLOOKUP($H27, Factor!$T$5:$AA$51, _xlpm.기본_색인번호, 0),
_xlpm.지형보정치, VLOOKUP($I27, Factor!$K$12:$R$13, _xlpm.기본_색인번호, 0),
_xlpm.공격속성보정치, VLOOKUP($J27, Factor!$K$5:$R$7, _xlpm.기본_색인번호, 0),
_xlpm.피해범위보정치, INDEX(Factor!$AN$5:$AV$51, _xlfn.XMATCH(IF(OR($G27="blast", $G27="curved",  $G27= "debuff"), $L27, 0), Factor!$AN$5:$AN$51, -1), _xlpm.추가_색인번호)-IF(AND(OR($G27="blast", $G27="curved", $G27= "debuff"), MOD($L27,1)&lt;&gt;0),INDEX(Factor!$AN$5:$AV$51, _xlfn.XMATCH(IF(OR($G27="blast", $G27="curved", $G27= "debuff"), $L27, 0), Factor!$AN$5:$AN$51, -1), 2)*MOD($L27,1)*10,0),
_xlpm.상태이상보정치, VLOOKUP(IF($G27 = "debuff", $M27, "null"), Factor!$AX$5:$BE$51, _xlpm.기본_색인번호, 0),
_xlpm.지속시간보정치, INDEX(Factor!$BG$5:$BO$51, _xlfn.XMATCH(IF(OR($G27 ="debuff", $G27 = "shot", $G27 = "pierce"), $O27, 0), Factor!$BG$5:$BG$51, -1), _xlpm.추가_색인번호)-IF(AND(OR($G27 ="debuff", $G27 = "shot", $G27 = "pierce"), MOD($O27, 1)&lt;&gt;0), 10*MOD($O27, 1)*INDEX(Factor!$BG$5:$BO$51, _xlfn.XMATCH(IF(OR($G27 ="debuff", $G27 = "shot", $G27 = "pierce"), $O27, 0), Factor!$BG$5:$BG$51, -1), 2), 0),
_xlpm.탄환개수보정치, VLOOKUP(IF(OR($G27 = "curved", $G27 = "shot"), $Q27, 1), Factor!$BQ$5:$BX$51, _xlpm.기본_색인번호, 0),
_xlpm.상태이상탄환생성위치보정치, IF($G27 = "debuff", VLOOKUP($R27, Factor!$K$18:$R$19, _xlpm.기본_색인번호, 0),1),
_xlpm.상태이상탄환형태보정치, IF($G27 = "debuff", VLOOKUP($S27, Factor!$K$24:$R$25, _xlpm.기본_색인번호, 0),1),
_xlpm.가격보정치, INDEX(Factor!$AE$5:$AL$51, _xlfn.XMATCH($F27,Factor!$AE$5:$AE$51, -1), _xlpm.기본_색인번호),
_xlpm.구경보정치, VLOOKUP($D27,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27" s="25" t="e" cm="1">
        <f t="array" ref="AC27">_xlfn.LET(_xlpm.기본_색인번호, 4,
_xlpm.추가_색인번호, 5,
_xlpm.개별보정치, V27,
_xlpm.패턴보정치, VLOOKUP($G27, Factor!$B$5:$I$51, _xlpm.기본_색인번호, 0),
_xlpm.소모탄환보정치, VLOOKUP($H27, Factor!$T$5:$AA$51, _xlpm.기본_색인번호, 0),
_xlpm.지형보정치, VLOOKUP($I27, Factor!$K$12:$R$13, _xlpm.기본_색인번호, 0),
_xlpm.공격속성보정치, VLOOKUP($J27, Factor!$K$5:$R$7, _xlpm.기본_색인번호, 0),
_xlpm.피해범위보정치, INDEX(Factor!$AN$5:$AV$51, _xlfn.XMATCH(IF(OR($G27="blast", $G27="curved",  $G27= "debuff"), $L27, 0), Factor!$AN$5:$AN$51, -1), _xlpm.추가_색인번호)-IF(AND(OR($G27="blast", $G27="curved", $G27= "debuff"), MOD($L27,1)&lt;&gt;0),INDEX(Factor!$AN$5:$AV$51, _xlfn.XMATCH(IF(OR($G27="blast", $G27="curved", $G27= "debuff"), $L27, 0), Factor!$AN$5:$AN$51, -1), 2)*MOD($L27,1)*10,0),
_xlpm.상태이상보정치, VLOOKUP(IF($G27 = "debuff", $M27, "null"), Factor!$AX$5:$BE$51, _xlpm.기본_색인번호, 0),
_xlpm.지속시간보정치, INDEX(Factor!$BG$5:$BO$51, _xlfn.XMATCH(IF(OR($G27 ="debuff", $G27 = "shot", $G27 = "pierce"), $O27, 0), Factor!$BG$5:$BG$51, -1), _xlpm.추가_색인번호)-IF(AND(OR($G27 ="debuff", $G27 = "shot", $G27 = "pierce"), MOD($O27, 1)&lt;&gt;0), 10*MOD($O27, 1)*INDEX(Factor!$BG$5:$BO$51, _xlfn.XMATCH(IF(OR($G27 ="debuff", $G27 = "shot", $G27 = "pierce"), $O27, 0), Factor!$BG$5:$BG$51, -1), 2), 0),
_xlpm.탄환개수보정치, VLOOKUP(IF(OR($G27 = "curved", $G27 = "shot"), $Q27, 1), Factor!$BQ$5:$BX$51, _xlpm.기본_색인번호, 0),
_xlpm.상태이상탄환생성위치보정치, IF($G27 = "debuff", VLOOKUP($R27, Factor!$K$18:$R$19, _xlpm.기본_색인번호, 0),1),
_xlpm.상태이상탄환형태보정치, IF($G27 = "debuff", VLOOKUP($S27, Factor!$K$24:$R$25, _xlpm.기본_색인번호, 0),1),
_xlpm.가격보정치, INDEX(Factor!$AE$5:$AL$51, _xlfn.XMATCH($F27,Factor!$AE$5:$AE$51, -1), _xlpm.기본_색인번호),
_xlpm.구경보정치, VLOOKUP($D27,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27" s="25" t="e" cm="1">
        <f t="array" ref="AD27">_xlfn.LET(_xlpm.기본_색인번호, 5,
_xlpm.추가_색인번호, 6,
_xlpm.개별보정치, W27,
_xlpm.패턴보정치, VLOOKUP($G27, Factor!$B$5:$I$51, _xlpm.기본_색인번호, 0),
_xlpm.소모탄환보정치, VLOOKUP($H27, Factor!$T$5:$AA$51, _xlpm.기본_색인번호, 0),
_xlpm.지형보정치, VLOOKUP($I27, Factor!$K$12:$R$13, _xlpm.기본_색인번호, 0),
_xlpm.공격속성보정치, VLOOKUP($J27, Factor!$K$5:$R$7, _xlpm.기본_색인번호, 0),
_xlpm.피해범위보정치, INDEX(Factor!$AN$5:$AV$51, _xlfn.XMATCH(IF(OR($G27="blast", $G27="curved",  $G27= "debuff"), $L27, 0), Factor!$AN$5:$AN$51, -1), _xlpm.추가_색인번호)-IF(AND(OR($G27="blast", $G27="curved", $G27= "debuff"), MOD($L27,1)&lt;&gt;0),INDEX(Factor!$AN$5:$AV$51, _xlfn.XMATCH(IF(OR($G27="blast", $G27="curved", $G27= "debuff"), $L27, 0), Factor!$AN$5:$AN$51, -1), 2)*MOD($L27,1)*10,0),
_xlpm.상태이상보정치, VLOOKUP(IF($G27 = "debuff", $M27, "null"), Factor!$AX$5:$BE$51, _xlpm.기본_색인번호, 0),
_xlpm.지속시간보정치, INDEX(Factor!$BG$5:$BO$51, _xlfn.XMATCH(IF(OR($G27 ="debuff", $G27 = "shot", $G27 = "pierce"), $O27, 0), Factor!$BG$5:$BG$51, -1), _xlpm.추가_색인번호)-IF(AND(OR($G27 ="debuff", $G27 = "shot", $G27 = "pierce"), MOD($O27, 1)&lt;&gt;0), 10*MOD($O27, 1)*INDEX(Factor!$BG$5:$BO$51, _xlfn.XMATCH(IF(OR($G27 ="debuff", $G27 = "shot", $G27 = "pierce"), $O27, 0), Factor!$BG$5:$BG$51, -1), 2), 0),
_xlpm.탄환개수보정치, VLOOKUP(IF(OR($G27 = "curved", $G27 = "shot"), $Q27, 1), Factor!$BQ$5:$BX$51, _xlpm.기본_색인번호, 0),
_xlpm.상태이상탄환생성위치보정치, IF($G27 = "debuff", VLOOKUP($R27, Factor!$K$18:$R$19, _xlpm.기본_색인번호, 0),1),
_xlpm.상태이상탄환형태보정치, IF($G27 = "debuff", VLOOKUP($S27, Factor!$K$24:$R$25, _xlpm.기본_색인번호, 0),1),
_xlpm.가격보정치, INDEX(Factor!$AE$5:$AL$51, _xlfn.XMATCH($F27,Factor!$AE$5:$AE$51, -1), _xlpm.기본_색인번호),
_xlpm.구경보정치, VLOOKUP($D27,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27" s="25" t="e" cm="1">
        <f t="array" ref="AE27">_xlfn.LET(_xlpm.기본_색인번호, 6,
_xlpm.추가_색인번호, 7,
_xlpm.개별보정치, X27,
_xlpm.패턴보정치, VLOOKUP($G27, Factor!$B$5:$I$51, _xlpm.기본_색인번호, 0),
_xlpm.소모탄환보정치, VLOOKUP($H27, Factor!$T$5:$AA$51, _xlpm.기본_색인번호, 0),
_xlpm.지형보정치, VLOOKUP($I27, Factor!$K$12:$R$13, _xlpm.기본_색인번호, 0),
_xlpm.공격속성보정치, VLOOKUP($J27, Factor!$K$5:$R$7, _xlpm.기본_색인번호, 0),
_xlpm.피해범위보정치, INDEX(Factor!$AN$5:$AV$51, _xlfn.XMATCH(IF(OR($G27="blast", $G27="curved",  $G27= "debuff"), $L27, 0), Factor!$AN$5:$AN$51, -1), _xlpm.추가_색인번호)-IF(AND(OR($G27="blast", $G27="curved", $G27= "debuff"), MOD($L27,1)&lt;&gt;0),INDEX(Factor!$AN$5:$AV$51, _xlfn.XMATCH(IF(OR($G27="blast", $G27="curved", $G27= "debuff"), $L27, 0), Factor!$AN$5:$AN$51, -1), 2)*MOD($L27,1)*10,0),
_xlpm.상태이상보정치, VLOOKUP(IF($G27 = "debuff", $M27, "null"), Factor!$AX$5:$BE$51, _xlpm.기본_색인번호, 0),
_xlpm.지속시간보정치, INDEX(Factor!$BG$5:$BO$51, _xlfn.XMATCH(IF(OR($G27 ="debuff", $G27 = "shot", $G27 = "pierce"), $O27, 0), Factor!$BG$5:$BG$51, -1), _xlpm.추가_색인번호)-IF(AND(OR($G27 ="debuff", $G27 = "shot", $G27 = "pierce"), MOD($O27, 1)&lt;&gt;0), 10*MOD($O27, 1)*INDEX(Factor!$BG$5:$BO$51, _xlfn.XMATCH(IF(OR($G27 ="debuff", $G27 = "shot", $G27 = "pierce"), $O27, 0), Factor!$BG$5:$BG$51, -1), 2), 0),
_xlpm.탄환개수보정치, VLOOKUP(IF(OR($G27 = "curved", $G27 = "shot"), $Q27, 1), Factor!$BQ$5:$BX$51, _xlpm.기본_색인번호, 0),
_xlpm.상태이상탄환생성위치보정치, IF($G27 = "debuff", VLOOKUP($R27, Factor!$K$18:$R$19, _xlpm.기본_색인번호, 0),1),
_xlpm.상태이상탄환형태보정치, IF($G27 = "debuff", VLOOKUP($S27, Factor!$K$24:$R$25, _xlpm.기본_색인번호, 0),1),
_xlpm.가격보정치, INDEX(Factor!$AE$5:$AL$51, _xlfn.XMATCH($F27,Factor!$AE$5:$AE$51, -1), _xlpm.기본_색인번호),
_xlpm.구경보정치, VLOOKUP($D27,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27" s="25" t="e" cm="1">
        <f t="array" ref="AF27">_xlfn.LET(_xlpm.기본_색인번호, 7,
_xlpm.추가_색인번호, 8,
_xlpm.개별보정치, Y27,
_xlpm.패턴보정치, VLOOKUP($G27, Factor!$B$5:$I$51, _xlpm.기본_색인번호, 0),
_xlpm.소모탄환보정치, VLOOKUP($H27, Factor!$T$5:$AA$51, _xlpm.기본_색인번호, 0),
_xlpm.지형보정치, VLOOKUP($I27, Factor!$K$12:$R$13, _xlpm.기본_색인번호, 0),
_xlpm.공격속성보정치, VLOOKUP($J27, Factor!$K$5:$R$7, _xlpm.기본_색인번호, 0),
_xlpm.피해범위보정치, INDEX(Factor!$AN$5:$AV$51, _xlfn.XMATCH(IF(OR($G27="blast", $G27="curved",  $G27= "debuff"), $L27, 0), Factor!$AN$5:$AN$51, -1), _xlpm.추가_색인번호)-IF(AND(OR($G27="blast", $G27="curved", $G27= "debuff"), MOD($L27,1)&lt;&gt;0),INDEX(Factor!$AN$5:$AV$51, _xlfn.XMATCH(IF(OR($G27="blast", $G27="curved", $G27= "debuff"), $L27, 0), Factor!$AN$5:$AN$51, -1), 2)*MOD($L27,1)*10,0),
_xlpm.상태이상보정치, VLOOKUP(IF($G27 = "debuff", $M27, "null"), Factor!$AX$5:$BE$51, _xlpm.기본_색인번호, 0),
_xlpm.지속시간보정치, INDEX(Factor!$BG$5:$BO$51, _xlfn.XMATCH(IF(OR($G27 ="debuff", $G27 = "shot", $G27 = "pierce"), $O27, 0), Factor!$BG$5:$BG$51, -1), _xlpm.추가_색인번호)-IF(AND(OR($G27 ="debuff", $G27 = "shot", $G27 = "pierce"), MOD($O27, 1)&lt;&gt;0), 10*MOD($O27, 1)*INDEX(Factor!$BG$5:$BO$51, _xlfn.XMATCH(IF(OR($G27 ="debuff", $G27 = "shot", $G27 = "pierce"), $O27, 0), Factor!$BG$5:$BG$51, -1), 2), 0),
_xlpm.탄환개수보정치, VLOOKUP(IF(OR($G27 = "curved", $G27 = "shot"), $Q27, 1), Factor!$BQ$5:$BX$51, _xlpm.기본_색인번호, 0),
_xlpm.상태이상탄환생성위치보정치, IF($G27 = "debuff", VLOOKUP($R27, Factor!$K$18:$R$19, _xlpm.기본_색인번호, 0),1),
_xlpm.상태이상탄환형태보정치, IF($G27 = "debuff", VLOOKUP($S27, Factor!$K$24:$R$25, _xlpm.기본_색인번호, 0),1),
_xlpm.가격보정치, INDEX(Factor!$AE$5:$AL$51, _xlfn.XMATCH($F27,Factor!$AE$5:$AE$51, -1), _xlpm.기본_색인번호),
_xlpm.구경보정치, VLOOKUP($D27,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27" s="27" t="e" cm="1">
        <f t="array" ref="AG27">_xlfn.LET(_xlpm.기본_색인번호, 8,
_xlpm.추가_색인번호, 9,
_xlpm.개별보정치, Z27,
_xlpm.패턴보정치, VLOOKUP($G27, Factor!$B$5:$I$51, _xlpm.기본_색인번호, 0),
_xlpm.소모탄환보정치, VLOOKUP($H27, Factor!$T$5:$AA$51, _xlpm.기본_색인번호, 0),
_xlpm.지형보정치, VLOOKUP($I27, Factor!$K$12:$R$13, _xlpm.기본_색인번호, 0),
_xlpm.공격속성보정치, VLOOKUP($J27, Factor!$K$5:$R$7, _xlpm.기본_색인번호, 0),
_xlpm.피해범위보정치, INDEX(Factor!$AN$5:$AV$51, _xlfn.XMATCH(IF(OR($G27="blast", $G27="curved",  $G27= "debuff"), $L27, 0), Factor!$AN$5:$AN$51, -1), _xlpm.추가_색인번호)-IF(AND(OR($G27="blast", $G27="curved", $G27= "debuff"), MOD($L27,1)&lt;&gt;0),INDEX(Factor!$AN$5:$AV$51, _xlfn.XMATCH(IF(OR($G27="blast", $G27="curved", $G27= "debuff"), $L27, 0), Factor!$AN$5:$AN$51, -1), 2)*MOD($L27,1)*10,0),
_xlpm.상태이상보정치, VLOOKUP(IF($G27 = "debuff", $M27, "null"), Factor!$AX$5:$BE$51, _xlpm.기본_색인번호, 0),
_xlpm.지속시간보정치, INDEX(Factor!$BG$5:$BO$51, _xlfn.XMATCH(IF(OR($G27 ="debuff", $G27 = "shot", $G27 = "pierce"), $O27, 0), Factor!$BG$5:$BG$51, -1), _xlpm.추가_색인번호)-IF(AND(OR($G27 ="debuff", $G27 = "shot", $G27 = "pierce"), MOD($O27, 1)&lt;&gt;0), 10*MOD($O27, 1)*INDEX(Factor!$BG$5:$BO$51, _xlfn.XMATCH(IF(OR($G27 ="debuff", $G27 = "shot", $G27 = "pierce"), $O27, 0), Factor!$BG$5:$BG$51, -1), 2), 0),
_xlpm.탄환개수보정치, VLOOKUP(IF(OR($G27 = "curved", $G27 = "shot"), $Q27, 1), Factor!$BQ$5:$BX$51, _xlpm.기본_색인번호, 0),
_xlpm.상태이상탄환생성위치보정치, IF($G27 = "debuff", VLOOKUP($R27, Factor!$K$18:$R$19, _xlpm.기본_색인번호, 0),1),
_xlpm.상태이상탄환형태보정치, IF($G27 = "debuff", VLOOKUP($S27, Factor!$K$24:$R$25, _xlpm.기본_색인번호, 0),1),
_xlpm.가격보정치, INDEX(Factor!$AE$5:$AL$51, _xlfn.XMATCH($F27,Factor!$AE$5:$AE$51, -1), _xlpm.기본_색인번호),
_xlpm.구경보정치, VLOOKUP($D27,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27"/>
      <c r="AI27"/>
      <c r="AJ27"/>
      <c r="AK27"/>
      <c r="AL27"/>
      <c r="AM27"/>
      <c r="AN27"/>
    </row>
    <row r="28" spans="1:40" ht="15.75" customHeight="1">
      <c r="A28" s="28" t="e">
        <f>"weapon_"&amp;G28&amp;"_"&amp;VLOOKUP(H28, Factor!$T$5:$AB$7, 9, 0)&amp;"_"&amp;IF(COUNTIFS($G$4:G27, G28, $H$4:H27, H28)+1&gt;=100, COUNTIFS($G$4:G27, G28, $H$4:H27, H28)+1,IF(COUNTIFS($G$4:G27, G28, $H$4:H27, H28)+1&gt;=10, "0"&amp;COUNTIFS($G$4:G27, G28, $H$4:H27, H28)+1, "00"&amp;COUNTIFS($G$4:G27, G28, $H$4:H27, H28)+1))</f>
        <v>#N/A</v>
      </c>
      <c r="B28" s="37" t="str">
        <f t="shared" si="0"/>
        <v xml:space="preserve"> </v>
      </c>
      <c r="C28" s="37"/>
      <c r="D28" s="37"/>
      <c r="E28" s="37"/>
      <c r="F28" s="29" t="e">
        <f>VLOOKUP(C28, Factor!$AD$5:$AE$15, 2, 0)</f>
        <v>#N/A</v>
      </c>
      <c r="G28" s="29" t="e">
        <f>VLOOKUP(E28, Factor!$CL$5:$CV$50, 2, 0)</f>
        <v>#N/A</v>
      </c>
      <c r="H28" s="29" t="e">
        <f>VLOOKUP(E28, Factor!$CL$5:$CV$50, 3, 0)</f>
        <v>#N/A</v>
      </c>
      <c r="I28" s="29" t="e">
        <f>VLOOKUP(E28, Factor!$CL$5:$CV$50, 4, 0)</f>
        <v>#N/A</v>
      </c>
      <c r="J28" s="29" t="e">
        <f>VLOOKUP(E28, Factor!$CL$5:$CV$50, 5, 0)</f>
        <v>#N/A</v>
      </c>
      <c r="K28" s="29">
        <v>1</v>
      </c>
      <c r="L28" s="29" t="e">
        <f>VLOOKUP(E28, Factor!$CL$5:$CV$50, 6, 0)*K28*VLOOKUP(D28, Factor!$BZ$5:$CJ$49, 9, 0)</f>
        <v>#N/A</v>
      </c>
      <c r="M28" s="29" t="e">
        <f>VLOOKUP(E28, Factor!$CL$5:$CV$50, 7, 0)</f>
        <v>#N/A</v>
      </c>
      <c r="N28" s="29">
        <v>1</v>
      </c>
      <c r="O28" s="29" t="e">
        <f>VLOOKUP(E28, Factor!$CL$5:$CV$50, 8, 0)*N28*VLOOKUP(D28, Factor!$BZ$5:$CJ$49, 10, 0)</f>
        <v>#N/A</v>
      </c>
      <c r="P28" s="29">
        <v>1</v>
      </c>
      <c r="Q28" s="29" t="e">
        <f>VLOOKUP(E28, Factor!$CL$5:$CV$50, 9, 0)*P28*VLOOKUP(D28, Factor!$BZ$5:$CJ$49, 11, 0)</f>
        <v>#N/A</v>
      </c>
      <c r="R28" s="29" t="e">
        <f>VLOOKUP(E28, Factor!$CL$5:$CV$50, 10, 0)</f>
        <v>#N/A</v>
      </c>
      <c r="S28" s="29" t="e">
        <f>VLOOKUP(E28, Factor!$CL$5:$CV$50, 11, 0)</f>
        <v>#N/A</v>
      </c>
      <c r="T28" s="29">
        <v>1</v>
      </c>
      <c r="U28" s="29">
        <v>1</v>
      </c>
      <c r="V28" s="29">
        <v>1</v>
      </c>
      <c r="W28" s="29">
        <v>1</v>
      </c>
      <c r="X28" s="29">
        <v>1</v>
      </c>
      <c r="Y28" s="29">
        <v>1</v>
      </c>
      <c r="Z28" s="29">
        <v>1</v>
      </c>
      <c r="AA28" s="29" t="e" cm="1">
        <f t="array" ref="AA28">_xlfn.LET(_xlpm.기본_색인번호, 2,
_xlpm.추가_색인번호, 3,
_xlpm.개별보정치, T28,
_xlpm.패턴보정치, VLOOKUP($G28, Factor!$B$5:$I$51, _xlpm.기본_색인번호, 0),
_xlpm.소모탄환보정치, VLOOKUP($H28, Factor!$T$5:$AA$51, _xlpm.기본_색인번호, 0),
_xlpm.지형보정치, VLOOKUP($I28, Factor!$K$12:$R$13, _xlpm.기본_색인번호, 0),
_xlpm.공격속성보정치, VLOOKUP($J28, Factor!$K$5:$R$7, _xlpm.기본_색인번호, 0),
_xlpm.피해범위보정치, INDEX(Factor!$AN$5:$AV$51, _xlfn.XMATCH(IF(OR($G28="blast", $G28="curved",  $G28= "debuff"), $L28, 0), Factor!$AN$5:$AN$51, -1), _xlpm.추가_색인번호)-IF(AND(OR($G28="blast", $G28="curved", $G28= "debuff"), MOD($L28,1)&lt;&gt;0),INDEX(Factor!$AN$5:$AV$51, _xlfn.XMATCH(IF(OR($G28="blast", $G28="curved", $G28= "debuff"), $L28, 0), Factor!$AN$5:$AN$51, -1), 2)*MOD($L28,1)*10,0),
_xlpm.상태이상보정치, VLOOKUP(IF($G28 = "debuff", $M28, "null"), Factor!$AX$5:$BE$51, _xlpm.기본_색인번호, 0),
_xlpm.지속시간보정치, INDEX(Factor!$BG$5:$BO$51, _xlfn.XMATCH(IF(OR($G28 ="debuff", $G28 = "shot", $G28 = "pierce"), $O28, 0), Factor!$BG$5:$BG$51, -1), _xlpm.추가_색인번호)-IF(AND(OR($G28 ="debuff", $G28 = "shot", $G28 = "pierce"), MOD($O28, 1)&lt;&gt;0), 10*MOD($O28, 1)*INDEX(Factor!$BG$5:$BO$51, _xlfn.XMATCH(IF(OR($G28 ="debuff", $G28 = "shot", $G28 = "pierce"), $O28, 0), Factor!$BG$5:$BG$51, -1), 2), 0),
_xlpm.탄환개수보정치, VLOOKUP(IF(OR($G28 = "curved", $G28 = "shot"), $Q28, 1), Factor!$BQ$5:$BX$51, _xlpm.기본_색인번호, 0),
_xlpm.상태이상탄환생성위치보정치, IF($G28 = "debuff", VLOOKUP($R28, Factor!$K$18:$R$19, _xlpm.기본_색인번호, 0),1),
_xlpm.상태이상탄환형태보정치, IF($G28 = "debuff", VLOOKUP($S28, Factor!$K$24:$R$25, _xlpm.기본_색인번호, 0),1),
_xlpm.가격보정치, INDEX(Factor!$AE$5:$AL$51, _xlfn.XMATCH($F28,Factor!$AE$5:$AE$51, -1), _xlpm.기본_색인번호),
_xlpm.구경보정치, VLOOKUP($D28,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28" s="29" t="e" cm="1">
        <f t="array" ref="AB28">_xlfn.LET(_xlpm.기본_색인번호, 3,
_xlpm.추가_색인번호, 4,
_xlpm.개별보정치, U28,
_xlpm.패턴보정치, VLOOKUP($G28, Factor!$B$5:$I$51, _xlpm.기본_색인번호, 0),
_xlpm.소모탄환보정치, VLOOKUP($H28, Factor!$T$5:$AA$51, _xlpm.기본_색인번호, 0),
_xlpm.지형보정치, VLOOKUP($I28, Factor!$K$12:$R$13, _xlpm.기본_색인번호, 0),
_xlpm.공격속성보정치, VLOOKUP($J28, Factor!$K$5:$R$7, _xlpm.기본_색인번호, 0),
_xlpm.피해범위보정치, INDEX(Factor!$AN$5:$AV$51, _xlfn.XMATCH(IF(OR($G28="blast", $G28="curved",  $G28= "debuff"), $L28, 0), Factor!$AN$5:$AN$51, -1), _xlpm.추가_색인번호)-IF(AND(OR($G28="blast", $G28="curved", $G28= "debuff"), MOD($L28,1)&lt;&gt;0),INDEX(Factor!$AN$5:$AV$51, _xlfn.XMATCH(IF(OR($G28="blast", $G28="curved", $G28= "debuff"), $L28, 0), Factor!$AN$5:$AN$51, -1), 2)*MOD($L28,1)*10,0),
_xlpm.상태이상보정치, VLOOKUP(IF($G28 = "debuff", $M28, "null"), Factor!$AX$5:$BE$51, _xlpm.기본_색인번호, 0),
_xlpm.지속시간보정치, INDEX(Factor!$BG$5:$BO$51, _xlfn.XMATCH(IF(OR($G28 ="debuff", $G28 = "shot", $G28 = "pierce"), $O28, 0), Factor!$BG$5:$BG$51, -1), _xlpm.추가_색인번호)-IF(AND(OR($G28 ="debuff", $G28 = "shot", $G28 = "pierce"), MOD($O28, 1)&lt;&gt;0), 10*MOD($O28, 1)*INDEX(Factor!$BG$5:$BO$51, _xlfn.XMATCH(IF(OR($G28 ="debuff", $G28 = "shot", $G28 = "pierce"), $O28, 0), Factor!$BG$5:$BG$51, -1), 2), 0),
_xlpm.탄환개수보정치, VLOOKUP(IF(OR($G28 = "curved", $G28 = "shot"), $Q28, 1), Factor!$BQ$5:$BX$51, _xlpm.기본_색인번호, 0),
_xlpm.상태이상탄환생성위치보정치, IF($G28 = "debuff", VLOOKUP($R28, Factor!$K$18:$R$19, _xlpm.기본_색인번호, 0),1),
_xlpm.상태이상탄환형태보정치, IF($G28 = "debuff", VLOOKUP($S28, Factor!$K$24:$R$25, _xlpm.기본_색인번호, 0),1),
_xlpm.가격보정치, INDEX(Factor!$AE$5:$AL$51, _xlfn.XMATCH($F28,Factor!$AE$5:$AE$51, -1), _xlpm.기본_색인번호),
_xlpm.구경보정치, VLOOKUP($D28,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28" s="29" t="e" cm="1">
        <f t="array" ref="AC28">_xlfn.LET(_xlpm.기본_색인번호, 4,
_xlpm.추가_색인번호, 5,
_xlpm.개별보정치, V28,
_xlpm.패턴보정치, VLOOKUP($G28, Factor!$B$5:$I$51, _xlpm.기본_색인번호, 0),
_xlpm.소모탄환보정치, VLOOKUP($H28, Factor!$T$5:$AA$51, _xlpm.기본_색인번호, 0),
_xlpm.지형보정치, VLOOKUP($I28, Factor!$K$12:$R$13, _xlpm.기본_색인번호, 0),
_xlpm.공격속성보정치, VLOOKUP($J28, Factor!$K$5:$R$7, _xlpm.기본_색인번호, 0),
_xlpm.피해범위보정치, INDEX(Factor!$AN$5:$AV$51, _xlfn.XMATCH(IF(OR($G28="blast", $G28="curved",  $G28= "debuff"), $L28, 0), Factor!$AN$5:$AN$51, -1), _xlpm.추가_색인번호)-IF(AND(OR($G28="blast", $G28="curved", $G28= "debuff"), MOD($L28,1)&lt;&gt;0),INDEX(Factor!$AN$5:$AV$51, _xlfn.XMATCH(IF(OR($G28="blast", $G28="curved", $G28= "debuff"), $L28, 0), Factor!$AN$5:$AN$51, -1), 2)*MOD($L28,1)*10,0),
_xlpm.상태이상보정치, VLOOKUP(IF($G28 = "debuff", $M28, "null"), Factor!$AX$5:$BE$51, _xlpm.기본_색인번호, 0),
_xlpm.지속시간보정치, INDEX(Factor!$BG$5:$BO$51, _xlfn.XMATCH(IF(OR($G28 ="debuff", $G28 = "shot", $G28 = "pierce"), $O28, 0), Factor!$BG$5:$BG$51, -1), _xlpm.추가_색인번호)-IF(AND(OR($G28 ="debuff", $G28 = "shot", $G28 = "pierce"), MOD($O28, 1)&lt;&gt;0), 10*MOD($O28, 1)*INDEX(Factor!$BG$5:$BO$51, _xlfn.XMATCH(IF(OR($G28 ="debuff", $G28 = "shot", $G28 = "pierce"), $O28, 0), Factor!$BG$5:$BG$51, -1), 2), 0),
_xlpm.탄환개수보정치, VLOOKUP(IF(OR($G28 = "curved", $G28 = "shot"), $Q28, 1), Factor!$BQ$5:$BX$51, _xlpm.기본_색인번호, 0),
_xlpm.상태이상탄환생성위치보정치, IF($G28 = "debuff", VLOOKUP($R28, Factor!$K$18:$R$19, _xlpm.기본_색인번호, 0),1),
_xlpm.상태이상탄환형태보정치, IF($G28 = "debuff", VLOOKUP($S28, Factor!$K$24:$R$25, _xlpm.기본_색인번호, 0),1),
_xlpm.가격보정치, INDEX(Factor!$AE$5:$AL$51, _xlfn.XMATCH($F28,Factor!$AE$5:$AE$51, -1), _xlpm.기본_색인번호),
_xlpm.구경보정치, VLOOKUP($D28,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28" s="29" t="e" cm="1">
        <f t="array" ref="AD28">_xlfn.LET(_xlpm.기본_색인번호, 5,
_xlpm.추가_색인번호, 6,
_xlpm.개별보정치, W28,
_xlpm.패턴보정치, VLOOKUP($G28, Factor!$B$5:$I$51, _xlpm.기본_색인번호, 0),
_xlpm.소모탄환보정치, VLOOKUP($H28, Factor!$T$5:$AA$51, _xlpm.기본_색인번호, 0),
_xlpm.지형보정치, VLOOKUP($I28, Factor!$K$12:$R$13, _xlpm.기본_색인번호, 0),
_xlpm.공격속성보정치, VLOOKUP($J28, Factor!$K$5:$R$7, _xlpm.기본_색인번호, 0),
_xlpm.피해범위보정치, INDEX(Factor!$AN$5:$AV$51, _xlfn.XMATCH(IF(OR($G28="blast", $G28="curved",  $G28= "debuff"), $L28, 0), Factor!$AN$5:$AN$51, -1), _xlpm.추가_색인번호)-IF(AND(OR($G28="blast", $G28="curved", $G28= "debuff"), MOD($L28,1)&lt;&gt;0),INDEX(Factor!$AN$5:$AV$51, _xlfn.XMATCH(IF(OR($G28="blast", $G28="curved", $G28= "debuff"), $L28, 0), Factor!$AN$5:$AN$51, -1), 2)*MOD($L28,1)*10,0),
_xlpm.상태이상보정치, VLOOKUP(IF($G28 = "debuff", $M28, "null"), Factor!$AX$5:$BE$51, _xlpm.기본_색인번호, 0),
_xlpm.지속시간보정치, INDEX(Factor!$BG$5:$BO$51, _xlfn.XMATCH(IF(OR($G28 ="debuff", $G28 = "shot", $G28 = "pierce"), $O28, 0), Factor!$BG$5:$BG$51, -1), _xlpm.추가_색인번호)-IF(AND(OR($G28 ="debuff", $G28 = "shot", $G28 = "pierce"), MOD($O28, 1)&lt;&gt;0), 10*MOD($O28, 1)*INDEX(Factor!$BG$5:$BO$51, _xlfn.XMATCH(IF(OR($G28 ="debuff", $G28 = "shot", $G28 = "pierce"), $O28, 0), Factor!$BG$5:$BG$51, -1), 2), 0),
_xlpm.탄환개수보정치, VLOOKUP(IF(OR($G28 = "curved", $G28 = "shot"), $Q28, 1), Factor!$BQ$5:$BX$51, _xlpm.기본_색인번호, 0),
_xlpm.상태이상탄환생성위치보정치, IF($G28 = "debuff", VLOOKUP($R28, Factor!$K$18:$R$19, _xlpm.기본_색인번호, 0),1),
_xlpm.상태이상탄환형태보정치, IF($G28 = "debuff", VLOOKUP($S28, Factor!$K$24:$R$25, _xlpm.기본_색인번호, 0),1),
_xlpm.가격보정치, INDEX(Factor!$AE$5:$AL$51, _xlfn.XMATCH($F28,Factor!$AE$5:$AE$51, -1), _xlpm.기본_색인번호),
_xlpm.구경보정치, VLOOKUP($D28,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28" s="29" t="e" cm="1">
        <f t="array" ref="AE28">_xlfn.LET(_xlpm.기본_색인번호, 6,
_xlpm.추가_색인번호, 7,
_xlpm.개별보정치, X28,
_xlpm.패턴보정치, VLOOKUP($G28, Factor!$B$5:$I$51, _xlpm.기본_색인번호, 0),
_xlpm.소모탄환보정치, VLOOKUP($H28, Factor!$T$5:$AA$51, _xlpm.기본_색인번호, 0),
_xlpm.지형보정치, VLOOKUP($I28, Factor!$K$12:$R$13, _xlpm.기본_색인번호, 0),
_xlpm.공격속성보정치, VLOOKUP($J28, Factor!$K$5:$R$7, _xlpm.기본_색인번호, 0),
_xlpm.피해범위보정치, INDEX(Factor!$AN$5:$AV$51, _xlfn.XMATCH(IF(OR($G28="blast", $G28="curved",  $G28= "debuff"), $L28, 0), Factor!$AN$5:$AN$51, -1), _xlpm.추가_색인번호)-IF(AND(OR($G28="blast", $G28="curved", $G28= "debuff"), MOD($L28,1)&lt;&gt;0),INDEX(Factor!$AN$5:$AV$51, _xlfn.XMATCH(IF(OR($G28="blast", $G28="curved", $G28= "debuff"), $L28, 0), Factor!$AN$5:$AN$51, -1), 2)*MOD($L28,1)*10,0),
_xlpm.상태이상보정치, VLOOKUP(IF($G28 = "debuff", $M28, "null"), Factor!$AX$5:$BE$51, _xlpm.기본_색인번호, 0),
_xlpm.지속시간보정치, INDEX(Factor!$BG$5:$BO$51, _xlfn.XMATCH(IF(OR($G28 ="debuff", $G28 = "shot", $G28 = "pierce"), $O28, 0), Factor!$BG$5:$BG$51, -1), _xlpm.추가_색인번호)-IF(AND(OR($G28 ="debuff", $G28 = "shot", $G28 = "pierce"), MOD($O28, 1)&lt;&gt;0), 10*MOD($O28, 1)*INDEX(Factor!$BG$5:$BO$51, _xlfn.XMATCH(IF(OR($G28 ="debuff", $G28 = "shot", $G28 = "pierce"), $O28, 0), Factor!$BG$5:$BG$51, -1), 2), 0),
_xlpm.탄환개수보정치, VLOOKUP(IF(OR($G28 = "curved", $G28 = "shot"), $Q28, 1), Factor!$BQ$5:$BX$51, _xlpm.기본_색인번호, 0),
_xlpm.상태이상탄환생성위치보정치, IF($G28 = "debuff", VLOOKUP($R28, Factor!$K$18:$R$19, _xlpm.기본_색인번호, 0),1),
_xlpm.상태이상탄환형태보정치, IF($G28 = "debuff", VLOOKUP($S28, Factor!$K$24:$R$25, _xlpm.기본_색인번호, 0),1),
_xlpm.가격보정치, INDEX(Factor!$AE$5:$AL$51, _xlfn.XMATCH($F28,Factor!$AE$5:$AE$51, -1), _xlpm.기본_색인번호),
_xlpm.구경보정치, VLOOKUP($D28,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28" s="29" t="e" cm="1">
        <f t="array" ref="AF28">_xlfn.LET(_xlpm.기본_색인번호, 7,
_xlpm.추가_색인번호, 8,
_xlpm.개별보정치, Y28,
_xlpm.패턴보정치, VLOOKUP($G28, Factor!$B$5:$I$51, _xlpm.기본_색인번호, 0),
_xlpm.소모탄환보정치, VLOOKUP($H28, Factor!$T$5:$AA$51, _xlpm.기본_색인번호, 0),
_xlpm.지형보정치, VLOOKUP($I28, Factor!$K$12:$R$13, _xlpm.기본_색인번호, 0),
_xlpm.공격속성보정치, VLOOKUP($J28, Factor!$K$5:$R$7, _xlpm.기본_색인번호, 0),
_xlpm.피해범위보정치, INDEX(Factor!$AN$5:$AV$51, _xlfn.XMATCH(IF(OR($G28="blast", $G28="curved",  $G28= "debuff"), $L28, 0), Factor!$AN$5:$AN$51, -1), _xlpm.추가_색인번호)-IF(AND(OR($G28="blast", $G28="curved", $G28= "debuff"), MOD($L28,1)&lt;&gt;0),INDEX(Factor!$AN$5:$AV$51, _xlfn.XMATCH(IF(OR($G28="blast", $G28="curved", $G28= "debuff"), $L28, 0), Factor!$AN$5:$AN$51, -1), 2)*MOD($L28,1)*10,0),
_xlpm.상태이상보정치, VLOOKUP(IF($G28 = "debuff", $M28, "null"), Factor!$AX$5:$BE$51, _xlpm.기본_색인번호, 0),
_xlpm.지속시간보정치, INDEX(Factor!$BG$5:$BO$51, _xlfn.XMATCH(IF(OR($G28 ="debuff", $G28 = "shot", $G28 = "pierce"), $O28, 0), Factor!$BG$5:$BG$51, -1), _xlpm.추가_색인번호)-IF(AND(OR($G28 ="debuff", $G28 = "shot", $G28 = "pierce"), MOD($O28, 1)&lt;&gt;0), 10*MOD($O28, 1)*INDEX(Factor!$BG$5:$BO$51, _xlfn.XMATCH(IF(OR($G28 ="debuff", $G28 = "shot", $G28 = "pierce"), $O28, 0), Factor!$BG$5:$BG$51, -1), 2), 0),
_xlpm.탄환개수보정치, VLOOKUP(IF(OR($G28 = "curved", $G28 = "shot"), $Q28, 1), Factor!$BQ$5:$BX$51, _xlpm.기본_색인번호, 0),
_xlpm.상태이상탄환생성위치보정치, IF($G28 = "debuff", VLOOKUP($R28, Factor!$K$18:$R$19, _xlpm.기본_색인번호, 0),1),
_xlpm.상태이상탄환형태보정치, IF($G28 = "debuff", VLOOKUP($S28, Factor!$K$24:$R$25, _xlpm.기본_색인번호, 0),1),
_xlpm.가격보정치, INDEX(Factor!$AE$5:$AL$51, _xlfn.XMATCH($F28,Factor!$AE$5:$AE$51, -1), _xlpm.기본_색인번호),
_xlpm.구경보정치, VLOOKUP($D28,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28" s="30" t="e" cm="1">
        <f t="array" ref="AG28">_xlfn.LET(_xlpm.기본_색인번호, 8,
_xlpm.추가_색인번호, 9,
_xlpm.개별보정치, Z28,
_xlpm.패턴보정치, VLOOKUP($G28, Factor!$B$5:$I$51, _xlpm.기본_색인번호, 0),
_xlpm.소모탄환보정치, VLOOKUP($H28, Factor!$T$5:$AA$51, _xlpm.기본_색인번호, 0),
_xlpm.지형보정치, VLOOKUP($I28, Factor!$K$12:$R$13, _xlpm.기본_색인번호, 0),
_xlpm.공격속성보정치, VLOOKUP($J28, Factor!$K$5:$R$7, _xlpm.기본_색인번호, 0),
_xlpm.피해범위보정치, INDEX(Factor!$AN$5:$AV$51, _xlfn.XMATCH(IF(OR($G28="blast", $G28="curved",  $G28= "debuff"), $L28, 0), Factor!$AN$5:$AN$51, -1), _xlpm.추가_색인번호)-IF(AND(OR($G28="blast", $G28="curved", $G28= "debuff"), MOD($L28,1)&lt;&gt;0),INDEX(Factor!$AN$5:$AV$51, _xlfn.XMATCH(IF(OR($G28="blast", $G28="curved", $G28= "debuff"), $L28, 0), Factor!$AN$5:$AN$51, -1), 2)*MOD($L28,1)*10,0),
_xlpm.상태이상보정치, VLOOKUP(IF($G28 = "debuff", $M28, "null"), Factor!$AX$5:$BE$51, _xlpm.기본_색인번호, 0),
_xlpm.지속시간보정치, INDEX(Factor!$BG$5:$BO$51, _xlfn.XMATCH(IF(OR($G28 ="debuff", $G28 = "shot", $G28 = "pierce"), $O28, 0), Factor!$BG$5:$BG$51, -1), _xlpm.추가_색인번호)-IF(AND(OR($G28 ="debuff", $G28 = "shot", $G28 = "pierce"), MOD($O28, 1)&lt;&gt;0), 10*MOD($O28, 1)*INDEX(Factor!$BG$5:$BO$51, _xlfn.XMATCH(IF(OR($G28 ="debuff", $G28 = "shot", $G28 = "pierce"), $O28, 0), Factor!$BG$5:$BG$51, -1), 2), 0),
_xlpm.탄환개수보정치, VLOOKUP(IF(OR($G28 = "curved", $G28 = "shot"), $Q28, 1), Factor!$BQ$5:$BX$51, _xlpm.기본_색인번호, 0),
_xlpm.상태이상탄환생성위치보정치, IF($G28 = "debuff", VLOOKUP($R28, Factor!$K$18:$R$19, _xlpm.기본_색인번호, 0),1),
_xlpm.상태이상탄환형태보정치, IF($G28 = "debuff", VLOOKUP($S28, Factor!$K$24:$R$25, _xlpm.기본_색인번호, 0),1),
_xlpm.가격보정치, INDEX(Factor!$AE$5:$AL$51, _xlfn.XMATCH($F28,Factor!$AE$5:$AE$51, -1), _xlpm.기본_색인번호),
_xlpm.구경보정치, VLOOKUP($D28,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28"/>
      <c r="AI28"/>
      <c r="AJ28"/>
      <c r="AK28"/>
      <c r="AL28"/>
      <c r="AM28"/>
      <c r="AN28"/>
    </row>
    <row r="29" spans="1:40" ht="15.75" customHeight="1">
      <c r="A29" s="24" t="e">
        <f>"weapon_"&amp;G29&amp;"_"&amp;VLOOKUP(H29, Factor!$T$5:$AB$7, 9, 0)&amp;"_"&amp;IF(COUNTIFS($G$4:G28, G29, $H$4:H28, H29)+1&gt;=100, COUNTIFS($G$4:G28, G29, $H$4:H28, H29)+1,IF(COUNTIFS($G$4:G28, G29, $H$4:H28, H29)+1&gt;=10, "0"&amp;COUNTIFS($G$4:G28, G29, $H$4:H28, H29)+1, "00"&amp;COUNTIFS($G$4:G28, G29, $H$4:H28, H29)+1))</f>
        <v>#N/A</v>
      </c>
      <c r="B29" s="36" t="str">
        <f t="shared" si="0"/>
        <v xml:space="preserve"> </v>
      </c>
      <c r="C29" s="36"/>
      <c r="D29" s="36"/>
      <c r="E29" s="36"/>
      <c r="F29" s="25" t="e">
        <f>VLOOKUP(C29, Factor!$AD$5:$AE$15, 2, 0)</f>
        <v>#N/A</v>
      </c>
      <c r="G29" s="26" t="e">
        <f>VLOOKUP(E29, Factor!$CL$5:$CV$50, 2, 0)</f>
        <v>#N/A</v>
      </c>
      <c r="H29" s="25" t="e">
        <f>VLOOKUP(E29, Factor!$CL$5:$CV$50, 3, 0)</f>
        <v>#N/A</v>
      </c>
      <c r="I29" s="25" t="e">
        <f>VLOOKUP(E29, Factor!$CL$5:$CV$50, 4, 0)</f>
        <v>#N/A</v>
      </c>
      <c r="J29" s="25" t="e">
        <f>VLOOKUP(E29, Factor!$CL$5:$CV$50, 5, 0)</f>
        <v>#N/A</v>
      </c>
      <c r="K29" s="25">
        <v>1</v>
      </c>
      <c r="L29" s="25" t="e">
        <f>VLOOKUP(E29, Factor!$CL$5:$CV$50, 6, 0)*K29*VLOOKUP(D29, Factor!$BZ$5:$CJ$49, 9, 0)</f>
        <v>#N/A</v>
      </c>
      <c r="M29" s="25" t="e">
        <f>VLOOKUP(E29, Factor!$CL$5:$CV$50, 7, 0)</f>
        <v>#N/A</v>
      </c>
      <c r="N29" s="25">
        <v>1</v>
      </c>
      <c r="O29" s="25" t="e">
        <f>VLOOKUP(E29, Factor!$CL$5:$CV$50, 8, 0)*N29*VLOOKUP(D29, Factor!$BZ$5:$CJ$49, 10, 0)</f>
        <v>#N/A</v>
      </c>
      <c r="P29" s="25">
        <v>1</v>
      </c>
      <c r="Q29" s="25" t="e">
        <f>VLOOKUP(E29, Factor!$CL$5:$CV$50, 9, 0)*P29*VLOOKUP(D29, Factor!$BZ$5:$CJ$49, 11, 0)</f>
        <v>#N/A</v>
      </c>
      <c r="R29" s="25" t="e">
        <f>VLOOKUP(E29, Factor!$CL$5:$CV$50, 10, 0)</f>
        <v>#N/A</v>
      </c>
      <c r="S29" s="25" t="e">
        <f>VLOOKUP(E29, Factor!$CL$5:$CV$50, 11, 0)</f>
        <v>#N/A</v>
      </c>
      <c r="T29" s="25">
        <v>1</v>
      </c>
      <c r="U29" s="25">
        <v>1</v>
      </c>
      <c r="V29" s="25">
        <v>1</v>
      </c>
      <c r="W29" s="25">
        <v>1</v>
      </c>
      <c r="X29" s="25">
        <v>1</v>
      </c>
      <c r="Y29" s="25">
        <v>1</v>
      </c>
      <c r="Z29" s="25">
        <v>1</v>
      </c>
      <c r="AA29" s="25" t="e" cm="1">
        <f t="array" ref="AA29">_xlfn.LET(_xlpm.기본_색인번호, 2,
_xlpm.추가_색인번호, 3,
_xlpm.개별보정치, T29,
_xlpm.패턴보정치, VLOOKUP($G29, Factor!$B$5:$I$51, _xlpm.기본_색인번호, 0),
_xlpm.소모탄환보정치, VLOOKUP($H29, Factor!$T$5:$AA$51, _xlpm.기본_색인번호, 0),
_xlpm.지형보정치, VLOOKUP($I29, Factor!$K$12:$R$13, _xlpm.기본_색인번호, 0),
_xlpm.공격속성보정치, VLOOKUP($J29, Factor!$K$5:$R$7, _xlpm.기본_색인번호, 0),
_xlpm.피해범위보정치, INDEX(Factor!$AN$5:$AV$51, _xlfn.XMATCH(IF(OR($G29="blast", $G29="curved",  $G29= "debuff"), $L29, 0), Factor!$AN$5:$AN$51, -1), _xlpm.추가_색인번호)-IF(AND(OR($G29="blast", $G29="curved", $G29= "debuff"), MOD($L29,1)&lt;&gt;0),INDEX(Factor!$AN$5:$AV$51, _xlfn.XMATCH(IF(OR($G29="blast", $G29="curved", $G29= "debuff"), $L29, 0), Factor!$AN$5:$AN$51, -1), 2)*MOD($L29,1)*10,0),
_xlpm.상태이상보정치, VLOOKUP(IF($G29 = "debuff", $M29, "null"), Factor!$AX$5:$BE$51, _xlpm.기본_색인번호, 0),
_xlpm.지속시간보정치, INDEX(Factor!$BG$5:$BO$51, _xlfn.XMATCH(IF(OR($G29 ="debuff", $G29 = "shot", $G29 = "pierce"), $O29, 0), Factor!$BG$5:$BG$51, -1), _xlpm.추가_색인번호)-IF(AND(OR($G29 ="debuff", $G29 = "shot", $G29 = "pierce"), MOD($O29, 1)&lt;&gt;0), 10*MOD($O29, 1)*INDEX(Factor!$BG$5:$BO$51, _xlfn.XMATCH(IF(OR($G29 ="debuff", $G29 = "shot", $G29 = "pierce"), $O29, 0), Factor!$BG$5:$BG$51, -1), 2), 0),
_xlpm.탄환개수보정치, VLOOKUP(IF(OR($G29 = "curved", $G29 = "shot"), $Q29, 1), Factor!$BQ$5:$BX$51, _xlpm.기본_색인번호, 0),
_xlpm.상태이상탄환생성위치보정치, IF($G29 = "debuff", VLOOKUP($R29, Factor!$K$18:$R$19, _xlpm.기본_색인번호, 0),1),
_xlpm.상태이상탄환형태보정치, IF($G29 = "debuff", VLOOKUP($S29, Factor!$K$24:$R$25, _xlpm.기본_색인번호, 0),1),
_xlpm.가격보정치, INDEX(Factor!$AE$5:$AL$51, _xlfn.XMATCH($F29,Factor!$AE$5:$AE$51, -1), _xlpm.기본_색인번호),
_xlpm.구경보정치, VLOOKUP($D29,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29" s="25" t="e" cm="1">
        <f t="array" ref="AB29">_xlfn.LET(_xlpm.기본_색인번호, 3,
_xlpm.추가_색인번호, 4,
_xlpm.개별보정치, U29,
_xlpm.패턴보정치, VLOOKUP($G29, Factor!$B$5:$I$51, _xlpm.기본_색인번호, 0),
_xlpm.소모탄환보정치, VLOOKUP($H29, Factor!$T$5:$AA$51, _xlpm.기본_색인번호, 0),
_xlpm.지형보정치, VLOOKUP($I29, Factor!$K$12:$R$13, _xlpm.기본_색인번호, 0),
_xlpm.공격속성보정치, VLOOKUP($J29, Factor!$K$5:$R$7, _xlpm.기본_색인번호, 0),
_xlpm.피해범위보정치, INDEX(Factor!$AN$5:$AV$51, _xlfn.XMATCH(IF(OR($G29="blast", $G29="curved",  $G29= "debuff"), $L29, 0), Factor!$AN$5:$AN$51, -1), _xlpm.추가_색인번호)-IF(AND(OR($G29="blast", $G29="curved", $G29= "debuff"), MOD($L29,1)&lt;&gt;0),INDEX(Factor!$AN$5:$AV$51, _xlfn.XMATCH(IF(OR($G29="blast", $G29="curved", $G29= "debuff"), $L29, 0), Factor!$AN$5:$AN$51, -1), 2)*MOD($L29,1)*10,0),
_xlpm.상태이상보정치, VLOOKUP(IF($G29 = "debuff", $M29, "null"), Factor!$AX$5:$BE$51, _xlpm.기본_색인번호, 0),
_xlpm.지속시간보정치, INDEX(Factor!$BG$5:$BO$51, _xlfn.XMATCH(IF(OR($G29 ="debuff", $G29 = "shot", $G29 = "pierce"), $O29, 0), Factor!$BG$5:$BG$51, -1), _xlpm.추가_색인번호)-IF(AND(OR($G29 ="debuff", $G29 = "shot", $G29 = "pierce"), MOD($O29, 1)&lt;&gt;0), 10*MOD($O29, 1)*INDEX(Factor!$BG$5:$BO$51, _xlfn.XMATCH(IF(OR($G29 ="debuff", $G29 = "shot", $G29 = "pierce"), $O29, 0), Factor!$BG$5:$BG$51, -1), 2), 0),
_xlpm.탄환개수보정치, VLOOKUP(IF(OR($G29 = "curved", $G29 = "shot"), $Q29, 1), Factor!$BQ$5:$BX$51, _xlpm.기본_색인번호, 0),
_xlpm.상태이상탄환생성위치보정치, IF($G29 = "debuff", VLOOKUP($R29, Factor!$K$18:$R$19, _xlpm.기본_색인번호, 0),1),
_xlpm.상태이상탄환형태보정치, IF($G29 = "debuff", VLOOKUP($S29, Factor!$K$24:$R$25, _xlpm.기본_색인번호, 0),1),
_xlpm.가격보정치, INDEX(Factor!$AE$5:$AL$51, _xlfn.XMATCH($F29,Factor!$AE$5:$AE$51, -1), _xlpm.기본_색인번호),
_xlpm.구경보정치, VLOOKUP($D29,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29" s="25" t="e" cm="1">
        <f t="array" ref="AC29">_xlfn.LET(_xlpm.기본_색인번호, 4,
_xlpm.추가_색인번호, 5,
_xlpm.개별보정치, V29,
_xlpm.패턴보정치, VLOOKUP($G29, Factor!$B$5:$I$51, _xlpm.기본_색인번호, 0),
_xlpm.소모탄환보정치, VLOOKUP($H29, Factor!$T$5:$AA$51, _xlpm.기본_색인번호, 0),
_xlpm.지형보정치, VLOOKUP($I29, Factor!$K$12:$R$13, _xlpm.기본_색인번호, 0),
_xlpm.공격속성보정치, VLOOKUP($J29, Factor!$K$5:$R$7, _xlpm.기본_색인번호, 0),
_xlpm.피해범위보정치, INDEX(Factor!$AN$5:$AV$51, _xlfn.XMATCH(IF(OR($G29="blast", $G29="curved",  $G29= "debuff"), $L29, 0), Factor!$AN$5:$AN$51, -1), _xlpm.추가_색인번호)-IF(AND(OR($G29="blast", $G29="curved", $G29= "debuff"), MOD($L29,1)&lt;&gt;0),INDEX(Factor!$AN$5:$AV$51, _xlfn.XMATCH(IF(OR($G29="blast", $G29="curved", $G29= "debuff"), $L29, 0), Factor!$AN$5:$AN$51, -1), 2)*MOD($L29,1)*10,0),
_xlpm.상태이상보정치, VLOOKUP(IF($G29 = "debuff", $M29, "null"), Factor!$AX$5:$BE$51, _xlpm.기본_색인번호, 0),
_xlpm.지속시간보정치, INDEX(Factor!$BG$5:$BO$51, _xlfn.XMATCH(IF(OR($G29 ="debuff", $G29 = "shot", $G29 = "pierce"), $O29, 0), Factor!$BG$5:$BG$51, -1), _xlpm.추가_색인번호)-IF(AND(OR($G29 ="debuff", $G29 = "shot", $G29 = "pierce"), MOD($O29, 1)&lt;&gt;0), 10*MOD($O29, 1)*INDEX(Factor!$BG$5:$BO$51, _xlfn.XMATCH(IF(OR($G29 ="debuff", $G29 = "shot", $G29 = "pierce"), $O29, 0), Factor!$BG$5:$BG$51, -1), 2), 0),
_xlpm.탄환개수보정치, VLOOKUP(IF(OR($G29 = "curved", $G29 = "shot"), $Q29, 1), Factor!$BQ$5:$BX$51, _xlpm.기본_색인번호, 0),
_xlpm.상태이상탄환생성위치보정치, IF($G29 = "debuff", VLOOKUP($R29, Factor!$K$18:$R$19, _xlpm.기본_색인번호, 0),1),
_xlpm.상태이상탄환형태보정치, IF($G29 = "debuff", VLOOKUP($S29, Factor!$K$24:$R$25, _xlpm.기본_색인번호, 0),1),
_xlpm.가격보정치, INDEX(Factor!$AE$5:$AL$51, _xlfn.XMATCH($F29,Factor!$AE$5:$AE$51, -1), _xlpm.기본_색인번호),
_xlpm.구경보정치, VLOOKUP($D29,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29" s="25" t="e" cm="1">
        <f t="array" ref="AD29">_xlfn.LET(_xlpm.기본_색인번호, 5,
_xlpm.추가_색인번호, 6,
_xlpm.개별보정치, W29,
_xlpm.패턴보정치, VLOOKUP($G29, Factor!$B$5:$I$51, _xlpm.기본_색인번호, 0),
_xlpm.소모탄환보정치, VLOOKUP($H29, Factor!$T$5:$AA$51, _xlpm.기본_색인번호, 0),
_xlpm.지형보정치, VLOOKUP($I29, Factor!$K$12:$R$13, _xlpm.기본_색인번호, 0),
_xlpm.공격속성보정치, VLOOKUP($J29, Factor!$K$5:$R$7, _xlpm.기본_색인번호, 0),
_xlpm.피해범위보정치, INDEX(Factor!$AN$5:$AV$51, _xlfn.XMATCH(IF(OR($G29="blast", $G29="curved",  $G29= "debuff"), $L29, 0), Factor!$AN$5:$AN$51, -1), _xlpm.추가_색인번호)-IF(AND(OR($G29="blast", $G29="curved", $G29= "debuff"), MOD($L29,1)&lt;&gt;0),INDEX(Factor!$AN$5:$AV$51, _xlfn.XMATCH(IF(OR($G29="blast", $G29="curved", $G29= "debuff"), $L29, 0), Factor!$AN$5:$AN$51, -1), 2)*MOD($L29,1)*10,0),
_xlpm.상태이상보정치, VLOOKUP(IF($G29 = "debuff", $M29, "null"), Factor!$AX$5:$BE$51, _xlpm.기본_색인번호, 0),
_xlpm.지속시간보정치, INDEX(Factor!$BG$5:$BO$51, _xlfn.XMATCH(IF(OR($G29 ="debuff", $G29 = "shot", $G29 = "pierce"), $O29, 0), Factor!$BG$5:$BG$51, -1), _xlpm.추가_색인번호)-IF(AND(OR($G29 ="debuff", $G29 = "shot", $G29 = "pierce"), MOD($O29, 1)&lt;&gt;0), 10*MOD($O29, 1)*INDEX(Factor!$BG$5:$BO$51, _xlfn.XMATCH(IF(OR($G29 ="debuff", $G29 = "shot", $G29 = "pierce"), $O29, 0), Factor!$BG$5:$BG$51, -1), 2), 0),
_xlpm.탄환개수보정치, VLOOKUP(IF(OR($G29 = "curved", $G29 = "shot"), $Q29, 1), Factor!$BQ$5:$BX$51, _xlpm.기본_색인번호, 0),
_xlpm.상태이상탄환생성위치보정치, IF($G29 = "debuff", VLOOKUP($R29, Factor!$K$18:$R$19, _xlpm.기본_색인번호, 0),1),
_xlpm.상태이상탄환형태보정치, IF($G29 = "debuff", VLOOKUP($S29, Factor!$K$24:$R$25, _xlpm.기본_색인번호, 0),1),
_xlpm.가격보정치, INDEX(Factor!$AE$5:$AL$51, _xlfn.XMATCH($F29,Factor!$AE$5:$AE$51, -1), _xlpm.기본_색인번호),
_xlpm.구경보정치, VLOOKUP($D29,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29" s="25" t="e" cm="1">
        <f t="array" ref="AE29">_xlfn.LET(_xlpm.기본_색인번호, 6,
_xlpm.추가_색인번호, 7,
_xlpm.개별보정치, X29,
_xlpm.패턴보정치, VLOOKUP($G29, Factor!$B$5:$I$51, _xlpm.기본_색인번호, 0),
_xlpm.소모탄환보정치, VLOOKUP($H29, Factor!$T$5:$AA$51, _xlpm.기본_색인번호, 0),
_xlpm.지형보정치, VLOOKUP($I29, Factor!$K$12:$R$13, _xlpm.기본_색인번호, 0),
_xlpm.공격속성보정치, VLOOKUP($J29, Factor!$K$5:$R$7, _xlpm.기본_색인번호, 0),
_xlpm.피해범위보정치, INDEX(Factor!$AN$5:$AV$51, _xlfn.XMATCH(IF(OR($G29="blast", $G29="curved",  $G29= "debuff"), $L29, 0), Factor!$AN$5:$AN$51, -1), _xlpm.추가_색인번호)-IF(AND(OR($G29="blast", $G29="curved", $G29= "debuff"), MOD($L29,1)&lt;&gt;0),INDEX(Factor!$AN$5:$AV$51, _xlfn.XMATCH(IF(OR($G29="blast", $G29="curved", $G29= "debuff"), $L29, 0), Factor!$AN$5:$AN$51, -1), 2)*MOD($L29,1)*10,0),
_xlpm.상태이상보정치, VLOOKUP(IF($G29 = "debuff", $M29, "null"), Factor!$AX$5:$BE$51, _xlpm.기본_색인번호, 0),
_xlpm.지속시간보정치, INDEX(Factor!$BG$5:$BO$51, _xlfn.XMATCH(IF(OR($G29 ="debuff", $G29 = "shot", $G29 = "pierce"), $O29, 0), Factor!$BG$5:$BG$51, -1), _xlpm.추가_색인번호)-IF(AND(OR($G29 ="debuff", $G29 = "shot", $G29 = "pierce"), MOD($O29, 1)&lt;&gt;0), 10*MOD($O29, 1)*INDEX(Factor!$BG$5:$BO$51, _xlfn.XMATCH(IF(OR($G29 ="debuff", $G29 = "shot", $G29 = "pierce"), $O29, 0), Factor!$BG$5:$BG$51, -1), 2), 0),
_xlpm.탄환개수보정치, VLOOKUP(IF(OR($G29 = "curved", $G29 = "shot"), $Q29, 1), Factor!$BQ$5:$BX$51, _xlpm.기본_색인번호, 0),
_xlpm.상태이상탄환생성위치보정치, IF($G29 = "debuff", VLOOKUP($R29, Factor!$K$18:$R$19, _xlpm.기본_색인번호, 0),1),
_xlpm.상태이상탄환형태보정치, IF($G29 = "debuff", VLOOKUP($S29, Factor!$K$24:$R$25, _xlpm.기본_색인번호, 0),1),
_xlpm.가격보정치, INDEX(Factor!$AE$5:$AL$51, _xlfn.XMATCH($F29,Factor!$AE$5:$AE$51, -1), _xlpm.기본_색인번호),
_xlpm.구경보정치, VLOOKUP($D29,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29" s="25" t="e" cm="1">
        <f t="array" ref="AF29">_xlfn.LET(_xlpm.기본_색인번호, 7,
_xlpm.추가_색인번호, 8,
_xlpm.개별보정치, Y29,
_xlpm.패턴보정치, VLOOKUP($G29, Factor!$B$5:$I$51, _xlpm.기본_색인번호, 0),
_xlpm.소모탄환보정치, VLOOKUP($H29, Factor!$T$5:$AA$51, _xlpm.기본_색인번호, 0),
_xlpm.지형보정치, VLOOKUP($I29, Factor!$K$12:$R$13, _xlpm.기본_색인번호, 0),
_xlpm.공격속성보정치, VLOOKUP($J29, Factor!$K$5:$R$7, _xlpm.기본_색인번호, 0),
_xlpm.피해범위보정치, INDEX(Factor!$AN$5:$AV$51, _xlfn.XMATCH(IF(OR($G29="blast", $G29="curved",  $G29= "debuff"), $L29, 0), Factor!$AN$5:$AN$51, -1), _xlpm.추가_색인번호)-IF(AND(OR($G29="blast", $G29="curved", $G29= "debuff"), MOD($L29,1)&lt;&gt;0),INDEX(Factor!$AN$5:$AV$51, _xlfn.XMATCH(IF(OR($G29="blast", $G29="curved", $G29= "debuff"), $L29, 0), Factor!$AN$5:$AN$51, -1), 2)*MOD($L29,1)*10,0),
_xlpm.상태이상보정치, VLOOKUP(IF($G29 = "debuff", $M29, "null"), Factor!$AX$5:$BE$51, _xlpm.기본_색인번호, 0),
_xlpm.지속시간보정치, INDEX(Factor!$BG$5:$BO$51, _xlfn.XMATCH(IF(OR($G29 ="debuff", $G29 = "shot", $G29 = "pierce"), $O29, 0), Factor!$BG$5:$BG$51, -1), _xlpm.추가_색인번호)-IF(AND(OR($G29 ="debuff", $G29 = "shot", $G29 = "pierce"), MOD($O29, 1)&lt;&gt;0), 10*MOD($O29, 1)*INDEX(Factor!$BG$5:$BO$51, _xlfn.XMATCH(IF(OR($G29 ="debuff", $G29 = "shot", $G29 = "pierce"), $O29, 0), Factor!$BG$5:$BG$51, -1), 2), 0),
_xlpm.탄환개수보정치, VLOOKUP(IF(OR($G29 = "curved", $G29 = "shot"), $Q29, 1), Factor!$BQ$5:$BX$51, _xlpm.기본_색인번호, 0),
_xlpm.상태이상탄환생성위치보정치, IF($G29 = "debuff", VLOOKUP($R29, Factor!$K$18:$R$19, _xlpm.기본_색인번호, 0),1),
_xlpm.상태이상탄환형태보정치, IF($G29 = "debuff", VLOOKUP($S29, Factor!$K$24:$R$25, _xlpm.기본_색인번호, 0),1),
_xlpm.가격보정치, INDEX(Factor!$AE$5:$AL$51, _xlfn.XMATCH($F29,Factor!$AE$5:$AE$51, -1), _xlpm.기본_색인번호),
_xlpm.구경보정치, VLOOKUP($D29,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29" s="27" t="e" cm="1">
        <f t="array" ref="AG29">_xlfn.LET(_xlpm.기본_색인번호, 8,
_xlpm.추가_색인번호, 9,
_xlpm.개별보정치, Z29,
_xlpm.패턴보정치, VLOOKUP($G29, Factor!$B$5:$I$51, _xlpm.기본_색인번호, 0),
_xlpm.소모탄환보정치, VLOOKUP($H29, Factor!$T$5:$AA$51, _xlpm.기본_색인번호, 0),
_xlpm.지형보정치, VLOOKUP($I29, Factor!$K$12:$R$13, _xlpm.기본_색인번호, 0),
_xlpm.공격속성보정치, VLOOKUP($J29, Factor!$K$5:$R$7, _xlpm.기본_색인번호, 0),
_xlpm.피해범위보정치, INDEX(Factor!$AN$5:$AV$51, _xlfn.XMATCH(IF(OR($G29="blast", $G29="curved",  $G29= "debuff"), $L29, 0), Factor!$AN$5:$AN$51, -1), _xlpm.추가_색인번호)-IF(AND(OR($G29="blast", $G29="curved", $G29= "debuff"), MOD($L29,1)&lt;&gt;0),INDEX(Factor!$AN$5:$AV$51, _xlfn.XMATCH(IF(OR($G29="blast", $G29="curved", $G29= "debuff"), $L29, 0), Factor!$AN$5:$AN$51, -1), 2)*MOD($L29,1)*10,0),
_xlpm.상태이상보정치, VLOOKUP(IF($G29 = "debuff", $M29, "null"), Factor!$AX$5:$BE$51, _xlpm.기본_색인번호, 0),
_xlpm.지속시간보정치, INDEX(Factor!$BG$5:$BO$51, _xlfn.XMATCH(IF(OR($G29 ="debuff", $G29 = "shot", $G29 = "pierce"), $O29, 0), Factor!$BG$5:$BG$51, -1), _xlpm.추가_색인번호)-IF(AND(OR($G29 ="debuff", $G29 = "shot", $G29 = "pierce"), MOD($O29, 1)&lt;&gt;0), 10*MOD($O29, 1)*INDEX(Factor!$BG$5:$BO$51, _xlfn.XMATCH(IF(OR($G29 ="debuff", $G29 = "shot", $G29 = "pierce"), $O29, 0), Factor!$BG$5:$BG$51, -1), 2), 0),
_xlpm.탄환개수보정치, VLOOKUP(IF(OR($G29 = "curved", $G29 = "shot"), $Q29, 1), Factor!$BQ$5:$BX$51, _xlpm.기본_색인번호, 0),
_xlpm.상태이상탄환생성위치보정치, IF($G29 = "debuff", VLOOKUP($R29, Factor!$K$18:$R$19, _xlpm.기본_색인번호, 0),1),
_xlpm.상태이상탄환형태보정치, IF($G29 = "debuff", VLOOKUP($S29, Factor!$K$24:$R$25, _xlpm.기본_색인번호, 0),1),
_xlpm.가격보정치, INDEX(Factor!$AE$5:$AL$51, _xlfn.XMATCH($F29,Factor!$AE$5:$AE$51, -1), _xlpm.기본_색인번호),
_xlpm.구경보정치, VLOOKUP($D29,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29"/>
      <c r="AI29"/>
      <c r="AJ29"/>
      <c r="AK29"/>
      <c r="AL29"/>
      <c r="AM29"/>
      <c r="AN29"/>
    </row>
    <row r="30" spans="1:40" ht="15.75" customHeight="1">
      <c r="A30" s="28" t="e">
        <f>"weapon_"&amp;G30&amp;"_"&amp;VLOOKUP(H30, Factor!$T$5:$AB$7, 9, 0)&amp;"_"&amp;IF(COUNTIFS($G$4:G29, G30, $H$4:H29, H30)+1&gt;=100, COUNTIFS($G$4:G29, G30, $H$4:H29, H30)+1,IF(COUNTIFS($G$4:G29, G30, $H$4:H29, H30)+1&gt;=10, "0"&amp;COUNTIFS($G$4:G29, G30, $H$4:H29, H30)+1, "00"&amp;COUNTIFS($G$4:G29, G30, $H$4:H29, H30)+1))</f>
        <v>#N/A</v>
      </c>
      <c r="B30" s="37" t="str">
        <f t="shared" si="0"/>
        <v xml:space="preserve"> </v>
      </c>
      <c r="C30" s="37"/>
      <c r="D30" s="37"/>
      <c r="E30" s="37"/>
      <c r="F30" s="29" t="e">
        <f>VLOOKUP(C30, Factor!$AD$5:$AE$15, 2, 0)</f>
        <v>#N/A</v>
      </c>
      <c r="G30" s="29" t="e">
        <f>VLOOKUP(E30, Factor!$CL$5:$CV$50, 2, 0)</f>
        <v>#N/A</v>
      </c>
      <c r="H30" s="29" t="e">
        <f>VLOOKUP(E30, Factor!$CL$5:$CV$50, 3, 0)</f>
        <v>#N/A</v>
      </c>
      <c r="I30" s="29" t="e">
        <f>VLOOKUP(E30, Factor!$CL$5:$CV$50, 4, 0)</f>
        <v>#N/A</v>
      </c>
      <c r="J30" s="29" t="e">
        <f>VLOOKUP(E30, Factor!$CL$5:$CV$50, 5, 0)</f>
        <v>#N/A</v>
      </c>
      <c r="K30" s="29">
        <v>1</v>
      </c>
      <c r="L30" s="29" t="e">
        <f>VLOOKUP(E30, Factor!$CL$5:$CV$50, 6, 0)*K30*VLOOKUP(D30, Factor!$BZ$5:$CJ$49, 9, 0)</f>
        <v>#N/A</v>
      </c>
      <c r="M30" s="29" t="e">
        <f>VLOOKUP(E30, Factor!$CL$5:$CV$50, 7, 0)</f>
        <v>#N/A</v>
      </c>
      <c r="N30" s="29">
        <v>1</v>
      </c>
      <c r="O30" s="29" t="e">
        <f>VLOOKUP(E30, Factor!$CL$5:$CV$50, 8, 0)*N30*VLOOKUP(D30, Factor!$BZ$5:$CJ$49, 10, 0)</f>
        <v>#N/A</v>
      </c>
      <c r="P30" s="29">
        <v>1</v>
      </c>
      <c r="Q30" s="29" t="e">
        <f>VLOOKUP(E30, Factor!$CL$5:$CV$50, 9, 0)*P30*VLOOKUP(D30, Factor!$BZ$5:$CJ$49, 11, 0)</f>
        <v>#N/A</v>
      </c>
      <c r="R30" s="29" t="e">
        <f>VLOOKUP(E30, Factor!$CL$5:$CV$50, 10, 0)</f>
        <v>#N/A</v>
      </c>
      <c r="S30" s="29" t="e">
        <f>VLOOKUP(E30, Factor!$CL$5:$CV$50, 11, 0)</f>
        <v>#N/A</v>
      </c>
      <c r="T30" s="29">
        <v>1</v>
      </c>
      <c r="U30" s="29">
        <v>1</v>
      </c>
      <c r="V30" s="29">
        <v>1</v>
      </c>
      <c r="W30" s="29">
        <v>1</v>
      </c>
      <c r="X30" s="29">
        <v>1</v>
      </c>
      <c r="Y30" s="29">
        <v>1</v>
      </c>
      <c r="Z30" s="29">
        <v>1</v>
      </c>
      <c r="AA30" s="29" t="e" cm="1">
        <f t="array" ref="AA30">_xlfn.LET(_xlpm.기본_색인번호, 2,
_xlpm.추가_색인번호, 3,
_xlpm.개별보정치, T30,
_xlpm.패턴보정치, VLOOKUP($G30, Factor!$B$5:$I$51, _xlpm.기본_색인번호, 0),
_xlpm.소모탄환보정치, VLOOKUP($H30, Factor!$T$5:$AA$51, _xlpm.기본_색인번호, 0),
_xlpm.지형보정치, VLOOKUP($I30, Factor!$K$12:$R$13, _xlpm.기본_색인번호, 0),
_xlpm.공격속성보정치, VLOOKUP($J30, Factor!$K$5:$R$7, _xlpm.기본_색인번호, 0),
_xlpm.피해범위보정치, INDEX(Factor!$AN$5:$AV$51, _xlfn.XMATCH(IF(OR($G30="blast", $G30="curved",  $G30= "debuff"), $L30, 0), Factor!$AN$5:$AN$51, -1), _xlpm.추가_색인번호)-IF(AND(OR($G30="blast", $G30="curved", $G30= "debuff"), MOD($L30,1)&lt;&gt;0),INDEX(Factor!$AN$5:$AV$51, _xlfn.XMATCH(IF(OR($G30="blast", $G30="curved", $G30= "debuff"), $L30, 0), Factor!$AN$5:$AN$51, -1), 2)*MOD($L30,1)*10,0),
_xlpm.상태이상보정치, VLOOKUP(IF($G30 = "debuff", $M30, "null"), Factor!$AX$5:$BE$51, _xlpm.기본_색인번호, 0),
_xlpm.지속시간보정치, INDEX(Factor!$BG$5:$BO$51, _xlfn.XMATCH(IF(OR($G30 ="debuff", $G30 = "shot", $G30 = "pierce"), $O30, 0), Factor!$BG$5:$BG$51, -1), _xlpm.추가_색인번호)-IF(AND(OR($G30 ="debuff", $G30 = "shot", $G30 = "pierce"), MOD($O30, 1)&lt;&gt;0), 10*MOD($O30, 1)*INDEX(Factor!$BG$5:$BO$51, _xlfn.XMATCH(IF(OR($G30 ="debuff", $G30 = "shot", $G30 = "pierce"), $O30, 0), Factor!$BG$5:$BG$51, -1), 2), 0),
_xlpm.탄환개수보정치, VLOOKUP(IF(OR($G30 = "curved", $G30 = "shot"), $Q30, 1), Factor!$BQ$5:$BX$51, _xlpm.기본_색인번호, 0),
_xlpm.상태이상탄환생성위치보정치, IF($G30 = "debuff", VLOOKUP($R30, Factor!$K$18:$R$19, _xlpm.기본_색인번호, 0),1),
_xlpm.상태이상탄환형태보정치, IF($G30 = "debuff", VLOOKUP($S30, Factor!$K$24:$R$25, _xlpm.기본_색인번호, 0),1),
_xlpm.가격보정치, INDEX(Factor!$AE$5:$AL$51, _xlfn.XMATCH($F30,Factor!$AE$5:$AE$51, -1), _xlpm.기본_색인번호),
_xlpm.구경보정치, VLOOKUP($D30,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30" s="29" t="e" cm="1">
        <f t="array" ref="AB30">_xlfn.LET(_xlpm.기본_색인번호, 3,
_xlpm.추가_색인번호, 4,
_xlpm.개별보정치, U30,
_xlpm.패턴보정치, VLOOKUP($G30, Factor!$B$5:$I$51, _xlpm.기본_색인번호, 0),
_xlpm.소모탄환보정치, VLOOKUP($H30, Factor!$T$5:$AA$51, _xlpm.기본_색인번호, 0),
_xlpm.지형보정치, VLOOKUP($I30, Factor!$K$12:$R$13, _xlpm.기본_색인번호, 0),
_xlpm.공격속성보정치, VLOOKUP($J30, Factor!$K$5:$R$7, _xlpm.기본_색인번호, 0),
_xlpm.피해범위보정치, INDEX(Factor!$AN$5:$AV$51, _xlfn.XMATCH(IF(OR($G30="blast", $G30="curved",  $G30= "debuff"), $L30, 0), Factor!$AN$5:$AN$51, -1), _xlpm.추가_색인번호)-IF(AND(OR($G30="blast", $G30="curved", $G30= "debuff"), MOD($L30,1)&lt;&gt;0),INDEX(Factor!$AN$5:$AV$51, _xlfn.XMATCH(IF(OR($G30="blast", $G30="curved", $G30= "debuff"), $L30, 0), Factor!$AN$5:$AN$51, -1), 2)*MOD($L30,1)*10,0),
_xlpm.상태이상보정치, VLOOKUP(IF($G30 = "debuff", $M30, "null"), Factor!$AX$5:$BE$51, _xlpm.기본_색인번호, 0),
_xlpm.지속시간보정치, INDEX(Factor!$BG$5:$BO$51, _xlfn.XMATCH(IF(OR($G30 ="debuff", $G30 = "shot", $G30 = "pierce"), $O30, 0), Factor!$BG$5:$BG$51, -1), _xlpm.추가_색인번호)-IF(AND(OR($G30 ="debuff", $G30 = "shot", $G30 = "pierce"), MOD($O30, 1)&lt;&gt;0), 10*MOD($O30, 1)*INDEX(Factor!$BG$5:$BO$51, _xlfn.XMATCH(IF(OR($G30 ="debuff", $G30 = "shot", $G30 = "pierce"), $O30, 0), Factor!$BG$5:$BG$51, -1), 2), 0),
_xlpm.탄환개수보정치, VLOOKUP(IF(OR($G30 = "curved", $G30 = "shot"), $Q30, 1), Factor!$BQ$5:$BX$51, _xlpm.기본_색인번호, 0),
_xlpm.상태이상탄환생성위치보정치, IF($G30 = "debuff", VLOOKUP($R30, Factor!$K$18:$R$19, _xlpm.기본_색인번호, 0),1),
_xlpm.상태이상탄환형태보정치, IF($G30 = "debuff", VLOOKUP($S30, Factor!$K$24:$R$25, _xlpm.기본_색인번호, 0),1),
_xlpm.가격보정치, INDEX(Factor!$AE$5:$AL$51, _xlfn.XMATCH($F30,Factor!$AE$5:$AE$51, -1), _xlpm.기본_색인번호),
_xlpm.구경보정치, VLOOKUP($D30,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30" s="29" t="e" cm="1">
        <f t="array" ref="AC30">_xlfn.LET(_xlpm.기본_색인번호, 4,
_xlpm.추가_색인번호, 5,
_xlpm.개별보정치, V30,
_xlpm.패턴보정치, VLOOKUP($G30, Factor!$B$5:$I$51, _xlpm.기본_색인번호, 0),
_xlpm.소모탄환보정치, VLOOKUP($H30, Factor!$T$5:$AA$51, _xlpm.기본_색인번호, 0),
_xlpm.지형보정치, VLOOKUP($I30, Factor!$K$12:$R$13, _xlpm.기본_색인번호, 0),
_xlpm.공격속성보정치, VLOOKUP($J30, Factor!$K$5:$R$7, _xlpm.기본_색인번호, 0),
_xlpm.피해범위보정치, INDEX(Factor!$AN$5:$AV$51, _xlfn.XMATCH(IF(OR($G30="blast", $G30="curved",  $G30= "debuff"), $L30, 0), Factor!$AN$5:$AN$51, -1), _xlpm.추가_색인번호)-IF(AND(OR($G30="blast", $G30="curved", $G30= "debuff"), MOD($L30,1)&lt;&gt;0),INDEX(Factor!$AN$5:$AV$51, _xlfn.XMATCH(IF(OR($G30="blast", $G30="curved", $G30= "debuff"), $L30, 0), Factor!$AN$5:$AN$51, -1), 2)*MOD($L30,1)*10,0),
_xlpm.상태이상보정치, VLOOKUP(IF($G30 = "debuff", $M30, "null"), Factor!$AX$5:$BE$51, _xlpm.기본_색인번호, 0),
_xlpm.지속시간보정치, INDEX(Factor!$BG$5:$BO$51, _xlfn.XMATCH(IF(OR($G30 ="debuff", $G30 = "shot", $G30 = "pierce"), $O30, 0), Factor!$BG$5:$BG$51, -1), _xlpm.추가_색인번호)-IF(AND(OR($G30 ="debuff", $G30 = "shot", $G30 = "pierce"), MOD($O30, 1)&lt;&gt;0), 10*MOD($O30, 1)*INDEX(Factor!$BG$5:$BO$51, _xlfn.XMATCH(IF(OR($G30 ="debuff", $G30 = "shot", $G30 = "pierce"), $O30, 0), Factor!$BG$5:$BG$51, -1), 2), 0),
_xlpm.탄환개수보정치, VLOOKUP(IF(OR($G30 = "curved", $G30 = "shot"), $Q30, 1), Factor!$BQ$5:$BX$51, _xlpm.기본_색인번호, 0),
_xlpm.상태이상탄환생성위치보정치, IF($G30 = "debuff", VLOOKUP($R30, Factor!$K$18:$R$19, _xlpm.기본_색인번호, 0),1),
_xlpm.상태이상탄환형태보정치, IF($G30 = "debuff", VLOOKUP($S30, Factor!$K$24:$R$25, _xlpm.기본_색인번호, 0),1),
_xlpm.가격보정치, INDEX(Factor!$AE$5:$AL$51, _xlfn.XMATCH($F30,Factor!$AE$5:$AE$51, -1), _xlpm.기본_색인번호),
_xlpm.구경보정치, VLOOKUP($D30,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30" s="29" t="e" cm="1">
        <f t="array" ref="AD30">_xlfn.LET(_xlpm.기본_색인번호, 5,
_xlpm.추가_색인번호, 6,
_xlpm.개별보정치, W30,
_xlpm.패턴보정치, VLOOKUP($G30, Factor!$B$5:$I$51, _xlpm.기본_색인번호, 0),
_xlpm.소모탄환보정치, VLOOKUP($H30, Factor!$T$5:$AA$51, _xlpm.기본_색인번호, 0),
_xlpm.지형보정치, VLOOKUP($I30, Factor!$K$12:$R$13, _xlpm.기본_색인번호, 0),
_xlpm.공격속성보정치, VLOOKUP($J30, Factor!$K$5:$R$7, _xlpm.기본_색인번호, 0),
_xlpm.피해범위보정치, INDEX(Factor!$AN$5:$AV$51, _xlfn.XMATCH(IF(OR($G30="blast", $G30="curved",  $G30= "debuff"), $L30, 0), Factor!$AN$5:$AN$51, -1), _xlpm.추가_색인번호)-IF(AND(OR($G30="blast", $G30="curved", $G30= "debuff"), MOD($L30,1)&lt;&gt;0),INDEX(Factor!$AN$5:$AV$51, _xlfn.XMATCH(IF(OR($G30="blast", $G30="curved", $G30= "debuff"), $L30, 0), Factor!$AN$5:$AN$51, -1), 2)*MOD($L30,1)*10,0),
_xlpm.상태이상보정치, VLOOKUP(IF($G30 = "debuff", $M30, "null"), Factor!$AX$5:$BE$51, _xlpm.기본_색인번호, 0),
_xlpm.지속시간보정치, INDEX(Factor!$BG$5:$BO$51, _xlfn.XMATCH(IF(OR($G30 ="debuff", $G30 = "shot", $G30 = "pierce"), $O30, 0), Factor!$BG$5:$BG$51, -1), _xlpm.추가_색인번호)-IF(AND(OR($G30 ="debuff", $G30 = "shot", $G30 = "pierce"), MOD($O30, 1)&lt;&gt;0), 10*MOD($O30, 1)*INDEX(Factor!$BG$5:$BO$51, _xlfn.XMATCH(IF(OR($G30 ="debuff", $G30 = "shot", $G30 = "pierce"), $O30, 0), Factor!$BG$5:$BG$51, -1), 2), 0),
_xlpm.탄환개수보정치, VLOOKUP(IF(OR($G30 = "curved", $G30 = "shot"), $Q30, 1), Factor!$BQ$5:$BX$51, _xlpm.기본_색인번호, 0),
_xlpm.상태이상탄환생성위치보정치, IF($G30 = "debuff", VLOOKUP($R30, Factor!$K$18:$R$19, _xlpm.기본_색인번호, 0),1),
_xlpm.상태이상탄환형태보정치, IF($G30 = "debuff", VLOOKUP($S30, Factor!$K$24:$R$25, _xlpm.기본_색인번호, 0),1),
_xlpm.가격보정치, INDEX(Factor!$AE$5:$AL$51, _xlfn.XMATCH($F30,Factor!$AE$5:$AE$51, -1), _xlpm.기본_색인번호),
_xlpm.구경보정치, VLOOKUP($D30,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30" s="29" t="e" cm="1">
        <f t="array" ref="AE30">_xlfn.LET(_xlpm.기본_색인번호, 6,
_xlpm.추가_색인번호, 7,
_xlpm.개별보정치, X30,
_xlpm.패턴보정치, VLOOKUP($G30, Factor!$B$5:$I$51, _xlpm.기본_색인번호, 0),
_xlpm.소모탄환보정치, VLOOKUP($H30, Factor!$T$5:$AA$51, _xlpm.기본_색인번호, 0),
_xlpm.지형보정치, VLOOKUP($I30, Factor!$K$12:$R$13, _xlpm.기본_색인번호, 0),
_xlpm.공격속성보정치, VLOOKUP($J30, Factor!$K$5:$R$7, _xlpm.기본_색인번호, 0),
_xlpm.피해범위보정치, INDEX(Factor!$AN$5:$AV$51, _xlfn.XMATCH(IF(OR($G30="blast", $G30="curved",  $G30= "debuff"), $L30, 0), Factor!$AN$5:$AN$51, -1), _xlpm.추가_색인번호)-IF(AND(OR($G30="blast", $G30="curved", $G30= "debuff"), MOD($L30,1)&lt;&gt;0),INDEX(Factor!$AN$5:$AV$51, _xlfn.XMATCH(IF(OR($G30="blast", $G30="curved", $G30= "debuff"), $L30, 0), Factor!$AN$5:$AN$51, -1), 2)*MOD($L30,1)*10,0),
_xlpm.상태이상보정치, VLOOKUP(IF($G30 = "debuff", $M30, "null"), Factor!$AX$5:$BE$51, _xlpm.기본_색인번호, 0),
_xlpm.지속시간보정치, INDEX(Factor!$BG$5:$BO$51, _xlfn.XMATCH(IF(OR($G30 ="debuff", $G30 = "shot", $G30 = "pierce"), $O30, 0), Factor!$BG$5:$BG$51, -1), _xlpm.추가_색인번호)-IF(AND(OR($G30 ="debuff", $G30 = "shot", $G30 = "pierce"), MOD($O30, 1)&lt;&gt;0), 10*MOD($O30, 1)*INDEX(Factor!$BG$5:$BO$51, _xlfn.XMATCH(IF(OR($G30 ="debuff", $G30 = "shot", $G30 = "pierce"), $O30, 0), Factor!$BG$5:$BG$51, -1), 2), 0),
_xlpm.탄환개수보정치, VLOOKUP(IF(OR($G30 = "curved", $G30 = "shot"), $Q30, 1), Factor!$BQ$5:$BX$51, _xlpm.기본_색인번호, 0),
_xlpm.상태이상탄환생성위치보정치, IF($G30 = "debuff", VLOOKUP($R30, Factor!$K$18:$R$19, _xlpm.기본_색인번호, 0),1),
_xlpm.상태이상탄환형태보정치, IF($G30 = "debuff", VLOOKUP($S30, Factor!$K$24:$R$25, _xlpm.기본_색인번호, 0),1),
_xlpm.가격보정치, INDEX(Factor!$AE$5:$AL$51, _xlfn.XMATCH($F30,Factor!$AE$5:$AE$51, -1), _xlpm.기본_색인번호),
_xlpm.구경보정치, VLOOKUP($D30,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30" s="29" t="e" cm="1">
        <f t="array" ref="AF30">_xlfn.LET(_xlpm.기본_색인번호, 7,
_xlpm.추가_색인번호, 8,
_xlpm.개별보정치, Y30,
_xlpm.패턴보정치, VLOOKUP($G30, Factor!$B$5:$I$51, _xlpm.기본_색인번호, 0),
_xlpm.소모탄환보정치, VLOOKUP($H30, Factor!$T$5:$AA$51, _xlpm.기본_색인번호, 0),
_xlpm.지형보정치, VLOOKUP($I30, Factor!$K$12:$R$13, _xlpm.기본_색인번호, 0),
_xlpm.공격속성보정치, VLOOKUP($J30, Factor!$K$5:$R$7, _xlpm.기본_색인번호, 0),
_xlpm.피해범위보정치, INDEX(Factor!$AN$5:$AV$51, _xlfn.XMATCH(IF(OR($G30="blast", $G30="curved",  $G30= "debuff"), $L30, 0), Factor!$AN$5:$AN$51, -1), _xlpm.추가_색인번호)-IF(AND(OR($G30="blast", $G30="curved", $G30= "debuff"), MOD($L30,1)&lt;&gt;0),INDEX(Factor!$AN$5:$AV$51, _xlfn.XMATCH(IF(OR($G30="blast", $G30="curved", $G30= "debuff"), $L30, 0), Factor!$AN$5:$AN$51, -1), 2)*MOD($L30,1)*10,0),
_xlpm.상태이상보정치, VLOOKUP(IF($G30 = "debuff", $M30, "null"), Factor!$AX$5:$BE$51, _xlpm.기본_색인번호, 0),
_xlpm.지속시간보정치, INDEX(Factor!$BG$5:$BO$51, _xlfn.XMATCH(IF(OR($G30 ="debuff", $G30 = "shot", $G30 = "pierce"), $O30, 0), Factor!$BG$5:$BG$51, -1), _xlpm.추가_색인번호)-IF(AND(OR($G30 ="debuff", $G30 = "shot", $G30 = "pierce"), MOD($O30, 1)&lt;&gt;0), 10*MOD($O30, 1)*INDEX(Factor!$BG$5:$BO$51, _xlfn.XMATCH(IF(OR($G30 ="debuff", $G30 = "shot", $G30 = "pierce"), $O30, 0), Factor!$BG$5:$BG$51, -1), 2), 0),
_xlpm.탄환개수보정치, VLOOKUP(IF(OR($G30 = "curved", $G30 = "shot"), $Q30, 1), Factor!$BQ$5:$BX$51, _xlpm.기본_색인번호, 0),
_xlpm.상태이상탄환생성위치보정치, IF($G30 = "debuff", VLOOKUP($R30, Factor!$K$18:$R$19, _xlpm.기본_색인번호, 0),1),
_xlpm.상태이상탄환형태보정치, IF($G30 = "debuff", VLOOKUP($S30, Factor!$K$24:$R$25, _xlpm.기본_색인번호, 0),1),
_xlpm.가격보정치, INDEX(Factor!$AE$5:$AL$51, _xlfn.XMATCH($F30,Factor!$AE$5:$AE$51, -1), _xlpm.기본_색인번호),
_xlpm.구경보정치, VLOOKUP($D30,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30" s="30" t="e" cm="1">
        <f t="array" ref="AG30">_xlfn.LET(_xlpm.기본_색인번호, 8,
_xlpm.추가_색인번호, 9,
_xlpm.개별보정치, Z30,
_xlpm.패턴보정치, VLOOKUP($G30, Factor!$B$5:$I$51, _xlpm.기본_색인번호, 0),
_xlpm.소모탄환보정치, VLOOKUP($H30, Factor!$T$5:$AA$51, _xlpm.기본_색인번호, 0),
_xlpm.지형보정치, VLOOKUP($I30, Factor!$K$12:$R$13, _xlpm.기본_색인번호, 0),
_xlpm.공격속성보정치, VLOOKUP($J30, Factor!$K$5:$R$7, _xlpm.기본_색인번호, 0),
_xlpm.피해범위보정치, INDEX(Factor!$AN$5:$AV$51, _xlfn.XMATCH(IF(OR($G30="blast", $G30="curved",  $G30= "debuff"), $L30, 0), Factor!$AN$5:$AN$51, -1), _xlpm.추가_색인번호)-IF(AND(OR($G30="blast", $G30="curved", $G30= "debuff"), MOD($L30,1)&lt;&gt;0),INDEX(Factor!$AN$5:$AV$51, _xlfn.XMATCH(IF(OR($G30="blast", $G30="curved", $G30= "debuff"), $L30, 0), Factor!$AN$5:$AN$51, -1), 2)*MOD($L30,1)*10,0),
_xlpm.상태이상보정치, VLOOKUP(IF($G30 = "debuff", $M30, "null"), Factor!$AX$5:$BE$51, _xlpm.기본_색인번호, 0),
_xlpm.지속시간보정치, INDEX(Factor!$BG$5:$BO$51, _xlfn.XMATCH(IF(OR($G30 ="debuff", $G30 = "shot", $G30 = "pierce"), $O30, 0), Factor!$BG$5:$BG$51, -1), _xlpm.추가_색인번호)-IF(AND(OR($G30 ="debuff", $G30 = "shot", $G30 = "pierce"), MOD($O30, 1)&lt;&gt;0), 10*MOD($O30, 1)*INDEX(Factor!$BG$5:$BO$51, _xlfn.XMATCH(IF(OR($G30 ="debuff", $G30 = "shot", $G30 = "pierce"), $O30, 0), Factor!$BG$5:$BG$51, -1), 2), 0),
_xlpm.탄환개수보정치, VLOOKUP(IF(OR($G30 = "curved", $G30 = "shot"), $Q30, 1), Factor!$BQ$5:$BX$51, _xlpm.기본_색인번호, 0),
_xlpm.상태이상탄환생성위치보정치, IF($G30 = "debuff", VLOOKUP($R30, Factor!$K$18:$R$19, _xlpm.기본_색인번호, 0),1),
_xlpm.상태이상탄환형태보정치, IF($G30 = "debuff", VLOOKUP($S30, Factor!$K$24:$R$25, _xlpm.기본_색인번호, 0),1),
_xlpm.가격보정치, INDEX(Factor!$AE$5:$AL$51, _xlfn.XMATCH($F30,Factor!$AE$5:$AE$51, -1), _xlpm.기본_색인번호),
_xlpm.구경보정치, VLOOKUP($D30,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30"/>
      <c r="AI30"/>
      <c r="AJ30"/>
      <c r="AK30"/>
      <c r="AL30"/>
      <c r="AM30"/>
      <c r="AN30"/>
    </row>
    <row r="31" spans="1:40" ht="15.75" customHeight="1">
      <c r="A31" s="24" t="e">
        <f>"weapon_"&amp;G31&amp;"_"&amp;VLOOKUP(H31, Factor!$T$5:$AB$7, 9, 0)&amp;"_"&amp;IF(COUNTIFS($G$4:G30, G31, $H$4:H30, H31)+1&gt;=100, COUNTIFS($G$4:G30, G31, $H$4:H30, H31)+1,IF(COUNTIFS($G$4:G30, G31, $H$4:H30, H31)+1&gt;=10, "0"&amp;COUNTIFS($G$4:G30, G31, $H$4:H30, H31)+1, "00"&amp;COUNTIFS($G$4:G30, G31, $H$4:H30, H31)+1))</f>
        <v>#N/A</v>
      </c>
      <c r="B31" s="36" t="str">
        <f t="shared" si="0"/>
        <v xml:space="preserve"> </v>
      </c>
      <c r="C31" s="36"/>
      <c r="D31" s="36"/>
      <c r="E31" s="36"/>
      <c r="F31" s="25" t="e">
        <f>VLOOKUP(C31, Factor!$AD$5:$AE$15, 2, 0)</f>
        <v>#N/A</v>
      </c>
      <c r="G31" s="26" t="e">
        <f>VLOOKUP(E31, Factor!$CL$5:$CV$50, 2, 0)</f>
        <v>#N/A</v>
      </c>
      <c r="H31" s="25" t="e">
        <f>VLOOKUP(E31, Factor!$CL$5:$CV$50, 3, 0)</f>
        <v>#N/A</v>
      </c>
      <c r="I31" s="25" t="e">
        <f>VLOOKUP(E31, Factor!$CL$5:$CV$50, 4, 0)</f>
        <v>#N/A</v>
      </c>
      <c r="J31" s="25" t="e">
        <f>VLOOKUP(E31, Factor!$CL$5:$CV$50, 5, 0)</f>
        <v>#N/A</v>
      </c>
      <c r="K31" s="25">
        <v>1</v>
      </c>
      <c r="L31" s="25" t="e">
        <f>VLOOKUP(E31, Factor!$CL$5:$CV$50, 6, 0)*K31*VLOOKUP(D31, Factor!$BZ$5:$CJ$49, 9, 0)</f>
        <v>#N/A</v>
      </c>
      <c r="M31" s="25" t="e">
        <f>VLOOKUP(E31, Factor!$CL$5:$CV$50, 7, 0)</f>
        <v>#N/A</v>
      </c>
      <c r="N31" s="25">
        <v>1</v>
      </c>
      <c r="O31" s="25" t="e">
        <f>VLOOKUP(E31, Factor!$CL$5:$CV$50, 8, 0)*N31*VLOOKUP(D31, Factor!$BZ$5:$CJ$49, 10, 0)</f>
        <v>#N/A</v>
      </c>
      <c r="P31" s="25">
        <v>1</v>
      </c>
      <c r="Q31" s="25" t="e">
        <f>VLOOKUP(E31, Factor!$CL$5:$CV$50, 9, 0)*P31*VLOOKUP(D31, Factor!$BZ$5:$CJ$49, 11, 0)</f>
        <v>#N/A</v>
      </c>
      <c r="R31" s="25" t="e">
        <f>VLOOKUP(E31, Factor!$CL$5:$CV$50, 10, 0)</f>
        <v>#N/A</v>
      </c>
      <c r="S31" s="25" t="e">
        <f>VLOOKUP(E31, Factor!$CL$5:$CV$50, 11, 0)</f>
        <v>#N/A</v>
      </c>
      <c r="T31" s="25">
        <v>1</v>
      </c>
      <c r="U31" s="25">
        <v>1</v>
      </c>
      <c r="V31" s="25">
        <v>1</v>
      </c>
      <c r="W31" s="25">
        <v>1</v>
      </c>
      <c r="X31" s="25">
        <v>1</v>
      </c>
      <c r="Y31" s="25">
        <v>1</v>
      </c>
      <c r="Z31" s="25">
        <v>1</v>
      </c>
      <c r="AA31" s="25" t="e" cm="1">
        <f t="array" ref="AA31">_xlfn.LET(_xlpm.기본_색인번호, 2,
_xlpm.추가_색인번호, 3,
_xlpm.개별보정치, T31,
_xlpm.패턴보정치, VLOOKUP($G31, Factor!$B$5:$I$51, _xlpm.기본_색인번호, 0),
_xlpm.소모탄환보정치, VLOOKUP($H31, Factor!$T$5:$AA$51, _xlpm.기본_색인번호, 0),
_xlpm.지형보정치, VLOOKUP($I31, Factor!$K$12:$R$13, _xlpm.기본_색인번호, 0),
_xlpm.공격속성보정치, VLOOKUP($J31, Factor!$K$5:$R$7, _xlpm.기본_색인번호, 0),
_xlpm.피해범위보정치, INDEX(Factor!$AN$5:$AV$51, _xlfn.XMATCH(IF(OR($G31="blast", $G31="curved",  $G31= "debuff"), $L31, 0), Factor!$AN$5:$AN$51, -1), _xlpm.추가_색인번호)-IF(AND(OR($G31="blast", $G31="curved", $G31= "debuff"), MOD($L31,1)&lt;&gt;0),INDEX(Factor!$AN$5:$AV$51, _xlfn.XMATCH(IF(OR($G31="blast", $G31="curved", $G31= "debuff"), $L31, 0), Factor!$AN$5:$AN$51, -1), 2)*MOD($L31,1)*10,0),
_xlpm.상태이상보정치, VLOOKUP(IF($G31 = "debuff", $M31, "null"), Factor!$AX$5:$BE$51, _xlpm.기본_색인번호, 0),
_xlpm.지속시간보정치, INDEX(Factor!$BG$5:$BO$51, _xlfn.XMATCH(IF(OR($G31 ="debuff", $G31 = "shot", $G31 = "pierce"), $O31, 0), Factor!$BG$5:$BG$51, -1), _xlpm.추가_색인번호)-IF(AND(OR($G31 ="debuff", $G31 = "shot", $G31 = "pierce"), MOD($O31, 1)&lt;&gt;0), 10*MOD($O31, 1)*INDEX(Factor!$BG$5:$BO$51, _xlfn.XMATCH(IF(OR($G31 ="debuff", $G31 = "shot", $G31 = "pierce"), $O31, 0), Factor!$BG$5:$BG$51, -1), 2), 0),
_xlpm.탄환개수보정치, VLOOKUP(IF(OR($G31 = "curved", $G31 = "shot"), $Q31, 1), Factor!$BQ$5:$BX$51, _xlpm.기본_색인번호, 0),
_xlpm.상태이상탄환생성위치보정치, IF($G31 = "debuff", VLOOKUP($R31, Factor!$K$18:$R$19, _xlpm.기본_색인번호, 0),1),
_xlpm.상태이상탄환형태보정치, IF($G31 = "debuff", VLOOKUP($S31, Factor!$K$24:$R$25, _xlpm.기본_색인번호, 0),1),
_xlpm.가격보정치, INDEX(Factor!$AE$5:$AL$51, _xlfn.XMATCH($F31,Factor!$AE$5:$AE$51, -1), _xlpm.기본_색인번호),
_xlpm.구경보정치, VLOOKUP($D31,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31" s="25" t="e" cm="1">
        <f t="array" ref="AB31">_xlfn.LET(_xlpm.기본_색인번호, 3,
_xlpm.추가_색인번호, 4,
_xlpm.개별보정치, U31,
_xlpm.패턴보정치, VLOOKUP($G31, Factor!$B$5:$I$51, _xlpm.기본_색인번호, 0),
_xlpm.소모탄환보정치, VLOOKUP($H31, Factor!$T$5:$AA$51, _xlpm.기본_색인번호, 0),
_xlpm.지형보정치, VLOOKUP($I31, Factor!$K$12:$R$13, _xlpm.기본_색인번호, 0),
_xlpm.공격속성보정치, VLOOKUP($J31, Factor!$K$5:$R$7, _xlpm.기본_색인번호, 0),
_xlpm.피해범위보정치, INDEX(Factor!$AN$5:$AV$51, _xlfn.XMATCH(IF(OR($G31="blast", $G31="curved",  $G31= "debuff"), $L31, 0), Factor!$AN$5:$AN$51, -1), _xlpm.추가_색인번호)-IF(AND(OR($G31="blast", $G31="curved", $G31= "debuff"), MOD($L31,1)&lt;&gt;0),INDEX(Factor!$AN$5:$AV$51, _xlfn.XMATCH(IF(OR($G31="blast", $G31="curved", $G31= "debuff"), $L31, 0), Factor!$AN$5:$AN$51, -1), 2)*MOD($L31,1)*10,0),
_xlpm.상태이상보정치, VLOOKUP(IF($G31 = "debuff", $M31, "null"), Factor!$AX$5:$BE$51, _xlpm.기본_색인번호, 0),
_xlpm.지속시간보정치, INDEX(Factor!$BG$5:$BO$51, _xlfn.XMATCH(IF(OR($G31 ="debuff", $G31 = "shot", $G31 = "pierce"), $O31, 0), Factor!$BG$5:$BG$51, -1), _xlpm.추가_색인번호)-IF(AND(OR($G31 ="debuff", $G31 = "shot", $G31 = "pierce"), MOD($O31, 1)&lt;&gt;0), 10*MOD($O31, 1)*INDEX(Factor!$BG$5:$BO$51, _xlfn.XMATCH(IF(OR($G31 ="debuff", $G31 = "shot", $G31 = "pierce"), $O31, 0), Factor!$BG$5:$BG$51, -1), 2), 0),
_xlpm.탄환개수보정치, VLOOKUP(IF(OR($G31 = "curved", $G31 = "shot"), $Q31, 1), Factor!$BQ$5:$BX$51, _xlpm.기본_색인번호, 0),
_xlpm.상태이상탄환생성위치보정치, IF($G31 = "debuff", VLOOKUP($R31, Factor!$K$18:$R$19, _xlpm.기본_색인번호, 0),1),
_xlpm.상태이상탄환형태보정치, IF($G31 = "debuff", VLOOKUP($S31, Factor!$K$24:$R$25, _xlpm.기본_색인번호, 0),1),
_xlpm.가격보정치, INDEX(Factor!$AE$5:$AL$51, _xlfn.XMATCH($F31,Factor!$AE$5:$AE$51, -1), _xlpm.기본_색인번호),
_xlpm.구경보정치, VLOOKUP($D31,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31" s="25" t="e" cm="1">
        <f t="array" ref="AC31">_xlfn.LET(_xlpm.기본_색인번호, 4,
_xlpm.추가_색인번호, 5,
_xlpm.개별보정치, V31,
_xlpm.패턴보정치, VLOOKUP($G31, Factor!$B$5:$I$51, _xlpm.기본_색인번호, 0),
_xlpm.소모탄환보정치, VLOOKUP($H31, Factor!$T$5:$AA$51, _xlpm.기본_색인번호, 0),
_xlpm.지형보정치, VLOOKUP($I31, Factor!$K$12:$R$13, _xlpm.기본_색인번호, 0),
_xlpm.공격속성보정치, VLOOKUP($J31, Factor!$K$5:$R$7, _xlpm.기본_색인번호, 0),
_xlpm.피해범위보정치, INDEX(Factor!$AN$5:$AV$51, _xlfn.XMATCH(IF(OR($G31="blast", $G31="curved",  $G31= "debuff"), $L31, 0), Factor!$AN$5:$AN$51, -1), _xlpm.추가_색인번호)-IF(AND(OR($G31="blast", $G31="curved", $G31= "debuff"), MOD($L31,1)&lt;&gt;0),INDEX(Factor!$AN$5:$AV$51, _xlfn.XMATCH(IF(OR($G31="blast", $G31="curved", $G31= "debuff"), $L31, 0), Factor!$AN$5:$AN$51, -1), 2)*MOD($L31,1)*10,0),
_xlpm.상태이상보정치, VLOOKUP(IF($G31 = "debuff", $M31, "null"), Factor!$AX$5:$BE$51, _xlpm.기본_색인번호, 0),
_xlpm.지속시간보정치, INDEX(Factor!$BG$5:$BO$51, _xlfn.XMATCH(IF(OR($G31 ="debuff", $G31 = "shot", $G31 = "pierce"), $O31, 0), Factor!$BG$5:$BG$51, -1), _xlpm.추가_색인번호)-IF(AND(OR($G31 ="debuff", $G31 = "shot", $G31 = "pierce"), MOD($O31, 1)&lt;&gt;0), 10*MOD($O31, 1)*INDEX(Factor!$BG$5:$BO$51, _xlfn.XMATCH(IF(OR($G31 ="debuff", $G31 = "shot", $G31 = "pierce"), $O31, 0), Factor!$BG$5:$BG$51, -1), 2), 0),
_xlpm.탄환개수보정치, VLOOKUP(IF(OR($G31 = "curved", $G31 = "shot"), $Q31, 1), Factor!$BQ$5:$BX$51, _xlpm.기본_색인번호, 0),
_xlpm.상태이상탄환생성위치보정치, IF($G31 = "debuff", VLOOKUP($R31, Factor!$K$18:$R$19, _xlpm.기본_색인번호, 0),1),
_xlpm.상태이상탄환형태보정치, IF($G31 = "debuff", VLOOKUP($S31, Factor!$K$24:$R$25, _xlpm.기본_색인번호, 0),1),
_xlpm.가격보정치, INDEX(Factor!$AE$5:$AL$51, _xlfn.XMATCH($F31,Factor!$AE$5:$AE$51, -1), _xlpm.기본_색인번호),
_xlpm.구경보정치, VLOOKUP($D31,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31" s="25" t="e" cm="1">
        <f t="array" ref="AD31">_xlfn.LET(_xlpm.기본_색인번호, 5,
_xlpm.추가_색인번호, 6,
_xlpm.개별보정치, W31,
_xlpm.패턴보정치, VLOOKUP($G31, Factor!$B$5:$I$51, _xlpm.기본_색인번호, 0),
_xlpm.소모탄환보정치, VLOOKUP($H31, Factor!$T$5:$AA$51, _xlpm.기본_색인번호, 0),
_xlpm.지형보정치, VLOOKUP($I31, Factor!$K$12:$R$13, _xlpm.기본_색인번호, 0),
_xlpm.공격속성보정치, VLOOKUP($J31, Factor!$K$5:$R$7, _xlpm.기본_색인번호, 0),
_xlpm.피해범위보정치, INDEX(Factor!$AN$5:$AV$51, _xlfn.XMATCH(IF(OR($G31="blast", $G31="curved",  $G31= "debuff"), $L31, 0), Factor!$AN$5:$AN$51, -1), _xlpm.추가_색인번호)-IF(AND(OR($G31="blast", $G31="curved", $G31= "debuff"), MOD($L31,1)&lt;&gt;0),INDEX(Factor!$AN$5:$AV$51, _xlfn.XMATCH(IF(OR($G31="blast", $G31="curved", $G31= "debuff"), $L31, 0), Factor!$AN$5:$AN$51, -1), 2)*MOD($L31,1)*10,0),
_xlpm.상태이상보정치, VLOOKUP(IF($G31 = "debuff", $M31, "null"), Factor!$AX$5:$BE$51, _xlpm.기본_색인번호, 0),
_xlpm.지속시간보정치, INDEX(Factor!$BG$5:$BO$51, _xlfn.XMATCH(IF(OR($G31 ="debuff", $G31 = "shot", $G31 = "pierce"), $O31, 0), Factor!$BG$5:$BG$51, -1), _xlpm.추가_색인번호)-IF(AND(OR($G31 ="debuff", $G31 = "shot", $G31 = "pierce"), MOD($O31, 1)&lt;&gt;0), 10*MOD($O31, 1)*INDEX(Factor!$BG$5:$BO$51, _xlfn.XMATCH(IF(OR($G31 ="debuff", $G31 = "shot", $G31 = "pierce"), $O31, 0), Factor!$BG$5:$BG$51, -1), 2), 0),
_xlpm.탄환개수보정치, VLOOKUP(IF(OR($G31 = "curved", $G31 = "shot"), $Q31, 1), Factor!$BQ$5:$BX$51, _xlpm.기본_색인번호, 0),
_xlpm.상태이상탄환생성위치보정치, IF($G31 = "debuff", VLOOKUP($R31, Factor!$K$18:$R$19, _xlpm.기본_색인번호, 0),1),
_xlpm.상태이상탄환형태보정치, IF($G31 = "debuff", VLOOKUP($S31, Factor!$K$24:$R$25, _xlpm.기본_색인번호, 0),1),
_xlpm.가격보정치, INDEX(Factor!$AE$5:$AL$51, _xlfn.XMATCH($F31,Factor!$AE$5:$AE$51, -1), _xlpm.기본_색인번호),
_xlpm.구경보정치, VLOOKUP($D31,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31" s="25" t="e" cm="1">
        <f t="array" ref="AE31">_xlfn.LET(_xlpm.기본_색인번호, 6,
_xlpm.추가_색인번호, 7,
_xlpm.개별보정치, X31,
_xlpm.패턴보정치, VLOOKUP($G31, Factor!$B$5:$I$51, _xlpm.기본_색인번호, 0),
_xlpm.소모탄환보정치, VLOOKUP($H31, Factor!$T$5:$AA$51, _xlpm.기본_색인번호, 0),
_xlpm.지형보정치, VLOOKUP($I31, Factor!$K$12:$R$13, _xlpm.기본_색인번호, 0),
_xlpm.공격속성보정치, VLOOKUP($J31, Factor!$K$5:$R$7, _xlpm.기본_색인번호, 0),
_xlpm.피해범위보정치, INDEX(Factor!$AN$5:$AV$51, _xlfn.XMATCH(IF(OR($G31="blast", $G31="curved",  $G31= "debuff"), $L31, 0), Factor!$AN$5:$AN$51, -1), _xlpm.추가_색인번호)-IF(AND(OR($G31="blast", $G31="curved", $G31= "debuff"), MOD($L31,1)&lt;&gt;0),INDEX(Factor!$AN$5:$AV$51, _xlfn.XMATCH(IF(OR($G31="blast", $G31="curved", $G31= "debuff"), $L31, 0), Factor!$AN$5:$AN$51, -1), 2)*MOD($L31,1)*10,0),
_xlpm.상태이상보정치, VLOOKUP(IF($G31 = "debuff", $M31, "null"), Factor!$AX$5:$BE$51, _xlpm.기본_색인번호, 0),
_xlpm.지속시간보정치, INDEX(Factor!$BG$5:$BO$51, _xlfn.XMATCH(IF(OR($G31 ="debuff", $G31 = "shot", $G31 = "pierce"), $O31, 0), Factor!$BG$5:$BG$51, -1), _xlpm.추가_색인번호)-IF(AND(OR($G31 ="debuff", $G31 = "shot", $G31 = "pierce"), MOD($O31, 1)&lt;&gt;0), 10*MOD($O31, 1)*INDEX(Factor!$BG$5:$BO$51, _xlfn.XMATCH(IF(OR($G31 ="debuff", $G31 = "shot", $G31 = "pierce"), $O31, 0), Factor!$BG$5:$BG$51, -1), 2), 0),
_xlpm.탄환개수보정치, VLOOKUP(IF(OR($G31 = "curved", $G31 = "shot"), $Q31, 1), Factor!$BQ$5:$BX$51, _xlpm.기본_색인번호, 0),
_xlpm.상태이상탄환생성위치보정치, IF($G31 = "debuff", VLOOKUP($R31, Factor!$K$18:$R$19, _xlpm.기본_색인번호, 0),1),
_xlpm.상태이상탄환형태보정치, IF($G31 = "debuff", VLOOKUP($S31, Factor!$K$24:$R$25, _xlpm.기본_색인번호, 0),1),
_xlpm.가격보정치, INDEX(Factor!$AE$5:$AL$51, _xlfn.XMATCH($F31,Factor!$AE$5:$AE$51, -1), _xlpm.기본_색인번호),
_xlpm.구경보정치, VLOOKUP($D31,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31" s="25" t="e" cm="1">
        <f t="array" ref="AF31">_xlfn.LET(_xlpm.기본_색인번호, 7,
_xlpm.추가_색인번호, 8,
_xlpm.개별보정치, Y31,
_xlpm.패턴보정치, VLOOKUP($G31, Factor!$B$5:$I$51, _xlpm.기본_색인번호, 0),
_xlpm.소모탄환보정치, VLOOKUP($H31, Factor!$T$5:$AA$51, _xlpm.기본_색인번호, 0),
_xlpm.지형보정치, VLOOKUP($I31, Factor!$K$12:$R$13, _xlpm.기본_색인번호, 0),
_xlpm.공격속성보정치, VLOOKUP($J31, Factor!$K$5:$R$7, _xlpm.기본_색인번호, 0),
_xlpm.피해범위보정치, INDEX(Factor!$AN$5:$AV$51, _xlfn.XMATCH(IF(OR($G31="blast", $G31="curved",  $G31= "debuff"), $L31, 0), Factor!$AN$5:$AN$51, -1), _xlpm.추가_색인번호)-IF(AND(OR($G31="blast", $G31="curved", $G31= "debuff"), MOD($L31,1)&lt;&gt;0),INDEX(Factor!$AN$5:$AV$51, _xlfn.XMATCH(IF(OR($G31="blast", $G31="curved", $G31= "debuff"), $L31, 0), Factor!$AN$5:$AN$51, -1), 2)*MOD($L31,1)*10,0),
_xlpm.상태이상보정치, VLOOKUP(IF($G31 = "debuff", $M31, "null"), Factor!$AX$5:$BE$51, _xlpm.기본_색인번호, 0),
_xlpm.지속시간보정치, INDEX(Factor!$BG$5:$BO$51, _xlfn.XMATCH(IF(OR($G31 ="debuff", $G31 = "shot", $G31 = "pierce"), $O31, 0), Factor!$BG$5:$BG$51, -1), _xlpm.추가_색인번호)-IF(AND(OR($G31 ="debuff", $G31 = "shot", $G31 = "pierce"), MOD($O31, 1)&lt;&gt;0), 10*MOD($O31, 1)*INDEX(Factor!$BG$5:$BO$51, _xlfn.XMATCH(IF(OR($G31 ="debuff", $G31 = "shot", $G31 = "pierce"), $O31, 0), Factor!$BG$5:$BG$51, -1), 2), 0),
_xlpm.탄환개수보정치, VLOOKUP(IF(OR($G31 = "curved", $G31 = "shot"), $Q31, 1), Factor!$BQ$5:$BX$51, _xlpm.기본_색인번호, 0),
_xlpm.상태이상탄환생성위치보정치, IF($G31 = "debuff", VLOOKUP($R31, Factor!$K$18:$R$19, _xlpm.기본_색인번호, 0),1),
_xlpm.상태이상탄환형태보정치, IF($G31 = "debuff", VLOOKUP($S31, Factor!$K$24:$R$25, _xlpm.기본_색인번호, 0),1),
_xlpm.가격보정치, INDEX(Factor!$AE$5:$AL$51, _xlfn.XMATCH($F31,Factor!$AE$5:$AE$51, -1), _xlpm.기본_색인번호),
_xlpm.구경보정치, VLOOKUP($D31,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31" s="27" t="e" cm="1">
        <f t="array" ref="AG31">_xlfn.LET(_xlpm.기본_색인번호, 8,
_xlpm.추가_색인번호, 9,
_xlpm.개별보정치, Z31,
_xlpm.패턴보정치, VLOOKUP($G31, Factor!$B$5:$I$51, _xlpm.기본_색인번호, 0),
_xlpm.소모탄환보정치, VLOOKUP($H31, Factor!$T$5:$AA$51, _xlpm.기본_색인번호, 0),
_xlpm.지형보정치, VLOOKUP($I31, Factor!$K$12:$R$13, _xlpm.기본_색인번호, 0),
_xlpm.공격속성보정치, VLOOKUP($J31, Factor!$K$5:$R$7, _xlpm.기본_색인번호, 0),
_xlpm.피해범위보정치, INDEX(Factor!$AN$5:$AV$51, _xlfn.XMATCH(IF(OR($G31="blast", $G31="curved",  $G31= "debuff"), $L31, 0), Factor!$AN$5:$AN$51, -1), _xlpm.추가_색인번호)-IF(AND(OR($G31="blast", $G31="curved", $G31= "debuff"), MOD($L31,1)&lt;&gt;0),INDEX(Factor!$AN$5:$AV$51, _xlfn.XMATCH(IF(OR($G31="blast", $G31="curved", $G31= "debuff"), $L31, 0), Factor!$AN$5:$AN$51, -1), 2)*MOD($L31,1)*10,0),
_xlpm.상태이상보정치, VLOOKUP(IF($G31 = "debuff", $M31, "null"), Factor!$AX$5:$BE$51, _xlpm.기본_색인번호, 0),
_xlpm.지속시간보정치, INDEX(Factor!$BG$5:$BO$51, _xlfn.XMATCH(IF(OR($G31 ="debuff", $G31 = "shot", $G31 = "pierce"), $O31, 0), Factor!$BG$5:$BG$51, -1), _xlpm.추가_색인번호)-IF(AND(OR($G31 ="debuff", $G31 = "shot", $G31 = "pierce"), MOD($O31, 1)&lt;&gt;0), 10*MOD($O31, 1)*INDEX(Factor!$BG$5:$BO$51, _xlfn.XMATCH(IF(OR($G31 ="debuff", $G31 = "shot", $G31 = "pierce"), $O31, 0), Factor!$BG$5:$BG$51, -1), 2), 0),
_xlpm.탄환개수보정치, VLOOKUP(IF(OR($G31 = "curved", $G31 = "shot"), $Q31, 1), Factor!$BQ$5:$BX$51, _xlpm.기본_색인번호, 0),
_xlpm.상태이상탄환생성위치보정치, IF($G31 = "debuff", VLOOKUP($R31, Factor!$K$18:$R$19, _xlpm.기본_색인번호, 0),1),
_xlpm.상태이상탄환형태보정치, IF($G31 = "debuff", VLOOKUP($S31, Factor!$K$24:$R$25, _xlpm.기본_색인번호, 0),1),
_xlpm.가격보정치, INDEX(Factor!$AE$5:$AL$51, _xlfn.XMATCH($F31,Factor!$AE$5:$AE$51, -1), _xlpm.기본_색인번호),
_xlpm.구경보정치, VLOOKUP($D31,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31"/>
      <c r="AI31"/>
      <c r="AJ31"/>
      <c r="AK31"/>
      <c r="AL31"/>
      <c r="AM31"/>
      <c r="AN31"/>
    </row>
    <row r="32" spans="1:40" ht="15.75" customHeight="1">
      <c r="A32" s="28" t="e">
        <f>"weapon_"&amp;G32&amp;"_"&amp;VLOOKUP(H32, Factor!$T$5:$AB$7, 9, 0)&amp;"_"&amp;IF(COUNTIFS($G$4:G31, G32, $H$4:H31, H32)+1&gt;=100, COUNTIFS($G$4:G31, G32, $H$4:H31, H32)+1,IF(COUNTIFS($G$4:G31, G32, $H$4:H31, H32)+1&gt;=10, "0"&amp;COUNTIFS($G$4:G31, G32, $H$4:H31, H32)+1, "00"&amp;COUNTIFS($G$4:G31, G32, $H$4:H31, H32)+1))</f>
        <v>#N/A</v>
      </c>
      <c r="B32" s="37" t="str">
        <f t="shared" si="0"/>
        <v xml:space="preserve"> </v>
      </c>
      <c r="C32" s="37"/>
      <c r="D32" s="37"/>
      <c r="E32" s="37"/>
      <c r="F32" s="29" t="e">
        <f>VLOOKUP(C32, Factor!$AD$5:$AE$15, 2, 0)</f>
        <v>#N/A</v>
      </c>
      <c r="G32" s="29" t="e">
        <f>VLOOKUP(E32, Factor!$CL$5:$CV$50, 2, 0)</f>
        <v>#N/A</v>
      </c>
      <c r="H32" s="29" t="e">
        <f>VLOOKUP(E32, Factor!$CL$5:$CV$50, 3, 0)</f>
        <v>#N/A</v>
      </c>
      <c r="I32" s="29" t="e">
        <f>VLOOKUP(E32, Factor!$CL$5:$CV$50, 4, 0)</f>
        <v>#N/A</v>
      </c>
      <c r="J32" s="29" t="e">
        <f>VLOOKUP(E32, Factor!$CL$5:$CV$50, 5, 0)</f>
        <v>#N/A</v>
      </c>
      <c r="K32" s="29">
        <v>1</v>
      </c>
      <c r="L32" s="29" t="e">
        <f>VLOOKUP(E32, Factor!$CL$5:$CV$50, 6, 0)*K32*VLOOKUP(D32, Factor!$BZ$5:$CJ$49, 9, 0)</f>
        <v>#N/A</v>
      </c>
      <c r="M32" s="29" t="e">
        <f>VLOOKUP(E32, Factor!$CL$5:$CV$50, 7, 0)</f>
        <v>#N/A</v>
      </c>
      <c r="N32" s="29">
        <v>1</v>
      </c>
      <c r="O32" s="29" t="e">
        <f>VLOOKUP(E32, Factor!$CL$5:$CV$50, 8, 0)*N32*VLOOKUP(D32, Factor!$BZ$5:$CJ$49, 10, 0)</f>
        <v>#N/A</v>
      </c>
      <c r="P32" s="29">
        <v>1</v>
      </c>
      <c r="Q32" s="29" t="e">
        <f>VLOOKUP(E32, Factor!$CL$5:$CV$50, 9, 0)*P32*VLOOKUP(D32, Factor!$BZ$5:$CJ$49, 11, 0)</f>
        <v>#N/A</v>
      </c>
      <c r="R32" s="29" t="e">
        <f>VLOOKUP(E32, Factor!$CL$5:$CV$50, 10, 0)</f>
        <v>#N/A</v>
      </c>
      <c r="S32" s="29" t="e">
        <f>VLOOKUP(E32, Factor!$CL$5:$CV$50, 11, 0)</f>
        <v>#N/A</v>
      </c>
      <c r="T32" s="29">
        <v>1</v>
      </c>
      <c r="U32" s="29">
        <v>1</v>
      </c>
      <c r="V32" s="29">
        <v>1</v>
      </c>
      <c r="W32" s="29">
        <v>1</v>
      </c>
      <c r="X32" s="29">
        <v>1</v>
      </c>
      <c r="Y32" s="29">
        <v>1</v>
      </c>
      <c r="Z32" s="29">
        <v>1</v>
      </c>
      <c r="AA32" s="29" t="e" cm="1">
        <f t="array" ref="AA32">_xlfn.LET(_xlpm.기본_색인번호, 2,
_xlpm.추가_색인번호, 3,
_xlpm.개별보정치, T32,
_xlpm.패턴보정치, VLOOKUP($G32, Factor!$B$5:$I$51, _xlpm.기본_색인번호, 0),
_xlpm.소모탄환보정치, VLOOKUP($H32, Factor!$T$5:$AA$51, _xlpm.기본_색인번호, 0),
_xlpm.지형보정치, VLOOKUP($I32, Factor!$K$12:$R$13, _xlpm.기본_색인번호, 0),
_xlpm.공격속성보정치, VLOOKUP($J32, Factor!$K$5:$R$7, _xlpm.기본_색인번호, 0),
_xlpm.피해범위보정치, INDEX(Factor!$AN$5:$AV$51, _xlfn.XMATCH(IF(OR($G32="blast", $G32="curved",  $G32= "debuff"), $L32, 0), Factor!$AN$5:$AN$51, -1), _xlpm.추가_색인번호)-IF(AND(OR($G32="blast", $G32="curved", $G32= "debuff"), MOD($L32,1)&lt;&gt;0),INDEX(Factor!$AN$5:$AV$51, _xlfn.XMATCH(IF(OR($G32="blast", $G32="curved", $G32= "debuff"), $L32, 0), Factor!$AN$5:$AN$51, -1), 2)*MOD($L32,1)*10,0),
_xlpm.상태이상보정치, VLOOKUP(IF($G32 = "debuff", $M32, "null"), Factor!$AX$5:$BE$51, _xlpm.기본_색인번호, 0),
_xlpm.지속시간보정치, INDEX(Factor!$BG$5:$BO$51, _xlfn.XMATCH(IF(OR($G32 ="debuff", $G32 = "shot", $G32 = "pierce"), $O32, 0), Factor!$BG$5:$BG$51, -1), _xlpm.추가_색인번호)-IF(AND(OR($G32 ="debuff", $G32 = "shot", $G32 = "pierce"), MOD($O32, 1)&lt;&gt;0), 10*MOD($O32, 1)*INDEX(Factor!$BG$5:$BO$51, _xlfn.XMATCH(IF(OR($G32 ="debuff", $G32 = "shot", $G32 = "pierce"), $O32, 0), Factor!$BG$5:$BG$51, -1), 2), 0),
_xlpm.탄환개수보정치, VLOOKUP(IF(OR($G32 = "curved", $G32 = "shot"), $Q32, 1), Factor!$BQ$5:$BX$51, _xlpm.기본_색인번호, 0),
_xlpm.상태이상탄환생성위치보정치, IF($G32 = "debuff", VLOOKUP($R32, Factor!$K$18:$R$19, _xlpm.기본_색인번호, 0),1),
_xlpm.상태이상탄환형태보정치, IF($G32 = "debuff", VLOOKUP($S32, Factor!$K$24:$R$25, _xlpm.기본_색인번호, 0),1),
_xlpm.가격보정치, INDEX(Factor!$AE$5:$AL$51, _xlfn.XMATCH($F32,Factor!$AE$5:$AE$51, -1), _xlpm.기본_색인번호),
_xlpm.구경보정치, VLOOKUP($D32,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32" s="29" t="e" cm="1">
        <f t="array" ref="AB32">_xlfn.LET(_xlpm.기본_색인번호, 3,
_xlpm.추가_색인번호, 4,
_xlpm.개별보정치, U32,
_xlpm.패턴보정치, VLOOKUP($G32, Factor!$B$5:$I$51, _xlpm.기본_색인번호, 0),
_xlpm.소모탄환보정치, VLOOKUP($H32, Factor!$T$5:$AA$51, _xlpm.기본_색인번호, 0),
_xlpm.지형보정치, VLOOKUP($I32, Factor!$K$12:$R$13, _xlpm.기본_색인번호, 0),
_xlpm.공격속성보정치, VLOOKUP($J32, Factor!$K$5:$R$7, _xlpm.기본_색인번호, 0),
_xlpm.피해범위보정치, INDEX(Factor!$AN$5:$AV$51, _xlfn.XMATCH(IF(OR($G32="blast", $G32="curved",  $G32= "debuff"), $L32, 0), Factor!$AN$5:$AN$51, -1), _xlpm.추가_색인번호)-IF(AND(OR($G32="blast", $G32="curved", $G32= "debuff"), MOD($L32,1)&lt;&gt;0),INDEX(Factor!$AN$5:$AV$51, _xlfn.XMATCH(IF(OR($G32="blast", $G32="curved", $G32= "debuff"), $L32, 0), Factor!$AN$5:$AN$51, -1), 2)*MOD($L32,1)*10,0),
_xlpm.상태이상보정치, VLOOKUP(IF($G32 = "debuff", $M32, "null"), Factor!$AX$5:$BE$51, _xlpm.기본_색인번호, 0),
_xlpm.지속시간보정치, INDEX(Factor!$BG$5:$BO$51, _xlfn.XMATCH(IF(OR($G32 ="debuff", $G32 = "shot", $G32 = "pierce"), $O32, 0), Factor!$BG$5:$BG$51, -1), _xlpm.추가_색인번호)-IF(AND(OR($G32 ="debuff", $G32 = "shot", $G32 = "pierce"), MOD($O32, 1)&lt;&gt;0), 10*MOD($O32, 1)*INDEX(Factor!$BG$5:$BO$51, _xlfn.XMATCH(IF(OR($G32 ="debuff", $G32 = "shot", $G32 = "pierce"), $O32, 0), Factor!$BG$5:$BG$51, -1), 2), 0),
_xlpm.탄환개수보정치, VLOOKUP(IF(OR($G32 = "curved", $G32 = "shot"), $Q32, 1), Factor!$BQ$5:$BX$51, _xlpm.기본_색인번호, 0),
_xlpm.상태이상탄환생성위치보정치, IF($G32 = "debuff", VLOOKUP($R32, Factor!$K$18:$R$19, _xlpm.기본_색인번호, 0),1),
_xlpm.상태이상탄환형태보정치, IF($G32 = "debuff", VLOOKUP($S32, Factor!$K$24:$R$25, _xlpm.기본_색인번호, 0),1),
_xlpm.가격보정치, INDEX(Factor!$AE$5:$AL$51, _xlfn.XMATCH($F32,Factor!$AE$5:$AE$51, -1), _xlpm.기본_색인번호),
_xlpm.구경보정치, VLOOKUP($D32,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32" s="29" t="e" cm="1">
        <f t="array" ref="AC32">_xlfn.LET(_xlpm.기본_색인번호, 4,
_xlpm.추가_색인번호, 5,
_xlpm.개별보정치, V32,
_xlpm.패턴보정치, VLOOKUP($G32, Factor!$B$5:$I$51, _xlpm.기본_색인번호, 0),
_xlpm.소모탄환보정치, VLOOKUP($H32, Factor!$T$5:$AA$51, _xlpm.기본_색인번호, 0),
_xlpm.지형보정치, VLOOKUP($I32, Factor!$K$12:$R$13, _xlpm.기본_색인번호, 0),
_xlpm.공격속성보정치, VLOOKUP($J32, Factor!$K$5:$R$7, _xlpm.기본_색인번호, 0),
_xlpm.피해범위보정치, INDEX(Factor!$AN$5:$AV$51, _xlfn.XMATCH(IF(OR($G32="blast", $G32="curved",  $G32= "debuff"), $L32, 0), Factor!$AN$5:$AN$51, -1), _xlpm.추가_색인번호)-IF(AND(OR($G32="blast", $G32="curved", $G32= "debuff"), MOD($L32,1)&lt;&gt;0),INDEX(Factor!$AN$5:$AV$51, _xlfn.XMATCH(IF(OR($G32="blast", $G32="curved", $G32= "debuff"), $L32, 0), Factor!$AN$5:$AN$51, -1), 2)*MOD($L32,1)*10,0),
_xlpm.상태이상보정치, VLOOKUP(IF($G32 = "debuff", $M32, "null"), Factor!$AX$5:$BE$51, _xlpm.기본_색인번호, 0),
_xlpm.지속시간보정치, INDEX(Factor!$BG$5:$BO$51, _xlfn.XMATCH(IF(OR($G32 ="debuff", $G32 = "shot", $G32 = "pierce"), $O32, 0), Factor!$BG$5:$BG$51, -1), _xlpm.추가_색인번호)-IF(AND(OR($G32 ="debuff", $G32 = "shot", $G32 = "pierce"), MOD($O32, 1)&lt;&gt;0), 10*MOD($O32, 1)*INDEX(Factor!$BG$5:$BO$51, _xlfn.XMATCH(IF(OR($G32 ="debuff", $G32 = "shot", $G32 = "pierce"), $O32, 0), Factor!$BG$5:$BG$51, -1), 2), 0),
_xlpm.탄환개수보정치, VLOOKUP(IF(OR($G32 = "curved", $G32 = "shot"), $Q32, 1), Factor!$BQ$5:$BX$51, _xlpm.기본_색인번호, 0),
_xlpm.상태이상탄환생성위치보정치, IF($G32 = "debuff", VLOOKUP($R32, Factor!$K$18:$R$19, _xlpm.기본_색인번호, 0),1),
_xlpm.상태이상탄환형태보정치, IF($G32 = "debuff", VLOOKUP($S32, Factor!$K$24:$R$25, _xlpm.기본_색인번호, 0),1),
_xlpm.가격보정치, INDEX(Factor!$AE$5:$AL$51, _xlfn.XMATCH($F32,Factor!$AE$5:$AE$51, -1), _xlpm.기본_색인번호),
_xlpm.구경보정치, VLOOKUP($D32,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32" s="29" t="e" cm="1">
        <f t="array" ref="AD32">_xlfn.LET(_xlpm.기본_색인번호, 5,
_xlpm.추가_색인번호, 6,
_xlpm.개별보정치, W32,
_xlpm.패턴보정치, VLOOKUP($G32, Factor!$B$5:$I$51, _xlpm.기본_색인번호, 0),
_xlpm.소모탄환보정치, VLOOKUP($H32, Factor!$T$5:$AA$51, _xlpm.기본_색인번호, 0),
_xlpm.지형보정치, VLOOKUP($I32, Factor!$K$12:$R$13, _xlpm.기본_색인번호, 0),
_xlpm.공격속성보정치, VLOOKUP($J32, Factor!$K$5:$R$7, _xlpm.기본_색인번호, 0),
_xlpm.피해범위보정치, INDEX(Factor!$AN$5:$AV$51, _xlfn.XMATCH(IF(OR($G32="blast", $G32="curved",  $G32= "debuff"), $L32, 0), Factor!$AN$5:$AN$51, -1), _xlpm.추가_색인번호)-IF(AND(OR($G32="blast", $G32="curved", $G32= "debuff"), MOD($L32,1)&lt;&gt;0),INDEX(Factor!$AN$5:$AV$51, _xlfn.XMATCH(IF(OR($G32="blast", $G32="curved", $G32= "debuff"), $L32, 0), Factor!$AN$5:$AN$51, -1), 2)*MOD($L32,1)*10,0),
_xlpm.상태이상보정치, VLOOKUP(IF($G32 = "debuff", $M32, "null"), Factor!$AX$5:$BE$51, _xlpm.기본_색인번호, 0),
_xlpm.지속시간보정치, INDEX(Factor!$BG$5:$BO$51, _xlfn.XMATCH(IF(OR($G32 ="debuff", $G32 = "shot", $G32 = "pierce"), $O32, 0), Factor!$BG$5:$BG$51, -1), _xlpm.추가_색인번호)-IF(AND(OR($G32 ="debuff", $G32 = "shot", $G32 = "pierce"), MOD($O32, 1)&lt;&gt;0), 10*MOD($O32, 1)*INDEX(Factor!$BG$5:$BO$51, _xlfn.XMATCH(IF(OR($G32 ="debuff", $G32 = "shot", $G32 = "pierce"), $O32, 0), Factor!$BG$5:$BG$51, -1), 2), 0),
_xlpm.탄환개수보정치, VLOOKUP(IF(OR($G32 = "curved", $G32 = "shot"), $Q32, 1), Factor!$BQ$5:$BX$51, _xlpm.기본_색인번호, 0),
_xlpm.상태이상탄환생성위치보정치, IF($G32 = "debuff", VLOOKUP($R32, Factor!$K$18:$R$19, _xlpm.기본_색인번호, 0),1),
_xlpm.상태이상탄환형태보정치, IF($G32 = "debuff", VLOOKUP($S32, Factor!$K$24:$R$25, _xlpm.기본_색인번호, 0),1),
_xlpm.가격보정치, INDEX(Factor!$AE$5:$AL$51, _xlfn.XMATCH($F32,Factor!$AE$5:$AE$51, -1), _xlpm.기본_색인번호),
_xlpm.구경보정치, VLOOKUP($D32,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32" s="29" t="e" cm="1">
        <f t="array" ref="AE32">_xlfn.LET(_xlpm.기본_색인번호, 6,
_xlpm.추가_색인번호, 7,
_xlpm.개별보정치, X32,
_xlpm.패턴보정치, VLOOKUP($G32, Factor!$B$5:$I$51, _xlpm.기본_색인번호, 0),
_xlpm.소모탄환보정치, VLOOKUP($H32, Factor!$T$5:$AA$51, _xlpm.기본_색인번호, 0),
_xlpm.지형보정치, VLOOKUP($I32, Factor!$K$12:$R$13, _xlpm.기본_색인번호, 0),
_xlpm.공격속성보정치, VLOOKUP($J32, Factor!$K$5:$R$7, _xlpm.기본_색인번호, 0),
_xlpm.피해범위보정치, INDEX(Factor!$AN$5:$AV$51, _xlfn.XMATCH(IF(OR($G32="blast", $G32="curved",  $G32= "debuff"), $L32, 0), Factor!$AN$5:$AN$51, -1), _xlpm.추가_색인번호)-IF(AND(OR($G32="blast", $G32="curved", $G32= "debuff"), MOD($L32,1)&lt;&gt;0),INDEX(Factor!$AN$5:$AV$51, _xlfn.XMATCH(IF(OR($G32="blast", $G32="curved", $G32= "debuff"), $L32, 0), Factor!$AN$5:$AN$51, -1), 2)*MOD($L32,1)*10,0),
_xlpm.상태이상보정치, VLOOKUP(IF($G32 = "debuff", $M32, "null"), Factor!$AX$5:$BE$51, _xlpm.기본_색인번호, 0),
_xlpm.지속시간보정치, INDEX(Factor!$BG$5:$BO$51, _xlfn.XMATCH(IF(OR($G32 ="debuff", $G32 = "shot", $G32 = "pierce"), $O32, 0), Factor!$BG$5:$BG$51, -1), _xlpm.추가_색인번호)-IF(AND(OR($G32 ="debuff", $G32 = "shot", $G32 = "pierce"), MOD($O32, 1)&lt;&gt;0), 10*MOD($O32, 1)*INDEX(Factor!$BG$5:$BO$51, _xlfn.XMATCH(IF(OR($G32 ="debuff", $G32 = "shot", $G32 = "pierce"), $O32, 0), Factor!$BG$5:$BG$51, -1), 2), 0),
_xlpm.탄환개수보정치, VLOOKUP(IF(OR($G32 = "curved", $G32 = "shot"), $Q32, 1), Factor!$BQ$5:$BX$51, _xlpm.기본_색인번호, 0),
_xlpm.상태이상탄환생성위치보정치, IF($G32 = "debuff", VLOOKUP($R32, Factor!$K$18:$R$19, _xlpm.기본_색인번호, 0),1),
_xlpm.상태이상탄환형태보정치, IF($G32 = "debuff", VLOOKUP($S32, Factor!$K$24:$R$25, _xlpm.기본_색인번호, 0),1),
_xlpm.가격보정치, INDEX(Factor!$AE$5:$AL$51, _xlfn.XMATCH($F32,Factor!$AE$5:$AE$51, -1), _xlpm.기본_색인번호),
_xlpm.구경보정치, VLOOKUP($D32,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32" s="29" t="e" cm="1">
        <f t="array" ref="AF32">_xlfn.LET(_xlpm.기본_색인번호, 7,
_xlpm.추가_색인번호, 8,
_xlpm.개별보정치, Y32,
_xlpm.패턴보정치, VLOOKUP($G32, Factor!$B$5:$I$51, _xlpm.기본_색인번호, 0),
_xlpm.소모탄환보정치, VLOOKUP($H32, Factor!$T$5:$AA$51, _xlpm.기본_색인번호, 0),
_xlpm.지형보정치, VLOOKUP($I32, Factor!$K$12:$R$13, _xlpm.기본_색인번호, 0),
_xlpm.공격속성보정치, VLOOKUP($J32, Factor!$K$5:$R$7, _xlpm.기본_색인번호, 0),
_xlpm.피해범위보정치, INDEX(Factor!$AN$5:$AV$51, _xlfn.XMATCH(IF(OR($G32="blast", $G32="curved",  $G32= "debuff"), $L32, 0), Factor!$AN$5:$AN$51, -1), _xlpm.추가_색인번호)-IF(AND(OR($G32="blast", $G32="curved", $G32= "debuff"), MOD($L32,1)&lt;&gt;0),INDEX(Factor!$AN$5:$AV$51, _xlfn.XMATCH(IF(OR($G32="blast", $G32="curved", $G32= "debuff"), $L32, 0), Factor!$AN$5:$AN$51, -1), 2)*MOD($L32,1)*10,0),
_xlpm.상태이상보정치, VLOOKUP(IF($G32 = "debuff", $M32, "null"), Factor!$AX$5:$BE$51, _xlpm.기본_색인번호, 0),
_xlpm.지속시간보정치, INDEX(Factor!$BG$5:$BO$51, _xlfn.XMATCH(IF(OR($G32 ="debuff", $G32 = "shot", $G32 = "pierce"), $O32, 0), Factor!$BG$5:$BG$51, -1), _xlpm.추가_색인번호)-IF(AND(OR($G32 ="debuff", $G32 = "shot", $G32 = "pierce"), MOD($O32, 1)&lt;&gt;0), 10*MOD($O32, 1)*INDEX(Factor!$BG$5:$BO$51, _xlfn.XMATCH(IF(OR($G32 ="debuff", $G32 = "shot", $G32 = "pierce"), $O32, 0), Factor!$BG$5:$BG$51, -1), 2), 0),
_xlpm.탄환개수보정치, VLOOKUP(IF(OR($G32 = "curved", $G32 = "shot"), $Q32, 1), Factor!$BQ$5:$BX$51, _xlpm.기본_색인번호, 0),
_xlpm.상태이상탄환생성위치보정치, IF($G32 = "debuff", VLOOKUP($R32, Factor!$K$18:$R$19, _xlpm.기본_색인번호, 0),1),
_xlpm.상태이상탄환형태보정치, IF($G32 = "debuff", VLOOKUP($S32, Factor!$K$24:$R$25, _xlpm.기본_색인번호, 0),1),
_xlpm.가격보정치, INDEX(Factor!$AE$5:$AL$51, _xlfn.XMATCH($F32,Factor!$AE$5:$AE$51, -1), _xlpm.기본_색인번호),
_xlpm.구경보정치, VLOOKUP($D32,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32" s="30" t="e" cm="1">
        <f t="array" ref="AG32">_xlfn.LET(_xlpm.기본_색인번호, 8,
_xlpm.추가_색인번호, 9,
_xlpm.개별보정치, Z32,
_xlpm.패턴보정치, VLOOKUP($G32, Factor!$B$5:$I$51, _xlpm.기본_색인번호, 0),
_xlpm.소모탄환보정치, VLOOKUP($H32, Factor!$T$5:$AA$51, _xlpm.기본_색인번호, 0),
_xlpm.지형보정치, VLOOKUP($I32, Factor!$K$12:$R$13, _xlpm.기본_색인번호, 0),
_xlpm.공격속성보정치, VLOOKUP($J32, Factor!$K$5:$R$7, _xlpm.기본_색인번호, 0),
_xlpm.피해범위보정치, INDEX(Factor!$AN$5:$AV$51, _xlfn.XMATCH(IF(OR($G32="blast", $G32="curved",  $G32= "debuff"), $L32, 0), Factor!$AN$5:$AN$51, -1), _xlpm.추가_색인번호)-IF(AND(OR($G32="blast", $G32="curved", $G32= "debuff"), MOD($L32,1)&lt;&gt;0),INDEX(Factor!$AN$5:$AV$51, _xlfn.XMATCH(IF(OR($G32="blast", $G32="curved", $G32= "debuff"), $L32, 0), Factor!$AN$5:$AN$51, -1), 2)*MOD($L32,1)*10,0),
_xlpm.상태이상보정치, VLOOKUP(IF($G32 = "debuff", $M32, "null"), Factor!$AX$5:$BE$51, _xlpm.기본_색인번호, 0),
_xlpm.지속시간보정치, INDEX(Factor!$BG$5:$BO$51, _xlfn.XMATCH(IF(OR($G32 ="debuff", $G32 = "shot", $G32 = "pierce"), $O32, 0), Factor!$BG$5:$BG$51, -1), _xlpm.추가_색인번호)-IF(AND(OR($G32 ="debuff", $G32 = "shot", $G32 = "pierce"), MOD($O32, 1)&lt;&gt;0), 10*MOD($O32, 1)*INDEX(Factor!$BG$5:$BO$51, _xlfn.XMATCH(IF(OR($G32 ="debuff", $G32 = "shot", $G32 = "pierce"), $O32, 0), Factor!$BG$5:$BG$51, -1), 2), 0),
_xlpm.탄환개수보정치, VLOOKUP(IF(OR($G32 = "curved", $G32 = "shot"), $Q32, 1), Factor!$BQ$5:$BX$51, _xlpm.기본_색인번호, 0),
_xlpm.상태이상탄환생성위치보정치, IF($G32 = "debuff", VLOOKUP($R32, Factor!$K$18:$R$19, _xlpm.기본_색인번호, 0),1),
_xlpm.상태이상탄환형태보정치, IF($G32 = "debuff", VLOOKUP($S32, Factor!$K$24:$R$25, _xlpm.기본_색인번호, 0),1),
_xlpm.가격보정치, INDEX(Factor!$AE$5:$AL$51, _xlfn.XMATCH($F32,Factor!$AE$5:$AE$51, -1), _xlpm.기본_색인번호),
_xlpm.구경보정치, VLOOKUP($D32,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32"/>
      <c r="AI32"/>
      <c r="AJ32"/>
      <c r="AK32"/>
      <c r="AL32"/>
      <c r="AM32"/>
      <c r="AN32"/>
    </row>
    <row r="33" spans="1:40" ht="15.75" customHeight="1">
      <c r="A33" s="24" t="e">
        <f>"weapon_"&amp;G33&amp;"_"&amp;VLOOKUP(H33, Factor!$T$5:$AB$7, 9, 0)&amp;"_"&amp;IF(COUNTIFS($G$4:G32, G33, $H$4:H32, H33)+1&gt;=100, COUNTIFS($G$4:G32, G33, $H$4:H32, H33)+1,IF(COUNTIFS($G$4:G32, G33, $H$4:H32, H33)+1&gt;=10, "0"&amp;COUNTIFS($G$4:G32, G33, $H$4:H32, H33)+1, "00"&amp;COUNTIFS($G$4:G32, G33, $H$4:H32, H33)+1))</f>
        <v>#N/A</v>
      </c>
      <c r="B33" s="36" t="str">
        <f t="shared" si="0"/>
        <v xml:space="preserve"> </v>
      </c>
      <c r="C33" s="36"/>
      <c r="D33" s="36"/>
      <c r="E33" s="36"/>
      <c r="F33" s="25" t="e">
        <f>VLOOKUP(C33, Factor!$AD$5:$AE$15, 2, 0)</f>
        <v>#N/A</v>
      </c>
      <c r="G33" s="26" t="e">
        <f>VLOOKUP(E33, Factor!$CL$5:$CV$50, 2, 0)</f>
        <v>#N/A</v>
      </c>
      <c r="H33" s="25" t="e">
        <f>VLOOKUP(E33, Factor!$CL$5:$CV$50, 3, 0)</f>
        <v>#N/A</v>
      </c>
      <c r="I33" s="25" t="e">
        <f>VLOOKUP(E33, Factor!$CL$5:$CV$50, 4, 0)</f>
        <v>#N/A</v>
      </c>
      <c r="J33" s="25" t="e">
        <f>VLOOKUP(E33, Factor!$CL$5:$CV$50, 5, 0)</f>
        <v>#N/A</v>
      </c>
      <c r="K33" s="25">
        <v>1</v>
      </c>
      <c r="L33" s="25" t="e">
        <f>VLOOKUP(E33, Factor!$CL$5:$CV$50, 6, 0)*K33*VLOOKUP(D33, Factor!$BZ$5:$CJ$49, 9, 0)</f>
        <v>#N/A</v>
      </c>
      <c r="M33" s="25" t="e">
        <f>VLOOKUP(E33, Factor!$CL$5:$CV$50, 7, 0)</f>
        <v>#N/A</v>
      </c>
      <c r="N33" s="25">
        <v>1</v>
      </c>
      <c r="O33" s="25" t="e">
        <f>VLOOKUP(E33, Factor!$CL$5:$CV$50, 8, 0)*N33*VLOOKUP(D33, Factor!$BZ$5:$CJ$49, 10, 0)</f>
        <v>#N/A</v>
      </c>
      <c r="P33" s="25">
        <v>1</v>
      </c>
      <c r="Q33" s="25" t="e">
        <f>VLOOKUP(E33, Factor!$CL$5:$CV$50, 9, 0)*P33*VLOOKUP(D33, Factor!$BZ$5:$CJ$49, 11, 0)</f>
        <v>#N/A</v>
      </c>
      <c r="R33" s="25" t="e">
        <f>VLOOKUP(E33, Factor!$CL$5:$CV$50, 10, 0)</f>
        <v>#N/A</v>
      </c>
      <c r="S33" s="25" t="e">
        <f>VLOOKUP(E33, Factor!$CL$5:$CV$50, 11, 0)</f>
        <v>#N/A</v>
      </c>
      <c r="T33" s="25">
        <v>1</v>
      </c>
      <c r="U33" s="25">
        <v>1</v>
      </c>
      <c r="V33" s="25">
        <v>1</v>
      </c>
      <c r="W33" s="25">
        <v>1</v>
      </c>
      <c r="X33" s="25">
        <v>1</v>
      </c>
      <c r="Y33" s="25">
        <v>1</v>
      </c>
      <c r="Z33" s="25">
        <v>1</v>
      </c>
      <c r="AA33" s="25" t="e" cm="1">
        <f t="array" ref="AA33">_xlfn.LET(_xlpm.기본_색인번호, 2,
_xlpm.추가_색인번호, 3,
_xlpm.개별보정치, T33,
_xlpm.패턴보정치, VLOOKUP($G33, Factor!$B$5:$I$51, _xlpm.기본_색인번호, 0),
_xlpm.소모탄환보정치, VLOOKUP($H33, Factor!$T$5:$AA$51, _xlpm.기본_색인번호, 0),
_xlpm.지형보정치, VLOOKUP($I33, Factor!$K$12:$R$13, _xlpm.기본_색인번호, 0),
_xlpm.공격속성보정치, VLOOKUP($J33, Factor!$K$5:$R$7, _xlpm.기본_색인번호, 0),
_xlpm.피해범위보정치, INDEX(Factor!$AN$5:$AV$51, _xlfn.XMATCH(IF(OR($G33="blast", $G33="curved",  $G33= "debuff"), $L33, 0), Factor!$AN$5:$AN$51, -1), _xlpm.추가_색인번호)-IF(AND(OR($G33="blast", $G33="curved", $G33= "debuff"), MOD($L33,1)&lt;&gt;0),INDEX(Factor!$AN$5:$AV$51, _xlfn.XMATCH(IF(OR($G33="blast", $G33="curved", $G33= "debuff"), $L33, 0), Factor!$AN$5:$AN$51, -1), 2)*MOD($L33,1)*10,0),
_xlpm.상태이상보정치, VLOOKUP(IF($G33 = "debuff", $M33, "null"), Factor!$AX$5:$BE$51, _xlpm.기본_색인번호, 0),
_xlpm.지속시간보정치, INDEX(Factor!$BG$5:$BO$51, _xlfn.XMATCH(IF(OR($G33 ="debuff", $G33 = "shot", $G33 = "pierce"), $O33, 0), Factor!$BG$5:$BG$51, -1), _xlpm.추가_색인번호)-IF(AND(OR($G33 ="debuff", $G33 = "shot", $G33 = "pierce"), MOD($O33, 1)&lt;&gt;0), 10*MOD($O33, 1)*INDEX(Factor!$BG$5:$BO$51, _xlfn.XMATCH(IF(OR($G33 ="debuff", $G33 = "shot", $G33 = "pierce"), $O33, 0), Factor!$BG$5:$BG$51, -1), 2), 0),
_xlpm.탄환개수보정치, VLOOKUP(IF(OR($G33 = "curved", $G33 = "shot"), $Q33, 1), Factor!$BQ$5:$BX$51, _xlpm.기본_색인번호, 0),
_xlpm.상태이상탄환생성위치보정치, IF($G33 = "debuff", VLOOKUP($R33, Factor!$K$18:$R$19, _xlpm.기본_색인번호, 0),1),
_xlpm.상태이상탄환형태보정치, IF($G33 = "debuff", VLOOKUP($S33, Factor!$K$24:$R$25, _xlpm.기본_색인번호, 0),1),
_xlpm.가격보정치, INDEX(Factor!$AE$5:$AL$51, _xlfn.XMATCH($F33,Factor!$AE$5:$AE$51, -1), _xlpm.기본_색인번호),
_xlpm.구경보정치, VLOOKUP($D33,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33" s="25" t="e" cm="1">
        <f t="array" ref="AB33">_xlfn.LET(_xlpm.기본_색인번호, 3,
_xlpm.추가_색인번호, 4,
_xlpm.개별보정치, U33,
_xlpm.패턴보정치, VLOOKUP($G33, Factor!$B$5:$I$51, _xlpm.기본_색인번호, 0),
_xlpm.소모탄환보정치, VLOOKUP($H33, Factor!$T$5:$AA$51, _xlpm.기본_색인번호, 0),
_xlpm.지형보정치, VLOOKUP($I33, Factor!$K$12:$R$13, _xlpm.기본_색인번호, 0),
_xlpm.공격속성보정치, VLOOKUP($J33, Factor!$K$5:$R$7, _xlpm.기본_색인번호, 0),
_xlpm.피해범위보정치, INDEX(Factor!$AN$5:$AV$51, _xlfn.XMATCH(IF(OR($G33="blast", $G33="curved",  $G33= "debuff"), $L33, 0), Factor!$AN$5:$AN$51, -1), _xlpm.추가_색인번호)-IF(AND(OR($G33="blast", $G33="curved", $G33= "debuff"), MOD($L33,1)&lt;&gt;0),INDEX(Factor!$AN$5:$AV$51, _xlfn.XMATCH(IF(OR($G33="blast", $G33="curved", $G33= "debuff"), $L33, 0), Factor!$AN$5:$AN$51, -1), 2)*MOD($L33,1)*10,0),
_xlpm.상태이상보정치, VLOOKUP(IF($G33 = "debuff", $M33, "null"), Factor!$AX$5:$BE$51, _xlpm.기본_색인번호, 0),
_xlpm.지속시간보정치, INDEX(Factor!$BG$5:$BO$51, _xlfn.XMATCH(IF(OR($G33 ="debuff", $G33 = "shot", $G33 = "pierce"), $O33, 0), Factor!$BG$5:$BG$51, -1), _xlpm.추가_색인번호)-IF(AND(OR($G33 ="debuff", $G33 = "shot", $G33 = "pierce"), MOD($O33, 1)&lt;&gt;0), 10*MOD($O33, 1)*INDEX(Factor!$BG$5:$BO$51, _xlfn.XMATCH(IF(OR($G33 ="debuff", $G33 = "shot", $G33 = "pierce"), $O33, 0), Factor!$BG$5:$BG$51, -1), 2), 0),
_xlpm.탄환개수보정치, VLOOKUP(IF(OR($G33 = "curved", $G33 = "shot"), $Q33, 1), Factor!$BQ$5:$BX$51, _xlpm.기본_색인번호, 0),
_xlpm.상태이상탄환생성위치보정치, IF($G33 = "debuff", VLOOKUP($R33, Factor!$K$18:$R$19, _xlpm.기본_색인번호, 0),1),
_xlpm.상태이상탄환형태보정치, IF($G33 = "debuff", VLOOKUP($S33, Factor!$K$24:$R$25, _xlpm.기본_색인번호, 0),1),
_xlpm.가격보정치, INDEX(Factor!$AE$5:$AL$51, _xlfn.XMATCH($F33,Factor!$AE$5:$AE$51, -1), _xlpm.기본_색인번호),
_xlpm.구경보정치, VLOOKUP($D33,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33" s="25" t="e" cm="1">
        <f t="array" ref="AC33">_xlfn.LET(_xlpm.기본_색인번호, 4,
_xlpm.추가_색인번호, 5,
_xlpm.개별보정치, V33,
_xlpm.패턴보정치, VLOOKUP($G33, Factor!$B$5:$I$51, _xlpm.기본_색인번호, 0),
_xlpm.소모탄환보정치, VLOOKUP($H33, Factor!$T$5:$AA$51, _xlpm.기본_색인번호, 0),
_xlpm.지형보정치, VLOOKUP($I33, Factor!$K$12:$R$13, _xlpm.기본_색인번호, 0),
_xlpm.공격속성보정치, VLOOKUP($J33, Factor!$K$5:$R$7, _xlpm.기본_색인번호, 0),
_xlpm.피해범위보정치, INDEX(Factor!$AN$5:$AV$51, _xlfn.XMATCH(IF(OR($G33="blast", $G33="curved",  $G33= "debuff"), $L33, 0), Factor!$AN$5:$AN$51, -1), _xlpm.추가_색인번호)-IF(AND(OR($G33="blast", $G33="curved", $G33= "debuff"), MOD($L33,1)&lt;&gt;0),INDEX(Factor!$AN$5:$AV$51, _xlfn.XMATCH(IF(OR($G33="blast", $G33="curved", $G33= "debuff"), $L33, 0), Factor!$AN$5:$AN$51, -1), 2)*MOD($L33,1)*10,0),
_xlpm.상태이상보정치, VLOOKUP(IF($G33 = "debuff", $M33, "null"), Factor!$AX$5:$BE$51, _xlpm.기본_색인번호, 0),
_xlpm.지속시간보정치, INDEX(Factor!$BG$5:$BO$51, _xlfn.XMATCH(IF(OR($G33 ="debuff", $G33 = "shot", $G33 = "pierce"), $O33, 0), Factor!$BG$5:$BG$51, -1), _xlpm.추가_색인번호)-IF(AND(OR($G33 ="debuff", $G33 = "shot", $G33 = "pierce"), MOD($O33, 1)&lt;&gt;0), 10*MOD($O33, 1)*INDEX(Factor!$BG$5:$BO$51, _xlfn.XMATCH(IF(OR($G33 ="debuff", $G33 = "shot", $G33 = "pierce"), $O33, 0), Factor!$BG$5:$BG$51, -1), 2), 0),
_xlpm.탄환개수보정치, VLOOKUP(IF(OR($G33 = "curved", $G33 = "shot"), $Q33, 1), Factor!$BQ$5:$BX$51, _xlpm.기본_색인번호, 0),
_xlpm.상태이상탄환생성위치보정치, IF($G33 = "debuff", VLOOKUP($R33, Factor!$K$18:$R$19, _xlpm.기본_색인번호, 0),1),
_xlpm.상태이상탄환형태보정치, IF($G33 = "debuff", VLOOKUP($S33, Factor!$K$24:$R$25, _xlpm.기본_색인번호, 0),1),
_xlpm.가격보정치, INDEX(Factor!$AE$5:$AL$51, _xlfn.XMATCH($F33,Factor!$AE$5:$AE$51, -1), _xlpm.기본_색인번호),
_xlpm.구경보정치, VLOOKUP($D33,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33" s="25" t="e" cm="1">
        <f t="array" ref="AD33">_xlfn.LET(_xlpm.기본_색인번호, 5,
_xlpm.추가_색인번호, 6,
_xlpm.개별보정치, W33,
_xlpm.패턴보정치, VLOOKUP($G33, Factor!$B$5:$I$51, _xlpm.기본_색인번호, 0),
_xlpm.소모탄환보정치, VLOOKUP($H33, Factor!$T$5:$AA$51, _xlpm.기본_색인번호, 0),
_xlpm.지형보정치, VLOOKUP($I33, Factor!$K$12:$R$13, _xlpm.기본_색인번호, 0),
_xlpm.공격속성보정치, VLOOKUP($J33, Factor!$K$5:$R$7, _xlpm.기본_색인번호, 0),
_xlpm.피해범위보정치, INDEX(Factor!$AN$5:$AV$51, _xlfn.XMATCH(IF(OR($G33="blast", $G33="curved",  $G33= "debuff"), $L33, 0), Factor!$AN$5:$AN$51, -1), _xlpm.추가_색인번호)-IF(AND(OR($G33="blast", $G33="curved", $G33= "debuff"), MOD($L33,1)&lt;&gt;0),INDEX(Factor!$AN$5:$AV$51, _xlfn.XMATCH(IF(OR($G33="blast", $G33="curved", $G33= "debuff"), $L33, 0), Factor!$AN$5:$AN$51, -1), 2)*MOD($L33,1)*10,0),
_xlpm.상태이상보정치, VLOOKUP(IF($G33 = "debuff", $M33, "null"), Factor!$AX$5:$BE$51, _xlpm.기본_색인번호, 0),
_xlpm.지속시간보정치, INDEX(Factor!$BG$5:$BO$51, _xlfn.XMATCH(IF(OR($G33 ="debuff", $G33 = "shot", $G33 = "pierce"), $O33, 0), Factor!$BG$5:$BG$51, -1), _xlpm.추가_색인번호)-IF(AND(OR($G33 ="debuff", $G33 = "shot", $G33 = "pierce"), MOD($O33, 1)&lt;&gt;0), 10*MOD($O33, 1)*INDEX(Factor!$BG$5:$BO$51, _xlfn.XMATCH(IF(OR($G33 ="debuff", $G33 = "shot", $G33 = "pierce"), $O33, 0), Factor!$BG$5:$BG$51, -1), 2), 0),
_xlpm.탄환개수보정치, VLOOKUP(IF(OR($G33 = "curved", $G33 = "shot"), $Q33, 1), Factor!$BQ$5:$BX$51, _xlpm.기본_색인번호, 0),
_xlpm.상태이상탄환생성위치보정치, IF($G33 = "debuff", VLOOKUP($R33, Factor!$K$18:$R$19, _xlpm.기본_색인번호, 0),1),
_xlpm.상태이상탄환형태보정치, IF($G33 = "debuff", VLOOKUP($S33, Factor!$K$24:$R$25, _xlpm.기본_색인번호, 0),1),
_xlpm.가격보정치, INDEX(Factor!$AE$5:$AL$51, _xlfn.XMATCH($F33,Factor!$AE$5:$AE$51, -1), _xlpm.기본_색인번호),
_xlpm.구경보정치, VLOOKUP($D33,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33" s="25" t="e" cm="1">
        <f t="array" ref="AE33">_xlfn.LET(_xlpm.기본_색인번호, 6,
_xlpm.추가_색인번호, 7,
_xlpm.개별보정치, X33,
_xlpm.패턴보정치, VLOOKUP($G33, Factor!$B$5:$I$51, _xlpm.기본_색인번호, 0),
_xlpm.소모탄환보정치, VLOOKUP($H33, Factor!$T$5:$AA$51, _xlpm.기본_색인번호, 0),
_xlpm.지형보정치, VLOOKUP($I33, Factor!$K$12:$R$13, _xlpm.기본_색인번호, 0),
_xlpm.공격속성보정치, VLOOKUP($J33, Factor!$K$5:$R$7, _xlpm.기본_색인번호, 0),
_xlpm.피해범위보정치, INDEX(Factor!$AN$5:$AV$51, _xlfn.XMATCH(IF(OR($G33="blast", $G33="curved",  $G33= "debuff"), $L33, 0), Factor!$AN$5:$AN$51, -1), _xlpm.추가_색인번호)-IF(AND(OR($G33="blast", $G33="curved", $G33= "debuff"), MOD($L33,1)&lt;&gt;0),INDEX(Factor!$AN$5:$AV$51, _xlfn.XMATCH(IF(OR($G33="blast", $G33="curved", $G33= "debuff"), $L33, 0), Factor!$AN$5:$AN$51, -1), 2)*MOD($L33,1)*10,0),
_xlpm.상태이상보정치, VLOOKUP(IF($G33 = "debuff", $M33, "null"), Factor!$AX$5:$BE$51, _xlpm.기본_색인번호, 0),
_xlpm.지속시간보정치, INDEX(Factor!$BG$5:$BO$51, _xlfn.XMATCH(IF(OR($G33 ="debuff", $G33 = "shot", $G33 = "pierce"), $O33, 0), Factor!$BG$5:$BG$51, -1), _xlpm.추가_색인번호)-IF(AND(OR($G33 ="debuff", $G33 = "shot", $G33 = "pierce"), MOD($O33, 1)&lt;&gt;0), 10*MOD($O33, 1)*INDEX(Factor!$BG$5:$BO$51, _xlfn.XMATCH(IF(OR($G33 ="debuff", $G33 = "shot", $G33 = "pierce"), $O33, 0), Factor!$BG$5:$BG$51, -1), 2), 0),
_xlpm.탄환개수보정치, VLOOKUP(IF(OR($G33 = "curved", $G33 = "shot"), $Q33, 1), Factor!$BQ$5:$BX$51, _xlpm.기본_색인번호, 0),
_xlpm.상태이상탄환생성위치보정치, IF($G33 = "debuff", VLOOKUP($R33, Factor!$K$18:$R$19, _xlpm.기본_색인번호, 0),1),
_xlpm.상태이상탄환형태보정치, IF($G33 = "debuff", VLOOKUP($S33, Factor!$K$24:$R$25, _xlpm.기본_색인번호, 0),1),
_xlpm.가격보정치, INDEX(Factor!$AE$5:$AL$51, _xlfn.XMATCH($F33,Factor!$AE$5:$AE$51, -1), _xlpm.기본_색인번호),
_xlpm.구경보정치, VLOOKUP($D33,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33" s="25" t="e" cm="1">
        <f t="array" ref="AF33">_xlfn.LET(_xlpm.기본_색인번호, 7,
_xlpm.추가_색인번호, 8,
_xlpm.개별보정치, Y33,
_xlpm.패턴보정치, VLOOKUP($G33, Factor!$B$5:$I$51, _xlpm.기본_색인번호, 0),
_xlpm.소모탄환보정치, VLOOKUP($H33, Factor!$T$5:$AA$51, _xlpm.기본_색인번호, 0),
_xlpm.지형보정치, VLOOKUP($I33, Factor!$K$12:$R$13, _xlpm.기본_색인번호, 0),
_xlpm.공격속성보정치, VLOOKUP($J33, Factor!$K$5:$R$7, _xlpm.기본_색인번호, 0),
_xlpm.피해범위보정치, INDEX(Factor!$AN$5:$AV$51, _xlfn.XMATCH(IF(OR($G33="blast", $G33="curved",  $G33= "debuff"), $L33, 0), Factor!$AN$5:$AN$51, -1), _xlpm.추가_색인번호)-IF(AND(OR($G33="blast", $G33="curved", $G33= "debuff"), MOD($L33,1)&lt;&gt;0),INDEX(Factor!$AN$5:$AV$51, _xlfn.XMATCH(IF(OR($G33="blast", $G33="curved", $G33= "debuff"), $L33, 0), Factor!$AN$5:$AN$51, -1), 2)*MOD($L33,1)*10,0),
_xlpm.상태이상보정치, VLOOKUP(IF($G33 = "debuff", $M33, "null"), Factor!$AX$5:$BE$51, _xlpm.기본_색인번호, 0),
_xlpm.지속시간보정치, INDEX(Factor!$BG$5:$BO$51, _xlfn.XMATCH(IF(OR($G33 ="debuff", $G33 = "shot", $G33 = "pierce"), $O33, 0), Factor!$BG$5:$BG$51, -1), _xlpm.추가_색인번호)-IF(AND(OR($G33 ="debuff", $G33 = "shot", $G33 = "pierce"), MOD($O33, 1)&lt;&gt;0), 10*MOD($O33, 1)*INDEX(Factor!$BG$5:$BO$51, _xlfn.XMATCH(IF(OR($G33 ="debuff", $G33 = "shot", $G33 = "pierce"), $O33, 0), Factor!$BG$5:$BG$51, -1), 2), 0),
_xlpm.탄환개수보정치, VLOOKUP(IF(OR($G33 = "curved", $G33 = "shot"), $Q33, 1), Factor!$BQ$5:$BX$51, _xlpm.기본_색인번호, 0),
_xlpm.상태이상탄환생성위치보정치, IF($G33 = "debuff", VLOOKUP($R33, Factor!$K$18:$R$19, _xlpm.기본_색인번호, 0),1),
_xlpm.상태이상탄환형태보정치, IF($G33 = "debuff", VLOOKUP($S33, Factor!$K$24:$R$25, _xlpm.기본_색인번호, 0),1),
_xlpm.가격보정치, INDEX(Factor!$AE$5:$AL$51, _xlfn.XMATCH($F33,Factor!$AE$5:$AE$51, -1), _xlpm.기본_색인번호),
_xlpm.구경보정치, VLOOKUP($D33,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33" s="27" t="e" cm="1">
        <f t="array" ref="AG33">_xlfn.LET(_xlpm.기본_색인번호, 8,
_xlpm.추가_색인번호, 9,
_xlpm.개별보정치, Z33,
_xlpm.패턴보정치, VLOOKUP($G33, Factor!$B$5:$I$51, _xlpm.기본_색인번호, 0),
_xlpm.소모탄환보정치, VLOOKUP($H33, Factor!$T$5:$AA$51, _xlpm.기본_색인번호, 0),
_xlpm.지형보정치, VLOOKUP($I33, Factor!$K$12:$R$13, _xlpm.기본_색인번호, 0),
_xlpm.공격속성보정치, VLOOKUP($J33, Factor!$K$5:$R$7, _xlpm.기본_색인번호, 0),
_xlpm.피해범위보정치, INDEX(Factor!$AN$5:$AV$51, _xlfn.XMATCH(IF(OR($G33="blast", $G33="curved",  $G33= "debuff"), $L33, 0), Factor!$AN$5:$AN$51, -1), _xlpm.추가_색인번호)-IF(AND(OR($G33="blast", $G33="curved", $G33= "debuff"), MOD($L33,1)&lt;&gt;0),INDEX(Factor!$AN$5:$AV$51, _xlfn.XMATCH(IF(OR($G33="blast", $G33="curved", $G33= "debuff"), $L33, 0), Factor!$AN$5:$AN$51, -1), 2)*MOD($L33,1)*10,0),
_xlpm.상태이상보정치, VLOOKUP(IF($G33 = "debuff", $M33, "null"), Factor!$AX$5:$BE$51, _xlpm.기본_색인번호, 0),
_xlpm.지속시간보정치, INDEX(Factor!$BG$5:$BO$51, _xlfn.XMATCH(IF(OR($G33 ="debuff", $G33 = "shot", $G33 = "pierce"), $O33, 0), Factor!$BG$5:$BG$51, -1), _xlpm.추가_색인번호)-IF(AND(OR($G33 ="debuff", $G33 = "shot", $G33 = "pierce"), MOD($O33, 1)&lt;&gt;0), 10*MOD($O33, 1)*INDEX(Factor!$BG$5:$BO$51, _xlfn.XMATCH(IF(OR($G33 ="debuff", $G33 = "shot", $G33 = "pierce"), $O33, 0), Factor!$BG$5:$BG$51, -1), 2), 0),
_xlpm.탄환개수보정치, VLOOKUP(IF(OR($G33 = "curved", $G33 = "shot"), $Q33, 1), Factor!$BQ$5:$BX$51, _xlpm.기본_색인번호, 0),
_xlpm.상태이상탄환생성위치보정치, IF($G33 = "debuff", VLOOKUP($R33, Factor!$K$18:$R$19, _xlpm.기본_색인번호, 0),1),
_xlpm.상태이상탄환형태보정치, IF($G33 = "debuff", VLOOKUP($S33, Factor!$K$24:$R$25, _xlpm.기본_색인번호, 0),1),
_xlpm.가격보정치, INDEX(Factor!$AE$5:$AL$51, _xlfn.XMATCH($F33,Factor!$AE$5:$AE$51, -1), _xlpm.기본_색인번호),
_xlpm.구경보정치, VLOOKUP($D33,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33"/>
      <c r="AI33"/>
      <c r="AJ33"/>
      <c r="AK33"/>
      <c r="AL33"/>
      <c r="AM33"/>
      <c r="AN33"/>
    </row>
    <row r="34" spans="1:40" ht="15.75" customHeight="1">
      <c r="A34" s="28" t="e">
        <f>"weapon_"&amp;G34&amp;"_"&amp;VLOOKUP(H34, Factor!$T$5:$AB$7, 9, 0)&amp;"_"&amp;IF(COUNTIFS($G$4:G33, G34, $H$4:H33, H34)+1&gt;=100, COUNTIFS($G$4:G33, G34, $H$4:H33, H34)+1,IF(COUNTIFS($G$4:G33, G34, $H$4:H33, H34)+1&gt;=10, "0"&amp;COUNTIFS($G$4:G33, G34, $H$4:H33, H34)+1, "00"&amp;COUNTIFS($G$4:G33, G34, $H$4:H33, H34)+1))</f>
        <v>#N/A</v>
      </c>
      <c r="B34" s="37" t="str">
        <f t="shared" si="0"/>
        <v xml:space="preserve"> </v>
      </c>
      <c r="C34" s="37"/>
      <c r="D34" s="37"/>
      <c r="E34" s="37"/>
      <c r="F34" s="29" t="e">
        <f>VLOOKUP(C34, Factor!$AD$5:$AE$15, 2, 0)</f>
        <v>#N/A</v>
      </c>
      <c r="G34" s="29" t="e">
        <f>VLOOKUP(E34, Factor!$CL$5:$CV$50, 2, 0)</f>
        <v>#N/A</v>
      </c>
      <c r="H34" s="29" t="e">
        <f>VLOOKUP(E34, Factor!$CL$5:$CV$50, 3, 0)</f>
        <v>#N/A</v>
      </c>
      <c r="I34" s="29" t="e">
        <f>VLOOKUP(E34, Factor!$CL$5:$CV$50, 4, 0)</f>
        <v>#N/A</v>
      </c>
      <c r="J34" s="29" t="e">
        <f>VLOOKUP(E34, Factor!$CL$5:$CV$50, 5, 0)</f>
        <v>#N/A</v>
      </c>
      <c r="K34" s="29">
        <v>1</v>
      </c>
      <c r="L34" s="29" t="e">
        <f>VLOOKUP(E34, Factor!$CL$5:$CV$50, 6, 0)*K34*VLOOKUP(D34, Factor!$BZ$5:$CJ$49, 9, 0)</f>
        <v>#N/A</v>
      </c>
      <c r="M34" s="29" t="e">
        <f>VLOOKUP(E34, Factor!$CL$5:$CV$50, 7, 0)</f>
        <v>#N/A</v>
      </c>
      <c r="N34" s="29">
        <v>1</v>
      </c>
      <c r="O34" s="29" t="e">
        <f>VLOOKUP(E34, Factor!$CL$5:$CV$50, 8, 0)*N34*VLOOKUP(D34, Factor!$BZ$5:$CJ$49, 10, 0)</f>
        <v>#N/A</v>
      </c>
      <c r="P34" s="29">
        <v>1</v>
      </c>
      <c r="Q34" s="29" t="e">
        <f>VLOOKUP(E34, Factor!$CL$5:$CV$50, 9, 0)*P34*VLOOKUP(D34, Factor!$BZ$5:$CJ$49, 11, 0)</f>
        <v>#N/A</v>
      </c>
      <c r="R34" s="29" t="e">
        <f>VLOOKUP(E34, Factor!$CL$5:$CV$50, 10, 0)</f>
        <v>#N/A</v>
      </c>
      <c r="S34" s="29" t="e">
        <f>VLOOKUP(E34, Factor!$CL$5:$CV$50, 11, 0)</f>
        <v>#N/A</v>
      </c>
      <c r="T34" s="29">
        <v>1</v>
      </c>
      <c r="U34" s="29">
        <v>1</v>
      </c>
      <c r="V34" s="29">
        <v>1</v>
      </c>
      <c r="W34" s="29">
        <v>1</v>
      </c>
      <c r="X34" s="29">
        <v>1</v>
      </c>
      <c r="Y34" s="29">
        <v>1</v>
      </c>
      <c r="Z34" s="29">
        <v>1</v>
      </c>
      <c r="AA34" s="29" t="e" cm="1">
        <f t="array" ref="AA34">_xlfn.LET(_xlpm.기본_색인번호, 2,
_xlpm.추가_색인번호, 3,
_xlpm.개별보정치, T34,
_xlpm.패턴보정치, VLOOKUP($G34, Factor!$B$5:$I$51, _xlpm.기본_색인번호, 0),
_xlpm.소모탄환보정치, VLOOKUP($H34, Factor!$T$5:$AA$51, _xlpm.기본_색인번호, 0),
_xlpm.지형보정치, VLOOKUP($I34, Factor!$K$12:$R$13, _xlpm.기본_색인번호, 0),
_xlpm.공격속성보정치, VLOOKUP($J34, Factor!$K$5:$R$7, _xlpm.기본_색인번호, 0),
_xlpm.피해범위보정치, INDEX(Factor!$AN$5:$AV$51, _xlfn.XMATCH(IF(OR($G34="blast", $G34="curved",  $G34= "debuff"), $L34, 0), Factor!$AN$5:$AN$51, -1), _xlpm.추가_색인번호)-IF(AND(OR($G34="blast", $G34="curved", $G34= "debuff"), MOD($L34,1)&lt;&gt;0),INDEX(Factor!$AN$5:$AV$51, _xlfn.XMATCH(IF(OR($G34="blast", $G34="curved", $G34= "debuff"), $L34, 0), Factor!$AN$5:$AN$51, -1), 2)*MOD($L34,1)*10,0),
_xlpm.상태이상보정치, VLOOKUP(IF($G34 = "debuff", $M34, "null"), Factor!$AX$5:$BE$51, _xlpm.기본_색인번호, 0),
_xlpm.지속시간보정치, INDEX(Factor!$BG$5:$BO$51, _xlfn.XMATCH(IF(OR($G34 ="debuff", $G34 = "shot", $G34 = "pierce"), $O34, 0), Factor!$BG$5:$BG$51, -1), _xlpm.추가_색인번호)-IF(AND(OR($G34 ="debuff", $G34 = "shot", $G34 = "pierce"), MOD($O34, 1)&lt;&gt;0), 10*MOD($O34, 1)*INDEX(Factor!$BG$5:$BO$51, _xlfn.XMATCH(IF(OR($G34 ="debuff", $G34 = "shot", $G34 = "pierce"), $O34, 0), Factor!$BG$5:$BG$51, -1), 2), 0),
_xlpm.탄환개수보정치, VLOOKUP(IF(OR($G34 = "curved", $G34 = "shot"), $Q34, 1), Factor!$BQ$5:$BX$51, _xlpm.기본_색인번호, 0),
_xlpm.상태이상탄환생성위치보정치, IF($G34 = "debuff", VLOOKUP($R34, Factor!$K$18:$R$19, _xlpm.기본_색인번호, 0),1),
_xlpm.상태이상탄환형태보정치, IF($G34 = "debuff", VLOOKUP($S34, Factor!$K$24:$R$25, _xlpm.기본_색인번호, 0),1),
_xlpm.가격보정치, INDEX(Factor!$AE$5:$AL$51, _xlfn.XMATCH($F34,Factor!$AE$5:$AE$51, -1), _xlpm.기본_색인번호),
_xlpm.구경보정치, VLOOKUP($D34,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34" s="29" t="e" cm="1">
        <f t="array" ref="AB34">_xlfn.LET(_xlpm.기본_색인번호, 3,
_xlpm.추가_색인번호, 4,
_xlpm.개별보정치, U34,
_xlpm.패턴보정치, VLOOKUP($G34, Factor!$B$5:$I$51, _xlpm.기본_색인번호, 0),
_xlpm.소모탄환보정치, VLOOKUP($H34, Factor!$T$5:$AA$51, _xlpm.기본_색인번호, 0),
_xlpm.지형보정치, VLOOKUP($I34, Factor!$K$12:$R$13, _xlpm.기본_색인번호, 0),
_xlpm.공격속성보정치, VLOOKUP($J34, Factor!$K$5:$R$7, _xlpm.기본_색인번호, 0),
_xlpm.피해범위보정치, INDEX(Factor!$AN$5:$AV$51, _xlfn.XMATCH(IF(OR($G34="blast", $G34="curved",  $G34= "debuff"), $L34, 0), Factor!$AN$5:$AN$51, -1), _xlpm.추가_색인번호)-IF(AND(OR($G34="blast", $G34="curved", $G34= "debuff"), MOD($L34,1)&lt;&gt;0),INDEX(Factor!$AN$5:$AV$51, _xlfn.XMATCH(IF(OR($G34="blast", $G34="curved", $G34= "debuff"), $L34, 0), Factor!$AN$5:$AN$51, -1), 2)*MOD($L34,1)*10,0),
_xlpm.상태이상보정치, VLOOKUP(IF($G34 = "debuff", $M34, "null"), Factor!$AX$5:$BE$51, _xlpm.기본_색인번호, 0),
_xlpm.지속시간보정치, INDEX(Factor!$BG$5:$BO$51, _xlfn.XMATCH(IF(OR($G34 ="debuff", $G34 = "shot", $G34 = "pierce"), $O34, 0), Factor!$BG$5:$BG$51, -1), _xlpm.추가_색인번호)-IF(AND(OR($G34 ="debuff", $G34 = "shot", $G34 = "pierce"), MOD($O34, 1)&lt;&gt;0), 10*MOD($O34, 1)*INDEX(Factor!$BG$5:$BO$51, _xlfn.XMATCH(IF(OR($G34 ="debuff", $G34 = "shot", $G34 = "pierce"), $O34, 0), Factor!$BG$5:$BG$51, -1), 2), 0),
_xlpm.탄환개수보정치, VLOOKUP(IF(OR($G34 = "curved", $G34 = "shot"), $Q34, 1), Factor!$BQ$5:$BX$51, _xlpm.기본_색인번호, 0),
_xlpm.상태이상탄환생성위치보정치, IF($G34 = "debuff", VLOOKUP($R34, Factor!$K$18:$R$19, _xlpm.기본_색인번호, 0),1),
_xlpm.상태이상탄환형태보정치, IF($G34 = "debuff", VLOOKUP($S34, Factor!$K$24:$R$25, _xlpm.기본_색인번호, 0),1),
_xlpm.가격보정치, INDEX(Factor!$AE$5:$AL$51, _xlfn.XMATCH($F34,Factor!$AE$5:$AE$51, -1), _xlpm.기본_색인번호),
_xlpm.구경보정치, VLOOKUP($D34,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34" s="29" t="e" cm="1">
        <f t="array" ref="AC34">_xlfn.LET(_xlpm.기본_색인번호, 4,
_xlpm.추가_색인번호, 5,
_xlpm.개별보정치, V34,
_xlpm.패턴보정치, VLOOKUP($G34, Factor!$B$5:$I$51, _xlpm.기본_색인번호, 0),
_xlpm.소모탄환보정치, VLOOKUP($H34, Factor!$T$5:$AA$51, _xlpm.기본_색인번호, 0),
_xlpm.지형보정치, VLOOKUP($I34, Factor!$K$12:$R$13, _xlpm.기본_색인번호, 0),
_xlpm.공격속성보정치, VLOOKUP($J34, Factor!$K$5:$R$7, _xlpm.기본_색인번호, 0),
_xlpm.피해범위보정치, INDEX(Factor!$AN$5:$AV$51, _xlfn.XMATCH(IF(OR($G34="blast", $G34="curved",  $G34= "debuff"), $L34, 0), Factor!$AN$5:$AN$51, -1), _xlpm.추가_색인번호)-IF(AND(OR($G34="blast", $G34="curved", $G34= "debuff"), MOD($L34,1)&lt;&gt;0),INDEX(Factor!$AN$5:$AV$51, _xlfn.XMATCH(IF(OR($G34="blast", $G34="curved", $G34= "debuff"), $L34, 0), Factor!$AN$5:$AN$51, -1), 2)*MOD($L34,1)*10,0),
_xlpm.상태이상보정치, VLOOKUP(IF($G34 = "debuff", $M34, "null"), Factor!$AX$5:$BE$51, _xlpm.기본_색인번호, 0),
_xlpm.지속시간보정치, INDEX(Factor!$BG$5:$BO$51, _xlfn.XMATCH(IF(OR($G34 ="debuff", $G34 = "shot", $G34 = "pierce"), $O34, 0), Factor!$BG$5:$BG$51, -1), _xlpm.추가_색인번호)-IF(AND(OR($G34 ="debuff", $G34 = "shot", $G34 = "pierce"), MOD($O34, 1)&lt;&gt;0), 10*MOD($O34, 1)*INDEX(Factor!$BG$5:$BO$51, _xlfn.XMATCH(IF(OR($G34 ="debuff", $G34 = "shot", $G34 = "pierce"), $O34, 0), Factor!$BG$5:$BG$51, -1), 2), 0),
_xlpm.탄환개수보정치, VLOOKUP(IF(OR($G34 = "curved", $G34 = "shot"), $Q34, 1), Factor!$BQ$5:$BX$51, _xlpm.기본_색인번호, 0),
_xlpm.상태이상탄환생성위치보정치, IF($G34 = "debuff", VLOOKUP($R34, Factor!$K$18:$R$19, _xlpm.기본_색인번호, 0),1),
_xlpm.상태이상탄환형태보정치, IF($G34 = "debuff", VLOOKUP($S34, Factor!$K$24:$R$25, _xlpm.기본_색인번호, 0),1),
_xlpm.가격보정치, INDEX(Factor!$AE$5:$AL$51, _xlfn.XMATCH($F34,Factor!$AE$5:$AE$51, -1), _xlpm.기본_색인번호),
_xlpm.구경보정치, VLOOKUP($D34,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34" s="29" t="e" cm="1">
        <f t="array" ref="AD34">_xlfn.LET(_xlpm.기본_색인번호, 5,
_xlpm.추가_색인번호, 6,
_xlpm.개별보정치, W34,
_xlpm.패턴보정치, VLOOKUP($G34, Factor!$B$5:$I$51, _xlpm.기본_색인번호, 0),
_xlpm.소모탄환보정치, VLOOKUP($H34, Factor!$T$5:$AA$51, _xlpm.기본_색인번호, 0),
_xlpm.지형보정치, VLOOKUP($I34, Factor!$K$12:$R$13, _xlpm.기본_색인번호, 0),
_xlpm.공격속성보정치, VLOOKUP($J34, Factor!$K$5:$R$7, _xlpm.기본_색인번호, 0),
_xlpm.피해범위보정치, INDEX(Factor!$AN$5:$AV$51, _xlfn.XMATCH(IF(OR($G34="blast", $G34="curved",  $G34= "debuff"), $L34, 0), Factor!$AN$5:$AN$51, -1), _xlpm.추가_색인번호)-IF(AND(OR($G34="blast", $G34="curved", $G34= "debuff"), MOD($L34,1)&lt;&gt;0),INDEX(Factor!$AN$5:$AV$51, _xlfn.XMATCH(IF(OR($G34="blast", $G34="curved", $G34= "debuff"), $L34, 0), Factor!$AN$5:$AN$51, -1), 2)*MOD($L34,1)*10,0),
_xlpm.상태이상보정치, VLOOKUP(IF($G34 = "debuff", $M34, "null"), Factor!$AX$5:$BE$51, _xlpm.기본_색인번호, 0),
_xlpm.지속시간보정치, INDEX(Factor!$BG$5:$BO$51, _xlfn.XMATCH(IF(OR($G34 ="debuff", $G34 = "shot", $G34 = "pierce"), $O34, 0), Factor!$BG$5:$BG$51, -1), _xlpm.추가_색인번호)-IF(AND(OR($G34 ="debuff", $G34 = "shot", $G34 = "pierce"), MOD($O34, 1)&lt;&gt;0), 10*MOD($O34, 1)*INDEX(Factor!$BG$5:$BO$51, _xlfn.XMATCH(IF(OR($G34 ="debuff", $G34 = "shot", $G34 = "pierce"), $O34, 0), Factor!$BG$5:$BG$51, -1), 2), 0),
_xlpm.탄환개수보정치, VLOOKUP(IF(OR($G34 = "curved", $G34 = "shot"), $Q34, 1), Factor!$BQ$5:$BX$51, _xlpm.기본_색인번호, 0),
_xlpm.상태이상탄환생성위치보정치, IF($G34 = "debuff", VLOOKUP($R34, Factor!$K$18:$R$19, _xlpm.기본_색인번호, 0),1),
_xlpm.상태이상탄환형태보정치, IF($G34 = "debuff", VLOOKUP($S34, Factor!$K$24:$R$25, _xlpm.기본_색인번호, 0),1),
_xlpm.가격보정치, INDEX(Factor!$AE$5:$AL$51, _xlfn.XMATCH($F34,Factor!$AE$5:$AE$51, -1), _xlpm.기본_색인번호),
_xlpm.구경보정치, VLOOKUP($D34,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34" s="29" t="e" cm="1">
        <f t="array" ref="AE34">_xlfn.LET(_xlpm.기본_색인번호, 6,
_xlpm.추가_색인번호, 7,
_xlpm.개별보정치, X34,
_xlpm.패턴보정치, VLOOKUP($G34, Factor!$B$5:$I$51, _xlpm.기본_색인번호, 0),
_xlpm.소모탄환보정치, VLOOKUP($H34, Factor!$T$5:$AA$51, _xlpm.기본_색인번호, 0),
_xlpm.지형보정치, VLOOKUP($I34, Factor!$K$12:$R$13, _xlpm.기본_색인번호, 0),
_xlpm.공격속성보정치, VLOOKUP($J34, Factor!$K$5:$R$7, _xlpm.기본_색인번호, 0),
_xlpm.피해범위보정치, INDEX(Factor!$AN$5:$AV$51, _xlfn.XMATCH(IF(OR($G34="blast", $G34="curved",  $G34= "debuff"), $L34, 0), Factor!$AN$5:$AN$51, -1), _xlpm.추가_색인번호)-IF(AND(OR($G34="blast", $G34="curved", $G34= "debuff"), MOD($L34,1)&lt;&gt;0),INDEX(Factor!$AN$5:$AV$51, _xlfn.XMATCH(IF(OR($G34="blast", $G34="curved", $G34= "debuff"), $L34, 0), Factor!$AN$5:$AN$51, -1), 2)*MOD($L34,1)*10,0),
_xlpm.상태이상보정치, VLOOKUP(IF($G34 = "debuff", $M34, "null"), Factor!$AX$5:$BE$51, _xlpm.기본_색인번호, 0),
_xlpm.지속시간보정치, INDEX(Factor!$BG$5:$BO$51, _xlfn.XMATCH(IF(OR($G34 ="debuff", $G34 = "shot", $G34 = "pierce"), $O34, 0), Factor!$BG$5:$BG$51, -1), _xlpm.추가_색인번호)-IF(AND(OR($G34 ="debuff", $G34 = "shot", $G34 = "pierce"), MOD($O34, 1)&lt;&gt;0), 10*MOD($O34, 1)*INDEX(Factor!$BG$5:$BO$51, _xlfn.XMATCH(IF(OR($G34 ="debuff", $G34 = "shot", $G34 = "pierce"), $O34, 0), Factor!$BG$5:$BG$51, -1), 2), 0),
_xlpm.탄환개수보정치, VLOOKUP(IF(OR($G34 = "curved", $G34 = "shot"), $Q34, 1), Factor!$BQ$5:$BX$51, _xlpm.기본_색인번호, 0),
_xlpm.상태이상탄환생성위치보정치, IF($G34 = "debuff", VLOOKUP($R34, Factor!$K$18:$R$19, _xlpm.기본_색인번호, 0),1),
_xlpm.상태이상탄환형태보정치, IF($G34 = "debuff", VLOOKUP($S34, Factor!$K$24:$R$25, _xlpm.기본_색인번호, 0),1),
_xlpm.가격보정치, INDEX(Factor!$AE$5:$AL$51, _xlfn.XMATCH($F34,Factor!$AE$5:$AE$51, -1), _xlpm.기본_색인번호),
_xlpm.구경보정치, VLOOKUP($D34,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34" s="29" t="e" cm="1">
        <f t="array" ref="AF34">_xlfn.LET(_xlpm.기본_색인번호, 7,
_xlpm.추가_색인번호, 8,
_xlpm.개별보정치, Y34,
_xlpm.패턴보정치, VLOOKUP($G34, Factor!$B$5:$I$51, _xlpm.기본_색인번호, 0),
_xlpm.소모탄환보정치, VLOOKUP($H34, Factor!$T$5:$AA$51, _xlpm.기본_색인번호, 0),
_xlpm.지형보정치, VLOOKUP($I34, Factor!$K$12:$R$13, _xlpm.기본_색인번호, 0),
_xlpm.공격속성보정치, VLOOKUP($J34, Factor!$K$5:$R$7, _xlpm.기본_색인번호, 0),
_xlpm.피해범위보정치, INDEX(Factor!$AN$5:$AV$51, _xlfn.XMATCH(IF(OR($G34="blast", $G34="curved",  $G34= "debuff"), $L34, 0), Factor!$AN$5:$AN$51, -1), _xlpm.추가_색인번호)-IF(AND(OR($G34="blast", $G34="curved", $G34= "debuff"), MOD($L34,1)&lt;&gt;0),INDEX(Factor!$AN$5:$AV$51, _xlfn.XMATCH(IF(OR($G34="blast", $G34="curved", $G34= "debuff"), $L34, 0), Factor!$AN$5:$AN$51, -1), 2)*MOD($L34,1)*10,0),
_xlpm.상태이상보정치, VLOOKUP(IF($G34 = "debuff", $M34, "null"), Factor!$AX$5:$BE$51, _xlpm.기본_색인번호, 0),
_xlpm.지속시간보정치, INDEX(Factor!$BG$5:$BO$51, _xlfn.XMATCH(IF(OR($G34 ="debuff", $G34 = "shot", $G34 = "pierce"), $O34, 0), Factor!$BG$5:$BG$51, -1), _xlpm.추가_색인번호)-IF(AND(OR($G34 ="debuff", $G34 = "shot", $G34 = "pierce"), MOD($O34, 1)&lt;&gt;0), 10*MOD($O34, 1)*INDEX(Factor!$BG$5:$BO$51, _xlfn.XMATCH(IF(OR($G34 ="debuff", $G34 = "shot", $G34 = "pierce"), $O34, 0), Factor!$BG$5:$BG$51, -1), 2), 0),
_xlpm.탄환개수보정치, VLOOKUP(IF(OR($G34 = "curved", $G34 = "shot"), $Q34, 1), Factor!$BQ$5:$BX$51, _xlpm.기본_색인번호, 0),
_xlpm.상태이상탄환생성위치보정치, IF($G34 = "debuff", VLOOKUP($R34, Factor!$K$18:$R$19, _xlpm.기본_색인번호, 0),1),
_xlpm.상태이상탄환형태보정치, IF($G34 = "debuff", VLOOKUP($S34, Factor!$K$24:$R$25, _xlpm.기본_색인번호, 0),1),
_xlpm.가격보정치, INDEX(Factor!$AE$5:$AL$51, _xlfn.XMATCH($F34,Factor!$AE$5:$AE$51, -1), _xlpm.기본_색인번호),
_xlpm.구경보정치, VLOOKUP($D34,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34" s="30" t="e" cm="1">
        <f t="array" ref="AG34">_xlfn.LET(_xlpm.기본_색인번호, 8,
_xlpm.추가_색인번호, 9,
_xlpm.개별보정치, Z34,
_xlpm.패턴보정치, VLOOKUP($G34, Factor!$B$5:$I$51, _xlpm.기본_색인번호, 0),
_xlpm.소모탄환보정치, VLOOKUP($H34, Factor!$T$5:$AA$51, _xlpm.기본_색인번호, 0),
_xlpm.지형보정치, VLOOKUP($I34, Factor!$K$12:$R$13, _xlpm.기본_색인번호, 0),
_xlpm.공격속성보정치, VLOOKUP($J34, Factor!$K$5:$R$7, _xlpm.기본_색인번호, 0),
_xlpm.피해범위보정치, INDEX(Factor!$AN$5:$AV$51, _xlfn.XMATCH(IF(OR($G34="blast", $G34="curved",  $G34= "debuff"), $L34, 0), Factor!$AN$5:$AN$51, -1), _xlpm.추가_색인번호)-IF(AND(OR($G34="blast", $G34="curved", $G34= "debuff"), MOD($L34,1)&lt;&gt;0),INDEX(Factor!$AN$5:$AV$51, _xlfn.XMATCH(IF(OR($G34="blast", $G34="curved", $G34= "debuff"), $L34, 0), Factor!$AN$5:$AN$51, -1), 2)*MOD($L34,1)*10,0),
_xlpm.상태이상보정치, VLOOKUP(IF($G34 = "debuff", $M34, "null"), Factor!$AX$5:$BE$51, _xlpm.기본_색인번호, 0),
_xlpm.지속시간보정치, INDEX(Factor!$BG$5:$BO$51, _xlfn.XMATCH(IF(OR($G34 ="debuff", $G34 = "shot", $G34 = "pierce"), $O34, 0), Factor!$BG$5:$BG$51, -1), _xlpm.추가_색인번호)-IF(AND(OR($G34 ="debuff", $G34 = "shot", $G34 = "pierce"), MOD($O34, 1)&lt;&gt;0), 10*MOD($O34, 1)*INDEX(Factor!$BG$5:$BO$51, _xlfn.XMATCH(IF(OR($G34 ="debuff", $G34 = "shot", $G34 = "pierce"), $O34, 0), Factor!$BG$5:$BG$51, -1), 2), 0),
_xlpm.탄환개수보정치, VLOOKUP(IF(OR($G34 = "curved", $G34 = "shot"), $Q34, 1), Factor!$BQ$5:$BX$51, _xlpm.기본_색인번호, 0),
_xlpm.상태이상탄환생성위치보정치, IF($G34 = "debuff", VLOOKUP($R34, Factor!$K$18:$R$19, _xlpm.기본_색인번호, 0),1),
_xlpm.상태이상탄환형태보정치, IF($G34 = "debuff", VLOOKUP($S34, Factor!$K$24:$R$25, _xlpm.기본_색인번호, 0),1),
_xlpm.가격보정치, INDEX(Factor!$AE$5:$AL$51, _xlfn.XMATCH($F34,Factor!$AE$5:$AE$51, -1), _xlpm.기본_색인번호),
_xlpm.구경보정치, VLOOKUP($D34,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34"/>
      <c r="AI34"/>
      <c r="AJ34"/>
      <c r="AK34"/>
      <c r="AL34"/>
      <c r="AM34"/>
      <c r="AN34"/>
    </row>
    <row r="35" spans="1:40" ht="15.75" customHeight="1">
      <c r="A35" s="24" t="e">
        <f>"weapon_"&amp;G35&amp;"_"&amp;VLOOKUP(H35, Factor!$T$5:$AB$7, 9, 0)&amp;"_"&amp;IF(COUNTIFS($G$4:G34, G35, $H$4:H34, H35)+1&gt;=100, COUNTIFS($G$4:G34, G35, $H$4:H34, H35)+1,IF(COUNTIFS($G$4:G34, G35, $H$4:H34, H35)+1&gt;=10, "0"&amp;COUNTIFS($G$4:G34, G35, $H$4:H34, H35)+1, "00"&amp;COUNTIFS($G$4:G34, G35, $H$4:H34, H35)+1))</f>
        <v>#N/A</v>
      </c>
      <c r="B35" s="36" t="str">
        <f t="shared" si="0"/>
        <v xml:space="preserve"> </v>
      </c>
      <c r="C35" s="36"/>
      <c r="D35" s="36"/>
      <c r="E35" s="36"/>
      <c r="F35" s="25" t="e">
        <f>VLOOKUP(C35, Factor!$AD$5:$AE$15, 2, 0)</f>
        <v>#N/A</v>
      </c>
      <c r="G35" s="26" t="e">
        <f>VLOOKUP(E35, Factor!$CL$5:$CV$50, 2, 0)</f>
        <v>#N/A</v>
      </c>
      <c r="H35" s="25" t="e">
        <f>VLOOKUP(E35, Factor!$CL$5:$CV$50, 3, 0)</f>
        <v>#N/A</v>
      </c>
      <c r="I35" s="25" t="e">
        <f>VLOOKUP(E35, Factor!$CL$5:$CV$50, 4, 0)</f>
        <v>#N/A</v>
      </c>
      <c r="J35" s="25" t="e">
        <f>VLOOKUP(E35, Factor!$CL$5:$CV$50, 5, 0)</f>
        <v>#N/A</v>
      </c>
      <c r="K35" s="25">
        <v>1</v>
      </c>
      <c r="L35" s="25" t="e">
        <f>VLOOKUP(E35, Factor!$CL$5:$CV$50, 6, 0)*K35*VLOOKUP(D35, Factor!$BZ$5:$CJ$49, 9, 0)</f>
        <v>#N/A</v>
      </c>
      <c r="M35" s="25" t="e">
        <f>VLOOKUP(E35, Factor!$CL$5:$CV$50, 7, 0)</f>
        <v>#N/A</v>
      </c>
      <c r="N35" s="25">
        <v>1</v>
      </c>
      <c r="O35" s="25" t="e">
        <f>VLOOKUP(E35, Factor!$CL$5:$CV$50, 8, 0)*N35*VLOOKUP(D35, Factor!$BZ$5:$CJ$49, 10, 0)</f>
        <v>#N/A</v>
      </c>
      <c r="P35" s="25">
        <v>1</v>
      </c>
      <c r="Q35" s="25" t="e">
        <f>VLOOKUP(E35, Factor!$CL$5:$CV$50, 9, 0)*P35*VLOOKUP(D35, Factor!$BZ$5:$CJ$49, 11, 0)</f>
        <v>#N/A</v>
      </c>
      <c r="R35" s="25" t="e">
        <f>VLOOKUP(E35, Factor!$CL$5:$CV$50, 10, 0)</f>
        <v>#N/A</v>
      </c>
      <c r="S35" s="25" t="e">
        <f>VLOOKUP(E35, Factor!$CL$5:$CV$50, 11, 0)</f>
        <v>#N/A</v>
      </c>
      <c r="T35" s="25">
        <v>1</v>
      </c>
      <c r="U35" s="25">
        <v>1</v>
      </c>
      <c r="V35" s="25">
        <v>1</v>
      </c>
      <c r="W35" s="25">
        <v>1</v>
      </c>
      <c r="X35" s="25">
        <v>1</v>
      </c>
      <c r="Y35" s="25">
        <v>1</v>
      </c>
      <c r="Z35" s="25">
        <v>1</v>
      </c>
      <c r="AA35" s="25" t="e" cm="1">
        <f t="array" ref="AA35">_xlfn.LET(_xlpm.기본_색인번호, 2,
_xlpm.추가_색인번호, 3,
_xlpm.개별보정치, T35,
_xlpm.패턴보정치, VLOOKUP($G35, Factor!$B$5:$I$51, _xlpm.기본_색인번호, 0),
_xlpm.소모탄환보정치, VLOOKUP($H35, Factor!$T$5:$AA$51, _xlpm.기본_색인번호, 0),
_xlpm.지형보정치, VLOOKUP($I35, Factor!$K$12:$R$13, _xlpm.기본_색인번호, 0),
_xlpm.공격속성보정치, VLOOKUP($J35, Factor!$K$5:$R$7, _xlpm.기본_색인번호, 0),
_xlpm.피해범위보정치, INDEX(Factor!$AN$5:$AV$51, _xlfn.XMATCH(IF(OR($G35="blast", $G35="curved",  $G35= "debuff"), $L35, 0), Factor!$AN$5:$AN$51, -1), _xlpm.추가_색인번호)-IF(AND(OR($G35="blast", $G35="curved", $G35= "debuff"), MOD($L35,1)&lt;&gt;0),INDEX(Factor!$AN$5:$AV$51, _xlfn.XMATCH(IF(OR($G35="blast", $G35="curved", $G35= "debuff"), $L35, 0), Factor!$AN$5:$AN$51, -1), 2)*MOD($L35,1)*10,0),
_xlpm.상태이상보정치, VLOOKUP(IF($G35 = "debuff", $M35, "null"), Factor!$AX$5:$BE$51, _xlpm.기본_색인번호, 0),
_xlpm.지속시간보정치, INDEX(Factor!$BG$5:$BO$51, _xlfn.XMATCH(IF(OR($G35 ="debuff", $G35 = "shot", $G35 = "pierce"), $O35, 0), Factor!$BG$5:$BG$51, -1), _xlpm.추가_색인번호)-IF(AND(OR($G35 ="debuff", $G35 = "shot", $G35 = "pierce"), MOD($O35, 1)&lt;&gt;0), 10*MOD($O35, 1)*INDEX(Factor!$BG$5:$BO$51, _xlfn.XMATCH(IF(OR($G35 ="debuff", $G35 = "shot", $G35 = "pierce"), $O35, 0), Factor!$BG$5:$BG$51, -1), 2), 0),
_xlpm.탄환개수보정치, VLOOKUP(IF(OR($G35 = "curved", $G35 = "shot"), $Q35, 1), Factor!$BQ$5:$BX$51, _xlpm.기본_색인번호, 0),
_xlpm.상태이상탄환생성위치보정치, IF($G35 = "debuff", VLOOKUP($R35, Factor!$K$18:$R$19, _xlpm.기본_색인번호, 0),1),
_xlpm.상태이상탄환형태보정치, IF($G35 = "debuff", VLOOKUP($S35, Factor!$K$24:$R$25, _xlpm.기본_색인번호, 0),1),
_xlpm.가격보정치, INDEX(Factor!$AE$5:$AL$51, _xlfn.XMATCH($F35,Factor!$AE$5:$AE$51, -1), _xlpm.기본_색인번호),
_xlpm.구경보정치, VLOOKUP($D35,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35" s="25" t="e" cm="1">
        <f t="array" ref="AB35">_xlfn.LET(_xlpm.기본_색인번호, 3,
_xlpm.추가_색인번호, 4,
_xlpm.개별보정치, U35,
_xlpm.패턴보정치, VLOOKUP($G35, Factor!$B$5:$I$51, _xlpm.기본_색인번호, 0),
_xlpm.소모탄환보정치, VLOOKUP($H35, Factor!$T$5:$AA$51, _xlpm.기본_색인번호, 0),
_xlpm.지형보정치, VLOOKUP($I35, Factor!$K$12:$R$13, _xlpm.기본_색인번호, 0),
_xlpm.공격속성보정치, VLOOKUP($J35, Factor!$K$5:$R$7, _xlpm.기본_색인번호, 0),
_xlpm.피해범위보정치, INDEX(Factor!$AN$5:$AV$51, _xlfn.XMATCH(IF(OR($G35="blast", $G35="curved",  $G35= "debuff"), $L35, 0), Factor!$AN$5:$AN$51, -1), _xlpm.추가_색인번호)-IF(AND(OR($G35="blast", $G35="curved", $G35= "debuff"), MOD($L35,1)&lt;&gt;0),INDEX(Factor!$AN$5:$AV$51, _xlfn.XMATCH(IF(OR($G35="blast", $G35="curved", $G35= "debuff"), $L35, 0), Factor!$AN$5:$AN$51, -1), 2)*MOD($L35,1)*10,0),
_xlpm.상태이상보정치, VLOOKUP(IF($G35 = "debuff", $M35, "null"), Factor!$AX$5:$BE$51, _xlpm.기본_색인번호, 0),
_xlpm.지속시간보정치, INDEX(Factor!$BG$5:$BO$51, _xlfn.XMATCH(IF(OR($G35 ="debuff", $G35 = "shot", $G35 = "pierce"), $O35, 0), Factor!$BG$5:$BG$51, -1), _xlpm.추가_색인번호)-IF(AND(OR($G35 ="debuff", $G35 = "shot", $G35 = "pierce"), MOD($O35, 1)&lt;&gt;0), 10*MOD($O35, 1)*INDEX(Factor!$BG$5:$BO$51, _xlfn.XMATCH(IF(OR($G35 ="debuff", $G35 = "shot", $G35 = "pierce"), $O35, 0), Factor!$BG$5:$BG$51, -1), 2), 0),
_xlpm.탄환개수보정치, VLOOKUP(IF(OR($G35 = "curved", $G35 = "shot"), $Q35, 1), Factor!$BQ$5:$BX$51, _xlpm.기본_색인번호, 0),
_xlpm.상태이상탄환생성위치보정치, IF($G35 = "debuff", VLOOKUP($R35, Factor!$K$18:$R$19, _xlpm.기본_색인번호, 0),1),
_xlpm.상태이상탄환형태보정치, IF($G35 = "debuff", VLOOKUP($S35, Factor!$K$24:$R$25, _xlpm.기본_색인번호, 0),1),
_xlpm.가격보정치, INDEX(Factor!$AE$5:$AL$51, _xlfn.XMATCH($F35,Factor!$AE$5:$AE$51, -1), _xlpm.기본_색인번호),
_xlpm.구경보정치, VLOOKUP($D35,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35" s="25" t="e" cm="1">
        <f t="array" ref="AC35">_xlfn.LET(_xlpm.기본_색인번호, 4,
_xlpm.추가_색인번호, 5,
_xlpm.개별보정치, V35,
_xlpm.패턴보정치, VLOOKUP($G35, Factor!$B$5:$I$51, _xlpm.기본_색인번호, 0),
_xlpm.소모탄환보정치, VLOOKUP($H35, Factor!$T$5:$AA$51, _xlpm.기본_색인번호, 0),
_xlpm.지형보정치, VLOOKUP($I35, Factor!$K$12:$R$13, _xlpm.기본_색인번호, 0),
_xlpm.공격속성보정치, VLOOKUP($J35, Factor!$K$5:$R$7, _xlpm.기본_색인번호, 0),
_xlpm.피해범위보정치, INDEX(Factor!$AN$5:$AV$51, _xlfn.XMATCH(IF(OR($G35="blast", $G35="curved",  $G35= "debuff"), $L35, 0), Factor!$AN$5:$AN$51, -1), _xlpm.추가_색인번호)-IF(AND(OR($G35="blast", $G35="curved", $G35= "debuff"), MOD($L35,1)&lt;&gt;0),INDEX(Factor!$AN$5:$AV$51, _xlfn.XMATCH(IF(OR($G35="blast", $G35="curved", $G35= "debuff"), $L35, 0), Factor!$AN$5:$AN$51, -1), 2)*MOD($L35,1)*10,0),
_xlpm.상태이상보정치, VLOOKUP(IF($G35 = "debuff", $M35, "null"), Factor!$AX$5:$BE$51, _xlpm.기본_색인번호, 0),
_xlpm.지속시간보정치, INDEX(Factor!$BG$5:$BO$51, _xlfn.XMATCH(IF(OR($G35 ="debuff", $G35 = "shot", $G35 = "pierce"), $O35, 0), Factor!$BG$5:$BG$51, -1), _xlpm.추가_색인번호)-IF(AND(OR($G35 ="debuff", $G35 = "shot", $G35 = "pierce"), MOD($O35, 1)&lt;&gt;0), 10*MOD($O35, 1)*INDEX(Factor!$BG$5:$BO$51, _xlfn.XMATCH(IF(OR($G35 ="debuff", $G35 = "shot", $G35 = "pierce"), $O35, 0), Factor!$BG$5:$BG$51, -1), 2), 0),
_xlpm.탄환개수보정치, VLOOKUP(IF(OR($G35 = "curved", $G35 = "shot"), $Q35, 1), Factor!$BQ$5:$BX$51, _xlpm.기본_색인번호, 0),
_xlpm.상태이상탄환생성위치보정치, IF($G35 = "debuff", VLOOKUP($R35, Factor!$K$18:$R$19, _xlpm.기본_색인번호, 0),1),
_xlpm.상태이상탄환형태보정치, IF($G35 = "debuff", VLOOKUP($S35, Factor!$K$24:$R$25, _xlpm.기본_색인번호, 0),1),
_xlpm.가격보정치, INDEX(Factor!$AE$5:$AL$51, _xlfn.XMATCH($F35,Factor!$AE$5:$AE$51, -1), _xlpm.기본_색인번호),
_xlpm.구경보정치, VLOOKUP($D35,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35" s="25" t="e" cm="1">
        <f t="array" ref="AD35">_xlfn.LET(_xlpm.기본_색인번호, 5,
_xlpm.추가_색인번호, 6,
_xlpm.개별보정치, W35,
_xlpm.패턴보정치, VLOOKUP($G35, Factor!$B$5:$I$51, _xlpm.기본_색인번호, 0),
_xlpm.소모탄환보정치, VLOOKUP($H35, Factor!$T$5:$AA$51, _xlpm.기본_색인번호, 0),
_xlpm.지형보정치, VLOOKUP($I35, Factor!$K$12:$R$13, _xlpm.기본_색인번호, 0),
_xlpm.공격속성보정치, VLOOKUP($J35, Factor!$K$5:$R$7, _xlpm.기본_색인번호, 0),
_xlpm.피해범위보정치, INDEX(Factor!$AN$5:$AV$51, _xlfn.XMATCH(IF(OR($G35="blast", $G35="curved",  $G35= "debuff"), $L35, 0), Factor!$AN$5:$AN$51, -1), _xlpm.추가_색인번호)-IF(AND(OR($G35="blast", $G35="curved", $G35= "debuff"), MOD($L35,1)&lt;&gt;0),INDEX(Factor!$AN$5:$AV$51, _xlfn.XMATCH(IF(OR($G35="blast", $G35="curved", $G35= "debuff"), $L35, 0), Factor!$AN$5:$AN$51, -1), 2)*MOD($L35,1)*10,0),
_xlpm.상태이상보정치, VLOOKUP(IF($G35 = "debuff", $M35, "null"), Factor!$AX$5:$BE$51, _xlpm.기본_색인번호, 0),
_xlpm.지속시간보정치, INDEX(Factor!$BG$5:$BO$51, _xlfn.XMATCH(IF(OR($G35 ="debuff", $G35 = "shot", $G35 = "pierce"), $O35, 0), Factor!$BG$5:$BG$51, -1), _xlpm.추가_색인번호)-IF(AND(OR($G35 ="debuff", $G35 = "shot", $G35 = "pierce"), MOD($O35, 1)&lt;&gt;0), 10*MOD($O35, 1)*INDEX(Factor!$BG$5:$BO$51, _xlfn.XMATCH(IF(OR($G35 ="debuff", $G35 = "shot", $G35 = "pierce"), $O35, 0), Factor!$BG$5:$BG$51, -1), 2), 0),
_xlpm.탄환개수보정치, VLOOKUP(IF(OR($G35 = "curved", $G35 = "shot"), $Q35, 1), Factor!$BQ$5:$BX$51, _xlpm.기본_색인번호, 0),
_xlpm.상태이상탄환생성위치보정치, IF($G35 = "debuff", VLOOKUP($R35, Factor!$K$18:$R$19, _xlpm.기본_색인번호, 0),1),
_xlpm.상태이상탄환형태보정치, IF($G35 = "debuff", VLOOKUP($S35, Factor!$K$24:$R$25, _xlpm.기본_색인번호, 0),1),
_xlpm.가격보정치, INDEX(Factor!$AE$5:$AL$51, _xlfn.XMATCH($F35,Factor!$AE$5:$AE$51, -1), _xlpm.기본_색인번호),
_xlpm.구경보정치, VLOOKUP($D35,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35" s="25" t="e" cm="1">
        <f t="array" ref="AE35">_xlfn.LET(_xlpm.기본_색인번호, 6,
_xlpm.추가_색인번호, 7,
_xlpm.개별보정치, X35,
_xlpm.패턴보정치, VLOOKUP($G35, Factor!$B$5:$I$51, _xlpm.기본_색인번호, 0),
_xlpm.소모탄환보정치, VLOOKUP($H35, Factor!$T$5:$AA$51, _xlpm.기본_색인번호, 0),
_xlpm.지형보정치, VLOOKUP($I35, Factor!$K$12:$R$13, _xlpm.기본_색인번호, 0),
_xlpm.공격속성보정치, VLOOKUP($J35, Factor!$K$5:$R$7, _xlpm.기본_색인번호, 0),
_xlpm.피해범위보정치, INDEX(Factor!$AN$5:$AV$51, _xlfn.XMATCH(IF(OR($G35="blast", $G35="curved",  $G35= "debuff"), $L35, 0), Factor!$AN$5:$AN$51, -1), _xlpm.추가_색인번호)-IF(AND(OR($G35="blast", $G35="curved", $G35= "debuff"), MOD($L35,1)&lt;&gt;0),INDEX(Factor!$AN$5:$AV$51, _xlfn.XMATCH(IF(OR($G35="blast", $G35="curved", $G35= "debuff"), $L35, 0), Factor!$AN$5:$AN$51, -1), 2)*MOD($L35,1)*10,0),
_xlpm.상태이상보정치, VLOOKUP(IF($G35 = "debuff", $M35, "null"), Factor!$AX$5:$BE$51, _xlpm.기본_색인번호, 0),
_xlpm.지속시간보정치, INDEX(Factor!$BG$5:$BO$51, _xlfn.XMATCH(IF(OR($G35 ="debuff", $G35 = "shot", $G35 = "pierce"), $O35, 0), Factor!$BG$5:$BG$51, -1), _xlpm.추가_색인번호)-IF(AND(OR($G35 ="debuff", $G35 = "shot", $G35 = "pierce"), MOD($O35, 1)&lt;&gt;0), 10*MOD($O35, 1)*INDEX(Factor!$BG$5:$BO$51, _xlfn.XMATCH(IF(OR($G35 ="debuff", $G35 = "shot", $G35 = "pierce"), $O35, 0), Factor!$BG$5:$BG$51, -1), 2), 0),
_xlpm.탄환개수보정치, VLOOKUP(IF(OR($G35 = "curved", $G35 = "shot"), $Q35, 1), Factor!$BQ$5:$BX$51, _xlpm.기본_색인번호, 0),
_xlpm.상태이상탄환생성위치보정치, IF($G35 = "debuff", VLOOKUP($R35, Factor!$K$18:$R$19, _xlpm.기본_색인번호, 0),1),
_xlpm.상태이상탄환형태보정치, IF($G35 = "debuff", VLOOKUP($S35, Factor!$K$24:$R$25, _xlpm.기본_색인번호, 0),1),
_xlpm.가격보정치, INDEX(Factor!$AE$5:$AL$51, _xlfn.XMATCH($F35,Factor!$AE$5:$AE$51, -1), _xlpm.기본_색인번호),
_xlpm.구경보정치, VLOOKUP($D35,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35" s="25" t="e" cm="1">
        <f t="array" ref="AF35">_xlfn.LET(_xlpm.기본_색인번호, 7,
_xlpm.추가_색인번호, 8,
_xlpm.개별보정치, Y35,
_xlpm.패턴보정치, VLOOKUP($G35, Factor!$B$5:$I$51, _xlpm.기본_색인번호, 0),
_xlpm.소모탄환보정치, VLOOKUP($H35, Factor!$T$5:$AA$51, _xlpm.기본_색인번호, 0),
_xlpm.지형보정치, VLOOKUP($I35, Factor!$K$12:$R$13, _xlpm.기본_색인번호, 0),
_xlpm.공격속성보정치, VLOOKUP($J35, Factor!$K$5:$R$7, _xlpm.기본_색인번호, 0),
_xlpm.피해범위보정치, INDEX(Factor!$AN$5:$AV$51, _xlfn.XMATCH(IF(OR($G35="blast", $G35="curved",  $G35= "debuff"), $L35, 0), Factor!$AN$5:$AN$51, -1), _xlpm.추가_색인번호)-IF(AND(OR($G35="blast", $G35="curved", $G35= "debuff"), MOD($L35,1)&lt;&gt;0),INDEX(Factor!$AN$5:$AV$51, _xlfn.XMATCH(IF(OR($G35="blast", $G35="curved", $G35= "debuff"), $L35, 0), Factor!$AN$5:$AN$51, -1), 2)*MOD($L35,1)*10,0),
_xlpm.상태이상보정치, VLOOKUP(IF($G35 = "debuff", $M35, "null"), Factor!$AX$5:$BE$51, _xlpm.기본_색인번호, 0),
_xlpm.지속시간보정치, INDEX(Factor!$BG$5:$BO$51, _xlfn.XMATCH(IF(OR($G35 ="debuff", $G35 = "shot", $G35 = "pierce"), $O35, 0), Factor!$BG$5:$BG$51, -1), _xlpm.추가_색인번호)-IF(AND(OR($G35 ="debuff", $G35 = "shot", $G35 = "pierce"), MOD($O35, 1)&lt;&gt;0), 10*MOD($O35, 1)*INDEX(Factor!$BG$5:$BO$51, _xlfn.XMATCH(IF(OR($G35 ="debuff", $G35 = "shot", $G35 = "pierce"), $O35, 0), Factor!$BG$5:$BG$51, -1), 2), 0),
_xlpm.탄환개수보정치, VLOOKUP(IF(OR($G35 = "curved", $G35 = "shot"), $Q35, 1), Factor!$BQ$5:$BX$51, _xlpm.기본_색인번호, 0),
_xlpm.상태이상탄환생성위치보정치, IF($G35 = "debuff", VLOOKUP($R35, Factor!$K$18:$R$19, _xlpm.기본_색인번호, 0),1),
_xlpm.상태이상탄환형태보정치, IF($G35 = "debuff", VLOOKUP($S35, Factor!$K$24:$R$25, _xlpm.기본_색인번호, 0),1),
_xlpm.가격보정치, INDEX(Factor!$AE$5:$AL$51, _xlfn.XMATCH($F35,Factor!$AE$5:$AE$51, -1), _xlpm.기본_색인번호),
_xlpm.구경보정치, VLOOKUP($D35,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35" s="27" t="e" cm="1">
        <f t="array" ref="AG35">_xlfn.LET(_xlpm.기본_색인번호, 8,
_xlpm.추가_색인번호, 9,
_xlpm.개별보정치, Z35,
_xlpm.패턴보정치, VLOOKUP($G35, Factor!$B$5:$I$51, _xlpm.기본_색인번호, 0),
_xlpm.소모탄환보정치, VLOOKUP($H35, Factor!$T$5:$AA$51, _xlpm.기본_색인번호, 0),
_xlpm.지형보정치, VLOOKUP($I35, Factor!$K$12:$R$13, _xlpm.기본_색인번호, 0),
_xlpm.공격속성보정치, VLOOKUP($J35, Factor!$K$5:$R$7, _xlpm.기본_색인번호, 0),
_xlpm.피해범위보정치, INDEX(Factor!$AN$5:$AV$51, _xlfn.XMATCH(IF(OR($G35="blast", $G35="curved",  $G35= "debuff"), $L35, 0), Factor!$AN$5:$AN$51, -1), _xlpm.추가_색인번호)-IF(AND(OR($G35="blast", $G35="curved", $G35= "debuff"), MOD($L35,1)&lt;&gt;0),INDEX(Factor!$AN$5:$AV$51, _xlfn.XMATCH(IF(OR($G35="blast", $G35="curved", $G35= "debuff"), $L35, 0), Factor!$AN$5:$AN$51, -1), 2)*MOD($L35,1)*10,0),
_xlpm.상태이상보정치, VLOOKUP(IF($G35 = "debuff", $M35, "null"), Factor!$AX$5:$BE$51, _xlpm.기본_색인번호, 0),
_xlpm.지속시간보정치, INDEX(Factor!$BG$5:$BO$51, _xlfn.XMATCH(IF(OR($G35 ="debuff", $G35 = "shot", $G35 = "pierce"), $O35, 0), Factor!$BG$5:$BG$51, -1), _xlpm.추가_색인번호)-IF(AND(OR($G35 ="debuff", $G35 = "shot", $G35 = "pierce"), MOD($O35, 1)&lt;&gt;0), 10*MOD($O35, 1)*INDEX(Factor!$BG$5:$BO$51, _xlfn.XMATCH(IF(OR($G35 ="debuff", $G35 = "shot", $G35 = "pierce"), $O35, 0), Factor!$BG$5:$BG$51, -1), 2), 0),
_xlpm.탄환개수보정치, VLOOKUP(IF(OR($G35 = "curved", $G35 = "shot"), $Q35, 1), Factor!$BQ$5:$BX$51, _xlpm.기본_색인번호, 0),
_xlpm.상태이상탄환생성위치보정치, IF($G35 = "debuff", VLOOKUP($R35, Factor!$K$18:$R$19, _xlpm.기본_색인번호, 0),1),
_xlpm.상태이상탄환형태보정치, IF($G35 = "debuff", VLOOKUP($S35, Factor!$K$24:$R$25, _xlpm.기본_색인번호, 0),1),
_xlpm.가격보정치, INDEX(Factor!$AE$5:$AL$51, _xlfn.XMATCH($F35,Factor!$AE$5:$AE$51, -1), _xlpm.기본_색인번호),
_xlpm.구경보정치, VLOOKUP($D35,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35"/>
      <c r="AI35"/>
      <c r="AJ35"/>
      <c r="AK35"/>
      <c r="AL35"/>
      <c r="AM35"/>
      <c r="AN35"/>
    </row>
    <row r="36" spans="1:40" ht="15.75" customHeight="1">
      <c r="A36" s="28" t="e">
        <f>"weapon_"&amp;G36&amp;"_"&amp;VLOOKUP(H36, Factor!$T$5:$AB$7, 9, 0)&amp;"_"&amp;IF(COUNTIFS($G$4:G35, G36, $H$4:H35, H36)+1&gt;=100, COUNTIFS($G$4:G35, G36, $H$4:H35, H36)+1,IF(COUNTIFS($G$4:G35, G36, $H$4:H35, H36)+1&gt;=10, "0"&amp;COUNTIFS($G$4:G35, G36, $H$4:H35, H36)+1, "00"&amp;COUNTIFS($G$4:G35, G36, $H$4:H35, H36)+1))</f>
        <v>#N/A</v>
      </c>
      <c r="B36" s="37" t="str">
        <f t="shared" si="0"/>
        <v xml:space="preserve"> </v>
      </c>
      <c r="C36" s="37"/>
      <c r="D36" s="37"/>
      <c r="E36" s="37"/>
      <c r="F36" s="29" t="e">
        <f>VLOOKUP(C36, Factor!$AD$5:$AE$15, 2, 0)</f>
        <v>#N/A</v>
      </c>
      <c r="G36" s="29" t="e">
        <f>VLOOKUP(E36, Factor!$CL$5:$CV$50, 2, 0)</f>
        <v>#N/A</v>
      </c>
      <c r="H36" s="29" t="e">
        <f>VLOOKUP(E36, Factor!$CL$5:$CV$50, 3, 0)</f>
        <v>#N/A</v>
      </c>
      <c r="I36" s="29" t="e">
        <f>VLOOKUP(E36, Factor!$CL$5:$CV$50, 4, 0)</f>
        <v>#N/A</v>
      </c>
      <c r="J36" s="29" t="e">
        <f>VLOOKUP(E36, Factor!$CL$5:$CV$50, 5, 0)</f>
        <v>#N/A</v>
      </c>
      <c r="K36" s="29">
        <v>1</v>
      </c>
      <c r="L36" s="29" t="e">
        <f>VLOOKUP(E36, Factor!$CL$5:$CV$50, 6, 0)*K36*VLOOKUP(D36, Factor!$BZ$5:$CJ$49, 9, 0)</f>
        <v>#N/A</v>
      </c>
      <c r="M36" s="29" t="e">
        <f>VLOOKUP(E36, Factor!$CL$5:$CV$50, 7, 0)</f>
        <v>#N/A</v>
      </c>
      <c r="N36" s="29">
        <v>1</v>
      </c>
      <c r="O36" s="29" t="e">
        <f>VLOOKUP(E36, Factor!$CL$5:$CV$50, 8, 0)*N36*VLOOKUP(D36, Factor!$BZ$5:$CJ$49, 10, 0)</f>
        <v>#N/A</v>
      </c>
      <c r="P36" s="29">
        <v>1</v>
      </c>
      <c r="Q36" s="29" t="e">
        <f>VLOOKUP(E36, Factor!$CL$5:$CV$50, 9, 0)*P36*VLOOKUP(D36, Factor!$BZ$5:$CJ$49, 11, 0)</f>
        <v>#N/A</v>
      </c>
      <c r="R36" s="29" t="e">
        <f>VLOOKUP(E36, Factor!$CL$5:$CV$50, 10, 0)</f>
        <v>#N/A</v>
      </c>
      <c r="S36" s="29" t="e">
        <f>VLOOKUP(E36, Factor!$CL$5:$CV$50, 11, 0)</f>
        <v>#N/A</v>
      </c>
      <c r="T36" s="29">
        <v>1</v>
      </c>
      <c r="U36" s="29">
        <v>1</v>
      </c>
      <c r="V36" s="29">
        <v>1</v>
      </c>
      <c r="W36" s="29">
        <v>1</v>
      </c>
      <c r="X36" s="29">
        <v>1</v>
      </c>
      <c r="Y36" s="29">
        <v>1</v>
      </c>
      <c r="Z36" s="29">
        <v>1</v>
      </c>
      <c r="AA36" s="29" t="e" cm="1">
        <f t="array" ref="AA36">_xlfn.LET(_xlpm.기본_색인번호, 2,
_xlpm.추가_색인번호, 3,
_xlpm.개별보정치, T36,
_xlpm.패턴보정치, VLOOKUP($G36, Factor!$B$5:$I$51, _xlpm.기본_색인번호, 0),
_xlpm.소모탄환보정치, VLOOKUP($H36, Factor!$T$5:$AA$51, _xlpm.기본_색인번호, 0),
_xlpm.지형보정치, VLOOKUP($I36, Factor!$K$12:$R$13, _xlpm.기본_색인번호, 0),
_xlpm.공격속성보정치, VLOOKUP($J36, Factor!$K$5:$R$7, _xlpm.기본_색인번호, 0),
_xlpm.피해범위보정치, INDEX(Factor!$AN$5:$AV$51, _xlfn.XMATCH(IF(OR($G36="blast", $G36="curved",  $G36= "debuff"), $L36, 0), Factor!$AN$5:$AN$51, -1), _xlpm.추가_색인번호)-IF(AND(OR($G36="blast", $G36="curved", $G36= "debuff"), MOD($L36,1)&lt;&gt;0),INDEX(Factor!$AN$5:$AV$51, _xlfn.XMATCH(IF(OR($G36="blast", $G36="curved", $G36= "debuff"), $L36, 0), Factor!$AN$5:$AN$51, -1), 2)*MOD($L36,1)*10,0),
_xlpm.상태이상보정치, VLOOKUP(IF($G36 = "debuff", $M36, "null"), Factor!$AX$5:$BE$51, _xlpm.기본_색인번호, 0),
_xlpm.지속시간보정치, INDEX(Factor!$BG$5:$BO$51, _xlfn.XMATCH(IF(OR($G36 ="debuff", $G36 = "shot", $G36 = "pierce"), $O36, 0), Factor!$BG$5:$BG$51, -1), _xlpm.추가_색인번호)-IF(AND(OR($G36 ="debuff", $G36 = "shot", $G36 = "pierce"), MOD($O36, 1)&lt;&gt;0), 10*MOD($O36, 1)*INDEX(Factor!$BG$5:$BO$51, _xlfn.XMATCH(IF(OR($G36 ="debuff", $G36 = "shot", $G36 = "pierce"), $O36, 0), Factor!$BG$5:$BG$51, -1), 2), 0),
_xlpm.탄환개수보정치, VLOOKUP(IF(OR($G36 = "curved", $G36 = "shot"), $Q36, 1), Factor!$BQ$5:$BX$51, _xlpm.기본_색인번호, 0),
_xlpm.상태이상탄환생성위치보정치, IF($G36 = "debuff", VLOOKUP($R36, Factor!$K$18:$R$19, _xlpm.기본_색인번호, 0),1),
_xlpm.상태이상탄환형태보정치, IF($G36 = "debuff", VLOOKUP($S36, Factor!$K$24:$R$25, _xlpm.기본_색인번호, 0),1),
_xlpm.가격보정치, INDEX(Factor!$AE$5:$AL$51, _xlfn.XMATCH($F36,Factor!$AE$5:$AE$51, -1), _xlpm.기본_색인번호),
_xlpm.구경보정치, VLOOKUP($D36,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36" s="29" t="e" cm="1">
        <f t="array" ref="AB36">_xlfn.LET(_xlpm.기본_색인번호, 3,
_xlpm.추가_색인번호, 4,
_xlpm.개별보정치, U36,
_xlpm.패턴보정치, VLOOKUP($G36, Factor!$B$5:$I$51, _xlpm.기본_색인번호, 0),
_xlpm.소모탄환보정치, VLOOKUP($H36, Factor!$T$5:$AA$51, _xlpm.기본_색인번호, 0),
_xlpm.지형보정치, VLOOKUP($I36, Factor!$K$12:$R$13, _xlpm.기본_색인번호, 0),
_xlpm.공격속성보정치, VLOOKUP($J36, Factor!$K$5:$R$7, _xlpm.기본_색인번호, 0),
_xlpm.피해범위보정치, INDEX(Factor!$AN$5:$AV$51, _xlfn.XMATCH(IF(OR($G36="blast", $G36="curved",  $G36= "debuff"), $L36, 0), Factor!$AN$5:$AN$51, -1), _xlpm.추가_색인번호)-IF(AND(OR($G36="blast", $G36="curved", $G36= "debuff"), MOD($L36,1)&lt;&gt;0),INDEX(Factor!$AN$5:$AV$51, _xlfn.XMATCH(IF(OR($G36="blast", $G36="curved", $G36= "debuff"), $L36, 0), Factor!$AN$5:$AN$51, -1), 2)*MOD($L36,1)*10,0),
_xlpm.상태이상보정치, VLOOKUP(IF($G36 = "debuff", $M36, "null"), Factor!$AX$5:$BE$51, _xlpm.기본_색인번호, 0),
_xlpm.지속시간보정치, INDEX(Factor!$BG$5:$BO$51, _xlfn.XMATCH(IF(OR($G36 ="debuff", $G36 = "shot", $G36 = "pierce"), $O36, 0), Factor!$BG$5:$BG$51, -1), _xlpm.추가_색인번호)-IF(AND(OR($G36 ="debuff", $G36 = "shot", $G36 = "pierce"), MOD($O36, 1)&lt;&gt;0), 10*MOD($O36, 1)*INDEX(Factor!$BG$5:$BO$51, _xlfn.XMATCH(IF(OR($G36 ="debuff", $G36 = "shot", $G36 = "pierce"), $O36, 0), Factor!$BG$5:$BG$51, -1), 2), 0),
_xlpm.탄환개수보정치, VLOOKUP(IF(OR($G36 = "curved", $G36 = "shot"), $Q36, 1), Factor!$BQ$5:$BX$51, _xlpm.기본_색인번호, 0),
_xlpm.상태이상탄환생성위치보정치, IF($G36 = "debuff", VLOOKUP($R36, Factor!$K$18:$R$19, _xlpm.기본_색인번호, 0),1),
_xlpm.상태이상탄환형태보정치, IF($G36 = "debuff", VLOOKUP($S36, Factor!$K$24:$R$25, _xlpm.기본_색인번호, 0),1),
_xlpm.가격보정치, INDEX(Factor!$AE$5:$AL$51, _xlfn.XMATCH($F36,Factor!$AE$5:$AE$51, -1), _xlpm.기본_색인번호),
_xlpm.구경보정치, VLOOKUP($D36,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36" s="29" t="e" cm="1">
        <f t="array" ref="AC36">_xlfn.LET(_xlpm.기본_색인번호, 4,
_xlpm.추가_색인번호, 5,
_xlpm.개별보정치, V36,
_xlpm.패턴보정치, VLOOKUP($G36, Factor!$B$5:$I$51, _xlpm.기본_색인번호, 0),
_xlpm.소모탄환보정치, VLOOKUP($H36, Factor!$T$5:$AA$51, _xlpm.기본_색인번호, 0),
_xlpm.지형보정치, VLOOKUP($I36, Factor!$K$12:$R$13, _xlpm.기본_색인번호, 0),
_xlpm.공격속성보정치, VLOOKUP($J36, Factor!$K$5:$R$7, _xlpm.기본_색인번호, 0),
_xlpm.피해범위보정치, INDEX(Factor!$AN$5:$AV$51, _xlfn.XMATCH(IF(OR($G36="blast", $G36="curved",  $G36= "debuff"), $L36, 0), Factor!$AN$5:$AN$51, -1), _xlpm.추가_색인번호)-IF(AND(OR($G36="blast", $G36="curved", $G36= "debuff"), MOD($L36,1)&lt;&gt;0),INDEX(Factor!$AN$5:$AV$51, _xlfn.XMATCH(IF(OR($G36="blast", $G36="curved", $G36= "debuff"), $L36, 0), Factor!$AN$5:$AN$51, -1), 2)*MOD($L36,1)*10,0),
_xlpm.상태이상보정치, VLOOKUP(IF($G36 = "debuff", $M36, "null"), Factor!$AX$5:$BE$51, _xlpm.기본_색인번호, 0),
_xlpm.지속시간보정치, INDEX(Factor!$BG$5:$BO$51, _xlfn.XMATCH(IF(OR($G36 ="debuff", $G36 = "shot", $G36 = "pierce"), $O36, 0), Factor!$BG$5:$BG$51, -1), _xlpm.추가_색인번호)-IF(AND(OR($G36 ="debuff", $G36 = "shot", $G36 = "pierce"), MOD($O36, 1)&lt;&gt;0), 10*MOD($O36, 1)*INDEX(Factor!$BG$5:$BO$51, _xlfn.XMATCH(IF(OR($G36 ="debuff", $G36 = "shot", $G36 = "pierce"), $O36, 0), Factor!$BG$5:$BG$51, -1), 2), 0),
_xlpm.탄환개수보정치, VLOOKUP(IF(OR($G36 = "curved", $G36 = "shot"), $Q36, 1), Factor!$BQ$5:$BX$51, _xlpm.기본_색인번호, 0),
_xlpm.상태이상탄환생성위치보정치, IF($G36 = "debuff", VLOOKUP($R36, Factor!$K$18:$R$19, _xlpm.기본_색인번호, 0),1),
_xlpm.상태이상탄환형태보정치, IF($G36 = "debuff", VLOOKUP($S36, Factor!$K$24:$R$25, _xlpm.기본_색인번호, 0),1),
_xlpm.가격보정치, INDEX(Factor!$AE$5:$AL$51, _xlfn.XMATCH($F36,Factor!$AE$5:$AE$51, -1), _xlpm.기본_색인번호),
_xlpm.구경보정치, VLOOKUP($D36,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36" s="29" t="e" cm="1">
        <f t="array" ref="AD36">_xlfn.LET(_xlpm.기본_색인번호, 5,
_xlpm.추가_색인번호, 6,
_xlpm.개별보정치, W36,
_xlpm.패턴보정치, VLOOKUP($G36, Factor!$B$5:$I$51, _xlpm.기본_색인번호, 0),
_xlpm.소모탄환보정치, VLOOKUP($H36, Factor!$T$5:$AA$51, _xlpm.기본_색인번호, 0),
_xlpm.지형보정치, VLOOKUP($I36, Factor!$K$12:$R$13, _xlpm.기본_색인번호, 0),
_xlpm.공격속성보정치, VLOOKUP($J36, Factor!$K$5:$R$7, _xlpm.기본_색인번호, 0),
_xlpm.피해범위보정치, INDEX(Factor!$AN$5:$AV$51, _xlfn.XMATCH(IF(OR($G36="blast", $G36="curved",  $G36= "debuff"), $L36, 0), Factor!$AN$5:$AN$51, -1), _xlpm.추가_색인번호)-IF(AND(OR($G36="blast", $G36="curved", $G36= "debuff"), MOD($L36,1)&lt;&gt;0),INDEX(Factor!$AN$5:$AV$51, _xlfn.XMATCH(IF(OR($G36="blast", $G36="curved", $G36= "debuff"), $L36, 0), Factor!$AN$5:$AN$51, -1), 2)*MOD($L36,1)*10,0),
_xlpm.상태이상보정치, VLOOKUP(IF($G36 = "debuff", $M36, "null"), Factor!$AX$5:$BE$51, _xlpm.기본_색인번호, 0),
_xlpm.지속시간보정치, INDEX(Factor!$BG$5:$BO$51, _xlfn.XMATCH(IF(OR($G36 ="debuff", $G36 = "shot", $G36 = "pierce"), $O36, 0), Factor!$BG$5:$BG$51, -1), _xlpm.추가_색인번호)-IF(AND(OR($G36 ="debuff", $G36 = "shot", $G36 = "pierce"), MOD($O36, 1)&lt;&gt;0), 10*MOD($O36, 1)*INDEX(Factor!$BG$5:$BO$51, _xlfn.XMATCH(IF(OR($G36 ="debuff", $G36 = "shot", $G36 = "pierce"), $O36, 0), Factor!$BG$5:$BG$51, -1), 2), 0),
_xlpm.탄환개수보정치, VLOOKUP(IF(OR($G36 = "curved", $G36 = "shot"), $Q36, 1), Factor!$BQ$5:$BX$51, _xlpm.기본_색인번호, 0),
_xlpm.상태이상탄환생성위치보정치, IF($G36 = "debuff", VLOOKUP($R36, Factor!$K$18:$R$19, _xlpm.기본_색인번호, 0),1),
_xlpm.상태이상탄환형태보정치, IF($G36 = "debuff", VLOOKUP($S36, Factor!$K$24:$R$25, _xlpm.기본_색인번호, 0),1),
_xlpm.가격보정치, INDEX(Factor!$AE$5:$AL$51, _xlfn.XMATCH($F36,Factor!$AE$5:$AE$51, -1), _xlpm.기본_색인번호),
_xlpm.구경보정치, VLOOKUP($D36,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36" s="29" t="e" cm="1">
        <f t="array" ref="AE36">_xlfn.LET(_xlpm.기본_색인번호, 6,
_xlpm.추가_색인번호, 7,
_xlpm.개별보정치, X36,
_xlpm.패턴보정치, VLOOKUP($G36, Factor!$B$5:$I$51, _xlpm.기본_색인번호, 0),
_xlpm.소모탄환보정치, VLOOKUP($H36, Factor!$T$5:$AA$51, _xlpm.기본_색인번호, 0),
_xlpm.지형보정치, VLOOKUP($I36, Factor!$K$12:$R$13, _xlpm.기본_색인번호, 0),
_xlpm.공격속성보정치, VLOOKUP($J36, Factor!$K$5:$R$7, _xlpm.기본_색인번호, 0),
_xlpm.피해범위보정치, INDEX(Factor!$AN$5:$AV$51, _xlfn.XMATCH(IF(OR($G36="blast", $G36="curved",  $G36= "debuff"), $L36, 0), Factor!$AN$5:$AN$51, -1), _xlpm.추가_색인번호)-IF(AND(OR($G36="blast", $G36="curved", $G36= "debuff"), MOD($L36,1)&lt;&gt;0),INDEX(Factor!$AN$5:$AV$51, _xlfn.XMATCH(IF(OR($G36="blast", $G36="curved", $G36= "debuff"), $L36, 0), Factor!$AN$5:$AN$51, -1), 2)*MOD($L36,1)*10,0),
_xlpm.상태이상보정치, VLOOKUP(IF($G36 = "debuff", $M36, "null"), Factor!$AX$5:$BE$51, _xlpm.기본_색인번호, 0),
_xlpm.지속시간보정치, INDEX(Factor!$BG$5:$BO$51, _xlfn.XMATCH(IF(OR($G36 ="debuff", $G36 = "shot", $G36 = "pierce"), $O36, 0), Factor!$BG$5:$BG$51, -1), _xlpm.추가_색인번호)-IF(AND(OR($G36 ="debuff", $G36 = "shot", $G36 = "pierce"), MOD($O36, 1)&lt;&gt;0), 10*MOD($O36, 1)*INDEX(Factor!$BG$5:$BO$51, _xlfn.XMATCH(IF(OR($G36 ="debuff", $G36 = "shot", $G36 = "pierce"), $O36, 0), Factor!$BG$5:$BG$51, -1), 2), 0),
_xlpm.탄환개수보정치, VLOOKUP(IF(OR($G36 = "curved", $G36 = "shot"), $Q36, 1), Factor!$BQ$5:$BX$51, _xlpm.기본_색인번호, 0),
_xlpm.상태이상탄환생성위치보정치, IF($G36 = "debuff", VLOOKUP($R36, Factor!$K$18:$R$19, _xlpm.기본_색인번호, 0),1),
_xlpm.상태이상탄환형태보정치, IF($G36 = "debuff", VLOOKUP($S36, Factor!$K$24:$R$25, _xlpm.기본_색인번호, 0),1),
_xlpm.가격보정치, INDEX(Factor!$AE$5:$AL$51, _xlfn.XMATCH($F36,Factor!$AE$5:$AE$51, -1), _xlpm.기본_색인번호),
_xlpm.구경보정치, VLOOKUP($D36,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36" s="29" t="e" cm="1">
        <f t="array" ref="AF36">_xlfn.LET(_xlpm.기본_색인번호, 7,
_xlpm.추가_색인번호, 8,
_xlpm.개별보정치, Y36,
_xlpm.패턴보정치, VLOOKUP($G36, Factor!$B$5:$I$51, _xlpm.기본_색인번호, 0),
_xlpm.소모탄환보정치, VLOOKUP($H36, Factor!$T$5:$AA$51, _xlpm.기본_색인번호, 0),
_xlpm.지형보정치, VLOOKUP($I36, Factor!$K$12:$R$13, _xlpm.기본_색인번호, 0),
_xlpm.공격속성보정치, VLOOKUP($J36, Factor!$K$5:$R$7, _xlpm.기본_색인번호, 0),
_xlpm.피해범위보정치, INDEX(Factor!$AN$5:$AV$51, _xlfn.XMATCH(IF(OR($G36="blast", $G36="curved",  $G36= "debuff"), $L36, 0), Factor!$AN$5:$AN$51, -1), _xlpm.추가_색인번호)-IF(AND(OR($G36="blast", $G36="curved", $G36= "debuff"), MOD($L36,1)&lt;&gt;0),INDEX(Factor!$AN$5:$AV$51, _xlfn.XMATCH(IF(OR($G36="blast", $G36="curved", $G36= "debuff"), $L36, 0), Factor!$AN$5:$AN$51, -1), 2)*MOD($L36,1)*10,0),
_xlpm.상태이상보정치, VLOOKUP(IF($G36 = "debuff", $M36, "null"), Factor!$AX$5:$BE$51, _xlpm.기본_색인번호, 0),
_xlpm.지속시간보정치, INDEX(Factor!$BG$5:$BO$51, _xlfn.XMATCH(IF(OR($G36 ="debuff", $G36 = "shot", $G36 = "pierce"), $O36, 0), Factor!$BG$5:$BG$51, -1), _xlpm.추가_색인번호)-IF(AND(OR($G36 ="debuff", $G36 = "shot", $G36 = "pierce"), MOD($O36, 1)&lt;&gt;0), 10*MOD($O36, 1)*INDEX(Factor!$BG$5:$BO$51, _xlfn.XMATCH(IF(OR($G36 ="debuff", $G36 = "shot", $G36 = "pierce"), $O36, 0), Factor!$BG$5:$BG$51, -1), 2), 0),
_xlpm.탄환개수보정치, VLOOKUP(IF(OR($G36 = "curved", $G36 = "shot"), $Q36, 1), Factor!$BQ$5:$BX$51, _xlpm.기본_색인번호, 0),
_xlpm.상태이상탄환생성위치보정치, IF($G36 = "debuff", VLOOKUP($R36, Factor!$K$18:$R$19, _xlpm.기본_색인번호, 0),1),
_xlpm.상태이상탄환형태보정치, IF($G36 = "debuff", VLOOKUP($S36, Factor!$K$24:$R$25, _xlpm.기본_색인번호, 0),1),
_xlpm.가격보정치, INDEX(Factor!$AE$5:$AL$51, _xlfn.XMATCH($F36,Factor!$AE$5:$AE$51, -1), _xlpm.기본_색인번호),
_xlpm.구경보정치, VLOOKUP($D36,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36" s="30" t="e" cm="1">
        <f t="array" ref="AG36">_xlfn.LET(_xlpm.기본_색인번호, 8,
_xlpm.추가_색인번호, 9,
_xlpm.개별보정치, Z36,
_xlpm.패턴보정치, VLOOKUP($G36, Factor!$B$5:$I$51, _xlpm.기본_색인번호, 0),
_xlpm.소모탄환보정치, VLOOKUP($H36, Factor!$T$5:$AA$51, _xlpm.기본_색인번호, 0),
_xlpm.지형보정치, VLOOKUP($I36, Factor!$K$12:$R$13, _xlpm.기본_색인번호, 0),
_xlpm.공격속성보정치, VLOOKUP($J36, Factor!$K$5:$R$7, _xlpm.기본_색인번호, 0),
_xlpm.피해범위보정치, INDEX(Factor!$AN$5:$AV$51, _xlfn.XMATCH(IF(OR($G36="blast", $G36="curved",  $G36= "debuff"), $L36, 0), Factor!$AN$5:$AN$51, -1), _xlpm.추가_색인번호)-IF(AND(OR($G36="blast", $G36="curved", $G36= "debuff"), MOD($L36,1)&lt;&gt;0),INDEX(Factor!$AN$5:$AV$51, _xlfn.XMATCH(IF(OR($G36="blast", $G36="curved", $G36= "debuff"), $L36, 0), Factor!$AN$5:$AN$51, -1), 2)*MOD($L36,1)*10,0),
_xlpm.상태이상보정치, VLOOKUP(IF($G36 = "debuff", $M36, "null"), Factor!$AX$5:$BE$51, _xlpm.기본_색인번호, 0),
_xlpm.지속시간보정치, INDEX(Factor!$BG$5:$BO$51, _xlfn.XMATCH(IF(OR($G36 ="debuff", $G36 = "shot", $G36 = "pierce"), $O36, 0), Factor!$BG$5:$BG$51, -1), _xlpm.추가_색인번호)-IF(AND(OR($G36 ="debuff", $G36 = "shot", $G36 = "pierce"), MOD($O36, 1)&lt;&gt;0), 10*MOD($O36, 1)*INDEX(Factor!$BG$5:$BO$51, _xlfn.XMATCH(IF(OR($G36 ="debuff", $G36 = "shot", $G36 = "pierce"), $O36, 0), Factor!$BG$5:$BG$51, -1), 2), 0),
_xlpm.탄환개수보정치, VLOOKUP(IF(OR($G36 = "curved", $G36 = "shot"), $Q36, 1), Factor!$BQ$5:$BX$51, _xlpm.기본_색인번호, 0),
_xlpm.상태이상탄환생성위치보정치, IF($G36 = "debuff", VLOOKUP($R36, Factor!$K$18:$R$19, _xlpm.기본_색인번호, 0),1),
_xlpm.상태이상탄환형태보정치, IF($G36 = "debuff", VLOOKUP($S36, Factor!$K$24:$R$25, _xlpm.기본_색인번호, 0),1),
_xlpm.가격보정치, INDEX(Factor!$AE$5:$AL$51, _xlfn.XMATCH($F36,Factor!$AE$5:$AE$51, -1), _xlpm.기본_색인번호),
_xlpm.구경보정치, VLOOKUP($D36,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36"/>
      <c r="AI36"/>
      <c r="AJ36"/>
      <c r="AK36"/>
      <c r="AL36"/>
      <c r="AM36"/>
      <c r="AN36"/>
    </row>
    <row r="37" spans="1:40" ht="15.75" customHeight="1">
      <c r="A37" s="24" t="e">
        <f>"weapon_"&amp;G37&amp;"_"&amp;VLOOKUP(H37, Factor!$T$5:$AB$7, 9, 0)&amp;"_"&amp;IF(COUNTIFS($G$4:G36, G37, $H$4:H36, H37)+1&gt;=100, COUNTIFS($G$4:G36, G37, $H$4:H36, H37)+1,IF(COUNTIFS($G$4:G36, G37, $H$4:H36, H37)+1&gt;=10, "0"&amp;COUNTIFS($G$4:G36, G37, $H$4:H36, H37)+1, "00"&amp;COUNTIFS($G$4:G36, G37, $H$4:H36, H37)+1))</f>
        <v>#N/A</v>
      </c>
      <c r="B37" s="36" t="str">
        <f t="shared" si="0"/>
        <v xml:space="preserve"> </v>
      </c>
      <c r="C37" s="36"/>
      <c r="D37" s="36"/>
      <c r="E37" s="36"/>
      <c r="F37" s="25" t="e">
        <f>VLOOKUP(C37, Factor!$AD$5:$AE$15, 2, 0)</f>
        <v>#N/A</v>
      </c>
      <c r="G37" s="26" t="e">
        <f>VLOOKUP(E37, Factor!$CL$5:$CV$50, 2, 0)</f>
        <v>#N/A</v>
      </c>
      <c r="H37" s="25" t="e">
        <f>VLOOKUP(E37, Factor!$CL$5:$CV$50, 3, 0)</f>
        <v>#N/A</v>
      </c>
      <c r="I37" s="25" t="e">
        <f>VLOOKUP(E37, Factor!$CL$5:$CV$50, 4, 0)</f>
        <v>#N/A</v>
      </c>
      <c r="J37" s="25" t="e">
        <f>VLOOKUP(E37, Factor!$CL$5:$CV$50, 5, 0)</f>
        <v>#N/A</v>
      </c>
      <c r="K37" s="25">
        <v>1</v>
      </c>
      <c r="L37" s="25" t="e">
        <f>VLOOKUP(E37, Factor!$CL$5:$CV$50, 6, 0)*K37*VLOOKUP(D37, Factor!$BZ$5:$CJ$49, 9, 0)</f>
        <v>#N/A</v>
      </c>
      <c r="M37" s="25" t="e">
        <f>VLOOKUP(E37, Factor!$CL$5:$CV$50, 7, 0)</f>
        <v>#N/A</v>
      </c>
      <c r="N37" s="25">
        <v>1</v>
      </c>
      <c r="O37" s="25" t="e">
        <f>VLOOKUP(E37, Factor!$CL$5:$CV$50, 8, 0)*N37*VLOOKUP(D37, Factor!$BZ$5:$CJ$49, 10, 0)</f>
        <v>#N/A</v>
      </c>
      <c r="P37" s="25">
        <v>1</v>
      </c>
      <c r="Q37" s="25" t="e">
        <f>VLOOKUP(E37, Factor!$CL$5:$CV$50, 9, 0)*P37*VLOOKUP(D37, Factor!$BZ$5:$CJ$49, 11, 0)</f>
        <v>#N/A</v>
      </c>
      <c r="R37" s="25" t="e">
        <f>VLOOKUP(E37, Factor!$CL$5:$CV$50, 10, 0)</f>
        <v>#N/A</v>
      </c>
      <c r="S37" s="25" t="e">
        <f>VLOOKUP(E37, Factor!$CL$5:$CV$50, 11, 0)</f>
        <v>#N/A</v>
      </c>
      <c r="T37" s="25">
        <v>1</v>
      </c>
      <c r="U37" s="25">
        <v>1</v>
      </c>
      <c r="V37" s="25">
        <v>1</v>
      </c>
      <c r="W37" s="25">
        <v>1</v>
      </c>
      <c r="X37" s="25">
        <v>1</v>
      </c>
      <c r="Y37" s="25">
        <v>1</v>
      </c>
      <c r="Z37" s="25">
        <v>1</v>
      </c>
      <c r="AA37" s="25" t="e" cm="1">
        <f t="array" ref="AA37">_xlfn.LET(_xlpm.기본_색인번호, 2,
_xlpm.추가_색인번호, 3,
_xlpm.개별보정치, T37,
_xlpm.패턴보정치, VLOOKUP($G37, Factor!$B$5:$I$51, _xlpm.기본_색인번호, 0),
_xlpm.소모탄환보정치, VLOOKUP($H37, Factor!$T$5:$AA$51, _xlpm.기본_색인번호, 0),
_xlpm.지형보정치, VLOOKUP($I37, Factor!$K$12:$R$13, _xlpm.기본_색인번호, 0),
_xlpm.공격속성보정치, VLOOKUP($J37, Factor!$K$5:$R$7, _xlpm.기본_색인번호, 0),
_xlpm.피해범위보정치, INDEX(Factor!$AN$5:$AV$51, _xlfn.XMATCH(IF(OR($G37="blast", $G37="curved",  $G37= "debuff"), $L37, 0), Factor!$AN$5:$AN$51, -1), _xlpm.추가_색인번호)-IF(AND(OR($G37="blast", $G37="curved", $G37= "debuff"), MOD($L37,1)&lt;&gt;0),INDEX(Factor!$AN$5:$AV$51, _xlfn.XMATCH(IF(OR($G37="blast", $G37="curved", $G37= "debuff"), $L37, 0), Factor!$AN$5:$AN$51, -1), 2)*MOD($L37,1)*10,0),
_xlpm.상태이상보정치, VLOOKUP(IF($G37 = "debuff", $M37, "null"), Factor!$AX$5:$BE$51, _xlpm.기본_색인번호, 0),
_xlpm.지속시간보정치, INDEX(Factor!$BG$5:$BO$51, _xlfn.XMATCH(IF(OR($G37 ="debuff", $G37 = "shot", $G37 = "pierce"), $O37, 0), Factor!$BG$5:$BG$51, -1), _xlpm.추가_색인번호)-IF(AND(OR($G37 ="debuff", $G37 = "shot", $G37 = "pierce"), MOD($O37, 1)&lt;&gt;0), 10*MOD($O37, 1)*INDEX(Factor!$BG$5:$BO$51, _xlfn.XMATCH(IF(OR($G37 ="debuff", $G37 = "shot", $G37 = "pierce"), $O37, 0), Factor!$BG$5:$BG$51, -1), 2), 0),
_xlpm.탄환개수보정치, VLOOKUP(IF(OR($G37 = "curved", $G37 = "shot"), $Q37, 1), Factor!$BQ$5:$BX$51, _xlpm.기본_색인번호, 0),
_xlpm.상태이상탄환생성위치보정치, IF($G37 = "debuff", VLOOKUP($R37, Factor!$K$18:$R$19, _xlpm.기본_색인번호, 0),1),
_xlpm.상태이상탄환형태보정치, IF($G37 = "debuff", VLOOKUP($S37, Factor!$K$24:$R$25, _xlpm.기본_색인번호, 0),1),
_xlpm.가격보정치, INDEX(Factor!$AE$5:$AL$51, _xlfn.XMATCH($F37,Factor!$AE$5:$AE$51, -1), _xlpm.기본_색인번호),
_xlpm.구경보정치, VLOOKUP($D37,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37" s="25" t="e" cm="1">
        <f t="array" ref="AB37">_xlfn.LET(_xlpm.기본_색인번호, 3,
_xlpm.추가_색인번호, 4,
_xlpm.개별보정치, U37,
_xlpm.패턴보정치, VLOOKUP($G37, Factor!$B$5:$I$51, _xlpm.기본_색인번호, 0),
_xlpm.소모탄환보정치, VLOOKUP($H37, Factor!$T$5:$AA$51, _xlpm.기본_색인번호, 0),
_xlpm.지형보정치, VLOOKUP($I37, Factor!$K$12:$R$13, _xlpm.기본_색인번호, 0),
_xlpm.공격속성보정치, VLOOKUP($J37, Factor!$K$5:$R$7, _xlpm.기본_색인번호, 0),
_xlpm.피해범위보정치, INDEX(Factor!$AN$5:$AV$51, _xlfn.XMATCH(IF(OR($G37="blast", $G37="curved",  $G37= "debuff"), $L37, 0), Factor!$AN$5:$AN$51, -1), _xlpm.추가_색인번호)-IF(AND(OR($G37="blast", $G37="curved", $G37= "debuff"), MOD($L37,1)&lt;&gt;0),INDEX(Factor!$AN$5:$AV$51, _xlfn.XMATCH(IF(OR($G37="blast", $G37="curved", $G37= "debuff"), $L37, 0), Factor!$AN$5:$AN$51, -1), 2)*MOD($L37,1)*10,0),
_xlpm.상태이상보정치, VLOOKUP(IF($G37 = "debuff", $M37, "null"), Factor!$AX$5:$BE$51, _xlpm.기본_색인번호, 0),
_xlpm.지속시간보정치, INDEX(Factor!$BG$5:$BO$51, _xlfn.XMATCH(IF(OR($G37 ="debuff", $G37 = "shot", $G37 = "pierce"), $O37, 0), Factor!$BG$5:$BG$51, -1), _xlpm.추가_색인번호)-IF(AND(OR($G37 ="debuff", $G37 = "shot", $G37 = "pierce"), MOD($O37, 1)&lt;&gt;0), 10*MOD($O37, 1)*INDEX(Factor!$BG$5:$BO$51, _xlfn.XMATCH(IF(OR($G37 ="debuff", $G37 = "shot", $G37 = "pierce"), $O37, 0), Factor!$BG$5:$BG$51, -1), 2), 0),
_xlpm.탄환개수보정치, VLOOKUP(IF(OR($G37 = "curved", $G37 = "shot"), $Q37, 1), Factor!$BQ$5:$BX$51, _xlpm.기본_색인번호, 0),
_xlpm.상태이상탄환생성위치보정치, IF($G37 = "debuff", VLOOKUP($R37, Factor!$K$18:$R$19, _xlpm.기본_색인번호, 0),1),
_xlpm.상태이상탄환형태보정치, IF($G37 = "debuff", VLOOKUP($S37, Factor!$K$24:$R$25, _xlpm.기본_색인번호, 0),1),
_xlpm.가격보정치, INDEX(Factor!$AE$5:$AL$51, _xlfn.XMATCH($F37,Factor!$AE$5:$AE$51, -1), _xlpm.기본_색인번호),
_xlpm.구경보정치, VLOOKUP($D37,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37" s="25" t="e" cm="1">
        <f t="array" ref="AC37">_xlfn.LET(_xlpm.기본_색인번호, 4,
_xlpm.추가_색인번호, 5,
_xlpm.개별보정치, V37,
_xlpm.패턴보정치, VLOOKUP($G37, Factor!$B$5:$I$51, _xlpm.기본_색인번호, 0),
_xlpm.소모탄환보정치, VLOOKUP($H37, Factor!$T$5:$AA$51, _xlpm.기본_색인번호, 0),
_xlpm.지형보정치, VLOOKUP($I37, Factor!$K$12:$R$13, _xlpm.기본_색인번호, 0),
_xlpm.공격속성보정치, VLOOKUP($J37, Factor!$K$5:$R$7, _xlpm.기본_색인번호, 0),
_xlpm.피해범위보정치, INDEX(Factor!$AN$5:$AV$51, _xlfn.XMATCH(IF(OR($G37="blast", $G37="curved",  $G37= "debuff"), $L37, 0), Factor!$AN$5:$AN$51, -1), _xlpm.추가_색인번호)-IF(AND(OR($G37="blast", $G37="curved", $G37= "debuff"), MOD($L37,1)&lt;&gt;0),INDEX(Factor!$AN$5:$AV$51, _xlfn.XMATCH(IF(OR($G37="blast", $G37="curved", $G37= "debuff"), $L37, 0), Factor!$AN$5:$AN$51, -1), 2)*MOD($L37,1)*10,0),
_xlpm.상태이상보정치, VLOOKUP(IF($G37 = "debuff", $M37, "null"), Factor!$AX$5:$BE$51, _xlpm.기본_색인번호, 0),
_xlpm.지속시간보정치, INDEX(Factor!$BG$5:$BO$51, _xlfn.XMATCH(IF(OR($G37 ="debuff", $G37 = "shot", $G37 = "pierce"), $O37, 0), Factor!$BG$5:$BG$51, -1), _xlpm.추가_색인번호)-IF(AND(OR($G37 ="debuff", $G37 = "shot", $G37 = "pierce"), MOD($O37, 1)&lt;&gt;0), 10*MOD($O37, 1)*INDEX(Factor!$BG$5:$BO$51, _xlfn.XMATCH(IF(OR($G37 ="debuff", $G37 = "shot", $G37 = "pierce"), $O37, 0), Factor!$BG$5:$BG$51, -1), 2), 0),
_xlpm.탄환개수보정치, VLOOKUP(IF(OR($G37 = "curved", $G37 = "shot"), $Q37, 1), Factor!$BQ$5:$BX$51, _xlpm.기본_색인번호, 0),
_xlpm.상태이상탄환생성위치보정치, IF($G37 = "debuff", VLOOKUP($R37, Factor!$K$18:$R$19, _xlpm.기본_색인번호, 0),1),
_xlpm.상태이상탄환형태보정치, IF($G37 = "debuff", VLOOKUP($S37, Factor!$K$24:$R$25, _xlpm.기본_색인번호, 0),1),
_xlpm.가격보정치, INDEX(Factor!$AE$5:$AL$51, _xlfn.XMATCH($F37,Factor!$AE$5:$AE$51, -1), _xlpm.기본_색인번호),
_xlpm.구경보정치, VLOOKUP($D37,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37" s="25" t="e" cm="1">
        <f t="array" ref="AD37">_xlfn.LET(_xlpm.기본_색인번호, 5,
_xlpm.추가_색인번호, 6,
_xlpm.개별보정치, W37,
_xlpm.패턴보정치, VLOOKUP($G37, Factor!$B$5:$I$51, _xlpm.기본_색인번호, 0),
_xlpm.소모탄환보정치, VLOOKUP($H37, Factor!$T$5:$AA$51, _xlpm.기본_색인번호, 0),
_xlpm.지형보정치, VLOOKUP($I37, Factor!$K$12:$R$13, _xlpm.기본_색인번호, 0),
_xlpm.공격속성보정치, VLOOKUP($J37, Factor!$K$5:$R$7, _xlpm.기본_색인번호, 0),
_xlpm.피해범위보정치, INDEX(Factor!$AN$5:$AV$51, _xlfn.XMATCH(IF(OR($G37="blast", $G37="curved",  $G37= "debuff"), $L37, 0), Factor!$AN$5:$AN$51, -1), _xlpm.추가_색인번호)-IF(AND(OR($G37="blast", $G37="curved", $G37= "debuff"), MOD($L37,1)&lt;&gt;0),INDEX(Factor!$AN$5:$AV$51, _xlfn.XMATCH(IF(OR($G37="blast", $G37="curved", $G37= "debuff"), $L37, 0), Factor!$AN$5:$AN$51, -1), 2)*MOD($L37,1)*10,0),
_xlpm.상태이상보정치, VLOOKUP(IF($G37 = "debuff", $M37, "null"), Factor!$AX$5:$BE$51, _xlpm.기본_색인번호, 0),
_xlpm.지속시간보정치, INDEX(Factor!$BG$5:$BO$51, _xlfn.XMATCH(IF(OR($G37 ="debuff", $G37 = "shot", $G37 = "pierce"), $O37, 0), Factor!$BG$5:$BG$51, -1), _xlpm.추가_색인번호)-IF(AND(OR($G37 ="debuff", $G37 = "shot", $G37 = "pierce"), MOD($O37, 1)&lt;&gt;0), 10*MOD($O37, 1)*INDEX(Factor!$BG$5:$BO$51, _xlfn.XMATCH(IF(OR($G37 ="debuff", $G37 = "shot", $G37 = "pierce"), $O37, 0), Factor!$BG$5:$BG$51, -1), 2), 0),
_xlpm.탄환개수보정치, VLOOKUP(IF(OR($G37 = "curved", $G37 = "shot"), $Q37, 1), Factor!$BQ$5:$BX$51, _xlpm.기본_색인번호, 0),
_xlpm.상태이상탄환생성위치보정치, IF($G37 = "debuff", VLOOKUP($R37, Factor!$K$18:$R$19, _xlpm.기본_색인번호, 0),1),
_xlpm.상태이상탄환형태보정치, IF($G37 = "debuff", VLOOKUP($S37, Factor!$K$24:$R$25, _xlpm.기본_색인번호, 0),1),
_xlpm.가격보정치, INDEX(Factor!$AE$5:$AL$51, _xlfn.XMATCH($F37,Factor!$AE$5:$AE$51, -1), _xlpm.기본_색인번호),
_xlpm.구경보정치, VLOOKUP($D37,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37" s="25" t="e" cm="1">
        <f t="array" ref="AE37">_xlfn.LET(_xlpm.기본_색인번호, 6,
_xlpm.추가_색인번호, 7,
_xlpm.개별보정치, X37,
_xlpm.패턴보정치, VLOOKUP($G37, Factor!$B$5:$I$51, _xlpm.기본_색인번호, 0),
_xlpm.소모탄환보정치, VLOOKUP($H37, Factor!$T$5:$AA$51, _xlpm.기본_색인번호, 0),
_xlpm.지형보정치, VLOOKUP($I37, Factor!$K$12:$R$13, _xlpm.기본_색인번호, 0),
_xlpm.공격속성보정치, VLOOKUP($J37, Factor!$K$5:$R$7, _xlpm.기본_색인번호, 0),
_xlpm.피해범위보정치, INDEX(Factor!$AN$5:$AV$51, _xlfn.XMATCH(IF(OR($G37="blast", $G37="curved",  $G37= "debuff"), $L37, 0), Factor!$AN$5:$AN$51, -1), _xlpm.추가_색인번호)-IF(AND(OR($G37="blast", $G37="curved", $G37= "debuff"), MOD($L37,1)&lt;&gt;0),INDEX(Factor!$AN$5:$AV$51, _xlfn.XMATCH(IF(OR($G37="blast", $G37="curved", $G37= "debuff"), $L37, 0), Factor!$AN$5:$AN$51, -1), 2)*MOD($L37,1)*10,0),
_xlpm.상태이상보정치, VLOOKUP(IF($G37 = "debuff", $M37, "null"), Factor!$AX$5:$BE$51, _xlpm.기본_색인번호, 0),
_xlpm.지속시간보정치, INDEX(Factor!$BG$5:$BO$51, _xlfn.XMATCH(IF(OR($G37 ="debuff", $G37 = "shot", $G37 = "pierce"), $O37, 0), Factor!$BG$5:$BG$51, -1), _xlpm.추가_색인번호)-IF(AND(OR($G37 ="debuff", $G37 = "shot", $G37 = "pierce"), MOD($O37, 1)&lt;&gt;0), 10*MOD($O37, 1)*INDEX(Factor!$BG$5:$BO$51, _xlfn.XMATCH(IF(OR($G37 ="debuff", $G37 = "shot", $G37 = "pierce"), $O37, 0), Factor!$BG$5:$BG$51, -1), 2), 0),
_xlpm.탄환개수보정치, VLOOKUP(IF(OR($G37 = "curved", $G37 = "shot"), $Q37, 1), Factor!$BQ$5:$BX$51, _xlpm.기본_색인번호, 0),
_xlpm.상태이상탄환생성위치보정치, IF($G37 = "debuff", VLOOKUP($R37, Factor!$K$18:$R$19, _xlpm.기본_색인번호, 0),1),
_xlpm.상태이상탄환형태보정치, IF($G37 = "debuff", VLOOKUP($S37, Factor!$K$24:$R$25, _xlpm.기본_색인번호, 0),1),
_xlpm.가격보정치, INDEX(Factor!$AE$5:$AL$51, _xlfn.XMATCH($F37,Factor!$AE$5:$AE$51, -1), _xlpm.기본_색인번호),
_xlpm.구경보정치, VLOOKUP($D37,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37" s="25" t="e" cm="1">
        <f t="array" ref="AF37">_xlfn.LET(_xlpm.기본_색인번호, 7,
_xlpm.추가_색인번호, 8,
_xlpm.개별보정치, Y37,
_xlpm.패턴보정치, VLOOKUP($G37, Factor!$B$5:$I$51, _xlpm.기본_색인번호, 0),
_xlpm.소모탄환보정치, VLOOKUP($H37, Factor!$T$5:$AA$51, _xlpm.기본_색인번호, 0),
_xlpm.지형보정치, VLOOKUP($I37, Factor!$K$12:$R$13, _xlpm.기본_색인번호, 0),
_xlpm.공격속성보정치, VLOOKUP($J37, Factor!$K$5:$R$7, _xlpm.기본_색인번호, 0),
_xlpm.피해범위보정치, INDEX(Factor!$AN$5:$AV$51, _xlfn.XMATCH(IF(OR($G37="blast", $G37="curved",  $G37= "debuff"), $L37, 0), Factor!$AN$5:$AN$51, -1), _xlpm.추가_색인번호)-IF(AND(OR($G37="blast", $G37="curved", $G37= "debuff"), MOD($L37,1)&lt;&gt;0),INDEX(Factor!$AN$5:$AV$51, _xlfn.XMATCH(IF(OR($G37="blast", $G37="curved", $G37= "debuff"), $L37, 0), Factor!$AN$5:$AN$51, -1), 2)*MOD($L37,1)*10,0),
_xlpm.상태이상보정치, VLOOKUP(IF($G37 = "debuff", $M37, "null"), Factor!$AX$5:$BE$51, _xlpm.기본_색인번호, 0),
_xlpm.지속시간보정치, INDEX(Factor!$BG$5:$BO$51, _xlfn.XMATCH(IF(OR($G37 ="debuff", $G37 = "shot", $G37 = "pierce"), $O37, 0), Factor!$BG$5:$BG$51, -1), _xlpm.추가_색인번호)-IF(AND(OR($G37 ="debuff", $G37 = "shot", $G37 = "pierce"), MOD($O37, 1)&lt;&gt;0), 10*MOD($O37, 1)*INDEX(Factor!$BG$5:$BO$51, _xlfn.XMATCH(IF(OR($G37 ="debuff", $G37 = "shot", $G37 = "pierce"), $O37, 0), Factor!$BG$5:$BG$51, -1), 2), 0),
_xlpm.탄환개수보정치, VLOOKUP(IF(OR($G37 = "curved", $G37 = "shot"), $Q37, 1), Factor!$BQ$5:$BX$51, _xlpm.기본_색인번호, 0),
_xlpm.상태이상탄환생성위치보정치, IF($G37 = "debuff", VLOOKUP($R37, Factor!$K$18:$R$19, _xlpm.기본_색인번호, 0),1),
_xlpm.상태이상탄환형태보정치, IF($G37 = "debuff", VLOOKUP($S37, Factor!$K$24:$R$25, _xlpm.기본_색인번호, 0),1),
_xlpm.가격보정치, INDEX(Factor!$AE$5:$AL$51, _xlfn.XMATCH($F37,Factor!$AE$5:$AE$51, -1), _xlpm.기본_색인번호),
_xlpm.구경보정치, VLOOKUP($D37,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37" s="27" t="e" cm="1">
        <f t="array" ref="AG37">_xlfn.LET(_xlpm.기본_색인번호, 8,
_xlpm.추가_색인번호, 9,
_xlpm.개별보정치, Z37,
_xlpm.패턴보정치, VLOOKUP($G37, Factor!$B$5:$I$51, _xlpm.기본_색인번호, 0),
_xlpm.소모탄환보정치, VLOOKUP($H37, Factor!$T$5:$AA$51, _xlpm.기본_색인번호, 0),
_xlpm.지형보정치, VLOOKUP($I37, Factor!$K$12:$R$13, _xlpm.기본_색인번호, 0),
_xlpm.공격속성보정치, VLOOKUP($J37, Factor!$K$5:$R$7, _xlpm.기본_색인번호, 0),
_xlpm.피해범위보정치, INDEX(Factor!$AN$5:$AV$51, _xlfn.XMATCH(IF(OR($G37="blast", $G37="curved",  $G37= "debuff"), $L37, 0), Factor!$AN$5:$AN$51, -1), _xlpm.추가_색인번호)-IF(AND(OR($G37="blast", $G37="curved", $G37= "debuff"), MOD($L37,1)&lt;&gt;0),INDEX(Factor!$AN$5:$AV$51, _xlfn.XMATCH(IF(OR($G37="blast", $G37="curved", $G37= "debuff"), $L37, 0), Factor!$AN$5:$AN$51, -1), 2)*MOD($L37,1)*10,0),
_xlpm.상태이상보정치, VLOOKUP(IF($G37 = "debuff", $M37, "null"), Factor!$AX$5:$BE$51, _xlpm.기본_색인번호, 0),
_xlpm.지속시간보정치, INDEX(Factor!$BG$5:$BO$51, _xlfn.XMATCH(IF(OR($G37 ="debuff", $G37 = "shot", $G37 = "pierce"), $O37, 0), Factor!$BG$5:$BG$51, -1), _xlpm.추가_색인번호)-IF(AND(OR($G37 ="debuff", $G37 = "shot", $G37 = "pierce"), MOD($O37, 1)&lt;&gt;0), 10*MOD($O37, 1)*INDEX(Factor!$BG$5:$BO$51, _xlfn.XMATCH(IF(OR($G37 ="debuff", $G37 = "shot", $G37 = "pierce"), $O37, 0), Factor!$BG$5:$BG$51, -1), 2), 0),
_xlpm.탄환개수보정치, VLOOKUP(IF(OR($G37 = "curved", $G37 = "shot"), $Q37, 1), Factor!$BQ$5:$BX$51, _xlpm.기본_색인번호, 0),
_xlpm.상태이상탄환생성위치보정치, IF($G37 = "debuff", VLOOKUP($R37, Factor!$K$18:$R$19, _xlpm.기본_색인번호, 0),1),
_xlpm.상태이상탄환형태보정치, IF($G37 = "debuff", VLOOKUP($S37, Factor!$K$24:$R$25, _xlpm.기본_색인번호, 0),1),
_xlpm.가격보정치, INDEX(Factor!$AE$5:$AL$51, _xlfn.XMATCH($F37,Factor!$AE$5:$AE$51, -1), _xlpm.기본_색인번호),
_xlpm.구경보정치, VLOOKUP($D37,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37"/>
      <c r="AI37"/>
      <c r="AJ37"/>
      <c r="AK37"/>
      <c r="AL37"/>
      <c r="AM37"/>
      <c r="AN37"/>
    </row>
    <row r="38" spans="1:40" ht="15.75" customHeight="1">
      <c r="A38" s="28" t="e">
        <f>"weapon_"&amp;G38&amp;"_"&amp;VLOOKUP(H38, Factor!$T$5:$AB$7, 9, 0)&amp;"_"&amp;IF(COUNTIFS($G$4:G37, G38, $H$4:H37, H38)+1&gt;=100, COUNTIFS($G$4:G37, G38, $H$4:H37, H38)+1,IF(COUNTIFS($G$4:G37, G38, $H$4:H37, H38)+1&gt;=10, "0"&amp;COUNTIFS($G$4:G37, G38, $H$4:H37, H38)+1, "00"&amp;COUNTIFS($G$4:G37, G38, $H$4:H37, H38)+1))</f>
        <v>#N/A</v>
      </c>
      <c r="B38" s="37" t="str">
        <f t="shared" si="0"/>
        <v xml:space="preserve"> </v>
      </c>
      <c r="C38" s="37"/>
      <c r="D38" s="37"/>
      <c r="E38" s="37"/>
      <c r="F38" s="29" t="e">
        <f>VLOOKUP(C38, Factor!$AD$5:$AE$15, 2, 0)</f>
        <v>#N/A</v>
      </c>
      <c r="G38" s="29" t="e">
        <f>VLOOKUP(E38, Factor!$CL$5:$CV$50, 2, 0)</f>
        <v>#N/A</v>
      </c>
      <c r="H38" s="29" t="e">
        <f>VLOOKUP(E38, Factor!$CL$5:$CV$50, 3, 0)</f>
        <v>#N/A</v>
      </c>
      <c r="I38" s="29" t="e">
        <f>VLOOKUP(E38, Factor!$CL$5:$CV$50, 4, 0)</f>
        <v>#N/A</v>
      </c>
      <c r="J38" s="29" t="e">
        <f>VLOOKUP(E38, Factor!$CL$5:$CV$50, 5, 0)</f>
        <v>#N/A</v>
      </c>
      <c r="K38" s="29">
        <v>1</v>
      </c>
      <c r="L38" s="29" t="e">
        <f>VLOOKUP(E38, Factor!$CL$5:$CV$50, 6, 0)*K38*VLOOKUP(D38, Factor!$BZ$5:$CJ$49, 9, 0)</f>
        <v>#N/A</v>
      </c>
      <c r="M38" s="29" t="e">
        <f>VLOOKUP(E38, Factor!$CL$5:$CV$50, 7, 0)</f>
        <v>#N/A</v>
      </c>
      <c r="N38" s="29">
        <v>1</v>
      </c>
      <c r="O38" s="29" t="e">
        <f>VLOOKUP(E38, Factor!$CL$5:$CV$50, 8, 0)*N38*VLOOKUP(D38, Factor!$BZ$5:$CJ$49, 10, 0)</f>
        <v>#N/A</v>
      </c>
      <c r="P38" s="29">
        <v>1</v>
      </c>
      <c r="Q38" s="29" t="e">
        <f>VLOOKUP(E38, Factor!$CL$5:$CV$50, 9, 0)*P38*VLOOKUP(D38, Factor!$BZ$5:$CJ$49, 11, 0)</f>
        <v>#N/A</v>
      </c>
      <c r="R38" s="29" t="e">
        <f>VLOOKUP(E38, Factor!$CL$5:$CV$50, 10, 0)</f>
        <v>#N/A</v>
      </c>
      <c r="S38" s="29" t="e">
        <f>VLOOKUP(E38, Factor!$CL$5:$CV$50, 11, 0)</f>
        <v>#N/A</v>
      </c>
      <c r="T38" s="29">
        <v>1</v>
      </c>
      <c r="U38" s="29">
        <v>1</v>
      </c>
      <c r="V38" s="29">
        <v>1</v>
      </c>
      <c r="W38" s="29">
        <v>1</v>
      </c>
      <c r="X38" s="29">
        <v>1</v>
      </c>
      <c r="Y38" s="29">
        <v>1</v>
      </c>
      <c r="Z38" s="29">
        <v>1</v>
      </c>
      <c r="AA38" s="29" t="e" cm="1">
        <f t="array" ref="AA38">_xlfn.LET(_xlpm.기본_색인번호, 2,
_xlpm.추가_색인번호, 3,
_xlpm.개별보정치, T38,
_xlpm.패턴보정치, VLOOKUP($G38, Factor!$B$5:$I$51, _xlpm.기본_색인번호, 0),
_xlpm.소모탄환보정치, VLOOKUP($H38, Factor!$T$5:$AA$51, _xlpm.기본_색인번호, 0),
_xlpm.지형보정치, VLOOKUP($I38, Factor!$K$12:$R$13, _xlpm.기본_색인번호, 0),
_xlpm.공격속성보정치, VLOOKUP($J38, Factor!$K$5:$R$7, _xlpm.기본_색인번호, 0),
_xlpm.피해범위보정치, INDEX(Factor!$AN$5:$AV$51, _xlfn.XMATCH(IF(OR($G38="blast", $G38="curved",  $G38= "debuff"), $L38, 0), Factor!$AN$5:$AN$51, -1), _xlpm.추가_색인번호)-IF(AND(OR($G38="blast", $G38="curved", $G38= "debuff"), MOD($L38,1)&lt;&gt;0),INDEX(Factor!$AN$5:$AV$51, _xlfn.XMATCH(IF(OR($G38="blast", $G38="curved", $G38= "debuff"), $L38, 0), Factor!$AN$5:$AN$51, -1), 2)*MOD($L38,1)*10,0),
_xlpm.상태이상보정치, VLOOKUP(IF($G38 = "debuff", $M38, "null"), Factor!$AX$5:$BE$51, _xlpm.기본_색인번호, 0),
_xlpm.지속시간보정치, INDEX(Factor!$BG$5:$BO$51, _xlfn.XMATCH(IF(OR($G38 ="debuff", $G38 = "shot", $G38 = "pierce"), $O38, 0), Factor!$BG$5:$BG$51, -1), _xlpm.추가_색인번호)-IF(AND(OR($G38 ="debuff", $G38 = "shot", $G38 = "pierce"), MOD($O38, 1)&lt;&gt;0), 10*MOD($O38, 1)*INDEX(Factor!$BG$5:$BO$51, _xlfn.XMATCH(IF(OR($G38 ="debuff", $G38 = "shot", $G38 = "pierce"), $O38, 0), Factor!$BG$5:$BG$51, -1), 2), 0),
_xlpm.탄환개수보정치, VLOOKUP(IF(OR($G38 = "curved", $G38 = "shot"), $Q38, 1), Factor!$BQ$5:$BX$51, _xlpm.기본_색인번호, 0),
_xlpm.상태이상탄환생성위치보정치, IF($G38 = "debuff", VLOOKUP($R38, Factor!$K$18:$R$19, _xlpm.기본_색인번호, 0),1),
_xlpm.상태이상탄환형태보정치, IF($G38 = "debuff", VLOOKUP($S38, Factor!$K$24:$R$25, _xlpm.기본_색인번호, 0),1),
_xlpm.가격보정치, INDEX(Factor!$AE$5:$AL$51, _xlfn.XMATCH($F38,Factor!$AE$5:$AE$51, -1), _xlpm.기본_색인번호),
_xlpm.구경보정치, VLOOKUP($D38,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38" s="29" t="e" cm="1">
        <f t="array" ref="AB38">_xlfn.LET(_xlpm.기본_색인번호, 3,
_xlpm.추가_색인번호, 4,
_xlpm.개별보정치, U38,
_xlpm.패턴보정치, VLOOKUP($G38, Factor!$B$5:$I$51, _xlpm.기본_색인번호, 0),
_xlpm.소모탄환보정치, VLOOKUP($H38, Factor!$T$5:$AA$51, _xlpm.기본_색인번호, 0),
_xlpm.지형보정치, VLOOKUP($I38, Factor!$K$12:$R$13, _xlpm.기본_색인번호, 0),
_xlpm.공격속성보정치, VLOOKUP($J38, Factor!$K$5:$R$7, _xlpm.기본_색인번호, 0),
_xlpm.피해범위보정치, INDEX(Factor!$AN$5:$AV$51, _xlfn.XMATCH(IF(OR($G38="blast", $G38="curved",  $G38= "debuff"), $L38, 0), Factor!$AN$5:$AN$51, -1), _xlpm.추가_색인번호)-IF(AND(OR($G38="blast", $G38="curved", $G38= "debuff"), MOD($L38,1)&lt;&gt;0),INDEX(Factor!$AN$5:$AV$51, _xlfn.XMATCH(IF(OR($G38="blast", $G38="curved", $G38= "debuff"), $L38, 0), Factor!$AN$5:$AN$51, -1), 2)*MOD($L38,1)*10,0),
_xlpm.상태이상보정치, VLOOKUP(IF($G38 = "debuff", $M38, "null"), Factor!$AX$5:$BE$51, _xlpm.기본_색인번호, 0),
_xlpm.지속시간보정치, INDEX(Factor!$BG$5:$BO$51, _xlfn.XMATCH(IF(OR($G38 ="debuff", $G38 = "shot", $G38 = "pierce"), $O38, 0), Factor!$BG$5:$BG$51, -1), _xlpm.추가_색인번호)-IF(AND(OR($G38 ="debuff", $G38 = "shot", $G38 = "pierce"), MOD($O38, 1)&lt;&gt;0), 10*MOD($O38, 1)*INDEX(Factor!$BG$5:$BO$51, _xlfn.XMATCH(IF(OR($G38 ="debuff", $G38 = "shot", $G38 = "pierce"), $O38, 0), Factor!$BG$5:$BG$51, -1), 2), 0),
_xlpm.탄환개수보정치, VLOOKUP(IF(OR($G38 = "curved", $G38 = "shot"), $Q38, 1), Factor!$BQ$5:$BX$51, _xlpm.기본_색인번호, 0),
_xlpm.상태이상탄환생성위치보정치, IF($G38 = "debuff", VLOOKUP($R38, Factor!$K$18:$R$19, _xlpm.기본_색인번호, 0),1),
_xlpm.상태이상탄환형태보정치, IF($G38 = "debuff", VLOOKUP($S38, Factor!$K$24:$R$25, _xlpm.기본_색인번호, 0),1),
_xlpm.가격보정치, INDEX(Factor!$AE$5:$AL$51, _xlfn.XMATCH($F38,Factor!$AE$5:$AE$51, -1), _xlpm.기본_색인번호),
_xlpm.구경보정치, VLOOKUP($D38,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38" s="29" t="e" cm="1">
        <f t="array" ref="AC38">_xlfn.LET(_xlpm.기본_색인번호, 4,
_xlpm.추가_색인번호, 5,
_xlpm.개별보정치, V38,
_xlpm.패턴보정치, VLOOKUP($G38, Factor!$B$5:$I$51, _xlpm.기본_색인번호, 0),
_xlpm.소모탄환보정치, VLOOKUP($H38, Factor!$T$5:$AA$51, _xlpm.기본_색인번호, 0),
_xlpm.지형보정치, VLOOKUP($I38, Factor!$K$12:$R$13, _xlpm.기본_색인번호, 0),
_xlpm.공격속성보정치, VLOOKUP($J38, Factor!$K$5:$R$7, _xlpm.기본_색인번호, 0),
_xlpm.피해범위보정치, INDEX(Factor!$AN$5:$AV$51, _xlfn.XMATCH(IF(OR($G38="blast", $G38="curved",  $G38= "debuff"), $L38, 0), Factor!$AN$5:$AN$51, -1), _xlpm.추가_색인번호)-IF(AND(OR($G38="blast", $G38="curved", $G38= "debuff"), MOD($L38,1)&lt;&gt;0),INDEX(Factor!$AN$5:$AV$51, _xlfn.XMATCH(IF(OR($G38="blast", $G38="curved", $G38= "debuff"), $L38, 0), Factor!$AN$5:$AN$51, -1), 2)*MOD($L38,1)*10,0),
_xlpm.상태이상보정치, VLOOKUP(IF($G38 = "debuff", $M38, "null"), Factor!$AX$5:$BE$51, _xlpm.기본_색인번호, 0),
_xlpm.지속시간보정치, INDEX(Factor!$BG$5:$BO$51, _xlfn.XMATCH(IF(OR($G38 ="debuff", $G38 = "shot", $G38 = "pierce"), $O38, 0), Factor!$BG$5:$BG$51, -1), _xlpm.추가_색인번호)-IF(AND(OR($G38 ="debuff", $G38 = "shot", $G38 = "pierce"), MOD($O38, 1)&lt;&gt;0), 10*MOD($O38, 1)*INDEX(Factor!$BG$5:$BO$51, _xlfn.XMATCH(IF(OR($G38 ="debuff", $G38 = "shot", $G38 = "pierce"), $O38, 0), Factor!$BG$5:$BG$51, -1), 2), 0),
_xlpm.탄환개수보정치, VLOOKUP(IF(OR($G38 = "curved", $G38 = "shot"), $Q38, 1), Factor!$BQ$5:$BX$51, _xlpm.기본_색인번호, 0),
_xlpm.상태이상탄환생성위치보정치, IF($G38 = "debuff", VLOOKUP($R38, Factor!$K$18:$R$19, _xlpm.기본_색인번호, 0),1),
_xlpm.상태이상탄환형태보정치, IF($G38 = "debuff", VLOOKUP($S38, Factor!$K$24:$R$25, _xlpm.기본_색인번호, 0),1),
_xlpm.가격보정치, INDEX(Factor!$AE$5:$AL$51, _xlfn.XMATCH($F38,Factor!$AE$5:$AE$51, -1), _xlpm.기본_색인번호),
_xlpm.구경보정치, VLOOKUP($D38,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38" s="29" t="e" cm="1">
        <f t="array" ref="AD38">_xlfn.LET(_xlpm.기본_색인번호, 5,
_xlpm.추가_색인번호, 6,
_xlpm.개별보정치, W38,
_xlpm.패턴보정치, VLOOKUP($G38, Factor!$B$5:$I$51, _xlpm.기본_색인번호, 0),
_xlpm.소모탄환보정치, VLOOKUP($H38, Factor!$T$5:$AA$51, _xlpm.기본_색인번호, 0),
_xlpm.지형보정치, VLOOKUP($I38, Factor!$K$12:$R$13, _xlpm.기본_색인번호, 0),
_xlpm.공격속성보정치, VLOOKUP($J38, Factor!$K$5:$R$7, _xlpm.기본_색인번호, 0),
_xlpm.피해범위보정치, INDEX(Factor!$AN$5:$AV$51, _xlfn.XMATCH(IF(OR($G38="blast", $G38="curved",  $G38= "debuff"), $L38, 0), Factor!$AN$5:$AN$51, -1), _xlpm.추가_색인번호)-IF(AND(OR($G38="blast", $G38="curved", $G38= "debuff"), MOD($L38,1)&lt;&gt;0),INDEX(Factor!$AN$5:$AV$51, _xlfn.XMATCH(IF(OR($G38="blast", $G38="curved", $G38= "debuff"), $L38, 0), Factor!$AN$5:$AN$51, -1), 2)*MOD($L38,1)*10,0),
_xlpm.상태이상보정치, VLOOKUP(IF($G38 = "debuff", $M38, "null"), Factor!$AX$5:$BE$51, _xlpm.기본_색인번호, 0),
_xlpm.지속시간보정치, INDEX(Factor!$BG$5:$BO$51, _xlfn.XMATCH(IF(OR($G38 ="debuff", $G38 = "shot", $G38 = "pierce"), $O38, 0), Factor!$BG$5:$BG$51, -1), _xlpm.추가_색인번호)-IF(AND(OR($G38 ="debuff", $G38 = "shot", $G38 = "pierce"), MOD($O38, 1)&lt;&gt;0), 10*MOD($O38, 1)*INDEX(Factor!$BG$5:$BO$51, _xlfn.XMATCH(IF(OR($G38 ="debuff", $G38 = "shot", $G38 = "pierce"), $O38, 0), Factor!$BG$5:$BG$51, -1), 2), 0),
_xlpm.탄환개수보정치, VLOOKUP(IF(OR($G38 = "curved", $G38 = "shot"), $Q38, 1), Factor!$BQ$5:$BX$51, _xlpm.기본_색인번호, 0),
_xlpm.상태이상탄환생성위치보정치, IF($G38 = "debuff", VLOOKUP($R38, Factor!$K$18:$R$19, _xlpm.기본_색인번호, 0),1),
_xlpm.상태이상탄환형태보정치, IF($G38 = "debuff", VLOOKUP($S38, Factor!$K$24:$R$25, _xlpm.기본_색인번호, 0),1),
_xlpm.가격보정치, INDEX(Factor!$AE$5:$AL$51, _xlfn.XMATCH($F38,Factor!$AE$5:$AE$51, -1), _xlpm.기본_색인번호),
_xlpm.구경보정치, VLOOKUP($D38,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38" s="29" t="e" cm="1">
        <f t="array" ref="AE38">_xlfn.LET(_xlpm.기본_색인번호, 6,
_xlpm.추가_색인번호, 7,
_xlpm.개별보정치, X38,
_xlpm.패턴보정치, VLOOKUP($G38, Factor!$B$5:$I$51, _xlpm.기본_색인번호, 0),
_xlpm.소모탄환보정치, VLOOKUP($H38, Factor!$T$5:$AA$51, _xlpm.기본_색인번호, 0),
_xlpm.지형보정치, VLOOKUP($I38, Factor!$K$12:$R$13, _xlpm.기본_색인번호, 0),
_xlpm.공격속성보정치, VLOOKUP($J38, Factor!$K$5:$R$7, _xlpm.기본_색인번호, 0),
_xlpm.피해범위보정치, INDEX(Factor!$AN$5:$AV$51, _xlfn.XMATCH(IF(OR($G38="blast", $G38="curved",  $G38= "debuff"), $L38, 0), Factor!$AN$5:$AN$51, -1), _xlpm.추가_색인번호)-IF(AND(OR($G38="blast", $G38="curved", $G38= "debuff"), MOD($L38,1)&lt;&gt;0),INDEX(Factor!$AN$5:$AV$51, _xlfn.XMATCH(IF(OR($G38="blast", $G38="curved", $G38= "debuff"), $L38, 0), Factor!$AN$5:$AN$51, -1), 2)*MOD($L38,1)*10,0),
_xlpm.상태이상보정치, VLOOKUP(IF($G38 = "debuff", $M38, "null"), Factor!$AX$5:$BE$51, _xlpm.기본_색인번호, 0),
_xlpm.지속시간보정치, INDEX(Factor!$BG$5:$BO$51, _xlfn.XMATCH(IF(OR($G38 ="debuff", $G38 = "shot", $G38 = "pierce"), $O38, 0), Factor!$BG$5:$BG$51, -1), _xlpm.추가_색인번호)-IF(AND(OR($G38 ="debuff", $G38 = "shot", $G38 = "pierce"), MOD($O38, 1)&lt;&gt;0), 10*MOD($O38, 1)*INDEX(Factor!$BG$5:$BO$51, _xlfn.XMATCH(IF(OR($G38 ="debuff", $G38 = "shot", $G38 = "pierce"), $O38, 0), Factor!$BG$5:$BG$51, -1), 2), 0),
_xlpm.탄환개수보정치, VLOOKUP(IF(OR($G38 = "curved", $G38 = "shot"), $Q38, 1), Factor!$BQ$5:$BX$51, _xlpm.기본_색인번호, 0),
_xlpm.상태이상탄환생성위치보정치, IF($G38 = "debuff", VLOOKUP($R38, Factor!$K$18:$R$19, _xlpm.기본_색인번호, 0),1),
_xlpm.상태이상탄환형태보정치, IF($G38 = "debuff", VLOOKUP($S38, Factor!$K$24:$R$25, _xlpm.기본_색인번호, 0),1),
_xlpm.가격보정치, INDEX(Factor!$AE$5:$AL$51, _xlfn.XMATCH($F38,Factor!$AE$5:$AE$51, -1), _xlpm.기본_색인번호),
_xlpm.구경보정치, VLOOKUP($D38,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38" s="29" t="e" cm="1">
        <f t="array" ref="AF38">_xlfn.LET(_xlpm.기본_색인번호, 7,
_xlpm.추가_색인번호, 8,
_xlpm.개별보정치, Y38,
_xlpm.패턴보정치, VLOOKUP($G38, Factor!$B$5:$I$51, _xlpm.기본_색인번호, 0),
_xlpm.소모탄환보정치, VLOOKUP($H38, Factor!$T$5:$AA$51, _xlpm.기본_색인번호, 0),
_xlpm.지형보정치, VLOOKUP($I38, Factor!$K$12:$R$13, _xlpm.기본_색인번호, 0),
_xlpm.공격속성보정치, VLOOKUP($J38, Factor!$K$5:$R$7, _xlpm.기본_색인번호, 0),
_xlpm.피해범위보정치, INDEX(Factor!$AN$5:$AV$51, _xlfn.XMATCH(IF(OR($G38="blast", $G38="curved",  $G38= "debuff"), $L38, 0), Factor!$AN$5:$AN$51, -1), _xlpm.추가_색인번호)-IF(AND(OR($G38="blast", $G38="curved", $G38= "debuff"), MOD($L38,1)&lt;&gt;0),INDEX(Factor!$AN$5:$AV$51, _xlfn.XMATCH(IF(OR($G38="blast", $G38="curved", $G38= "debuff"), $L38, 0), Factor!$AN$5:$AN$51, -1), 2)*MOD($L38,1)*10,0),
_xlpm.상태이상보정치, VLOOKUP(IF($G38 = "debuff", $M38, "null"), Factor!$AX$5:$BE$51, _xlpm.기본_색인번호, 0),
_xlpm.지속시간보정치, INDEX(Factor!$BG$5:$BO$51, _xlfn.XMATCH(IF(OR($G38 ="debuff", $G38 = "shot", $G38 = "pierce"), $O38, 0), Factor!$BG$5:$BG$51, -1), _xlpm.추가_색인번호)-IF(AND(OR($G38 ="debuff", $G38 = "shot", $G38 = "pierce"), MOD($O38, 1)&lt;&gt;0), 10*MOD($O38, 1)*INDEX(Factor!$BG$5:$BO$51, _xlfn.XMATCH(IF(OR($G38 ="debuff", $G38 = "shot", $G38 = "pierce"), $O38, 0), Factor!$BG$5:$BG$51, -1), 2), 0),
_xlpm.탄환개수보정치, VLOOKUP(IF(OR($G38 = "curved", $G38 = "shot"), $Q38, 1), Factor!$BQ$5:$BX$51, _xlpm.기본_색인번호, 0),
_xlpm.상태이상탄환생성위치보정치, IF($G38 = "debuff", VLOOKUP($R38, Factor!$K$18:$R$19, _xlpm.기본_색인번호, 0),1),
_xlpm.상태이상탄환형태보정치, IF($G38 = "debuff", VLOOKUP($S38, Factor!$K$24:$R$25, _xlpm.기본_색인번호, 0),1),
_xlpm.가격보정치, INDEX(Factor!$AE$5:$AL$51, _xlfn.XMATCH($F38,Factor!$AE$5:$AE$51, -1), _xlpm.기본_색인번호),
_xlpm.구경보정치, VLOOKUP($D38,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38" s="30" t="e" cm="1">
        <f t="array" ref="AG38">_xlfn.LET(_xlpm.기본_색인번호, 8,
_xlpm.추가_색인번호, 9,
_xlpm.개별보정치, Z38,
_xlpm.패턴보정치, VLOOKUP($G38, Factor!$B$5:$I$51, _xlpm.기본_색인번호, 0),
_xlpm.소모탄환보정치, VLOOKUP($H38, Factor!$T$5:$AA$51, _xlpm.기본_색인번호, 0),
_xlpm.지형보정치, VLOOKUP($I38, Factor!$K$12:$R$13, _xlpm.기본_색인번호, 0),
_xlpm.공격속성보정치, VLOOKUP($J38, Factor!$K$5:$R$7, _xlpm.기본_색인번호, 0),
_xlpm.피해범위보정치, INDEX(Factor!$AN$5:$AV$51, _xlfn.XMATCH(IF(OR($G38="blast", $G38="curved",  $G38= "debuff"), $L38, 0), Factor!$AN$5:$AN$51, -1), _xlpm.추가_색인번호)-IF(AND(OR($G38="blast", $G38="curved", $G38= "debuff"), MOD($L38,1)&lt;&gt;0),INDEX(Factor!$AN$5:$AV$51, _xlfn.XMATCH(IF(OR($G38="blast", $G38="curved", $G38= "debuff"), $L38, 0), Factor!$AN$5:$AN$51, -1), 2)*MOD($L38,1)*10,0),
_xlpm.상태이상보정치, VLOOKUP(IF($G38 = "debuff", $M38, "null"), Factor!$AX$5:$BE$51, _xlpm.기본_색인번호, 0),
_xlpm.지속시간보정치, INDEX(Factor!$BG$5:$BO$51, _xlfn.XMATCH(IF(OR($G38 ="debuff", $G38 = "shot", $G38 = "pierce"), $O38, 0), Factor!$BG$5:$BG$51, -1), _xlpm.추가_색인번호)-IF(AND(OR($G38 ="debuff", $G38 = "shot", $G38 = "pierce"), MOD($O38, 1)&lt;&gt;0), 10*MOD($O38, 1)*INDEX(Factor!$BG$5:$BO$51, _xlfn.XMATCH(IF(OR($G38 ="debuff", $G38 = "shot", $G38 = "pierce"), $O38, 0), Factor!$BG$5:$BG$51, -1), 2), 0),
_xlpm.탄환개수보정치, VLOOKUP(IF(OR($G38 = "curved", $G38 = "shot"), $Q38, 1), Factor!$BQ$5:$BX$51, _xlpm.기본_색인번호, 0),
_xlpm.상태이상탄환생성위치보정치, IF($G38 = "debuff", VLOOKUP($R38, Factor!$K$18:$R$19, _xlpm.기본_색인번호, 0),1),
_xlpm.상태이상탄환형태보정치, IF($G38 = "debuff", VLOOKUP($S38, Factor!$K$24:$R$25, _xlpm.기본_색인번호, 0),1),
_xlpm.가격보정치, INDEX(Factor!$AE$5:$AL$51, _xlfn.XMATCH($F38,Factor!$AE$5:$AE$51, -1), _xlpm.기본_색인번호),
_xlpm.구경보정치, VLOOKUP($D38,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38"/>
      <c r="AI38"/>
      <c r="AJ38"/>
      <c r="AK38"/>
      <c r="AL38"/>
      <c r="AM38"/>
      <c r="AN38"/>
    </row>
    <row r="39" spans="1:40" ht="15.75" customHeight="1">
      <c r="A39" s="24" t="e">
        <f>"weapon_"&amp;G39&amp;"_"&amp;VLOOKUP(H39, Factor!$T$5:$AB$7, 9, 0)&amp;"_"&amp;IF(COUNTIFS($G$4:G38, G39, $H$4:H38, H39)+1&gt;=100, COUNTIFS($G$4:G38, G39, $H$4:H38, H39)+1,IF(COUNTIFS($G$4:G38, G39, $H$4:H38, H39)+1&gt;=10, "0"&amp;COUNTIFS($G$4:G38, G39, $H$4:H38, H39)+1, "00"&amp;COUNTIFS($G$4:G38, G39, $H$4:H38, H39)+1))</f>
        <v>#N/A</v>
      </c>
      <c r="B39" s="36" t="str">
        <f t="shared" si="0"/>
        <v xml:space="preserve"> </v>
      </c>
      <c r="C39" s="36"/>
      <c r="D39" s="36"/>
      <c r="E39" s="36"/>
      <c r="F39" s="25" t="e">
        <f>VLOOKUP(C39, Factor!$AD$5:$AE$15, 2, 0)</f>
        <v>#N/A</v>
      </c>
      <c r="G39" s="26" t="e">
        <f>VLOOKUP(E39, Factor!$CL$5:$CV$50, 2, 0)</f>
        <v>#N/A</v>
      </c>
      <c r="H39" s="25" t="e">
        <f>VLOOKUP(E39, Factor!$CL$5:$CV$50, 3, 0)</f>
        <v>#N/A</v>
      </c>
      <c r="I39" s="25" t="e">
        <f>VLOOKUP(E39, Factor!$CL$5:$CV$50, 4, 0)</f>
        <v>#N/A</v>
      </c>
      <c r="J39" s="25" t="e">
        <f>VLOOKUP(E39, Factor!$CL$5:$CV$50, 5, 0)</f>
        <v>#N/A</v>
      </c>
      <c r="K39" s="25">
        <v>1</v>
      </c>
      <c r="L39" s="25" t="e">
        <f>VLOOKUP(E39, Factor!$CL$5:$CV$50, 6, 0)*K39*VLOOKUP(D39, Factor!$BZ$5:$CJ$49, 9, 0)</f>
        <v>#N/A</v>
      </c>
      <c r="M39" s="25" t="e">
        <f>VLOOKUP(E39, Factor!$CL$5:$CV$50, 7, 0)</f>
        <v>#N/A</v>
      </c>
      <c r="N39" s="25">
        <v>1</v>
      </c>
      <c r="O39" s="25" t="e">
        <f>VLOOKUP(E39, Factor!$CL$5:$CV$50, 8, 0)*N39*VLOOKUP(D39, Factor!$BZ$5:$CJ$49, 10, 0)</f>
        <v>#N/A</v>
      </c>
      <c r="P39" s="25">
        <v>1</v>
      </c>
      <c r="Q39" s="25" t="e">
        <f>VLOOKUP(E39, Factor!$CL$5:$CV$50, 9, 0)*P39*VLOOKUP(D39, Factor!$BZ$5:$CJ$49, 11, 0)</f>
        <v>#N/A</v>
      </c>
      <c r="R39" s="25" t="e">
        <f>VLOOKUP(E39, Factor!$CL$5:$CV$50, 10, 0)</f>
        <v>#N/A</v>
      </c>
      <c r="S39" s="25" t="e">
        <f>VLOOKUP(E39, Factor!$CL$5:$CV$50, 11, 0)</f>
        <v>#N/A</v>
      </c>
      <c r="T39" s="25">
        <v>1</v>
      </c>
      <c r="U39" s="25">
        <v>1</v>
      </c>
      <c r="V39" s="25">
        <v>1</v>
      </c>
      <c r="W39" s="25">
        <v>1</v>
      </c>
      <c r="X39" s="25">
        <v>1</v>
      </c>
      <c r="Y39" s="25">
        <v>1</v>
      </c>
      <c r="Z39" s="25">
        <v>1</v>
      </c>
      <c r="AA39" s="25" t="e" cm="1">
        <f t="array" ref="AA39">_xlfn.LET(_xlpm.기본_색인번호, 2,
_xlpm.추가_색인번호, 3,
_xlpm.개별보정치, T39,
_xlpm.패턴보정치, VLOOKUP($G39, Factor!$B$5:$I$51, _xlpm.기본_색인번호, 0),
_xlpm.소모탄환보정치, VLOOKUP($H39, Factor!$T$5:$AA$51, _xlpm.기본_색인번호, 0),
_xlpm.지형보정치, VLOOKUP($I39, Factor!$K$12:$R$13, _xlpm.기본_색인번호, 0),
_xlpm.공격속성보정치, VLOOKUP($J39, Factor!$K$5:$R$7, _xlpm.기본_색인번호, 0),
_xlpm.피해범위보정치, INDEX(Factor!$AN$5:$AV$51, _xlfn.XMATCH(IF(OR($G39="blast", $G39="curved",  $G39= "debuff"), $L39, 0), Factor!$AN$5:$AN$51, -1), _xlpm.추가_색인번호)-IF(AND(OR($G39="blast", $G39="curved", $G39= "debuff"), MOD($L39,1)&lt;&gt;0),INDEX(Factor!$AN$5:$AV$51, _xlfn.XMATCH(IF(OR($G39="blast", $G39="curved", $G39= "debuff"), $L39, 0), Factor!$AN$5:$AN$51, -1), 2)*MOD($L39,1)*10,0),
_xlpm.상태이상보정치, VLOOKUP(IF($G39 = "debuff", $M39, "null"), Factor!$AX$5:$BE$51, _xlpm.기본_색인번호, 0),
_xlpm.지속시간보정치, INDEX(Factor!$BG$5:$BO$51, _xlfn.XMATCH(IF(OR($G39 ="debuff", $G39 = "shot", $G39 = "pierce"), $O39, 0), Factor!$BG$5:$BG$51, -1), _xlpm.추가_색인번호)-IF(AND(OR($G39 ="debuff", $G39 = "shot", $G39 = "pierce"), MOD($O39, 1)&lt;&gt;0), 10*MOD($O39, 1)*INDEX(Factor!$BG$5:$BO$51, _xlfn.XMATCH(IF(OR($G39 ="debuff", $G39 = "shot", $G39 = "pierce"), $O39, 0), Factor!$BG$5:$BG$51, -1), 2), 0),
_xlpm.탄환개수보정치, VLOOKUP(IF(OR($G39 = "curved", $G39 = "shot"), $Q39, 1), Factor!$BQ$5:$BX$51, _xlpm.기본_색인번호, 0),
_xlpm.상태이상탄환생성위치보정치, IF($G39 = "debuff", VLOOKUP($R39, Factor!$K$18:$R$19, _xlpm.기본_색인번호, 0),1),
_xlpm.상태이상탄환형태보정치, IF($G39 = "debuff", VLOOKUP($S39, Factor!$K$24:$R$25, _xlpm.기본_색인번호, 0),1),
_xlpm.가격보정치, INDEX(Factor!$AE$5:$AL$51, _xlfn.XMATCH($F39,Factor!$AE$5:$AE$51, -1), _xlpm.기본_색인번호),
_xlpm.구경보정치, VLOOKUP($D39,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39" s="25" t="e" cm="1">
        <f t="array" ref="AB39">_xlfn.LET(_xlpm.기본_색인번호, 3,
_xlpm.추가_색인번호, 4,
_xlpm.개별보정치, U39,
_xlpm.패턴보정치, VLOOKUP($G39, Factor!$B$5:$I$51, _xlpm.기본_색인번호, 0),
_xlpm.소모탄환보정치, VLOOKUP($H39, Factor!$T$5:$AA$51, _xlpm.기본_색인번호, 0),
_xlpm.지형보정치, VLOOKUP($I39, Factor!$K$12:$R$13, _xlpm.기본_색인번호, 0),
_xlpm.공격속성보정치, VLOOKUP($J39, Factor!$K$5:$R$7, _xlpm.기본_색인번호, 0),
_xlpm.피해범위보정치, INDEX(Factor!$AN$5:$AV$51, _xlfn.XMATCH(IF(OR($G39="blast", $G39="curved",  $G39= "debuff"), $L39, 0), Factor!$AN$5:$AN$51, -1), _xlpm.추가_색인번호)-IF(AND(OR($G39="blast", $G39="curved", $G39= "debuff"), MOD($L39,1)&lt;&gt;0),INDEX(Factor!$AN$5:$AV$51, _xlfn.XMATCH(IF(OR($G39="blast", $G39="curved", $G39= "debuff"), $L39, 0), Factor!$AN$5:$AN$51, -1), 2)*MOD($L39,1)*10,0),
_xlpm.상태이상보정치, VLOOKUP(IF($G39 = "debuff", $M39, "null"), Factor!$AX$5:$BE$51, _xlpm.기본_색인번호, 0),
_xlpm.지속시간보정치, INDEX(Factor!$BG$5:$BO$51, _xlfn.XMATCH(IF(OR($G39 ="debuff", $G39 = "shot", $G39 = "pierce"), $O39, 0), Factor!$BG$5:$BG$51, -1), _xlpm.추가_색인번호)-IF(AND(OR($G39 ="debuff", $G39 = "shot", $G39 = "pierce"), MOD($O39, 1)&lt;&gt;0), 10*MOD($O39, 1)*INDEX(Factor!$BG$5:$BO$51, _xlfn.XMATCH(IF(OR($G39 ="debuff", $G39 = "shot", $G39 = "pierce"), $O39, 0), Factor!$BG$5:$BG$51, -1), 2), 0),
_xlpm.탄환개수보정치, VLOOKUP(IF(OR($G39 = "curved", $G39 = "shot"), $Q39, 1), Factor!$BQ$5:$BX$51, _xlpm.기본_색인번호, 0),
_xlpm.상태이상탄환생성위치보정치, IF($G39 = "debuff", VLOOKUP($R39, Factor!$K$18:$R$19, _xlpm.기본_색인번호, 0),1),
_xlpm.상태이상탄환형태보정치, IF($G39 = "debuff", VLOOKUP($S39, Factor!$K$24:$R$25, _xlpm.기본_색인번호, 0),1),
_xlpm.가격보정치, INDEX(Factor!$AE$5:$AL$51, _xlfn.XMATCH($F39,Factor!$AE$5:$AE$51, -1), _xlpm.기본_색인번호),
_xlpm.구경보정치, VLOOKUP($D39,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39" s="25" t="e" cm="1">
        <f t="array" ref="AC39">_xlfn.LET(_xlpm.기본_색인번호, 4,
_xlpm.추가_색인번호, 5,
_xlpm.개별보정치, V39,
_xlpm.패턴보정치, VLOOKUP($G39, Factor!$B$5:$I$51, _xlpm.기본_색인번호, 0),
_xlpm.소모탄환보정치, VLOOKUP($H39, Factor!$T$5:$AA$51, _xlpm.기본_색인번호, 0),
_xlpm.지형보정치, VLOOKUP($I39, Factor!$K$12:$R$13, _xlpm.기본_색인번호, 0),
_xlpm.공격속성보정치, VLOOKUP($J39, Factor!$K$5:$R$7, _xlpm.기본_색인번호, 0),
_xlpm.피해범위보정치, INDEX(Factor!$AN$5:$AV$51, _xlfn.XMATCH(IF(OR($G39="blast", $G39="curved",  $G39= "debuff"), $L39, 0), Factor!$AN$5:$AN$51, -1), _xlpm.추가_색인번호)-IF(AND(OR($G39="blast", $G39="curved", $G39= "debuff"), MOD($L39,1)&lt;&gt;0),INDEX(Factor!$AN$5:$AV$51, _xlfn.XMATCH(IF(OR($G39="blast", $G39="curved", $G39= "debuff"), $L39, 0), Factor!$AN$5:$AN$51, -1), 2)*MOD($L39,1)*10,0),
_xlpm.상태이상보정치, VLOOKUP(IF($G39 = "debuff", $M39, "null"), Factor!$AX$5:$BE$51, _xlpm.기본_색인번호, 0),
_xlpm.지속시간보정치, INDEX(Factor!$BG$5:$BO$51, _xlfn.XMATCH(IF(OR($G39 ="debuff", $G39 = "shot", $G39 = "pierce"), $O39, 0), Factor!$BG$5:$BG$51, -1), _xlpm.추가_색인번호)-IF(AND(OR($G39 ="debuff", $G39 = "shot", $G39 = "pierce"), MOD($O39, 1)&lt;&gt;0), 10*MOD($O39, 1)*INDEX(Factor!$BG$5:$BO$51, _xlfn.XMATCH(IF(OR($G39 ="debuff", $G39 = "shot", $G39 = "pierce"), $O39, 0), Factor!$BG$5:$BG$51, -1), 2), 0),
_xlpm.탄환개수보정치, VLOOKUP(IF(OR($G39 = "curved", $G39 = "shot"), $Q39, 1), Factor!$BQ$5:$BX$51, _xlpm.기본_색인번호, 0),
_xlpm.상태이상탄환생성위치보정치, IF($G39 = "debuff", VLOOKUP($R39, Factor!$K$18:$R$19, _xlpm.기본_색인번호, 0),1),
_xlpm.상태이상탄환형태보정치, IF($G39 = "debuff", VLOOKUP($S39, Factor!$K$24:$R$25, _xlpm.기본_색인번호, 0),1),
_xlpm.가격보정치, INDEX(Factor!$AE$5:$AL$51, _xlfn.XMATCH($F39,Factor!$AE$5:$AE$51, -1), _xlpm.기본_색인번호),
_xlpm.구경보정치, VLOOKUP($D39,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39" s="25" t="e" cm="1">
        <f t="array" ref="AD39">_xlfn.LET(_xlpm.기본_색인번호, 5,
_xlpm.추가_색인번호, 6,
_xlpm.개별보정치, W39,
_xlpm.패턴보정치, VLOOKUP($G39, Factor!$B$5:$I$51, _xlpm.기본_색인번호, 0),
_xlpm.소모탄환보정치, VLOOKUP($H39, Factor!$T$5:$AA$51, _xlpm.기본_색인번호, 0),
_xlpm.지형보정치, VLOOKUP($I39, Factor!$K$12:$R$13, _xlpm.기본_색인번호, 0),
_xlpm.공격속성보정치, VLOOKUP($J39, Factor!$K$5:$R$7, _xlpm.기본_색인번호, 0),
_xlpm.피해범위보정치, INDEX(Factor!$AN$5:$AV$51, _xlfn.XMATCH(IF(OR($G39="blast", $G39="curved",  $G39= "debuff"), $L39, 0), Factor!$AN$5:$AN$51, -1), _xlpm.추가_색인번호)-IF(AND(OR($G39="blast", $G39="curved", $G39= "debuff"), MOD($L39,1)&lt;&gt;0),INDEX(Factor!$AN$5:$AV$51, _xlfn.XMATCH(IF(OR($G39="blast", $G39="curved", $G39= "debuff"), $L39, 0), Factor!$AN$5:$AN$51, -1), 2)*MOD($L39,1)*10,0),
_xlpm.상태이상보정치, VLOOKUP(IF($G39 = "debuff", $M39, "null"), Factor!$AX$5:$BE$51, _xlpm.기본_색인번호, 0),
_xlpm.지속시간보정치, INDEX(Factor!$BG$5:$BO$51, _xlfn.XMATCH(IF(OR($G39 ="debuff", $G39 = "shot", $G39 = "pierce"), $O39, 0), Factor!$BG$5:$BG$51, -1), _xlpm.추가_색인번호)-IF(AND(OR($G39 ="debuff", $G39 = "shot", $G39 = "pierce"), MOD($O39, 1)&lt;&gt;0), 10*MOD($O39, 1)*INDEX(Factor!$BG$5:$BO$51, _xlfn.XMATCH(IF(OR($G39 ="debuff", $G39 = "shot", $G39 = "pierce"), $O39, 0), Factor!$BG$5:$BG$51, -1), 2), 0),
_xlpm.탄환개수보정치, VLOOKUP(IF(OR($G39 = "curved", $G39 = "shot"), $Q39, 1), Factor!$BQ$5:$BX$51, _xlpm.기본_색인번호, 0),
_xlpm.상태이상탄환생성위치보정치, IF($G39 = "debuff", VLOOKUP($R39, Factor!$K$18:$R$19, _xlpm.기본_색인번호, 0),1),
_xlpm.상태이상탄환형태보정치, IF($G39 = "debuff", VLOOKUP($S39, Factor!$K$24:$R$25, _xlpm.기본_색인번호, 0),1),
_xlpm.가격보정치, INDEX(Factor!$AE$5:$AL$51, _xlfn.XMATCH($F39,Factor!$AE$5:$AE$51, -1), _xlpm.기본_색인번호),
_xlpm.구경보정치, VLOOKUP($D39,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39" s="25" t="e" cm="1">
        <f t="array" ref="AE39">_xlfn.LET(_xlpm.기본_색인번호, 6,
_xlpm.추가_색인번호, 7,
_xlpm.개별보정치, X39,
_xlpm.패턴보정치, VLOOKUP($G39, Factor!$B$5:$I$51, _xlpm.기본_색인번호, 0),
_xlpm.소모탄환보정치, VLOOKUP($H39, Factor!$T$5:$AA$51, _xlpm.기본_색인번호, 0),
_xlpm.지형보정치, VLOOKUP($I39, Factor!$K$12:$R$13, _xlpm.기본_색인번호, 0),
_xlpm.공격속성보정치, VLOOKUP($J39, Factor!$K$5:$R$7, _xlpm.기본_색인번호, 0),
_xlpm.피해범위보정치, INDEX(Factor!$AN$5:$AV$51, _xlfn.XMATCH(IF(OR($G39="blast", $G39="curved",  $G39= "debuff"), $L39, 0), Factor!$AN$5:$AN$51, -1), _xlpm.추가_색인번호)-IF(AND(OR($G39="blast", $G39="curved", $G39= "debuff"), MOD($L39,1)&lt;&gt;0),INDEX(Factor!$AN$5:$AV$51, _xlfn.XMATCH(IF(OR($G39="blast", $G39="curved", $G39= "debuff"), $L39, 0), Factor!$AN$5:$AN$51, -1), 2)*MOD($L39,1)*10,0),
_xlpm.상태이상보정치, VLOOKUP(IF($G39 = "debuff", $M39, "null"), Factor!$AX$5:$BE$51, _xlpm.기본_색인번호, 0),
_xlpm.지속시간보정치, INDEX(Factor!$BG$5:$BO$51, _xlfn.XMATCH(IF(OR($G39 ="debuff", $G39 = "shot", $G39 = "pierce"), $O39, 0), Factor!$BG$5:$BG$51, -1), _xlpm.추가_색인번호)-IF(AND(OR($G39 ="debuff", $G39 = "shot", $G39 = "pierce"), MOD($O39, 1)&lt;&gt;0), 10*MOD($O39, 1)*INDEX(Factor!$BG$5:$BO$51, _xlfn.XMATCH(IF(OR($G39 ="debuff", $G39 = "shot", $G39 = "pierce"), $O39, 0), Factor!$BG$5:$BG$51, -1), 2), 0),
_xlpm.탄환개수보정치, VLOOKUP(IF(OR($G39 = "curved", $G39 = "shot"), $Q39, 1), Factor!$BQ$5:$BX$51, _xlpm.기본_색인번호, 0),
_xlpm.상태이상탄환생성위치보정치, IF($G39 = "debuff", VLOOKUP($R39, Factor!$K$18:$R$19, _xlpm.기본_색인번호, 0),1),
_xlpm.상태이상탄환형태보정치, IF($G39 = "debuff", VLOOKUP($S39, Factor!$K$24:$R$25, _xlpm.기본_색인번호, 0),1),
_xlpm.가격보정치, INDEX(Factor!$AE$5:$AL$51, _xlfn.XMATCH($F39,Factor!$AE$5:$AE$51, -1), _xlpm.기본_색인번호),
_xlpm.구경보정치, VLOOKUP($D39,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39" s="25" t="e" cm="1">
        <f t="array" ref="AF39">_xlfn.LET(_xlpm.기본_색인번호, 7,
_xlpm.추가_색인번호, 8,
_xlpm.개별보정치, Y39,
_xlpm.패턴보정치, VLOOKUP($G39, Factor!$B$5:$I$51, _xlpm.기본_색인번호, 0),
_xlpm.소모탄환보정치, VLOOKUP($H39, Factor!$T$5:$AA$51, _xlpm.기본_색인번호, 0),
_xlpm.지형보정치, VLOOKUP($I39, Factor!$K$12:$R$13, _xlpm.기본_색인번호, 0),
_xlpm.공격속성보정치, VLOOKUP($J39, Factor!$K$5:$R$7, _xlpm.기본_색인번호, 0),
_xlpm.피해범위보정치, INDEX(Factor!$AN$5:$AV$51, _xlfn.XMATCH(IF(OR($G39="blast", $G39="curved",  $G39= "debuff"), $L39, 0), Factor!$AN$5:$AN$51, -1), _xlpm.추가_색인번호)-IF(AND(OR($G39="blast", $G39="curved", $G39= "debuff"), MOD($L39,1)&lt;&gt;0),INDEX(Factor!$AN$5:$AV$51, _xlfn.XMATCH(IF(OR($G39="blast", $G39="curved", $G39= "debuff"), $L39, 0), Factor!$AN$5:$AN$51, -1), 2)*MOD($L39,1)*10,0),
_xlpm.상태이상보정치, VLOOKUP(IF($G39 = "debuff", $M39, "null"), Factor!$AX$5:$BE$51, _xlpm.기본_색인번호, 0),
_xlpm.지속시간보정치, INDEX(Factor!$BG$5:$BO$51, _xlfn.XMATCH(IF(OR($G39 ="debuff", $G39 = "shot", $G39 = "pierce"), $O39, 0), Factor!$BG$5:$BG$51, -1), _xlpm.추가_색인번호)-IF(AND(OR($G39 ="debuff", $G39 = "shot", $G39 = "pierce"), MOD($O39, 1)&lt;&gt;0), 10*MOD($O39, 1)*INDEX(Factor!$BG$5:$BO$51, _xlfn.XMATCH(IF(OR($G39 ="debuff", $G39 = "shot", $G39 = "pierce"), $O39, 0), Factor!$BG$5:$BG$51, -1), 2), 0),
_xlpm.탄환개수보정치, VLOOKUP(IF(OR($G39 = "curved", $G39 = "shot"), $Q39, 1), Factor!$BQ$5:$BX$51, _xlpm.기본_색인번호, 0),
_xlpm.상태이상탄환생성위치보정치, IF($G39 = "debuff", VLOOKUP($R39, Factor!$K$18:$R$19, _xlpm.기본_색인번호, 0),1),
_xlpm.상태이상탄환형태보정치, IF($G39 = "debuff", VLOOKUP($S39, Factor!$K$24:$R$25, _xlpm.기본_색인번호, 0),1),
_xlpm.가격보정치, INDEX(Factor!$AE$5:$AL$51, _xlfn.XMATCH($F39,Factor!$AE$5:$AE$51, -1), _xlpm.기본_색인번호),
_xlpm.구경보정치, VLOOKUP($D39,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39" s="27" t="e" cm="1">
        <f t="array" ref="AG39">_xlfn.LET(_xlpm.기본_색인번호, 8,
_xlpm.추가_색인번호, 9,
_xlpm.개별보정치, Z39,
_xlpm.패턴보정치, VLOOKUP($G39, Factor!$B$5:$I$51, _xlpm.기본_색인번호, 0),
_xlpm.소모탄환보정치, VLOOKUP($H39, Factor!$T$5:$AA$51, _xlpm.기본_색인번호, 0),
_xlpm.지형보정치, VLOOKUP($I39, Factor!$K$12:$R$13, _xlpm.기본_색인번호, 0),
_xlpm.공격속성보정치, VLOOKUP($J39, Factor!$K$5:$R$7, _xlpm.기본_색인번호, 0),
_xlpm.피해범위보정치, INDEX(Factor!$AN$5:$AV$51, _xlfn.XMATCH(IF(OR($G39="blast", $G39="curved",  $G39= "debuff"), $L39, 0), Factor!$AN$5:$AN$51, -1), _xlpm.추가_색인번호)-IF(AND(OR($G39="blast", $G39="curved", $G39= "debuff"), MOD($L39,1)&lt;&gt;0),INDEX(Factor!$AN$5:$AV$51, _xlfn.XMATCH(IF(OR($G39="blast", $G39="curved", $G39= "debuff"), $L39, 0), Factor!$AN$5:$AN$51, -1), 2)*MOD($L39,1)*10,0),
_xlpm.상태이상보정치, VLOOKUP(IF($G39 = "debuff", $M39, "null"), Factor!$AX$5:$BE$51, _xlpm.기본_색인번호, 0),
_xlpm.지속시간보정치, INDEX(Factor!$BG$5:$BO$51, _xlfn.XMATCH(IF(OR($G39 ="debuff", $G39 = "shot", $G39 = "pierce"), $O39, 0), Factor!$BG$5:$BG$51, -1), _xlpm.추가_색인번호)-IF(AND(OR($G39 ="debuff", $G39 = "shot", $G39 = "pierce"), MOD($O39, 1)&lt;&gt;0), 10*MOD($O39, 1)*INDEX(Factor!$BG$5:$BO$51, _xlfn.XMATCH(IF(OR($G39 ="debuff", $G39 = "shot", $G39 = "pierce"), $O39, 0), Factor!$BG$5:$BG$51, -1), 2), 0),
_xlpm.탄환개수보정치, VLOOKUP(IF(OR($G39 = "curved", $G39 = "shot"), $Q39, 1), Factor!$BQ$5:$BX$51, _xlpm.기본_색인번호, 0),
_xlpm.상태이상탄환생성위치보정치, IF($G39 = "debuff", VLOOKUP($R39, Factor!$K$18:$R$19, _xlpm.기본_색인번호, 0),1),
_xlpm.상태이상탄환형태보정치, IF($G39 = "debuff", VLOOKUP($S39, Factor!$K$24:$R$25, _xlpm.기본_색인번호, 0),1),
_xlpm.가격보정치, INDEX(Factor!$AE$5:$AL$51, _xlfn.XMATCH($F39,Factor!$AE$5:$AE$51, -1), _xlpm.기본_색인번호),
_xlpm.구경보정치, VLOOKUP($D39,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39"/>
      <c r="AI39"/>
      <c r="AJ39"/>
      <c r="AK39"/>
      <c r="AL39"/>
      <c r="AM39"/>
      <c r="AN39"/>
    </row>
    <row r="40" spans="1:40" ht="15.75" customHeight="1">
      <c r="A40" s="28" t="e">
        <f>"weapon_"&amp;G40&amp;"_"&amp;VLOOKUP(H40, Factor!$T$5:$AB$7, 9, 0)&amp;"_"&amp;IF(COUNTIFS($G$4:G39, G40, $H$4:H39, H40)+1&gt;=100, COUNTIFS($G$4:G39, G40, $H$4:H39, H40)+1,IF(COUNTIFS($G$4:G39, G40, $H$4:H39, H40)+1&gt;=10, "0"&amp;COUNTIFS($G$4:G39, G40, $H$4:H39, H40)+1, "00"&amp;COUNTIFS($G$4:G39, G40, $H$4:H39, H40)+1))</f>
        <v>#N/A</v>
      </c>
      <c r="B40" s="37" t="str">
        <f t="shared" si="0"/>
        <v xml:space="preserve"> </v>
      </c>
      <c r="C40" s="37"/>
      <c r="D40" s="37"/>
      <c r="E40" s="37"/>
      <c r="F40" s="29" t="e">
        <f>VLOOKUP(C40, Factor!$AD$5:$AE$15, 2, 0)</f>
        <v>#N/A</v>
      </c>
      <c r="G40" s="29" t="e">
        <f>VLOOKUP(E40, Factor!$CL$5:$CV$50, 2, 0)</f>
        <v>#N/A</v>
      </c>
      <c r="H40" s="29" t="e">
        <f>VLOOKUP(E40, Factor!$CL$5:$CV$50, 3, 0)</f>
        <v>#N/A</v>
      </c>
      <c r="I40" s="29" t="e">
        <f>VLOOKUP(E40, Factor!$CL$5:$CV$50, 4, 0)</f>
        <v>#N/A</v>
      </c>
      <c r="J40" s="29" t="e">
        <f>VLOOKUP(E40, Factor!$CL$5:$CV$50, 5, 0)</f>
        <v>#N/A</v>
      </c>
      <c r="K40" s="29">
        <v>1</v>
      </c>
      <c r="L40" s="29" t="e">
        <f>VLOOKUP(E40, Factor!$CL$5:$CV$50, 6, 0)*K40*VLOOKUP(D40, Factor!$BZ$5:$CJ$49, 9, 0)</f>
        <v>#N/A</v>
      </c>
      <c r="M40" s="29" t="e">
        <f>VLOOKUP(E40, Factor!$CL$5:$CV$50, 7, 0)</f>
        <v>#N/A</v>
      </c>
      <c r="N40" s="29">
        <v>1</v>
      </c>
      <c r="O40" s="29" t="e">
        <f>VLOOKUP(E40, Factor!$CL$5:$CV$50, 8, 0)*N40*VLOOKUP(D40, Factor!$BZ$5:$CJ$49, 10, 0)</f>
        <v>#N/A</v>
      </c>
      <c r="P40" s="29">
        <v>1</v>
      </c>
      <c r="Q40" s="29" t="e">
        <f>VLOOKUP(E40, Factor!$CL$5:$CV$50, 9, 0)*P40*VLOOKUP(D40, Factor!$BZ$5:$CJ$49, 11, 0)</f>
        <v>#N/A</v>
      </c>
      <c r="R40" s="29" t="e">
        <f>VLOOKUP(E40, Factor!$CL$5:$CV$50, 10, 0)</f>
        <v>#N/A</v>
      </c>
      <c r="S40" s="29" t="e">
        <f>VLOOKUP(E40, Factor!$CL$5:$CV$50, 11, 0)</f>
        <v>#N/A</v>
      </c>
      <c r="T40" s="29">
        <v>1</v>
      </c>
      <c r="U40" s="29">
        <v>1</v>
      </c>
      <c r="V40" s="29">
        <v>1</v>
      </c>
      <c r="W40" s="29">
        <v>1</v>
      </c>
      <c r="X40" s="29">
        <v>1</v>
      </c>
      <c r="Y40" s="29">
        <v>1</v>
      </c>
      <c r="Z40" s="29">
        <v>1</v>
      </c>
      <c r="AA40" s="29" t="e" cm="1">
        <f t="array" ref="AA40">_xlfn.LET(_xlpm.기본_색인번호, 2,
_xlpm.추가_색인번호, 3,
_xlpm.개별보정치, T40,
_xlpm.패턴보정치, VLOOKUP($G40, Factor!$B$5:$I$51, _xlpm.기본_색인번호, 0),
_xlpm.소모탄환보정치, VLOOKUP($H40, Factor!$T$5:$AA$51, _xlpm.기본_색인번호, 0),
_xlpm.지형보정치, VLOOKUP($I40, Factor!$K$12:$R$13, _xlpm.기본_색인번호, 0),
_xlpm.공격속성보정치, VLOOKUP($J40, Factor!$K$5:$R$7, _xlpm.기본_색인번호, 0),
_xlpm.피해범위보정치, INDEX(Factor!$AN$5:$AV$51, _xlfn.XMATCH(IF(OR($G40="blast", $G40="curved",  $G40= "debuff"), $L40, 0), Factor!$AN$5:$AN$51, -1), _xlpm.추가_색인번호)-IF(AND(OR($G40="blast", $G40="curved", $G40= "debuff"), MOD($L40,1)&lt;&gt;0),INDEX(Factor!$AN$5:$AV$51, _xlfn.XMATCH(IF(OR($G40="blast", $G40="curved", $G40= "debuff"), $L40, 0), Factor!$AN$5:$AN$51, -1), 2)*MOD($L40,1)*10,0),
_xlpm.상태이상보정치, VLOOKUP(IF($G40 = "debuff", $M40, "null"), Factor!$AX$5:$BE$51, _xlpm.기본_색인번호, 0),
_xlpm.지속시간보정치, INDEX(Factor!$BG$5:$BO$51, _xlfn.XMATCH(IF(OR($G40 ="debuff", $G40 = "shot", $G40 = "pierce"), $O40, 0), Factor!$BG$5:$BG$51, -1), _xlpm.추가_색인번호)-IF(AND(OR($G40 ="debuff", $G40 = "shot", $G40 = "pierce"), MOD($O40, 1)&lt;&gt;0), 10*MOD($O40, 1)*INDEX(Factor!$BG$5:$BO$51, _xlfn.XMATCH(IF(OR($G40 ="debuff", $G40 = "shot", $G40 = "pierce"), $O40, 0), Factor!$BG$5:$BG$51, -1), 2), 0),
_xlpm.탄환개수보정치, VLOOKUP(IF(OR($G40 = "curved", $G40 = "shot"), $Q40, 1), Factor!$BQ$5:$BX$51, _xlpm.기본_색인번호, 0),
_xlpm.상태이상탄환생성위치보정치, IF($G40 = "debuff", VLOOKUP($R40, Factor!$K$18:$R$19, _xlpm.기본_색인번호, 0),1),
_xlpm.상태이상탄환형태보정치, IF($G40 = "debuff", VLOOKUP($S40, Factor!$K$24:$R$25, _xlpm.기본_색인번호, 0),1),
_xlpm.가격보정치, INDEX(Factor!$AE$5:$AL$51, _xlfn.XMATCH($F40,Factor!$AE$5:$AE$51, -1), _xlpm.기본_색인번호),
_xlpm.구경보정치, VLOOKUP($D40,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40" s="29" t="e" cm="1">
        <f t="array" ref="AB40">_xlfn.LET(_xlpm.기본_색인번호, 3,
_xlpm.추가_색인번호, 4,
_xlpm.개별보정치, U40,
_xlpm.패턴보정치, VLOOKUP($G40, Factor!$B$5:$I$51, _xlpm.기본_색인번호, 0),
_xlpm.소모탄환보정치, VLOOKUP($H40, Factor!$T$5:$AA$51, _xlpm.기본_색인번호, 0),
_xlpm.지형보정치, VLOOKUP($I40, Factor!$K$12:$R$13, _xlpm.기본_색인번호, 0),
_xlpm.공격속성보정치, VLOOKUP($J40, Factor!$K$5:$R$7, _xlpm.기본_색인번호, 0),
_xlpm.피해범위보정치, INDEX(Factor!$AN$5:$AV$51, _xlfn.XMATCH(IF(OR($G40="blast", $G40="curved",  $G40= "debuff"), $L40, 0), Factor!$AN$5:$AN$51, -1), _xlpm.추가_색인번호)-IF(AND(OR($G40="blast", $G40="curved", $G40= "debuff"), MOD($L40,1)&lt;&gt;0),INDEX(Factor!$AN$5:$AV$51, _xlfn.XMATCH(IF(OR($G40="blast", $G40="curved", $G40= "debuff"), $L40, 0), Factor!$AN$5:$AN$51, -1), 2)*MOD($L40,1)*10,0),
_xlpm.상태이상보정치, VLOOKUP(IF($G40 = "debuff", $M40, "null"), Factor!$AX$5:$BE$51, _xlpm.기본_색인번호, 0),
_xlpm.지속시간보정치, INDEX(Factor!$BG$5:$BO$51, _xlfn.XMATCH(IF(OR($G40 ="debuff", $G40 = "shot", $G40 = "pierce"), $O40, 0), Factor!$BG$5:$BG$51, -1), _xlpm.추가_색인번호)-IF(AND(OR($G40 ="debuff", $G40 = "shot", $G40 = "pierce"), MOD($O40, 1)&lt;&gt;0), 10*MOD($O40, 1)*INDEX(Factor!$BG$5:$BO$51, _xlfn.XMATCH(IF(OR($G40 ="debuff", $G40 = "shot", $G40 = "pierce"), $O40, 0), Factor!$BG$5:$BG$51, -1), 2), 0),
_xlpm.탄환개수보정치, VLOOKUP(IF(OR($G40 = "curved", $G40 = "shot"), $Q40, 1), Factor!$BQ$5:$BX$51, _xlpm.기본_색인번호, 0),
_xlpm.상태이상탄환생성위치보정치, IF($G40 = "debuff", VLOOKUP($R40, Factor!$K$18:$R$19, _xlpm.기본_색인번호, 0),1),
_xlpm.상태이상탄환형태보정치, IF($G40 = "debuff", VLOOKUP($S40, Factor!$K$24:$R$25, _xlpm.기본_색인번호, 0),1),
_xlpm.가격보정치, INDEX(Factor!$AE$5:$AL$51, _xlfn.XMATCH($F40,Factor!$AE$5:$AE$51, -1), _xlpm.기본_색인번호),
_xlpm.구경보정치, VLOOKUP($D40,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40" s="29" t="e" cm="1">
        <f t="array" ref="AC40">_xlfn.LET(_xlpm.기본_색인번호, 4,
_xlpm.추가_색인번호, 5,
_xlpm.개별보정치, V40,
_xlpm.패턴보정치, VLOOKUP($G40, Factor!$B$5:$I$51, _xlpm.기본_색인번호, 0),
_xlpm.소모탄환보정치, VLOOKUP($H40, Factor!$T$5:$AA$51, _xlpm.기본_색인번호, 0),
_xlpm.지형보정치, VLOOKUP($I40, Factor!$K$12:$R$13, _xlpm.기본_색인번호, 0),
_xlpm.공격속성보정치, VLOOKUP($J40, Factor!$K$5:$R$7, _xlpm.기본_색인번호, 0),
_xlpm.피해범위보정치, INDEX(Factor!$AN$5:$AV$51, _xlfn.XMATCH(IF(OR($G40="blast", $G40="curved",  $G40= "debuff"), $L40, 0), Factor!$AN$5:$AN$51, -1), _xlpm.추가_색인번호)-IF(AND(OR($G40="blast", $G40="curved", $G40= "debuff"), MOD($L40,1)&lt;&gt;0),INDEX(Factor!$AN$5:$AV$51, _xlfn.XMATCH(IF(OR($G40="blast", $G40="curved", $G40= "debuff"), $L40, 0), Factor!$AN$5:$AN$51, -1), 2)*MOD($L40,1)*10,0),
_xlpm.상태이상보정치, VLOOKUP(IF($G40 = "debuff", $M40, "null"), Factor!$AX$5:$BE$51, _xlpm.기본_색인번호, 0),
_xlpm.지속시간보정치, INDEX(Factor!$BG$5:$BO$51, _xlfn.XMATCH(IF(OR($G40 ="debuff", $G40 = "shot", $G40 = "pierce"), $O40, 0), Factor!$BG$5:$BG$51, -1), _xlpm.추가_색인번호)-IF(AND(OR($G40 ="debuff", $G40 = "shot", $G40 = "pierce"), MOD($O40, 1)&lt;&gt;0), 10*MOD($O40, 1)*INDEX(Factor!$BG$5:$BO$51, _xlfn.XMATCH(IF(OR($G40 ="debuff", $G40 = "shot", $G40 = "pierce"), $O40, 0), Factor!$BG$5:$BG$51, -1), 2), 0),
_xlpm.탄환개수보정치, VLOOKUP(IF(OR($G40 = "curved", $G40 = "shot"), $Q40, 1), Factor!$BQ$5:$BX$51, _xlpm.기본_색인번호, 0),
_xlpm.상태이상탄환생성위치보정치, IF($G40 = "debuff", VLOOKUP($R40, Factor!$K$18:$R$19, _xlpm.기본_색인번호, 0),1),
_xlpm.상태이상탄환형태보정치, IF($G40 = "debuff", VLOOKUP($S40, Factor!$K$24:$R$25, _xlpm.기본_색인번호, 0),1),
_xlpm.가격보정치, INDEX(Factor!$AE$5:$AL$51, _xlfn.XMATCH($F40,Factor!$AE$5:$AE$51, -1), _xlpm.기본_색인번호),
_xlpm.구경보정치, VLOOKUP($D40,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40" s="29" t="e" cm="1">
        <f t="array" ref="AD40">_xlfn.LET(_xlpm.기본_색인번호, 5,
_xlpm.추가_색인번호, 6,
_xlpm.개별보정치, W40,
_xlpm.패턴보정치, VLOOKUP($G40, Factor!$B$5:$I$51, _xlpm.기본_색인번호, 0),
_xlpm.소모탄환보정치, VLOOKUP($H40, Factor!$T$5:$AA$51, _xlpm.기본_색인번호, 0),
_xlpm.지형보정치, VLOOKUP($I40, Factor!$K$12:$R$13, _xlpm.기본_색인번호, 0),
_xlpm.공격속성보정치, VLOOKUP($J40, Factor!$K$5:$R$7, _xlpm.기본_색인번호, 0),
_xlpm.피해범위보정치, INDEX(Factor!$AN$5:$AV$51, _xlfn.XMATCH(IF(OR($G40="blast", $G40="curved",  $G40= "debuff"), $L40, 0), Factor!$AN$5:$AN$51, -1), _xlpm.추가_색인번호)-IF(AND(OR($G40="blast", $G40="curved", $G40= "debuff"), MOD($L40,1)&lt;&gt;0),INDEX(Factor!$AN$5:$AV$51, _xlfn.XMATCH(IF(OR($G40="blast", $G40="curved", $G40= "debuff"), $L40, 0), Factor!$AN$5:$AN$51, -1), 2)*MOD($L40,1)*10,0),
_xlpm.상태이상보정치, VLOOKUP(IF($G40 = "debuff", $M40, "null"), Factor!$AX$5:$BE$51, _xlpm.기본_색인번호, 0),
_xlpm.지속시간보정치, INDEX(Factor!$BG$5:$BO$51, _xlfn.XMATCH(IF(OR($G40 ="debuff", $G40 = "shot", $G40 = "pierce"), $O40, 0), Factor!$BG$5:$BG$51, -1), _xlpm.추가_색인번호)-IF(AND(OR($G40 ="debuff", $G40 = "shot", $G40 = "pierce"), MOD($O40, 1)&lt;&gt;0), 10*MOD($O40, 1)*INDEX(Factor!$BG$5:$BO$51, _xlfn.XMATCH(IF(OR($G40 ="debuff", $G40 = "shot", $G40 = "pierce"), $O40, 0), Factor!$BG$5:$BG$51, -1), 2), 0),
_xlpm.탄환개수보정치, VLOOKUP(IF(OR($G40 = "curved", $G40 = "shot"), $Q40, 1), Factor!$BQ$5:$BX$51, _xlpm.기본_색인번호, 0),
_xlpm.상태이상탄환생성위치보정치, IF($G40 = "debuff", VLOOKUP($R40, Factor!$K$18:$R$19, _xlpm.기본_색인번호, 0),1),
_xlpm.상태이상탄환형태보정치, IF($G40 = "debuff", VLOOKUP($S40, Factor!$K$24:$R$25, _xlpm.기본_색인번호, 0),1),
_xlpm.가격보정치, INDEX(Factor!$AE$5:$AL$51, _xlfn.XMATCH($F40,Factor!$AE$5:$AE$51, -1), _xlpm.기본_색인번호),
_xlpm.구경보정치, VLOOKUP($D40,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40" s="29" t="e" cm="1">
        <f t="array" ref="AE40">_xlfn.LET(_xlpm.기본_색인번호, 6,
_xlpm.추가_색인번호, 7,
_xlpm.개별보정치, X40,
_xlpm.패턴보정치, VLOOKUP($G40, Factor!$B$5:$I$51, _xlpm.기본_색인번호, 0),
_xlpm.소모탄환보정치, VLOOKUP($H40, Factor!$T$5:$AA$51, _xlpm.기본_색인번호, 0),
_xlpm.지형보정치, VLOOKUP($I40, Factor!$K$12:$R$13, _xlpm.기본_색인번호, 0),
_xlpm.공격속성보정치, VLOOKUP($J40, Factor!$K$5:$R$7, _xlpm.기본_색인번호, 0),
_xlpm.피해범위보정치, INDEX(Factor!$AN$5:$AV$51, _xlfn.XMATCH(IF(OR($G40="blast", $G40="curved",  $G40= "debuff"), $L40, 0), Factor!$AN$5:$AN$51, -1), _xlpm.추가_색인번호)-IF(AND(OR($G40="blast", $G40="curved", $G40= "debuff"), MOD($L40,1)&lt;&gt;0),INDEX(Factor!$AN$5:$AV$51, _xlfn.XMATCH(IF(OR($G40="blast", $G40="curved", $G40= "debuff"), $L40, 0), Factor!$AN$5:$AN$51, -1), 2)*MOD($L40,1)*10,0),
_xlpm.상태이상보정치, VLOOKUP(IF($G40 = "debuff", $M40, "null"), Factor!$AX$5:$BE$51, _xlpm.기본_색인번호, 0),
_xlpm.지속시간보정치, INDEX(Factor!$BG$5:$BO$51, _xlfn.XMATCH(IF(OR($G40 ="debuff", $G40 = "shot", $G40 = "pierce"), $O40, 0), Factor!$BG$5:$BG$51, -1), _xlpm.추가_색인번호)-IF(AND(OR($G40 ="debuff", $G40 = "shot", $G40 = "pierce"), MOD($O40, 1)&lt;&gt;0), 10*MOD($O40, 1)*INDEX(Factor!$BG$5:$BO$51, _xlfn.XMATCH(IF(OR($G40 ="debuff", $G40 = "shot", $G40 = "pierce"), $O40, 0), Factor!$BG$5:$BG$51, -1), 2), 0),
_xlpm.탄환개수보정치, VLOOKUP(IF(OR($G40 = "curved", $G40 = "shot"), $Q40, 1), Factor!$BQ$5:$BX$51, _xlpm.기본_색인번호, 0),
_xlpm.상태이상탄환생성위치보정치, IF($G40 = "debuff", VLOOKUP($R40, Factor!$K$18:$R$19, _xlpm.기본_색인번호, 0),1),
_xlpm.상태이상탄환형태보정치, IF($G40 = "debuff", VLOOKUP($S40, Factor!$K$24:$R$25, _xlpm.기본_색인번호, 0),1),
_xlpm.가격보정치, INDEX(Factor!$AE$5:$AL$51, _xlfn.XMATCH($F40,Factor!$AE$5:$AE$51, -1), _xlpm.기본_색인번호),
_xlpm.구경보정치, VLOOKUP($D40,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40" s="29" t="e" cm="1">
        <f t="array" ref="AF40">_xlfn.LET(_xlpm.기본_색인번호, 7,
_xlpm.추가_색인번호, 8,
_xlpm.개별보정치, Y40,
_xlpm.패턴보정치, VLOOKUP($G40, Factor!$B$5:$I$51, _xlpm.기본_색인번호, 0),
_xlpm.소모탄환보정치, VLOOKUP($H40, Factor!$T$5:$AA$51, _xlpm.기본_색인번호, 0),
_xlpm.지형보정치, VLOOKUP($I40, Factor!$K$12:$R$13, _xlpm.기본_색인번호, 0),
_xlpm.공격속성보정치, VLOOKUP($J40, Factor!$K$5:$R$7, _xlpm.기본_색인번호, 0),
_xlpm.피해범위보정치, INDEX(Factor!$AN$5:$AV$51, _xlfn.XMATCH(IF(OR($G40="blast", $G40="curved",  $G40= "debuff"), $L40, 0), Factor!$AN$5:$AN$51, -1), _xlpm.추가_색인번호)-IF(AND(OR($G40="blast", $G40="curved", $G40= "debuff"), MOD($L40,1)&lt;&gt;0),INDEX(Factor!$AN$5:$AV$51, _xlfn.XMATCH(IF(OR($G40="blast", $G40="curved", $G40= "debuff"), $L40, 0), Factor!$AN$5:$AN$51, -1), 2)*MOD($L40,1)*10,0),
_xlpm.상태이상보정치, VLOOKUP(IF($G40 = "debuff", $M40, "null"), Factor!$AX$5:$BE$51, _xlpm.기본_색인번호, 0),
_xlpm.지속시간보정치, INDEX(Factor!$BG$5:$BO$51, _xlfn.XMATCH(IF(OR($G40 ="debuff", $G40 = "shot", $G40 = "pierce"), $O40, 0), Factor!$BG$5:$BG$51, -1), _xlpm.추가_색인번호)-IF(AND(OR($G40 ="debuff", $G40 = "shot", $G40 = "pierce"), MOD($O40, 1)&lt;&gt;0), 10*MOD($O40, 1)*INDEX(Factor!$BG$5:$BO$51, _xlfn.XMATCH(IF(OR($G40 ="debuff", $G40 = "shot", $G40 = "pierce"), $O40, 0), Factor!$BG$5:$BG$51, -1), 2), 0),
_xlpm.탄환개수보정치, VLOOKUP(IF(OR($G40 = "curved", $G40 = "shot"), $Q40, 1), Factor!$BQ$5:$BX$51, _xlpm.기본_색인번호, 0),
_xlpm.상태이상탄환생성위치보정치, IF($G40 = "debuff", VLOOKUP($R40, Factor!$K$18:$R$19, _xlpm.기본_색인번호, 0),1),
_xlpm.상태이상탄환형태보정치, IF($G40 = "debuff", VLOOKUP($S40, Factor!$K$24:$R$25, _xlpm.기본_색인번호, 0),1),
_xlpm.가격보정치, INDEX(Factor!$AE$5:$AL$51, _xlfn.XMATCH($F40,Factor!$AE$5:$AE$51, -1), _xlpm.기본_색인번호),
_xlpm.구경보정치, VLOOKUP($D40,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40" s="30" t="e" cm="1">
        <f t="array" ref="AG40">_xlfn.LET(_xlpm.기본_색인번호, 8,
_xlpm.추가_색인번호, 9,
_xlpm.개별보정치, Z40,
_xlpm.패턴보정치, VLOOKUP($G40, Factor!$B$5:$I$51, _xlpm.기본_색인번호, 0),
_xlpm.소모탄환보정치, VLOOKUP($H40, Factor!$T$5:$AA$51, _xlpm.기본_색인번호, 0),
_xlpm.지형보정치, VLOOKUP($I40, Factor!$K$12:$R$13, _xlpm.기본_색인번호, 0),
_xlpm.공격속성보정치, VLOOKUP($J40, Factor!$K$5:$R$7, _xlpm.기본_색인번호, 0),
_xlpm.피해범위보정치, INDEX(Factor!$AN$5:$AV$51, _xlfn.XMATCH(IF(OR($G40="blast", $G40="curved",  $G40= "debuff"), $L40, 0), Factor!$AN$5:$AN$51, -1), _xlpm.추가_색인번호)-IF(AND(OR($G40="blast", $G40="curved", $G40= "debuff"), MOD($L40,1)&lt;&gt;0),INDEX(Factor!$AN$5:$AV$51, _xlfn.XMATCH(IF(OR($G40="blast", $G40="curved", $G40= "debuff"), $L40, 0), Factor!$AN$5:$AN$51, -1), 2)*MOD($L40,1)*10,0),
_xlpm.상태이상보정치, VLOOKUP(IF($G40 = "debuff", $M40, "null"), Factor!$AX$5:$BE$51, _xlpm.기본_색인번호, 0),
_xlpm.지속시간보정치, INDEX(Factor!$BG$5:$BO$51, _xlfn.XMATCH(IF(OR($G40 ="debuff", $G40 = "shot", $G40 = "pierce"), $O40, 0), Factor!$BG$5:$BG$51, -1), _xlpm.추가_색인번호)-IF(AND(OR($G40 ="debuff", $G40 = "shot", $G40 = "pierce"), MOD($O40, 1)&lt;&gt;0), 10*MOD($O40, 1)*INDEX(Factor!$BG$5:$BO$51, _xlfn.XMATCH(IF(OR($G40 ="debuff", $G40 = "shot", $G40 = "pierce"), $O40, 0), Factor!$BG$5:$BG$51, -1), 2), 0),
_xlpm.탄환개수보정치, VLOOKUP(IF(OR($G40 = "curved", $G40 = "shot"), $Q40, 1), Factor!$BQ$5:$BX$51, _xlpm.기본_색인번호, 0),
_xlpm.상태이상탄환생성위치보정치, IF($G40 = "debuff", VLOOKUP($R40, Factor!$K$18:$R$19, _xlpm.기본_색인번호, 0),1),
_xlpm.상태이상탄환형태보정치, IF($G40 = "debuff", VLOOKUP($S40, Factor!$K$24:$R$25, _xlpm.기본_색인번호, 0),1),
_xlpm.가격보정치, INDEX(Factor!$AE$5:$AL$51, _xlfn.XMATCH($F40,Factor!$AE$5:$AE$51, -1), _xlpm.기본_색인번호),
_xlpm.구경보정치, VLOOKUP($D40,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40"/>
      <c r="AI40"/>
      <c r="AJ40"/>
      <c r="AK40"/>
      <c r="AL40"/>
      <c r="AM40"/>
      <c r="AN40"/>
    </row>
    <row r="41" spans="1:40" ht="15.75" customHeight="1">
      <c r="A41" s="24" t="e">
        <f>"weapon_"&amp;G41&amp;"_"&amp;VLOOKUP(H41, Factor!$T$5:$AB$7, 9, 0)&amp;"_"&amp;IF(COUNTIFS($G$4:G40, G41, $H$4:H40, H41)+1&gt;=100, COUNTIFS($G$4:G40, G41, $H$4:H40, H41)+1,IF(COUNTIFS($G$4:G40, G41, $H$4:H40, H41)+1&gt;=10, "0"&amp;COUNTIFS($G$4:G40, G41, $H$4:H40, H41)+1, "00"&amp;COUNTIFS($G$4:G40, G41, $H$4:H40, H41)+1))</f>
        <v>#N/A</v>
      </c>
      <c r="B41" s="36" t="str">
        <f t="shared" si="0"/>
        <v xml:space="preserve"> </v>
      </c>
      <c r="C41" s="36"/>
      <c r="D41" s="36"/>
      <c r="E41" s="36"/>
      <c r="F41" s="25" t="e">
        <f>VLOOKUP(C41, Factor!$AD$5:$AE$15, 2, 0)</f>
        <v>#N/A</v>
      </c>
      <c r="G41" s="26" t="e">
        <f>VLOOKUP(E41, Factor!$CL$5:$CV$50, 2, 0)</f>
        <v>#N/A</v>
      </c>
      <c r="H41" s="25" t="e">
        <f>VLOOKUP(E41, Factor!$CL$5:$CV$50, 3, 0)</f>
        <v>#N/A</v>
      </c>
      <c r="I41" s="25" t="e">
        <f>VLOOKUP(E41, Factor!$CL$5:$CV$50, 4, 0)</f>
        <v>#N/A</v>
      </c>
      <c r="J41" s="25" t="e">
        <f>VLOOKUP(E41, Factor!$CL$5:$CV$50, 5, 0)</f>
        <v>#N/A</v>
      </c>
      <c r="K41" s="25">
        <v>1</v>
      </c>
      <c r="L41" s="25" t="e">
        <f>VLOOKUP(E41, Factor!$CL$5:$CV$50, 6, 0)*K41*VLOOKUP(D41, Factor!$BZ$5:$CJ$49, 9, 0)</f>
        <v>#N/A</v>
      </c>
      <c r="M41" s="25" t="e">
        <f>VLOOKUP(E41, Factor!$CL$5:$CV$50, 7, 0)</f>
        <v>#N/A</v>
      </c>
      <c r="N41" s="25">
        <v>1</v>
      </c>
      <c r="O41" s="25" t="e">
        <f>VLOOKUP(E41, Factor!$CL$5:$CV$50, 8, 0)*N41*VLOOKUP(D41, Factor!$BZ$5:$CJ$49, 10, 0)</f>
        <v>#N/A</v>
      </c>
      <c r="P41" s="25">
        <v>1</v>
      </c>
      <c r="Q41" s="25" t="e">
        <f>VLOOKUP(E41, Factor!$CL$5:$CV$50, 9, 0)*P41*VLOOKUP(D41, Factor!$BZ$5:$CJ$49, 11, 0)</f>
        <v>#N/A</v>
      </c>
      <c r="R41" s="25" t="e">
        <f>VLOOKUP(E41, Factor!$CL$5:$CV$50, 10, 0)</f>
        <v>#N/A</v>
      </c>
      <c r="S41" s="25" t="e">
        <f>VLOOKUP(E41, Factor!$CL$5:$CV$50, 11, 0)</f>
        <v>#N/A</v>
      </c>
      <c r="T41" s="25">
        <v>1</v>
      </c>
      <c r="U41" s="25">
        <v>1</v>
      </c>
      <c r="V41" s="25">
        <v>1</v>
      </c>
      <c r="W41" s="25">
        <v>1</v>
      </c>
      <c r="X41" s="25">
        <v>1</v>
      </c>
      <c r="Y41" s="25">
        <v>1</v>
      </c>
      <c r="Z41" s="25">
        <v>1</v>
      </c>
      <c r="AA41" s="25" t="e" cm="1">
        <f t="array" ref="AA41">_xlfn.LET(_xlpm.기본_색인번호, 2,
_xlpm.추가_색인번호, 3,
_xlpm.개별보정치, T41,
_xlpm.패턴보정치, VLOOKUP($G41, Factor!$B$5:$I$51, _xlpm.기본_색인번호, 0),
_xlpm.소모탄환보정치, VLOOKUP($H41, Factor!$T$5:$AA$51, _xlpm.기본_색인번호, 0),
_xlpm.지형보정치, VLOOKUP($I41, Factor!$K$12:$R$13, _xlpm.기본_색인번호, 0),
_xlpm.공격속성보정치, VLOOKUP($J41, Factor!$K$5:$R$7, _xlpm.기본_색인번호, 0),
_xlpm.피해범위보정치, INDEX(Factor!$AN$5:$AV$51, _xlfn.XMATCH(IF(OR($G41="blast", $G41="curved",  $G41= "debuff"), $L41, 0), Factor!$AN$5:$AN$51, -1), _xlpm.추가_색인번호)-IF(AND(OR($G41="blast", $G41="curved", $G41= "debuff"), MOD($L41,1)&lt;&gt;0),INDEX(Factor!$AN$5:$AV$51, _xlfn.XMATCH(IF(OR($G41="blast", $G41="curved", $G41= "debuff"), $L41, 0), Factor!$AN$5:$AN$51, -1), 2)*MOD($L41,1)*10,0),
_xlpm.상태이상보정치, VLOOKUP(IF($G41 = "debuff", $M41, "null"), Factor!$AX$5:$BE$51, _xlpm.기본_색인번호, 0),
_xlpm.지속시간보정치, INDEX(Factor!$BG$5:$BO$51, _xlfn.XMATCH(IF(OR($G41 ="debuff", $G41 = "shot", $G41 = "pierce"), $O41, 0), Factor!$BG$5:$BG$51, -1), _xlpm.추가_색인번호)-IF(AND(OR($G41 ="debuff", $G41 = "shot", $G41 = "pierce"), MOD($O41, 1)&lt;&gt;0), 10*MOD($O41, 1)*INDEX(Factor!$BG$5:$BO$51, _xlfn.XMATCH(IF(OR($G41 ="debuff", $G41 = "shot", $G41 = "pierce"), $O41, 0), Factor!$BG$5:$BG$51, -1), 2), 0),
_xlpm.탄환개수보정치, VLOOKUP(IF(OR($G41 = "curved", $G41 = "shot"), $Q41, 1), Factor!$BQ$5:$BX$51, _xlpm.기본_색인번호, 0),
_xlpm.상태이상탄환생성위치보정치, IF($G41 = "debuff", VLOOKUP($R41, Factor!$K$18:$R$19, _xlpm.기본_색인번호, 0),1),
_xlpm.상태이상탄환형태보정치, IF($G41 = "debuff", VLOOKUP($S41, Factor!$K$24:$R$25, _xlpm.기본_색인번호, 0),1),
_xlpm.가격보정치, INDEX(Factor!$AE$5:$AL$51, _xlfn.XMATCH($F41,Factor!$AE$5:$AE$51, -1), _xlpm.기본_색인번호),
_xlpm.구경보정치, VLOOKUP($D41,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41" s="25" t="e" cm="1">
        <f t="array" ref="AB41">_xlfn.LET(_xlpm.기본_색인번호, 3,
_xlpm.추가_색인번호, 4,
_xlpm.개별보정치, U41,
_xlpm.패턴보정치, VLOOKUP($G41, Factor!$B$5:$I$51, _xlpm.기본_색인번호, 0),
_xlpm.소모탄환보정치, VLOOKUP($H41, Factor!$T$5:$AA$51, _xlpm.기본_색인번호, 0),
_xlpm.지형보정치, VLOOKUP($I41, Factor!$K$12:$R$13, _xlpm.기본_색인번호, 0),
_xlpm.공격속성보정치, VLOOKUP($J41, Factor!$K$5:$R$7, _xlpm.기본_색인번호, 0),
_xlpm.피해범위보정치, INDEX(Factor!$AN$5:$AV$51, _xlfn.XMATCH(IF(OR($G41="blast", $G41="curved",  $G41= "debuff"), $L41, 0), Factor!$AN$5:$AN$51, -1), _xlpm.추가_색인번호)-IF(AND(OR($G41="blast", $G41="curved", $G41= "debuff"), MOD($L41,1)&lt;&gt;0),INDEX(Factor!$AN$5:$AV$51, _xlfn.XMATCH(IF(OR($G41="blast", $G41="curved", $G41= "debuff"), $L41, 0), Factor!$AN$5:$AN$51, -1), 2)*MOD($L41,1)*10,0),
_xlpm.상태이상보정치, VLOOKUP(IF($G41 = "debuff", $M41, "null"), Factor!$AX$5:$BE$51, _xlpm.기본_색인번호, 0),
_xlpm.지속시간보정치, INDEX(Factor!$BG$5:$BO$51, _xlfn.XMATCH(IF(OR($G41 ="debuff", $G41 = "shot", $G41 = "pierce"), $O41, 0), Factor!$BG$5:$BG$51, -1), _xlpm.추가_색인번호)-IF(AND(OR($G41 ="debuff", $G41 = "shot", $G41 = "pierce"), MOD($O41, 1)&lt;&gt;0), 10*MOD($O41, 1)*INDEX(Factor!$BG$5:$BO$51, _xlfn.XMATCH(IF(OR($G41 ="debuff", $G41 = "shot", $G41 = "pierce"), $O41, 0), Factor!$BG$5:$BG$51, -1), 2), 0),
_xlpm.탄환개수보정치, VLOOKUP(IF(OR($G41 = "curved", $G41 = "shot"), $Q41, 1), Factor!$BQ$5:$BX$51, _xlpm.기본_색인번호, 0),
_xlpm.상태이상탄환생성위치보정치, IF($G41 = "debuff", VLOOKUP($R41, Factor!$K$18:$R$19, _xlpm.기본_색인번호, 0),1),
_xlpm.상태이상탄환형태보정치, IF($G41 = "debuff", VLOOKUP($S41, Factor!$K$24:$R$25, _xlpm.기본_색인번호, 0),1),
_xlpm.가격보정치, INDEX(Factor!$AE$5:$AL$51, _xlfn.XMATCH($F41,Factor!$AE$5:$AE$51, -1), _xlpm.기본_색인번호),
_xlpm.구경보정치, VLOOKUP($D41,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41" s="25" t="e" cm="1">
        <f t="array" ref="AC41">_xlfn.LET(_xlpm.기본_색인번호, 4,
_xlpm.추가_색인번호, 5,
_xlpm.개별보정치, V41,
_xlpm.패턴보정치, VLOOKUP($G41, Factor!$B$5:$I$51, _xlpm.기본_색인번호, 0),
_xlpm.소모탄환보정치, VLOOKUP($H41, Factor!$T$5:$AA$51, _xlpm.기본_색인번호, 0),
_xlpm.지형보정치, VLOOKUP($I41, Factor!$K$12:$R$13, _xlpm.기본_색인번호, 0),
_xlpm.공격속성보정치, VLOOKUP($J41, Factor!$K$5:$R$7, _xlpm.기본_색인번호, 0),
_xlpm.피해범위보정치, INDEX(Factor!$AN$5:$AV$51, _xlfn.XMATCH(IF(OR($G41="blast", $G41="curved",  $G41= "debuff"), $L41, 0), Factor!$AN$5:$AN$51, -1), _xlpm.추가_색인번호)-IF(AND(OR($G41="blast", $G41="curved", $G41= "debuff"), MOD($L41,1)&lt;&gt;0),INDEX(Factor!$AN$5:$AV$51, _xlfn.XMATCH(IF(OR($G41="blast", $G41="curved", $G41= "debuff"), $L41, 0), Factor!$AN$5:$AN$51, -1), 2)*MOD($L41,1)*10,0),
_xlpm.상태이상보정치, VLOOKUP(IF($G41 = "debuff", $M41, "null"), Factor!$AX$5:$BE$51, _xlpm.기본_색인번호, 0),
_xlpm.지속시간보정치, INDEX(Factor!$BG$5:$BO$51, _xlfn.XMATCH(IF(OR($G41 ="debuff", $G41 = "shot", $G41 = "pierce"), $O41, 0), Factor!$BG$5:$BG$51, -1), _xlpm.추가_색인번호)-IF(AND(OR($G41 ="debuff", $G41 = "shot", $G41 = "pierce"), MOD($O41, 1)&lt;&gt;0), 10*MOD($O41, 1)*INDEX(Factor!$BG$5:$BO$51, _xlfn.XMATCH(IF(OR($G41 ="debuff", $G41 = "shot", $G41 = "pierce"), $O41, 0), Factor!$BG$5:$BG$51, -1), 2), 0),
_xlpm.탄환개수보정치, VLOOKUP(IF(OR($G41 = "curved", $G41 = "shot"), $Q41, 1), Factor!$BQ$5:$BX$51, _xlpm.기본_색인번호, 0),
_xlpm.상태이상탄환생성위치보정치, IF($G41 = "debuff", VLOOKUP($R41, Factor!$K$18:$R$19, _xlpm.기본_색인번호, 0),1),
_xlpm.상태이상탄환형태보정치, IF($G41 = "debuff", VLOOKUP($S41, Factor!$K$24:$R$25, _xlpm.기본_색인번호, 0),1),
_xlpm.가격보정치, INDEX(Factor!$AE$5:$AL$51, _xlfn.XMATCH($F41,Factor!$AE$5:$AE$51, -1), _xlpm.기본_색인번호),
_xlpm.구경보정치, VLOOKUP($D41,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41" s="25" t="e" cm="1">
        <f t="array" ref="AD41">_xlfn.LET(_xlpm.기본_색인번호, 5,
_xlpm.추가_색인번호, 6,
_xlpm.개별보정치, W41,
_xlpm.패턴보정치, VLOOKUP($G41, Factor!$B$5:$I$51, _xlpm.기본_색인번호, 0),
_xlpm.소모탄환보정치, VLOOKUP($H41, Factor!$T$5:$AA$51, _xlpm.기본_색인번호, 0),
_xlpm.지형보정치, VLOOKUP($I41, Factor!$K$12:$R$13, _xlpm.기본_색인번호, 0),
_xlpm.공격속성보정치, VLOOKUP($J41, Factor!$K$5:$R$7, _xlpm.기본_색인번호, 0),
_xlpm.피해범위보정치, INDEX(Factor!$AN$5:$AV$51, _xlfn.XMATCH(IF(OR($G41="blast", $G41="curved",  $G41= "debuff"), $L41, 0), Factor!$AN$5:$AN$51, -1), _xlpm.추가_색인번호)-IF(AND(OR($G41="blast", $G41="curved", $G41= "debuff"), MOD($L41,1)&lt;&gt;0),INDEX(Factor!$AN$5:$AV$51, _xlfn.XMATCH(IF(OR($G41="blast", $G41="curved", $G41= "debuff"), $L41, 0), Factor!$AN$5:$AN$51, -1), 2)*MOD($L41,1)*10,0),
_xlpm.상태이상보정치, VLOOKUP(IF($G41 = "debuff", $M41, "null"), Factor!$AX$5:$BE$51, _xlpm.기본_색인번호, 0),
_xlpm.지속시간보정치, INDEX(Factor!$BG$5:$BO$51, _xlfn.XMATCH(IF(OR($G41 ="debuff", $G41 = "shot", $G41 = "pierce"), $O41, 0), Factor!$BG$5:$BG$51, -1), _xlpm.추가_색인번호)-IF(AND(OR($G41 ="debuff", $G41 = "shot", $G41 = "pierce"), MOD($O41, 1)&lt;&gt;0), 10*MOD($O41, 1)*INDEX(Factor!$BG$5:$BO$51, _xlfn.XMATCH(IF(OR($G41 ="debuff", $G41 = "shot", $G41 = "pierce"), $O41, 0), Factor!$BG$5:$BG$51, -1), 2), 0),
_xlpm.탄환개수보정치, VLOOKUP(IF(OR($G41 = "curved", $G41 = "shot"), $Q41, 1), Factor!$BQ$5:$BX$51, _xlpm.기본_색인번호, 0),
_xlpm.상태이상탄환생성위치보정치, IF($G41 = "debuff", VLOOKUP($R41, Factor!$K$18:$R$19, _xlpm.기본_색인번호, 0),1),
_xlpm.상태이상탄환형태보정치, IF($G41 = "debuff", VLOOKUP($S41, Factor!$K$24:$R$25, _xlpm.기본_색인번호, 0),1),
_xlpm.가격보정치, INDEX(Factor!$AE$5:$AL$51, _xlfn.XMATCH($F41,Factor!$AE$5:$AE$51, -1), _xlpm.기본_색인번호),
_xlpm.구경보정치, VLOOKUP($D41,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41" s="25" t="e" cm="1">
        <f t="array" ref="AE41">_xlfn.LET(_xlpm.기본_색인번호, 6,
_xlpm.추가_색인번호, 7,
_xlpm.개별보정치, X41,
_xlpm.패턴보정치, VLOOKUP($G41, Factor!$B$5:$I$51, _xlpm.기본_색인번호, 0),
_xlpm.소모탄환보정치, VLOOKUP($H41, Factor!$T$5:$AA$51, _xlpm.기본_색인번호, 0),
_xlpm.지형보정치, VLOOKUP($I41, Factor!$K$12:$R$13, _xlpm.기본_색인번호, 0),
_xlpm.공격속성보정치, VLOOKUP($J41, Factor!$K$5:$R$7, _xlpm.기본_색인번호, 0),
_xlpm.피해범위보정치, INDEX(Factor!$AN$5:$AV$51, _xlfn.XMATCH(IF(OR($G41="blast", $G41="curved",  $G41= "debuff"), $L41, 0), Factor!$AN$5:$AN$51, -1), _xlpm.추가_색인번호)-IF(AND(OR($G41="blast", $G41="curved", $G41= "debuff"), MOD($L41,1)&lt;&gt;0),INDEX(Factor!$AN$5:$AV$51, _xlfn.XMATCH(IF(OR($G41="blast", $G41="curved", $G41= "debuff"), $L41, 0), Factor!$AN$5:$AN$51, -1), 2)*MOD($L41,1)*10,0),
_xlpm.상태이상보정치, VLOOKUP(IF($G41 = "debuff", $M41, "null"), Factor!$AX$5:$BE$51, _xlpm.기본_색인번호, 0),
_xlpm.지속시간보정치, INDEX(Factor!$BG$5:$BO$51, _xlfn.XMATCH(IF(OR($G41 ="debuff", $G41 = "shot", $G41 = "pierce"), $O41, 0), Factor!$BG$5:$BG$51, -1), _xlpm.추가_색인번호)-IF(AND(OR($G41 ="debuff", $G41 = "shot", $G41 = "pierce"), MOD($O41, 1)&lt;&gt;0), 10*MOD($O41, 1)*INDEX(Factor!$BG$5:$BO$51, _xlfn.XMATCH(IF(OR($G41 ="debuff", $G41 = "shot", $G41 = "pierce"), $O41, 0), Factor!$BG$5:$BG$51, -1), 2), 0),
_xlpm.탄환개수보정치, VLOOKUP(IF(OR($G41 = "curved", $G41 = "shot"), $Q41, 1), Factor!$BQ$5:$BX$51, _xlpm.기본_색인번호, 0),
_xlpm.상태이상탄환생성위치보정치, IF($G41 = "debuff", VLOOKUP($R41, Factor!$K$18:$R$19, _xlpm.기본_색인번호, 0),1),
_xlpm.상태이상탄환형태보정치, IF($G41 = "debuff", VLOOKUP($S41, Factor!$K$24:$R$25, _xlpm.기본_색인번호, 0),1),
_xlpm.가격보정치, INDEX(Factor!$AE$5:$AL$51, _xlfn.XMATCH($F41,Factor!$AE$5:$AE$51, -1), _xlpm.기본_색인번호),
_xlpm.구경보정치, VLOOKUP($D41,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41" s="25" t="e" cm="1">
        <f t="array" ref="AF41">_xlfn.LET(_xlpm.기본_색인번호, 7,
_xlpm.추가_색인번호, 8,
_xlpm.개별보정치, Y41,
_xlpm.패턴보정치, VLOOKUP($G41, Factor!$B$5:$I$51, _xlpm.기본_색인번호, 0),
_xlpm.소모탄환보정치, VLOOKUP($H41, Factor!$T$5:$AA$51, _xlpm.기본_색인번호, 0),
_xlpm.지형보정치, VLOOKUP($I41, Factor!$K$12:$R$13, _xlpm.기본_색인번호, 0),
_xlpm.공격속성보정치, VLOOKUP($J41, Factor!$K$5:$R$7, _xlpm.기본_색인번호, 0),
_xlpm.피해범위보정치, INDEX(Factor!$AN$5:$AV$51, _xlfn.XMATCH(IF(OR($G41="blast", $G41="curved",  $G41= "debuff"), $L41, 0), Factor!$AN$5:$AN$51, -1), _xlpm.추가_색인번호)-IF(AND(OR($G41="blast", $G41="curved", $G41= "debuff"), MOD($L41,1)&lt;&gt;0),INDEX(Factor!$AN$5:$AV$51, _xlfn.XMATCH(IF(OR($G41="blast", $G41="curved", $G41= "debuff"), $L41, 0), Factor!$AN$5:$AN$51, -1), 2)*MOD($L41,1)*10,0),
_xlpm.상태이상보정치, VLOOKUP(IF($G41 = "debuff", $M41, "null"), Factor!$AX$5:$BE$51, _xlpm.기본_색인번호, 0),
_xlpm.지속시간보정치, INDEX(Factor!$BG$5:$BO$51, _xlfn.XMATCH(IF(OR($G41 ="debuff", $G41 = "shot", $G41 = "pierce"), $O41, 0), Factor!$BG$5:$BG$51, -1), _xlpm.추가_색인번호)-IF(AND(OR($G41 ="debuff", $G41 = "shot", $G41 = "pierce"), MOD($O41, 1)&lt;&gt;0), 10*MOD($O41, 1)*INDEX(Factor!$BG$5:$BO$51, _xlfn.XMATCH(IF(OR($G41 ="debuff", $G41 = "shot", $G41 = "pierce"), $O41, 0), Factor!$BG$5:$BG$51, -1), 2), 0),
_xlpm.탄환개수보정치, VLOOKUP(IF(OR($G41 = "curved", $G41 = "shot"), $Q41, 1), Factor!$BQ$5:$BX$51, _xlpm.기본_색인번호, 0),
_xlpm.상태이상탄환생성위치보정치, IF($G41 = "debuff", VLOOKUP($R41, Factor!$K$18:$R$19, _xlpm.기본_색인번호, 0),1),
_xlpm.상태이상탄환형태보정치, IF($G41 = "debuff", VLOOKUP($S41, Factor!$K$24:$R$25, _xlpm.기본_색인번호, 0),1),
_xlpm.가격보정치, INDEX(Factor!$AE$5:$AL$51, _xlfn.XMATCH($F41,Factor!$AE$5:$AE$51, -1), _xlpm.기본_색인번호),
_xlpm.구경보정치, VLOOKUP($D41,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41" s="27" t="e" cm="1">
        <f t="array" ref="AG41">_xlfn.LET(_xlpm.기본_색인번호, 8,
_xlpm.추가_색인번호, 9,
_xlpm.개별보정치, Z41,
_xlpm.패턴보정치, VLOOKUP($G41, Factor!$B$5:$I$51, _xlpm.기본_색인번호, 0),
_xlpm.소모탄환보정치, VLOOKUP($H41, Factor!$T$5:$AA$51, _xlpm.기본_색인번호, 0),
_xlpm.지형보정치, VLOOKUP($I41, Factor!$K$12:$R$13, _xlpm.기본_색인번호, 0),
_xlpm.공격속성보정치, VLOOKUP($J41, Factor!$K$5:$R$7, _xlpm.기본_색인번호, 0),
_xlpm.피해범위보정치, INDEX(Factor!$AN$5:$AV$51, _xlfn.XMATCH(IF(OR($G41="blast", $G41="curved",  $G41= "debuff"), $L41, 0), Factor!$AN$5:$AN$51, -1), _xlpm.추가_색인번호)-IF(AND(OR($G41="blast", $G41="curved", $G41= "debuff"), MOD($L41,1)&lt;&gt;0),INDEX(Factor!$AN$5:$AV$51, _xlfn.XMATCH(IF(OR($G41="blast", $G41="curved", $G41= "debuff"), $L41, 0), Factor!$AN$5:$AN$51, -1), 2)*MOD($L41,1)*10,0),
_xlpm.상태이상보정치, VLOOKUP(IF($G41 = "debuff", $M41, "null"), Factor!$AX$5:$BE$51, _xlpm.기본_색인번호, 0),
_xlpm.지속시간보정치, INDEX(Factor!$BG$5:$BO$51, _xlfn.XMATCH(IF(OR($G41 ="debuff", $G41 = "shot", $G41 = "pierce"), $O41, 0), Factor!$BG$5:$BG$51, -1), _xlpm.추가_색인번호)-IF(AND(OR($G41 ="debuff", $G41 = "shot", $G41 = "pierce"), MOD($O41, 1)&lt;&gt;0), 10*MOD($O41, 1)*INDEX(Factor!$BG$5:$BO$51, _xlfn.XMATCH(IF(OR($G41 ="debuff", $G41 = "shot", $G41 = "pierce"), $O41, 0), Factor!$BG$5:$BG$51, -1), 2), 0),
_xlpm.탄환개수보정치, VLOOKUP(IF(OR($G41 = "curved", $G41 = "shot"), $Q41, 1), Factor!$BQ$5:$BX$51, _xlpm.기본_색인번호, 0),
_xlpm.상태이상탄환생성위치보정치, IF($G41 = "debuff", VLOOKUP($R41, Factor!$K$18:$R$19, _xlpm.기본_색인번호, 0),1),
_xlpm.상태이상탄환형태보정치, IF($G41 = "debuff", VLOOKUP($S41, Factor!$K$24:$R$25, _xlpm.기본_색인번호, 0),1),
_xlpm.가격보정치, INDEX(Factor!$AE$5:$AL$51, _xlfn.XMATCH($F41,Factor!$AE$5:$AE$51, -1), _xlpm.기본_색인번호),
_xlpm.구경보정치, VLOOKUP($D41,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41"/>
      <c r="AI41"/>
      <c r="AJ41"/>
      <c r="AK41"/>
      <c r="AL41"/>
      <c r="AM41"/>
      <c r="AN41"/>
    </row>
    <row r="42" spans="1:40" ht="15.75" customHeight="1">
      <c r="A42" s="28" t="e">
        <f>"weapon_"&amp;G42&amp;"_"&amp;VLOOKUP(H42, Factor!$T$5:$AB$7, 9, 0)&amp;"_"&amp;IF(COUNTIFS($G$4:G41, G42, $H$4:H41, H42)+1&gt;=100, COUNTIFS($G$4:G41, G42, $H$4:H41, H42)+1,IF(COUNTIFS($G$4:G41, G42, $H$4:H41, H42)+1&gt;=10, "0"&amp;COUNTIFS($G$4:G41, G42, $H$4:H41, H42)+1, "00"&amp;COUNTIFS($G$4:G41, G42, $H$4:H41, H42)+1))</f>
        <v>#N/A</v>
      </c>
      <c r="B42" s="37" t="str">
        <f t="shared" si="0"/>
        <v xml:space="preserve"> </v>
      </c>
      <c r="C42" s="37"/>
      <c r="D42" s="37"/>
      <c r="E42" s="37"/>
      <c r="F42" s="29" t="e">
        <f>VLOOKUP(C42, Factor!$AD$5:$AE$15, 2, 0)</f>
        <v>#N/A</v>
      </c>
      <c r="G42" s="29" t="e">
        <f>VLOOKUP(E42, Factor!$CL$5:$CV$50, 2, 0)</f>
        <v>#N/A</v>
      </c>
      <c r="H42" s="29" t="e">
        <f>VLOOKUP(E42, Factor!$CL$5:$CV$50, 3, 0)</f>
        <v>#N/A</v>
      </c>
      <c r="I42" s="29" t="e">
        <f>VLOOKUP(E42, Factor!$CL$5:$CV$50, 4, 0)</f>
        <v>#N/A</v>
      </c>
      <c r="J42" s="29" t="e">
        <f>VLOOKUP(E42, Factor!$CL$5:$CV$50, 5, 0)</f>
        <v>#N/A</v>
      </c>
      <c r="K42" s="29">
        <v>1</v>
      </c>
      <c r="L42" s="29" t="e">
        <f>VLOOKUP(E42, Factor!$CL$5:$CV$50, 6, 0)*K42*VLOOKUP(D42, Factor!$BZ$5:$CJ$49, 9, 0)</f>
        <v>#N/A</v>
      </c>
      <c r="M42" s="29" t="e">
        <f>VLOOKUP(E42, Factor!$CL$5:$CV$50, 7, 0)</f>
        <v>#N/A</v>
      </c>
      <c r="N42" s="29">
        <v>1</v>
      </c>
      <c r="O42" s="29" t="e">
        <f>VLOOKUP(E42, Factor!$CL$5:$CV$50, 8, 0)*N42*VLOOKUP(D42, Factor!$BZ$5:$CJ$49, 10, 0)</f>
        <v>#N/A</v>
      </c>
      <c r="P42" s="29">
        <v>1</v>
      </c>
      <c r="Q42" s="29" t="e">
        <f>VLOOKUP(E42, Factor!$CL$5:$CV$50, 9, 0)*P42*VLOOKUP(D42, Factor!$BZ$5:$CJ$49, 11, 0)</f>
        <v>#N/A</v>
      </c>
      <c r="R42" s="29" t="e">
        <f>VLOOKUP(E42, Factor!$CL$5:$CV$50, 10, 0)</f>
        <v>#N/A</v>
      </c>
      <c r="S42" s="29" t="e">
        <f>VLOOKUP(E42, Factor!$CL$5:$CV$50, 11, 0)</f>
        <v>#N/A</v>
      </c>
      <c r="T42" s="29">
        <v>1</v>
      </c>
      <c r="U42" s="29">
        <v>1</v>
      </c>
      <c r="V42" s="29">
        <v>1</v>
      </c>
      <c r="W42" s="29">
        <v>1</v>
      </c>
      <c r="X42" s="29">
        <v>1</v>
      </c>
      <c r="Y42" s="29">
        <v>1</v>
      </c>
      <c r="Z42" s="29">
        <v>1</v>
      </c>
      <c r="AA42" s="29" t="e" cm="1">
        <f t="array" ref="AA42">_xlfn.LET(_xlpm.기본_색인번호, 2,
_xlpm.추가_색인번호, 3,
_xlpm.개별보정치, T42,
_xlpm.패턴보정치, VLOOKUP($G42, Factor!$B$5:$I$51, _xlpm.기본_색인번호, 0),
_xlpm.소모탄환보정치, VLOOKUP($H42, Factor!$T$5:$AA$51, _xlpm.기본_색인번호, 0),
_xlpm.지형보정치, VLOOKUP($I42, Factor!$K$12:$R$13, _xlpm.기본_색인번호, 0),
_xlpm.공격속성보정치, VLOOKUP($J42, Factor!$K$5:$R$7, _xlpm.기본_색인번호, 0),
_xlpm.피해범위보정치, INDEX(Factor!$AN$5:$AV$51, _xlfn.XMATCH(IF(OR($G42="blast", $G42="curved",  $G42= "debuff"), $L42, 0), Factor!$AN$5:$AN$51, -1), _xlpm.추가_색인번호)-IF(AND(OR($G42="blast", $G42="curved", $G42= "debuff"), MOD($L42,1)&lt;&gt;0),INDEX(Factor!$AN$5:$AV$51, _xlfn.XMATCH(IF(OR($G42="blast", $G42="curved", $G42= "debuff"), $L42, 0), Factor!$AN$5:$AN$51, -1), 2)*MOD($L42,1)*10,0),
_xlpm.상태이상보정치, VLOOKUP(IF($G42 = "debuff", $M42, "null"), Factor!$AX$5:$BE$51, _xlpm.기본_색인번호, 0),
_xlpm.지속시간보정치, INDEX(Factor!$BG$5:$BO$51, _xlfn.XMATCH(IF(OR($G42 ="debuff", $G42 = "shot", $G42 = "pierce"), $O42, 0), Factor!$BG$5:$BG$51, -1), _xlpm.추가_색인번호)-IF(AND(OR($G42 ="debuff", $G42 = "shot", $G42 = "pierce"), MOD($O42, 1)&lt;&gt;0), 10*MOD($O42, 1)*INDEX(Factor!$BG$5:$BO$51, _xlfn.XMATCH(IF(OR($G42 ="debuff", $G42 = "shot", $G42 = "pierce"), $O42, 0), Factor!$BG$5:$BG$51, -1), 2), 0),
_xlpm.탄환개수보정치, VLOOKUP(IF(OR($G42 = "curved", $G42 = "shot"), $Q42, 1), Factor!$BQ$5:$BX$51, _xlpm.기본_색인번호, 0),
_xlpm.상태이상탄환생성위치보정치, IF($G42 = "debuff", VLOOKUP($R42, Factor!$K$18:$R$19, _xlpm.기본_색인번호, 0),1),
_xlpm.상태이상탄환형태보정치, IF($G42 = "debuff", VLOOKUP($S42, Factor!$K$24:$R$25, _xlpm.기본_색인번호, 0),1),
_xlpm.가격보정치, INDEX(Factor!$AE$5:$AL$51, _xlfn.XMATCH($F42,Factor!$AE$5:$AE$51, -1), _xlpm.기본_색인번호),
_xlpm.구경보정치, VLOOKUP($D42,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42" s="29" t="e" cm="1">
        <f t="array" ref="AB42">_xlfn.LET(_xlpm.기본_색인번호, 3,
_xlpm.추가_색인번호, 4,
_xlpm.개별보정치, U42,
_xlpm.패턴보정치, VLOOKUP($G42, Factor!$B$5:$I$51, _xlpm.기본_색인번호, 0),
_xlpm.소모탄환보정치, VLOOKUP($H42, Factor!$T$5:$AA$51, _xlpm.기본_색인번호, 0),
_xlpm.지형보정치, VLOOKUP($I42, Factor!$K$12:$R$13, _xlpm.기본_색인번호, 0),
_xlpm.공격속성보정치, VLOOKUP($J42, Factor!$K$5:$R$7, _xlpm.기본_색인번호, 0),
_xlpm.피해범위보정치, INDEX(Factor!$AN$5:$AV$51, _xlfn.XMATCH(IF(OR($G42="blast", $G42="curved",  $G42= "debuff"), $L42, 0), Factor!$AN$5:$AN$51, -1), _xlpm.추가_색인번호)-IF(AND(OR($G42="blast", $G42="curved", $G42= "debuff"), MOD($L42,1)&lt;&gt;0),INDEX(Factor!$AN$5:$AV$51, _xlfn.XMATCH(IF(OR($G42="blast", $G42="curved", $G42= "debuff"), $L42, 0), Factor!$AN$5:$AN$51, -1), 2)*MOD($L42,1)*10,0),
_xlpm.상태이상보정치, VLOOKUP(IF($G42 = "debuff", $M42, "null"), Factor!$AX$5:$BE$51, _xlpm.기본_색인번호, 0),
_xlpm.지속시간보정치, INDEX(Factor!$BG$5:$BO$51, _xlfn.XMATCH(IF(OR($G42 ="debuff", $G42 = "shot", $G42 = "pierce"), $O42, 0), Factor!$BG$5:$BG$51, -1), _xlpm.추가_색인번호)-IF(AND(OR($G42 ="debuff", $G42 = "shot", $G42 = "pierce"), MOD($O42, 1)&lt;&gt;0), 10*MOD($O42, 1)*INDEX(Factor!$BG$5:$BO$51, _xlfn.XMATCH(IF(OR($G42 ="debuff", $G42 = "shot", $G42 = "pierce"), $O42, 0), Factor!$BG$5:$BG$51, -1), 2), 0),
_xlpm.탄환개수보정치, VLOOKUP(IF(OR($G42 = "curved", $G42 = "shot"), $Q42, 1), Factor!$BQ$5:$BX$51, _xlpm.기본_색인번호, 0),
_xlpm.상태이상탄환생성위치보정치, IF($G42 = "debuff", VLOOKUP($R42, Factor!$K$18:$R$19, _xlpm.기본_색인번호, 0),1),
_xlpm.상태이상탄환형태보정치, IF($G42 = "debuff", VLOOKUP($S42, Factor!$K$24:$R$25, _xlpm.기본_색인번호, 0),1),
_xlpm.가격보정치, INDEX(Factor!$AE$5:$AL$51, _xlfn.XMATCH($F42,Factor!$AE$5:$AE$51, -1), _xlpm.기본_색인번호),
_xlpm.구경보정치, VLOOKUP($D42,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42" s="29" t="e" cm="1">
        <f t="array" ref="AC42">_xlfn.LET(_xlpm.기본_색인번호, 4,
_xlpm.추가_색인번호, 5,
_xlpm.개별보정치, V42,
_xlpm.패턴보정치, VLOOKUP($G42, Factor!$B$5:$I$51, _xlpm.기본_색인번호, 0),
_xlpm.소모탄환보정치, VLOOKUP($H42, Factor!$T$5:$AA$51, _xlpm.기본_색인번호, 0),
_xlpm.지형보정치, VLOOKUP($I42, Factor!$K$12:$R$13, _xlpm.기본_색인번호, 0),
_xlpm.공격속성보정치, VLOOKUP($J42, Factor!$K$5:$R$7, _xlpm.기본_색인번호, 0),
_xlpm.피해범위보정치, INDEX(Factor!$AN$5:$AV$51, _xlfn.XMATCH(IF(OR($G42="blast", $G42="curved",  $G42= "debuff"), $L42, 0), Factor!$AN$5:$AN$51, -1), _xlpm.추가_색인번호)-IF(AND(OR($G42="blast", $G42="curved", $G42= "debuff"), MOD($L42,1)&lt;&gt;0),INDEX(Factor!$AN$5:$AV$51, _xlfn.XMATCH(IF(OR($G42="blast", $G42="curved", $G42= "debuff"), $L42, 0), Factor!$AN$5:$AN$51, -1), 2)*MOD($L42,1)*10,0),
_xlpm.상태이상보정치, VLOOKUP(IF($G42 = "debuff", $M42, "null"), Factor!$AX$5:$BE$51, _xlpm.기본_색인번호, 0),
_xlpm.지속시간보정치, INDEX(Factor!$BG$5:$BO$51, _xlfn.XMATCH(IF(OR($G42 ="debuff", $G42 = "shot", $G42 = "pierce"), $O42, 0), Factor!$BG$5:$BG$51, -1), _xlpm.추가_색인번호)-IF(AND(OR($G42 ="debuff", $G42 = "shot", $G42 = "pierce"), MOD($O42, 1)&lt;&gt;0), 10*MOD($O42, 1)*INDEX(Factor!$BG$5:$BO$51, _xlfn.XMATCH(IF(OR($G42 ="debuff", $G42 = "shot", $G42 = "pierce"), $O42, 0), Factor!$BG$5:$BG$51, -1), 2), 0),
_xlpm.탄환개수보정치, VLOOKUP(IF(OR($G42 = "curved", $G42 = "shot"), $Q42, 1), Factor!$BQ$5:$BX$51, _xlpm.기본_색인번호, 0),
_xlpm.상태이상탄환생성위치보정치, IF($G42 = "debuff", VLOOKUP($R42, Factor!$K$18:$R$19, _xlpm.기본_색인번호, 0),1),
_xlpm.상태이상탄환형태보정치, IF($G42 = "debuff", VLOOKUP($S42, Factor!$K$24:$R$25, _xlpm.기본_색인번호, 0),1),
_xlpm.가격보정치, INDEX(Factor!$AE$5:$AL$51, _xlfn.XMATCH($F42,Factor!$AE$5:$AE$51, -1), _xlpm.기본_색인번호),
_xlpm.구경보정치, VLOOKUP($D42,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42" s="29" t="e" cm="1">
        <f t="array" ref="AD42">_xlfn.LET(_xlpm.기본_색인번호, 5,
_xlpm.추가_색인번호, 6,
_xlpm.개별보정치, W42,
_xlpm.패턴보정치, VLOOKUP($G42, Factor!$B$5:$I$51, _xlpm.기본_색인번호, 0),
_xlpm.소모탄환보정치, VLOOKUP($H42, Factor!$T$5:$AA$51, _xlpm.기본_색인번호, 0),
_xlpm.지형보정치, VLOOKUP($I42, Factor!$K$12:$R$13, _xlpm.기본_색인번호, 0),
_xlpm.공격속성보정치, VLOOKUP($J42, Factor!$K$5:$R$7, _xlpm.기본_색인번호, 0),
_xlpm.피해범위보정치, INDEX(Factor!$AN$5:$AV$51, _xlfn.XMATCH(IF(OR($G42="blast", $G42="curved",  $G42= "debuff"), $L42, 0), Factor!$AN$5:$AN$51, -1), _xlpm.추가_색인번호)-IF(AND(OR($G42="blast", $G42="curved", $G42= "debuff"), MOD($L42,1)&lt;&gt;0),INDEX(Factor!$AN$5:$AV$51, _xlfn.XMATCH(IF(OR($G42="blast", $G42="curved", $G42= "debuff"), $L42, 0), Factor!$AN$5:$AN$51, -1), 2)*MOD($L42,1)*10,0),
_xlpm.상태이상보정치, VLOOKUP(IF($G42 = "debuff", $M42, "null"), Factor!$AX$5:$BE$51, _xlpm.기본_색인번호, 0),
_xlpm.지속시간보정치, INDEX(Factor!$BG$5:$BO$51, _xlfn.XMATCH(IF(OR($G42 ="debuff", $G42 = "shot", $G42 = "pierce"), $O42, 0), Factor!$BG$5:$BG$51, -1), _xlpm.추가_색인번호)-IF(AND(OR($G42 ="debuff", $G42 = "shot", $G42 = "pierce"), MOD($O42, 1)&lt;&gt;0), 10*MOD($O42, 1)*INDEX(Factor!$BG$5:$BO$51, _xlfn.XMATCH(IF(OR($G42 ="debuff", $G42 = "shot", $G42 = "pierce"), $O42, 0), Factor!$BG$5:$BG$51, -1), 2), 0),
_xlpm.탄환개수보정치, VLOOKUP(IF(OR($G42 = "curved", $G42 = "shot"), $Q42, 1), Factor!$BQ$5:$BX$51, _xlpm.기본_색인번호, 0),
_xlpm.상태이상탄환생성위치보정치, IF($G42 = "debuff", VLOOKUP($R42, Factor!$K$18:$R$19, _xlpm.기본_색인번호, 0),1),
_xlpm.상태이상탄환형태보정치, IF($G42 = "debuff", VLOOKUP($S42, Factor!$K$24:$R$25, _xlpm.기본_색인번호, 0),1),
_xlpm.가격보정치, INDEX(Factor!$AE$5:$AL$51, _xlfn.XMATCH($F42,Factor!$AE$5:$AE$51, -1), _xlpm.기본_색인번호),
_xlpm.구경보정치, VLOOKUP($D42,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42" s="29" t="e" cm="1">
        <f t="array" ref="AE42">_xlfn.LET(_xlpm.기본_색인번호, 6,
_xlpm.추가_색인번호, 7,
_xlpm.개별보정치, X42,
_xlpm.패턴보정치, VLOOKUP($G42, Factor!$B$5:$I$51, _xlpm.기본_색인번호, 0),
_xlpm.소모탄환보정치, VLOOKUP($H42, Factor!$T$5:$AA$51, _xlpm.기본_색인번호, 0),
_xlpm.지형보정치, VLOOKUP($I42, Factor!$K$12:$R$13, _xlpm.기본_색인번호, 0),
_xlpm.공격속성보정치, VLOOKUP($J42, Factor!$K$5:$R$7, _xlpm.기본_색인번호, 0),
_xlpm.피해범위보정치, INDEX(Factor!$AN$5:$AV$51, _xlfn.XMATCH(IF(OR($G42="blast", $G42="curved",  $G42= "debuff"), $L42, 0), Factor!$AN$5:$AN$51, -1), _xlpm.추가_색인번호)-IF(AND(OR($G42="blast", $G42="curved", $G42= "debuff"), MOD($L42,1)&lt;&gt;0),INDEX(Factor!$AN$5:$AV$51, _xlfn.XMATCH(IF(OR($G42="blast", $G42="curved", $G42= "debuff"), $L42, 0), Factor!$AN$5:$AN$51, -1), 2)*MOD($L42,1)*10,0),
_xlpm.상태이상보정치, VLOOKUP(IF($G42 = "debuff", $M42, "null"), Factor!$AX$5:$BE$51, _xlpm.기본_색인번호, 0),
_xlpm.지속시간보정치, INDEX(Factor!$BG$5:$BO$51, _xlfn.XMATCH(IF(OR($G42 ="debuff", $G42 = "shot", $G42 = "pierce"), $O42, 0), Factor!$BG$5:$BG$51, -1), _xlpm.추가_색인번호)-IF(AND(OR($G42 ="debuff", $G42 = "shot", $G42 = "pierce"), MOD($O42, 1)&lt;&gt;0), 10*MOD($O42, 1)*INDEX(Factor!$BG$5:$BO$51, _xlfn.XMATCH(IF(OR($G42 ="debuff", $G42 = "shot", $G42 = "pierce"), $O42, 0), Factor!$BG$5:$BG$51, -1), 2), 0),
_xlpm.탄환개수보정치, VLOOKUP(IF(OR($G42 = "curved", $G42 = "shot"), $Q42, 1), Factor!$BQ$5:$BX$51, _xlpm.기본_색인번호, 0),
_xlpm.상태이상탄환생성위치보정치, IF($G42 = "debuff", VLOOKUP($R42, Factor!$K$18:$R$19, _xlpm.기본_색인번호, 0),1),
_xlpm.상태이상탄환형태보정치, IF($G42 = "debuff", VLOOKUP($S42, Factor!$K$24:$R$25, _xlpm.기본_색인번호, 0),1),
_xlpm.가격보정치, INDEX(Factor!$AE$5:$AL$51, _xlfn.XMATCH($F42,Factor!$AE$5:$AE$51, -1), _xlpm.기본_색인번호),
_xlpm.구경보정치, VLOOKUP($D42,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42" s="29" t="e" cm="1">
        <f t="array" ref="AF42">_xlfn.LET(_xlpm.기본_색인번호, 7,
_xlpm.추가_색인번호, 8,
_xlpm.개별보정치, Y42,
_xlpm.패턴보정치, VLOOKUP($G42, Factor!$B$5:$I$51, _xlpm.기본_색인번호, 0),
_xlpm.소모탄환보정치, VLOOKUP($H42, Factor!$T$5:$AA$51, _xlpm.기본_색인번호, 0),
_xlpm.지형보정치, VLOOKUP($I42, Factor!$K$12:$R$13, _xlpm.기본_색인번호, 0),
_xlpm.공격속성보정치, VLOOKUP($J42, Factor!$K$5:$R$7, _xlpm.기본_색인번호, 0),
_xlpm.피해범위보정치, INDEX(Factor!$AN$5:$AV$51, _xlfn.XMATCH(IF(OR($G42="blast", $G42="curved",  $G42= "debuff"), $L42, 0), Factor!$AN$5:$AN$51, -1), _xlpm.추가_색인번호)-IF(AND(OR($G42="blast", $G42="curved", $G42= "debuff"), MOD($L42,1)&lt;&gt;0),INDEX(Factor!$AN$5:$AV$51, _xlfn.XMATCH(IF(OR($G42="blast", $G42="curved", $G42= "debuff"), $L42, 0), Factor!$AN$5:$AN$51, -1), 2)*MOD($L42,1)*10,0),
_xlpm.상태이상보정치, VLOOKUP(IF($G42 = "debuff", $M42, "null"), Factor!$AX$5:$BE$51, _xlpm.기본_색인번호, 0),
_xlpm.지속시간보정치, INDEX(Factor!$BG$5:$BO$51, _xlfn.XMATCH(IF(OR($G42 ="debuff", $G42 = "shot", $G42 = "pierce"), $O42, 0), Factor!$BG$5:$BG$51, -1), _xlpm.추가_색인번호)-IF(AND(OR($G42 ="debuff", $G42 = "shot", $G42 = "pierce"), MOD($O42, 1)&lt;&gt;0), 10*MOD($O42, 1)*INDEX(Factor!$BG$5:$BO$51, _xlfn.XMATCH(IF(OR($G42 ="debuff", $G42 = "shot", $G42 = "pierce"), $O42, 0), Factor!$BG$5:$BG$51, -1), 2), 0),
_xlpm.탄환개수보정치, VLOOKUP(IF(OR($G42 = "curved", $G42 = "shot"), $Q42, 1), Factor!$BQ$5:$BX$51, _xlpm.기본_색인번호, 0),
_xlpm.상태이상탄환생성위치보정치, IF($G42 = "debuff", VLOOKUP($R42, Factor!$K$18:$R$19, _xlpm.기본_색인번호, 0),1),
_xlpm.상태이상탄환형태보정치, IF($G42 = "debuff", VLOOKUP($S42, Factor!$K$24:$R$25, _xlpm.기본_색인번호, 0),1),
_xlpm.가격보정치, INDEX(Factor!$AE$5:$AL$51, _xlfn.XMATCH($F42,Factor!$AE$5:$AE$51, -1), _xlpm.기본_색인번호),
_xlpm.구경보정치, VLOOKUP($D42,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42" s="30" t="e" cm="1">
        <f t="array" ref="AG42">_xlfn.LET(_xlpm.기본_색인번호, 8,
_xlpm.추가_색인번호, 9,
_xlpm.개별보정치, Z42,
_xlpm.패턴보정치, VLOOKUP($G42, Factor!$B$5:$I$51, _xlpm.기본_색인번호, 0),
_xlpm.소모탄환보정치, VLOOKUP($H42, Factor!$T$5:$AA$51, _xlpm.기본_색인번호, 0),
_xlpm.지형보정치, VLOOKUP($I42, Factor!$K$12:$R$13, _xlpm.기본_색인번호, 0),
_xlpm.공격속성보정치, VLOOKUP($J42, Factor!$K$5:$R$7, _xlpm.기본_색인번호, 0),
_xlpm.피해범위보정치, INDEX(Factor!$AN$5:$AV$51, _xlfn.XMATCH(IF(OR($G42="blast", $G42="curved",  $G42= "debuff"), $L42, 0), Factor!$AN$5:$AN$51, -1), _xlpm.추가_색인번호)-IF(AND(OR($G42="blast", $G42="curved", $G42= "debuff"), MOD($L42,1)&lt;&gt;0),INDEX(Factor!$AN$5:$AV$51, _xlfn.XMATCH(IF(OR($G42="blast", $G42="curved", $G42= "debuff"), $L42, 0), Factor!$AN$5:$AN$51, -1), 2)*MOD($L42,1)*10,0),
_xlpm.상태이상보정치, VLOOKUP(IF($G42 = "debuff", $M42, "null"), Factor!$AX$5:$BE$51, _xlpm.기본_색인번호, 0),
_xlpm.지속시간보정치, INDEX(Factor!$BG$5:$BO$51, _xlfn.XMATCH(IF(OR($G42 ="debuff", $G42 = "shot", $G42 = "pierce"), $O42, 0), Factor!$BG$5:$BG$51, -1), _xlpm.추가_색인번호)-IF(AND(OR($G42 ="debuff", $G42 = "shot", $G42 = "pierce"), MOD($O42, 1)&lt;&gt;0), 10*MOD($O42, 1)*INDEX(Factor!$BG$5:$BO$51, _xlfn.XMATCH(IF(OR($G42 ="debuff", $G42 = "shot", $G42 = "pierce"), $O42, 0), Factor!$BG$5:$BG$51, -1), 2), 0),
_xlpm.탄환개수보정치, VLOOKUP(IF(OR($G42 = "curved", $G42 = "shot"), $Q42, 1), Factor!$BQ$5:$BX$51, _xlpm.기본_색인번호, 0),
_xlpm.상태이상탄환생성위치보정치, IF($G42 = "debuff", VLOOKUP($R42, Factor!$K$18:$R$19, _xlpm.기본_색인번호, 0),1),
_xlpm.상태이상탄환형태보정치, IF($G42 = "debuff", VLOOKUP($S42, Factor!$K$24:$R$25, _xlpm.기본_색인번호, 0),1),
_xlpm.가격보정치, INDEX(Factor!$AE$5:$AL$51, _xlfn.XMATCH($F42,Factor!$AE$5:$AE$51, -1), _xlpm.기본_색인번호),
_xlpm.구경보정치, VLOOKUP($D42,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42"/>
      <c r="AI42"/>
      <c r="AJ42"/>
      <c r="AK42"/>
      <c r="AL42"/>
      <c r="AM42"/>
      <c r="AN42"/>
    </row>
    <row r="43" spans="1:40" ht="15.75" customHeight="1">
      <c r="A43" s="24" t="e">
        <f>"weapon_"&amp;G43&amp;"_"&amp;VLOOKUP(H43, Factor!$T$5:$AB$7, 9, 0)&amp;"_"&amp;IF(COUNTIFS($G$4:G42, G43, $H$4:H42, H43)+1&gt;=100, COUNTIFS($G$4:G42, G43, $H$4:H42, H43)+1,IF(COUNTIFS($G$4:G42, G43, $H$4:H42, H43)+1&gt;=10, "0"&amp;COUNTIFS($G$4:G42, G43, $H$4:H42, H43)+1, "00"&amp;COUNTIFS($G$4:G42, G43, $H$4:H42, H43)+1))</f>
        <v>#N/A</v>
      </c>
      <c r="B43" s="36" t="str">
        <f t="shared" si="0"/>
        <v xml:space="preserve"> </v>
      </c>
      <c r="C43" s="36"/>
      <c r="D43" s="36"/>
      <c r="E43" s="36"/>
      <c r="F43" s="25" t="e">
        <f>VLOOKUP(C43, Factor!$AD$5:$AE$15, 2, 0)</f>
        <v>#N/A</v>
      </c>
      <c r="G43" s="26" t="e">
        <f>VLOOKUP(E43, Factor!$CL$5:$CV$50, 2, 0)</f>
        <v>#N/A</v>
      </c>
      <c r="H43" s="25" t="e">
        <f>VLOOKUP(E43, Factor!$CL$5:$CV$50, 3, 0)</f>
        <v>#N/A</v>
      </c>
      <c r="I43" s="25" t="e">
        <f>VLOOKUP(E43, Factor!$CL$5:$CV$50, 4, 0)</f>
        <v>#N/A</v>
      </c>
      <c r="J43" s="25" t="e">
        <f>VLOOKUP(E43, Factor!$CL$5:$CV$50, 5, 0)</f>
        <v>#N/A</v>
      </c>
      <c r="K43" s="25">
        <v>1</v>
      </c>
      <c r="L43" s="25" t="e">
        <f>VLOOKUP(E43, Factor!$CL$5:$CV$50, 6, 0)*K43*VLOOKUP(D43, Factor!$BZ$5:$CJ$49, 9, 0)</f>
        <v>#N/A</v>
      </c>
      <c r="M43" s="25" t="e">
        <f>VLOOKUP(E43, Factor!$CL$5:$CV$50, 7, 0)</f>
        <v>#N/A</v>
      </c>
      <c r="N43" s="25">
        <v>1</v>
      </c>
      <c r="O43" s="25" t="e">
        <f>VLOOKUP(E43, Factor!$CL$5:$CV$50, 8, 0)*N43*VLOOKUP(D43, Factor!$BZ$5:$CJ$49, 10, 0)</f>
        <v>#N/A</v>
      </c>
      <c r="P43" s="25">
        <v>1</v>
      </c>
      <c r="Q43" s="25" t="e">
        <f>VLOOKUP(E43, Factor!$CL$5:$CV$50, 9, 0)*P43*VLOOKUP(D43, Factor!$BZ$5:$CJ$49, 11, 0)</f>
        <v>#N/A</v>
      </c>
      <c r="R43" s="25" t="e">
        <f>VLOOKUP(E43, Factor!$CL$5:$CV$50, 10, 0)</f>
        <v>#N/A</v>
      </c>
      <c r="S43" s="25" t="e">
        <f>VLOOKUP(E43, Factor!$CL$5:$CV$50, 11, 0)</f>
        <v>#N/A</v>
      </c>
      <c r="T43" s="25">
        <v>1</v>
      </c>
      <c r="U43" s="25">
        <v>1</v>
      </c>
      <c r="V43" s="25">
        <v>1</v>
      </c>
      <c r="W43" s="25">
        <v>1</v>
      </c>
      <c r="X43" s="25">
        <v>1</v>
      </c>
      <c r="Y43" s="25">
        <v>1</v>
      </c>
      <c r="Z43" s="25">
        <v>1</v>
      </c>
      <c r="AA43" s="25" t="e" cm="1">
        <f t="array" ref="AA43">_xlfn.LET(_xlpm.기본_색인번호, 2,
_xlpm.추가_색인번호, 3,
_xlpm.개별보정치, T43,
_xlpm.패턴보정치, VLOOKUP($G43, Factor!$B$5:$I$51, _xlpm.기본_색인번호, 0),
_xlpm.소모탄환보정치, VLOOKUP($H43, Factor!$T$5:$AA$51, _xlpm.기본_색인번호, 0),
_xlpm.지형보정치, VLOOKUP($I43, Factor!$K$12:$R$13, _xlpm.기본_색인번호, 0),
_xlpm.공격속성보정치, VLOOKUP($J43, Factor!$K$5:$R$7, _xlpm.기본_색인번호, 0),
_xlpm.피해범위보정치, INDEX(Factor!$AN$5:$AV$51, _xlfn.XMATCH(IF(OR($G43="blast", $G43="curved",  $G43= "debuff"), $L43, 0), Factor!$AN$5:$AN$51, -1), _xlpm.추가_색인번호)-IF(AND(OR($G43="blast", $G43="curved", $G43= "debuff"), MOD($L43,1)&lt;&gt;0),INDEX(Factor!$AN$5:$AV$51, _xlfn.XMATCH(IF(OR($G43="blast", $G43="curved", $G43= "debuff"), $L43, 0), Factor!$AN$5:$AN$51, -1), 2)*MOD($L43,1)*10,0),
_xlpm.상태이상보정치, VLOOKUP(IF($G43 = "debuff", $M43, "null"), Factor!$AX$5:$BE$51, _xlpm.기본_색인번호, 0),
_xlpm.지속시간보정치, INDEX(Factor!$BG$5:$BO$51, _xlfn.XMATCH(IF(OR($G43 ="debuff", $G43 = "shot", $G43 = "pierce"), $O43, 0), Factor!$BG$5:$BG$51, -1), _xlpm.추가_색인번호)-IF(AND(OR($G43 ="debuff", $G43 = "shot", $G43 = "pierce"), MOD($O43, 1)&lt;&gt;0), 10*MOD($O43, 1)*INDEX(Factor!$BG$5:$BO$51, _xlfn.XMATCH(IF(OR($G43 ="debuff", $G43 = "shot", $G43 = "pierce"), $O43, 0), Factor!$BG$5:$BG$51, -1), 2), 0),
_xlpm.탄환개수보정치, VLOOKUP(IF(OR($G43 = "curved", $G43 = "shot"), $Q43, 1), Factor!$BQ$5:$BX$51, _xlpm.기본_색인번호, 0),
_xlpm.상태이상탄환생성위치보정치, IF($G43 = "debuff", VLOOKUP($R43, Factor!$K$18:$R$19, _xlpm.기본_색인번호, 0),1),
_xlpm.상태이상탄환형태보정치, IF($G43 = "debuff", VLOOKUP($S43, Factor!$K$24:$R$25, _xlpm.기본_색인번호, 0),1),
_xlpm.가격보정치, INDEX(Factor!$AE$5:$AL$51, _xlfn.XMATCH($F43,Factor!$AE$5:$AE$51, -1), _xlpm.기본_색인번호),
_xlpm.구경보정치, VLOOKUP($D43,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43" s="25" t="e" cm="1">
        <f t="array" ref="AB43">_xlfn.LET(_xlpm.기본_색인번호, 3,
_xlpm.추가_색인번호, 4,
_xlpm.개별보정치, U43,
_xlpm.패턴보정치, VLOOKUP($G43, Factor!$B$5:$I$51, _xlpm.기본_색인번호, 0),
_xlpm.소모탄환보정치, VLOOKUP($H43, Factor!$T$5:$AA$51, _xlpm.기본_색인번호, 0),
_xlpm.지형보정치, VLOOKUP($I43, Factor!$K$12:$R$13, _xlpm.기본_색인번호, 0),
_xlpm.공격속성보정치, VLOOKUP($J43, Factor!$K$5:$R$7, _xlpm.기본_색인번호, 0),
_xlpm.피해범위보정치, INDEX(Factor!$AN$5:$AV$51, _xlfn.XMATCH(IF(OR($G43="blast", $G43="curved",  $G43= "debuff"), $L43, 0), Factor!$AN$5:$AN$51, -1), _xlpm.추가_색인번호)-IF(AND(OR($G43="blast", $G43="curved", $G43= "debuff"), MOD($L43,1)&lt;&gt;0),INDEX(Factor!$AN$5:$AV$51, _xlfn.XMATCH(IF(OR($G43="blast", $G43="curved", $G43= "debuff"), $L43, 0), Factor!$AN$5:$AN$51, -1), 2)*MOD($L43,1)*10,0),
_xlpm.상태이상보정치, VLOOKUP(IF($G43 = "debuff", $M43, "null"), Factor!$AX$5:$BE$51, _xlpm.기본_색인번호, 0),
_xlpm.지속시간보정치, INDEX(Factor!$BG$5:$BO$51, _xlfn.XMATCH(IF(OR($G43 ="debuff", $G43 = "shot", $G43 = "pierce"), $O43, 0), Factor!$BG$5:$BG$51, -1), _xlpm.추가_색인번호)-IF(AND(OR($G43 ="debuff", $G43 = "shot", $G43 = "pierce"), MOD($O43, 1)&lt;&gt;0), 10*MOD($O43, 1)*INDEX(Factor!$BG$5:$BO$51, _xlfn.XMATCH(IF(OR($G43 ="debuff", $G43 = "shot", $G43 = "pierce"), $O43, 0), Factor!$BG$5:$BG$51, -1), 2), 0),
_xlpm.탄환개수보정치, VLOOKUP(IF(OR($G43 = "curved", $G43 = "shot"), $Q43, 1), Factor!$BQ$5:$BX$51, _xlpm.기본_색인번호, 0),
_xlpm.상태이상탄환생성위치보정치, IF($G43 = "debuff", VLOOKUP($R43, Factor!$K$18:$R$19, _xlpm.기본_색인번호, 0),1),
_xlpm.상태이상탄환형태보정치, IF($G43 = "debuff", VLOOKUP($S43, Factor!$K$24:$R$25, _xlpm.기본_색인번호, 0),1),
_xlpm.가격보정치, INDEX(Factor!$AE$5:$AL$51, _xlfn.XMATCH($F43,Factor!$AE$5:$AE$51, -1), _xlpm.기본_색인번호),
_xlpm.구경보정치, VLOOKUP($D43,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43" s="25" t="e" cm="1">
        <f t="array" ref="AC43">_xlfn.LET(_xlpm.기본_색인번호, 4,
_xlpm.추가_색인번호, 5,
_xlpm.개별보정치, V43,
_xlpm.패턴보정치, VLOOKUP($G43, Factor!$B$5:$I$51, _xlpm.기본_색인번호, 0),
_xlpm.소모탄환보정치, VLOOKUP($H43, Factor!$T$5:$AA$51, _xlpm.기본_색인번호, 0),
_xlpm.지형보정치, VLOOKUP($I43, Factor!$K$12:$R$13, _xlpm.기본_색인번호, 0),
_xlpm.공격속성보정치, VLOOKUP($J43, Factor!$K$5:$R$7, _xlpm.기본_색인번호, 0),
_xlpm.피해범위보정치, INDEX(Factor!$AN$5:$AV$51, _xlfn.XMATCH(IF(OR($G43="blast", $G43="curved",  $G43= "debuff"), $L43, 0), Factor!$AN$5:$AN$51, -1), _xlpm.추가_색인번호)-IF(AND(OR($G43="blast", $G43="curved", $G43= "debuff"), MOD($L43,1)&lt;&gt;0),INDEX(Factor!$AN$5:$AV$51, _xlfn.XMATCH(IF(OR($G43="blast", $G43="curved", $G43= "debuff"), $L43, 0), Factor!$AN$5:$AN$51, -1), 2)*MOD($L43,1)*10,0),
_xlpm.상태이상보정치, VLOOKUP(IF($G43 = "debuff", $M43, "null"), Factor!$AX$5:$BE$51, _xlpm.기본_색인번호, 0),
_xlpm.지속시간보정치, INDEX(Factor!$BG$5:$BO$51, _xlfn.XMATCH(IF(OR($G43 ="debuff", $G43 = "shot", $G43 = "pierce"), $O43, 0), Factor!$BG$5:$BG$51, -1), _xlpm.추가_색인번호)-IF(AND(OR($G43 ="debuff", $G43 = "shot", $G43 = "pierce"), MOD($O43, 1)&lt;&gt;0), 10*MOD($O43, 1)*INDEX(Factor!$BG$5:$BO$51, _xlfn.XMATCH(IF(OR($G43 ="debuff", $G43 = "shot", $G43 = "pierce"), $O43, 0), Factor!$BG$5:$BG$51, -1), 2), 0),
_xlpm.탄환개수보정치, VLOOKUP(IF(OR($G43 = "curved", $G43 = "shot"), $Q43, 1), Factor!$BQ$5:$BX$51, _xlpm.기본_색인번호, 0),
_xlpm.상태이상탄환생성위치보정치, IF($G43 = "debuff", VLOOKUP($R43, Factor!$K$18:$R$19, _xlpm.기본_색인번호, 0),1),
_xlpm.상태이상탄환형태보정치, IF($G43 = "debuff", VLOOKUP($S43, Factor!$K$24:$R$25, _xlpm.기본_색인번호, 0),1),
_xlpm.가격보정치, INDEX(Factor!$AE$5:$AL$51, _xlfn.XMATCH($F43,Factor!$AE$5:$AE$51, -1), _xlpm.기본_색인번호),
_xlpm.구경보정치, VLOOKUP($D43,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43" s="25" t="e" cm="1">
        <f t="array" ref="AD43">_xlfn.LET(_xlpm.기본_색인번호, 5,
_xlpm.추가_색인번호, 6,
_xlpm.개별보정치, W43,
_xlpm.패턴보정치, VLOOKUP($G43, Factor!$B$5:$I$51, _xlpm.기본_색인번호, 0),
_xlpm.소모탄환보정치, VLOOKUP($H43, Factor!$T$5:$AA$51, _xlpm.기본_색인번호, 0),
_xlpm.지형보정치, VLOOKUP($I43, Factor!$K$12:$R$13, _xlpm.기본_색인번호, 0),
_xlpm.공격속성보정치, VLOOKUP($J43, Factor!$K$5:$R$7, _xlpm.기본_색인번호, 0),
_xlpm.피해범위보정치, INDEX(Factor!$AN$5:$AV$51, _xlfn.XMATCH(IF(OR($G43="blast", $G43="curved",  $G43= "debuff"), $L43, 0), Factor!$AN$5:$AN$51, -1), _xlpm.추가_색인번호)-IF(AND(OR($G43="blast", $G43="curved", $G43= "debuff"), MOD($L43,1)&lt;&gt;0),INDEX(Factor!$AN$5:$AV$51, _xlfn.XMATCH(IF(OR($G43="blast", $G43="curved", $G43= "debuff"), $L43, 0), Factor!$AN$5:$AN$51, -1), 2)*MOD($L43,1)*10,0),
_xlpm.상태이상보정치, VLOOKUP(IF($G43 = "debuff", $M43, "null"), Factor!$AX$5:$BE$51, _xlpm.기본_색인번호, 0),
_xlpm.지속시간보정치, INDEX(Factor!$BG$5:$BO$51, _xlfn.XMATCH(IF(OR($G43 ="debuff", $G43 = "shot", $G43 = "pierce"), $O43, 0), Factor!$BG$5:$BG$51, -1), _xlpm.추가_색인번호)-IF(AND(OR($G43 ="debuff", $G43 = "shot", $G43 = "pierce"), MOD($O43, 1)&lt;&gt;0), 10*MOD($O43, 1)*INDEX(Factor!$BG$5:$BO$51, _xlfn.XMATCH(IF(OR($G43 ="debuff", $G43 = "shot", $G43 = "pierce"), $O43, 0), Factor!$BG$5:$BG$51, -1), 2), 0),
_xlpm.탄환개수보정치, VLOOKUP(IF(OR($G43 = "curved", $G43 = "shot"), $Q43, 1), Factor!$BQ$5:$BX$51, _xlpm.기본_색인번호, 0),
_xlpm.상태이상탄환생성위치보정치, IF($G43 = "debuff", VLOOKUP($R43, Factor!$K$18:$R$19, _xlpm.기본_색인번호, 0),1),
_xlpm.상태이상탄환형태보정치, IF($G43 = "debuff", VLOOKUP($S43, Factor!$K$24:$R$25, _xlpm.기본_색인번호, 0),1),
_xlpm.가격보정치, INDEX(Factor!$AE$5:$AL$51, _xlfn.XMATCH($F43,Factor!$AE$5:$AE$51, -1), _xlpm.기본_색인번호),
_xlpm.구경보정치, VLOOKUP($D43,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43" s="25" t="e" cm="1">
        <f t="array" ref="AE43">_xlfn.LET(_xlpm.기본_색인번호, 6,
_xlpm.추가_색인번호, 7,
_xlpm.개별보정치, X43,
_xlpm.패턴보정치, VLOOKUP($G43, Factor!$B$5:$I$51, _xlpm.기본_색인번호, 0),
_xlpm.소모탄환보정치, VLOOKUP($H43, Factor!$T$5:$AA$51, _xlpm.기본_색인번호, 0),
_xlpm.지형보정치, VLOOKUP($I43, Factor!$K$12:$R$13, _xlpm.기본_색인번호, 0),
_xlpm.공격속성보정치, VLOOKUP($J43, Factor!$K$5:$R$7, _xlpm.기본_색인번호, 0),
_xlpm.피해범위보정치, INDEX(Factor!$AN$5:$AV$51, _xlfn.XMATCH(IF(OR($G43="blast", $G43="curved",  $G43= "debuff"), $L43, 0), Factor!$AN$5:$AN$51, -1), _xlpm.추가_색인번호)-IF(AND(OR($G43="blast", $G43="curved", $G43= "debuff"), MOD($L43,1)&lt;&gt;0),INDEX(Factor!$AN$5:$AV$51, _xlfn.XMATCH(IF(OR($G43="blast", $G43="curved", $G43= "debuff"), $L43, 0), Factor!$AN$5:$AN$51, -1), 2)*MOD($L43,1)*10,0),
_xlpm.상태이상보정치, VLOOKUP(IF($G43 = "debuff", $M43, "null"), Factor!$AX$5:$BE$51, _xlpm.기본_색인번호, 0),
_xlpm.지속시간보정치, INDEX(Factor!$BG$5:$BO$51, _xlfn.XMATCH(IF(OR($G43 ="debuff", $G43 = "shot", $G43 = "pierce"), $O43, 0), Factor!$BG$5:$BG$51, -1), _xlpm.추가_색인번호)-IF(AND(OR($G43 ="debuff", $G43 = "shot", $G43 = "pierce"), MOD($O43, 1)&lt;&gt;0), 10*MOD($O43, 1)*INDEX(Factor!$BG$5:$BO$51, _xlfn.XMATCH(IF(OR($G43 ="debuff", $G43 = "shot", $G43 = "pierce"), $O43, 0), Factor!$BG$5:$BG$51, -1), 2), 0),
_xlpm.탄환개수보정치, VLOOKUP(IF(OR($G43 = "curved", $G43 = "shot"), $Q43, 1), Factor!$BQ$5:$BX$51, _xlpm.기본_색인번호, 0),
_xlpm.상태이상탄환생성위치보정치, IF($G43 = "debuff", VLOOKUP($R43, Factor!$K$18:$R$19, _xlpm.기본_색인번호, 0),1),
_xlpm.상태이상탄환형태보정치, IF($G43 = "debuff", VLOOKUP($S43, Factor!$K$24:$R$25, _xlpm.기본_색인번호, 0),1),
_xlpm.가격보정치, INDEX(Factor!$AE$5:$AL$51, _xlfn.XMATCH($F43,Factor!$AE$5:$AE$51, -1), _xlpm.기본_색인번호),
_xlpm.구경보정치, VLOOKUP($D43,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43" s="25" t="e" cm="1">
        <f t="array" ref="AF43">_xlfn.LET(_xlpm.기본_색인번호, 7,
_xlpm.추가_색인번호, 8,
_xlpm.개별보정치, Y43,
_xlpm.패턴보정치, VLOOKUP($G43, Factor!$B$5:$I$51, _xlpm.기본_색인번호, 0),
_xlpm.소모탄환보정치, VLOOKUP($H43, Factor!$T$5:$AA$51, _xlpm.기본_색인번호, 0),
_xlpm.지형보정치, VLOOKUP($I43, Factor!$K$12:$R$13, _xlpm.기본_색인번호, 0),
_xlpm.공격속성보정치, VLOOKUP($J43, Factor!$K$5:$R$7, _xlpm.기본_색인번호, 0),
_xlpm.피해범위보정치, INDEX(Factor!$AN$5:$AV$51, _xlfn.XMATCH(IF(OR($G43="blast", $G43="curved",  $G43= "debuff"), $L43, 0), Factor!$AN$5:$AN$51, -1), _xlpm.추가_색인번호)-IF(AND(OR($G43="blast", $G43="curved", $G43= "debuff"), MOD($L43,1)&lt;&gt;0),INDEX(Factor!$AN$5:$AV$51, _xlfn.XMATCH(IF(OR($G43="blast", $G43="curved", $G43= "debuff"), $L43, 0), Factor!$AN$5:$AN$51, -1), 2)*MOD($L43,1)*10,0),
_xlpm.상태이상보정치, VLOOKUP(IF($G43 = "debuff", $M43, "null"), Factor!$AX$5:$BE$51, _xlpm.기본_색인번호, 0),
_xlpm.지속시간보정치, INDEX(Factor!$BG$5:$BO$51, _xlfn.XMATCH(IF(OR($G43 ="debuff", $G43 = "shot", $G43 = "pierce"), $O43, 0), Factor!$BG$5:$BG$51, -1), _xlpm.추가_색인번호)-IF(AND(OR($G43 ="debuff", $G43 = "shot", $G43 = "pierce"), MOD($O43, 1)&lt;&gt;0), 10*MOD($O43, 1)*INDEX(Factor!$BG$5:$BO$51, _xlfn.XMATCH(IF(OR($G43 ="debuff", $G43 = "shot", $G43 = "pierce"), $O43, 0), Factor!$BG$5:$BG$51, -1), 2), 0),
_xlpm.탄환개수보정치, VLOOKUP(IF(OR($G43 = "curved", $G43 = "shot"), $Q43, 1), Factor!$BQ$5:$BX$51, _xlpm.기본_색인번호, 0),
_xlpm.상태이상탄환생성위치보정치, IF($G43 = "debuff", VLOOKUP($R43, Factor!$K$18:$R$19, _xlpm.기본_색인번호, 0),1),
_xlpm.상태이상탄환형태보정치, IF($G43 = "debuff", VLOOKUP($S43, Factor!$K$24:$R$25, _xlpm.기본_색인번호, 0),1),
_xlpm.가격보정치, INDEX(Factor!$AE$5:$AL$51, _xlfn.XMATCH($F43,Factor!$AE$5:$AE$51, -1), _xlpm.기본_색인번호),
_xlpm.구경보정치, VLOOKUP($D43,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43" s="27" t="e" cm="1">
        <f t="array" ref="AG43">_xlfn.LET(_xlpm.기본_색인번호, 8,
_xlpm.추가_색인번호, 9,
_xlpm.개별보정치, Z43,
_xlpm.패턴보정치, VLOOKUP($G43, Factor!$B$5:$I$51, _xlpm.기본_색인번호, 0),
_xlpm.소모탄환보정치, VLOOKUP($H43, Factor!$T$5:$AA$51, _xlpm.기본_색인번호, 0),
_xlpm.지형보정치, VLOOKUP($I43, Factor!$K$12:$R$13, _xlpm.기본_색인번호, 0),
_xlpm.공격속성보정치, VLOOKUP($J43, Factor!$K$5:$R$7, _xlpm.기본_색인번호, 0),
_xlpm.피해범위보정치, INDEX(Factor!$AN$5:$AV$51, _xlfn.XMATCH(IF(OR($G43="blast", $G43="curved",  $G43= "debuff"), $L43, 0), Factor!$AN$5:$AN$51, -1), _xlpm.추가_색인번호)-IF(AND(OR($G43="blast", $G43="curved", $G43= "debuff"), MOD($L43,1)&lt;&gt;0),INDEX(Factor!$AN$5:$AV$51, _xlfn.XMATCH(IF(OR($G43="blast", $G43="curved", $G43= "debuff"), $L43, 0), Factor!$AN$5:$AN$51, -1), 2)*MOD($L43,1)*10,0),
_xlpm.상태이상보정치, VLOOKUP(IF($G43 = "debuff", $M43, "null"), Factor!$AX$5:$BE$51, _xlpm.기본_색인번호, 0),
_xlpm.지속시간보정치, INDEX(Factor!$BG$5:$BO$51, _xlfn.XMATCH(IF(OR($G43 ="debuff", $G43 = "shot", $G43 = "pierce"), $O43, 0), Factor!$BG$5:$BG$51, -1), _xlpm.추가_색인번호)-IF(AND(OR($G43 ="debuff", $G43 = "shot", $G43 = "pierce"), MOD($O43, 1)&lt;&gt;0), 10*MOD($O43, 1)*INDEX(Factor!$BG$5:$BO$51, _xlfn.XMATCH(IF(OR($G43 ="debuff", $G43 = "shot", $G43 = "pierce"), $O43, 0), Factor!$BG$5:$BG$51, -1), 2), 0),
_xlpm.탄환개수보정치, VLOOKUP(IF(OR($G43 = "curved", $G43 = "shot"), $Q43, 1), Factor!$BQ$5:$BX$51, _xlpm.기본_색인번호, 0),
_xlpm.상태이상탄환생성위치보정치, IF($G43 = "debuff", VLOOKUP($R43, Factor!$K$18:$R$19, _xlpm.기본_색인번호, 0),1),
_xlpm.상태이상탄환형태보정치, IF($G43 = "debuff", VLOOKUP($S43, Factor!$K$24:$R$25, _xlpm.기본_색인번호, 0),1),
_xlpm.가격보정치, INDEX(Factor!$AE$5:$AL$51, _xlfn.XMATCH($F43,Factor!$AE$5:$AE$51, -1), _xlpm.기본_색인번호),
_xlpm.구경보정치, VLOOKUP($D43,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43"/>
      <c r="AI43"/>
      <c r="AJ43"/>
      <c r="AK43"/>
      <c r="AL43"/>
      <c r="AM43"/>
      <c r="AN43"/>
    </row>
    <row r="44" spans="1:40" ht="15.75" customHeight="1">
      <c r="A44" s="28" t="e">
        <f>"weapon_"&amp;G44&amp;"_"&amp;VLOOKUP(H44, Factor!$T$5:$AB$7, 9, 0)&amp;"_"&amp;IF(COUNTIFS($G$4:G43, G44, $H$4:H43, H44)+1&gt;=100, COUNTIFS($G$4:G43, G44, $H$4:H43, H44)+1,IF(COUNTIFS($G$4:G43, G44, $H$4:H43, H44)+1&gt;=10, "0"&amp;COUNTIFS($G$4:G43, G44, $H$4:H43, H44)+1, "00"&amp;COUNTIFS($G$4:G43, G44, $H$4:H43, H44)+1))</f>
        <v>#N/A</v>
      </c>
      <c r="B44" s="37" t="str">
        <f t="shared" si="0"/>
        <v xml:space="preserve"> </v>
      </c>
      <c r="C44" s="37"/>
      <c r="D44" s="37"/>
      <c r="E44" s="37"/>
      <c r="F44" s="29" t="e">
        <f>VLOOKUP(C44, Factor!$AD$5:$AE$15, 2, 0)</f>
        <v>#N/A</v>
      </c>
      <c r="G44" s="29" t="e">
        <f>VLOOKUP(E44, Factor!$CL$5:$CV$50, 2, 0)</f>
        <v>#N/A</v>
      </c>
      <c r="H44" s="29" t="e">
        <f>VLOOKUP(E44, Factor!$CL$5:$CV$50, 3, 0)</f>
        <v>#N/A</v>
      </c>
      <c r="I44" s="29" t="e">
        <f>VLOOKUP(E44, Factor!$CL$5:$CV$50, 4, 0)</f>
        <v>#N/A</v>
      </c>
      <c r="J44" s="29" t="e">
        <f>VLOOKUP(E44, Factor!$CL$5:$CV$50, 5, 0)</f>
        <v>#N/A</v>
      </c>
      <c r="K44" s="29">
        <v>1</v>
      </c>
      <c r="L44" s="29" t="e">
        <f>VLOOKUP(E44, Factor!$CL$5:$CV$50, 6, 0)*K44*VLOOKUP(D44, Factor!$BZ$5:$CJ$49, 9, 0)</f>
        <v>#N/A</v>
      </c>
      <c r="M44" s="29" t="e">
        <f>VLOOKUP(E44, Factor!$CL$5:$CV$50, 7, 0)</f>
        <v>#N/A</v>
      </c>
      <c r="N44" s="29">
        <v>1</v>
      </c>
      <c r="O44" s="29" t="e">
        <f>VLOOKUP(E44, Factor!$CL$5:$CV$50, 8, 0)*N44*VLOOKUP(D44, Factor!$BZ$5:$CJ$49, 10, 0)</f>
        <v>#N/A</v>
      </c>
      <c r="P44" s="29">
        <v>1</v>
      </c>
      <c r="Q44" s="29" t="e">
        <f>VLOOKUP(E44, Factor!$CL$5:$CV$50, 9, 0)*P44*VLOOKUP(D44, Factor!$BZ$5:$CJ$49, 11, 0)</f>
        <v>#N/A</v>
      </c>
      <c r="R44" s="29" t="e">
        <f>VLOOKUP(E44, Factor!$CL$5:$CV$50, 10, 0)</f>
        <v>#N/A</v>
      </c>
      <c r="S44" s="29" t="e">
        <f>VLOOKUP(E44, Factor!$CL$5:$CV$50, 11, 0)</f>
        <v>#N/A</v>
      </c>
      <c r="T44" s="29">
        <v>1</v>
      </c>
      <c r="U44" s="29">
        <v>1</v>
      </c>
      <c r="V44" s="29">
        <v>1</v>
      </c>
      <c r="W44" s="29">
        <v>1</v>
      </c>
      <c r="X44" s="29">
        <v>1</v>
      </c>
      <c r="Y44" s="29">
        <v>1</v>
      </c>
      <c r="Z44" s="29">
        <v>1</v>
      </c>
      <c r="AA44" s="29" t="e" cm="1">
        <f t="array" ref="AA44">_xlfn.LET(_xlpm.기본_색인번호, 2,
_xlpm.추가_색인번호, 3,
_xlpm.개별보정치, T44,
_xlpm.패턴보정치, VLOOKUP($G44, Factor!$B$5:$I$51, _xlpm.기본_색인번호, 0),
_xlpm.소모탄환보정치, VLOOKUP($H44, Factor!$T$5:$AA$51, _xlpm.기본_색인번호, 0),
_xlpm.지형보정치, VLOOKUP($I44, Factor!$K$12:$R$13, _xlpm.기본_색인번호, 0),
_xlpm.공격속성보정치, VLOOKUP($J44, Factor!$K$5:$R$7, _xlpm.기본_색인번호, 0),
_xlpm.피해범위보정치, INDEX(Factor!$AN$5:$AV$51, _xlfn.XMATCH(IF(OR($G44="blast", $G44="curved",  $G44= "debuff"), $L44, 0), Factor!$AN$5:$AN$51, -1), _xlpm.추가_색인번호)-IF(AND(OR($G44="blast", $G44="curved", $G44= "debuff"), MOD($L44,1)&lt;&gt;0),INDEX(Factor!$AN$5:$AV$51, _xlfn.XMATCH(IF(OR($G44="blast", $G44="curved", $G44= "debuff"), $L44, 0), Factor!$AN$5:$AN$51, -1), 2)*MOD($L44,1)*10,0),
_xlpm.상태이상보정치, VLOOKUP(IF($G44 = "debuff", $M44, "null"), Factor!$AX$5:$BE$51, _xlpm.기본_색인번호, 0),
_xlpm.지속시간보정치, INDEX(Factor!$BG$5:$BO$51, _xlfn.XMATCH(IF(OR($G44 ="debuff", $G44 = "shot", $G44 = "pierce"), $O44, 0), Factor!$BG$5:$BG$51, -1), _xlpm.추가_색인번호)-IF(AND(OR($G44 ="debuff", $G44 = "shot", $G44 = "pierce"), MOD($O44, 1)&lt;&gt;0), 10*MOD($O44, 1)*INDEX(Factor!$BG$5:$BO$51, _xlfn.XMATCH(IF(OR($G44 ="debuff", $G44 = "shot", $G44 = "pierce"), $O44, 0), Factor!$BG$5:$BG$51, -1), 2), 0),
_xlpm.탄환개수보정치, VLOOKUP(IF(OR($G44 = "curved", $G44 = "shot"), $Q44, 1), Factor!$BQ$5:$BX$51, _xlpm.기본_색인번호, 0),
_xlpm.상태이상탄환생성위치보정치, IF($G44 = "debuff", VLOOKUP($R44, Factor!$K$18:$R$19, _xlpm.기본_색인번호, 0),1),
_xlpm.상태이상탄환형태보정치, IF($G44 = "debuff", VLOOKUP($S44, Factor!$K$24:$R$25, _xlpm.기본_색인번호, 0),1),
_xlpm.가격보정치, INDEX(Factor!$AE$5:$AL$51, _xlfn.XMATCH($F44,Factor!$AE$5:$AE$51, -1), _xlpm.기본_색인번호),
_xlpm.구경보정치, VLOOKUP($D44,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44" s="29" t="e" cm="1">
        <f t="array" ref="AB44">_xlfn.LET(_xlpm.기본_색인번호, 3,
_xlpm.추가_색인번호, 4,
_xlpm.개별보정치, U44,
_xlpm.패턴보정치, VLOOKUP($G44, Factor!$B$5:$I$51, _xlpm.기본_색인번호, 0),
_xlpm.소모탄환보정치, VLOOKUP($H44, Factor!$T$5:$AA$51, _xlpm.기본_색인번호, 0),
_xlpm.지형보정치, VLOOKUP($I44, Factor!$K$12:$R$13, _xlpm.기본_색인번호, 0),
_xlpm.공격속성보정치, VLOOKUP($J44, Factor!$K$5:$R$7, _xlpm.기본_색인번호, 0),
_xlpm.피해범위보정치, INDEX(Factor!$AN$5:$AV$51, _xlfn.XMATCH(IF(OR($G44="blast", $G44="curved",  $G44= "debuff"), $L44, 0), Factor!$AN$5:$AN$51, -1), _xlpm.추가_색인번호)-IF(AND(OR($G44="blast", $G44="curved", $G44= "debuff"), MOD($L44,1)&lt;&gt;0),INDEX(Factor!$AN$5:$AV$51, _xlfn.XMATCH(IF(OR($G44="blast", $G44="curved", $G44= "debuff"), $L44, 0), Factor!$AN$5:$AN$51, -1), 2)*MOD($L44,1)*10,0),
_xlpm.상태이상보정치, VLOOKUP(IF($G44 = "debuff", $M44, "null"), Factor!$AX$5:$BE$51, _xlpm.기본_색인번호, 0),
_xlpm.지속시간보정치, INDEX(Factor!$BG$5:$BO$51, _xlfn.XMATCH(IF(OR($G44 ="debuff", $G44 = "shot", $G44 = "pierce"), $O44, 0), Factor!$BG$5:$BG$51, -1), _xlpm.추가_색인번호)-IF(AND(OR($G44 ="debuff", $G44 = "shot", $G44 = "pierce"), MOD($O44, 1)&lt;&gt;0), 10*MOD($O44, 1)*INDEX(Factor!$BG$5:$BO$51, _xlfn.XMATCH(IF(OR($G44 ="debuff", $G44 = "shot", $G44 = "pierce"), $O44, 0), Factor!$BG$5:$BG$51, -1), 2), 0),
_xlpm.탄환개수보정치, VLOOKUP(IF(OR($G44 = "curved", $G44 = "shot"), $Q44, 1), Factor!$BQ$5:$BX$51, _xlpm.기본_색인번호, 0),
_xlpm.상태이상탄환생성위치보정치, IF($G44 = "debuff", VLOOKUP($R44, Factor!$K$18:$R$19, _xlpm.기본_색인번호, 0),1),
_xlpm.상태이상탄환형태보정치, IF($G44 = "debuff", VLOOKUP($S44, Factor!$K$24:$R$25, _xlpm.기본_색인번호, 0),1),
_xlpm.가격보정치, INDEX(Factor!$AE$5:$AL$51, _xlfn.XMATCH($F44,Factor!$AE$5:$AE$51, -1), _xlpm.기본_색인번호),
_xlpm.구경보정치, VLOOKUP($D44,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44" s="29" t="e" cm="1">
        <f t="array" ref="AC44">_xlfn.LET(_xlpm.기본_색인번호, 4,
_xlpm.추가_색인번호, 5,
_xlpm.개별보정치, V44,
_xlpm.패턴보정치, VLOOKUP($G44, Factor!$B$5:$I$51, _xlpm.기본_색인번호, 0),
_xlpm.소모탄환보정치, VLOOKUP($H44, Factor!$T$5:$AA$51, _xlpm.기본_색인번호, 0),
_xlpm.지형보정치, VLOOKUP($I44, Factor!$K$12:$R$13, _xlpm.기본_색인번호, 0),
_xlpm.공격속성보정치, VLOOKUP($J44, Factor!$K$5:$R$7, _xlpm.기본_색인번호, 0),
_xlpm.피해범위보정치, INDEX(Factor!$AN$5:$AV$51, _xlfn.XMATCH(IF(OR($G44="blast", $G44="curved",  $G44= "debuff"), $L44, 0), Factor!$AN$5:$AN$51, -1), _xlpm.추가_색인번호)-IF(AND(OR($G44="blast", $G44="curved", $G44= "debuff"), MOD($L44,1)&lt;&gt;0),INDEX(Factor!$AN$5:$AV$51, _xlfn.XMATCH(IF(OR($G44="blast", $G44="curved", $G44= "debuff"), $L44, 0), Factor!$AN$5:$AN$51, -1), 2)*MOD($L44,1)*10,0),
_xlpm.상태이상보정치, VLOOKUP(IF($G44 = "debuff", $M44, "null"), Factor!$AX$5:$BE$51, _xlpm.기본_색인번호, 0),
_xlpm.지속시간보정치, INDEX(Factor!$BG$5:$BO$51, _xlfn.XMATCH(IF(OR($G44 ="debuff", $G44 = "shot", $G44 = "pierce"), $O44, 0), Factor!$BG$5:$BG$51, -1), _xlpm.추가_색인번호)-IF(AND(OR($G44 ="debuff", $G44 = "shot", $G44 = "pierce"), MOD($O44, 1)&lt;&gt;0), 10*MOD($O44, 1)*INDEX(Factor!$BG$5:$BO$51, _xlfn.XMATCH(IF(OR($G44 ="debuff", $G44 = "shot", $G44 = "pierce"), $O44, 0), Factor!$BG$5:$BG$51, -1), 2), 0),
_xlpm.탄환개수보정치, VLOOKUP(IF(OR($G44 = "curved", $G44 = "shot"), $Q44, 1), Factor!$BQ$5:$BX$51, _xlpm.기본_색인번호, 0),
_xlpm.상태이상탄환생성위치보정치, IF($G44 = "debuff", VLOOKUP($R44, Factor!$K$18:$R$19, _xlpm.기본_색인번호, 0),1),
_xlpm.상태이상탄환형태보정치, IF($G44 = "debuff", VLOOKUP($S44, Factor!$K$24:$R$25, _xlpm.기본_색인번호, 0),1),
_xlpm.가격보정치, INDEX(Factor!$AE$5:$AL$51, _xlfn.XMATCH($F44,Factor!$AE$5:$AE$51, -1), _xlpm.기본_색인번호),
_xlpm.구경보정치, VLOOKUP($D44,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44" s="29" t="e" cm="1">
        <f t="array" ref="AD44">_xlfn.LET(_xlpm.기본_색인번호, 5,
_xlpm.추가_색인번호, 6,
_xlpm.개별보정치, W44,
_xlpm.패턴보정치, VLOOKUP($G44, Factor!$B$5:$I$51, _xlpm.기본_색인번호, 0),
_xlpm.소모탄환보정치, VLOOKUP($H44, Factor!$T$5:$AA$51, _xlpm.기본_색인번호, 0),
_xlpm.지형보정치, VLOOKUP($I44, Factor!$K$12:$R$13, _xlpm.기본_색인번호, 0),
_xlpm.공격속성보정치, VLOOKUP($J44, Factor!$K$5:$R$7, _xlpm.기본_색인번호, 0),
_xlpm.피해범위보정치, INDEX(Factor!$AN$5:$AV$51, _xlfn.XMATCH(IF(OR($G44="blast", $G44="curved",  $G44= "debuff"), $L44, 0), Factor!$AN$5:$AN$51, -1), _xlpm.추가_색인번호)-IF(AND(OR($G44="blast", $G44="curved", $G44= "debuff"), MOD($L44,1)&lt;&gt;0),INDEX(Factor!$AN$5:$AV$51, _xlfn.XMATCH(IF(OR($G44="blast", $G44="curved", $G44= "debuff"), $L44, 0), Factor!$AN$5:$AN$51, -1), 2)*MOD($L44,1)*10,0),
_xlpm.상태이상보정치, VLOOKUP(IF($G44 = "debuff", $M44, "null"), Factor!$AX$5:$BE$51, _xlpm.기본_색인번호, 0),
_xlpm.지속시간보정치, INDEX(Factor!$BG$5:$BO$51, _xlfn.XMATCH(IF(OR($G44 ="debuff", $G44 = "shot", $G44 = "pierce"), $O44, 0), Factor!$BG$5:$BG$51, -1), _xlpm.추가_색인번호)-IF(AND(OR($G44 ="debuff", $G44 = "shot", $G44 = "pierce"), MOD($O44, 1)&lt;&gt;0), 10*MOD($O44, 1)*INDEX(Factor!$BG$5:$BO$51, _xlfn.XMATCH(IF(OR($G44 ="debuff", $G44 = "shot", $G44 = "pierce"), $O44, 0), Factor!$BG$5:$BG$51, -1), 2), 0),
_xlpm.탄환개수보정치, VLOOKUP(IF(OR($G44 = "curved", $G44 = "shot"), $Q44, 1), Factor!$BQ$5:$BX$51, _xlpm.기본_색인번호, 0),
_xlpm.상태이상탄환생성위치보정치, IF($G44 = "debuff", VLOOKUP($R44, Factor!$K$18:$R$19, _xlpm.기본_색인번호, 0),1),
_xlpm.상태이상탄환형태보정치, IF($G44 = "debuff", VLOOKUP($S44, Factor!$K$24:$R$25, _xlpm.기본_색인번호, 0),1),
_xlpm.가격보정치, INDEX(Factor!$AE$5:$AL$51, _xlfn.XMATCH($F44,Factor!$AE$5:$AE$51, -1), _xlpm.기본_색인번호),
_xlpm.구경보정치, VLOOKUP($D44,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44" s="29" t="e" cm="1">
        <f t="array" ref="AE44">_xlfn.LET(_xlpm.기본_색인번호, 6,
_xlpm.추가_색인번호, 7,
_xlpm.개별보정치, X44,
_xlpm.패턴보정치, VLOOKUP($G44, Factor!$B$5:$I$51, _xlpm.기본_색인번호, 0),
_xlpm.소모탄환보정치, VLOOKUP($H44, Factor!$T$5:$AA$51, _xlpm.기본_색인번호, 0),
_xlpm.지형보정치, VLOOKUP($I44, Factor!$K$12:$R$13, _xlpm.기본_색인번호, 0),
_xlpm.공격속성보정치, VLOOKUP($J44, Factor!$K$5:$R$7, _xlpm.기본_색인번호, 0),
_xlpm.피해범위보정치, INDEX(Factor!$AN$5:$AV$51, _xlfn.XMATCH(IF(OR($G44="blast", $G44="curved",  $G44= "debuff"), $L44, 0), Factor!$AN$5:$AN$51, -1), _xlpm.추가_색인번호)-IF(AND(OR($G44="blast", $G44="curved", $G44= "debuff"), MOD($L44,1)&lt;&gt;0),INDEX(Factor!$AN$5:$AV$51, _xlfn.XMATCH(IF(OR($G44="blast", $G44="curved", $G44= "debuff"), $L44, 0), Factor!$AN$5:$AN$51, -1), 2)*MOD($L44,1)*10,0),
_xlpm.상태이상보정치, VLOOKUP(IF($G44 = "debuff", $M44, "null"), Factor!$AX$5:$BE$51, _xlpm.기본_색인번호, 0),
_xlpm.지속시간보정치, INDEX(Factor!$BG$5:$BO$51, _xlfn.XMATCH(IF(OR($G44 ="debuff", $G44 = "shot", $G44 = "pierce"), $O44, 0), Factor!$BG$5:$BG$51, -1), _xlpm.추가_색인번호)-IF(AND(OR($G44 ="debuff", $G44 = "shot", $G44 = "pierce"), MOD($O44, 1)&lt;&gt;0), 10*MOD($O44, 1)*INDEX(Factor!$BG$5:$BO$51, _xlfn.XMATCH(IF(OR($G44 ="debuff", $G44 = "shot", $G44 = "pierce"), $O44, 0), Factor!$BG$5:$BG$51, -1), 2), 0),
_xlpm.탄환개수보정치, VLOOKUP(IF(OR($G44 = "curved", $G44 = "shot"), $Q44, 1), Factor!$BQ$5:$BX$51, _xlpm.기본_색인번호, 0),
_xlpm.상태이상탄환생성위치보정치, IF($G44 = "debuff", VLOOKUP($R44, Factor!$K$18:$R$19, _xlpm.기본_색인번호, 0),1),
_xlpm.상태이상탄환형태보정치, IF($G44 = "debuff", VLOOKUP($S44, Factor!$K$24:$R$25, _xlpm.기본_색인번호, 0),1),
_xlpm.가격보정치, INDEX(Factor!$AE$5:$AL$51, _xlfn.XMATCH($F44,Factor!$AE$5:$AE$51, -1), _xlpm.기본_색인번호),
_xlpm.구경보정치, VLOOKUP($D44,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44" s="29" t="e" cm="1">
        <f t="array" ref="AF44">_xlfn.LET(_xlpm.기본_색인번호, 7,
_xlpm.추가_색인번호, 8,
_xlpm.개별보정치, Y44,
_xlpm.패턴보정치, VLOOKUP($G44, Factor!$B$5:$I$51, _xlpm.기본_색인번호, 0),
_xlpm.소모탄환보정치, VLOOKUP($H44, Factor!$T$5:$AA$51, _xlpm.기본_색인번호, 0),
_xlpm.지형보정치, VLOOKUP($I44, Factor!$K$12:$R$13, _xlpm.기본_색인번호, 0),
_xlpm.공격속성보정치, VLOOKUP($J44, Factor!$K$5:$R$7, _xlpm.기본_색인번호, 0),
_xlpm.피해범위보정치, INDEX(Factor!$AN$5:$AV$51, _xlfn.XMATCH(IF(OR($G44="blast", $G44="curved",  $G44= "debuff"), $L44, 0), Factor!$AN$5:$AN$51, -1), _xlpm.추가_색인번호)-IF(AND(OR($G44="blast", $G44="curved", $G44= "debuff"), MOD($L44,1)&lt;&gt;0),INDEX(Factor!$AN$5:$AV$51, _xlfn.XMATCH(IF(OR($G44="blast", $G44="curved", $G44= "debuff"), $L44, 0), Factor!$AN$5:$AN$51, -1), 2)*MOD($L44,1)*10,0),
_xlpm.상태이상보정치, VLOOKUP(IF($G44 = "debuff", $M44, "null"), Factor!$AX$5:$BE$51, _xlpm.기본_색인번호, 0),
_xlpm.지속시간보정치, INDEX(Factor!$BG$5:$BO$51, _xlfn.XMATCH(IF(OR($G44 ="debuff", $G44 = "shot", $G44 = "pierce"), $O44, 0), Factor!$BG$5:$BG$51, -1), _xlpm.추가_색인번호)-IF(AND(OR($G44 ="debuff", $G44 = "shot", $G44 = "pierce"), MOD($O44, 1)&lt;&gt;0), 10*MOD($O44, 1)*INDEX(Factor!$BG$5:$BO$51, _xlfn.XMATCH(IF(OR($G44 ="debuff", $G44 = "shot", $G44 = "pierce"), $O44, 0), Factor!$BG$5:$BG$51, -1), 2), 0),
_xlpm.탄환개수보정치, VLOOKUP(IF(OR($G44 = "curved", $G44 = "shot"), $Q44, 1), Factor!$BQ$5:$BX$51, _xlpm.기본_색인번호, 0),
_xlpm.상태이상탄환생성위치보정치, IF($G44 = "debuff", VLOOKUP($R44, Factor!$K$18:$R$19, _xlpm.기본_색인번호, 0),1),
_xlpm.상태이상탄환형태보정치, IF($G44 = "debuff", VLOOKUP($S44, Factor!$K$24:$R$25, _xlpm.기본_색인번호, 0),1),
_xlpm.가격보정치, INDEX(Factor!$AE$5:$AL$51, _xlfn.XMATCH($F44,Factor!$AE$5:$AE$51, -1), _xlpm.기본_색인번호),
_xlpm.구경보정치, VLOOKUP($D44,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44" s="30" t="e" cm="1">
        <f t="array" ref="AG44">_xlfn.LET(_xlpm.기본_색인번호, 8,
_xlpm.추가_색인번호, 9,
_xlpm.개별보정치, Z44,
_xlpm.패턴보정치, VLOOKUP($G44, Factor!$B$5:$I$51, _xlpm.기본_색인번호, 0),
_xlpm.소모탄환보정치, VLOOKUP($H44, Factor!$T$5:$AA$51, _xlpm.기본_색인번호, 0),
_xlpm.지형보정치, VLOOKUP($I44, Factor!$K$12:$R$13, _xlpm.기본_색인번호, 0),
_xlpm.공격속성보정치, VLOOKUP($J44, Factor!$K$5:$R$7, _xlpm.기본_색인번호, 0),
_xlpm.피해범위보정치, INDEX(Factor!$AN$5:$AV$51, _xlfn.XMATCH(IF(OR($G44="blast", $G44="curved",  $G44= "debuff"), $L44, 0), Factor!$AN$5:$AN$51, -1), _xlpm.추가_색인번호)-IF(AND(OR($G44="blast", $G44="curved", $G44= "debuff"), MOD($L44,1)&lt;&gt;0),INDEX(Factor!$AN$5:$AV$51, _xlfn.XMATCH(IF(OR($G44="blast", $G44="curved", $G44= "debuff"), $L44, 0), Factor!$AN$5:$AN$51, -1), 2)*MOD($L44,1)*10,0),
_xlpm.상태이상보정치, VLOOKUP(IF($G44 = "debuff", $M44, "null"), Factor!$AX$5:$BE$51, _xlpm.기본_색인번호, 0),
_xlpm.지속시간보정치, INDEX(Factor!$BG$5:$BO$51, _xlfn.XMATCH(IF(OR($G44 ="debuff", $G44 = "shot", $G44 = "pierce"), $O44, 0), Factor!$BG$5:$BG$51, -1), _xlpm.추가_색인번호)-IF(AND(OR($G44 ="debuff", $G44 = "shot", $G44 = "pierce"), MOD($O44, 1)&lt;&gt;0), 10*MOD($O44, 1)*INDEX(Factor!$BG$5:$BO$51, _xlfn.XMATCH(IF(OR($G44 ="debuff", $G44 = "shot", $G44 = "pierce"), $O44, 0), Factor!$BG$5:$BG$51, -1), 2), 0),
_xlpm.탄환개수보정치, VLOOKUP(IF(OR($G44 = "curved", $G44 = "shot"), $Q44, 1), Factor!$BQ$5:$BX$51, _xlpm.기본_색인번호, 0),
_xlpm.상태이상탄환생성위치보정치, IF($G44 = "debuff", VLOOKUP($R44, Factor!$K$18:$R$19, _xlpm.기본_색인번호, 0),1),
_xlpm.상태이상탄환형태보정치, IF($G44 = "debuff", VLOOKUP($S44, Factor!$K$24:$R$25, _xlpm.기본_색인번호, 0),1),
_xlpm.가격보정치, INDEX(Factor!$AE$5:$AL$51, _xlfn.XMATCH($F44,Factor!$AE$5:$AE$51, -1), _xlpm.기본_색인번호),
_xlpm.구경보정치, VLOOKUP($D44,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44"/>
      <c r="AI44"/>
      <c r="AJ44"/>
      <c r="AK44"/>
      <c r="AL44"/>
      <c r="AM44"/>
      <c r="AN44"/>
    </row>
    <row r="45" spans="1:40" ht="15.75" customHeight="1">
      <c r="A45" s="24" t="e">
        <f>"weapon_"&amp;G45&amp;"_"&amp;VLOOKUP(H45, Factor!$T$5:$AB$7, 9, 0)&amp;"_"&amp;IF(COUNTIFS($G$4:G44, G45, $H$4:H44, H45)+1&gt;=100, COUNTIFS($G$4:G44, G45, $H$4:H44, H45)+1,IF(COUNTIFS($G$4:G44, G45, $H$4:H44, H45)+1&gt;=10, "0"&amp;COUNTIFS($G$4:G44, G45, $H$4:H44, H45)+1, "00"&amp;COUNTIFS($G$4:G44, G45, $H$4:H44, H45)+1))</f>
        <v>#N/A</v>
      </c>
      <c r="B45" s="36" t="str">
        <f t="shared" si="0"/>
        <v xml:space="preserve"> </v>
      </c>
      <c r="C45" s="36"/>
      <c r="D45" s="36"/>
      <c r="E45" s="36"/>
      <c r="F45" s="25" t="e">
        <f>VLOOKUP(C45, Factor!$AD$5:$AE$15, 2, 0)</f>
        <v>#N/A</v>
      </c>
      <c r="G45" s="26" t="e">
        <f>VLOOKUP(E45, Factor!$CL$5:$CV$50, 2, 0)</f>
        <v>#N/A</v>
      </c>
      <c r="H45" s="25" t="e">
        <f>VLOOKUP(E45, Factor!$CL$5:$CV$50, 3, 0)</f>
        <v>#N/A</v>
      </c>
      <c r="I45" s="25" t="e">
        <f>VLOOKUP(E45, Factor!$CL$5:$CV$50, 4, 0)</f>
        <v>#N/A</v>
      </c>
      <c r="J45" s="25" t="e">
        <f>VLOOKUP(E45, Factor!$CL$5:$CV$50, 5, 0)</f>
        <v>#N/A</v>
      </c>
      <c r="K45" s="25">
        <v>1</v>
      </c>
      <c r="L45" s="25" t="e">
        <f>VLOOKUP(E45, Factor!$CL$5:$CV$50, 6, 0)*K45*VLOOKUP(D45, Factor!$BZ$5:$CJ$49, 9, 0)</f>
        <v>#N/A</v>
      </c>
      <c r="M45" s="25" t="e">
        <f>VLOOKUP(E45, Factor!$CL$5:$CV$50, 7, 0)</f>
        <v>#N/A</v>
      </c>
      <c r="N45" s="25">
        <v>1</v>
      </c>
      <c r="O45" s="25" t="e">
        <f>VLOOKUP(E45, Factor!$CL$5:$CV$50, 8, 0)*N45*VLOOKUP(D45, Factor!$BZ$5:$CJ$49, 10, 0)</f>
        <v>#N/A</v>
      </c>
      <c r="P45" s="25">
        <v>1</v>
      </c>
      <c r="Q45" s="25" t="e">
        <f>VLOOKUP(E45, Factor!$CL$5:$CV$50, 9, 0)*P45*VLOOKUP(D45, Factor!$BZ$5:$CJ$49, 11, 0)</f>
        <v>#N/A</v>
      </c>
      <c r="R45" s="25" t="e">
        <f>VLOOKUP(E45, Factor!$CL$5:$CV$50, 10, 0)</f>
        <v>#N/A</v>
      </c>
      <c r="S45" s="25" t="e">
        <f>VLOOKUP(E45, Factor!$CL$5:$CV$50, 11, 0)</f>
        <v>#N/A</v>
      </c>
      <c r="T45" s="25">
        <v>1</v>
      </c>
      <c r="U45" s="25">
        <v>1</v>
      </c>
      <c r="V45" s="25">
        <v>1</v>
      </c>
      <c r="W45" s="25">
        <v>1</v>
      </c>
      <c r="X45" s="25">
        <v>1</v>
      </c>
      <c r="Y45" s="25">
        <v>1</v>
      </c>
      <c r="Z45" s="25">
        <v>1</v>
      </c>
      <c r="AA45" s="25" t="e" cm="1">
        <f t="array" ref="AA45">_xlfn.LET(_xlpm.기본_색인번호, 2,
_xlpm.추가_색인번호, 3,
_xlpm.개별보정치, T45,
_xlpm.패턴보정치, VLOOKUP($G45, Factor!$B$5:$I$51, _xlpm.기본_색인번호, 0),
_xlpm.소모탄환보정치, VLOOKUP($H45, Factor!$T$5:$AA$51, _xlpm.기본_색인번호, 0),
_xlpm.지형보정치, VLOOKUP($I45, Factor!$K$12:$R$13, _xlpm.기본_색인번호, 0),
_xlpm.공격속성보정치, VLOOKUP($J45, Factor!$K$5:$R$7, _xlpm.기본_색인번호, 0),
_xlpm.피해범위보정치, INDEX(Factor!$AN$5:$AV$51, _xlfn.XMATCH(IF(OR($G45="blast", $G45="curved",  $G45= "debuff"), $L45, 0), Factor!$AN$5:$AN$51, -1), _xlpm.추가_색인번호)-IF(AND(OR($G45="blast", $G45="curved", $G45= "debuff"), MOD($L45,1)&lt;&gt;0),INDEX(Factor!$AN$5:$AV$51, _xlfn.XMATCH(IF(OR($G45="blast", $G45="curved", $G45= "debuff"), $L45, 0), Factor!$AN$5:$AN$51, -1), 2)*MOD($L45,1)*10,0),
_xlpm.상태이상보정치, VLOOKUP(IF($G45 = "debuff", $M45, "null"), Factor!$AX$5:$BE$51, _xlpm.기본_색인번호, 0),
_xlpm.지속시간보정치, INDEX(Factor!$BG$5:$BO$51, _xlfn.XMATCH(IF(OR($G45 ="debuff", $G45 = "shot", $G45 = "pierce"), $O45, 0), Factor!$BG$5:$BG$51, -1), _xlpm.추가_색인번호)-IF(AND(OR($G45 ="debuff", $G45 = "shot", $G45 = "pierce"), MOD($O45, 1)&lt;&gt;0), 10*MOD($O45, 1)*INDEX(Factor!$BG$5:$BO$51, _xlfn.XMATCH(IF(OR($G45 ="debuff", $G45 = "shot", $G45 = "pierce"), $O45, 0), Factor!$BG$5:$BG$51, -1), 2), 0),
_xlpm.탄환개수보정치, VLOOKUP(IF(OR($G45 = "curved", $G45 = "shot"), $Q45, 1), Factor!$BQ$5:$BX$51, _xlpm.기본_색인번호, 0),
_xlpm.상태이상탄환생성위치보정치, IF($G45 = "debuff", VLOOKUP($R45, Factor!$K$18:$R$19, _xlpm.기본_색인번호, 0),1),
_xlpm.상태이상탄환형태보정치, IF($G45 = "debuff", VLOOKUP($S45, Factor!$K$24:$R$25, _xlpm.기본_색인번호, 0),1),
_xlpm.가격보정치, INDEX(Factor!$AE$5:$AL$51, _xlfn.XMATCH($F45,Factor!$AE$5:$AE$51, -1), _xlpm.기본_색인번호),
_xlpm.구경보정치, VLOOKUP($D45,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45" s="25" t="e" cm="1">
        <f t="array" ref="AB45">_xlfn.LET(_xlpm.기본_색인번호, 3,
_xlpm.추가_색인번호, 4,
_xlpm.개별보정치, U45,
_xlpm.패턴보정치, VLOOKUP($G45, Factor!$B$5:$I$51, _xlpm.기본_색인번호, 0),
_xlpm.소모탄환보정치, VLOOKUP($H45, Factor!$T$5:$AA$51, _xlpm.기본_색인번호, 0),
_xlpm.지형보정치, VLOOKUP($I45, Factor!$K$12:$R$13, _xlpm.기본_색인번호, 0),
_xlpm.공격속성보정치, VLOOKUP($J45, Factor!$K$5:$R$7, _xlpm.기본_색인번호, 0),
_xlpm.피해범위보정치, INDEX(Factor!$AN$5:$AV$51, _xlfn.XMATCH(IF(OR($G45="blast", $G45="curved",  $G45= "debuff"), $L45, 0), Factor!$AN$5:$AN$51, -1), _xlpm.추가_색인번호)-IF(AND(OR($G45="blast", $G45="curved", $G45= "debuff"), MOD($L45,1)&lt;&gt;0),INDEX(Factor!$AN$5:$AV$51, _xlfn.XMATCH(IF(OR($G45="blast", $G45="curved", $G45= "debuff"), $L45, 0), Factor!$AN$5:$AN$51, -1), 2)*MOD($L45,1)*10,0),
_xlpm.상태이상보정치, VLOOKUP(IF($G45 = "debuff", $M45, "null"), Factor!$AX$5:$BE$51, _xlpm.기본_색인번호, 0),
_xlpm.지속시간보정치, INDEX(Factor!$BG$5:$BO$51, _xlfn.XMATCH(IF(OR($G45 ="debuff", $G45 = "shot", $G45 = "pierce"), $O45, 0), Factor!$BG$5:$BG$51, -1), _xlpm.추가_색인번호)-IF(AND(OR($G45 ="debuff", $G45 = "shot", $G45 = "pierce"), MOD($O45, 1)&lt;&gt;0), 10*MOD($O45, 1)*INDEX(Factor!$BG$5:$BO$51, _xlfn.XMATCH(IF(OR($G45 ="debuff", $G45 = "shot", $G45 = "pierce"), $O45, 0), Factor!$BG$5:$BG$51, -1), 2), 0),
_xlpm.탄환개수보정치, VLOOKUP(IF(OR($G45 = "curved", $G45 = "shot"), $Q45, 1), Factor!$BQ$5:$BX$51, _xlpm.기본_색인번호, 0),
_xlpm.상태이상탄환생성위치보정치, IF($G45 = "debuff", VLOOKUP($R45, Factor!$K$18:$R$19, _xlpm.기본_색인번호, 0),1),
_xlpm.상태이상탄환형태보정치, IF($G45 = "debuff", VLOOKUP($S45, Factor!$K$24:$R$25, _xlpm.기본_색인번호, 0),1),
_xlpm.가격보정치, INDEX(Factor!$AE$5:$AL$51, _xlfn.XMATCH($F45,Factor!$AE$5:$AE$51, -1), _xlpm.기본_색인번호),
_xlpm.구경보정치, VLOOKUP($D45,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45" s="25" t="e" cm="1">
        <f t="array" ref="AC45">_xlfn.LET(_xlpm.기본_색인번호, 4,
_xlpm.추가_색인번호, 5,
_xlpm.개별보정치, V45,
_xlpm.패턴보정치, VLOOKUP($G45, Factor!$B$5:$I$51, _xlpm.기본_색인번호, 0),
_xlpm.소모탄환보정치, VLOOKUP($H45, Factor!$T$5:$AA$51, _xlpm.기본_색인번호, 0),
_xlpm.지형보정치, VLOOKUP($I45, Factor!$K$12:$R$13, _xlpm.기본_색인번호, 0),
_xlpm.공격속성보정치, VLOOKUP($J45, Factor!$K$5:$R$7, _xlpm.기본_색인번호, 0),
_xlpm.피해범위보정치, INDEX(Factor!$AN$5:$AV$51, _xlfn.XMATCH(IF(OR($G45="blast", $G45="curved",  $G45= "debuff"), $L45, 0), Factor!$AN$5:$AN$51, -1), _xlpm.추가_색인번호)-IF(AND(OR($G45="blast", $G45="curved", $G45= "debuff"), MOD($L45,1)&lt;&gt;0),INDEX(Factor!$AN$5:$AV$51, _xlfn.XMATCH(IF(OR($G45="blast", $G45="curved", $G45= "debuff"), $L45, 0), Factor!$AN$5:$AN$51, -1), 2)*MOD($L45,1)*10,0),
_xlpm.상태이상보정치, VLOOKUP(IF($G45 = "debuff", $M45, "null"), Factor!$AX$5:$BE$51, _xlpm.기본_색인번호, 0),
_xlpm.지속시간보정치, INDEX(Factor!$BG$5:$BO$51, _xlfn.XMATCH(IF(OR($G45 ="debuff", $G45 = "shot", $G45 = "pierce"), $O45, 0), Factor!$BG$5:$BG$51, -1), _xlpm.추가_색인번호)-IF(AND(OR($G45 ="debuff", $G45 = "shot", $G45 = "pierce"), MOD($O45, 1)&lt;&gt;0), 10*MOD($O45, 1)*INDEX(Factor!$BG$5:$BO$51, _xlfn.XMATCH(IF(OR($G45 ="debuff", $G45 = "shot", $G45 = "pierce"), $O45, 0), Factor!$BG$5:$BG$51, -1), 2), 0),
_xlpm.탄환개수보정치, VLOOKUP(IF(OR($G45 = "curved", $G45 = "shot"), $Q45, 1), Factor!$BQ$5:$BX$51, _xlpm.기본_색인번호, 0),
_xlpm.상태이상탄환생성위치보정치, IF($G45 = "debuff", VLOOKUP($R45, Factor!$K$18:$R$19, _xlpm.기본_색인번호, 0),1),
_xlpm.상태이상탄환형태보정치, IF($G45 = "debuff", VLOOKUP($S45, Factor!$K$24:$R$25, _xlpm.기본_색인번호, 0),1),
_xlpm.가격보정치, INDEX(Factor!$AE$5:$AL$51, _xlfn.XMATCH($F45,Factor!$AE$5:$AE$51, -1), _xlpm.기본_색인번호),
_xlpm.구경보정치, VLOOKUP($D45,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45" s="25" t="e" cm="1">
        <f t="array" ref="AD45">_xlfn.LET(_xlpm.기본_색인번호, 5,
_xlpm.추가_색인번호, 6,
_xlpm.개별보정치, W45,
_xlpm.패턴보정치, VLOOKUP($G45, Factor!$B$5:$I$51, _xlpm.기본_색인번호, 0),
_xlpm.소모탄환보정치, VLOOKUP($H45, Factor!$T$5:$AA$51, _xlpm.기본_색인번호, 0),
_xlpm.지형보정치, VLOOKUP($I45, Factor!$K$12:$R$13, _xlpm.기본_색인번호, 0),
_xlpm.공격속성보정치, VLOOKUP($J45, Factor!$K$5:$R$7, _xlpm.기본_색인번호, 0),
_xlpm.피해범위보정치, INDEX(Factor!$AN$5:$AV$51, _xlfn.XMATCH(IF(OR($G45="blast", $G45="curved",  $G45= "debuff"), $L45, 0), Factor!$AN$5:$AN$51, -1), _xlpm.추가_색인번호)-IF(AND(OR($G45="blast", $G45="curved", $G45= "debuff"), MOD($L45,1)&lt;&gt;0),INDEX(Factor!$AN$5:$AV$51, _xlfn.XMATCH(IF(OR($G45="blast", $G45="curved", $G45= "debuff"), $L45, 0), Factor!$AN$5:$AN$51, -1), 2)*MOD($L45,1)*10,0),
_xlpm.상태이상보정치, VLOOKUP(IF($G45 = "debuff", $M45, "null"), Factor!$AX$5:$BE$51, _xlpm.기본_색인번호, 0),
_xlpm.지속시간보정치, INDEX(Factor!$BG$5:$BO$51, _xlfn.XMATCH(IF(OR($G45 ="debuff", $G45 = "shot", $G45 = "pierce"), $O45, 0), Factor!$BG$5:$BG$51, -1), _xlpm.추가_색인번호)-IF(AND(OR($G45 ="debuff", $G45 = "shot", $G45 = "pierce"), MOD($O45, 1)&lt;&gt;0), 10*MOD($O45, 1)*INDEX(Factor!$BG$5:$BO$51, _xlfn.XMATCH(IF(OR($G45 ="debuff", $G45 = "shot", $G45 = "pierce"), $O45, 0), Factor!$BG$5:$BG$51, -1), 2), 0),
_xlpm.탄환개수보정치, VLOOKUP(IF(OR($G45 = "curved", $G45 = "shot"), $Q45, 1), Factor!$BQ$5:$BX$51, _xlpm.기본_색인번호, 0),
_xlpm.상태이상탄환생성위치보정치, IF($G45 = "debuff", VLOOKUP($R45, Factor!$K$18:$R$19, _xlpm.기본_색인번호, 0),1),
_xlpm.상태이상탄환형태보정치, IF($G45 = "debuff", VLOOKUP($S45, Factor!$K$24:$R$25, _xlpm.기본_색인번호, 0),1),
_xlpm.가격보정치, INDEX(Factor!$AE$5:$AL$51, _xlfn.XMATCH($F45,Factor!$AE$5:$AE$51, -1), _xlpm.기본_색인번호),
_xlpm.구경보정치, VLOOKUP($D45,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45" s="25" t="e" cm="1">
        <f t="array" ref="AE45">_xlfn.LET(_xlpm.기본_색인번호, 6,
_xlpm.추가_색인번호, 7,
_xlpm.개별보정치, X45,
_xlpm.패턴보정치, VLOOKUP($G45, Factor!$B$5:$I$51, _xlpm.기본_색인번호, 0),
_xlpm.소모탄환보정치, VLOOKUP($H45, Factor!$T$5:$AA$51, _xlpm.기본_색인번호, 0),
_xlpm.지형보정치, VLOOKUP($I45, Factor!$K$12:$R$13, _xlpm.기본_색인번호, 0),
_xlpm.공격속성보정치, VLOOKUP($J45, Factor!$K$5:$R$7, _xlpm.기본_색인번호, 0),
_xlpm.피해범위보정치, INDEX(Factor!$AN$5:$AV$51, _xlfn.XMATCH(IF(OR($G45="blast", $G45="curved",  $G45= "debuff"), $L45, 0), Factor!$AN$5:$AN$51, -1), _xlpm.추가_색인번호)-IF(AND(OR($G45="blast", $G45="curved", $G45= "debuff"), MOD($L45,1)&lt;&gt;0),INDEX(Factor!$AN$5:$AV$51, _xlfn.XMATCH(IF(OR($G45="blast", $G45="curved", $G45= "debuff"), $L45, 0), Factor!$AN$5:$AN$51, -1), 2)*MOD($L45,1)*10,0),
_xlpm.상태이상보정치, VLOOKUP(IF($G45 = "debuff", $M45, "null"), Factor!$AX$5:$BE$51, _xlpm.기본_색인번호, 0),
_xlpm.지속시간보정치, INDEX(Factor!$BG$5:$BO$51, _xlfn.XMATCH(IF(OR($G45 ="debuff", $G45 = "shot", $G45 = "pierce"), $O45, 0), Factor!$BG$5:$BG$51, -1), _xlpm.추가_색인번호)-IF(AND(OR($G45 ="debuff", $G45 = "shot", $G45 = "pierce"), MOD($O45, 1)&lt;&gt;0), 10*MOD($O45, 1)*INDEX(Factor!$BG$5:$BO$51, _xlfn.XMATCH(IF(OR($G45 ="debuff", $G45 = "shot", $G45 = "pierce"), $O45, 0), Factor!$BG$5:$BG$51, -1), 2), 0),
_xlpm.탄환개수보정치, VLOOKUP(IF(OR($G45 = "curved", $G45 = "shot"), $Q45, 1), Factor!$BQ$5:$BX$51, _xlpm.기본_색인번호, 0),
_xlpm.상태이상탄환생성위치보정치, IF($G45 = "debuff", VLOOKUP($R45, Factor!$K$18:$R$19, _xlpm.기본_색인번호, 0),1),
_xlpm.상태이상탄환형태보정치, IF($G45 = "debuff", VLOOKUP($S45, Factor!$K$24:$R$25, _xlpm.기본_색인번호, 0),1),
_xlpm.가격보정치, INDEX(Factor!$AE$5:$AL$51, _xlfn.XMATCH($F45,Factor!$AE$5:$AE$51, -1), _xlpm.기본_색인번호),
_xlpm.구경보정치, VLOOKUP($D45,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45" s="25" t="e" cm="1">
        <f t="array" ref="AF45">_xlfn.LET(_xlpm.기본_색인번호, 7,
_xlpm.추가_색인번호, 8,
_xlpm.개별보정치, Y45,
_xlpm.패턴보정치, VLOOKUP($G45, Factor!$B$5:$I$51, _xlpm.기본_색인번호, 0),
_xlpm.소모탄환보정치, VLOOKUP($H45, Factor!$T$5:$AA$51, _xlpm.기본_색인번호, 0),
_xlpm.지형보정치, VLOOKUP($I45, Factor!$K$12:$R$13, _xlpm.기본_색인번호, 0),
_xlpm.공격속성보정치, VLOOKUP($J45, Factor!$K$5:$R$7, _xlpm.기본_색인번호, 0),
_xlpm.피해범위보정치, INDEX(Factor!$AN$5:$AV$51, _xlfn.XMATCH(IF(OR($G45="blast", $G45="curved",  $G45= "debuff"), $L45, 0), Factor!$AN$5:$AN$51, -1), _xlpm.추가_색인번호)-IF(AND(OR($G45="blast", $G45="curved", $G45= "debuff"), MOD($L45,1)&lt;&gt;0),INDEX(Factor!$AN$5:$AV$51, _xlfn.XMATCH(IF(OR($G45="blast", $G45="curved", $G45= "debuff"), $L45, 0), Factor!$AN$5:$AN$51, -1), 2)*MOD($L45,1)*10,0),
_xlpm.상태이상보정치, VLOOKUP(IF($G45 = "debuff", $M45, "null"), Factor!$AX$5:$BE$51, _xlpm.기본_색인번호, 0),
_xlpm.지속시간보정치, INDEX(Factor!$BG$5:$BO$51, _xlfn.XMATCH(IF(OR($G45 ="debuff", $G45 = "shot", $G45 = "pierce"), $O45, 0), Factor!$BG$5:$BG$51, -1), _xlpm.추가_색인번호)-IF(AND(OR($G45 ="debuff", $G45 = "shot", $G45 = "pierce"), MOD($O45, 1)&lt;&gt;0), 10*MOD($O45, 1)*INDEX(Factor!$BG$5:$BO$51, _xlfn.XMATCH(IF(OR($G45 ="debuff", $G45 = "shot", $G45 = "pierce"), $O45, 0), Factor!$BG$5:$BG$51, -1), 2), 0),
_xlpm.탄환개수보정치, VLOOKUP(IF(OR($G45 = "curved", $G45 = "shot"), $Q45, 1), Factor!$BQ$5:$BX$51, _xlpm.기본_색인번호, 0),
_xlpm.상태이상탄환생성위치보정치, IF($G45 = "debuff", VLOOKUP($R45, Factor!$K$18:$R$19, _xlpm.기본_색인번호, 0),1),
_xlpm.상태이상탄환형태보정치, IF($G45 = "debuff", VLOOKUP($S45, Factor!$K$24:$R$25, _xlpm.기본_색인번호, 0),1),
_xlpm.가격보정치, INDEX(Factor!$AE$5:$AL$51, _xlfn.XMATCH($F45,Factor!$AE$5:$AE$51, -1), _xlpm.기본_색인번호),
_xlpm.구경보정치, VLOOKUP($D45,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45" s="27" t="e" cm="1">
        <f t="array" ref="AG45">_xlfn.LET(_xlpm.기본_색인번호, 8,
_xlpm.추가_색인번호, 9,
_xlpm.개별보정치, Z45,
_xlpm.패턴보정치, VLOOKUP($G45, Factor!$B$5:$I$51, _xlpm.기본_색인번호, 0),
_xlpm.소모탄환보정치, VLOOKUP($H45, Factor!$T$5:$AA$51, _xlpm.기본_색인번호, 0),
_xlpm.지형보정치, VLOOKUP($I45, Factor!$K$12:$R$13, _xlpm.기본_색인번호, 0),
_xlpm.공격속성보정치, VLOOKUP($J45, Factor!$K$5:$R$7, _xlpm.기본_색인번호, 0),
_xlpm.피해범위보정치, INDEX(Factor!$AN$5:$AV$51, _xlfn.XMATCH(IF(OR($G45="blast", $G45="curved",  $G45= "debuff"), $L45, 0), Factor!$AN$5:$AN$51, -1), _xlpm.추가_색인번호)-IF(AND(OR($G45="blast", $G45="curved", $G45= "debuff"), MOD($L45,1)&lt;&gt;0),INDEX(Factor!$AN$5:$AV$51, _xlfn.XMATCH(IF(OR($G45="blast", $G45="curved", $G45= "debuff"), $L45, 0), Factor!$AN$5:$AN$51, -1), 2)*MOD($L45,1)*10,0),
_xlpm.상태이상보정치, VLOOKUP(IF($G45 = "debuff", $M45, "null"), Factor!$AX$5:$BE$51, _xlpm.기본_색인번호, 0),
_xlpm.지속시간보정치, INDEX(Factor!$BG$5:$BO$51, _xlfn.XMATCH(IF(OR($G45 ="debuff", $G45 = "shot", $G45 = "pierce"), $O45, 0), Factor!$BG$5:$BG$51, -1), _xlpm.추가_색인번호)-IF(AND(OR($G45 ="debuff", $G45 = "shot", $G45 = "pierce"), MOD($O45, 1)&lt;&gt;0), 10*MOD($O45, 1)*INDEX(Factor!$BG$5:$BO$51, _xlfn.XMATCH(IF(OR($G45 ="debuff", $G45 = "shot", $G45 = "pierce"), $O45, 0), Factor!$BG$5:$BG$51, -1), 2), 0),
_xlpm.탄환개수보정치, VLOOKUP(IF(OR($G45 = "curved", $G45 = "shot"), $Q45, 1), Factor!$BQ$5:$BX$51, _xlpm.기본_색인번호, 0),
_xlpm.상태이상탄환생성위치보정치, IF($G45 = "debuff", VLOOKUP($R45, Factor!$K$18:$R$19, _xlpm.기본_색인번호, 0),1),
_xlpm.상태이상탄환형태보정치, IF($G45 = "debuff", VLOOKUP($S45, Factor!$K$24:$R$25, _xlpm.기본_색인번호, 0),1),
_xlpm.가격보정치, INDEX(Factor!$AE$5:$AL$51, _xlfn.XMATCH($F45,Factor!$AE$5:$AE$51, -1), _xlpm.기본_색인번호),
_xlpm.구경보정치, VLOOKUP($D45,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45"/>
      <c r="AI45"/>
      <c r="AJ45"/>
      <c r="AK45"/>
      <c r="AL45"/>
      <c r="AM45"/>
      <c r="AN45"/>
    </row>
    <row r="46" spans="1:40" ht="15.75" customHeight="1">
      <c r="A46" s="28" t="e">
        <f>"weapon_"&amp;G46&amp;"_"&amp;VLOOKUP(H46, Factor!$T$5:$AB$7, 9, 0)&amp;"_"&amp;IF(COUNTIFS($G$4:G45, G46, $H$4:H45, H46)+1&gt;=100, COUNTIFS($G$4:G45, G46, $H$4:H45, H46)+1,IF(COUNTIFS($G$4:G45, G46, $H$4:H45, H46)+1&gt;=10, "0"&amp;COUNTIFS($G$4:G45, G46, $H$4:H45, H46)+1, "00"&amp;COUNTIFS($G$4:G45, G46, $H$4:H45, H46)+1))</f>
        <v>#N/A</v>
      </c>
      <c r="B46" s="37" t="str">
        <f t="shared" si="0"/>
        <v xml:space="preserve"> </v>
      </c>
      <c r="C46" s="37"/>
      <c r="D46" s="37"/>
      <c r="E46" s="37"/>
      <c r="F46" s="29" t="e">
        <f>VLOOKUP(C46, Factor!$AD$5:$AE$15, 2, 0)</f>
        <v>#N/A</v>
      </c>
      <c r="G46" s="29" t="e">
        <f>VLOOKUP(E46, Factor!$CL$5:$CV$50, 2, 0)</f>
        <v>#N/A</v>
      </c>
      <c r="H46" s="29" t="e">
        <f>VLOOKUP(E46, Factor!$CL$5:$CV$50, 3, 0)</f>
        <v>#N/A</v>
      </c>
      <c r="I46" s="29" t="e">
        <f>VLOOKUP(E46, Factor!$CL$5:$CV$50, 4, 0)</f>
        <v>#N/A</v>
      </c>
      <c r="J46" s="29" t="e">
        <f>VLOOKUP(E46, Factor!$CL$5:$CV$50, 5, 0)</f>
        <v>#N/A</v>
      </c>
      <c r="K46" s="29">
        <v>1</v>
      </c>
      <c r="L46" s="29" t="e">
        <f>VLOOKUP(E46, Factor!$CL$5:$CV$50, 6, 0)*K46*VLOOKUP(D46, Factor!$BZ$5:$CJ$49, 9, 0)</f>
        <v>#N/A</v>
      </c>
      <c r="M46" s="29" t="e">
        <f>VLOOKUP(E46, Factor!$CL$5:$CV$50, 7, 0)</f>
        <v>#N/A</v>
      </c>
      <c r="N46" s="29">
        <v>1</v>
      </c>
      <c r="O46" s="29" t="e">
        <f>VLOOKUP(E46, Factor!$CL$5:$CV$50, 8, 0)*N46*VLOOKUP(D46, Factor!$BZ$5:$CJ$49, 10, 0)</f>
        <v>#N/A</v>
      </c>
      <c r="P46" s="29">
        <v>1</v>
      </c>
      <c r="Q46" s="29" t="e">
        <f>VLOOKUP(E46, Factor!$CL$5:$CV$50, 9, 0)*P46*VLOOKUP(D46, Factor!$BZ$5:$CJ$49, 11, 0)</f>
        <v>#N/A</v>
      </c>
      <c r="R46" s="29" t="e">
        <f>VLOOKUP(E46, Factor!$CL$5:$CV$50, 10, 0)</f>
        <v>#N/A</v>
      </c>
      <c r="S46" s="29" t="e">
        <f>VLOOKUP(E46, Factor!$CL$5:$CV$50, 11, 0)</f>
        <v>#N/A</v>
      </c>
      <c r="T46" s="29">
        <v>1</v>
      </c>
      <c r="U46" s="29">
        <v>1</v>
      </c>
      <c r="V46" s="29">
        <v>1</v>
      </c>
      <c r="W46" s="29">
        <v>1</v>
      </c>
      <c r="X46" s="29">
        <v>1</v>
      </c>
      <c r="Y46" s="29">
        <v>1</v>
      </c>
      <c r="Z46" s="29">
        <v>1</v>
      </c>
      <c r="AA46" s="29" t="e" cm="1">
        <f t="array" ref="AA46">_xlfn.LET(_xlpm.기본_색인번호, 2,
_xlpm.추가_색인번호, 3,
_xlpm.개별보정치, T46,
_xlpm.패턴보정치, VLOOKUP($G46, Factor!$B$5:$I$51, _xlpm.기본_색인번호, 0),
_xlpm.소모탄환보정치, VLOOKUP($H46, Factor!$T$5:$AA$51, _xlpm.기본_색인번호, 0),
_xlpm.지형보정치, VLOOKUP($I46, Factor!$K$12:$R$13, _xlpm.기본_색인번호, 0),
_xlpm.공격속성보정치, VLOOKUP($J46, Factor!$K$5:$R$7, _xlpm.기본_색인번호, 0),
_xlpm.피해범위보정치, INDEX(Factor!$AN$5:$AV$51, _xlfn.XMATCH(IF(OR($G46="blast", $G46="curved",  $G46= "debuff"), $L46, 0), Factor!$AN$5:$AN$51, -1), _xlpm.추가_색인번호)-IF(AND(OR($G46="blast", $G46="curved", $G46= "debuff"), MOD($L46,1)&lt;&gt;0),INDEX(Factor!$AN$5:$AV$51, _xlfn.XMATCH(IF(OR($G46="blast", $G46="curved", $G46= "debuff"), $L46, 0), Factor!$AN$5:$AN$51, -1), 2)*MOD($L46,1)*10,0),
_xlpm.상태이상보정치, VLOOKUP(IF($G46 = "debuff", $M46, "null"), Factor!$AX$5:$BE$51, _xlpm.기본_색인번호, 0),
_xlpm.지속시간보정치, INDEX(Factor!$BG$5:$BO$51, _xlfn.XMATCH(IF(OR($G46 ="debuff", $G46 = "shot", $G46 = "pierce"), $O46, 0), Factor!$BG$5:$BG$51, -1), _xlpm.추가_색인번호)-IF(AND(OR($G46 ="debuff", $G46 = "shot", $G46 = "pierce"), MOD($O46, 1)&lt;&gt;0), 10*MOD($O46, 1)*INDEX(Factor!$BG$5:$BO$51, _xlfn.XMATCH(IF(OR($G46 ="debuff", $G46 = "shot", $G46 = "pierce"), $O46, 0), Factor!$BG$5:$BG$51, -1), 2), 0),
_xlpm.탄환개수보정치, VLOOKUP(IF(OR($G46 = "curved", $G46 = "shot"), $Q46, 1), Factor!$BQ$5:$BX$51, _xlpm.기본_색인번호, 0),
_xlpm.상태이상탄환생성위치보정치, IF($G46 = "debuff", VLOOKUP($R46, Factor!$K$18:$R$19, _xlpm.기본_색인번호, 0),1),
_xlpm.상태이상탄환형태보정치, IF($G46 = "debuff", VLOOKUP($S46, Factor!$K$24:$R$25, _xlpm.기본_색인번호, 0),1),
_xlpm.가격보정치, INDEX(Factor!$AE$5:$AL$51, _xlfn.XMATCH($F46,Factor!$AE$5:$AE$51, -1), _xlpm.기본_색인번호),
_xlpm.구경보정치, VLOOKUP($D46,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46" s="29" t="e" cm="1">
        <f t="array" ref="AB46">_xlfn.LET(_xlpm.기본_색인번호, 3,
_xlpm.추가_색인번호, 4,
_xlpm.개별보정치, U46,
_xlpm.패턴보정치, VLOOKUP($G46, Factor!$B$5:$I$51, _xlpm.기본_색인번호, 0),
_xlpm.소모탄환보정치, VLOOKUP($H46, Factor!$T$5:$AA$51, _xlpm.기본_색인번호, 0),
_xlpm.지형보정치, VLOOKUP($I46, Factor!$K$12:$R$13, _xlpm.기본_색인번호, 0),
_xlpm.공격속성보정치, VLOOKUP($J46, Factor!$K$5:$R$7, _xlpm.기본_색인번호, 0),
_xlpm.피해범위보정치, INDEX(Factor!$AN$5:$AV$51, _xlfn.XMATCH(IF(OR($G46="blast", $G46="curved",  $G46= "debuff"), $L46, 0), Factor!$AN$5:$AN$51, -1), _xlpm.추가_색인번호)-IF(AND(OR($G46="blast", $G46="curved", $G46= "debuff"), MOD($L46,1)&lt;&gt;0),INDEX(Factor!$AN$5:$AV$51, _xlfn.XMATCH(IF(OR($G46="blast", $G46="curved", $G46= "debuff"), $L46, 0), Factor!$AN$5:$AN$51, -1), 2)*MOD($L46,1)*10,0),
_xlpm.상태이상보정치, VLOOKUP(IF($G46 = "debuff", $M46, "null"), Factor!$AX$5:$BE$51, _xlpm.기본_색인번호, 0),
_xlpm.지속시간보정치, INDEX(Factor!$BG$5:$BO$51, _xlfn.XMATCH(IF(OR($G46 ="debuff", $G46 = "shot", $G46 = "pierce"), $O46, 0), Factor!$BG$5:$BG$51, -1), _xlpm.추가_색인번호)-IF(AND(OR($G46 ="debuff", $G46 = "shot", $G46 = "pierce"), MOD($O46, 1)&lt;&gt;0), 10*MOD($O46, 1)*INDEX(Factor!$BG$5:$BO$51, _xlfn.XMATCH(IF(OR($G46 ="debuff", $G46 = "shot", $G46 = "pierce"), $O46, 0), Factor!$BG$5:$BG$51, -1), 2), 0),
_xlpm.탄환개수보정치, VLOOKUP(IF(OR($G46 = "curved", $G46 = "shot"), $Q46, 1), Factor!$BQ$5:$BX$51, _xlpm.기본_색인번호, 0),
_xlpm.상태이상탄환생성위치보정치, IF($G46 = "debuff", VLOOKUP($R46, Factor!$K$18:$R$19, _xlpm.기본_색인번호, 0),1),
_xlpm.상태이상탄환형태보정치, IF($G46 = "debuff", VLOOKUP($S46, Factor!$K$24:$R$25, _xlpm.기본_색인번호, 0),1),
_xlpm.가격보정치, INDEX(Factor!$AE$5:$AL$51, _xlfn.XMATCH($F46,Factor!$AE$5:$AE$51, -1), _xlpm.기본_색인번호),
_xlpm.구경보정치, VLOOKUP($D46,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46" s="29" t="e" cm="1">
        <f t="array" ref="AC46">_xlfn.LET(_xlpm.기본_색인번호, 4,
_xlpm.추가_색인번호, 5,
_xlpm.개별보정치, V46,
_xlpm.패턴보정치, VLOOKUP($G46, Factor!$B$5:$I$51, _xlpm.기본_색인번호, 0),
_xlpm.소모탄환보정치, VLOOKUP($H46, Factor!$T$5:$AA$51, _xlpm.기본_색인번호, 0),
_xlpm.지형보정치, VLOOKUP($I46, Factor!$K$12:$R$13, _xlpm.기본_색인번호, 0),
_xlpm.공격속성보정치, VLOOKUP($J46, Factor!$K$5:$R$7, _xlpm.기본_색인번호, 0),
_xlpm.피해범위보정치, INDEX(Factor!$AN$5:$AV$51, _xlfn.XMATCH(IF(OR($G46="blast", $G46="curved",  $G46= "debuff"), $L46, 0), Factor!$AN$5:$AN$51, -1), _xlpm.추가_색인번호)-IF(AND(OR($G46="blast", $G46="curved", $G46= "debuff"), MOD($L46,1)&lt;&gt;0),INDEX(Factor!$AN$5:$AV$51, _xlfn.XMATCH(IF(OR($G46="blast", $G46="curved", $G46= "debuff"), $L46, 0), Factor!$AN$5:$AN$51, -1), 2)*MOD($L46,1)*10,0),
_xlpm.상태이상보정치, VLOOKUP(IF($G46 = "debuff", $M46, "null"), Factor!$AX$5:$BE$51, _xlpm.기본_색인번호, 0),
_xlpm.지속시간보정치, INDEX(Factor!$BG$5:$BO$51, _xlfn.XMATCH(IF(OR($G46 ="debuff", $G46 = "shot", $G46 = "pierce"), $O46, 0), Factor!$BG$5:$BG$51, -1), _xlpm.추가_색인번호)-IF(AND(OR($G46 ="debuff", $G46 = "shot", $G46 = "pierce"), MOD($O46, 1)&lt;&gt;0), 10*MOD($O46, 1)*INDEX(Factor!$BG$5:$BO$51, _xlfn.XMATCH(IF(OR($G46 ="debuff", $G46 = "shot", $G46 = "pierce"), $O46, 0), Factor!$BG$5:$BG$51, -1), 2), 0),
_xlpm.탄환개수보정치, VLOOKUP(IF(OR($G46 = "curved", $G46 = "shot"), $Q46, 1), Factor!$BQ$5:$BX$51, _xlpm.기본_색인번호, 0),
_xlpm.상태이상탄환생성위치보정치, IF($G46 = "debuff", VLOOKUP($R46, Factor!$K$18:$R$19, _xlpm.기본_색인번호, 0),1),
_xlpm.상태이상탄환형태보정치, IF($G46 = "debuff", VLOOKUP($S46, Factor!$K$24:$R$25, _xlpm.기본_색인번호, 0),1),
_xlpm.가격보정치, INDEX(Factor!$AE$5:$AL$51, _xlfn.XMATCH($F46,Factor!$AE$5:$AE$51, -1), _xlpm.기본_색인번호),
_xlpm.구경보정치, VLOOKUP($D46,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46" s="29" t="e" cm="1">
        <f t="array" ref="AD46">_xlfn.LET(_xlpm.기본_색인번호, 5,
_xlpm.추가_색인번호, 6,
_xlpm.개별보정치, W46,
_xlpm.패턴보정치, VLOOKUP($G46, Factor!$B$5:$I$51, _xlpm.기본_색인번호, 0),
_xlpm.소모탄환보정치, VLOOKUP($H46, Factor!$T$5:$AA$51, _xlpm.기본_색인번호, 0),
_xlpm.지형보정치, VLOOKUP($I46, Factor!$K$12:$R$13, _xlpm.기본_색인번호, 0),
_xlpm.공격속성보정치, VLOOKUP($J46, Factor!$K$5:$R$7, _xlpm.기본_색인번호, 0),
_xlpm.피해범위보정치, INDEX(Factor!$AN$5:$AV$51, _xlfn.XMATCH(IF(OR($G46="blast", $G46="curved",  $G46= "debuff"), $L46, 0), Factor!$AN$5:$AN$51, -1), _xlpm.추가_색인번호)-IF(AND(OR($G46="blast", $G46="curved", $G46= "debuff"), MOD($L46,1)&lt;&gt;0),INDEX(Factor!$AN$5:$AV$51, _xlfn.XMATCH(IF(OR($G46="blast", $G46="curved", $G46= "debuff"), $L46, 0), Factor!$AN$5:$AN$51, -1), 2)*MOD($L46,1)*10,0),
_xlpm.상태이상보정치, VLOOKUP(IF($G46 = "debuff", $M46, "null"), Factor!$AX$5:$BE$51, _xlpm.기본_색인번호, 0),
_xlpm.지속시간보정치, INDEX(Factor!$BG$5:$BO$51, _xlfn.XMATCH(IF(OR($G46 ="debuff", $G46 = "shot", $G46 = "pierce"), $O46, 0), Factor!$BG$5:$BG$51, -1), _xlpm.추가_색인번호)-IF(AND(OR($G46 ="debuff", $G46 = "shot", $G46 = "pierce"), MOD($O46, 1)&lt;&gt;0), 10*MOD($O46, 1)*INDEX(Factor!$BG$5:$BO$51, _xlfn.XMATCH(IF(OR($G46 ="debuff", $G46 = "shot", $G46 = "pierce"), $O46, 0), Factor!$BG$5:$BG$51, -1), 2), 0),
_xlpm.탄환개수보정치, VLOOKUP(IF(OR($G46 = "curved", $G46 = "shot"), $Q46, 1), Factor!$BQ$5:$BX$51, _xlpm.기본_색인번호, 0),
_xlpm.상태이상탄환생성위치보정치, IF($G46 = "debuff", VLOOKUP($R46, Factor!$K$18:$R$19, _xlpm.기본_색인번호, 0),1),
_xlpm.상태이상탄환형태보정치, IF($G46 = "debuff", VLOOKUP($S46, Factor!$K$24:$R$25, _xlpm.기본_색인번호, 0),1),
_xlpm.가격보정치, INDEX(Factor!$AE$5:$AL$51, _xlfn.XMATCH($F46,Factor!$AE$5:$AE$51, -1), _xlpm.기본_색인번호),
_xlpm.구경보정치, VLOOKUP($D46,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46" s="29" t="e" cm="1">
        <f t="array" ref="AE46">_xlfn.LET(_xlpm.기본_색인번호, 6,
_xlpm.추가_색인번호, 7,
_xlpm.개별보정치, X46,
_xlpm.패턴보정치, VLOOKUP($G46, Factor!$B$5:$I$51, _xlpm.기본_색인번호, 0),
_xlpm.소모탄환보정치, VLOOKUP($H46, Factor!$T$5:$AA$51, _xlpm.기본_색인번호, 0),
_xlpm.지형보정치, VLOOKUP($I46, Factor!$K$12:$R$13, _xlpm.기본_색인번호, 0),
_xlpm.공격속성보정치, VLOOKUP($J46, Factor!$K$5:$R$7, _xlpm.기본_색인번호, 0),
_xlpm.피해범위보정치, INDEX(Factor!$AN$5:$AV$51, _xlfn.XMATCH(IF(OR($G46="blast", $G46="curved",  $G46= "debuff"), $L46, 0), Factor!$AN$5:$AN$51, -1), _xlpm.추가_색인번호)-IF(AND(OR($G46="blast", $G46="curved", $G46= "debuff"), MOD($L46,1)&lt;&gt;0),INDEX(Factor!$AN$5:$AV$51, _xlfn.XMATCH(IF(OR($G46="blast", $G46="curved", $G46= "debuff"), $L46, 0), Factor!$AN$5:$AN$51, -1), 2)*MOD($L46,1)*10,0),
_xlpm.상태이상보정치, VLOOKUP(IF($G46 = "debuff", $M46, "null"), Factor!$AX$5:$BE$51, _xlpm.기본_색인번호, 0),
_xlpm.지속시간보정치, INDEX(Factor!$BG$5:$BO$51, _xlfn.XMATCH(IF(OR($G46 ="debuff", $G46 = "shot", $G46 = "pierce"), $O46, 0), Factor!$BG$5:$BG$51, -1), _xlpm.추가_색인번호)-IF(AND(OR($G46 ="debuff", $G46 = "shot", $G46 = "pierce"), MOD($O46, 1)&lt;&gt;0), 10*MOD($O46, 1)*INDEX(Factor!$BG$5:$BO$51, _xlfn.XMATCH(IF(OR($G46 ="debuff", $G46 = "shot", $G46 = "pierce"), $O46, 0), Factor!$BG$5:$BG$51, -1), 2), 0),
_xlpm.탄환개수보정치, VLOOKUP(IF(OR($G46 = "curved", $G46 = "shot"), $Q46, 1), Factor!$BQ$5:$BX$51, _xlpm.기본_색인번호, 0),
_xlpm.상태이상탄환생성위치보정치, IF($G46 = "debuff", VLOOKUP($R46, Factor!$K$18:$R$19, _xlpm.기본_색인번호, 0),1),
_xlpm.상태이상탄환형태보정치, IF($G46 = "debuff", VLOOKUP($S46, Factor!$K$24:$R$25, _xlpm.기본_색인번호, 0),1),
_xlpm.가격보정치, INDEX(Factor!$AE$5:$AL$51, _xlfn.XMATCH($F46,Factor!$AE$5:$AE$51, -1), _xlpm.기본_색인번호),
_xlpm.구경보정치, VLOOKUP($D46,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46" s="29" t="e" cm="1">
        <f t="array" ref="AF46">_xlfn.LET(_xlpm.기본_색인번호, 7,
_xlpm.추가_색인번호, 8,
_xlpm.개별보정치, Y46,
_xlpm.패턴보정치, VLOOKUP($G46, Factor!$B$5:$I$51, _xlpm.기본_색인번호, 0),
_xlpm.소모탄환보정치, VLOOKUP($H46, Factor!$T$5:$AA$51, _xlpm.기본_색인번호, 0),
_xlpm.지형보정치, VLOOKUP($I46, Factor!$K$12:$R$13, _xlpm.기본_색인번호, 0),
_xlpm.공격속성보정치, VLOOKUP($J46, Factor!$K$5:$R$7, _xlpm.기본_색인번호, 0),
_xlpm.피해범위보정치, INDEX(Factor!$AN$5:$AV$51, _xlfn.XMATCH(IF(OR($G46="blast", $G46="curved",  $G46= "debuff"), $L46, 0), Factor!$AN$5:$AN$51, -1), _xlpm.추가_색인번호)-IF(AND(OR($G46="blast", $G46="curved", $G46= "debuff"), MOD($L46,1)&lt;&gt;0),INDEX(Factor!$AN$5:$AV$51, _xlfn.XMATCH(IF(OR($G46="blast", $G46="curved", $G46= "debuff"), $L46, 0), Factor!$AN$5:$AN$51, -1), 2)*MOD($L46,1)*10,0),
_xlpm.상태이상보정치, VLOOKUP(IF($G46 = "debuff", $M46, "null"), Factor!$AX$5:$BE$51, _xlpm.기본_색인번호, 0),
_xlpm.지속시간보정치, INDEX(Factor!$BG$5:$BO$51, _xlfn.XMATCH(IF(OR($G46 ="debuff", $G46 = "shot", $G46 = "pierce"), $O46, 0), Factor!$BG$5:$BG$51, -1), _xlpm.추가_색인번호)-IF(AND(OR($G46 ="debuff", $G46 = "shot", $G46 = "pierce"), MOD($O46, 1)&lt;&gt;0), 10*MOD($O46, 1)*INDEX(Factor!$BG$5:$BO$51, _xlfn.XMATCH(IF(OR($G46 ="debuff", $G46 = "shot", $G46 = "pierce"), $O46, 0), Factor!$BG$5:$BG$51, -1), 2), 0),
_xlpm.탄환개수보정치, VLOOKUP(IF(OR($G46 = "curved", $G46 = "shot"), $Q46, 1), Factor!$BQ$5:$BX$51, _xlpm.기본_색인번호, 0),
_xlpm.상태이상탄환생성위치보정치, IF($G46 = "debuff", VLOOKUP($R46, Factor!$K$18:$R$19, _xlpm.기본_색인번호, 0),1),
_xlpm.상태이상탄환형태보정치, IF($G46 = "debuff", VLOOKUP($S46, Factor!$K$24:$R$25, _xlpm.기본_색인번호, 0),1),
_xlpm.가격보정치, INDEX(Factor!$AE$5:$AL$51, _xlfn.XMATCH($F46,Factor!$AE$5:$AE$51, -1), _xlpm.기본_색인번호),
_xlpm.구경보정치, VLOOKUP($D46,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46" s="30" t="e" cm="1">
        <f t="array" ref="AG46">_xlfn.LET(_xlpm.기본_색인번호, 8,
_xlpm.추가_색인번호, 9,
_xlpm.개별보정치, Z46,
_xlpm.패턴보정치, VLOOKUP($G46, Factor!$B$5:$I$51, _xlpm.기본_색인번호, 0),
_xlpm.소모탄환보정치, VLOOKUP($H46, Factor!$T$5:$AA$51, _xlpm.기본_색인번호, 0),
_xlpm.지형보정치, VLOOKUP($I46, Factor!$K$12:$R$13, _xlpm.기본_색인번호, 0),
_xlpm.공격속성보정치, VLOOKUP($J46, Factor!$K$5:$R$7, _xlpm.기본_색인번호, 0),
_xlpm.피해범위보정치, INDEX(Factor!$AN$5:$AV$51, _xlfn.XMATCH(IF(OR($G46="blast", $G46="curved",  $G46= "debuff"), $L46, 0), Factor!$AN$5:$AN$51, -1), _xlpm.추가_색인번호)-IF(AND(OR($G46="blast", $G46="curved", $G46= "debuff"), MOD($L46,1)&lt;&gt;0),INDEX(Factor!$AN$5:$AV$51, _xlfn.XMATCH(IF(OR($G46="blast", $G46="curved", $G46= "debuff"), $L46, 0), Factor!$AN$5:$AN$51, -1), 2)*MOD($L46,1)*10,0),
_xlpm.상태이상보정치, VLOOKUP(IF($G46 = "debuff", $M46, "null"), Factor!$AX$5:$BE$51, _xlpm.기본_색인번호, 0),
_xlpm.지속시간보정치, INDEX(Factor!$BG$5:$BO$51, _xlfn.XMATCH(IF(OR($G46 ="debuff", $G46 = "shot", $G46 = "pierce"), $O46, 0), Factor!$BG$5:$BG$51, -1), _xlpm.추가_색인번호)-IF(AND(OR($G46 ="debuff", $G46 = "shot", $G46 = "pierce"), MOD($O46, 1)&lt;&gt;0), 10*MOD($O46, 1)*INDEX(Factor!$BG$5:$BO$51, _xlfn.XMATCH(IF(OR($G46 ="debuff", $G46 = "shot", $G46 = "pierce"), $O46, 0), Factor!$BG$5:$BG$51, -1), 2), 0),
_xlpm.탄환개수보정치, VLOOKUP(IF(OR($G46 = "curved", $G46 = "shot"), $Q46, 1), Factor!$BQ$5:$BX$51, _xlpm.기본_색인번호, 0),
_xlpm.상태이상탄환생성위치보정치, IF($G46 = "debuff", VLOOKUP($R46, Factor!$K$18:$R$19, _xlpm.기본_색인번호, 0),1),
_xlpm.상태이상탄환형태보정치, IF($G46 = "debuff", VLOOKUP($S46, Factor!$K$24:$R$25, _xlpm.기본_색인번호, 0),1),
_xlpm.가격보정치, INDEX(Factor!$AE$5:$AL$51, _xlfn.XMATCH($F46,Factor!$AE$5:$AE$51, -1), _xlpm.기본_색인번호),
_xlpm.구경보정치, VLOOKUP($D46,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46"/>
      <c r="AI46"/>
      <c r="AJ46"/>
      <c r="AK46"/>
      <c r="AL46"/>
      <c r="AM46"/>
      <c r="AN46"/>
    </row>
    <row r="47" spans="1:40" ht="15.75" customHeight="1">
      <c r="A47" s="24" t="e">
        <f>"weapon_"&amp;G47&amp;"_"&amp;VLOOKUP(H47, Factor!$T$5:$AB$7, 9, 0)&amp;"_"&amp;IF(COUNTIFS($G$4:G46, G47, $H$4:H46, H47)+1&gt;=100, COUNTIFS($G$4:G46, G47, $H$4:H46, H47)+1,IF(COUNTIFS($G$4:G46, G47, $H$4:H46, H47)+1&gt;=10, "0"&amp;COUNTIFS($G$4:G46, G47, $H$4:H46, H47)+1, "00"&amp;COUNTIFS($G$4:G46, G47, $H$4:H46, H47)+1))</f>
        <v>#N/A</v>
      </c>
      <c r="B47" s="36" t="str">
        <f t="shared" si="0"/>
        <v xml:space="preserve"> </v>
      </c>
      <c r="C47" s="36"/>
      <c r="D47" s="36"/>
      <c r="E47" s="36"/>
      <c r="F47" s="25" t="e">
        <f>VLOOKUP(C47, Factor!$AD$5:$AE$15, 2, 0)</f>
        <v>#N/A</v>
      </c>
      <c r="G47" s="26" t="e">
        <f>VLOOKUP(E47, Factor!$CL$5:$CV$50, 2, 0)</f>
        <v>#N/A</v>
      </c>
      <c r="H47" s="25" t="e">
        <f>VLOOKUP(E47, Factor!$CL$5:$CV$50, 3, 0)</f>
        <v>#N/A</v>
      </c>
      <c r="I47" s="25" t="e">
        <f>VLOOKUP(E47, Factor!$CL$5:$CV$50, 4, 0)</f>
        <v>#N/A</v>
      </c>
      <c r="J47" s="25" t="e">
        <f>VLOOKUP(E47, Factor!$CL$5:$CV$50, 5, 0)</f>
        <v>#N/A</v>
      </c>
      <c r="K47" s="25">
        <v>1</v>
      </c>
      <c r="L47" s="25" t="e">
        <f>VLOOKUP(E47, Factor!$CL$5:$CV$50, 6, 0)*K47*VLOOKUP(D47, Factor!$BZ$5:$CJ$49, 9, 0)</f>
        <v>#N/A</v>
      </c>
      <c r="M47" s="25" t="e">
        <f>VLOOKUP(E47, Factor!$CL$5:$CV$50, 7, 0)</f>
        <v>#N/A</v>
      </c>
      <c r="N47" s="25">
        <v>1</v>
      </c>
      <c r="O47" s="25" t="e">
        <f>VLOOKUP(E47, Factor!$CL$5:$CV$50, 8, 0)*N47*VLOOKUP(D47, Factor!$BZ$5:$CJ$49, 10, 0)</f>
        <v>#N/A</v>
      </c>
      <c r="P47" s="25">
        <v>1</v>
      </c>
      <c r="Q47" s="25" t="e">
        <f>VLOOKUP(E47, Factor!$CL$5:$CV$50, 9, 0)*P47*VLOOKUP(D47, Factor!$BZ$5:$CJ$49, 11, 0)</f>
        <v>#N/A</v>
      </c>
      <c r="R47" s="25" t="e">
        <f>VLOOKUP(E47, Factor!$CL$5:$CV$50, 10, 0)</f>
        <v>#N/A</v>
      </c>
      <c r="S47" s="25" t="e">
        <f>VLOOKUP(E47, Factor!$CL$5:$CV$50, 11, 0)</f>
        <v>#N/A</v>
      </c>
      <c r="T47" s="25">
        <v>1</v>
      </c>
      <c r="U47" s="25">
        <v>1</v>
      </c>
      <c r="V47" s="25">
        <v>1</v>
      </c>
      <c r="W47" s="25">
        <v>1</v>
      </c>
      <c r="X47" s="25">
        <v>1</v>
      </c>
      <c r="Y47" s="25">
        <v>1</v>
      </c>
      <c r="Z47" s="25">
        <v>1</v>
      </c>
      <c r="AA47" s="25" t="e" cm="1">
        <f t="array" ref="AA47">_xlfn.LET(_xlpm.기본_색인번호, 2,
_xlpm.추가_색인번호, 3,
_xlpm.개별보정치, T47,
_xlpm.패턴보정치, VLOOKUP($G47, Factor!$B$5:$I$51, _xlpm.기본_색인번호, 0),
_xlpm.소모탄환보정치, VLOOKUP($H47, Factor!$T$5:$AA$51, _xlpm.기본_색인번호, 0),
_xlpm.지형보정치, VLOOKUP($I47, Factor!$K$12:$R$13, _xlpm.기본_색인번호, 0),
_xlpm.공격속성보정치, VLOOKUP($J47, Factor!$K$5:$R$7, _xlpm.기본_색인번호, 0),
_xlpm.피해범위보정치, INDEX(Factor!$AN$5:$AV$51, _xlfn.XMATCH(IF(OR($G47="blast", $G47="curved",  $G47= "debuff"), $L47, 0), Factor!$AN$5:$AN$51, -1), _xlpm.추가_색인번호)-IF(AND(OR($G47="blast", $G47="curved", $G47= "debuff"), MOD($L47,1)&lt;&gt;0),INDEX(Factor!$AN$5:$AV$51, _xlfn.XMATCH(IF(OR($G47="blast", $G47="curved", $G47= "debuff"), $L47, 0), Factor!$AN$5:$AN$51, -1), 2)*MOD($L47,1)*10,0),
_xlpm.상태이상보정치, VLOOKUP(IF($G47 = "debuff", $M47, "null"), Factor!$AX$5:$BE$51, _xlpm.기본_색인번호, 0),
_xlpm.지속시간보정치, INDEX(Factor!$BG$5:$BO$51, _xlfn.XMATCH(IF(OR($G47 ="debuff", $G47 = "shot", $G47 = "pierce"), $O47, 0), Factor!$BG$5:$BG$51, -1), _xlpm.추가_색인번호)-IF(AND(OR($G47 ="debuff", $G47 = "shot", $G47 = "pierce"), MOD($O47, 1)&lt;&gt;0), 10*MOD($O47, 1)*INDEX(Factor!$BG$5:$BO$51, _xlfn.XMATCH(IF(OR($G47 ="debuff", $G47 = "shot", $G47 = "pierce"), $O47, 0), Factor!$BG$5:$BG$51, -1), 2), 0),
_xlpm.탄환개수보정치, VLOOKUP(IF(OR($G47 = "curved", $G47 = "shot"), $Q47, 1), Factor!$BQ$5:$BX$51, _xlpm.기본_색인번호, 0),
_xlpm.상태이상탄환생성위치보정치, IF($G47 = "debuff", VLOOKUP($R47, Factor!$K$18:$R$19, _xlpm.기본_색인번호, 0),1),
_xlpm.상태이상탄환형태보정치, IF($G47 = "debuff", VLOOKUP($S47, Factor!$K$24:$R$25, _xlpm.기본_색인번호, 0),1),
_xlpm.가격보정치, INDEX(Factor!$AE$5:$AL$51, _xlfn.XMATCH($F47,Factor!$AE$5:$AE$51, -1), _xlpm.기본_색인번호),
_xlpm.구경보정치, VLOOKUP($D47,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47" s="25" t="e" cm="1">
        <f t="array" ref="AB47">_xlfn.LET(_xlpm.기본_색인번호, 3,
_xlpm.추가_색인번호, 4,
_xlpm.개별보정치, U47,
_xlpm.패턴보정치, VLOOKUP($G47, Factor!$B$5:$I$51, _xlpm.기본_색인번호, 0),
_xlpm.소모탄환보정치, VLOOKUP($H47, Factor!$T$5:$AA$51, _xlpm.기본_색인번호, 0),
_xlpm.지형보정치, VLOOKUP($I47, Factor!$K$12:$R$13, _xlpm.기본_색인번호, 0),
_xlpm.공격속성보정치, VLOOKUP($J47, Factor!$K$5:$R$7, _xlpm.기본_색인번호, 0),
_xlpm.피해범위보정치, INDEX(Factor!$AN$5:$AV$51, _xlfn.XMATCH(IF(OR($G47="blast", $G47="curved",  $G47= "debuff"), $L47, 0), Factor!$AN$5:$AN$51, -1), _xlpm.추가_색인번호)-IF(AND(OR($G47="blast", $G47="curved", $G47= "debuff"), MOD($L47,1)&lt;&gt;0),INDEX(Factor!$AN$5:$AV$51, _xlfn.XMATCH(IF(OR($G47="blast", $G47="curved", $G47= "debuff"), $L47, 0), Factor!$AN$5:$AN$51, -1), 2)*MOD($L47,1)*10,0),
_xlpm.상태이상보정치, VLOOKUP(IF($G47 = "debuff", $M47, "null"), Factor!$AX$5:$BE$51, _xlpm.기본_색인번호, 0),
_xlpm.지속시간보정치, INDEX(Factor!$BG$5:$BO$51, _xlfn.XMATCH(IF(OR($G47 ="debuff", $G47 = "shot", $G47 = "pierce"), $O47, 0), Factor!$BG$5:$BG$51, -1), _xlpm.추가_색인번호)-IF(AND(OR($G47 ="debuff", $G47 = "shot", $G47 = "pierce"), MOD($O47, 1)&lt;&gt;0), 10*MOD($O47, 1)*INDEX(Factor!$BG$5:$BO$51, _xlfn.XMATCH(IF(OR($G47 ="debuff", $G47 = "shot", $G47 = "pierce"), $O47, 0), Factor!$BG$5:$BG$51, -1), 2), 0),
_xlpm.탄환개수보정치, VLOOKUP(IF(OR($G47 = "curved", $G47 = "shot"), $Q47, 1), Factor!$BQ$5:$BX$51, _xlpm.기본_색인번호, 0),
_xlpm.상태이상탄환생성위치보정치, IF($G47 = "debuff", VLOOKUP($R47, Factor!$K$18:$R$19, _xlpm.기본_색인번호, 0),1),
_xlpm.상태이상탄환형태보정치, IF($G47 = "debuff", VLOOKUP($S47, Factor!$K$24:$R$25, _xlpm.기본_색인번호, 0),1),
_xlpm.가격보정치, INDEX(Factor!$AE$5:$AL$51, _xlfn.XMATCH($F47,Factor!$AE$5:$AE$51, -1), _xlpm.기본_색인번호),
_xlpm.구경보정치, VLOOKUP($D47,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47" s="25" t="e" cm="1">
        <f t="array" ref="AC47">_xlfn.LET(_xlpm.기본_색인번호, 4,
_xlpm.추가_색인번호, 5,
_xlpm.개별보정치, V47,
_xlpm.패턴보정치, VLOOKUP($G47, Factor!$B$5:$I$51, _xlpm.기본_색인번호, 0),
_xlpm.소모탄환보정치, VLOOKUP($H47, Factor!$T$5:$AA$51, _xlpm.기본_색인번호, 0),
_xlpm.지형보정치, VLOOKUP($I47, Factor!$K$12:$R$13, _xlpm.기본_색인번호, 0),
_xlpm.공격속성보정치, VLOOKUP($J47, Factor!$K$5:$R$7, _xlpm.기본_색인번호, 0),
_xlpm.피해범위보정치, INDEX(Factor!$AN$5:$AV$51, _xlfn.XMATCH(IF(OR($G47="blast", $G47="curved",  $G47= "debuff"), $L47, 0), Factor!$AN$5:$AN$51, -1), _xlpm.추가_색인번호)-IF(AND(OR($G47="blast", $G47="curved", $G47= "debuff"), MOD($L47,1)&lt;&gt;0),INDEX(Factor!$AN$5:$AV$51, _xlfn.XMATCH(IF(OR($G47="blast", $G47="curved", $G47= "debuff"), $L47, 0), Factor!$AN$5:$AN$51, -1), 2)*MOD($L47,1)*10,0),
_xlpm.상태이상보정치, VLOOKUP(IF($G47 = "debuff", $M47, "null"), Factor!$AX$5:$BE$51, _xlpm.기본_색인번호, 0),
_xlpm.지속시간보정치, INDEX(Factor!$BG$5:$BO$51, _xlfn.XMATCH(IF(OR($G47 ="debuff", $G47 = "shot", $G47 = "pierce"), $O47, 0), Factor!$BG$5:$BG$51, -1), _xlpm.추가_색인번호)-IF(AND(OR($G47 ="debuff", $G47 = "shot", $G47 = "pierce"), MOD($O47, 1)&lt;&gt;0), 10*MOD($O47, 1)*INDEX(Factor!$BG$5:$BO$51, _xlfn.XMATCH(IF(OR($G47 ="debuff", $G47 = "shot", $G47 = "pierce"), $O47, 0), Factor!$BG$5:$BG$51, -1), 2), 0),
_xlpm.탄환개수보정치, VLOOKUP(IF(OR($G47 = "curved", $G47 = "shot"), $Q47, 1), Factor!$BQ$5:$BX$51, _xlpm.기본_색인번호, 0),
_xlpm.상태이상탄환생성위치보정치, IF($G47 = "debuff", VLOOKUP($R47, Factor!$K$18:$R$19, _xlpm.기본_색인번호, 0),1),
_xlpm.상태이상탄환형태보정치, IF($G47 = "debuff", VLOOKUP($S47, Factor!$K$24:$R$25, _xlpm.기본_색인번호, 0),1),
_xlpm.가격보정치, INDEX(Factor!$AE$5:$AL$51, _xlfn.XMATCH($F47,Factor!$AE$5:$AE$51, -1), _xlpm.기본_색인번호),
_xlpm.구경보정치, VLOOKUP($D47,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47" s="25" t="e" cm="1">
        <f t="array" ref="AD47">_xlfn.LET(_xlpm.기본_색인번호, 5,
_xlpm.추가_색인번호, 6,
_xlpm.개별보정치, W47,
_xlpm.패턴보정치, VLOOKUP($G47, Factor!$B$5:$I$51, _xlpm.기본_색인번호, 0),
_xlpm.소모탄환보정치, VLOOKUP($H47, Factor!$T$5:$AA$51, _xlpm.기본_색인번호, 0),
_xlpm.지형보정치, VLOOKUP($I47, Factor!$K$12:$R$13, _xlpm.기본_색인번호, 0),
_xlpm.공격속성보정치, VLOOKUP($J47, Factor!$K$5:$R$7, _xlpm.기본_색인번호, 0),
_xlpm.피해범위보정치, INDEX(Factor!$AN$5:$AV$51, _xlfn.XMATCH(IF(OR($G47="blast", $G47="curved",  $G47= "debuff"), $L47, 0), Factor!$AN$5:$AN$51, -1), _xlpm.추가_색인번호)-IF(AND(OR($G47="blast", $G47="curved", $G47= "debuff"), MOD($L47,1)&lt;&gt;0),INDEX(Factor!$AN$5:$AV$51, _xlfn.XMATCH(IF(OR($G47="blast", $G47="curved", $G47= "debuff"), $L47, 0), Factor!$AN$5:$AN$51, -1), 2)*MOD($L47,1)*10,0),
_xlpm.상태이상보정치, VLOOKUP(IF($G47 = "debuff", $M47, "null"), Factor!$AX$5:$BE$51, _xlpm.기본_색인번호, 0),
_xlpm.지속시간보정치, INDEX(Factor!$BG$5:$BO$51, _xlfn.XMATCH(IF(OR($G47 ="debuff", $G47 = "shot", $G47 = "pierce"), $O47, 0), Factor!$BG$5:$BG$51, -1), _xlpm.추가_색인번호)-IF(AND(OR($G47 ="debuff", $G47 = "shot", $G47 = "pierce"), MOD($O47, 1)&lt;&gt;0), 10*MOD($O47, 1)*INDEX(Factor!$BG$5:$BO$51, _xlfn.XMATCH(IF(OR($G47 ="debuff", $G47 = "shot", $G47 = "pierce"), $O47, 0), Factor!$BG$5:$BG$51, -1), 2), 0),
_xlpm.탄환개수보정치, VLOOKUP(IF(OR($G47 = "curved", $G47 = "shot"), $Q47, 1), Factor!$BQ$5:$BX$51, _xlpm.기본_색인번호, 0),
_xlpm.상태이상탄환생성위치보정치, IF($G47 = "debuff", VLOOKUP($R47, Factor!$K$18:$R$19, _xlpm.기본_색인번호, 0),1),
_xlpm.상태이상탄환형태보정치, IF($G47 = "debuff", VLOOKUP($S47, Factor!$K$24:$R$25, _xlpm.기본_색인번호, 0),1),
_xlpm.가격보정치, INDEX(Factor!$AE$5:$AL$51, _xlfn.XMATCH($F47,Factor!$AE$5:$AE$51, -1), _xlpm.기본_색인번호),
_xlpm.구경보정치, VLOOKUP($D47,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47" s="25" t="e" cm="1">
        <f t="array" ref="AE47">_xlfn.LET(_xlpm.기본_색인번호, 6,
_xlpm.추가_색인번호, 7,
_xlpm.개별보정치, X47,
_xlpm.패턴보정치, VLOOKUP($G47, Factor!$B$5:$I$51, _xlpm.기본_색인번호, 0),
_xlpm.소모탄환보정치, VLOOKUP($H47, Factor!$T$5:$AA$51, _xlpm.기본_색인번호, 0),
_xlpm.지형보정치, VLOOKUP($I47, Factor!$K$12:$R$13, _xlpm.기본_색인번호, 0),
_xlpm.공격속성보정치, VLOOKUP($J47, Factor!$K$5:$R$7, _xlpm.기본_색인번호, 0),
_xlpm.피해범위보정치, INDEX(Factor!$AN$5:$AV$51, _xlfn.XMATCH(IF(OR($G47="blast", $G47="curved",  $G47= "debuff"), $L47, 0), Factor!$AN$5:$AN$51, -1), _xlpm.추가_색인번호)-IF(AND(OR($G47="blast", $G47="curved", $G47= "debuff"), MOD($L47,1)&lt;&gt;0),INDEX(Factor!$AN$5:$AV$51, _xlfn.XMATCH(IF(OR($G47="blast", $G47="curved", $G47= "debuff"), $L47, 0), Factor!$AN$5:$AN$51, -1), 2)*MOD($L47,1)*10,0),
_xlpm.상태이상보정치, VLOOKUP(IF($G47 = "debuff", $M47, "null"), Factor!$AX$5:$BE$51, _xlpm.기본_색인번호, 0),
_xlpm.지속시간보정치, INDEX(Factor!$BG$5:$BO$51, _xlfn.XMATCH(IF(OR($G47 ="debuff", $G47 = "shot", $G47 = "pierce"), $O47, 0), Factor!$BG$5:$BG$51, -1), _xlpm.추가_색인번호)-IF(AND(OR($G47 ="debuff", $G47 = "shot", $G47 = "pierce"), MOD($O47, 1)&lt;&gt;0), 10*MOD($O47, 1)*INDEX(Factor!$BG$5:$BO$51, _xlfn.XMATCH(IF(OR($G47 ="debuff", $G47 = "shot", $G47 = "pierce"), $O47, 0), Factor!$BG$5:$BG$51, -1), 2), 0),
_xlpm.탄환개수보정치, VLOOKUP(IF(OR($G47 = "curved", $G47 = "shot"), $Q47, 1), Factor!$BQ$5:$BX$51, _xlpm.기본_색인번호, 0),
_xlpm.상태이상탄환생성위치보정치, IF($G47 = "debuff", VLOOKUP($R47, Factor!$K$18:$R$19, _xlpm.기본_색인번호, 0),1),
_xlpm.상태이상탄환형태보정치, IF($G47 = "debuff", VLOOKUP($S47, Factor!$K$24:$R$25, _xlpm.기본_색인번호, 0),1),
_xlpm.가격보정치, INDEX(Factor!$AE$5:$AL$51, _xlfn.XMATCH($F47,Factor!$AE$5:$AE$51, -1), _xlpm.기본_색인번호),
_xlpm.구경보정치, VLOOKUP($D47,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47" s="25" t="e" cm="1">
        <f t="array" ref="AF47">_xlfn.LET(_xlpm.기본_색인번호, 7,
_xlpm.추가_색인번호, 8,
_xlpm.개별보정치, Y47,
_xlpm.패턴보정치, VLOOKUP($G47, Factor!$B$5:$I$51, _xlpm.기본_색인번호, 0),
_xlpm.소모탄환보정치, VLOOKUP($H47, Factor!$T$5:$AA$51, _xlpm.기본_색인번호, 0),
_xlpm.지형보정치, VLOOKUP($I47, Factor!$K$12:$R$13, _xlpm.기본_색인번호, 0),
_xlpm.공격속성보정치, VLOOKUP($J47, Factor!$K$5:$R$7, _xlpm.기본_색인번호, 0),
_xlpm.피해범위보정치, INDEX(Factor!$AN$5:$AV$51, _xlfn.XMATCH(IF(OR($G47="blast", $G47="curved",  $G47= "debuff"), $L47, 0), Factor!$AN$5:$AN$51, -1), _xlpm.추가_색인번호)-IF(AND(OR($G47="blast", $G47="curved", $G47= "debuff"), MOD($L47,1)&lt;&gt;0),INDEX(Factor!$AN$5:$AV$51, _xlfn.XMATCH(IF(OR($G47="blast", $G47="curved", $G47= "debuff"), $L47, 0), Factor!$AN$5:$AN$51, -1), 2)*MOD($L47,1)*10,0),
_xlpm.상태이상보정치, VLOOKUP(IF($G47 = "debuff", $M47, "null"), Factor!$AX$5:$BE$51, _xlpm.기본_색인번호, 0),
_xlpm.지속시간보정치, INDEX(Factor!$BG$5:$BO$51, _xlfn.XMATCH(IF(OR($G47 ="debuff", $G47 = "shot", $G47 = "pierce"), $O47, 0), Factor!$BG$5:$BG$51, -1), _xlpm.추가_색인번호)-IF(AND(OR($G47 ="debuff", $G47 = "shot", $G47 = "pierce"), MOD($O47, 1)&lt;&gt;0), 10*MOD($O47, 1)*INDEX(Factor!$BG$5:$BO$51, _xlfn.XMATCH(IF(OR($G47 ="debuff", $G47 = "shot", $G47 = "pierce"), $O47, 0), Factor!$BG$5:$BG$51, -1), 2), 0),
_xlpm.탄환개수보정치, VLOOKUP(IF(OR($G47 = "curved", $G47 = "shot"), $Q47, 1), Factor!$BQ$5:$BX$51, _xlpm.기본_색인번호, 0),
_xlpm.상태이상탄환생성위치보정치, IF($G47 = "debuff", VLOOKUP($R47, Factor!$K$18:$R$19, _xlpm.기본_색인번호, 0),1),
_xlpm.상태이상탄환형태보정치, IF($G47 = "debuff", VLOOKUP($S47, Factor!$K$24:$R$25, _xlpm.기본_색인번호, 0),1),
_xlpm.가격보정치, INDEX(Factor!$AE$5:$AL$51, _xlfn.XMATCH($F47,Factor!$AE$5:$AE$51, -1), _xlpm.기본_색인번호),
_xlpm.구경보정치, VLOOKUP($D47,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47" s="27" t="e" cm="1">
        <f t="array" ref="AG47">_xlfn.LET(_xlpm.기본_색인번호, 8,
_xlpm.추가_색인번호, 9,
_xlpm.개별보정치, Z47,
_xlpm.패턴보정치, VLOOKUP($G47, Factor!$B$5:$I$51, _xlpm.기본_색인번호, 0),
_xlpm.소모탄환보정치, VLOOKUP($H47, Factor!$T$5:$AA$51, _xlpm.기본_색인번호, 0),
_xlpm.지형보정치, VLOOKUP($I47, Factor!$K$12:$R$13, _xlpm.기본_색인번호, 0),
_xlpm.공격속성보정치, VLOOKUP($J47, Factor!$K$5:$R$7, _xlpm.기본_색인번호, 0),
_xlpm.피해범위보정치, INDEX(Factor!$AN$5:$AV$51, _xlfn.XMATCH(IF(OR($G47="blast", $G47="curved",  $G47= "debuff"), $L47, 0), Factor!$AN$5:$AN$51, -1), _xlpm.추가_색인번호)-IF(AND(OR($G47="blast", $G47="curved", $G47= "debuff"), MOD($L47,1)&lt;&gt;0),INDEX(Factor!$AN$5:$AV$51, _xlfn.XMATCH(IF(OR($G47="blast", $G47="curved", $G47= "debuff"), $L47, 0), Factor!$AN$5:$AN$51, -1), 2)*MOD($L47,1)*10,0),
_xlpm.상태이상보정치, VLOOKUP(IF($G47 = "debuff", $M47, "null"), Factor!$AX$5:$BE$51, _xlpm.기본_색인번호, 0),
_xlpm.지속시간보정치, INDEX(Factor!$BG$5:$BO$51, _xlfn.XMATCH(IF(OR($G47 ="debuff", $G47 = "shot", $G47 = "pierce"), $O47, 0), Factor!$BG$5:$BG$51, -1), _xlpm.추가_색인번호)-IF(AND(OR($G47 ="debuff", $G47 = "shot", $G47 = "pierce"), MOD($O47, 1)&lt;&gt;0), 10*MOD($O47, 1)*INDEX(Factor!$BG$5:$BO$51, _xlfn.XMATCH(IF(OR($G47 ="debuff", $G47 = "shot", $G47 = "pierce"), $O47, 0), Factor!$BG$5:$BG$51, -1), 2), 0),
_xlpm.탄환개수보정치, VLOOKUP(IF(OR($G47 = "curved", $G47 = "shot"), $Q47, 1), Factor!$BQ$5:$BX$51, _xlpm.기본_색인번호, 0),
_xlpm.상태이상탄환생성위치보정치, IF($G47 = "debuff", VLOOKUP($R47, Factor!$K$18:$R$19, _xlpm.기본_색인번호, 0),1),
_xlpm.상태이상탄환형태보정치, IF($G47 = "debuff", VLOOKUP($S47, Factor!$K$24:$R$25, _xlpm.기본_색인번호, 0),1),
_xlpm.가격보정치, INDEX(Factor!$AE$5:$AL$51, _xlfn.XMATCH($F47,Factor!$AE$5:$AE$51, -1), _xlpm.기본_색인번호),
_xlpm.구경보정치, VLOOKUP($D47,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47"/>
      <c r="AI47"/>
      <c r="AJ47"/>
      <c r="AK47"/>
      <c r="AL47"/>
      <c r="AM47"/>
      <c r="AN47"/>
    </row>
    <row r="48" spans="1:40" ht="15.75" customHeight="1">
      <c r="A48" s="28" t="e">
        <f>"weapon_"&amp;G48&amp;"_"&amp;VLOOKUP(H48, Factor!$T$5:$AB$7, 9, 0)&amp;"_"&amp;IF(COUNTIFS($G$4:G47, G48, $H$4:H47, H48)+1&gt;=100, COUNTIFS($G$4:G47, G48, $H$4:H47, H48)+1,IF(COUNTIFS($G$4:G47, G48, $H$4:H47, H48)+1&gt;=10, "0"&amp;COUNTIFS($G$4:G47, G48, $H$4:H47, H48)+1, "00"&amp;COUNTIFS($G$4:G47, G48, $H$4:H47, H48)+1))</f>
        <v>#N/A</v>
      </c>
      <c r="B48" s="37" t="str">
        <f t="shared" si="0"/>
        <v xml:space="preserve"> </v>
      </c>
      <c r="C48" s="37"/>
      <c r="D48" s="37"/>
      <c r="E48" s="37"/>
      <c r="F48" s="29" t="e">
        <f>VLOOKUP(C48, Factor!$AD$5:$AE$15, 2, 0)</f>
        <v>#N/A</v>
      </c>
      <c r="G48" s="29" t="e">
        <f>VLOOKUP(E48, Factor!$CL$5:$CV$50, 2, 0)</f>
        <v>#N/A</v>
      </c>
      <c r="H48" s="29" t="e">
        <f>VLOOKUP(E48, Factor!$CL$5:$CV$50, 3, 0)</f>
        <v>#N/A</v>
      </c>
      <c r="I48" s="29" t="e">
        <f>VLOOKUP(E48, Factor!$CL$5:$CV$50, 4, 0)</f>
        <v>#N/A</v>
      </c>
      <c r="J48" s="29" t="e">
        <f>VLOOKUP(E48, Factor!$CL$5:$CV$50, 5, 0)</f>
        <v>#N/A</v>
      </c>
      <c r="K48" s="29">
        <v>1</v>
      </c>
      <c r="L48" s="29" t="e">
        <f>VLOOKUP(E48, Factor!$CL$5:$CV$50, 6, 0)*K48*VLOOKUP(D48, Factor!$BZ$5:$CJ$49, 9, 0)</f>
        <v>#N/A</v>
      </c>
      <c r="M48" s="29" t="e">
        <f>VLOOKUP(E48, Factor!$CL$5:$CV$50, 7, 0)</f>
        <v>#N/A</v>
      </c>
      <c r="N48" s="29">
        <v>1</v>
      </c>
      <c r="O48" s="29" t="e">
        <f>VLOOKUP(E48, Factor!$CL$5:$CV$50, 8, 0)*N48*VLOOKUP(D48, Factor!$BZ$5:$CJ$49, 10, 0)</f>
        <v>#N/A</v>
      </c>
      <c r="P48" s="29">
        <v>1</v>
      </c>
      <c r="Q48" s="29" t="e">
        <f>VLOOKUP(E48, Factor!$CL$5:$CV$50, 9, 0)*P48*VLOOKUP(D48, Factor!$BZ$5:$CJ$49, 11, 0)</f>
        <v>#N/A</v>
      </c>
      <c r="R48" s="29" t="e">
        <f>VLOOKUP(E48, Factor!$CL$5:$CV$50, 10, 0)</f>
        <v>#N/A</v>
      </c>
      <c r="S48" s="29" t="e">
        <f>VLOOKUP(E48, Factor!$CL$5:$CV$50, 11, 0)</f>
        <v>#N/A</v>
      </c>
      <c r="T48" s="29">
        <v>1</v>
      </c>
      <c r="U48" s="29">
        <v>1</v>
      </c>
      <c r="V48" s="29">
        <v>1</v>
      </c>
      <c r="W48" s="29">
        <v>1</v>
      </c>
      <c r="X48" s="29">
        <v>1</v>
      </c>
      <c r="Y48" s="29">
        <v>1</v>
      </c>
      <c r="Z48" s="29">
        <v>1</v>
      </c>
      <c r="AA48" s="29" t="e" cm="1">
        <f t="array" ref="AA48">_xlfn.LET(_xlpm.기본_색인번호, 2,
_xlpm.추가_색인번호, 3,
_xlpm.개별보정치, T48,
_xlpm.패턴보정치, VLOOKUP($G48, Factor!$B$5:$I$51, _xlpm.기본_색인번호, 0),
_xlpm.소모탄환보정치, VLOOKUP($H48, Factor!$T$5:$AA$51, _xlpm.기본_색인번호, 0),
_xlpm.지형보정치, VLOOKUP($I48, Factor!$K$12:$R$13, _xlpm.기본_색인번호, 0),
_xlpm.공격속성보정치, VLOOKUP($J48, Factor!$K$5:$R$7, _xlpm.기본_색인번호, 0),
_xlpm.피해범위보정치, INDEX(Factor!$AN$5:$AV$51, _xlfn.XMATCH(IF(OR($G48="blast", $G48="curved",  $G48= "debuff"), $L48, 0), Factor!$AN$5:$AN$51, -1), _xlpm.추가_색인번호)-IF(AND(OR($G48="blast", $G48="curved", $G48= "debuff"), MOD($L48,1)&lt;&gt;0),INDEX(Factor!$AN$5:$AV$51, _xlfn.XMATCH(IF(OR($G48="blast", $G48="curved", $G48= "debuff"), $L48, 0), Factor!$AN$5:$AN$51, -1), 2)*MOD($L48,1)*10,0),
_xlpm.상태이상보정치, VLOOKUP(IF($G48 = "debuff", $M48, "null"), Factor!$AX$5:$BE$51, _xlpm.기본_색인번호, 0),
_xlpm.지속시간보정치, INDEX(Factor!$BG$5:$BO$51, _xlfn.XMATCH(IF(OR($G48 ="debuff", $G48 = "shot", $G48 = "pierce"), $O48, 0), Factor!$BG$5:$BG$51, -1), _xlpm.추가_색인번호)-IF(AND(OR($G48 ="debuff", $G48 = "shot", $G48 = "pierce"), MOD($O48, 1)&lt;&gt;0), 10*MOD($O48, 1)*INDEX(Factor!$BG$5:$BO$51, _xlfn.XMATCH(IF(OR($G48 ="debuff", $G48 = "shot", $G48 = "pierce"), $O48, 0), Factor!$BG$5:$BG$51, -1), 2), 0),
_xlpm.탄환개수보정치, VLOOKUP(IF(OR($G48 = "curved", $G48 = "shot"), $Q48, 1), Factor!$BQ$5:$BX$51, _xlpm.기본_색인번호, 0),
_xlpm.상태이상탄환생성위치보정치, IF($G48 = "debuff", VLOOKUP($R48, Factor!$K$18:$R$19, _xlpm.기본_색인번호, 0),1),
_xlpm.상태이상탄환형태보정치, IF($G48 = "debuff", VLOOKUP($S48, Factor!$K$24:$R$25, _xlpm.기본_색인번호, 0),1),
_xlpm.가격보정치, INDEX(Factor!$AE$5:$AL$51, _xlfn.XMATCH($F48,Factor!$AE$5:$AE$51, -1), _xlpm.기본_색인번호),
_xlpm.구경보정치, VLOOKUP($D48,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48" s="29" t="e" cm="1">
        <f t="array" ref="AB48">_xlfn.LET(_xlpm.기본_색인번호, 3,
_xlpm.추가_색인번호, 4,
_xlpm.개별보정치, U48,
_xlpm.패턴보정치, VLOOKUP($G48, Factor!$B$5:$I$51, _xlpm.기본_색인번호, 0),
_xlpm.소모탄환보정치, VLOOKUP($H48, Factor!$T$5:$AA$51, _xlpm.기본_색인번호, 0),
_xlpm.지형보정치, VLOOKUP($I48, Factor!$K$12:$R$13, _xlpm.기본_색인번호, 0),
_xlpm.공격속성보정치, VLOOKUP($J48, Factor!$K$5:$R$7, _xlpm.기본_색인번호, 0),
_xlpm.피해범위보정치, INDEX(Factor!$AN$5:$AV$51, _xlfn.XMATCH(IF(OR($G48="blast", $G48="curved",  $G48= "debuff"), $L48, 0), Factor!$AN$5:$AN$51, -1), _xlpm.추가_색인번호)-IF(AND(OR($G48="blast", $G48="curved", $G48= "debuff"), MOD($L48,1)&lt;&gt;0),INDEX(Factor!$AN$5:$AV$51, _xlfn.XMATCH(IF(OR($G48="blast", $G48="curved", $G48= "debuff"), $L48, 0), Factor!$AN$5:$AN$51, -1), 2)*MOD($L48,1)*10,0),
_xlpm.상태이상보정치, VLOOKUP(IF($G48 = "debuff", $M48, "null"), Factor!$AX$5:$BE$51, _xlpm.기본_색인번호, 0),
_xlpm.지속시간보정치, INDEX(Factor!$BG$5:$BO$51, _xlfn.XMATCH(IF(OR($G48 ="debuff", $G48 = "shot", $G48 = "pierce"), $O48, 0), Factor!$BG$5:$BG$51, -1), _xlpm.추가_색인번호)-IF(AND(OR($G48 ="debuff", $G48 = "shot", $G48 = "pierce"), MOD($O48, 1)&lt;&gt;0), 10*MOD($O48, 1)*INDEX(Factor!$BG$5:$BO$51, _xlfn.XMATCH(IF(OR($G48 ="debuff", $G48 = "shot", $G48 = "pierce"), $O48, 0), Factor!$BG$5:$BG$51, -1), 2), 0),
_xlpm.탄환개수보정치, VLOOKUP(IF(OR($G48 = "curved", $G48 = "shot"), $Q48, 1), Factor!$BQ$5:$BX$51, _xlpm.기본_색인번호, 0),
_xlpm.상태이상탄환생성위치보정치, IF($G48 = "debuff", VLOOKUP($R48, Factor!$K$18:$R$19, _xlpm.기본_색인번호, 0),1),
_xlpm.상태이상탄환형태보정치, IF($G48 = "debuff", VLOOKUP($S48, Factor!$K$24:$R$25, _xlpm.기본_색인번호, 0),1),
_xlpm.가격보정치, INDEX(Factor!$AE$5:$AL$51, _xlfn.XMATCH($F48,Factor!$AE$5:$AE$51, -1), _xlpm.기본_색인번호),
_xlpm.구경보정치, VLOOKUP($D48,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48" s="29" t="e" cm="1">
        <f t="array" ref="AC48">_xlfn.LET(_xlpm.기본_색인번호, 4,
_xlpm.추가_색인번호, 5,
_xlpm.개별보정치, V48,
_xlpm.패턴보정치, VLOOKUP($G48, Factor!$B$5:$I$51, _xlpm.기본_색인번호, 0),
_xlpm.소모탄환보정치, VLOOKUP($H48, Factor!$T$5:$AA$51, _xlpm.기본_색인번호, 0),
_xlpm.지형보정치, VLOOKUP($I48, Factor!$K$12:$R$13, _xlpm.기본_색인번호, 0),
_xlpm.공격속성보정치, VLOOKUP($J48, Factor!$K$5:$R$7, _xlpm.기본_색인번호, 0),
_xlpm.피해범위보정치, INDEX(Factor!$AN$5:$AV$51, _xlfn.XMATCH(IF(OR($G48="blast", $G48="curved",  $G48= "debuff"), $L48, 0), Factor!$AN$5:$AN$51, -1), _xlpm.추가_색인번호)-IF(AND(OR($G48="blast", $G48="curved", $G48= "debuff"), MOD($L48,1)&lt;&gt;0),INDEX(Factor!$AN$5:$AV$51, _xlfn.XMATCH(IF(OR($G48="blast", $G48="curved", $G48= "debuff"), $L48, 0), Factor!$AN$5:$AN$51, -1), 2)*MOD($L48,1)*10,0),
_xlpm.상태이상보정치, VLOOKUP(IF($G48 = "debuff", $M48, "null"), Factor!$AX$5:$BE$51, _xlpm.기본_색인번호, 0),
_xlpm.지속시간보정치, INDEX(Factor!$BG$5:$BO$51, _xlfn.XMATCH(IF(OR($G48 ="debuff", $G48 = "shot", $G48 = "pierce"), $O48, 0), Factor!$BG$5:$BG$51, -1), _xlpm.추가_색인번호)-IF(AND(OR($G48 ="debuff", $G48 = "shot", $G48 = "pierce"), MOD($O48, 1)&lt;&gt;0), 10*MOD($O48, 1)*INDEX(Factor!$BG$5:$BO$51, _xlfn.XMATCH(IF(OR($G48 ="debuff", $G48 = "shot", $G48 = "pierce"), $O48, 0), Factor!$BG$5:$BG$51, -1), 2), 0),
_xlpm.탄환개수보정치, VLOOKUP(IF(OR($G48 = "curved", $G48 = "shot"), $Q48, 1), Factor!$BQ$5:$BX$51, _xlpm.기본_색인번호, 0),
_xlpm.상태이상탄환생성위치보정치, IF($G48 = "debuff", VLOOKUP($R48, Factor!$K$18:$R$19, _xlpm.기본_색인번호, 0),1),
_xlpm.상태이상탄환형태보정치, IF($G48 = "debuff", VLOOKUP($S48, Factor!$K$24:$R$25, _xlpm.기본_색인번호, 0),1),
_xlpm.가격보정치, INDEX(Factor!$AE$5:$AL$51, _xlfn.XMATCH($F48,Factor!$AE$5:$AE$51, -1), _xlpm.기본_색인번호),
_xlpm.구경보정치, VLOOKUP($D48,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48" s="29" t="e" cm="1">
        <f t="array" ref="AD48">_xlfn.LET(_xlpm.기본_색인번호, 5,
_xlpm.추가_색인번호, 6,
_xlpm.개별보정치, W48,
_xlpm.패턴보정치, VLOOKUP($G48, Factor!$B$5:$I$51, _xlpm.기본_색인번호, 0),
_xlpm.소모탄환보정치, VLOOKUP($H48, Factor!$T$5:$AA$51, _xlpm.기본_색인번호, 0),
_xlpm.지형보정치, VLOOKUP($I48, Factor!$K$12:$R$13, _xlpm.기본_색인번호, 0),
_xlpm.공격속성보정치, VLOOKUP($J48, Factor!$K$5:$R$7, _xlpm.기본_색인번호, 0),
_xlpm.피해범위보정치, INDEX(Factor!$AN$5:$AV$51, _xlfn.XMATCH(IF(OR($G48="blast", $G48="curved",  $G48= "debuff"), $L48, 0), Factor!$AN$5:$AN$51, -1), _xlpm.추가_색인번호)-IF(AND(OR($G48="blast", $G48="curved", $G48= "debuff"), MOD($L48,1)&lt;&gt;0),INDEX(Factor!$AN$5:$AV$51, _xlfn.XMATCH(IF(OR($G48="blast", $G48="curved", $G48= "debuff"), $L48, 0), Factor!$AN$5:$AN$51, -1), 2)*MOD($L48,1)*10,0),
_xlpm.상태이상보정치, VLOOKUP(IF($G48 = "debuff", $M48, "null"), Factor!$AX$5:$BE$51, _xlpm.기본_색인번호, 0),
_xlpm.지속시간보정치, INDEX(Factor!$BG$5:$BO$51, _xlfn.XMATCH(IF(OR($G48 ="debuff", $G48 = "shot", $G48 = "pierce"), $O48, 0), Factor!$BG$5:$BG$51, -1), _xlpm.추가_색인번호)-IF(AND(OR($G48 ="debuff", $G48 = "shot", $G48 = "pierce"), MOD($O48, 1)&lt;&gt;0), 10*MOD($O48, 1)*INDEX(Factor!$BG$5:$BO$51, _xlfn.XMATCH(IF(OR($G48 ="debuff", $G48 = "shot", $G48 = "pierce"), $O48, 0), Factor!$BG$5:$BG$51, -1), 2), 0),
_xlpm.탄환개수보정치, VLOOKUP(IF(OR($G48 = "curved", $G48 = "shot"), $Q48, 1), Factor!$BQ$5:$BX$51, _xlpm.기본_색인번호, 0),
_xlpm.상태이상탄환생성위치보정치, IF($G48 = "debuff", VLOOKUP($R48, Factor!$K$18:$R$19, _xlpm.기본_색인번호, 0),1),
_xlpm.상태이상탄환형태보정치, IF($G48 = "debuff", VLOOKUP($S48, Factor!$K$24:$R$25, _xlpm.기본_색인번호, 0),1),
_xlpm.가격보정치, INDEX(Factor!$AE$5:$AL$51, _xlfn.XMATCH($F48,Factor!$AE$5:$AE$51, -1), _xlpm.기본_색인번호),
_xlpm.구경보정치, VLOOKUP($D48,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48" s="29" t="e" cm="1">
        <f t="array" ref="AE48">_xlfn.LET(_xlpm.기본_색인번호, 6,
_xlpm.추가_색인번호, 7,
_xlpm.개별보정치, X48,
_xlpm.패턴보정치, VLOOKUP($G48, Factor!$B$5:$I$51, _xlpm.기본_색인번호, 0),
_xlpm.소모탄환보정치, VLOOKUP($H48, Factor!$T$5:$AA$51, _xlpm.기본_색인번호, 0),
_xlpm.지형보정치, VLOOKUP($I48, Factor!$K$12:$R$13, _xlpm.기본_색인번호, 0),
_xlpm.공격속성보정치, VLOOKUP($J48, Factor!$K$5:$R$7, _xlpm.기본_색인번호, 0),
_xlpm.피해범위보정치, INDEX(Factor!$AN$5:$AV$51, _xlfn.XMATCH(IF(OR($G48="blast", $G48="curved",  $G48= "debuff"), $L48, 0), Factor!$AN$5:$AN$51, -1), _xlpm.추가_색인번호)-IF(AND(OR($G48="blast", $G48="curved", $G48= "debuff"), MOD($L48,1)&lt;&gt;0),INDEX(Factor!$AN$5:$AV$51, _xlfn.XMATCH(IF(OR($G48="blast", $G48="curved", $G48= "debuff"), $L48, 0), Factor!$AN$5:$AN$51, -1), 2)*MOD($L48,1)*10,0),
_xlpm.상태이상보정치, VLOOKUP(IF($G48 = "debuff", $M48, "null"), Factor!$AX$5:$BE$51, _xlpm.기본_색인번호, 0),
_xlpm.지속시간보정치, INDEX(Factor!$BG$5:$BO$51, _xlfn.XMATCH(IF(OR($G48 ="debuff", $G48 = "shot", $G48 = "pierce"), $O48, 0), Factor!$BG$5:$BG$51, -1), _xlpm.추가_색인번호)-IF(AND(OR($G48 ="debuff", $G48 = "shot", $G48 = "pierce"), MOD($O48, 1)&lt;&gt;0), 10*MOD($O48, 1)*INDEX(Factor!$BG$5:$BO$51, _xlfn.XMATCH(IF(OR($G48 ="debuff", $G48 = "shot", $G48 = "pierce"), $O48, 0), Factor!$BG$5:$BG$51, -1), 2), 0),
_xlpm.탄환개수보정치, VLOOKUP(IF(OR($G48 = "curved", $G48 = "shot"), $Q48, 1), Factor!$BQ$5:$BX$51, _xlpm.기본_색인번호, 0),
_xlpm.상태이상탄환생성위치보정치, IF($G48 = "debuff", VLOOKUP($R48, Factor!$K$18:$R$19, _xlpm.기본_색인번호, 0),1),
_xlpm.상태이상탄환형태보정치, IF($G48 = "debuff", VLOOKUP($S48, Factor!$K$24:$R$25, _xlpm.기본_색인번호, 0),1),
_xlpm.가격보정치, INDEX(Factor!$AE$5:$AL$51, _xlfn.XMATCH($F48,Factor!$AE$5:$AE$51, -1), _xlpm.기본_색인번호),
_xlpm.구경보정치, VLOOKUP($D48,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48" s="29" t="e" cm="1">
        <f t="array" ref="AF48">_xlfn.LET(_xlpm.기본_색인번호, 7,
_xlpm.추가_색인번호, 8,
_xlpm.개별보정치, Y48,
_xlpm.패턴보정치, VLOOKUP($G48, Factor!$B$5:$I$51, _xlpm.기본_색인번호, 0),
_xlpm.소모탄환보정치, VLOOKUP($H48, Factor!$T$5:$AA$51, _xlpm.기본_색인번호, 0),
_xlpm.지형보정치, VLOOKUP($I48, Factor!$K$12:$R$13, _xlpm.기본_색인번호, 0),
_xlpm.공격속성보정치, VLOOKUP($J48, Factor!$K$5:$R$7, _xlpm.기본_색인번호, 0),
_xlpm.피해범위보정치, INDEX(Factor!$AN$5:$AV$51, _xlfn.XMATCH(IF(OR($G48="blast", $G48="curved",  $G48= "debuff"), $L48, 0), Factor!$AN$5:$AN$51, -1), _xlpm.추가_색인번호)-IF(AND(OR($G48="blast", $G48="curved", $G48= "debuff"), MOD($L48,1)&lt;&gt;0),INDEX(Factor!$AN$5:$AV$51, _xlfn.XMATCH(IF(OR($G48="blast", $G48="curved", $G48= "debuff"), $L48, 0), Factor!$AN$5:$AN$51, -1), 2)*MOD($L48,1)*10,0),
_xlpm.상태이상보정치, VLOOKUP(IF($G48 = "debuff", $M48, "null"), Factor!$AX$5:$BE$51, _xlpm.기본_색인번호, 0),
_xlpm.지속시간보정치, INDEX(Factor!$BG$5:$BO$51, _xlfn.XMATCH(IF(OR($G48 ="debuff", $G48 = "shot", $G48 = "pierce"), $O48, 0), Factor!$BG$5:$BG$51, -1), _xlpm.추가_색인번호)-IF(AND(OR($G48 ="debuff", $G48 = "shot", $G48 = "pierce"), MOD($O48, 1)&lt;&gt;0), 10*MOD($O48, 1)*INDEX(Factor!$BG$5:$BO$51, _xlfn.XMATCH(IF(OR($G48 ="debuff", $G48 = "shot", $G48 = "pierce"), $O48, 0), Factor!$BG$5:$BG$51, -1), 2), 0),
_xlpm.탄환개수보정치, VLOOKUP(IF(OR($G48 = "curved", $G48 = "shot"), $Q48, 1), Factor!$BQ$5:$BX$51, _xlpm.기본_색인번호, 0),
_xlpm.상태이상탄환생성위치보정치, IF($G48 = "debuff", VLOOKUP($R48, Factor!$K$18:$R$19, _xlpm.기본_색인번호, 0),1),
_xlpm.상태이상탄환형태보정치, IF($G48 = "debuff", VLOOKUP($S48, Factor!$K$24:$R$25, _xlpm.기본_색인번호, 0),1),
_xlpm.가격보정치, INDEX(Factor!$AE$5:$AL$51, _xlfn.XMATCH($F48,Factor!$AE$5:$AE$51, -1), _xlpm.기본_색인번호),
_xlpm.구경보정치, VLOOKUP($D48,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48" s="30" t="e" cm="1">
        <f t="array" ref="AG48">_xlfn.LET(_xlpm.기본_색인번호, 8,
_xlpm.추가_색인번호, 9,
_xlpm.개별보정치, Z48,
_xlpm.패턴보정치, VLOOKUP($G48, Factor!$B$5:$I$51, _xlpm.기본_색인번호, 0),
_xlpm.소모탄환보정치, VLOOKUP($H48, Factor!$T$5:$AA$51, _xlpm.기본_색인번호, 0),
_xlpm.지형보정치, VLOOKUP($I48, Factor!$K$12:$R$13, _xlpm.기본_색인번호, 0),
_xlpm.공격속성보정치, VLOOKUP($J48, Factor!$K$5:$R$7, _xlpm.기본_색인번호, 0),
_xlpm.피해범위보정치, INDEX(Factor!$AN$5:$AV$51, _xlfn.XMATCH(IF(OR($G48="blast", $G48="curved",  $G48= "debuff"), $L48, 0), Factor!$AN$5:$AN$51, -1), _xlpm.추가_색인번호)-IF(AND(OR($G48="blast", $G48="curved", $G48= "debuff"), MOD($L48,1)&lt;&gt;0),INDEX(Factor!$AN$5:$AV$51, _xlfn.XMATCH(IF(OR($G48="blast", $G48="curved", $G48= "debuff"), $L48, 0), Factor!$AN$5:$AN$51, -1), 2)*MOD($L48,1)*10,0),
_xlpm.상태이상보정치, VLOOKUP(IF($G48 = "debuff", $M48, "null"), Factor!$AX$5:$BE$51, _xlpm.기본_색인번호, 0),
_xlpm.지속시간보정치, INDEX(Factor!$BG$5:$BO$51, _xlfn.XMATCH(IF(OR($G48 ="debuff", $G48 = "shot", $G48 = "pierce"), $O48, 0), Factor!$BG$5:$BG$51, -1), _xlpm.추가_색인번호)-IF(AND(OR($G48 ="debuff", $G48 = "shot", $G48 = "pierce"), MOD($O48, 1)&lt;&gt;0), 10*MOD($O48, 1)*INDEX(Factor!$BG$5:$BO$51, _xlfn.XMATCH(IF(OR($G48 ="debuff", $G48 = "shot", $G48 = "pierce"), $O48, 0), Factor!$BG$5:$BG$51, -1), 2), 0),
_xlpm.탄환개수보정치, VLOOKUP(IF(OR($G48 = "curved", $G48 = "shot"), $Q48, 1), Factor!$BQ$5:$BX$51, _xlpm.기본_색인번호, 0),
_xlpm.상태이상탄환생성위치보정치, IF($G48 = "debuff", VLOOKUP($R48, Factor!$K$18:$R$19, _xlpm.기본_색인번호, 0),1),
_xlpm.상태이상탄환형태보정치, IF($G48 = "debuff", VLOOKUP($S48, Factor!$K$24:$R$25, _xlpm.기본_색인번호, 0),1),
_xlpm.가격보정치, INDEX(Factor!$AE$5:$AL$51, _xlfn.XMATCH($F48,Factor!$AE$5:$AE$51, -1), _xlpm.기본_색인번호),
_xlpm.구경보정치, VLOOKUP($D48,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48"/>
      <c r="AI48"/>
      <c r="AJ48"/>
      <c r="AK48"/>
      <c r="AL48"/>
      <c r="AM48"/>
      <c r="AN48"/>
    </row>
    <row r="49" spans="1:40" ht="15.75" customHeight="1">
      <c r="A49" s="24" t="e">
        <f>"weapon_"&amp;G49&amp;"_"&amp;VLOOKUP(H49, Factor!$T$5:$AB$7, 9, 0)&amp;"_"&amp;IF(COUNTIFS($G$4:G48, G49, $H$4:H48, H49)+1&gt;=100, COUNTIFS($G$4:G48, G49, $H$4:H48, H49)+1,IF(COUNTIFS($G$4:G48, G49, $H$4:H48, H49)+1&gt;=10, "0"&amp;COUNTIFS($G$4:G48, G49, $H$4:H48, H49)+1, "00"&amp;COUNTIFS($G$4:G48, G49, $H$4:H48, H49)+1))</f>
        <v>#N/A</v>
      </c>
      <c r="B49" s="36" t="str">
        <f t="shared" si="0"/>
        <v xml:space="preserve"> </v>
      </c>
      <c r="C49" s="36"/>
      <c r="D49" s="36"/>
      <c r="E49" s="36"/>
      <c r="F49" s="25" t="e">
        <f>VLOOKUP(C49, Factor!$AD$5:$AE$15, 2, 0)</f>
        <v>#N/A</v>
      </c>
      <c r="G49" s="26" t="e">
        <f>VLOOKUP(E49, Factor!$CL$5:$CV$50, 2, 0)</f>
        <v>#N/A</v>
      </c>
      <c r="H49" s="25" t="e">
        <f>VLOOKUP(E49, Factor!$CL$5:$CV$50, 3, 0)</f>
        <v>#N/A</v>
      </c>
      <c r="I49" s="25" t="e">
        <f>VLOOKUP(E49, Factor!$CL$5:$CV$50, 4, 0)</f>
        <v>#N/A</v>
      </c>
      <c r="J49" s="25" t="e">
        <f>VLOOKUP(E49, Factor!$CL$5:$CV$50, 5, 0)</f>
        <v>#N/A</v>
      </c>
      <c r="K49" s="25">
        <v>1</v>
      </c>
      <c r="L49" s="25" t="e">
        <f>VLOOKUP(E49, Factor!$CL$5:$CV$50, 6, 0)*K49*VLOOKUP(D49, Factor!$BZ$5:$CJ$49, 9, 0)</f>
        <v>#N/A</v>
      </c>
      <c r="M49" s="25" t="e">
        <f>VLOOKUP(E49, Factor!$CL$5:$CV$50, 7, 0)</f>
        <v>#N/A</v>
      </c>
      <c r="N49" s="25">
        <v>1</v>
      </c>
      <c r="O49" s="25" t="e">
        <f>VLOOKUP(E49, Factor!$CL$5:$CV$50, 8, 0)*N49*VLOOKUP(D49, Factor!$BZ$5:$CJ$49, 10, 0)</f>
        <v>#N/A</v>
      </c>
      <c r="P49" s="25">
        <v>1</v>
      </c>
      <c r="Q49" s="25" t="e">
        <f>VLOOKUP(E49, Factor!$CL$5:$CV$50, 9, 0)*P49*VLOOKUP(D49, Factor!$BZ$5:$CJ$49, 11, 0)</f>
        <v>#N/A</v>
      </c>
      <c r="R49" s="25" t="e">
        <f>VLOOKUP(E49, Factor!$CL$5:$CV$50, 10, 0)</f>
        <v>#N/A</v>
      </c>
      <c r="S49" s="25" t="e">
        <f>VLOOKUP(E49, Factor!$CL$5:$CV$50, 11, 0)</f>
        <v>#N/A</v>
      </c>
      <c r="T49" s="25">
        <v>1</v>
      </c>
      <c r="U49" s="25">
        <v>1</v>
      </c>
      <c r="V49" s="25">
        <v>1</v>
      </c>
      <c r="W49" s="25">
        <v>1</v>
      </c>
      <c r="X49" s="25">
        <v>1</v>
      </c>
      <c r="Y49" s="25">
        <v>1</v>
      </c>
      <c r="Z49" s="25">
        <v>1</v>
      </c>
      <c r="AA49" s="25" t="e" cm="1">
        <f t="array" ref="AA49">_xlfn.LET(_xlpm.기본_색인번호, 2,
_xlpm.추가_색인번호, 3,
_xlpm.개별보정치, T49,
_xlpm.패턴보정치, VLOOKUP($G49, Factor!$B$5:$I$51, _xlpm.기본_색인번호, 0),
_xlpm.소모탄환보정치, VLOOKUP($H49, Factor!$T$5:$AA$51, _xlpm.기본_색인번호, 0),
_xlpm.지형보정치, VLOOKUP($I49, Factor!$K$12:$R$13, _xlpm.기본_색인번호, 0),
_xlpm.공격속성보정치, VLOOKUP($J49, Factor!$K$5:$R$7, _xlpm.기본_색인번호, 0),
_xlpm.피해범위보정치, INDEX(Factor!$AN$5:$AV$51, _xlfn.XMATCH(IF(OR($G49="blast", $G49="curved",  $G49= "debuff"), $L49, 0), Factor!$AN$5:$AN$51, -1), _xlpm.추가_색인번호)-IF(AND(OR($G49="blast", $G49="curved", $G49= "debuff"), MOD($L49,1)&lt;&gt;0),INDEX(Factor!$AN$5:$AV$51, _xlfn.XMATCH(IF(OR($G49="blast", $G49="curved", $G49= "debuff"), $L49, 0), Factor!$AN$5:$AN$51, -1), 2)*MOD($L49,1)*10,0),
_xlpm.상태이상보정치, VLOOKUP(IF($G49 = "debuff", $M49, "null"), Factor!$AX$5:$BE$51, _xlpm.기본_색인번호, 0),
_xlpm.지속시간보정치, INDEX(Factor!$BG$5:$BO$51, _xlfn.XMATCH(IF(OR($G49 ="debuff", $G49 = "shot", $G49 = "pierce"), $O49, 0), Factor!$BG$5:$BG$51, -1), _xlpm.추가_색인번호)-IF(AND(OR($G49 ="debuff", $G49 = "shot", $G49 = "pierce"), MOD($O49, 1)&lt;&gt;0), 10*MOD($O49, 1)*INDEX(Factor!$BG$5:$BO$51, _xlfn.XMATCH(IF(OR($G49 ="debuff", $G49 = "shot", $G49 = "pierce"), $O49, 0), Factor!$BG$5:$BG$51, -1), 2), 0),
_xlpm.탄환개수보정치, VLOOKUP(IF(OR($G49 = "curved", $G49 = "shot"), $Q49, 1), Factor!$BQ$5:$BX$51, _xlpm.기본_색인번호, 0),
_xlpm.상태이상탄환생성위치보정치, IF($G49 = "debuff", VLOOKUP($R49, Factor!$K$18:$R$19, _xlpm.기본_색인번호, 0),1),
_xlpm.상태이상탄환형태보정치, IF($G49 = "debuff", VLOOKUP($S49, Factor!$K$24:$R$25, _xlpm.기본_색인번호, 0),1),
_xlpm.가격보정치, INDEX(Factor!$AE$5:$AL$51, _xlfn.XMATCH($F49,Factor!$AE$5:$AE$51, -1), _xlpm.기본_색인번호),
_xlpm.구경보정치, VLOOKUP($D49,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49" s="25" t="e" cm="1">
        <f t="array" ref="AB49">_xlfn.LET(_xlpm.기본_색인번호, 3,
_xlpm.추가_색인번호, 4,
_xlpm.개별보정치, U49,
_xlpm.패턴보정치, VLOOKUP($G49, Factor!$B$5:$I$51, _xlpm.기본_색인번호, 0),
_xlpm.소모탄환보정치, VLOOKUP($H49, Factor!$T$5:$AA$51, _xlpm.기본_색인번호, 0),
_xlpm.지형보정치, VLOOKUP($I49, Factor!$K$12:$R$13, _xlpm.기본_색인번호, 0),
_xlpm.공격속성보정치, VLOOKUP($J49, Factor!$K$5:$R$7, _xlpm.기본_색인번호, 0),
_xlpm.피해범위보정치, INDEX(Factor!$AN$5:$AV$51, _xlfn.XMATCH(IF(OR($G49="blast", $G49="curved",  $G49= "debuff"), $L49, 0), Factor!$AN$5:$AN$51, -1), _xlpm.추가_색인번호)-IF(AND(OR($G49="blast", $G49="curved", $G49= "debuff"), MOD($L49,1)&lt;&gt;0),INDEX(Factor!$AN$5:$AV$51, _xlfn.XMATCH(IF(OR($G49="blast", $G49="curved", $G49= "debuff"), $L49, 0), Factor!$AN$5:$AN$51, -1), 2)*MOD($L49,1)*10,0),
_xlpm.상태이상보정치, VLOOKUP(IF($G49 = "debuff", $M49, "null"), Factor!$AX$5:$BE$51, _xlpm.기본_색인번호, 0),
_xlpm.지속시간보정치, INDEX(Factor!$BG$5:$BO$51, _xlfn.XMATCH(IF(OR($G49 ="debuff", $G49 = "shot", $G49 = "pierce"), $O49, 0), Factor!$BG$5:$BG$51, -1), _xlpm.추가_색인번호)-IF(AND(OR($G49 ="debuff", $G49 = "shot", $G49 = "pierce"), MOD($O49, 1)&lt;&gt;0), 10*MOD($O49, 1)*INDEX(Factor!$BG$5:$BO$51, _xlfn.XMATCH(IF(OR($G49 ="debuff", $G49 = "shot", $G49 = "pierce"), $O49, 0), Factor!$BG$5:$BG$51, -1), 2), 0),
_xlpm.탄환개수보정치, VLOOKUP(IF(OR($G49 = "curved", $G49 = "shot"), $Q49, 1), Factor!$BQ$5:$BX$51, _xlpm.기본_색인번호, 0),
_xlpm.상태이상탄환생성위치보정치, IF($G49 = "debuff", VLOOKUP($R49, Factor!$K$18:$R$19, _xlpm.기본_색인번호, 0),1),
_xlpm.상태이상탄환형태보정치, IF($G49 = "debuff", VLOOKUP($S49, Factor!$K$24:$R$25, _xlpm.기본_색인번호, 0),1),
_xlpm.가격보정치, INDEX(Factor!$AE$5:$AL$51, _xlfn.XMATCH($F49,Factor!$AE$5:$AE$51, -1), _xlpm.기본_색인번호),
_xlpm.구경보정치, VLOOKUP($D49,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49" s="25" t="e" cm="1">
        <f t="array" ref="AC49">_xlfn.LET(_xlpm.기본_색인번호, 4,
_xlpm.추가_색인번호, 5,
_xlpm.개별보정치, V49,
_xlpm.패턴보정치, VLOOKUP($G49, Factor!$B$5:$I$51, _xlpm.기본_색인번호, 0),
_xlpm.소모탄환보정치, VLOOKUP($H49, Factor!$T$5:$AA$51, _xlpm.기본_색인번호, 0),
_xlpm.지형보정치, VLOOKUP($I49, Factor!$K$12:$R$13, _xlpm.기본_색인번호, 0),
_xlpm.공격속성보정치, VLOOKUP($J49, Factor!$K$5:$R$7, _xlpm.기본_색인번호, 0),
_xlpm.피해범위보정치, INDEX(Factor!$AN$5:$AV$51, _xlfn.XMATCH(IF(OR($G49="blast", $G49="curved",  $G49= "debuff"), $L49, 0), Factor!$AN$5:$AN$51, -1), _xlpm.추가_색인번호)-IF(AND(OR($G49="blast", $G49="curved", $G49= "debuff"), MOD($L49,1)&lt;&gt;0),INDEX(Factor!$AN$5:$AV$51, _xlfn.XMATCH(IF(OR($G49="blast", $G49="curved", $G49= "debuff"), $L49, 0), Factor!$AN$5:$AN$51, -1), 2)*MOD($L49,1)*10,0),
_xlpm.상태이상보정치, VLOOKUP(IF($G49 = "debuff", $M49, "null"), Factor!$AX$5:$BE$51, _xlpm.기본_색인번호, 0),
_xlpm.지속시간보정치, INDEX(Factor!$BG$5:$BO$51, _xlfn.XMATCH(IF(OR($G49 ="debuff", $G49 = "shot", $G49 = "pierce"), $O49, 0), Factor!$BG$5:$BG$51, -1), _xlpm.추가_색인번호)-IF(AND(OR($G49 ="debuff", $G49 = "shot", $G49 = "pierce"), MOD($O49, 1)&lt;&gt;0), 10*MOD($O49, 1)*INDEX(Factor!$BG$5:$BO$51, _xlfn.XMATCH(IF(OR($G49 ="debuff", $G49 = "shot", $G49 = "pierce"), $O49, 0), Factor!$BG$5:$BG$51, -1), 2), 0),
_xlpm.탄환개수보정치, VLOOKUP(IF(OR($G49 = "curved", $G49 = "shot"), $Q49, 1), Factor!$BQ$5:$BX$51, _xlpm.기본_색인번호, 0),
_xlpm.상태이상탄환생성위치보정치, IF($G49 = "debuff", VLOOKUP($R49, Factor!$K$18:$R$19, _xlpm.기본_색인번호, 0),1),
_xlpm.상태이상탄환형태보정치, IF($G49 = "debuff", VLOOKUP($S49, Factor!$K$24:$R$25, _xlpm.기본_색인번호, 0),1),
_xlpm.가격보정치, INDEX(Factor!$AE$5:$AL$51, _xlfn.XMATCH($F49,Factor!$AE$5:$AE$51, -1), _xlpm.기본_색인번호),
_xlpm.구경보정치, VLOOKUP($D49,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49" s="25" t="e" cm="1">
        <f t="array" ref="AD49">_xlfn.LET(_xlpm.기본_색인번호, 5,
_xlpm.추가_색인번호, 6,
_xlpm.개별보정치, W49,
_xlpm.패턴보정치, VLOOKUP($G49, Factor!$B$5:$I$51, _xlpm.기본_색인번호, 0),
_xlpm.소모탄환보정치, VLOOKUP($H49, Factor!$T$5:$AA$51, _xlpm.기본_색인번호, 0),
_xlpm.지형보정치, VLOOKUP($I49, Factor!$K$12:$R$13, _xlpm.기본_색인번호, 0),
_xlpm.공격속성보정치, VLOOKUP($J49, Factor!$K$5:$R$7, _xlpm.기본_색인번호, 0),
_xlpm.피해범위보정치, INDEX(Factor!$AN$5:$AV$51, _xlfn.XMATCH(IF(OR($G49="blast", $G49="curved",  $G49= "debuff"), $L49, 0), Factor!$AN$5:$AN$51, -1), _xlpm.추가_색인번호)-IF(AND(OR($G49="blast", $G49="curved", $G49= "debuff"), MOD($L49,1)&lt;&gt;0),INDEX(Factor!$AN$5:$AV$51, _xlfn.XMATCH(IF(OR($G49="blast", $G49="curved", $G49= "debuff"), $L49, 0), Factor!$AN$5:$AN$51, -1), 2)*MOD($L49,1)*10,0),
_xlpm.상태이상보정치, VLOOKUP(IF($G49 = "debuff", $M49, "null"), Factor!$AX$5:$BE$51, _xlpm.기본_색인번호, 0),
_xlpm.지속시간보정치, INDEX(Factor!$BG$5:$BO$51, _xlfn.XMATCH(IF(OR($G49 ="debuff", $G49 = "shot", $G49 = "pierce"), $O49, 0), Factor!$BG$5:$BG$51, -1), _xlpm.추가_색인번호)-IF(AND(OR($G49 ="debuff", $G49 = "shot", $G49 = "pierce"), MOD($O49, 1)&lt;&gt;0), 10*MOD($O49, 1)*INDEX(Factor!$BG$5:$BO$51, _xlfn.XMATCH(IF(OR($G49 ="debuff", $G49 = "shot", $G49 = "pierce"), $O49, 0), Factor!$BG$5:$BG$51, -1), 2), 0),
_xlpm.탄환개수보정치, VLOOKUP(IF(OR($G49 = "curved", $G49 = "shot"), $Q49, 1), Factor!$BQ$5:$BX$51, _xlpm.기본_색인번호, 0),
_xlpm.상태이상탄환생성위치보정치, IF($G49 = "debuff", VLOOKUP($R49, Factor!$K$18:$R$19, _xlpm.기본_색인번호, 0),1),
_xlpm.상태이상탄환형태보정치, IF($G49 = "debuff", VLOOKUP($S49, Factor!$K$24:$R$25, _xlpm.기본_색인번호, 0),1),
_xlpm.가격보정치, INDEX(Factor!$AE$5:$AL$51, _xlfn.XMATCH($F49,Factor!$AE$5:$AE$51, -1), _xlpm.기본_색인번호),
_xlpm.구경보정치, VLOOKUP($D49,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49" s="25" t="e" cm="1">
        <f t="array" ref="AE49">_xlfn.LET(_xlpm.기본_색인번호, 6,
_xlpm.추가_색인번호, 7,
_xlpm.개별보정치, X49,
_xlpm.패턴보정치, VLOOKUP($G49, Factor!$B$5:$I$51, _xlpm.기본_색인번호, 0),
_xlpm.소모탄환보정치, VLOOKUP($H49, Factor!$T$5:$AA$51, _xlpm.기본_색인번호, 0),
_xlpm.지형보정치, VLOOKUP($I49, Factor!$K$12:$R$13, _xlpm.기본_색인번호, 0),
_xlpm.공격속성보정치, VLOOKUP($J49, Factor!$K$5:$R$7, _xlpm.기본_색인번호, 0),
_xlpm.피해범위보정치, INDEX(Factor!$AN$5:$AV$51, _xlfn.XMATCH(IF(OR($G49="blast", $G49="curved",  $G49= "debuff"), $L49, 0), Factor!$AN$5:$AN$51, -1), _xlpm.추가_색인번호)-IF(AND(OR($G49="blast", $G49="curved", $G49= "debuff"), MOD($L49,1)&lt;&gt;0),INDEX(Factor!$AN$5:$AV$51, _xlfn.XMATCH(IF(OR($G49="blast", $G49="curved", $G49= "debuff"), $L49, 0), Factor!$AN$5:$AN$51, -1), 2)*MOD($L49,1)*10,0),
_xlpm.상태이상보정치, VLOOKUP(IF($G49 = "debuff", $M49, "null"), Factor!$AX$5:$BE$51, _xlpm.기본_색인번호, 0),
_xlpm.지속시간보정치, INDEX(Factor!$BG$5:$BO$51, _xlfn.XMATCH(IF(OR($G49 ="debuff", $G49 = "shot", $G49 = "pierce"), $O49, 0), Factor!$BG$5:$BG$51, -1), _xlpm.추가_색인번호)-IF(AND(OR($G49 ="debuff", $G49 = "shot", $G49 = "pierce"), MOD($O49, 1)&lt;&gt;0), 10*MOD($O49, 1)*INDEX(Factor!$BG$5:$BO$51, _xlfn.XMATCH(IF(OR($G49 ="debuff", $G49 = "shot", $G49 = "pierce"), $O49, 0), Factor!$BG$5:$BG$51, -1), 2), 0),
_xlpm.탄환개수보정치, VLOOKUP(IF(OR($G49 = "curved", $G49 = "shot"), $Q49, 1), Factor!$BQ$5:$BX$51, _xlpm.기본_색인번호, 0),
_xlpm.상태이상탄환생성위치보정치, IF($G49 = "debuff", VLOOKUP($R49, Factor!$K$18:$R$19, _xlpm.기본_색인번호, 0),1),
_xlpm.상태이상탄환형태보정치, IF($G49 = "debuff", VLOOKUP($S49, Factor!$K$24:$R$25, _xlpm.기본_색인번호, 0),1),
_xlpm.가격보정치, INDEX(Factor!$AE$5:$AL$51, _xlfn.XMATCH($F49,Factor!$AE$5:$AE$51, -1), _xlpm.기본_색인번호),
_xlpm.구경보정치, VLOOKUP($D49,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49" s="25" t="e" cm="1">
        <f t="array" ref="AF49">_xlfn.LET(_xlpm.기본_색인번호, 7,
_xlpm.추가_색인번호, 8,
_xlpm.개별보정치, Y49,
_xlpm.패턴보정치, VLOOKUP($G49, Factor!$B$5:$I$51, _xlpm.기본_색인번호, 0),
_xlpm.소모탄환보정치, VLOOKUP($H49, Factor!$T$5:$AA$51, _xlpm.기본_색인번호, 0),
_xlpm.지형보정치, VLOOKUP($I49, Factor!$K$12:$R$13, _xlpm.기본_색인번호, 0),
_xlpm.공격속성보정치, VLOOKUP($J49, Factor!$K$5:$R$7, _xlpm.기본_색인번호, 0),
_xlpm.피해범위보정치, INDEX(Factor!$AN$5:$AV$51, _xlfn.XMATCH(IF(OR($G49="blast", $G49="curved",  $G49= "debuff"), $L49, 0), Factor!$AN$5:$AN$51, -1), _xlpm.추가_색인번호)-IF(AND(OR($G49="blast", $G49="curved", $G49= "debuff"), MOD($L49,1)&lt;&gt;0),INDEX(Factor!$AN$5:$AV$51, _xlfn.XMATCH(IF(OR($G49="blast", $G49="curved", $G49= "debuff"), $L49, 0), Factor!$AN$5:$AN$51, -1), 2)*MOD($L49,1)*10,0),
_xlpm.상태이상보정치, VLOOKUP(IF($G49 = "debuff", $M49, "null"), Factor!$AX$5:$BE$51, _xlpm.기본_색인번호, 0),
_xlpm.지속시간보정치, INDEX(Factor!$BG$5:$BO$51, _xlfn.XMATCH(IF(OR($G49 ="debuff", $G49 = "shot", $G49 = "pierce"), $O49, 0), Factor!$BG$5:$BG$51, -1), _xlpm.추가_색인번호)-IF(AND(OR($G49 ="debuff", $G49 = "shot", $G49 = "pierce"), MOD($O49, 1)&lt;&gt;0), 10*MOD($O49, 1)*INDEX(Factor!$BG$5:$BO$51, _xlfn.XMATCH(IF(OR($G49 ="debuff", $G49 = "shot", $G49 = "pierce"), $O49, 0), Factor!$BG$5:$BG$51, -1), 2), 0),
_xlpm.탄환개수보정치, VLOOKUP(IF(OR($G49 = "curved", $G49 = "shot"), $Q49, 1), Factor!$BQ$5:$BX$51, _xlpm.기본_색인번호, 0),
_xlpm.상태이상탄환생성위치보정치, IF($G49 = "debuff", VLOOKUP($R49, Factor!$K$18:$R$19, _xlpm.기본_색인번호, 0),1),
_xlpm.상태이상탄환형태보정치, IF($G49 = "debuff", VLOOKUP($S49, Factor!$K$24:$R$25, _xlpm.기본_색인번호, 0),1),
_xlpm.가격보정치, INDEX(Factor!$AE$5:$AL$51, _xlfn.XMATCH($F49,Factor!$AE$5:$AE$51, -1), _xlpm.기본_색인번호),
_xlpm.구경보정치, VLOOKUP($D49,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49" s="27" t="e" cm="1">
        <f t="array" ref="AG49">_xlfn.LET(_xlpm.기본_색인번호, 8,
_xlpm.추가_색인번호, 9,
_xlpm.개별보정치, Z49,
_xlpm.패턴보정치, VLOOKUP($G49, Factor!$B$5:$I$51, _xlpm.기본_색인번호, 0),
_xlpm.소모탄환보정치, VLOOKUP($H49, Factor!$T$5:$AA$51, _xlpm.기본_색인번호, 0),
_xlpm.지형보정치, VLOOKUP($I49, Factor!$K$12:$R$13, _xlpm.기본_색인번호, 0),
_xlpm.공격속성보정치, VLOOKUP($J49, Factor!$K$5:$R$7, _xlpm.기본_색인번호, 0),
_xlpm.피해범위보정치, INDEX(Factor!$AN$5:$AV$51, _xlfn.XMATCH(IF(OR($G49="blast", $G49="curved",  $G49= "debuff"), $L49, 0), Factor!$AN$5:$AN$51, -1), _xlpm.추가_색인번호)-IF(AND(OR($G49="blast", $G49="curved", $G49= "debuff"), MOD($L49,1)&lt;&gt;0),INDEX(Factor!$AN$5:$AV$51, _xlfn.XMATCH(IF(OR($G49="blast", $G49="curved", $G49= "debuff"), $L49, 0), Factor!$AN$5:$AN$51, -1), 2)*MOD($L49,1)*10,0),
_xlpm.상태이상보정치, VLOOKUP(IF($G49 = "debuff", $M49, "null"), Factor!$AX$5:$BE$51, _xlpm.기본_색인번호, 0),
_xlpm.지속시간보정치, INDEX(Factor!$BG$5:$BO$51, _xlfn.XMATCH(IF(OR($G49 ="debuff", $G49 = "shot", $G49 = "pierce"), $O49, 0), Factor!$BG$5:$BG$51, -1), _xlpm.추가_색인번호)-IF(AND(OR($G49 ="debuff", $G49 = "shot", $G49 = "pierce"), MOD($O49, 1)&lt;&gt;0), 10*MOD($O49, 1)*INDEX(Factor!$BG$5:$BO$51, _xlfn.XMATCH(IF(OR($G49 ="debuff", $G49 = "shot", $G49 = "pierce"), $O49, 0), Factor!$BG$5:$BG$51, -1), 2), 0),
_xlpm.탄환개수보정치, VLOOKUP(IF(OR($G49 = "curved", $G49 = "shot"), $Q49, 1), Factor!$BQ$5:$BX$51, _xlpm.기본_색인번호, 0),
_xlpm.상태이상탄환생성위치보정치, IF($G49 = "debuff", VLOOKUP($R49, Factor!$K$18:$R$19, _xlpm.기본_색인번호, 0),1),
_xlpm.상태이상탄환형태보정치, IF($G49 = "debuff", VLOOKUP($S49, Factor!$K$24:$R$25, _xlpm.기본_색인번호, 0),1),
_xlpm.가격보정치, INDEX(Factor!$AE$5:$AL$51, _xlfn.XMATCH($F49,Factor!$AE$5:$AE$51, -1), _xlpm.기본_색인번호),
_xlpm.구경보정치, VLOOKUP($D49,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49"/>
      <c r="AI49"/>
      <c r="AJ49"/>
      <c r="AK49"/>
      <c r="AL49"/>
      <c r="AM49"/>
      <c r="AN49"/>
    </row>
    <row r="50" spans="1:40" ht="15.75" customHeight="1">
      <c r="A50" s="28" t="e">
        <f>"weapon_"&amp;G50&amp;"_"&amp;VLOOKUP(H50, Factor!$T$5:$AB$7, 9, 0)&amp;"_"&amp;IF(COUNTIFS($G$4:G49, G50, $H$4:H49, H50)+1&gt;=100, COUNTIFS($G$4:G49, G50, $H$4:H49, H50)+1,IF(COUNTIFS($G$4:G49, G50, $H$4:H49, H50)+1&gt;=10, "0"&amp;COUNTIFS($G$4:G49, G50, $H$4:H49, H50)+1, "00"&amp;COUNTIFS($G$4:G49, G50, $H$4:H49, H50)+1))</f>
        <v>#N/A</v>
      </c>
      <c r="B50" s="37" t="str">
        <f t="shared" si="0"/>
        <v xml:space="preserve"> </v>
      </c>
      <c r="C50" s="37"/>
      <c r="D50" s="37"/>
      <c r="E50" s="37"/>
      <c r="F50" s="29" t="e">
        <f>VLOOKUP(C50, Factor!$AD$5:$AE$15, 2, 0)</f>
        <v>#N/A</v>
      </c>
      <c r="G50" s="29" t="e">
        <f>VLOOKUP(E50, Factor!$CL$5:$CV$50, 2, 0)</f>
        <v>#N/A</v>
      </c>
      <c r="H50" s="29" t="e">
        <f>VLOOKUP(E50, Factor!$CL$5:$CV$50, 3, 0)</f>
        <v>#N/A</v>
      </c>
      <c r="I50" s="29" t="e">
        <f>VLOOKUP(E50, Factor!$CL$5:$CV$50, 4, 0)</f>
        <v>#N/A</v>
      </c>
      <c r="J50" s="29" t="e">
        <f>VLOOKUP(E50, Factor!$CL$5:$CV$50, 5, 0)</f>
        <v>#N/A</v>
      </c>
      <c r="K50" s="29">
        <v>1</v>
      </c>
      <c r="L50" s="29" t="e">
        <f>VLOOKUP(E50, Factor!$CL$5:$CV$50, 6, 0)*K50*VLOOKUP(D50, Factor!$BZ$5:$CJ$49, 9, 0)</f>
        <v>#N/A</v>
      </c>
      <c r="M50" s="29" t="e">
        <f>VLOOKUP(E50, Factor!$CL$5:$CV$50, 7, 0)</f>
        <v>#N/A</v>
      </c>
      <c r="N50" s="29">
        <v>1</v>
      </c>
      <c r="O50" s="29" t="e">
        <f>VLOOKUP(E50, Factor!$CL$5:$CV$50, 8, 0)*N50*VLOOKUP(D50, Factor!$BZ$5:$CJ$49, 10, 0)</f>
        <v>#N/A</v>
      </c>
      <c r="P50" s="29">
        <v>1</v>
      </c>
      <c r="Q50" s="29" t="e">
        <f>VLOOKUP(E50, Factor!$CL$5:$CV$50, 9, 0)*P50*VLOOKUP(D50, Factor!$BZ$5:$CJ$49, 11, 0)</f>
        <v>#N/A</v>
      </c>
      <c r="R50" s="29" t="e">
        <f>VLOOKUP(E50, Factor!$CL$5:$CV$50, 10, 0)</f>
        <v>#N/A</v>
      </c>
      <c r="S50" s="29" t="e">
        <f>VLOOKUP(E50, Factor!$CL$5:$CV$50, 11, 0)</f>
        <v>#N/A</v>
      </c>
      <c r="T50" s="29">
        <v>1</v>
      </c>
      <c r="U50" s="29">
        <v>1</v>
      </c>
      <c r="V50" s="29">
        <v>1</v>
      </c>
      <c r="W50" s="29">
        <v>1</v>
      </c>
      <c r="X50" s="29">
        <v>1</v>
      </c>
      <c r="Y50" s="29">
        <v>1</v>
      </c>
      <c r="Z50" s="29">
        <v>1</v>
      </c>
      <c r="AA50" s="29" t="e" cm="1">
        <f t="array" ref="AA50">_xlfn.LET(_xlpm.기본_색인번호, 2,
_xlpm.추가_색인번호, 3,
_xlpm.개별보정치, T50,
_xlpm.패턴보정치, VLOOKUP($G50, Factor!$B$5:$I$51, _xlpm.기본_색인번호, 0),
_xlpm.소모탄환보정치, VLOOKUP($H50, Factor!$T$5:$AA$51, _xlpm.기본_색인번호, 0),
_xlpm.지형보정치, VLOOKUP($I50, Factor!$K$12:$R$13, _xlpm.기본_색인번호, 0),
_xlpm.공격속성보정치, VLOOKUP($J50, Factor!$K$5:$R$7, _xlpm.기본_색인번호, 0),
_xlpm.피해범위보정치, INDEX(Factor!$AN$5:$AV$51, _xlfn.XMATCH(IF(OR($G50="blast", $G50="curved",  $G50= "debuff"), $L50, 0), Factor!$AN$5:$AN$51, -1), _xlpm.추가_색인번호)-IF(AND(OR($G50="blast", $G50="curved", $G50= "debuff"), MOD($L50,1)&lt;&gt;0),INDEX(Factor!$AN$5:$AV$51, _xlfn.XMATCH(IF(OR($G50="blast", $G50="curved", $G50= "debuff"), $L50, 0), Factor!$AN$5:$AN$51, -1), 2)*MOD($L50,1)*10,0),
_xlpm.상태이상보정치, VLOOKUP(IF($G50 = "debuff", $M50, "null"), Factor!$AX$5:$BE$51, _xlpm.기본_색인번호, 0),
_xlpm.지속시간보정치, INDEX(Factor!$BG$5:$BO$51, _xlfn.XMATCH(IF(OR($G50 ="debuff", $G50 = "shot", $G50 = "pierce"), $O50, 0), Factor!$BG$5:$BG$51, -1), _xlpm.추가_색인번호)-IF(AND(OR($G50 ="debuff", $G50 = "shot", $G50 = "pierce"), MOD($O50, 1)&lt;&gt;0), 10*MOD($O50, 1)*INDEX(Factor!$BG$5:$BO$51, _xlfn.XMATCH(IF(OR($G50 ="debuff", $G50 = "shot", $G50 = "pierce"), $O50, 0), Factor!$BG$5:$BG$51, -1), 2), 0),
_xlpm.탄환개수보정치, VLOOKUP(IF(OR($G50 = "curved", $G50 = "shot"), $Q50, 1), Factor!$BQ$5:$BX$51, _xlpm.기본_색인번호, 0),
_xlpm.상태이상탄환생성위치보정치, IF($G50 = "debuff", VLOOKUP($R50, Factor!$K$18:$R$19, _xlpm.기본_색인번호, 0),1),
_xlpm.상태이상탄환형태보정치, IF($G50 = "debuff", VLOOKUP($S50, Factor!$K$24:$R$25, _xlpm.기본_색인번호, 0),1),
_xlpm.가격보정치, INDEX(Factor!$AE$5:$AL$51, _xlfn.XMATCH($F50,Factor!$AE$5:$AE$51, -1), _xlpm.기본_색인번호),
_xlpm.구경보정치, VLOOKUP($D50,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50" s="29" t="e" cm="1">
        <f t="array" ref="AB50">_xlfn.LET(_xlpm.기본_색인번호, 3,
_xlpm.추가_색인번호, 4,
_xlpm.개별보정치, U50,
_xlpm.패턴보정치, VLOOKUP($G50, Factor!$B$5:$I$51, _xlpm.기본_색인번호, 0),
_xlpm.소모탄환보정치, VLOOKUP($H50, Factor!$T$5:$AA$51, _xlpm.기본_색인번호, 0),
_xlpm.지형보정치, VLOOKUP($I50, Factor!$K$12:$R$13, _xlpm.기본_색인번호, 0),
_xlpm.공격속성보정치, VLOOKUP($J50, Factor!$K$5:$R$7, _xlpm.기본_색인번호, 0),
_xlpm.피해범위보정치, INDEX(Factor!$AN$5:$AV$51, _xlfn.XMATCH(IF(OR($G50="blast", $G50="curved",  $G50= "debuff"), $L50, 0), Factor!$AN$5:$AN$51, -1), _xlpm.추가_색인번호)-IF(AND(OR($G50="blast", $G50="curved", $G50= "debuff"), MOD($L50,1)&lt;&gt;0),INDEX(Factor!$AN$5:$AV$51, _xlfn.XMATCH(IF(OR($G50="blast", $G50="curved", $G50= "debuff"), $L50, 0), Factor!$AN$5:$AN$51, -1), 2)*MOD($L50,1)*10,0),
_xlpm.상태이상보정치, VLOOKUP(IF($G50 = "debuff", $M50, "null"), Factor!$AX$5:$BE$51, _xlpm.기본_색인번호, 0),
_xlpm.지속시간보정치, INDEX(Factor!$BG$5:$BO$51, _xlfn.XMATCH(IF(OR($G50 ="debuff", $G50 = "shot", $G50 = "pierce"), $O50, 0), Factor!$BG$5:$BG$51, -1), _xlpm.추가_색인번호)-IF(AND(OR($G50 ="debuff", $G50 = "shot", $G50 = "pierce"), MOD($O50, 1)&lt;&gt;0), 10*MOD($O50, 1)*INDEX(Factor!$BG$5:$BO$51, _xlfn.XMATCH(IF(OR($G50 ="debuff", $G50 = "shot", $G50 = "pierce"), $O50, 0), Factor!$BG$5:$BG$51, -1), 2), 0),
_xlpm.탄환개수보정치, VLOOKUP(IF(OR($G50 = "curved", $G50 = "shot"), $Q50, 1), Factor!$BQ$5:$BX$51, _xlpm.기본_색인번호, 0),
_xlpm.상태이상탄환생성위치보정치, IF($G50 = "debuff", VLOOKUP($R50, Factor!$K$18:$R$19, _xlpm.기본_색인번호, 0),1),
_xlpm.상태이상탄환형태보정치, IF($G50 = "debuff", VLOOKUP($S50, Factor!$K$24:$R$25, _xlpm.기본_색인번호, 0),1),
_xlpm.가격보정치, INDEX(Factor!$AE$5:$AL$51, _xlfn.XMATCH($F50,Factor!$AE$5:$AE$51, -1), _xlpm.기본_색인번호),
_xlpm.구경보정치, VLOOKUP($D50,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50" s="29" t="e" cm="1">
        <f t="array" ref="AC50">_xlfn.LET(_xlpm.기본_색인번호, 4,
_xlpm.추가_색인번호, 5,
_xlpm.개별보정치, V50,
_xlpm.패턴보정치, VLOOKUP($G50, Factor!$B$5:$I$51, _xlpm.기본_색인번호, 0),
_xlpm.소모탄환보정치, VLOOKUP($H50, Factor!$T$5:$AA$51, _xlpm.기본_색인번호, 0),
_xlpm.지형보정치, VLOOKUP($I50, Factor!$K$12:$R$13, _xlpm.기본_색인번호, 0),
_xlpm.공격속성보정치, VLOOKUP($J50, Factor!$K$5:$R$7, _xlpm.기본_색인번호, 0),
_xlpm.피해범위보정치, INDEX(Factor!$AN$5:$AV$51, _xlfn.XMATCH(IF(OR($G50="blast", $G50="curved",  $G50= "debuff"), $L50, 0), Factor!$AN$5:$AN$51, -1), _xlpm.추가_색인번호)-IF(AND(OR($G50="blast", $G50="curved", $G50= "debuff"), MOD($L50,1)&lt;&gt;0),INDEX(Factor!$AN$5:$AV$51, _xlfn.XMATCH(IF(OR($G50="blast", $G50="curved", $G50= "debuff"), $L50, 0), Factor!$AN$5:$AN$51, -1), 2)*MOD($L50,1)*10,0),
_xlpm.상태이상보정치, VLOOKUP(IF($G50 = "debuff", $M50, "null"), Factor!$AX$5:$BE$51, _xlpm.기본_색인번호, 0),
_xlpm.지속시간보정치, INDEX(Factor!$BG$5:$BO$51, _xlfn.XMATCH(IF(OR($G50 ="debuff", $G50 = "shot", $G50 = "pierce"), $O50, 0), Factor!$BG$5:$BG$51, -1), _xlpm.추가_색인번호)-IF(AND(OR($G50 ="debuff", $G50 = "shot", $G50 = "pierce"), MOD($O50, 1)&lt;&gt;0), 10*MOD($O50, 1)*INDEX(Factor!$BG$5:$BO$51, _xlfn.XMATCH(IF(OR($G50 ="debuff", $G50 = "shot", $G50 = "pierce"), $O50, 0), Factor!$BG$5:$BG$51, -1), 2), 0),
_xlpm.탄환개수보정치, VLOOKUP(IF(OR($G50 = "curved", $G50 = "shot"), $Q50, 1), Factor!$BQ$5:$BX$51, _xlpm.기본_색인번호, 0),
_xlpm.상태이상탄환생성위치보정치, IF($G50 = "debuff", VLOOKUP($R50, Factor!$K$18:$R$19, _xlpm.기본_색인번호, 0),1),
_xlpm.상태이상탄환형태보정치, IF($G50 = "debuff", VLOOKUP($S50, Factor!$K$24:$R$25, _xlpm.기본_색인번호, 0),1),
_xlpm.가격보정치, INDEX(Factor!$AE$5:$AL$51, _xlfn.XMATCH($F50,Factor!$AE$5:$AE$51, -1), _xlpm.기본_색인번호),
_xlpm.구경보정치, VLOOKUP($D50,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50" s="29" t="e" cm="1">
        <f t="array" ref="AD50">_xlfn.LET(_xlpm.기본_색인번호, 5,
_xlpm.추가_색인번호, 6,
_xlpm.개별보정치, W50,
_xlpm.패턴보정치, VLOOKUP($G50, Factor!$B$5:$I$51, _xlpm.기본_색인번호, 0),
_xlpm.소모탄환보정치, VLOOKUP($H50, Factor!$T$5:$AA$51, _xlpm.기본_색인번호, 0),
_xlpm.지형보정치, VLOOKUP($I50, Factor!$K$12:$R$13, _xlpm.기본_색인번호, 0),
_xlpm.공격속성보정치, VLOOKUP($J50, Factor!$K$5:$R$7, _xlpm.기본_색인번호, 0),
_xlpm.피해범위보정치, INDEX(Factor!$AN$5:$AV$51, _xlfn.XMATCH(IF(OR($G50="blast", $G50="curved",  $G50= "debuff"), $L50, 0), Factor!$AN$5:$AN$51, -1), _xlpm.추가_색인번호)-IF(AND(OR($G50="blast", $G50="curved", $G50= "debuff"), MOD($L50,1)&lt;&gt;0),INDEX(Factor!$AN$5:$AV$51, _xlfn.XMATCH(IF(OR($G50="blast", $G50="curved", $G50= "debuff"), $L50, 0), Factor!$AN$5:$AN$51, -1), 2)*MOD($L50,1)*10,0),
_xlpm.상태이상보정치, VLOOKUP(IF($G50 = "debuff", $M50, "null"), Factor!$AX$5:$BE$51, _xlpm.기본_색인번호, 0),
_xlpm.지속시간보정치, INDEX(Factor!$BG$5:$BO$51, _xlfn.XMATCH(IF(OR($G50 ="debuff", $G50 = "shot", $G50 = "pierce"), $O50, 0), Factor!$BG$5:$BG$51, -1), _xlpm.추가_색인번호)-IF(AND(OR($G50 ="debuff", $G50 = "shot", $G50 = "pierce"), MOD($O50, 1)&lt;&gt;0), 10*MOD($O50, 1)*INDEX(Factor!$BG$5:$BO$51, _xlfn.XMATCH(IF(OR($G50 ="debuff", $G50 = "shot", $G50 = "pierce"), $O50, 0), Factor!$BG$5:$BG$51, -1), 2), 0),
_xlpm.탄환개수보정치, VLOOKUP(IF(OR($G50 = "curved", $G50 = "shot"), $Q50, 1), Factor!$BQ$5:$BX$51, _xlpm.기본_색인번호, 0),
_xlpm.상태이상탄환생성위치보정치, IF($G50 = "debuff", VLOOKUP($R50, Factor!$K$18:$R$19, _xlpm.기본_색인번호, 0),1),
_xlpm.상태이상탄환형태보정치, IF($G50 = "debuff", VLOOKUP($S50, Factor!$K$24:$R$25, _xlpm.기본_색인번호, 0),1),
_xlpm.가격보정치, INDEX(Factor!$AE$5:$AL$51, _xlfn.XMATCH($F50,Factor!$AE$5:$AE$51, -1), _xlpm.기본_색인번호),
_xlpm.구경보정치, VLOOKUP($D50,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50" s="29" t="e" cm="1">
        <f t="array" ref="AE50">_xlfn.LET(_xlpm.기본_색인번호, 6,
_xlpm.추가_색인번호, 7,
_xlpm.개별보정치, X50,
_xlpm.패턴보정치, VLOOKUP($G50, Factor!$B$5:$I$51, _xlpm.기본_색인번호, 0),
_xlpm.소모탄환보정치, VLOOKUP($H50, Factor!$T$5:$AA$51, _xlpm.기본_색인번호, 0),
_xlpm.지형보정치, VLOOKUP($I50, Factor!$K$12:$R$13, _xlpm.기본_색인번호, 0),
_xlpm.공격속성보정치, VLOOKUP($J50, Factor!$K$5:$R$7, _xlpm.기본_색인번호, 0),
_xlpm.피해범위보정치, INDEX(Factor!$AN$5:$AV$51, _xlfn.XMATCH(IF(OR($G50="blast", $G50="curved",  $G50= "debuff"), $L50, 0), Factor!$AN$5:$AN$51, -1), _xlpm.추가_색인번호)-IF(AND(OR($G50="blast", $G50="curved", $G50= "debuff"), MOD($L50,1)&lt;&gt;0),INDEX(Factor!$AN$5:$AV$51, _xlfn.XMATCH(IF(OR($G50="blast", $G50="curved", $G50= "debuff"), $L50, 0), Factor!$AN$5:$AN$51, -1), 2)*MOD($L50,1)*10,0),
_xlpm.상태이상보정치, VLOOKUP(IF($G50 = "debuff", $M50, "null"), Factor!$AX$5:$BE$51, _xlpm.기본_색인번호, 0),
_xlpm.지속시간보정치, INDEX(Factor!$BG$5:$BO$51, _xlfn.XMATCH(IF(OR($G50 ="debuff", $G50 = "shot", $G50 = "pierce"), $O50, 0), Factor!$BG$5:$BG$51, -1), _xlpm.추가_색인번호)-IF(AND(OR($G50 ="debuff", $G50 = "shot", $G50 = "pierce"), MOD($O50, 1)&lt;&gt;0), 10*MOD($O50, 1)*INDEX(Factor!$BG$5:$BO$51, _xlfn.XMATCH(IF(OR($G50 ="debuff", $G50 = "shot", $G50 = "pierce"), $O50, 0), Factor!$BG$5:$BG$51, -1), 2), 0),
_xlpm.탄환개수보정치, VLOOKUP(IF(OR($G50 = "curved", $G50 = "shot"), $Q50, 1), Factor!$BQ$5:$BX$51, _xlpm.기본_색인번호, 0),
_xlpm.상태이상탄환생성위치보정치, IF($G50 = "debuff", VLOOKUP($R50, Factor!$K$18:$R$19, _xlpm.기본_색인번호, 0),1),
_xlpm.상태이상탄환형태보정치, IF($G50 = "debuff", VLOOKUP($S50, Factor!$K$24:$R$25, _xlpm.기본_색인번호, 0),1),
_xlpm.가격보정치, INDEX(Factor!$AE$5:$AL$51, _xlfn.XMATCH($F50,Factor!$AE$5:$AE$51, -1), _xlpm.기본_색인번호),
_xlpm.구경보정치, VLOOKUP($D50,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50" s="29" t="e" cm="1">
        <f t="array" ref="AF50">_xlfn.LET(_xlpm.기본_색인번호, 7,
_xlpm.추가_색인번호, 8,
_xlpm.개별보정치, Y50,
_xlpm.패턴보정치, VLOOKUP($G50, Factor!$B$5:$I$51, _xlpm.기본_색인번호, 0),
_xlpm.소모탄환보정치, VLOOKUP($H50, Factor!$T$5:$AA$51, _xlpm.기본_색인번호, 0),
_xlpm.지형보정치, VLOOKUP($I50, Factor!$K$12:$R$13, _xlpm.기본_색인번호, 0),
_xlpm.공격속성보정치, VLOOKUP($J50, Factor!$K$5:$R$7, _xlpm.기본_색인번호, 0),
_xlpm.피해범위보정치, INDEX(Factor!$AN$5:$AV$51, _xlfn.XMATCH(IF(OR($G50="blast", $G50="curved",  $G50= "debuff"), $L50, 0), Factor!$AN$5:$AN$51, -1), _xlpm.추가_색인번호)-IF(AND(OR($G50="blast", $G50="curved", $G50= "debuff"), MOD($L50,1)&lt;&gt;0),INDEX(Factor!$AN$5:$AV$51, _xlfn.XMATCH(IF(OR($G50="blast", $G50="curved", $G50= "debuff"), $L50, 0), Factor!$AN$5:$AN$51, -1), 2)*MOD($L50,1)*10,0),
_xlpm.상태이상보정치, VLOOKUP(IF($G50 = "debuff", $M50, "null"), Factor!$AX$5:$BE$51, _xlpm.기본_색인번호, 0),
_xlpm.지속시간보정치, INDEX(Factor!$BG$5:$BO$51, _xlfn.XMATCH(IF(OR($G50 ="debuff", $G50 = "shot", $G50 = "pierce"), $O50, 0), Factor!$BG$5:$BG$51, -1), _xlpm.추가_색인번호)-IF(AND(OR($G50 ="debuff", $G50 = "shot", $G50 = "pierce"), MOD($O50, 1)&lt;&gt;0), 10*MOD($O50, 1)*INDEX(Factor!$BG$5:$BO$51, _xlfn.XMATCH(IF(OR($G50 ="debuff", $G50 = "shot", $G50 = "pierce"), $O50, 0), Factor!$BG$5:$BG$51, -1), 2), 0),
_xlpm.탄환개수보정치, VLOOKUP(IF(OR($G50 = "curved", $G50 = "shot"), $Q50, 1), Factor!$BQ$5:$BX$51, _xlpm.기본_색인번호, 0),
_xlpm.상태이상탄환생성위치보정치, IF($G50 = "debuff", VLOOKUP($R50, Factor!$K$18:$R$19, _xlpm.기본_색인번호, 0),1),
_xlpm.상태이상탄환형태보정치, IF($G50 = "debuff", VLOOKUP($S50, Factor!$K$24:$R$25, _xlpm.기본_색인번호, 0),1),
_xlpm.가격보정치, INDEX(Factor!$AE$5:$AL$51, _xlfn.XMATCH($F50,Factor!$AE$5:$AE$51, -1), _xlpm.기본_색인번호),
_xlpm.구경보정치, VLOOKUP($D50,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50" s="30" t="e" cm="1">
        <f t="array" ref="AG50">_xlfn.LET(_xlpm.기본_색인번호, 8,
_xlpm.추가_색인번호, 9,
_xlpm.개별보정치, Z50,
_xlpm.패턴보정치, VLOOKUP($G50, Factor!$B$5:$I$51, _xlpm.기본_색인번호, 0),
_xlpm.소모탄환보정치, VLOOKUP($H50, Factor!$T$5:$AA$51, _xlpm.기본_색인번호, 0),
_xlpm.지형보정치, VLOOKUP($I50, Factor!$K$12:$R$13, _xlpm.기본_색인번호, 0),
_xlpm.공격속성보정치, VLOOKUP($J50, Factor!$K$5:$R$7, _xlpm.기본_색인번호, 0),
_xlpm.피해범위보정치, INDEX(Factor!$AN$5:$AV$51, _xlfn.XMATCH(IF(OR($G50="blast", $G50="curved",  $G50= "debuff"), $L50, 0), Factor!$AN$5:$AN$51, -1), _xlpm.추가_색인번호)-IF(AND(OR($G50="blast", $G50="curved", $G50= "debuff"), MOD($L50,1)&lt;&gt;0),INDEX(Factor!$AN$5:$AV$51, _xlfn.XMATCH(IF(OR($G50="blast", $G50="curved", $G50= "debuff"), $L50, 0), Factor!$AN$5:$AN$51, -1), 2)*MOD($L50,1)*10,0),
_xlpm.상태이상보정치, VLOOKUP(IF($G50 = "debuff", $M50, "null"), Factor!$AX$5:$BE$51, _xlpm.기본_색인번호, 0),
_xlpm.지속시간보정치, INDEX(Factor!$BG$5:$BO$51, _xlfn.XMATCH(IF(OR($G50 ="debuff", $G50 = "shot", $G50 = "pierce"), $O50, 0), Factor!$BG$5:$BG$51, -1), _xlpm.추가_색인번호)-IF(AND(OR($G50 ="debuff", $G50 = "shot", $G50 = "pierce"), MOD($O50, 1)&lt;&gt;0), 10*MOD($O50, 1)*INDEX(Factor!$BG$5:$BO$51, _xlfn.XMATCH(IF(OR($G50 ="debuff", $G50 = "shot", $G50 = "pierce"), $O50, 0), Factor!$BG$5:$BG$51, -1), 2), 0),
_xlpm.탄환개수보정치, VLOOKUP(IF(OR($G50 = "curved", $G50 = "shot"), $Q50, 1), Factor!$BQ$5:$BX$51, _xlpm.기본_색인번호, 0),
_xlpm.상태이상탄환생성위치보정치, IF($G50 = "debuff", VLOOKUP($R50, Factor!$K$18:$R$19, _xlpm.기본_색인번호, 0),1),
_xlpm.상태이상탄환형태보정치, IF($G50 = "debuff", VLOOKUP($S50, Factor!$K$24:$R$25, _xlpm.기본_색인번호, 0),1),
_xlpm.가격보정치, INDEX(Factor!$AE$5:$AL$51, _xlfn.XMATCH($F50,Factor!$AE$5:$AE$51, -1), _xlpm.기본_색인번호),
_xlpm.구경보정치, VLOOKUP($D50,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50"/>
      <c r="AI50"/>
      <c r="AJ50"/>
      <c r="AK50"/>
      <c r="AL50"/>
      <c r="AM50"/>
      <c r="AN50"/>
    </row>
    <row r="51" spans="1:40" ht="15.75" customHeight="1">
      <c r="A51" s="24" t="e">
        <f>"weapon_"&amp;G51&amp;"_"&amp;VLOOKUP(H51, Factor!$T$5:$AB$7, 9, 0)&amp;"_"&amp;IF(COUNTIFS($G$4:G50, G51, $H$4:H50, H51)+1&gt;=100, COUNTIFS($G$4:G50, G51, $H$4:H50, H51)+1,IF(COUNTIFS($G$4:G50, G51, $H$4:H50, H51)+1&gt;=10, "0"&amp;COUNTIFS($G$4:G50, G51, $H$4:H50, H51)+1, "00"&amp;COUNTIFS($G$4:G50, G51, $H$4:H50, H51)+1))</f>
        <v>#N/A</v>
      </c>
      <c r="B51" s="36" t="str">
        <f t="shared" si="0"/>
        <v xml:space="preserve"> </v>
      </c>
      <c r="C51" s="36"/>
      <c r="D51" s="36"/>
      <c r="E51" s="36"/>
      <c r="F51" s="25" t="e">
        <f>VLOOKUP(C51, Factor!$AD$5:$AE$15, 2, 0)</f>
        <v>#N/A</v>
      </c>
      <c r="G51" s="26" t="e">
        <f>VLOOKUP(E51, Factor!$CL$5:$CV$50, 2, 0)</f>
        <v>#N/A</v>
      </c>
      <c r="H51" s="25" t="e">
        <f>VLOOKUP(E51, Factor!$CL$5:$CV$50, 3, 0)</f>
        <v>#N/A</v>
      </c>
      <c r="I51" s="25" t="e">
        <f>VLOOKUP(E51, Factor!$CL$5:$CV$50, 4, 0)</f>
        <v>#N/A</v>
      </c>
      <c r="J51" s="25" t="e">
        <f>VLOOKUP(E51, Factor!$CL$5:$CV$50, 5, 0)</f>
        <v>#N/A</v>
      </c>
      <c r="K51" s="25">
        <v>1</v>
      </c>
      <c r="L51" s="25" t="e">
        <f>VLOOKUP(E51, Factor!$CL$5:$CV$50, 6, 0)*K51*VLOOKUP(D51, Factor!$BZ$5:$CJ$49, 9, 0)</f>
        <v>#N/A</v>
      </c>
      <c r="M51" s="25" t="e">
        <f>VLOOKUP(E51, Factor!$CL$5:$CV$50, 7, 0)</f>
        <v>#N/A</v>
      </c>
      <c r="N51" s="25">
        <v>1</v>
      </c>
      <c r="O51" s="25" t="e">
        <f>VLOOKUP(E51, Factor!$CL$5:$CV$50, 8, 0)*N51*VLOOKUP(D51, Factor!$BZ$5:$CJ$49, 10, 0)</f>
        <v>#N/A</v>
      </c>
      <c r="P51" s="25">
        <v>1</v>
      </c>
      <c r="Q51" s="25" t="e">
        <f>VLOOKUP(E51, Factor!$CL$5:$CV$50, 9, 0)*P51*VLOOKUP(D51, Factor!$BZ$5:$CJ$49, 11, 0)</f>
        <v>#N/A</v>
      </c>
      <c r="R51" s="25" t="e">
        <f>VLOOKUP(E51, Factor!$CL$5:$CV$50, 10, 0)</f>
        <v>#N/A</v>
      </c>
      <c r="S51" s="25" t="e">
        <f>VLOOKUP(E51, Factor!$CL$5:$CV$50, 11, 0)</f>
        <v>#N/A</v>
      </c>
      <c r="T51" s="25">
        <v>1</v>
      </c>
      <c r="U51" s="25">
        <v>1</v>
      </c>
      <c r="V51" s="25">
        <v>1</v>
      </c>
      <c r="W51" s="25">
        <v>1</v>
      </c>
      <c r="X51" s="25">
        <v>1</v>
      </c>
      <c r="Y51" s="25">
        <v>1</v>
      </c>
      <c r="Z51" s="25">
        <v>1</v>
      </c>
      <c r="AA51" s="25" t="e" cm="1">
        <f t="array" ref="AA51">_xlfn.LET(_xlpm.기본_색인번호, 2,
_xlpm.추가_색인번호, 3,
_xlpm.개별보정치, T51,
_xlpm.패턴보정치, VLOOKUP($G51, Factor!$B$5:$I$51, _xlpm.기본_색인번호, 0),
_xlpm.소모탄환보정치, VLOOKUP($H51, Factor!$T$5:$AA$51, _xlpm.기본_색인번호, 0),
_xlpm.지형보정치, VLOOKUP($I51, Factor!$K$12:$R$13, _xlpm.기본_색인번호, 0),
_xlpm.공격속성보정치, VLOOKUP($J51, Factor!$K$5:$R$7, _xlpm.기본_색인번호, 0),
_xlpm.피해범위보정치, INDEX(Factor!$AN$5:$AV$51, _xlfn.XMATCH(IF(OR($G51="blast", $G51="curved",  $G51= "debuff"), $L51, 0), Factor!$AN$5:$AN$51, -1), _xlpm.추가_색인번호)-IF(AND(OR($G51="blast", $G51="curved", $G51= "debuff"), MOD($L51,1)&lt;&gt;0),INDEX(Factor!$AN$5:$AV$51, _xlfn.XMATCH(IF(OR($G51="blast", $G51="curved", $G51= "debuff"), $L51, 0), Factor!$AN$5:$AN$51, -1), 2)*MOD($L51,1)*10,0),
_xlpm.상태이상보정치, VLOOKUP(IF($G51 = "debuff", $M51, "null"), Factor!$AX$5:$BE$51, _xlpm.기본_색인번호, 0),
_xlpm.지속시간보정치, INDEX(Factor!$BG$5:$BO$51, _xlfn.XMATCH(IF(OR($G51 ="debuff", $G51 = "shot", $G51 = "pierce"), $O51, 0), Factor!$BG$5:$BG$51, -1), _xlpm.추가_색인번호)-IF(AND(OR($G51 ="debuff", $G51 = "shot", $G51 = "pierce"), MOD($O51, 1)&lt;&gt;0), 10*MOD($O51, 1)*INDEX(Factor!$BG$5:$BO$51, _xlfn.XMATCH(IF(OR($G51 ="debuff", $G51 = "shot", $G51 = "pierce"), $O51, 0), Factor!$BG$5:$BG$51, -1), 2), 0),
_xlpm.탄환개수보정치, VLOOKUP(IF(OR($G51 = "curved", $G51 = "shot"), $Q51, 1), Factor!$BQ$5:$BX$51, _xlpm.기본_색인번호, 0),
_xlpm.상태이상탄환생성위치보정치, IF($G51 = "debuff", VLOOKUP($R51, Factor!$K$18:$R$19, _xlpm.기본_색인번호, 0),1),
_xlpm.상태이상탄환형태보정치, IF($G51 = "debuff", VLOOKUP($S51, Factor!$K$24:$R$25, _xlpm.기본_색인번호, 0),1),
_xlpm.가격보정치, INDEX(Factor!$AE$5:$AL$51, _xlfn.XMATCH($F51,Factor!$AE$5:$AE$51, -1), _xlpm.기본_색인번호),
_xlpm.구경보정치, VLOOKUP($D51,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51" s="25" t="e" cm="1">
        <f t="array" ref="AB51">_xlfn.LET(_xlpm.기본_색인번호, 3,
_xlpm.추가_색인번호, 4,
_xlpm.개별보정치, U51,
_xlpm.패턴보정치, VLOOKUP($G51, Factor!$B$5:$I$51, _xlpm.기본_색인번호, 0),
_xlpm.소모탄환보정치, VLOOKUP($H51, Factor!$T$5:$AA$51, _xlpm.기본_색인번호, 0),
_xlpm.지형보정치, VLOOKUP($I51, Factor!$K$12:$R$13, _xlpm.기본_색인번호, 0),
_xlpm.공격속성보정치, VLOOKUP($J51, Factor!$K$5:$R$7, _xlpm.기본_색인번호, 0),
_xlpm.피해범위보정치, INDEX(Factor!$AN$5:$AV$51, _xlfn.XMATCH(IF(OR($G51="blast", $G51="curved",  $G51= "debuff"), $L51, 0), Factor!$AN$5:$AN$51, -1), _xlpm.추가_색인번호)-IF(AND(OR($G51="blast", $G51="curved", $G51= "debuff"), MOD($L51,1)&lt;&gt;0),INDEX(Factor!$AN$5:$AV$51, _xlfn.XMATCH(IF(OR($G51="blast", $G51="curved", $G51= "debuff"), $L51, 0), Factor!$AN$5:$AN$51, -1), 2)*MOD($L51,1)*10,0),
_xlpm.상태이상보정치, VLOOKUP(IF($G51 = "debuff", $M51, "null"), Factor!$AX$5:$BE$51, _xlpm.기본_색인번호, 0),
_xlpm.지속시간보정치, INDEX(Factor!$BG$5:$BO$51, _xlfn.XMATCH(IF(OR($G51 ="debuff", $G51 = "shot", $G51 = "pierce"), $O51, 0), Factor!$BG$5:$BG$51, -1), _xlpm.추가_색인번호)-IF(AND(OR($G51 ="debuff", $G51 = "shot", $G51 = "pierce"), MOD($O51, 1)&lt;&gt;0), 10*MOD($O51, 1)*INDEX(Factor!$BG$5:$BO$51, _xlfn.XMATCH(IF(OR($G51 ="debuff", $G51 = "shot", $G51 = "pierce"), $O51, 0), Factor!$BG$5:$BG$51, -1), 2), 0),
_xlpm.탄환개수보정치, VLOOKUP(IF(OR($G51 = "curved", $G51 = "shot"), $Q51, 1), Factor!$BQ$5:$BX$51, _xlpm.기본_색인번호, 0),
_xlpm.상태이상탄환생성위치보정치, IF($G51 = "debuff", VLOOKUP($R51, Factor!$K$18:$R$19, _xlpm.기본_색인번호, 0),1),
_xlpm.상태이상탄환형태보정치, IF($G51 = "debuff", VLOOKUP($S51, Factor!$K$24:$R$25, _xlpm.기본_색인번호, 0),1),
_xlpm.가격보정치, INDEX(Factor!$AE$5:$AL$51, _xlfn.XMATCH($F51,Factor!$AE$5:$AE$51, -1), _xlpm.기본_색인번호),
_xlpm.구경보정치, VLOOKUP($D51,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51" s="25" t="e" cm="1">
        <f t="array" ref="AC51">_xlfn.LET(_xlpm.기본_색인번호, 4,
_xlpm.추가_색인번호, 5,
_xlpm.개별보정치, V51,
_xlpm.패턴보정치, VLOOKUP($G51, Factor!$B$5:$I$51, _xlpm.기본_색인번호, 0),
_xlpm.소모탄환보정치, VLOOKUP($H51, Factor!$T$5:$AA$51, _xlpm.기본_색인번호, 0),
_xlpm.지형보정치, VLOOKUP($I51, Factor!$K$12:$R$13, _xlpm.기본_색인번호, 0),
_xlpm.공격속성보정치, VLOOKUP($J51, Factor!$K$5:$R$7, _xlpm.기본_색인번호, 0),
_xlpm.피해범위보정치, INDEX(Factor!$AN$5:$AV$51, _xlfn.XMATCH(IF(OR($G51="blast", $G51="curved",  $G51= "debuff"), $L51, 0), Factor!$AN$5:$AN$51, -1), _xlpm.추가_색인번호)-IF(AND(OR($G51="blast", $G51="curved", $G51= "debuff"), MOD($L51,1)&lt;&gt;0),INDEX(Factor!$AN$5:$AV$51, _xlfn.XMATCH(IF(OR($G51="blast", $G51="curved", $G51= "debuff"), $L51, 0), Factor!$AN$5:$AN$51, -1), 2)*MOD($L51,1)*10,0),
_xlpm.상태이상보정치, VLOOKUP(IF($G51 = "debuff", $M51, "null"), Factor!$AX$5:$BE$51, _xlpm.기본_색인번호, 0),
_xlpm.지속시간보정치, INDEX(Factor!$BG$5:$BO$51, _xlfn.XMATCH(IF(OR($G51 ="debuff", $G51 = "shot", $G51 = "pierce"), $O51, 0), Factor!$BG$5:$BG$51, -1), _xlpm.추가_색인번호)-IF(AND(OR($G51 ="debuff", $G51 = "shot", $G51 = "pierce"), MOD($O51, 1)&lt;&gt;0), 10*MOD($O51, 1)*INDEX(Factor!$BG$5:$BO$51, _xlfn.XMATCH(IF(OR($G51 ="debuff", $G51 = "shot", $G51 = "pierce"), $O51, 0), Factor!$BG$5:$BG$51, -1), 2), 0),
_xlpm.탄환개수보정치, VLOOKUP(IF(OR($G51 = "curved", $G51 = "shot"), $Q51, 1), Factor!$BQ$5:$BX$51, _xlpm.기본_색인번호, 0),
_xlpm.상태이상탄환생성위치보정치, IF($G51 = "debuff", VLOOKUP($R51, Factor!$K$18:$R$19, _xlpm.기본_색인번호, 0),1),
_xlpm.상태이상탄환형태보정치, IF($G51 = "debuff", VLOOKUP($S51, Factor!$K$24:$R$25, _xlpm.기본_색인번호, 0),1),
_xlpm.가격보정치, INDEX(Factor!$AE$5:$AL$51, _xlfn.XMATCH($F51,Factor!$AE$5:$AE$51, -1), _xlpm.기본_색인번호),
_xlpm.구경보정치, VLOOKUP($D51,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51" s="25" t="e" cm="1">
        <f t="array" ref="AD51">_xlfn.LET(_xlpm.기본_색인번호, 5,
_xlpm.추가_색인번호, 6,
_xlpm.개별보정치, W51,
_xlpm.패턴보정치, VLOOKUP($G51, Factor!$B$5:$I$51, _xlpm.기본_색인번호, 0),
_xlpm.소모탄환보정치, VLOOKUP($H51, Factor!$T$5:$AA$51, _xlpm.기본_색인번호, 0),
_xlpm.지형보정치, VLOOKUP($I51, Factor!$K$12:$R$13, _xlpm.기본_색인번호, 0),
_xlpm.공격속성보정치, VLOOKUP($J51, Factor!$K$5:$R$7, _xlpm.기본_색인번호, 0),
_xlpm.피해범위보정치, INDEX(Factor!$AN$5:$AV$51, _xlfn.XMATCH(IF(OR($G51="blast", $G51="curved",  $G51= "debuff"), $L51, 0), Factor!$AN$5:$AN$51, -1), _xlpm.추가_색인번호)-IF(AND(OR($G51="blast", $G51="curved", $G51= "debuff"), MOD($L51,1)&lt;&gt;0),INDEX(Factor!$AN$5:$AV$51, _xlfn.XMATCH(IF(OR($G51="blast", $G51="curved", $G51= "debuff"), $L51, 0), Factor!$AN$5:$AN$51, -1), 2)*MOD($L51,1)*10,0),
_xlpm.상태이상보정치, VLOOKUP(IF($G51 = "debuff", $M51, "null"), Factor!$AX$5:$BE$51, _xlpm.기본_색인번호, 0),
_xlpm.지속시간보정치, INDEX(Factor!$BG$5:$BO$51, _xlfn.XMATCH(IF(OR($G51 ="debuff", $G51 = "shot", $G51 = "pierce"), $O51, 0), Factor!$BG$5:$BG$51, -1), _xlpm.추가_색인번호)-IF(AND(OR($G51 ="debuff", $G51 = "shot", $G51 = "pierce"), MOD($O51, 1)&lt;&gt;0), 10*MOD($O51, 1)*INDEX(Factor!$BG$5:$BO$51, _xlfn.XMATCH(IF(OR($G51 ="debuff", $G51 = "shot", $G51 = "pierce"), $O51, 0), Factor!$BG$5:$BG$51, -1), 2), 0),
_xlpm.탄환개수보정치, VLOOKUP(IF(OR($G51 = "curved", $G51 = "shot"), $Q51, 1), Factor!$BQ$5:$BX$51, _xlpm.기본_색인번호, 0),
_xlpm.상태이상탄환생성위치보정치, IF($G51 = "debuff", VLOOKUP($R51, Factor!$K$18:$R$19, _xlpm.기본_색인번호, 0),1),
_xlpm.상태이상탄환형태보정치, IF($G51 = "debuff", VLOOKUP($S51, Factor!$K$24:$R$25, _xlpm.기본_색인번호, 0),1),
_xlpm.가격보정치, INDEX(Factor!$AE$5:$AL$51, _xlfn.XMATCH($F51,Factor!$AE$5:$AE$51, -1), _xlpm.기본_색인번호),
_xlpm.구경보정치, VLOOKUP($D51,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51" s="25" t="e" cm="1">
        <f t="array" ref="AE51">_xlfn.LET(_xlpm.기본_색인번호, 6,
_xlpm.추가_색인번호, 7,
_xlpm.개별보정치, X51,
_xlpm.패턴보정치, VLOOKUP($G51, Factor!$B$5:$I$51, _xlpm.기본_색인번호, 0),
_xlpm.소모탄환보정치, VLOOKUP($H51, Factor!$T$5:$AA$51, _xlpm.기본_색인번호, 0),
_xlpm.지형보정치, VLOOKUP($I51, Factor!$K$12:$R$13, _xlpm.기본_색인번호, 0),
_xlpm.공격속성보정치, VLOOKUP($J51, Factor!$K$5:$R$7, _xlpm.기본_색인번호, 0),
_xlpm.피해범위보정치, INDEX(Factor!$AN$5:$AV$51, _xlfn.XMATCH(IF(OR($G51="blast", $G51="curved",  $G51= "debuff"), $L51, 0), Factor!$AN$5:$AN$51, -1), _xlpm.추가_색인번호)-IF(AND(OR($G51="blast", $G51="curved", $G51= "debuff"), MOD($L51,1)&lt;&gt;0),INDEX(Factor!$AN$5:$AV$51, _xlfn.XMATCH(IF(OR($G51="blast", $G51="curved", $G51= "debuff"), $L51, 0), Factor!$AN$5:$AN$51, -1), 2)*MOD($L51,1)*10,0),
_xlpm.상태이상보정치, VLOOKUP(IF($G51 = "debuff", $M51, "null"), Factor!$AX$5:$BE$51, _xlpm.기본_색인번호, 0),
_xlpm.지속시간보정치, INDEX(Factor!$BG$5:$BO$51, _xlfn.XMATCH(IF(OR($G51 ="debuff", $G51 = "shot", $G51 = "pierce"), $O51, 0), Factor!$BG$5:$BG$51, -1), _xlpm.추가_색인번호)-IF(AND(OR($G51 ="debuff", $G51 = "shot", $G51 = "pierce"), MOD($O51, 1)&lt;&gt;0), 10*MOD($O51, 1)*INDEX(Factor!$BG$5:$BO$51, _xlfn.XMATCH(IF(OR($G51 ="debuff", $G51 = "shot", $G51 = "pierce"), $O51, 0), Factor!$BG$5:$BG$51, -1), 2), 0),
_xlpm.탄환개수보정치, VLOOKUP(IF(OR($G51 = "curved", $G51 = "shot"), $Q51, 1), Factor!$BQ$5:$BX$51, _xlpm.기본_색인번호, 0),
_xlpm.상태이상탄환생성위치보정치, IF($G51 = "debuff", VLOOKUP($R51, Factor!$K$18:$R$19, _xlpm.기본_색인번호, 0),1),
_xlpm.상태이상탄환형태보정치, IF($G51 = "debuff", VLOOKUP($S51, Factor!$K$24:$R$25, _xlpm.기본_색인번호, 0),1),
_xlpm.가격보정치, INDEX(Factor!$AE$5:$AL$51, _xlfn.XMATCH($F51,Factor!$AE$5:$AE$51, -1), _xlpm.기본_색인번호),
_xlpm.구경보정치, VLOOKUP($D51,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51" s="25" t="e" cm="1">
        <f t="array" ref="AF51">_xlfn.LET(_xlpm.기본_색인번호, 7,
_xlpm.추가_색인번호, 8,
_xlpm.개별보정치, Y51,
_xlpm.패턴보정치, VLOOKUP($G51, Factor!$B$5:$I$51, _xlpm.기본_색인번호, 0),
_xlpm.소모탄환보정치, VLOOKUP($H51, Factor!$T$5:$AA$51, _xlpm.기본_색인번호, 0),
_xlpm.지형보정치, VLOOKUP($I51, Factor!$K$12:$R$13, _xlpm.기본_색인번호, 0),
_xlpm.공격속성보정치, VLOOKUP($J51, Factor!$K$5:$R$7, _xlpm.기본_색인번호, 0),
_xlpm.피해범위보정치, INDEX(Factor!$AN$5:$AV$51, _xlfn.XMATCH(IF(OR($G51="blast", $G51="curved",  $G51= "debuff"), $L51, 0), Factor!$AN$5:$AN$51, -1), _xlpm.추가_색인번호)-IF(AND(OR($G51="blast", $G51="curved", $G51= "debuff"), MOD($L51,1)&lt;&gt;0),INDEX(Factor!$AN$5:$AV$51, _xlfn.XMATCH(IF(OR($G51="blast", $G51="curved", $G51= "debuff"), $L51, 0), Factor!$AN$5:$AN$51, -1), 2)*MOD($L51,1)*10,0),
_xlpm.상태이상보정치, VLOOKUP(IF($G51 = "debuff", $M51, "null"), Factor!$AX$5:$BE$51, _xlpm.기본_색인번호, 0),
_xlpm.지속시간보정치, INDEX(Factor!$BG$5:$BO$51, _xlfn.XMATCH(IF(OR($G51 ="debuff", $G51 = "shot", $G51 = "pierce"), $O51, 0), Factor!$BG$5:$BG$51, -1), _xlpm.추가_색인번호)-IF(AND(OR($G51 ="debuff", $G51 = "shot", $G51 = "pierce"), MOD($O51, 1)&lt;&gt;0), 10*MOD($O51, 1)*INDEX(Factor!$BG$5:$BO$51, _xlfn.XMATCH(IF(OR($G51 ="debuff", $G51 = "shot", $G51 = "pierce"), $O51, 0), Factor!$BG$5:$BG$51, -1), 2), 0),
_xlpm.탄환개수보정치, VLOOKUP(IF(OR($G51 = "curved", $G51 = "shot"), $Q51, 1), Factor!$BQ$5:$BX$51, _xlpm.기본_색인번호, 0),
_xlpm.상태이상탄환생성위치보정치, IF($G51 = "debuff", VLOOKUP($R51, Factor!$K$18:$R$19, _xlpm.기본_색인번호, 0),1),
_xlpm.상태이상탄환형태보정치, IF($G51 = "debuff", VLOOKUP($S51, Factor!$K$24:$R$25, _xlpm.기본_색인번호, 0),1),
_xlpm.가격보정치, INDEX(Factor!$AE$5:$AL$51, _xlfn.XMATCH($F51,Factor!$AE$5:$AE$51, -1), _xlpm.기본_색인번호),
_xlpm.구경보정치, VLOOKUP($D51,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51" s="27" t="e" cm="1">
        <f t="array" ref="AG51">_xlfn.LET(_xlpm.기본_색인번호, 8,
_xlpm.추가_색인번호, 9,
_xlpm.개별보정치, Z51,
_xlpm.패턴보정치, VLOOKUP($G51, Factor!$B$5:$I$51, _xlpm.기본_색인번호, 0),
_xlpm.소모탄환보정치, VLOOKUP($H51, Factor!$T$5:$AA$51, _xlpm.기본_색인번호, 0),
_xlpm.지형보정치, VLOOKUP($I51, Factor!$K$12:$R$13, _xlpm.기본_색인번호, 0),
_xlpm.공격속성보정치, VLOOKUP($J51, Factor!$K$5:$R$7, _xlpm.기본_색인번호, 0),
_xlpm.피해범위보정치, INDEX(Factor!$AN$5:$AV$51, _xlfn.XMATCH(IF(OR($G51="blast", $G51="curved",  $G51= "debuff"), $L51, 0), Factor!$AN$5:$AN$51, -1), _xlpm.추가_색인번호)-IF(AND(OR($G51="blast", $G51="curved", $G51= "debuff"), MOD($L51,1)&lt;&gt;0),INDEX(Factor!$AN$5:$AV$51, _xlfn.XMATCH(IF(OR($G51="blast", $G51="curved", $G51= "debuff"), $L51, 0), Factor!$AN$5:$AN$51, -1), 2)*MOD($L51,1)*10,0),
_xlpm.상태이상보정치, VLOOKUP(IF($G51 = "debuff", $M51, "null"), Factor!$AX$5:$BE$51, _xlpm.기본_색인번호, 0),
_xlpm.지속시간보정치, INDEX(Factor!$BG$5:$BO$51, _xlfn.XMATCH(IF(OR($G51 ="debuff", $G51 = "shot", $G51 = "pierce"), $O51, 0), Factor!$BG$5:$BG$51, -1), _xlpm.추가_색인번호)-IF(AND(OR($G51 ="debuff", $G51 = "shot", $G51 = "pierce"), MOD($O51, 1)&lt;&gt;0), 10*MOD($O51, 1)*INDEX(Factor!$BG$5:$BO$51, _xlfn.XMATCH(IF(OR($G51 ="debuff", $G51 = "shot", $G51 = "pierce"), $O51, 0), Factor!$BG$5:$BG$51, -1), 2), 0),
_xlpm.탄환개수보정치, VLOOKUP(IF(OR($G51 = "curved", $G51 = "shot"), $Q51, 1), Factor!$BQ$5:$BX$51, _xlpm.기본_색인번호, 0),
_xlpm.상태이상탄환생성위치보정치, IF($G51 = "debuff", VLOOKUP($R51, Factor!$K$18:$R$19, _xlpm.기본_색인번호, 0),1),
_xlpm.상태이상탄환형태보정치, IF($G51 = "debuff", VLOOKUP($S51, Factor!$K$24:$R$25, _xlpm.기본_색인번호, 0),1),
_xlpm.가격보정치, INDEX(Factor!$AE$5:$AL$51, _xlfn.XMATCH($F51,Factor!$AE$5:$AE$51, -1), _xlpm.기본_색인번호),
_xlpm.구경보정치, VLOOKUP($D51,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51"/>
      <c r="AI51"/>
      <c r="AJ51"/>
      <c r="AK51"/>
      <c r="AL51"/>
      <c r="AM51"/>
      <c r="AN51"/>
    </row>
    <row r="52" spans="1:40" ht="15.75" customHeight="1">
      <c r="A52" s="28" t="e">
        <f>"weapon_"&amp;G52&amp;"_"&amp;VLOOKUP(H52, Factor!$T$5:$AB$7, 9, 0)&amp;"_"&amp;IF(COUNTIFS($G$4:G51, G52, $H$4:H51, H52)+1&gt;=100, COUNTIFS($G$4:G51, G52, $H$4:H51, H52)+1,IF(COUNTIFS($G$4:G51, G52, $H$4:H51, H52)+1&gt;=10, "0"&amp;COUNTIFS($G$4:G51, G52, $H$4:H51, H52)+1, "00"&amp;COUNTIFS($G$4:G51, G52, $H$4:H51, H52)+1))</f>
        <v>#N/A</v>
      </c>
      <c r="B52" s="37" t="str">
        <f t="shared" si="0"/>
        <v xml:space="preserve"> </v>
      </c>
      <c r="C52" s="37"/>
      <c r="D52" s="37"/>
      <c r="E52" s="37"/>
      <c r="F52" s="29" t="e">
        <f>VLOOKUP(C52, Factor!$AD$5:$AE$15, 2, 0)</f>
        <v>#N/A</v>
      </c>
      <c r="G52" s="29" t="e">
        <f>VLOOKUP(E52, Factor!$CL$5:$CV$50, 2, 0)</f>
        <v>#N/A</v>
      </c>
      <c r="H52" s="29" t="e">
        <f>VLOOKUP(E52, Factor!$CL$5:$CV$50, 3, 0)</f>
        <v>#N/A</v>
      </c>
      <c r="I52" s="29" t="e">
        <f>VLOOKUP(E52, Factor!$CL$5:$CV$50, 4, 0)</f>
        <v>#N/A</v>
      </c>
      <c r="J52" s="29" t="e">
        <f>VLOOKUP(E52, Factor!$CL$5:$CV$50, 5, 0)</f>
        <v>#N/A</v>
      </c>
      <c r="K52" s="29">
        <v>1</v>
      </c>
      <c r="L52" s="29" t="e">
        <f>VLOOKUP(E52, Factor!$CL$5:$CV$50, 6, 0)*K52*VLOOKUP(D52, Factor!$BZ$5:$CJ$49, 9, 0)</f>
        <v>#N/A</v>
      </c>
      <c r="M52" s="29" t="e">
        <f>VLOOKUP(E52, Factor!$CL$5:$CV$50, 7, 0)</f>
        <v>#N/A</v>
      </c>
      <c r="N52" s="29">
        <v>1</v>
      </c>
      <c r="O52" s="29" t="e">
        <f>VLOOKUP(E52, Factor!$CL$5:$CV$50, 8, 0)*N52*VLOOKUP(D52, Factor!$BZ$5:$CJ$49, 10, 0)</f>
        <v>#N/A</v>
      </c>
      <c r="P52" s="29">
        <v>1</v>
      </c>
      <c r="Q52" s="29" t="e">
        <f>VLOOKUP(E52, Factor!$CL$5:$CV$50, 9, 0)*P52*VLOOKUP(D52, Factor!$BZ$5:$CJ$49, 11, 0)</f>
        <v>#N/A</v>
      </c>
      <c r="R52" s="29" t="e">
        <f>VLOOKUP(E52, Factor!$CL$5:$CV$50, 10, 0)</f>
        <v>#N/A</v>
      </c>
      <c r="S52" s="29" t="e">
        <f>VLOOKUP(E52, Factor!$CL$5:$CV$50, 11, 0)</f>
        <v>#N/A</v>
      </c>
      <c r="T52" s="29">
        <v>1</v>
      </c>
      <c r="U52" s="29">
        <v>1</v>
      </c>
      <c r="V52" s="29">
        <v>1</v>
      </c>
      <c r="W52" s="29">
        <v>1</v>
      </c>
      <c r="X52" s="29">
        <v>1</v>
      </c>
      <c r="Y52" s="29">
        <v>1</v>
      </c>
      <c r="Z52" s="29">
        <v>1</v>
      </c>
      <c r="AA52" s="29" t="e" cm="1">
        <f t="array" ref="AA52">_xlfn.LET(_xlpm.기본_색인번호, 2,
_xlpm.추가_색인번호, 3,
_xlpm.개별보정치, T52,
_xlpm.패턴보정치, VLOOKUP($G52, Factor!$B$5:$I$51, _xlpm.기본_색인번호, 0),
_xlpm.소모탄환보정치, VLOOKUP($H52, Factor!$T$5:$AA$51, _xlpm.기본_색인번호, 0),
_xlpm.지형보정치, VLOOKUP($I52, Factor!$K$12:$R$13, _xlpm.기본_색인번호, 0),
_xlpm.공격속성보정치, VLOOKUP($J52, Factor!$K$5:$R$7, _xlpm.기본_색인번호, 0),
_xlpm.피해범위보정치, INDEX(Factor!$AN$5:$AV$51, _xlfn.XMATCH(IF(OR($G52="blast", $G52="curved",  $G52= "debuff"), $L52, 0), Factor!$AN$5:$AN$51, -1), _xlpm.추가_색인번호)-IF(AND(OR($G52="blast", $G52="curved", $G52= "debuff"), MOD($L52,1)&lt;&gt;0),INDEX(Factor!$AN$5:$AV$51, _xlfn.XMATCH(IF(OR($G52="blast", $G52="curved", $G52= "debuff"), $L52, 0), Factor!$AN$5:$AN$51, -1), 2)*MOD($L52,1)*10,0),
_xlpm.상태이상보정치, VLOOKUP(IF($G52 = "debuff", $M52, "null"), Factor!$AX$5:$BE$51, _xlpm.기본_색인번호, 0),
_xlpm.지속시간보정치, INDEX(Factor!$BG$5:$BO$51, _xlfn.XMATCH(IF(OR($G52 ="debuff", $G52 = "shot", $G52 = "pierce"), $O52, 0), Factor!$BG$5:$BG$51, -1), _xlpm.추가_색인번호)-IF(AND(OR($G52 ="debuff", $G52 = "shot", $G52 = "pierce"), MOD($O52, 1)&lt;&gt;0), 10*MOD($O52, 1)*INDEX(Factor!$BG$5:$BO$51, _xlfn.XMATCH(IF(OR($G52 ="debuff", $G52 = "shot", $G52 = "pierce"), $O52, 0), Factor!$BG$5:$BG$51, -1), 2), 0),
_xlpm.탄환개수보정치, VLOOKUP(IF(OR($G52 = "curved", $G52 = "shot"), $Q52, 1), Factor!$BQ$5:$BX$51, _xlpm.기본_색인번호, 0),
_xlpm.상태이상탄환생성위치보정치, IF($G52 = "debuff", VLOOKUP($R52, Factor!$K$18:$R$19, _xlpm.기본_색인번호, 0),1),
_xlpm.상태이상탄환형태보정치, IF($G52 = "debuff", VLOOKUP($S52, Factor!$K$24:$R$25, _xlpm.기본_색인번호, 0),1),
_xlpm.가격보정치, INDEX(Factor!$AE$5:$AL$51, _xlfn.XMATCH($F52,Factor!$AE$5:$AE$51, -1), _xlpm.기본_색인번호),
_xlpm.구경보정치, VLOOKUP($D52,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52" s="29" t="e" cm="1">
        <f t="array" ref="AB52">_xlfn.LET(_xlpm.기본_색인번호, 3,
_xlpm.추가_색인번호, 4,
_xlpm.개별보정치, U52,
_xlpm.패턴보정치, VLOOKUP($G52, Factor!$B$5:$I$51, _xlpm.기본_색인번호, 0),
_xlpm.소모탄환보정치, VLOOKUP($H52, Factor!$T$5:$AA$51, _xlpm.기본_색인번호, 0),
_xlpm.지형보정치, VLOOKUP($I52, Factor!$K$12:$R$13, _xlpm.기본_색인번호, 0),
_xlpm.공격속성보정치, VLOOKUP($J52, Factor!$K$5:$R$7, _xlpm.기본_색인번호, 0),
_xlpm.피해범위보정치, INDEX(Factor!$AN$5:$AV$51, _xlfn.XMATCH(IF(OR($G52="blast", $G52="curved",  $G52= "debuff"), $L52, 0), Factor!$AN$5:$AN$51, -1), _xlpm.추가_색인번호)-IF(AND(OR($G52="blast", $G52="curved", $G52= "debuff"), MOD($L52,1)&lt;&gt;0),INDEX(Factor!$AN$5:$AV$51, _xlfn.XMATCH(IF(OR($G52="blast", $G52="curved", $G52= "debuff"), $L52, 0), Factor!$AN$5:$AN$51, -1), 2)*MOD($L52,1)*10,0),
_xlpm.상태이상보정치, VLOOKUP(IF($G52 = "debuff", $M52, "null"), Factor!$AX$5:$BE$51, _xlpm.기본_색인번호, 0),
_xlpm.지속시간보정치, INDEX(Factor!$BG$5:$BO$51, _xlfn.XMATCH(IF(OR($G52 ="debuff", $G52 = "shot", $G52 = "pierce"), $O52, 0), Factor!$BG$5:$BG$51, -1), _xlpm.추가_색인번호)-IF(AND(OR($G52 ="debuff", $G52 = "shot", $G52 = "pierce"), MOD($O52, 1)&lt;&gt;0), 10*MOD($O52, 1)*INDEX(Factor!$BG$5:$BO$51, _xlfn.XMATCH(IF(OR($G52 ="debuff", $G52 = "shot", $G52 = "pierce"), $O52, 0), Factor!$BG$5:$BG$51, -1), 2), 0),
_xlpm.탄환개수보정치, VLOOKUP(IF(OR($G52 = "curved", $G52 = "shot"), $Q52, 1), Factor!$BQ$5:$BX$51, _xlpm.기본_색인번호, 0),
_xlpm.상태이상탄환생성위치보정치, IF($G52 = "debuff", VLOOKUP($R52, Factor!$K$18:$R$19, _xlpm.기본_색인번호, 0),1),
_xlpm.상태이상탄환형태보정치, IF($G52 = "debuff", VLOOKUP($S52, Factor!$K$24:$R$25, _xlpm.기본_색인번호, 0),1),
_xlpm.가격보정치, INDEX(Factor!$AE$5:$AL$51, _xlfn.XMATCH($F52,Factor!$AE$5:$AE$51, -1), _xlpm.기본_색인번호),
_xlpm.구경보정치, VLOOKUP($D52,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52" s="29" t="e" cm="1">
        <f t="array" ref="AC52">_xlfn.LET(_xlpm.기본_색인번호, 4,
_xlpm.추가_색인번호, 5,
_xlpm.개별보정치, V52,
_xlpm.패턴보정치, VLOOKUP($G52, Factor!$B$5:$I$51, _xlpm.기본_색인번호, 0),
_xlpm.소모탄환보정치, VLOOKUP($H52, Factor!$T$5:$AA$51, _xlpm.기본_색인번호, 0),
_xlpm.지형보정치, VLOOKUP($I52, Factor!$K$12:$R$13, _xlpm.기본_색인번호, 0),
_xlpm.공격속성보정치, VLOOKUP($J52, Factor!$K$5:$R$7, _xlpm.기본_색인번호, 0),
_xlpm.피해범위보정치, INDEX(Factor!$AN$5:$AV$51, _xlfn.XMATCH(IF(OR($G52="blast", $G52="curved",  $G52= "debuff"), $L52, 0), Factor!$AN$5:$AN$51, -1), _xlpm.추가_색인번호)-IF(AND(OR($G52="blast", $G52="curved", $G52= "debuff"), MOD($L52,1)&lt;&gt;0),INDEX(Factor!$AN$5:$AV$51, _xlfn.XMATCH(IF(OR($G52="blast", $G52="curved", $G52= "debuff"), $L52, 0), Factor!$AN$5:$AN$51, -1), 2)*MOD($L52,1)*10,0),
_xlpm.상태이상보정치, VLOOKUP(IF($G52 = "debuff", $M52, "null"), Factor!$AX$5:$BE$51, _xlpm.기본_색인번호, 0),
_xlpm.지속시간보정치, INDEX(Factor!$BG$5:$BO$51, _xlfn.XMATCH(IF(OR($G52 ="debuff", $G52 = "shot", $G52 = "pierce"), $O52, 0), Factor!$BG$5:$BG$51, -1), _xlpm.추가_색인번호)-IF(AND(OR($G52 ="debuff", $G52 = "shot", $G52 = "pierce"), MOD($O52, 1)&lt;&gt;0), 10*MOD($O52, 1)*INDEX(Factor!$BG$5:$BO$51, _xlfn.XMATCH(IF(OR($G52 ="debuff", $G52 = "shot", $G52 = "pierce"), $O52, 0), Factor!$BG$5:$BG$51, -1), 2), 0),
_xlpm.탄환개수보정치, VLOOKUP(IF(OR($G52 = "curved", $G52 = "shot"), $Q52, 1), Factor!$BQ$5:$BX$51, _xlpm.기본_색인번호, 0),
_xlpm.상태이상탄환생성위치보정치, IF($G52 = "debuff", VLOOKUP($R52, Factor!$K$18:$R$19, _xlpm.기본_색인번호, 0),1),
_xlpm.상태이상탄환형태보정치, IF($G52 = "debuff", VLOOKUP($S52, Factor!$K$24:$R$25, _xlpm.기본_색인번호, 0),1),
_xlpm.가격보정치, INDEX(Factor!$AE$5:$AL$51, _xlfn.XMATCH($F52,Factor!$AE$5:$AE$51, -1), _xlpm.기본_색인번호),
_xlpm.구경보정치, VLOOKUP($D52,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52" s="29" t="e" cm="1">
        <f t="array" ref="AD52">_xlfn.LET(_xlpm.기본_색인번호, 5,
_xlpm.추가_색인번호, 6,
_xlpm.개별보정치, W52,
_xlpm.패턴보정치, VLOOKUP($G52, Factor!$B$5:$I$51, _xlpm.기본_색인번호, 0),
_xlpm.소모탄환보정치, VLOOKUP($H52, Factor!$T$5:$AA$51, _xlpm.기본_색인번호, 0),
_xlpm.지형보정치, VLOOKUP($I52, Factor!$K$12:$R$13, _xlpm.기본_색인번호, 0),
_xlpm.공격속성보정치, VLOOKUP($J52, Factor!$K$5:$R$7, _xlpm.기본_색인번호, 0),
_xlpm.피해범위보정치, INDEX(Factor!$AN$5:$AV$51, _xlfn.XMATCH(IF(OR($G52="blast", $G52="curved",  $G52= "debuff"), $L52, 0), Factor!$AN$5:$AN$51, -1), _xlpm.추가_색인번호)-IF(AND(OR($G52="blast", $G52="curved", $G52= "debuff"), MOD($L52,1)&lt;&gt;0),INDEX(Factor!$AN$5:$AV$51, _xlfn.XMATCH(IF(OR($G52="blast", $G52="curved", $G52= "debuff"), $L52, 0), Factor!$AN$5:$AN$51, -1), 2)*MOD($L52,1)*10,0),
_xlpm.상태이상보정치, VLOOKUP(IF($G52 = "debuff", $M52, "null"), Factor!$AX$5:$BE$51, _xlpm.기본_색인번호, 0),
_xlpm.지속시간보정치, INDEX(Factor!$BG$5:$BO$51, _xlfn.XMATCH(IF(OR($G52 ="debuff", $G52 = "shot", $G52 = "pierce"), $O52, 0), Factor!$BG$5:$BG$51, -1), _xlpm.추가_색인번호)-IF(AND(OR($G52 ="debuff", $G52 = "shot", $G52 = "pierce"), MOD($O52, 1)&lt;&gt;0), 10*MOD($O52, 1)*INDEX(Factor!$BG$5:$BO$51, _xlfn.XMATCH(IF(OR($G52 ="debuff", $G52 = "shot", $G52 = "pierce"), $O52, 0), Factor!$BG$5:$BG$51, -1), 2), 0),
_xlpm.탄환개수보정치, VLOOKUP(IF(OR($G52 = "curved", $G52 = "shot"), $Q52, 1), Factor!$BQ$5:$BX$51, _xlpm.기본_색인번호, 0),
_xlpm.상태이상탄환생성위치보정치, IF($G52 = "debuff", VLOOKUP($R52, Factor!$K$18:$R$19, _xlpm.기본_색인번호, 0),1),
_xlpm.상태이상탄환형태보정치, IF($G52 = "debuff", VLOOKUP($S52, Factor!$K$24:$R$25, _xlpm.기본_색인번호, 0),1),
_xlpm.가격보정치, INDEX(Factor!$AE$5:$AL$51, _xlfn.XMATCH($F52,Factor!$AE$5:$AE$51, -1), _xlpm.기본_색인번호),
_xlpm.구경보정치, VLOOKUP($D52,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52" s="29" t="e" cm="1">
        <f t="array" ref="AE52">_xlfn.LET(_xlpm.기본_색인번호, 6,
_xlpm.추가_색인번호, 7,
_xlpm.개별보정치, X52,
_xlpm.패턴보정치, VLOOKUP($G52, Factor!$B$5:$I$51, _xlpm.기본_색인번호, 0),
_xlpm.소모탄환보정치, VLOOKUP($H52, Factor!$T$5:$AA$51, _xlpm.기본_색인번호, 0),
_xlpm.지형보정치, VLOOKUP($I52, Factor!$K$12:$R$13, _xlpm.기본_색인번호, 0),
_xlpm.공격속성보정치, VLOOKUP($J52, Factor!$K$5:$R$7, _xlpm.기본_색인번호, 0),
_xlpm.피해범위보정치, INDEX(Factor!$AN$5:$AV$51, _xlfn.XMATCH(IF(OR($G52="blast", $G52="curved",  $G52= "debuff"), $L52, 0), Factor!$AN$5:$AN$51, -1), _xlpm.추가_색인번호)-IF(AND(OR($G52="blast", $G52="curved", $G52= "debuff"), MOD($L52,1)&lt;&gt;0),INDEX(Factor!$AN$5:$AV$51, _xlfn.XMATCH(IF(OR($G52="blast", $G52="curved", $G52= "debuff"), $L52, 0), Factor!$AN$5:$AN$51, -1), 2)*MOD($L52,1)*10,0),
_xlpm.상태이상보정치, VLOOKUP(IF($G52 = "debuff", $M52, "null"), Factor!$AX$5:$BE$51, _xlpm.기본_색인번호, 0),
_xlpm.지속시간보정치, INDEX(Factor!$BG$5:$BO$51, _xlfn.XMATCH(IF(OR($G52 ="debuff", $G52 = "shot", $G52 = "pierce"), $O52, 0), Factor!$BG$5:$BG$51, -1), _xlpm.추가_색인번호)-IF(AND(OR($G52 ="debuff", $G52 = "shot", $G52 = "pierce"), MOD($O52, 1)&lt;&gt;0), 10*MOD($O52, 1)*INDEX(Factor!$BG$5:$BO$51, _xlfn.XMATCH(IF(OR($G52 ="debuff", $G52 = "shot", $G52 = "pierce"), $O52, 0), Factor!$BG$5:$BG$51, -1), 2), 0),
_xlpm.탄환개수보정치, VLOOKUP(IF(OR($G52 = "curved", $G52 = "shot"), $Q52, 1), Factor!$BQ$5:$BX$51, _xlpm.기본_색인번호, 0),
_xlpm.상태이상탄환생성위치보정치, IF($G52 = "debuff", VLOOKUP($R52, Factor!$K$18:$R$19, _xlpm.기본_색인번호, 0),1),
_xlpm.상태이상탄환형태보정치, IF($G52 = "debuff", VLOOKUP($S52, Factor!$K$24:$R$25, _xlpm.기본_색인번호, 0),1),
_xlpm.가격보정치, INDEX(Factor!$AE$5:$AL$51, _xlfn.XMATCH($F52,Factor!$AE$5:$AE$51, -1), _xlpm.기본_색인번호),
_xlpm.구경보정치, VLOOKUP($D52,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52" s="29" t="e" cm="1">
        <f t="array" ref="AF52">_xlfn.LET(_xlpm.기본_색인번호, 7,
_xlpm.추가_색인번호, 8,
_xlpm.개별보정치, Y52,
_xlpm.패턴보정치, VLOOKUP($G52, Factor!$B$5:$I$51, _xlpm.기본_색인번호, 0),
_xlpm.소모탄환보정치, VLOOKUP($H52, Factor!$T$5:$AA$51, _xlpm.기본_색인번호, 0),
_xlpm.지형보정치, VLOOKUP($I52, Factor!$K$12:$R$13, _xlpm.기본_색인번호, 0),
_xlpm.공격속성보정치, VLOOKUP($J52, Factor!$K$5:$R$7, _xlpm.기본_색인번호, 0),
_xlpm.피해범위보정치, INDEX(Factor!$AN$5:$AV$51, _xlfn.XMATCH(IF(OR($G52="blast", $G52="curved",  $G52= "debuff"), $L52, 0), Factor!$AN$5:$AN$51, -1), _xlpm.추가_색인번호)-IF(AND(OR($G52="blast", $G52="curved", $G52= "debuff"), MOD($L52,1)&lt;&gt;0),INDEX(Factor!$AN$5:$AV$51, _xlfn.XMATCH(IF(OR($G52="blast", $G52="curved", $G52= "debuff"), $L52, 0), Factor!$AN$5:$AN$51, -1), 2)*MOD($L52,1)*10,0),
_xlpm.상태이상보정치, VLOOKUP(IF($G52 = "debuff", $M52, "null"), Factor!$AX$5:$BE$51, _xlpm.기본_색인번호, 0),
_xlpm.지속시간보정치, INDEX(Factor!$BG$5:$BO$51, _xlfn.XMATCH(IF(OR($G52 ="debuff", $G52 = "shot", $G52 = "pierce"), $O52, 0), Factor!$BG$5:$BG$51, -1), _xlpm.추가_색인번호)-IF(AND(OR($G52 ="debuff", $G52 = "shot", $G52 = "pierce"), MOD($O52, 1)&lt;&gt;0), 10*MOD($O52, 1)*INDEX(Factor!$BG$5:$BO$51, _xlfn.XMATCH(IF(OR($G52 ="debuff", $G52 = "shot", $G52 = "pierce"), $O52, 0), Factor!$BG$5:$BG$51, -1), 2), 0),
_xlpm.탄환개수보정치, VLOOKUP(IF(OR($G52 = "curved", $G52 = "shot"), $Q52, 1), Factor!$BQ$5:$BX$51, _xlpm.기본_색인번호, 0),
_xlpm.상태이상탄환생성위치보정치, IF($G52 = "debuff", VLOOKUP($R52, Factor!$K$18:$R$19, _xlpm.기본_색인번호, 0),1),
_xlpm.상태이상탄환형태보정치, IF($G52 = "debuff", VLOOKUP($S52, Factor!$K$24:$R$25, _xlpm.기본_색인번호, 0),1),
_xlpm.가격보정치, INDEX(Factor!$AE$5:$AL$51, _xlfn.XMATCH($F52,Factor!$AE$5:$AE$51, -1), _xlpm.기본_색인번호),
_xlpm.구경보정치, VLOOKUP($D52,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52" s="30" t="e" cm="1">
        <f t="array" ref="AG52">_xlfn.LET(_xlpm.기본_색인번호, 8,
_xlpm.추가_색인번호, 9,
_xlpm.개별보정치, Z52,
_xlpm.패턴보정치, VLOOKUP($G52, Factor!$B$5:$I$51, _xlpm.기본_색인번호, 0),
_xlpm.소모탄환보정치, VLOOKUP($H52, Factor!$T$5:$AA$51, _xlpm.기본_색인번호, 0),
_xlpm.지형보정치, VLOOKUP($I52, Factor!$K$12:$R$13, _xlpm.기본_색인번호, 0),
_xlpm.공격속성보정치, VLOOKUP($J52, Factor!$K$5:$R$7, _xlpm.기본_색인번호, 0),
_xlpm.피해범위보정치, INDEX(Factor!$AN$5:$AV$51, _xlfn.XMATCH(IF(OR($G52="blast", $G52="curved",  $G52= "debuff"), $L52, 0), Factor!$AN$5:$AN$51, -1), _xlpm.추가_색인번호)-IF(AND(OR($G52="blast", $G52="curved", $G52= "debuff"), MOD($L52,1)&lt;&gt;0),INDEX(Factor!$AN$5:$AV$51, _xlfn.XMATCH(IF(OR($G52="blast", $G52="curved", $G52= "debuff"), $L52, 0), Factor!$AN$5:$AN$51, -1), 2)*MOD($L52,1)*10,0),
_xlpm.상태이상보정치, VLOOKUP(IF($G52 = "debuff", $M52, "null"), Factor!$AX$5:$BE$51, _xlpm.기본_색인번호, 0),
_xlpm.지속시간보정치, INDEX(Factor!$BG$5:$BO$51, _xlfn.XMATCH(IF(OR($G52 ="debuff", $G52 = "shot", $G52 = "pierce"), $O52, 0), Factor!$BG$5:$BG$51, -1), _xlpm.추가_색인번호)-IF(AND(OR($G52 ="debuff", $G52 = "shot", $G52 = "pierce"), MOD($O52, 1)&lt;&gt;0), 10*MOD($O52, 1)*INDEX(Factor!$BG$5:$BO$51, _xlfn.XMATCH(IF(OR($G52 ="debuff", $G52 = "shot", $G52 = "pierce"), $O52, 0), Factor!$BG$5:$BG$51, -1), 2), 0),
_xlpm.탄환개수보정치, VLOOKUP(IF(OR($G52 = "curved", $G52 = "shot"), $Q52, 1), Factor!$BQ$5:$BX$51, _xlpm.기본_색인번호, 0),
_xlpm.상태이상탄환생성위치보정치, IF($G52 = "debuff", VLOOKUP($R52, Factor!$K$18:$R$19, _xlpm.기본_색인번호, 0),1),
_xlpm.상태이상탄환형태보정치, IF($G52 = "debuff", VLOOKUP($S52, Factor!$K$24:$R$25, _xlpm.기본_색인번호, 0),1),
_xlpm.가격보정치, INDEX(Factor!$AE$5:$AL$51, _xlfn.XMATCH($F52,Factor!$AE$5:$AE$51, -1), _xlpm.기본_색인번호),
_xlpm.구경보정치, VLOOKUP($D52,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52"/>
      <c r="AI52"/>
      <c r="AJ52"/>
      <c r="AK52"/>
      <c r="AL52"/>
      <c r="AM52"/>
      <c r="AN52"/>
    </row>
    <row r="53" spans="1:40" ht="15.75" customHeight="1">
      <c r="A53" s="24" t="e">
        <f>"weapon_"&amp;G53&amp;"_"&amp;VLOOKUP(H53, Factor!$T$5:$AB$7, 9, 0)&amp;"_"&amp;IF(COUNTIFS($G$4:G52, G53, $H$4:H52, H53)+1&gt;=100, COUNTIFS($G$4:G52, G53, $H$4:H52, H53)+1,IF(COUNTIFS($G$4:G52, G53, $H$4:H52, H53)+1&gt;=10, "0"&amp;COUNTIFS($G$4:G52, G53, $H$4:H52, H53)+1, "00"&amp;COUNTIFS($G$4:G52, G53, $H$4:H52, H53)+1))</f>
        <v>#N/A</v>
      </c>
      <c r="B53" s="36" t="str">
        <f t="shared" si="0"/>
        <v xml:space="preserve"> </v>
      </c>
      <c r="C53" s="36"/>
      <c r="D53" s="36"/>
      <c r="E53" s="36"/>
      <c r="F53" s="25" t="e">
        <f>VLOOKUP(C53, Factor!$AD$5:$AE$15, 2, 0)</f>
        <v>#N/A</v>
      </c>
      <c r="G53" s="26" t="e">
        <f>VLOOKUP(E53, Factor!$CL$5:$CV$50, 2, 0)</f>
        <v>#N/A</v>
      </c>
      <c r="H53" s="25" t="e">
        <f>VLOOKUP(E53, Factor!$CL$5:$CV$50, 3, 0)</f>
        <v>#N/A</v>
      </c>
      <c r="I53" s="25" t="e">
        <f>VLOOKUP(E53, Factor!$CL$5:$CV$50, 4, 0)</f>
        <v>#N/A</v>
      </c>
      <c r="J53" s="25" t="e">
        <f>VLOOKUP(E53, Factor!$CL$5:$CV$50, 5, 0)</f>
        <v>#N/A</v>
      </c>
      <c r="K53" s="25">
        <v>1</v>
      </c>
      <c r="L53" s="25" t="e">
        <f>VLOOKUP(E53, Factor!$CL$5:$CV$50, 6, 0)*K53*VLOOKUP(D53, Factor!$BZ$5:$CJ$49, 9, 0)</f>
        <v>#N/A</v>
      </c>
      <c r="M53" s="25" t="e">
        <f>VLOOKUP(E53, Factor!$CL$5:$CV$50, 7, 0)</f>
        <v>#N/A</v>
      </c>
      <c r="N53" s="25">
        <v>1</v>
      </c>
      <c r="O53" s="25" t="e">
        <f>VLOOKUP(E53, Factor!$CL$5:$CV$50, 8, 0)*N53*VLOOKUP(D53, Factor!$BZ$5:$CJ$49, 10, 0)</f>
        <v>#N/A</v>
      </c>
      <c r="P53" s="25">
        <v>1</v>
      </c>
      <c r="Q53" s="25" t="e">
        <f>VLOOKUP(E53, Factor!$CL$5:$CV$50, 9, 0)*P53*VLOOKUP(D53, Factor!$BZ$5:$CJ$49, 11, 0)</f>
        <v>#N/A</v>
      </c>
      <c r="R53" s="25" t="e">
        <f>VLOOKUP(E53, Factor!$CL$5:$CV$50, 10, 0)</f>
        <v>#N/A</v>
      </c>
      <c r="S53" s="25" t="e">
        <f>VLOOKUP(E53, Factor!$CL$5:$CV$50, 11, 0)</f>
        <v>#N/A</v>
      </c>
      <c r="T53" s="25">
        <v>1</v>
      </c>
      <c r="U53" s="25">
        <v>1</v>
      </c>
      <c r="V53" s="25">
        <v>1</v>
      </c>
      <c r="W53" s="25">
        <v>1</v>
      </c>
      <c r="X53" s="25">
        <v>1</v>
      </c>
      <c r="Y53" s="25">
        <v>1</v>
      </c>
      <c r="Z53" s="25">
        <v>1</v>
      </c>
      <c r="AA53" s="25" t="e" cm="1">
        <f t="array" ref="AA53">_xlfn.LET(_xlpm.기본_색인번호, 2,
_xlpm.추가_색인번호, 3,
_xlpm.개별보정치, T53,
_xlpm.패턴보정치, VLOOKUP($G53, Factor!$B$5:$I$51, _xlpm.기본_색인번호, 0),
_xlpm.소모탄환보정치, VLOOKUP($H53, Factor!$T$5:$AA$51, _xlpm.기본_색인번호, 0),
_xlpm.지형보정치, VLOOKUP($I53, Factor!$K$12:$R$13, _xlpm.기본_색인번호, 0),
_xlpm.공격속성보정치, VLOOKUP($J53, Factor!$K$5:$R$7, _xlpm.기본_색인번호, 0),
_xlpm.피해범위보정치, INDEX(Factor!$AN$5:$AV$51, _xlfn.XMATCH(IF(OR($G53="blast", $G53="curved",  $G53= "debuff"), $L53, 0), Factor!$AN$5:$AN$51, -1), _xlpm.추가_색인번호)-IF(AND(OR($G53="blast", $G53="curved", $G53= "debuff"), MOD($L53,1)&lt;&gt;0),INDEX(Factor!$AN$5:$AV$51, _xlfn.XMATCH(IF(OR($G53="blast", $G53="curved", $G53= "debuff"), $L53, 0), Factor!$AN$5:$AN$51, -1), 2)*MOD($L53,1)*10,0),
_xlpm.상태이상보정치, VLOOKUP(IF($G53 = "debuff", $M53, "null"), Factor!$AX$5:$BE$51, _xlpm.기본_색인번호, 0),
_xlpm.지속시간보정치, INDEX(Factor!$BG$5:$BO$51, _xlfn.XMATCH(IF(OR($G53 ="debuff", $G53 = "shot", $G53 = "pierce"), $O53, 0), Factor!$BG$5:$BG$51, -1), _xlpm.추가_색인번호)-IF(AND(OR($G53 ="debuff", $G53 = "shot", $G53 = "pierce"), MOD($O53, 1)&lt;&gt;0), 10*MOD($O53, 1)*INDEX(Factor!$BG$5:$BO$51, _xlfn.XMATCH(IF(OR($G53 ="debuff", $G53 = "shot", $G53 = "pierce"), $O53, 0), Factor!$BG$5:$BG$51, -1), 2), 0),
_xlpm.탄환개수보정치, VLOOKUP(IF(OR($G53 = "curved", $G53 = "shot"), $Q53, 1), Factor!$BQ$5:$BX$51, _xlpm.기본_색인번호, 0),
_xlpm.상태이상탄환생성위치보정치, IF($G53 = "debuff", VLOOKUP($R53, Factor!$K$18:$R$19, _xlpm.기본_색인번호, 0),1),
_xlpm.상태이상탄환형태보정치, IF($G53 = "debuff", VLOOKUP($S53, Factor!$K$24:$R$25, _xlpm.기본_색인번호, 0),1),
_xlpm.가격보정치, INDEX(Factor!$AE$5:$AL$51, _xlfn.XMATCH($F53,Factor!$AE$5:$AE$51, -1), _xlpm.기본_색인번호),
_xlpm.구경보정치, VLOOKUP($D53,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53" s="25" t="e" cm="1">
        <f t="array" ref="AB53">_xlfn.LET(_xlpm.기본_색인번호, 3,
_xlpm.추가_색인번호, 4,
_xlpm.개별보정치, U53,
_xlpm.패턴보정치, VLOOKUP($G53, Factor!$B$5:$I$51, _xlpm.기본_색인번호, 0),
_xlpm.소모탄환보정치, VLOOKUP($H53, Factor!$T$5:$AA$51, _xlpm.기본_색인번호, 0),
_xlpm.지형보정치, VLOOKUP($I53, Factor!$K$12:$R$13, _xlpm.기본_색인번호, 0),
_xlpm.공격속성보정치, VLOOKUP($J53, Factor!$K$5:$R$7, _xlpm.기본_색인번호, 0),
_xlpm.피해범위보정치, INDEX(Factor!$AN$5:$AV$51, _xlfn.XMATCH(IF(OR($G53="blast", $G53="curved",  $G53= "debuff"), $L53, 0), Factor!$AN$5:$AN$51, -1), _xlpm.추가_색인번호)-IF(AND(OR($G53="blast", $G53="curved", $G53= "debuff"), MOD($L53,1)&lt;&gt;0),INDEX(Factor!$AN$5:$AV$51, _xlfn.XMATCH(IF(OR($G53="blast", $G53="curved", $G53= "debuff"), $L53, 0), Factor!$AN$5:$AN$51, -1), 2)*MOD($L53,1)*10,0),
_xlpm.상태이상보정치, VLOOKUP(IF($G53 = "debuff", $M53, "null"), Factor!$AX$5:$BE$51, _xlpm.기본_색인번호, 0),
_xlpm.지속시간보정치, INDEX(Factor!$BG$5:$BO$51, _xlfn.XMATCH(IF(OR($G53 ="debuff", $G53 = "shot", $G53 = "pierce"), $O53, 0), Factor!$BG$5:$BG$51, -1), _xlpm.추가_색인번호)-IF(AND(OR($G53 ="debuff", $G53 = "shot", $G53 = "pierce"), MOD($O53, 1)&lt;&gt;0), 10*MOD($O53, 1)*INDEX(Factor!$BG$5:$BO$51, _xlfn.XMATCH(IF(OR($G53 ="debuff", $G53 = "shot", $G53 = "pierce"), $O53, 0), Factor!$BG$5:$BG$51, -1), 2), 0),
_xlpm.탄환개수보정치, VLOOKUP(IF(OR($G53 = "curved", $G53 = "shot"), $Q53, 1), Factor!$BQ$5:$BX$51, _xlpm.기본_색인번호, 0),
_xlpm.상태이상탄환생성위치보정치, IF($G53 = "debuff", VLOOKUP($R53, Factor!$K$18:$R$19, _xlpm.기본_색인번호, 0),1),
_xlpm.상태이상탄환형태보정치, IF($G53 = "debuff", VLOOKUP($S53, Factor!$K$24:$R$25, _xlpm.기본_색인번호, 0),1),
_xlpm.가격보정치, INDEX(Factor!$AE$5:$AL$51, _xlfn.XMATCH($F53,Factor!$AE$5:$AE$51, -1), _xlpm.기본_색인번호),
_xlpm.구경보정치, VLOOKUP($D53,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53" s="25" t="e" cm="1">
        <f t="array" ref="AC53">_xlfn.LET(_xlpm.기본_색인번호, 4,
_xlpm.추가_색인번호, 5,
_xlpm.개별보정치, V53,
_xlpm.패턴보정치, VLOOKUP($G53, Factor!$B$5:$I$51, _xlpm.기본_색인번호, 0),
_xlpm.소모탄환보정치, VLOOKUP($H53, Factor!$T$5:$AA$51, _xlpm.기본_색인번호, 0),
_xlpm.지형보정치, VLOOKUP($I53, Factor!$K$12:$R$13, _xlpm.기본_색인번호, 0),
_xlpm.공격속성보정치, VLOOKUP($J53, Factor!$K$5:$R$7, _xlpm.기본_색인번호, 0),
_xlpm.피해범위보정치, INDEX(Factor!$AN$5:$AV$51, _xlfn.XMATCH(IF(OR($G53="blast", $G53="curved",  $G53= "debuff"), $L53, 0), Factor!$AN$5:$AN$51, -1), _xlpm.추가_색인번호)-IF(AND(OR($G53="blast", $G53="curved", $G53= "debuff"), MOD($L53,1)&lt;&gt;0),INDEX(Factor!$AN$5:$AV$51, _xlfn.XMATCH(IF(OR($G53="blast", $G53="curved", $G53= "debuff"), $L53, 0), Factor!$AN$5:$AN$51, -1), 2)*MOD($L53,1)*10,0),
_xlpm.상태이상보정치, VLOOKUP(IF($G53 = "debuff", $M53, "null"), Factor!$AX$5:$BE$51, _xlpm.기본_색인번호, 0),
_xlpm.지속시간보정치, INDEX(Factor!$BG$5:$BO$51, _xlfn.XMATCH(IF(OR($G53 ="debuff", $G53 = "shot", $G53 = "pierce"), $O53, 0), Factor!$BG$5:$BG$51, -1), _xlpm.추가_색인번호)-IF(AND(OR($G53 ="debuff", $G53 = "shot", $G53 = "pierce"), MOD($O53, 1)&lt;&gt;0), 10*MOD($O53, 1)*INDEX(Factor!$BG$5:$BO$51, _xlfn.XMATCH(IF(OR($G53 ="debuff", $G53 = "shot", $G53 = "pierce"), $O53, 0), Factor!$BG$5:$BG$51, -1), 2), 0),
_xlpm.탄환개수보정치, VLOOKUP(IF(OR($G53 = "curved", $G53 = "shot"), $Q53, 1), Factor!$BQ$5:$BX$51, _xlpm.기본_색인번호, 0),
_xlpm.상태이상탄환생성위치보정치, IF($G53 = "debuff", VLOOKUP($R53, Factor!$K$18:$R$19, _xlpm.기본_색인번호, 0),1),
_xlpm.상태이상탄환형태보정치, IF($G53 = "debuff", VLOOKUP($S53, Factor!$K$24:$R$25, _xlpm.기본_색인번호, 0),1),
_xlpm.가격보정치, INDEX(Factor!$AE$5:$AL$51, _xlfn.XMATCH($F53,Factor!$AE$5:$AE$51, -1), _xlpm.기본_색인번호),
_xlpm.구경보정치, VLOOKUP($D53,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53" s="25" t="e" cm="1">
        <f t="array" ref="AD53">_xlfn.LET(_xlpm.기본_색인번호, 5,
_xlpm.추가_색인번호, 6,
_xlpm.개별보정치, W53,
_xlpm.패턴보정치, VLOOKUP($G53, Factor!$B$5:$I$51, _xlpm.기본_색인번호, 0),
_xlpm.소모탄환보정치, VLOOKUP($H53, Factor!$T$5:$AA$51, _xlpm.기본_색인번호, 0),
_xlpm.지형보정치, VLOOKUP($I53, Factor!$K$12:$R$13, _xlpm.기본_색인번호, 0),
_xlpm.공격속성보정치, VLOOKUP($J53, Factor!$K$5:$R$7, _xlpm.기본_색인번호, 0),
_xlpm.피해범위보정치, INDEX(Factor!$AN$5:$AV$51, _xlfn.XMATCH(IF(OR($G53="blast", $G53="curved",  $G53= "debuff"), $L53, 0), Factor!$AN$5:$AN$51, -1), _xlpm.추가_색인번호)-IF(AND(OR($G53="blast", $G53="curved", $G53= "debuff"), MOD($L53,1)&lt;&gt;0),INDEX(Factor!$AN$5:$AV$51, _xlfn.XMATCH(IF(OR($G53="blast", $G53="curved", $G53= "debuff"), $L53, 0), Factor!$AN$5:$AN$51, -1), 2)*MOD($L53,1)*10,0),
_xlpm.상태이상보정치, VLOOKUP(IF($G53 = "debuff", $M53, "null"), Factor!$AX$5:$BE$51, _xlpm.기본_색인번호, 0),
_xlpm.지속시간보정치, INDEX(Factor!$BG$5:$BO$51, _xlfn.XMATCH(IF(OR($G53 ="debuff", $G53 = "shot", $G53 = "pierce"), $O53, 0), Factor!$BG$5:$BG$51, -1), _xlpm.추가_색인번호)-IF(AND(OR($G53 ="debuff", $G53 = "shot", $G53 = "pierce"), MOD($O53, 1)&lt;&gt;0), 10*MOD($O53, 1)*INDEX(Factor!$BG$5:$BO$51, _xlfn.XMATCH(IF(OR($G53 ="debuff", $G53 = "shot", $G53 = "pierce"), $O53, 0), Factor!$BG$5:$BG$51, -1), 2), 0),
_xlpm.탄환개수보정치, VLOOKUP(IF(OR($G53 = "curved", $G53 = "shot"), $Q53, 1), Factor!$BQ$5:$BX$51, _xlpm.기본_색인번호, 0),
_xlpm.상태이상탄환생성위치보정치, IF($G53 = "debuff", VLOOKUP($R53, Factor!$K$18:$R$19, _xlpm.기본_색인번호, 0),1),
_xlpm.상태이상탄환형태보정치, IF($G53 = "debuff", VLOOKUP($S53, Factor!$K$24:$R$25, _xlpm.기본_색인번호, 0),1),
_xlpm.가격보정치, INDEX(Factor!$AE$5:$AL$51, _xlfn.XMATCH($F53,Factor!$AE$5:$AE$51, -1), _xlpm.기본_색인번호),
_xlpm.구경보정치, VLOOKUP($D53,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53" s="25" t="e" cm="1">
        <f t="array" ref="AE53">_xlfn.LET(_xlpm.기본_색인번호, 6,
_xlpm.추가_색인번호, 7,
_xlpm.개별보정치, X53,
_xlpm.패턴보정치, VLOOKUP($G53, Factor!$B$5:$I$51, _xlpm.기본_색인번호, 0),
_xlpm.소모탄환보정치, VLOOKUP($H53, Factor!$T$5:$AA$51, _xlpm.기본_색인번호, 0),
_xlpm.지형보정치, VLOOKUP($I53, Factor!$K$12:$R$13, _xlpm.기본_색인번호, 0),
_xlpm.공격속성보정치, VLOOKUP($J53, Factor!$K$5:$R$7, _xlpm.기본_색인번호, 0),
_xlpm.피해범위보정치, INDEX(Factor!$AN$5:$AV$51, _xlfn.XMATCH(IF(OR($G53="blast", $G53="curved",  $G53= "debuff"), $L53, 0), Factor!$AN$5:$AN$51, -1), _xlpm.추가_색인번호)-IF(AND(OR($G53="blast", $G53="curved", $G53= "debuff"), MOD($L53,1)&lt;&gt;0),INDEX(Factor!$AN$5:$AV$51, _xlfn.XMATCH(IF(OR($G53="blast", $G53="curved", $G53= "debuff"), $L53, 0), Factor!$AN$5:$AN$51, -1), 2)*MOD($L53,1)*10,0),
_xlpm.상태이상보정치, VLOOKUP(IF($G53 = "debuff", $M53, "null"), Factor!$AX$5:$BE$51, _xlpm.기본_색인번호, 0),
_xlpm.지속시간보정치, INDEX(Factor!$BG$5:$BO$51, _xlfn.XMATCH(IF(OR($G53 ="debuff", $G53 = "shot", $G53 = "pierce"), $O53, 0), Factor!$BG$5:$BG$51, -1), _xlpm.추가_색인번호)-IF(AND(OR($G53 ="debuff", $G53 = "shot", $G53 = "pierce"), MOD($O53, 1)&lt;&gt;0), 10*MOD($O53, 1)*INDEX(Factor!$BG$5:$BO$51, _xlfn.XMATCH(IF(OR($G53 ="debuff", $G53 = "shot", $G53 = "pierce"), $O53, 0), Factor!$BG$5:$BG$51, -1), 2), 0),
_xlpm.탄환개수보정치, VLOOKUP(IF(OR($G53 = "curved", $G53 = "shot"), $Q53, 1), Factor!$BQ$5:$BX$51, _xlpm.기본_색인번호, 0),
_xlpm.상태이상탄환생성위치보정치, IF($G53 = "debuff", VLOOKUP($R53, Factor!$K$18:$R$19, _xlpm.기본_색인번호, 0),1),
_xlpm.상태이상탄환형태보정치, IF($G53 = "debuff", VLOOKUP($S53, Factor!$K$24:$R$25, _xlpm.기본_색인번호, 0),1),
_xlpm.가격보정치, INDEX(Factor!$AE$5:$AL$51, _xlfn.XMATCH($F53,Factor!$AE$5:$AE$51, -1), _xlpm.기본_색인번호),
_xlpm.구경보정치, VLOOKUP($D53,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53" s="25" t="e" cm="1">
        <f t="array" ref="AF53">_xlfn.LET(_xlpm.기본_색인번호, 7,
_xlpm.추가_색인번호, 8,
_xlpm.개별보정치, Y53,
_xlpm.패턴보정치, VLOOKUP($G53, Factor!$B$5:$I$51, _xlpm.기본_색인번호, 0),
_xlpm.소모탄환보정치, VLOOKUP($H53, Factor!$T$5:$AA$51, _xlpm.기본_색인번호, 0),
_xlpm.지형보정치, VLOOKUP($I53, Factor!$K$12:$R$13, _xlpm.기본_색인번호, 0),
_xlpm.공격속성보정치, VLOOKUP($J53, Factor!$K$5:$R$7, _xlpm.기본_색인번호, 0),
_xlpm.피해범위보정치, INDEX(Factor!$AN$5:$AV$51, _xlfn.XMATCH(IF(OR($G53="blast", $G53="curved",  $G53= "debuff"), $L53, 0), Factor!$AN$5:$AN$51, -1), _xlpm.추가_색인번호)-IF(AND(OR($G53="blast", $G53="curved", $G53= "debuff"), MOD($L53,1)&lt;&gt;0),INDEX(Factor!$AN$5:$AV$51, _xlfn.XMATCH(IF(OR($G53="blast", $G53="curved", $G53= "debuff"), $L53, 0), Factor!$AN$5:$AN$51, -1), 2)*MOD($L53,1)*10,0),
_xlpm.상태이상보정치, VLOOKUP(IF($G53 = "debuff", $M53, "null"), Factor!$AX$5:$BE$51, _xlpm.기본_색인번호, 0),
_xlpm.지속시간보정치, INDEX(Factor!$BG$5:$BO$51, _xlfn.XMATCH(IF(OR($G53 ="debuff", $G53 = "shot", $G53 = "pierce"), $O53, 0), Factor!$BG$5:$BG$51, -1), _xlpm.추가_색인번호)-IF(AND(OR($G53 ="debuff", $G53 = "shot", $G53 = "pierce"), MOD($O53, 1)&lt;&gt;0), 10*MOD($O53, 1)*INDEX(Factor!$BG$5:$BO$51, _xlfn.XMATCH(IF(OR($G53 ="debuff", $G53 = "shot", $G53 = "pierce"), $O53, 0), Factor!$BG$5:$BG$51, -1), 2), 0),
_xlpm.탄환개수보정치, VLOOKUP(IF(OR($G53 = "curved", $G53 = "shot"), $Q53, 1), Factor!$BQ$5:$BX$51, _xlpm.기본_색인번호, 0),
_xlpm.상태이상탄환생성위치보정치, IF($G53 = "debuff", VLOOKUP($R53, Factor!$K$18:$R$19, _xlpm.기본_색인번호, 0),1),
_xlpm.상태이상탄환형태보정치, IF($G53 = "debuff", VLOOKUP($S53, Factor!$K$24:$R$25, _xlpm.기본_색인번호, 0),1),
_xlpm.가격보정치, INDEX(Factor!$AE$5:$AL$51, _xlfn.XMATCH($F53,Factor!$AE$5:$AE$51, -1), _xlpm.기본_색인번호),
_xlpm.구경보정치, VLOOKUP($D53,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53" s="27" t="e" cm="1">
        <f t="array" ref="AG53">_xlfn.LET(_xlpm.기본_색인번호, 8,
_xlpm.추가_색인번호, 9,
_xlpm.개별보정치, Z53,
_xlpm.패턴보정치, VLOOKUP($G53, Factor!$B$5:$I$51, _xlpm.기본_색인번호, 0),
_xlpm.소모탄환보정치, VLOOKUP($H53, Factor!$T$5:$AA$51, _xlpm.기본_색인번호, 0),
_xlpm.지형보정치, VLOOKUP($I53, Factor!$K$12:$R$13, _xlpm.기본_색인번호, 0),
_xlpm.공격속성보정치, VLOOKUP($J53, Factor!$K$5:$R$7, _xlpm.기본_색인번호, 0),
_xlpm.피해범위보정치, INDEX(Factor!$AN$5:$AV$51, _xlfn.XMATCH(IF(OR($G53="blast", $G53="curved",  $G53= "debuff"), $L53, 0), Factor!$AN$5:$AN$51, -1), _xlpm.추가_색인번호)-IF(AND(OR($G53="blast", $G53="curved", $G53= "debuff"), MOD($L53,1)&lt;&gt;0),INDEX(Factor!$AN$5:$AV$51, _xlfn.XMATCH(IF(OR($G53="blast", $G53="curved", $G53= "debuff"), $L53, 0), Factor!$AN$5:$AN$51, -1), 2)*MOD($L53,1)*10,0),
_xlpm.상태이상보정치, VLOOKUP(IF($G53 = "debuff", $M53, "null"), Factor!$AX$5:$BE$51, _xlpm.기본_색인번호, 0),
_xlpm.지속시간보정치, INDEX(Factor!$BG$5:$BO$51, _xlfn.XMATCH(IF(OR($G53 ="debuff", $G53 = "shot", $G53 = "pierce"), $O53, 0), Factor!$BG$5:$BG$51, -1), _xlpm.추가_색인번호)-IF(AND(OR($G53 ="debuff", $G53 = "shot", $G53 = "pierce"), MOD($O53, 1)&lt;&gt;0), 10*MOD($O53, 1)*INDEX(Factor!$BG$5:$BO$51, _xlfn.XMATCH(IF(OR($G53 ="debuff", $G53 = "shot", $G53 = "pierce"), $O53, 0), Factor!$BG$5:$BG$51, -1), 2), 0),
_xlpm.탄환개수보정치, VLOOKUP(IF(OR($G53 = "curved", $G53 = "shot"), $Q53, 1), Factor!$BQ$5:$BX$51, _xlpm.기본_색인번호, 0),
_xlpm.상태이상탄환생성위치보정치, IF($G53 = "debuff", VLOOKUP($R53, Factor!$K$18:$R$19, _xlpm.기본_색인번호, 0),1),
_xlpm.상태이상탄환형태보정치, IF($G53 = "debuff", VLOOKUP($S53, Factor!$K$24:$R$25, _xlpm.기본_색인번호, 0),1),
_xlpm.가격보정치, INDEX(Factor!$AE$5:$AL$51, _xlfn.XMATCH($F53,Factor!$AE$5:$AE$51, -1), _xlpm.기본_색인번호),
_xlpm.구경보정치, VLOOKUP($D53,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53"/>
      <c r="AI53"/>
      <c r="AJ53"/>
      <c r="AK53"/>
      <c r="AL53"/>
      <c r="AM53"/>
      <c r="AN53"/>
    </row>
    <row r="54" spans="1:40" ht="15.75" customHeight="1">
      <c r="A54" s="28" t="e">
        <f>"weapon_"&amp;G54&amp;"_"&amp;VLOOKUP(H54, Factor!$T$5:$AB$7, 9, 0)&amp;"_"&amp;IF(COUNTIFS($G$4:G53, G54, $H$4:H53, H54)+1&gt;=100, COUNTIFS($G$4:G53, G54, $H$4:H53, H54)+1,IF(COUNTIFS($G$4:G53, G54, $H$4:H53, H54)+1&gt;=10, "0"&amp;COUNTIFS($G$4:G53, G54, $H$4:H53, H54)+1, "00"&amp;COUNTIFS($G$4:G53, G54, $H$4:H53, H54)+1))</f>
        <v>#N/A</v>
      </c>
      <c r="B54" s="37" t="str">
        <f t="shared" si="0"/>
        <v xml:space="preserve"> </v>
      </c>
      <c r="C54" s="37"/>
      <c r="D54" s="37"/>
      <c r="E54" s="37"/>
      <c r="F54" s="29" t="e">
        <f>VLOOKUP(C54, Factor!$AD$5:$AE$15, 2, 0)</f>
        <v>#N/A</v>
      </c>
      <c r="G54" s="29" t="e">
        <f>VLOOKUP(E54, Factor!$CL$5:$CV$50, 2, 0)</f>
        <v>#N/A</v>
      </c>
      <c r="H54" s="29" t="e">
        <f>VLOOKUP(E54, Factor!$CL$5:$CV$50, 3, 0)</f>
        <v>#N/A</v>
      </c>
      <c r="I54" s="29" t="e">
        <f>VLOOKUP(E54, Factor!$CL$5:$CV$50, 4, 0)</f>
        <v>#N/A</v>
      </c>
      <c r="J54" s="29" t="e">
        <f>VLOOKUP(E54, Factor!$CL$5:$CV$50, 5, 0)</f>
        <v>#N/A</v>
      </c>
      <c r="K54" s="29">
        <v>1</v>
      </c>
      <c r="L54" s="29" t="e">
        <f>VLOOKUP(E54, Factor!$CL$5:$CV$50, 6, 0)*K54*VLOOKUP(D54, Factor!$BZ$5:$CJ$49, 9, 0)</f>
        <v>#N/A</v>
      </c>
      <c r="M54" s="29" t="e">
        <f>VLOOKUP(E54, Factor!$CL$5:$CV$50, 7, 0)</f>
        <v>#N/A</v>
      </c>
      <c r="N54" s="29">
        <v>1</v>
      </c>
      <c r="O54" s="29" t="e">
        <f>VLOOKUP(E54, Factor!$CL$5:$CV$50, 8, 0)*N54*VLOOKUP(D54, Factor!$BZ$5:$CJ$49, 10, 0)</f>
        <v>#N/A</v>
      </c>
      <c r="P54" s="29">
        <v>1</v>
      </c>
      <c r="Q54" s="29" t="e">
        <f>VLOOKUP(E54, Factor!$CL$5:$CV$50, 9, 0)*P54*VLOOKUP(D54, Factor!$BZ$5:$CJ$49, 11, 0)</f>
        <v>#N/A</v>
      </c>
      <c r="R54" s="29" t="e">
        <f>VLOOKUP(E54, Factor!$CL$5:$CV$50, 10, 0)</f>
        <v>#N/A</v>
      </c>
      <c r="S54" s="29" t="e">
        <f>VLOOKUP(E54, Factor!$CL$5:$CV$50, 11, 0)</f>
        <v>#N/A</v>
      </c>
      <c r="T54" s="29">
        <v>1</v>
      </c>
      <c r="U54" s="29">
        <v>1</v>
      </c>
      <c r="V54" s="29">
        <v>1</v>
      </c>
      <c r="W54" s="29">
        <v>1</v>
      </c>
      <c r="X54" s="29">
        <v>1</v>
      </c>
      <c r="Y54" s="29">
        <v>1</v>
      </c>
      <c r="Z54" s="29">
        <v>1</v>
      </c>
      <c r="AA54" s="29" t="e" cm="1">
        <f t="array" ref="AA54">_xlfn.LET(_xlpm.기본_색인번호, 2,
_xlpm.추가_색인번호, 3,
_xlpm.개별보정치, T54,
_xlpm.패턴보정치, VLOOKUP($G54, Factor!$B$5:$I$51, _xlpm.기본_색인번호, 0),
_xlpm.소모탄환보정치, VLOOKUP($H54, Factor!$T$5:$AA$51, _xlpm.기본_색인번호, 0),
_xlpm.지형보정치, VLOOKUP($I54, Factor!$K$12:$R$13, _xlpm.기본_색인번호, 0),
_xlpm.공격속성보정치, VLOOKUP($J54, Factor!$K$5:$R$7, _xlpm.기본_색인번호, 0),
_xlpm.피해범위보정치, INDEX(Factor!$AN$5:$AV$51, _xlfn.XMATCH(IF(OR($G54="blast", $G54="curved",  $G54= "debuff"), $L54, 0), Factor!$AN$5:$AN$51, -1), _xlpm.추가_색인번호)-IF(AND(OR($G54="blast", $G54="curved", $G54= "debuff"), MOD($L54,1)&lt;&gt;0),INDEX(Factor!$AN$5:$AV$51, _xlfn.XMATCH(IF(OR($G54="blast", $G54="curved", $G54= "debuff"), $L54, 0), Factor!$AN$5:$AN$51, -1), 2)*MOD($L54,1)*10,0),
_xlpm.상태이상보정치, VLOOKUP(IF($G54 = "debuff", $M54, "null"), Factor!$AX$5:$BE$51, _xlpm.기본_색인번호, 0),
_xlpm.지속시간보정치, INDEX(Factor!$BG$5:$BO$51, _xlfn.XMATCH(IF(OR($G54 ="debuff", $G54 = "shot", $G54 = "pierce"), $O54, 0), Factor!$BG$5:$BG$51, -1), _xlpm.추가_색인번호)-IF(AND(OR($G54 ="debuff", $G54 = "shot", $G54 = "pierce"), MOD($O54, 1)&lt;&gt;0), 10*MOD($O54, 1)*INDEX(Factor!$BG$5:$BO$51, _xlfn.XMATCH(IF(OR($G54 ="debuff", $G54 = "shot", $G54 = "pierce"), $O54, 0), Factor!$BG$5:$BG$51, -1), 2), 0),
_xlpm.탄환개수보정치, VLOOKUP(IF(OR($G54 = "curved", $G54 = "shot"), $Q54, 1), Factor!$BQ$5:$BX$51, _xlpm.기본_색인번호, 0),
_xlpm.상태이상탄환생성위치보정치, IF($G54 = "debuff", VLOOKUP($R54, Factor!$K$18:$R$19, _xlpm.기본_색인번호, 0),1),
_xlpm.상태이상탄환형태보정치, IF($G54 = "debuff", VLOOKUP($S54, Factor!$K$24:$R$25, _xlpm.기본_색인번호, 0),1),
_xlpm.가격보정치, INDEX(Factor!$AE$5:$AL$51, _xlfn.XMATCH($F54,Factor!$AE$5:$AE$51, -1), _xlpm.기본_색인번호),
_xlpm.구경보정치, VLOOKUP($D54,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B54" s="29" t="e" cm="1">
        <f t="array" ref="AB54">_xlfn.LET(_xlpm.기본_색인번호, 3,
_xlpm.추가_색인번호, 4,
_xlpm.개별보정치, U54,
_xlpm.패턴보정치, VLOOKUP($G54, Factor!$B$5:$I$51, _xlpm.기본_색인번호, 0),
_xlpm.소모탄환보정치, VLOOKUP($H54, Factor!$T$5:$AA$51, _xlpm.기본_색인번호, 0),
_xlpm.지형보정치, VLOOKUP($I54, Factor!$K$12:$R$13, _xlpm.기본_색인번호, 0),
_xlpm.공격속성보정치, VLOOKUP($J54, Factor!$K$5:$R$7, _xlpm.기본_색인번호, 0),
_xlpm.피해범위보정치, INDEX(Factor!$AN$5:$AV$51, _xlfn.XMATCH(IF(OR($G54="blast", $G54="curved",  $G54= "debuff"), $L54, 0), Factor!$AN$5:$AN$51, -1), _xlpm.추가_색인번호)-IF(AND(OR($G54="blast", $G54="curved", $G54= "debuff"), MOD($L54,1)&lt;&gt;0),INDEX(Factor!$AN$5:$AV$51, _xlfn.XMATCH(IF(OR($G54="blast", $G54="curved", $G54= "debuff"), $L54, 0), Factor!$AN$5:$AN$51, -1), 2)*MOD($L54,1)*10,0),
_xlpm.상태이상보정치, VLOOKUP(IF($G54 = "debuff", $M54, "null"), Factor!$AX$5:$BE$51, _xlpm.기본_색인번호, 0),
_xlpm.지속시간보정치, INDEX(Factor!$BG$5:$BO$51, _xlfn.XMATCH(IF(OR($G54 ="debuff", $G54 = "shot", $G54 = "pierce"), $O54, 0), Factor!$BG$5:$BG$51, -1), _xlpm.추가_색인번호)-IF(AND(OR($G54 ="debuff", $G54 = "shot", $G54 = "pierce"), MOD($O54, 1)&lt;&gt;0), 10*MOD($O54, 1)*INDEX(Factor!$BG$5:$BO$51, _xlfn.XMATCH(IF(OR($G54 ="debuff", $G54 = "shot", $G54 = "pierce"), $O54, 0), Factor!$BG$5:$BG$51, -1), 2), 0),
_xlpm.탄환개수보정치, VLOOKUP(IF(OR($G54 = "curved", $G54 = "shot"), $Q54, 1), Factor!$BQ$5:$BX$51, _xlpm.기본_색인번호, 0),
_xlpm.상태이상탄환생성위치보정치, IF($G54 = "debuff", VLOOKUP($R54, Factor!$K$18:$R$19, _xlpm.기본_색인번호, 0),1),
_xlpm.상태이상탄환형태보정치, IF($G54 = "debuff", VLOOKUP($S54, Factor!$K$24:$R$25, _xlpm.기본_색인번호, 0),1),
_xlpm.가격보정치, INDEX(Factor!$AE$5:$AL$51, _xlfn.XMATCH($F54,Factor!$AE$5:$AE$51, -1), _xlpm.기본_색인번호),
_xlpm.구경보정치, VLOOKUP($D54,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C54" s="29" t="e" cm="1">
        <f t="array" ref="AC54">_xlfn.LET(_xlpm.기본_색인번호, 4,
_xlpm.추가_색인번호, 5,
_xlpm.개별보정치, V54,
_xlpm.패턴보정치, VLOOKUP($G54, Factor!$B$5:$I$51, _xlpm.기본_색인번호, 0),
_xlpm.소모탄환보정치, VLOOKUP($H54, Factor!$T$5:$AA$51, _xlpm.기본_색인번호, 0),
_xlpm.지형보정치, VLOOKUP($I54, Factor!$K$12:$R$13, _xlpm.기본_색인번호, 0),
_xlpm.공격속성보정치, VLOOKUP($J54, Factor!$K$5:$R$7, _xlpm.기본_색인번호, 0),
_xlpm.피해범위보정치, INDEX(Factor!$AN$5:$AV$51, _xlfn.XMATCH(IF(OR($G54="blast", $G54="curved",  $G54= "debuff"), $L54, 0), Factor!$AN$5:$AN$51, -1), _xlpm.추가_색인번호)-IF(AND(OR($G54="blast", $G54="curved", $G54= "debuff"), MOD($L54,1)&lt;&gt;0),INDEX(Factor!$AN$5:$AV$51, _xlfn.XMATCH(IF(OR($G54="blast", $G54="curved", $G54= "debuff"), $L54, 0), Factor!$AN$5:$AN$51, -1), 2)*MOD($L54,1)*10,0),
_xlpm.상태이상보정치, VLOOKUP(IF($G54 = "debuff", $M54, "null"), Factor!$AX$5:$BE$51, _xlpm.기본_색인번호, 0),
_xlpm.지속시간보정치, INDEX(Factor!$BG$5:$BO$51, _xlfn.XMATCH(IF(OR($G54 ="debuff", $G54 = "shot", $G54 = "pierce"), $O54, 0), Factor!$BG$5:$BG$51, -1), _xlpm.추가_색인번호)-IF(AND(OR($G54 ="debuff", $G54 = "shot", $G54 = "pierce"), MOD($O54, 1)&lt;&gt;0), 10*MOD($O54, 1)*INDEX(Factor!$BG$5:$BO$51, _xlfn.XMATCH(IF(OR($G54 ="debuff", $G54 = "shot", $G54 = "pierce"), $O54, 0), Factor!$BG$5:$BG$51, -1), 2), 0),
_xlpm.탄환개수보정치, VLOOKUP(IF(OR($G54 = "curved", $G54 = "shot"), $Q54, 1), Factor!$BQ$5:$BX$51, _xlpm.기본_색인번호, 0),
_xlpm.상태이상탄환생성위치보정치, IF($G54 = "debuff", VLOOKUP($R54, Factor!$K$18:$R$19, _xlpm.기본_색인번호, 0),1),
_xlpm.상태이상탄환형태보정치, IF($G54 = "debuff", VLOOKUP($S54, Factor!$K$24:$R$25, _xlpm.기본_색인번호, 0),1),
_xlpm.가격보정치, INDEX(Factor!$AE$5:$AL$51, _xlfn.XMATCH($F54,Factor!$AE$5:$AE$51, -1), _xlpm.기본_색인번호),
_xlpm.구경보정치, VLOOKUP($D54,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D54" s="29" t="e" cm="1">
        <f t="array" ref="AD54">_xlfn.LET(_xlpm.기본_색인번호, 5,
_xlpm.추가_색인번호, 6,
_xlpm.개별보정치, W54,
_xlpm.패턴보정치, VLOOKUP($G54, Factor!$B$5:$I$51, _xlpm.기본_색인번호, 0),
_xlpm.소모탄환보정치, VLOOKUP($H54, Factor!$T$5:$AA$51, _xlpm.기본_색인번호, 0),
_xlpm.지형보정치, VLOOKUP($I54, Factor!$K$12:$R$13, _xlpm.기본_색인번호, 0),
_xlpm.공격속성보정치, VLOOKUP($J54, Factor!$K$5:$R$7, _xlpm.기본_색인번호, 0),
_xlpm.피해범위보정치, INDEX(Factor!$AN$5:$AV$51, _xlfn.XMATCH(IF(OR($G54="blast", $G54="curved",  $G54= "debuff"), $L54, 0), Factor!$AN$5:$AN$51, -1), _xlpm.추가_색인번호)-IF(AND(OR($G54="blast", $G54="curved", $G54= "debuff"), MOD($L54,1)&lt;&gt;0),INDEX(Factor!$AN$5:$AV$51, _xlfn.XMATCH(IF(OR($G54="blast", $G54="curved", $G54= "debuff"), $L54, 0), Factor!$AN$5:$AN$51, -1), 2)*MOD($L54,1)*10,0),
_xlpm.상태이상보정치, VLOOKUP(IF($G54 = "debuff", $M54, "null"), Factor!$AX$5:$BE$51, _xlpm.기본_색인번호, 0),
_xlpm.지속시간보정치, INDEX(Factor!$BG$5:$BO$51, _xlfn.XMATCH(IF(OR($G54 ="debuff", $G54 = "shot", $G54 = "pierce"), $O54, 0), Factor!$BG$5:$BG$51, -1), _xlpm.추가_색인번호)-IF(AND(OR($G54 ="debuff", $G54 = "shot", $G54 = "pierce"), MOD($O54, 1)&lt;&gt;0), 10*MOD($O54, 1)*INDEX(Factor!$BG$5:$BO$51, _xlfn.XMATCH(IF(OR($G54 ="debuff", $G54 = "shot", $G54 = "pierce"), $O54, 0), Factor!$BG$5:$BG$51, -1), 2), 0),
_xlpm.탄환개수보정치, VLOOKUP(IF(OR($G54 = "curved", $G54 = "shot"), $Q54, 1), Factor!$BQ$5:$BX$51, _xlpm.기본_색인번호, 0),
_xlpm.상태이상탄환생성위치보정치, IF($G54 = "debuff", VLOOKUP($R54, Factor!$K$18:$R$19, _xlpm.기본_색인번호, 0),1),
_xlpm.상태이상탄환형태보정치, IF($G54 = "debuff", VLOOKUP($S54, Factor!$K$24:$R$25, _xlpm.기본_색인번호, 0),1),
_xlpm.가격보정치, INDEX(Factor!$AE$5:$AL$51, _xlfn.XMATCH($F54,Factor!$AE$5:$AE$51, -1), _xlpm.기본_색인번호),
_xlpm.구경보정치, VLOOKUP($D54,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E54" s="29" t="e" cm="1">
        <f t="array" ref="AE54">_xlfn.LET(_xlpm.기본_색인번호, 6,
_xlpm.추가_색인번호, 7,
_xlpm.개별보정치, X54,
_xlpm.패턴보정치, VLOOKUP($G54, Factor!$B$5:$I$51, _xlpm.기본_색인번호, 0),
_xlpm.소모탄환보정치, VLOOKUP($H54, Factor!$T$5:$AA$51, _xlpm.기본_색인번호, 0),
_xlpm.지형보정치, VLOOKUP($I54, Factor!$K$12:$R$13, _xlpm.기본_색인번호, 0),
_xlpm.공격속성보정치, VLOOKUP($J54, Factor!$K$5:$R$7, _xlpm.기본_색인번호, 0),
_xlpm.피해범위보정치, INDEX(Factor!$AN$5:$AV$51, _xlfn.XMATCH(IF(OR($G54="blast", $G54="curved",  $G54= "debuff"), $L54, 0), Factor!$AN$5:$AN$51, -1), _xlpm.추가_색인번호)-IF(AND(OR($G54="blast", $G54="curved", $G54= "debuff"), MOD($L54,1)&lt;&gt;0),INDEX(Factor!$AN$5:$AV$51, _xlfn.XMATCH(IF(OR($G54="blast", $G54="curved", $G54= "debuff"), $L54, 0), Factor!$AN$5:$AN$51, -1), 2)*MOD($L54,1)*10,0),
_xlpm.상태이상보정치, VLOOKUP(IF($G54 = "debuff", $M54, "null"), Factor!$AX$5:$BE$51, _xlpm.기본_색인번호, 0),
_xlpm.지속시간보정치, INDEX(Factor!$BG$5:$BO$51, _xlfn.XMATCH(IF(OR($G54 ="debuff", $G54 = "shot", $G54 = "pierce"), $O54, 0), Factor!$BG$5:$BG$51, -1), _xlpm.추가_색인번호)-IF(AND(OR($G54 ="debuff", $G54 = "shot", $G54 = "pierce"), MOD($O54, 1)&lt;&gt;0), 10*MOD($O54, 1)*INDEX(Factor!$BG$5:$BO$51, _xlfn.XMATCH(IF(OR($G54 ="debuff", $G54 = "shot", $G54 = "pierce"), $O54, 0), Factor!$BG$5:$BG$51, -1), 2), 0),
_xlpm.탄환개수보정치, VLOOKUP(IF(OR($G54 = "curved", $G54 = "shot"), $Q54, 1), Factor!$BQ$5:$BX$51, _xlpm.기본_색인번호, 0),
_xlpm.상태이상탄환생성위치보정치, IF($G54 = "debuff", VLOOKUP($R54, Factor!$K$18:$R$19, _xlpm.기본_색인번호, 0),1),
_xlpm.상태이상탄환형태보정치, IF($G54 = "debuff", VLOOKUP($S54, Factor!$K$24:$R$25, _xlpm.기본_색인번호, 0),1),
_xlpm.가격보정치, INDEX(Factor!$AE$5:$AL$51, _xlfn.XMATCH($F54,Factor!$AE$5:$AE$51, -1), _xlpm.기본_색인번호),
_xlpm.구경보정치, VLOOKUP($D54,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F54" s="29" t="e" cm="1">
        <f t="array" ref="AF54">_xlfn.LET(_xlpm.기본_색인번호, 7,
_xlpm.추가_색인번호, 8,
_xlpm.개별보정치, Y54,
_xlpm.패턴보정치, VLOOKUP($G54, Factor!$B$5:$I$51, _xlpm.기본_색인번호, 0),
_xlpm.소모탄환보정치, VLOOKUP($H54, Factor!$T$5:$AA$51, _xlpm.기본_색인번호, 0),
_xlpm.지형보정치, VLOOKUP($I54, Factor!$K$12:$R$13, _xlpm.기본_색인번호, 0),
_xlpm.공격속성보정치, VLOOKUP($J54, Factor!$K$5:$R$7, _xlpm.기본_색인번호, 0),
_xlpm.피해범위보정치, INDEX(Factor!$AN$5:$AV$51, _xlfn.XMATCH(IF(OR($G54="blast", $G54="curved",  $G54= "debuff"), $L54, 0), Factor!$AN$5:$AN$51, -1), _xlpm.추가_색인번호)-IF(AND(OR($G54="blast", $G54="curved", $G54= "debuff"), MOD($L54,1)&lt;&gt;0),INDEX(Factor!$AN$5:$AV$51, _xlfn.XMATCH(IF(OR($G54="blast", $G54="curved", $G54= "debuff"), $L54, 0), Factor!$AN$5:$AN$51, -1), 2)*MOD($L54,1)*10,0),
_xlpm.상태이상보정치, VLOOKUP(IF($G54 = "debuff", $M54, "null"), Factor!$AX$5:$BE$51, _xlpm.기본_색인번호, 0),
_xlpm.지속시간보정치, INDEX(Factor!$BG$5:$BO$51, _xlfn.XMATCH(IF(OR($G54 ="debuff", $G54 = "shot", $G54 = "pierce"), $O54, 0), Factor!$BG$5:$BG$51, -1), _xlpm.추가_색인번호)-IF(AND(OR($G54 ="debuff", $G54 = "shot", $G54 = "pierce"), MOD($O54, 1)&lt;&gt;0), 10*MOD($O54, 1)*INDEX(Factor!$BG$5:$BO$51, _xlfn.XMATCH(IF(OR($G54 ="debuff", $G54 = "shot", $G54 = "pierce"), $O54, 0), Factor!$BG$5:$BG$51, -1), 2), 0),
_xlpm.탄환개수보정치, VLOOKUP(IF(OR($G54 = "curved", $G54 = "shot"), $Q54, 1), Factor!$BQ$5:$BX$51, _xlpm.기본_색인번호, 0),
_xlpm.상태이상탄환생성위치보정치, IF($G54 = "debuff", VLOOKUP($R54, Factor!$K$18:$R$19, _xlpm.기본_색인번호, 0),1),
_xlpm.상태이상탄환형태보정치, IF($G54 = "debuff", VLOOKUP($S54, Factor!$K$24:$R$25, _xlpm.기본_색인번호, 0),1),
_xlpm.가격보정치, INDEX(Factor!$AE$5:$AL$51, _xlfn.XMATCH($F54,Factor!$AE$5:$AE$51, -1), _xlpm.기본_색인번호),
_xlpm.구경보정치, VLOOKUP($D54,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G54" s="30" t="e" cm="1">
        <f t="array" ref="AG54">_xlfn.LET(_xlpm.기본_색인번호, 8,
_xlpm.추가_색인번호, 9,
_xlpm.개별보정치, Z54,
_xlpm.패턴보정치, VLOOKUP($G54, Factor!$B$5:$I$51, _xlpm.기본_색인번호, 0),
_xlpm.소모탄환보정치, VLOOKUP($H54, Factor!$T$5:$AA$51, _xlpm.기본_색인번호, 0),
_xlpm.지형보정치, VLOOKUP($I54, Factor!$K$12:$R$13, _xlpm.기본_색인번호, 0),
_xlpm.공격속성보정치, VLOOKUP($J54, Factor!$K$5:$R$7, _xlpm.기본_색인번호, 0),
_xlpm.피해범위보정치, INDEX(Factor!$AN$5:$AV$51, _xlfn.XMATCH(IF(OR($G54="blast", $G54="curved",  $G54= "debuff"), $L54, 0), Factor!$AN$5:$AN$51, -1), _xlpm.추가_색인번호)-IF(AND(OR($G54="blast", $G54="curved", $G54= "debuff"), MOD($L54,1)&lt;&gt;0),INDEX(Factor!$AN$5:$AV$51, _xlfn.XMATCH(IF(OR($G54="blast", $G54="curved", $G54= "debuff"), $L54, 0), Factor!$AN$5:$AN$51, -1), 2)*MOD($L54,1)*10,0),
_xlpm.상태이상보정치, VLOOKUP(IF($G54 = "debuff", $M54, "null"), Factor!$AX$5:$BE$51, _xlpm.기본_색인번호, 0),
_xlpm.지속시간보정치, INDEX(Factor!$BG$5:$BO$51, _xlfn.XMATCH(IF(OR($G54 ="debuff", $G54 = "shot", $G54 = "pierce"), $O54, 0), Factor!$BG$5:$BG$51, -1), _xlpm.추가_색인번호)-IF(AND(OR($G54 ="debuff", $G54 = "shot", $G54 = "pierce"), MOD($O54, 1)&lt;&gt;0), 10*MOD($O54, 1)*INDEX(Factor!$BG$5:$BO$51, _xlfn.XMATCH(IF(OR($G54 ="debuff", $G54 = "shot", $G54 = "pierce"), $O54, 0), Factor!$BG$5:$BG$51, -1), 2), 0),
_xlpm.탄환개수보정치, VLOOKUP(IF(OR($G54 = "curved", $G54 = "shot"), $Q54, 1), Factor!$BQ$5:$BX$51, _xlpm.기본_색인번호, 0),
_xlpm.상태이상탄환생성위치보정치, IF($G54 = "debuff", VLOOKUP($R54, Factor!$K$18:$R$19, _xlpm.기본_색인번호, 0),1),
_xlpm.상태이상탄환형태보정치, IF($G54 = "debuff", VLOOKUP($S54, Factor!$K$24:$R$25, _xlpm.기본_색인번호, 0),1),
_xlpm.가격보정치, INDEX(Factor!$AE$5:$AL$51, _xlfn.XMATCH($F54,Factor!$AE$5:$AE$51, -1), _xlpm.기본_색인번호),
_xlpm.구경보정치, VLOOKUP($D54, Factor!$BZ$5:$CJ$56, _xlpm.기본_색인번호, 0),
_xlpm.결과, _xlpm.개별보정치*_xlpm.패턴보정치*_xlpm.소모탄환보정치*_xlpm.지형보정치*_xlpm.공격속성보정치*_xlpm.피해범위보정치*_xlpm.상태이상보정치*_xlpm.지속시간보정치*_xlpm.탄환개수보정치*_xlpm.상태이상탄환생성위치보정치*_xlpm.상태이상탄환형태보정치*_xlpm.가격보정치*_xlpm.구경보정치,
_xlpm.결과)</f>
        <v>#N/A</v>
      </c>
      <c r="AH54"/>
      <c r="AI54"/>
      <c r="AJ54"/>
      <c r="AK54"/>
      <c r="AL54"/>
      <c r="AM54"/>
      <c r="AN54"/>
    </row>
  </sheetData>
  <autoFilter ref="A4:Z54" xr:uid="{00000000-0001-0000-0100-000000000000}"/>
  <mergeCells count="1">
    <mergeCell ref="A1:X1"/>
  </mergeCells>
  <phoneticPr fontId="8" type="noConversion"/>
  <dataValidations count="2">
    <dataValidation type="decimal" operator="greaterThanOrEqual" allowBlank="1" showInputMessage="1" showErrorMessage="1" sqref="L5:L1048576 O5:P1048576" xr:uid="{D79238AD-E30F-4BF0-873F-D910B16CDC47}">
      <formula1>0</formula1>
    </dataValidation>
    <dataValidation type="whole" operator="greaterThanOrEqual" allowBlank="1" showInputMessage="1" showErrorMessage="1" sqref="Q5:Q1048576" xr:uid="{092F14CB-23D4-4D35-B2AA-E58FA42DD9AE}">
      <formula1>1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7A15C4E0-C34A-46CA-87B5-62FB775BB8EF}">
          <x14:formula1>
            <xm:f>Factor!$B$5:$B$10</xm:f>
          </x14:formula1>
          <xm:sqref>G5:G1048576</xm:sqref>
        </x14:dataValidation>
        <x14:dataValidation type="list" allowBlank="1" showInputMessage="1" showErrorMessage="1" xr:uid="{E929DAF5-71D5-4316-A75B-51B7F92A3440}">
          <x14:formula1>
            <xm:f>Factor!$T$5:$T$7</xm:f>
          </x14:formula1>
          <xm:sqref>H5:H1048576</xm:sqref>
        </x14:dataValidation>
        <x14:dataValidation type="list" allowBlank="1" showInputMessage="1" showErrorMessage="1" xr:uid="{078999BE-1C20-40A9-8608-4280A3DF75DD}">
          <x14:formula1>
            <xm:f>Factor!$K$12:$K$13</xm:f>
          </x14:formula1>
          <xm:sqref>I5:I1048576</xm:sqref>
        </x14:dataValidation>
        <x14:dataValidation type="list" allowBlank="1" showInputMessage="1" showErrorMessage="1" xr:uid="{692A32AD-038C-4CD4-86C8-10081CF2A9B5}">
          <x14:formula1>
            <xm:f>Factor!$K$5:$K$7</xm:f>
          </x14:formula1>
          <xm:sqref>J5:J1048576</xm:sqref>
        </x14:dataValidation>
        <x14:dataValidation type="list" allowBlank="1" showInputMessage="1" showErrorMessage="1" xr:uid="{1CC92830-E010-4C4C-84CC-C0CD0B627FC3}">
          <x14:formula1>
            <xm:f>Factor!$AX$5:$AX$9</xm:f>
          </x14:formula1>
          <xm:sqref>M5:M1048576 N55</xm:sqref>
        </x14:dataValidation>
        <x14:dataValidation type="list" allowBlank="1" showInputMessage="1" showErrorMessage="1" xr:uid="{078AA71C-295F-4687-812E-8185A79F1808}">
          <x14:formula1>
            <xm:f>Factor!$K$18:$K$20</xm:f>
          </x14:formula1>
          <xm:sqref>R5:R1048576</xm:sqref>
        </x14:dataValidation>
        <x14:dataValidation type="list" allowBlank="1" showInputMessage="1" showErrorMessage="1" xr:uid="{F4503CF8-9ECD-4905-B7EA-7CA03892A5B1}">
          <x14:formula1>
            <xm:f>Factor!$K$24:$K$26</xm:f>
          </x14:formula1>
          <xm:sqref>S5:S1048576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개요</vt:lpstr>
      <vt:lpstr>Factor</vt:lpstr>
      <vt:lpstr>Weapon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해욱 정</cp:lastModifiedBy>
  <dcterms:modified xsi:type="dcterms:W3CDTF">2026-08-15T17:14:53Z</dcterms:modified>
</cp:coreProperties>
</file>