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gh\OneDrive\문서\GitHub\BattleSimulator\"/>
    </mc:Choice>
  </mc:AlternateContent>
  <xr:revisionPtr revIDLastSave="0" documentId="13_ncr:1_{E0166386-AF27-4C55-8A4A-DF269967F8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개요" sheetId="1" r:id="rId1"/>
    <sheet name="Factor" sheetId="3" r:id="rId2"/>
    <sheet name="Weapon" sheetId="2" r:id="rId3"/>
  </sheets>
  <definedNames>
    <definedName name="_xlnm._FilterDatabase" localSheetId="2" hidden="1">Weapon!$A$4:$Z$54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2" l="1"/>
  <c r="F53" i="2"/>
  <c r="G53" i="2"/>
  <c r="H53" i="2"/>
  <c r="I53" i="2"/>
  <c r="J53" i="2"/>
  <c r="L53" i="2"/>
  <c r="M53" i="2"/>
  <c r="O53" i="2"/>
  <c r="Q53" i="2"/>
  <c r="R53" i="2"/>
  <c r="S53" i="2"/>
  <c r="AA53" i="2" a="1"/>
  <c r="AB53" i="2" a="1"/>
  <c r="AC53" i="2" a="1"/>
  <c r="AD53" i="2" a="1"/>
  <c r="AE53" i="2" a="1"/>
  <c r="AF53" i="2" a="1"/>
  <c r="AG53" i="2" a="1"/>
  <c r="B54" i="2"/>
  <c r="F54" i="2"/>
  <c r="G54" i="2"/>
  <c r="H54" i="2"/>
  <c r="I54" i="2"/>
  <c r="J54" i="2"/>
  <c r="L54" i="2"/>
  <c r="M54" i="2"/>
  <c r="O54" i="2"/>
  <c r="Q54" i="2"/>
  <c r="R54" i="2"/>
  <c r="S54" i="2"/>
  <c r="AA54" i="2" a="1"/>
  <c r="AB54" i="2" a="1"/>
  <c r="AC54" i="2" a="1"/>
  <c r="AD54" i="2" a="1"/>
  <c r="AE54" i="2" a="1"/>
  <c r="AF54" i="2" a="1"/>
  <c r="AG54" i="2" a="1"/>
  <c r="B55" i="2"/>
  <c r="F55" i="2"/>
  <c r="G55" i="2"/>
  <c r="H55" i="2"/>
  <c r="I55" i="2"/>
  <c r="J55" i="2"/>
  <c r="L55" i="2"/>
  <c r="M55" i="2"/>
  <c r="O55" i="2"/>
  <c r="Q55" i="2"/>
  <c r="R55" i="2"/>
  <c r="S55" i="2"/>
  <c r="AA55" i="2" a="1"/>
  <c r="AB55" i="2" a="1"/>
  <c r="AC55" i="2" a="1"/>
  <c r="AD55" i="2" a="1"/>
  <c r="AE55" i="2" a="1"/>
  <c r="AF55" i="2" a="1"/>
  <c r="AG55" i="2" a="1"/>
  <c r="B56" i="2"/>
  <c r="F56" i="2"/>
  <c r="G56" i="2"/>
  <c r="H56" i="2"/>
  <c r="I56" i="2"/>
  <c r="J56" i="2"/>
  <c r="L56" i="2"/>
  <c r="M56" i="2"/>
  <c r="O56" i="2"/>
  <c r="Q56" i="2"/>
  <c r="R56" i="2"/>
  <c r="S56" i="2"/>
  <c r="AA56" i="2" a="1"/>
  <c r="AB56" i="2" a="1"/>
  <c r="AC56" i="2" a="1"/>
  <c r="AD56" i="2" a="1"/>
  <c r="AE56" i="2" a="1"/>
  <c r="AF56" i="2" a="1"/>
  <c r="AG56" i="2" a="1"/>
  <c r="B57" i="2"/>
  <c r="F57" i="2"/>
  <c r="G57" i="2"/>
  <c r="H57" i="2"/>
  <c r="I57" i="2"/>
  <c r="J57" i="2"/>
  <c r="L57" i="2"/>
  <c r="M57" i="2"/>
  <c r="O57" i="2"/>
  <c r="Q57" i="2"/>
  <c r="R57" i="2"/>
  <c r="S57" i="2"/>
  <c r="AA57" i="2" a="1"/>
  <c r="AB57" i="2" a="1"/>
  <c r="AC57" i="2" a="1"/>
  <c r="AD57" i="2" a="1"/>
  <c r="AE57" i="2" a="1"/>
  <c r="AF57" i="2" a="1"/>
  <c r="AG57" i="2" a="1"/>
  <c r="B58" i="2"/>
  <c r="F58" i="2"/>
  <c r="G58" i="2"/>
  <c r="H58" i="2"/>
  <c r="I58" i="2"/>
  <c r="J58" i="2"/>
  <c r="L58" i="2"/>
  <c r="M58" i="2"/>
  <c r="O58" i="2"/>
  <c r="Q58" i="2"/>
  <c r="R58" i="2"/>
  <c r="S58" i="2"/>
  <c r="AA58" i="2" a="1"/>
  <c r="AB58" i="2" a="1"/>
  <c r="AC58" i="2" a="1"/>
  <c r="AD58" i="2" a="1"/>
  <c r="AE58" i="2" a="1"/>
  <c r="AF58" i="2" a="1"/>
  <c r="AG58" i="2" a="1"/>
  <c r="B59" i="2"/>
  <c r="F59" i="2"/>
  <c r="G59" i="2"/>
  <c r="H59" i="2"/>
  <c r="I59" i="2"/>
  <c r="J59" i="2"/>
  <c r="L59" i="2"/>
  <c r="M59" i="2"/>
  <c r="O59" i="2"/>
  <c r="Q59" i="2"/>
  <c r="R59" i="2"/>
  <c r="S59" i="2"/>
  <c r="AA59" i="2" a="1"/>
  <c r="AB59" i="2" a="1"/>
  <c r="AC59" i="2" a="1"/>
  <c r="AD59" i="2" a="1"/>
  <c r="AE59" i="2" a="1"/>
  <c r="AF59" i="2" a="1"/>
  <c r="AG59" i="2" a="1"/>
  <c r="B60" i="2"/>
  <c r="F60" i="2"/>
  <c r="G60" i="2"/>
  <c r="H60" i="2"/>
  <c r="I60" i="2"/>
  <c r="J60" i="2"/>
  <c r="L60" i="2"/>
  <c r="M60" i="2"/>
  <c r="O60" i="2"/>
  <c r="Q60" i="2"/>
  <c r="R60" i="2"/>
  <c r="S60" i="2"/>
  <c r="B61" i="2"/>
  <c r="F61" i="2"/>
  <c r="G61" i="2"/>
  <c r="H61" i="2"/>
  <c r="I61" i="2"/>
  <c r="J61" i="2"/>
  <c r="L61" i="2"/>
  <c r="M61" i="2"/>
  <c r="O61" i="2"/>
  <c r="Q61" i="2"/>
  <c r="R61" i="2"/>
  <c r="S61" i="2"/>
  <c r="B62" i="2"/>
  <c r="F62" i="2"/>
  <c r="G62" i="2"/>
  <c r="H62" i="2"/>
  <c r="I62" i="2"/>
  <c r="J62" i="2"/>
  <c r="L62" i="2"/>
  <c r="M62" i="2"/>
  <c r="O62" i="2"/>
  <c r="Q62" i="2"/>
  <c r="R62" i="2"/>
  <c r="S62" i="2"/>
  <c r="B63" i="2"/>
  <c r="F63" i="2"/>
  <c r="G63" i="2"/>
  <c r="H63" i="2"/>
  <c r="I63" i="2"/>
  <c r="J63" i="2"/>
  <c r="L63" i="2"/>
  <c r="M63" i="2"/>
  <c r="O63" i="2"/>
  <c r="Q63" i="2"/>
  <c r="R63" i="2"/>
  <c r="S63" i="2"/>
  <c r="B64" i="2"/>
  <c r="F64" i="2"/>
  <c r="G64" i="2"/>
  <c r="H64" i="2"/>
  <c r="I64" i="2"/>
  <c r="J64" i="2"/>
  <c r="L64" i="2"/>
  <c r="M64" i="2"/>
  <c r="O64" i="2"/>
  <c r="Q64" i="2"/>
  <c r="R64" i="2"/>
  <c r="S64" i="2"/>
  <c r="B65" i="2"/>
  <c r="F65" i="2"/>
  <c r="G65" i="2"/>
  <c r="H65" i="2"/>
  <c r="I65" i="2"/>
  <c r="J65" i="2"/>
  <c r="L65" i="2"/>
  <c r="M65" i="2"/>
  <c r="O65" i="2"/>
  <c r="Q65" i="2"/>
  <c r="R65" i="2"/>
  <c r="S65" i="2"/>
  <c r="AC65" i="2" a="1"/>
  <c r="AF65" i="2" a="1"/>
  <c r="AG65" i="2" a="1"/>
  <c r="B66" i="2"/>
  <c r="F66" i="2"/>
  <c r="G66" i="2"/>
  <c r="H66" i="2"/>
  <c r="I66" i="2"/>
  <c r="J66" i="2"/>
  <c r="L66" i="2"/>
  <c r="M66" i="2"/>
  <c r="O66" i="2"/>
  <c r="Q66" i="2"/>
  <c r="R66" i="2"/>
  <c r="S66" i="2"/>
  <c r="B67" i="2"/>
  <c r="F67" i="2"/>
  <c r="G67" i="2"/>
  <c r="H67" i="2"/>
  <c r="I67" i="2"/>
  <c r="J67" i="2"/>
  <c r="L67" i="2"/>
  <c r="M67" i="2"/>
  <c r="O67" i="2"/>
  <c r="Q67" i="2"/>
  <c r="R67" i="2"/>
  <c r="S67" i="2"/>
  <c r="B68" i="2"/>
  <c r="F68" i="2"/>
  <c r="G68" i="2"/>
  <c r="H68" i="2"/>
  <c r="I68" i="2"/>
  <c r="J68" i="2"/>
  <c r="L68" i="2"/>
  <c r="M68" i="2"/>
  <c r="O68" i="2"/>
  <c r="Q68" i="2"/>
  <c r="R68" i="2"/>
  <c r="S68" i="2"/>
  <c r="B69" i="2"/>
  <c r="F69" i="2"/>
  <c r="G69" i="2"/>
  <c r="H69" i="2"/>
  <c r="I69" i="2"/>
  <c r="J69" i="2"/>
  <c r="L69" i="2"/>
  <c r="M69" i="2"/>
  <c r="O69" i="2"/>
  <c r="Q69" i="2"/>
  <c r="R69" i="2"/>
  <c r="S69" i="2"/>
  <c r="AA69" i="2" a="1"/>
  <c r="AB69" i="2" a="1"/>
  <c r="AC69" i="2" a="1"/>
  <c r="AD69" i="2" a="1"/>
  <c r="AE69" i="2" a="1"/>
  <c r="AF69" i="2" a="1"/>
  <c r="AG69" i="2" a="1"/>
  <c r="B70" i="2"/>
  <c r="F70" i="2"/>
  <c r="G70" i="2"/>
  <c r="H70" i="2"/>
  <c r="I70" i="2"/>
  <c r="J70" i="2"/>
  <c r="L70" i="2"/>
  <c r="M70" i="2"/>
  <c r="O70" i="2"/>
  <c r="Q70" i="2"/>
  <c r="R70" i="2"/>
  <c r="S70" i="2"/>
  <c r="AA70" i="2" a="1"/>
  <c r="AB70" i="2" a="1"/>
  <c r="AC70" i="2" a="1"/>
  <c r="AD70" i="2" a="1"/>
  <c r="AE70" i="2" a="1"/>
  <c r="AF70" i="2" a="1"/>
  <c r="AG70" i="2" a="1"/>
  <c r="B71" i="2"/>
  <c r="F71" i="2"/>
  <c r="G71" i="2"/>
  <c r="H71" i="2"/>
  <c r="I71" i="2"/>
  <c r="J71" i="2"/>
  <c r="L71" i="2"/>
  <c r="M71" i="2"/>
  <c r="O71" i="2"/>
  <c r="Q71" i="2"/>
  <c r="R71" i="2"/>
  <c r="S71" i="2"/>
  <c r="AA71" i="2" a="1"/>
  <c r="AB71" i="2" a="1"/>
  <c r="AC71" i="2" a="1"/>
  <c r="AD71" i="2" a="1"/>
  <c r="AE71" i="2" a="1"/>
  <c r="AF71" i="2" a="1"/>
  <c r="AG71" i="2" a="1"/>
  <c r="B72" i="2"/>
  <c r="F72" i="2"/>
  <c r="G72" i="2"/>
  <c r="H72" i="2"/>
  <c r="I72" i="2"/>
  <c r="J72" i="2"/>
  <c r="L72" i="2"/>
  <c r="M72" i="2"/>
  <c r="O72" i="2"/>
  <c r="Q72" i="2"/>
  <c r="R72" i="2"/>
  <c r="S72" i="2"/>
  <c r="AA72" i="2" a="1"/>
  <c r="AB72" i="2" a="1"/>
  <c r="AC72" i="2" a="1"/>
  <c r="AD72" i="2" a="1"/>
  <c r="AE72" i="2" a="1"/>
  <c r="AF72" i="2" a="1"/>
  <c r="AG72" i="2" a="1"/>
  <c r="B73" i="2"/>
  <c r="F73" i="2"/>
  <c r="G73" i="2"/>
  <c r="H73" i="2"/>
  <c r="I73" i="2"/>
  <c r="J73" i="2"/>
  <c r="L73" i="2"/>
  <c r="M73" i="2"/>
  <c r="O73" i="2"/>
  <c r="Q73" i="2"/>
  <c r="R73" i="2"/>
  <c r="S73" i="2"/>
  <c r="AA73" i="2" a="1"/>
  <c r="AB73" i="2" a="1"/>
  <c r="AC73" i="2" a="1"/>
  <c r="AD73" i="2" a="1"/>
  <c r="AE73" i="2" a="1"/>
  <c r="AF73" i="2" a="1"/>
  <c r="AG73" i="2" a="1"/>
  <c r="B74" i="2"/>
  <c r="F74" i="2"/>
  <c r="G74" i="2"/>
  <c r="H74" i="2"/>
  <c r="I74" i="2"/>
  <c r="J74" i="2"/>
  <c r="L74" i="2"/>
  <c r="M74" i="2"/>
  <c r="O74" i="2"/>
  <c r="Q74" i="2"/>
  <c r="R74" i="2"/>
  <c r="S74" i="2"/>
  <c r="AB74" i="2" a="1"/>
  <c r="AC74" i="2" a="1"/>
  <c r="AD74" i="2" a="1"/>
  <c r="AE74" i="2" a="1"/>
  <c r="AF74" i="2" a="1"/>
  <c r="AG74" i="2" a="1"/>
  <c r="B75" i="2"/>
  <c r="F75" i="2"/>
  <c r="G75" i="2"/>
  <c r="H75" i="2"/>
  <c r="I75" i="2"/>
  <c r="J75" i="2"/>
  <c r="L75" i="2"/>
  <c r="M75" i="2"/>
  <c r="O75" i="2"/>
  <c r="Q75" i="2"/>
  <c r="R75" i="2"/>
  <c r="S75" i="2"/>
  <c r="B76" i="2"/>
  <c r="F76" i="2"/>
  <c r="G76" i="2"/>
  <c r="H76" i="2"/>
  <c r="I76" i="2"/>
  <c r="J76" i="2"/>
  <c r="L76" i="2"/>
  <c r="M76" i="2"/>
  <c r="O76" i="2"/>
  <c r="Q76" i="2"/>
  <c r="R76" i="2"/>
  <c r="S76" i="2"/>
  <c r="AA76" i="2" a="1"/>
  <c r="AB76" i="2" a="1"/>
  <c r="AC76" i="2" a="1"/>
  <c r="AD76" i="2" a="1"/>
  <c r="AE76" i="2" a="1"/>
  <c r="AF76" i="2" a="1"/>
  <c r="AG76" i="2" a="1"/>
  <c r="B77" i="2"/>
  <c r="F77" i="2"/>
  <c r="G77" i="2"/>
  <c r="H77" i="2"/>
  <c r="I77" i="2"/>
  <c r="J77" i="2"/>
  <c r="L77" i="2"/>
  <c r="M77" i="2"/>
  <c r="O77" i="2"/>
  <c r="Q77" i="2"/>
  <c r="R77" i="2"/>
  <c r="S77" i="2"/>
  <c r="AA77" i="2" a="1"/>
  <c r="AB77" i="2" a="1"/>
  <c r="AC77" i="2" a="1"/>
  <c r="AD77" i="2" a="1"/>
  <c r="AE77" i="2" a="1"/>
  <c r="AF77" i="2" a="1"/>
  <c r="AG77" i="2" a="1"/>
  <c r="B78" i="2"/>
  <c r="F78" i="2"/>
  <c r="G78" i="2"/>
  <c r="H78" i="2"/>
  <c r="I78" i="2"/>
  <c r="J78" i="2"/>
  <c r="L78" i="2"/>
  <c r="M78" i="2"/>
  <c r="O78" i="2"/>
  <c r="Q78" i="2"/>
  <c r="R78" i="2"/>
  <c r="S78" i="2"/>
  <c r="B79" i="2"/>
  <c r="F79" i="2"/>
  <c r="G79" i="2"/>
  <c r="H79" i="2"/>
  <c r="I79" i="2"/>
  <c r="J79" i="2"/>
  <c r="L79" i="2"/>
  <c r="M79" i="2"/>
  <c r="O79" i="2"/>
  <c r="Q79" i="2"/>
  <c r="R79" i="2"/>
  <c r="S79" i="2"/>
  <c r="B80" i="2"/>
  <c r="F80" i="2"/>
  <c r="G80" i="2"/>
  <c r="H80" i="2"/>
  <c r="I80" i="2"/>
  <c r="J80" i="2"/>
  <c r="L80" i="2"/>
  <c r="M80" i="2"/>
  <c r="O80" i="2"/>
  <c r="Q80" i="2"/>
  <c r="R80" i="2"/>
  <c r="S80" i="2"/>
  <c r="B81" i="2"/>
  <c r="F81" i="2"/>
  <c r="G81" i="2"/>
  <c r="H81" i="2"/>
  <c r="I81" i="2"/>
  <c r="J81" i="2"/>
  <c r="L81" i="2"/>
  <c r="M81" i="2"/>
  <c r="O81" i="2"/>
  <c r="Q81" i="2"/>
  <c r="R81" i="2"/>
  <c r="S81" i="2"/>
  <c r="B82" i="2"/>
  <c r="F82" i="2"/>
  <c r="G82" i="2"/>
  <c r="H82" i="2"/>
  <c r="I82" i="2"/>
  <c r="J82" i="2"/>
  <c r="L82" i="2"/>
  <c r="M82" i="2"/>
  <c r="O82" i="2"/>
  <c r="Q82" i="2"/>
  <c r="R82" i="2"/>
  <c r="S82" i="2"/>
  <c r="B83" i="2"/>
  <c r="F83" i="2"/>
  <c r="G83" i="2"/>
  <c r="H83" i="2"/>
  <c r="I83" i="2"/>
  <c r="J83" i="2"/>
  <c r="L83" i="2"/>
  <c r="M83" i="2"/>
  <c r="O83" i="2"/>
  <c r="Q83" i="2"/>
  <c r="R83" i="2"/>
  <c r="S83" i="2"/>
  <c r="AA83" i="2" a="1"/>
  <c r="AB83" i="2" a="1"/>
  <c r="AC83" i="2" a="1"/>
  <c r="AD83" i="2" a="1"/>
  <c r="AE83" i="2" a="1"/>
  <c r="AF83" i="2" a="1"/>
  <c r="AG83" i="2" a="1"/>
  <c r="B84" i="2"/>
  <c r="F84" i="2"/>
  <c r="G84" i="2"/>
  <c r="H84" i="2"/>
  <c r="I84" i="2"/>
  <c r="J84" i="2"/>
  <c r="L84" i="2"/>
  <c r="M84" i="2"/>
  <c r="O84" i="2"/>
  <c r="Q84" i="2"/>
  <c r="R84" i="2"/>
  <c r="S84" i="2"/>
  <c r="B85" i="2"/>
  <c r="F85" i="2"/>
  <c r="G85" i="2"/>
  <c r="H85" i="2"/>
  <c r="I85" i="2"/>
  <c r="J85" i="2"/>
  <c r="L85" i="2"/>
  <c r="M85" i="2"/>
  <c r="O85" i="2"/>
  <c r="Q85" i="2"/>
  <c r="R85" i="2"/>
  <c r="S85" i="2"/>
  <c r="B86" i="2"/>
  <c r="F86" i="2"/>
  <c r="G86" i="2"/>
  <c r="H86" i="2"/>
  <c r="I86" i="2"/>
  <c r="J86" i="2"/>
  <c r="L86" i="2"/>
  <c r="M86" i="2"/>
  <c r="O86" i="2"/>
  <c r="Q86" i="2"/>
  <c r="R86" i="2"/>
  <c r="S86" i="2"/>
  <c r="AA86" i="2" a="1"/>
  <c r="AB86" i="2" a="1"/>
  <c r="AC86" i="2" a="1"/>
  <c r="AD86" i="2" a="1"/>
  <c r="AE86" i="2" a="1"/>
  <c r="AF86" i="2" a="1"/>
  <c r="AG86" i="2" a="1"/>
  <c r="B87" i="2"/>
  <c r="F87" i="2"/>
  <c r="G87" i="2"/>
  <c r="H87" i="2"/>
  <c r="I87" i="2"/>
  <c r="J87" i="2"/>
  <c r="L87" i="2"/>
  <c r="M87" i="2"/>
  <c r="O87" i="2"/>
  <c r="Q87" i="2"/>
  <c r="R87" i="2"/>
  <c r="S87" i="2"/>
  <c r="AA87" i="2" a="1"/>
  <c r="AB87" i="2" a="1"/>
  <c r="AC87" i="2" a="1"/>
  <c r="AD87" i="2" a="1"/>
  <c r="AE87" i="2" a="1"/>
  <c r="AF87" i="2" a="1"/>
  <c r="AG87" i="2" a="1"/>
  <c r="B88" i="2"/>
  <c r="F88" i="2"/>
  <c r="G88" i="2"/>
  <c r="H88" i="2"/>
  <c r="I88" i="2"/>
  <c r="J88" i="2"/>
  <c r="L88" i="2"/>
  <c r="M88" i="2"/>
  <c r="O88" i="2"/>
  <c r="Q88" i="2"/>
  <c r="R88" i="2"/>
  <c r="S88" i="2"/>
  <c r="AA88" i="2" a="1"/>
  <c r="AB88" i="2" a="1"/>
  <c r="AC88" i="2" a="1"/>
  <c r="AD88" i="2" a="1"/>
  <c r="AE88" i="2" a="1"/>
  <c r="AF88" i="2" a="1"/>
  <c r="AG88" i="2" a="1"/>
  <c r="B89" i="2"/>
  <c r="F89" i="2"/>
  <c r="G89" i="2"/>
  <c r="H89" i="2"/>
  <c r="I89" i="2"/>
  <c r="J89" i="2"/>
  <c r="L89" i="2"/>
  <c r="M89" i="2"/>
  <c r="O89" i="2"/>
  <c r="Q89" i="2"/>
  <c r="R89" i="2"/>
  <c r="S89" i="2"/>
  <c r="AA89" i="2" a="1"/>
  <c r="AB89" i="2" a="1"/>
  <c r="AC89" i="2" a="1"/>
  <c r="AD89" i="2" a="1"/>
  <c r="AE89" i="2" a="1"/>
  <c r="AF89" i="2" a="1"/>
  <c r="AG89" i="2" a="1"/>
  <c r="B90" i="2"/>
  <c r="F90" i="2"/>
  <c r="G90" i="2"/>
  <c r="H90" i="2"/>
  <c r="I90" i="2"/>
  <c r="J90" i="2"/>
  <c r="L90" i="2"/>
  <c r="M90" i="2"/>
  <c r="O90" i="2"/>
  <c r="Q90" i="2"/>
  <c r="R90" i="2"/>
  <c r="S90" i="2"/>
  <c r="AA90" i="2" a="1"/>
  <c r="AB90" i="2" a="1"/>
  <c r="AC90" i="2" a="1"/>
  <c r="AD90" i="2" a="1"/>
  <c r="AE90" i="2" a="1"/>
  <c r="AF90" i="2" a="1"/>
  <c r="AG90" i="2" a="1"/>
  <c r="B91" i="2"/>
  <c r="F91" i="2"/>
  <c r="G91" i="2"/>
  <c r="H91" i="2"/>
  <c r="I91" i="2"/>
  <c r="J91" i="2"/>
  <c r="L91" i="2"/>
  <c r="M91" i="2"/>
  <c r="O91" i="2"/>
  <c r="Q91" i="2"/>
  <c r="R91" i="2"/>
  <c r="S91" i="2"/>
  <c r="AA91" i="2" a="1"/>
  <c r="AB91" i="2" a="1"/>
  <c r="AC91" i="2" a="1"/>
  <c r="AD91" i="2" a="1"/>
  <c r="AE91" i="2" a="1"/>
  <c r="AF91" i="2" a="1"/>
  <c r="AG91" i="2" a="1"/>
  <c r="B92" i="2"/>
  <c r="F92" i="2"/>
  <c r="G92" i="2"/>
  <c r="H92" i="2"/>
  <c r="I92" i="2"/>
  <c r="J92" i="2"/>
  <c r="L92" i="2"/>
  <c r="M92" i="2"/>
  <c r="O92" i="2"/>
  <c r="Q92" i="2"/>
  <c r="R92" i="2"/>
  <c r="S92" i="2"/>
  <c r="AA92" i="2" a="1"/>
  <c r="AB92" i="2" a="1"/>
  <c r="AC92" i="2" a="1"/>
  <c r="AD92" i="2" a="1"/>
  <c r="AE92" i="2" a="1"/>
  <c r="AF92" i="2" a="1"/>
  <c r="AG92" i="2" a="1"/>
  <c r="B93" i="2"/>
  <c r="F93" i="2"/>
  <c r="G93" i="2"/>
  <c r="H93" i="2"/>
  <c r="I93" i="2"/>
  <c r="J93" i="2"/>
  <c r="L93" i="2"/>
  <c r="M93" i="2"/>
  <c r="O93" i="2"/>
  <c r="Q93" i="2"/>
  <c r="R93" i="2"/>
  <c r="S93" i="2"/>
  <c r="AA93" i="2" a="1"/>
  <c r="AB93" i="2" a="1"/>
  <c r="AC93" i="2" a="1"/>
  <c r="AD93" i="2" a="1"/>
  <c r="AE93" i="2" a="1"/>
  <c r="AF93" i="2" a="1"/>
  <c r="AG93" i="2" a="1"/>
  <c r="B94" i="2"/>
  <c r="F94" i="2"/>
  <c r="G94" i="2"/>
  <c r="H94" i="2"/>
  <c r="I94" i="2"/>
  <c r="J94" i="2"/>
  <c r="L94" i="2"/>
  <c r="M94" i="2"/>
  <c r="O94" i="2"/>
  <c r="Q94" i="2"/>
  <c r="R94" i="2"/>
  <c r="S94" i="2"/>
  <c r="AA94" i="2" a="1"/>
  <c r="AB94" i="2" a="1"/>
  <c r="AC94" i="2" a="1"/>
  <c r="AD94" i="2" a="1"/>
  <c r="AE94" i="2" a="1"/>
  <c r="AF94" i="2" a="1"/>
  <c r="AG94" i="2" a="1"/>
  <c r="B95" i="2"/>
  <c r="F95" i="2"/>
  <c r="G95" i="2"/>
  <c r="H95" i="2"/>
  <c r="I95" i="2"/>
  <c r="J95" i="2"/>
  <c r="L95" i="2"/>
  <c r="M95" i="2"/>
  <c r="O95" i="2"/>
  <c r="Q95" i="2"/>
  <c r="R95" i="2"/>
  <c r="S95" i="2"/>
  <c r="AA95" i="2" a="1"/>
  <c r="AB95" i="2" a="1"/>
  <c r="AC95" i="2" a="1"/>
  <c r="AD95" i="2" a="1"/>
  <c r="AE95" i="2" a="1"/>
  <c r="AF95" i="2" a="1"/>
  <c r="AG95" i="2" a="1"/>
  <c r="B96" i="2"/>
  <c r="F96" i="2"/>
  <c r="G96" i="2"/>
  <c r="H96" i="2"/>
  <c r="I96" i="2"/>
  <c r="J96" i="2"/>
  <c r="L96" i="2"/>
  <c r="M96" i="2"/>
  <c r="O96" i="2"/>
  <c r="Q96" i="2"/>
  <c r="R96" i="2"/>
  <c r="S96" i="2"/>
  <c r="AC96" i="2" a="1"/>
  <c r="AD96" i="2" a="1"/>
  <c r="AE96" i="2" a="1"/>
  <c r="AF96" i="2" a="1"/>
  <c r="AG96" i="2" a="1"/>
  <c r="B97" i="2"/>
  <c r="F97" i="2"/>
  <c r="G97" i="2"/>
  <c r="H97" i="2"/>
  <c r="I97" i="2"/>
  <c r="J97" i="2"/>
  <c r="L97" i="2"/>
  <c r="M97" i="2"/>
  <c r="O97" i="2"/>
  <c r="Q97" i="2"/>
  <c r="R97" i="2"/>
  <c r="S97" i="2"/>
  <c r="AA97" i="2" a="1"/>
  <c r="AB97" i="2" a="1"/>
  <c r="AC97" i="2" a="1"/>
  <c r="AD97" i="2" a="1"/>
  <c r="AE97" i="2" a="1"/>
  <c r="AF97" i="2" a="1"/>
  <c r="AG97" i="2" a="1"/>
  <c r="B98" i="2"/>
  <c r="F98" i="2"/>
  <c r="G98" i="2"/>
  <c r="H98" i="2"/>
  <c r="I98" i="2"/>
  <c r="J98" i="2"/>
  <c r="L98" i="2"/>
  <c r="M98" i="2"/>
  <c r="O98" i="2"/>
  <c r="Q98" i="2"/>
  <c r="R98" i="2"/>
  <c r="S98" i="2"/>
  <c r="AA98" i="2" a="1"/>
  <c r="AB98" i="2" a="1"/>
  <c r="AC98" i="2" a="1"/>
  <c r="AD98" i="2" a="1"/>
  <c r="AE98" i="2" a="1"/>
  <c r="AF98" i="2" a="1"/>
  <c r="AG98" i="2" a="1"/>
  <c r="B99" i="2"/>
  <c r="F99" i="2"/>
  <c r="G99" i="2"/>
  <c r="H99" i="2"/>
  <c r="I99" i="2"/>
  <c r="J99" i="2"/>
  <c r="L99" i="2"/>
  <c r="M99" i="2"/>
  <c r="O99" i="2"/>
  <c r="Q99" i="2"/>
  <c r="R99" i="2"/>
  <c r="S99" i="2"/>
  <c r="AA99" i="2" a="1"/>
  <c r="AB99" i="2" a="1"/>
  <c r="AC99" i="2" a="1"/>
  <c r="AD99" i="2" a="1"/>
  <c r="AE99" i="2" a="1"/>
  <c r="AF99" i="2" a="1"/>
  <c r="AG99" i="2" a="1"/>
  <c r="B100" i="2"/>
  <c r="F100" i="2"/>
  <c r="G100" i="2"/>
  <c r="H100" i="2"/>
  <c r="I100" i="2"/>
  <c r="J100" i="2"/>
  <c r="L100" i="2"/>
  <c r="M100" i="2"/>
  <c r="O100" i="2"/>
  <c r="Q100" i="2"/>
  <c r="R100" i="2"/>
  <c r="S100" i="2"/>
  <c r="AA100" i="2" a="1"/>
  <c r="AB100" i="2" a="1"/>
  <c r="AC100" i="2" a="1"/>
  <c r="AD100" i="2" a="1"/>
  <c r="AE100" i="2" a="1"/>
  <c r="AF100" i="2" a="1"/>
  <c r="AG100" i="2" a="1"/>
  <c r="B101" i="2"/>
  <c r="F101" i="2"/>
  <c r="G101" i="2"/>
  <c r="H101" i="2"/>
  <c r="I101" i="2"/>
  <c r="J101" i="2"/>
  <c r="L101" i="2"/>
  <c r="M101" i="2"/>
  <c r="O101" i="2"/>
  <c r="Q101" i="2"/>
  <c r="R101" i="2"/>
  <c r="S101" i="2"/>
  <c r="AA101" i="2" a="1"/>
  <c r="AB101" i="2" a="1"/>
  <c r="AC101" i="2" a="1"/>
  <c r="AD101" i="2" a="1"/>
  <c r="AE101" i="2" a="1"/>
  <c r="AF101" i="2" a="1"/>
  <c r="AG101" i="2" a="1"/>
  <c r="B102" i="2"/>
  <c r="F102" i="2"/>
  <c r="G102" i="2"/>
  <c r="H102" i="2"/>
  <c r="I102" i="2"/>
  <c r="J102" i="2"/>
  <c r="L102" i="2"/>
  <c r="M102" i="2"/>
  <c r="O102" i="2"/>
  <c r="Q102" i="2"/>
  <c r="R102" i="2"/>
  <c r="S102" i="2"/>
  <c r="AA102" i="2" a="1"/>
  <c r="AB102" i="2" a="1"/>
  <c r="AC102" i="2" a="1"/>
  <c r="AD102" i="2" a="1"/>
  <c r="AE102" i="2" a="1"/>
  <c r="AF102" i="2" a="1"/>
  <c r="AG102" i="2" a="1"/>
  <c r="B103" i="2"/>
  <c r="F103" i="2"/>
  <c r="G103" i="2"/>
  <c r="H103" i="2"/>
  <c r="I103" i="2"/>
  <c r="J103" i="2"/>
  <c r="L103" i="2"/>
  <c r="M103" i="2"/>
  <c r="O103" i="2"/>
  <c r="Q103" i="2"/>
  <c r="R103" i="2"/>
  <c r="S103" i="2"/>
  <c r="AA103" i="2" a="1"/>
  <c r="AB103" i="2" a="1"/>
  <c r="AC103" i="2" a="1"/>
  <c r="AD103" i="2" a="1"/>
  <c r="AE103" i="2" a="1"/>
  <c r="AF103" i="2" a="1"/>
  <c r="AG103" i="2" a="1"/>
  <c r="B104" i="2"/>
  <c r="F104" i="2"/>
  <c r="G104" i="2"/>
  <c r="H104" i="2"/>
  <c r="I104" i="2"/>
  <c r="J104" i="2"/>
  <c r="L104" i="2"/>
  <c r="M104" i="2"/>
  <c r="O104" i="2"/>
  <c r="Q104" i="2"/>
  <c r="R104" i="2"/>
  <c r="S104" i="2"/>
  <c r="AA104" i="2" a="1"/>
  <c r="AB104" i="2" a="1"/>
  <c r="AC104" i="2" a="1"/>
  <c r="AD104" i="2" a="1"/>
  <c r="AE104" i="2" a="1"/>
  <c r="AF104" i="2" a="1"/>
  <c r="AG104" i="2" a="1"/>
  <c r="B105" i="2"/>
  <c r="F105" i="2"/>
  <c r="G105" i="2"/>
  <c r="H105" i="2"/>
  <c r="I105" i="2"/>
  <c r="J105" i="2"/>
  <c r="L105" i="2"/>
  <c r="M105" i="2"/>
  <c r="O105" i="2"/>
  <c r="Q105" i="2"/>
  <c r="R105" i="2"/>
  <c r="S105" i="2"/>
  <c r="AA105" i="2" a="1"/>
  <c r="AB105" i="2" a="1"/>
  <c r="AC105" i="2" a="1"/>
  <c r="AD105" i="2" a="1"/>
  <c r="AE105" i="2" a="1"/>
  <c r="AF105" i="2" a="1"/>
  <c r="AG105" i="2" a="1"/>
  <c r="B106" i="2"/>
  <c r="F106" i="2"/>
  <c r="G106" i="2"/>
  <c r="AG106" i="2" s="1" a="1"/>
  <c r="H106" i="2"/>
  <c r="I106" i="2"/>
  <c r="J106" i="2"/>
  <c r="L106" i="2"/>
  <c r="M106" i="2"/>
  <c r="O106" i="2"/>
  <c r="Q106" i="2"/>
  <c r="R106" i="2"/>
  <c r="S106" i="2"/>
  <c r="AA106" i="2" a="1"/>
  <c r="AB106" i="2" a="1"/>
  <c r="AC106" i="2" a="1"/>
  <c r="AD106" i="2" a="1"/>
  <c r="AE106" i="2" a="1"/>
  <c r="AF106" i="2" a="1"/>
  <c r="B107" i="2"/>
  <c r="F107" i="2"/>
  <c r="G107" i="2"/>
  <c r="H107" i="2"/>
  <c r="I107" i="2"/>
  <c r="J107" i="2"/>
  <c r="L107" i="2"/>
  <c r="M107" i="2"/>
  <c r="O107" i="2"/>
  <c r="Q107" i="2"/>
  <c r="R107" i="2"/>
  <c r="S107" i="2"/>
  <c r="B108" i="2"/>
  <c r="F108" i="2"/>
  <c r="G108" i="2"/>
  <c r="H108" i="2"/>
  <c r="I108" i="2"/>
  <c r="J108" i="2"/>
  <c r="L108" i="2"/>
  <c r="M108" i="2"/>
  <c r="O108" i="2"/>
  <c r="Q108" i="2"/>
  <c r="R108" i="2"/>
  <c r="S108" i="2"/>
  <c r="B109" i="2"/>
  <c r="F109" i="2"/>
  <c r="G109" i="2"/>
  <c r="H109" i="2"/>
  <c r="I109" i="2"/>
  <c r="J109" i="2"/>
  <c r="L109" i="2"/>
  <c r="M109" i="2"/>
  <c r="O109" i="2"/>
  <c r="Q109" i="2"/>
  <c r="R109" i="2"/>
  <c r="S109" i="2"/>
  <c r="B110" i="2"/>
  <c r="F110" i="2"/>
  <c r="G110" i="2"/>
  <c r="H110" i="2"/>
  <c r="I110" i="2"/>
  <c r="J110" i="2"/>
  <c r="L110" i="2"/>
  <c r="M110" i="2"/>
  <c r="O110" i="2"/>
  <c r="Q110" i="2"/>
  <c r="R110" i="2"/>
  <c r="S110" i="2"/>
  <c r="AA110" i="2" a="1"/>
  <c r="AB110" i="2" a="1"/>
  <c r="AC110" i="2" a="1"/>
  <c r="AD110" i="2" a="1"/>
  <c r="AE110" i="2" a="1"/>
  <c r="AF110" i="2" a="1"/>
  <c r="AG110" i="2" a="1"/>
  <c r="B111" i="2"/>
  <c r="F111" i="2"/>
  <c r="G111" i="2"/>
  <c r="H111" i="2"/>
  <c r="I111" i="2"/>
  <c r="J111" i="2"/>
  <c r="L111" i="2"/>
  <c r="M111" i="2"/>
  <c r="O111" i="2"/>
  <c r="Q111" i="2"/>
  <c r="R111" i="2"/>
  <c r="S111" i="2"/>
  <c r="AA111" i="2" a="1"/>
  <c r="AB111" i="2" a="1"/>
  <c r="AC111" i="2" a="1"/>
  <c r="AD111" i="2" a="1"/>
  <c r="AE111" i="2" a="1"/>
  <c r="AF111" i="2" a="1"/>
  <c r="AG111" i="2" a="1"/>
  <c r="B112" i="2"/>
  <c r="F112" i="2"/>
  <c r="G112" i="2"/>
  <c r="H112" i="2"/>
  <c r="I112" i="2"/>
  <c r="J112" i="2"/>
  <c r="L112" i="2"/>
  <c r="M112" i="2"/>
  <c r="O112" i="2"/>
  <c r="Q112" i="2"/>
  <c r="R112" i="2"/>
  <c r="S112" i="2"/>
  <c r="B113" i="2"/>
  <c r="F113" i="2"/>
  <c r="G113" i="2"/>
  <c r="H113" i="2"/>
  <c r="I113" i="2"/>
  <c r="J113" i="2"/>
  <c r="L113" i="2"/>
  <c r="M113" i="2"/>
  <c r="O113" i="2"/>
  <c r="Q113" i="2"/>
  <c r="R113" i="2"/>
  <c r="S113" i="2"/>
  <c r="B114" i="2"/>
  <c r="F114" i="2"/>
  <c r="G114" i="2"/>
  <c r="H114" i="2"/>
  <c r="I114" i="2"/>
  <c r="J114" i="2"/>
  <c r="L114" i="2"/>
  <c r="M114" i="2"/>
  <c r="O114" i="2"/>
  <c r="Q114" i="2"/>
  <c r="R114" i="2"/>
  <c r="S114" i="2"/>
  <c r="AA114" i="2" a="1"/>
  <c r="AB114" i="2" a="1"/>
  <c r="AC114" i="2" a="1"/>
  <c r="AD114" i="2" a="1"/>
  <c r="AE114" i="2" a="1"/>
  <c r="AF114" i="2" a="1"/>
  <c r="AG114" i="2" a="1"/>
  <c r="B115" i="2"/>
  <c r="F115" i="2"/>
  <c r="G115" i="2"/>
  <c r="H115" i="2"/>
  <c r="I115" i="2"/>
  <c r="J115" i="2"/>
  <c r="L115" i="2"/>
  <c r="M115" i="2"/>
  <c r="O115" i="2"/>
  <c r="Q115" i="2"/>
  <c r="R115" i="2"/>
  <c r="S115" i="2"/>
  <c r="B116" i="2"/>
  <c r="F116" i="2"/>
  <c r="G116" i="2"/>
  <c r="H116" i="2"/>
  <c r="I116" i="2"/>
  <c r="J116" i="2"/>
  <c r="L116" i="2"/>
  <c r="M116" i="2"/>
  <c r="O116" i="2"/>
  <c r="Q116" i="2"/>
  <c r="R116" i="2"/>
  <c r="S116" i="2"/>
  <c r="AE116" i="2" a="1"/>
  <c r="AF116" i="2" a="1"/>
  <c r="AG116" i="2" a="1"/>
  <c r="B117" i="2"/>
  <c r="F117" i="2"/>
  <c r="G117" i="2"/>
  <c r="H117" i="2"/>
  <c r="I117" i="2"/>
  <c r="J117" i="2"/>
  <c r="L117" i="2"/>
  <c r="M117" i="2"/>
  <c r="O117" i="2"/>
  <c r="Q117" i="2"/>
  <c r="R117" i="2"/>
  <c r="S117" i="2"/>
  <c r="AE117" i="2" a="1"/>
  <c r="AF117" i="2" a="1"/>
  <c r="B118" i="2"/>
  <c r="F118" i="2"/>
  <c r="G118" i="2"/>
  <c r="H118" i="2"/>
  <c r="I118" i="2"/>
  <c r="J118" i="2"/>
  <c r="L118" i="2"/>
  <c r="M118" i="2"/>
  <c r="O118" i="2"/>
  <c r="Q118" i="2"/>
  <c r="R118" i="2"/>
  <c r="S118" i="2"/>
  <c r="AB118" i="2" a="1"/>
  <c r="B119" i="2"/>
  <c r="F119" i="2"/>
  <c r="G119" i="2"/>
  <c r="H119" i="2"/>
  <c r="I119" i="2"/>
  <c r="J119" i="2"/>
  <c r="L119" i="2"/>
  <c r="M119" i="2"/>
  <c r="O119" i="2"/>
  <c r="Q119" i="2"/>
  <c r="R119" i="2"/>
  <c r="S119" i="2"/>
  <c r="AA119" i="2" a="1"/>
  <c r="AF119" i="2" a="1"/>
  <c r="AG119" i="2" a="1"/>
  <c r="B120" i="2"/>
  <c r="F120" i="2"/>
  <c r="G120" i="2"/>
  <c r="H120" i="2"/>
  <c r="I120" i="2"/>
  <c r="J120" i="2"/>
  <c r="L120" i="2"/>
  <c r="M120" i="2"/>
  <c r="O120" i="2"/>
  <c r="Q120" i="2"/>
  <c r="R120" i="2"/>
  <c r="S120" i="2"/>
  <c r="AA120" i="2" a="1"/>
  <c r="AB120" i="2" a="1"/>
  <c r="AC120" i="2" a="1"/>
  <c r="AD120" i="2" a="1"/>
  <c r="AE120" i="2" a="1"/>
  <c r="AF120" i="2" a="1"/>
  <c r="AG120" i="2" a="1"/>
  <c r="B121" i="2"/>
  <c r="F121" i="2"/>
  <c r="G121" i="2"/>
  <c r="H121" i="2"/>
  <c r="I121" i="2"/>
  <c r="J121" i="2"/>
  <c r="L121" i="2"/>
  <c r="M121" i="2"/>
  <c r="O121" i="2"/>
  <c r="Q121" i="2"/>
  <c r="R121" i="2"/>
  <c r="S121" i="2"/>
  <c r="AA121" i="2" a="1"/>
  <c r="AB121" i="2" a="1"/>
  <c r="AC121" i="2" a="1"/>
  <c r="AD121" i="2" a="1"/>
  <c r="AE121" i="2" a="1"/>
  <c r="AF121" i="2" a="1"/>
  <c r="AG121" i="2" a="1"/>
  <c r="B122" i="2"/>
  <c r="F122" i="2"/>
  <c r="G122" i="2"/>
  <c r="H122" i="2"/>
  <c r="I122" i="2"/>
  <c r="J122" i="2"/>
  <c r="L122" i="2"/>
  <c r="M122" i="2"/>
  <c r="O122" i="2"/>
  <c r="Q122" i="2"/>
  <c r="R122" i="2"/>
  <c r="S122" i="2"/>
  <c r="AA122" i="2" a="1"/>
  <c r="AB122" i="2" a="1"/>
  <c r="AC122" i="2" a="1"/>
  <c r="AD122" i="2" a="1"/>
  <c r="AE122" i="2" a="1"/>
  <c r="AF122" i="2" a="1"/>
  <c r="AG122" i="2" a="1"/>
  <c r="B123" i="2"/>
  <c r="F123" i="2"/>
  <c r="G123" i="2"/>
  <c r="H123" i="2"/>
  <c r="I123" i="2"/>
  <c r="J123" i="2"/>
  <c r="L123" i="2"/>
  <c r="M123" i="2"/>
  <c r="O123" i="2"/>
  <c r="Q123" i="2"/>
  <c r="R123" i="2"/>
  <c r="S123" i="2"/>
  <c r="AA123" i="2" a="1"/>
  <c r="AB123" i="2" a="1"/>
  <c r="AC123" i="2" a="1"/>
  <c r="AD123" i="2" a="1"/>
  <c r="AE123" i="2" a="1"/>
  <c r="AF123" i="2" a="1"/>
  <c r="AG123" i="2" a="1"/>
  <c r="B124" i="2"/>
  <c r="F124" i="2"/>
  <c r="G124" i="2"/>
  <c r="H124" i="2"/>
  <c r="I124" i="2"/>
  <c r="J124" i="2"/>
  <c r="L124" i="2"/>
  <c r="M124" i="2"/>
  <c r="O124" i="2"/>
  <c r="Q124" i="2"/>
  <c r="R124" i="2"/>
  <c r="S124" i="2"/>
  <c r="AA124" i="2" a="1"/>
  <c r="AB124" i="2" a="1"/>
  <c r="AC124" i="2" a="1"/>
  <c r="AD124" i="2" a="1"/>
  <c r="AE124" i="2" a="1"/>
  <c r="AF124" i="2" a="1"/>
  <c r="AG124" i="2" a="1"/>
  <c r="B125" i="2"/>
  <c r="F125" i="2"/>
  <c r="G125" i="2"/>
  <c r="H125" i="2"/>
  <c r="I125" i="2"/>
  <c r="J125" i="2"/>
  <c r="L125" i="2"/>
  <c r="M125" i="2"/>
  <c r="O125" i="2"/>
  <c r="Q125" i="2"/>
  <c r="R125" i="2"/>
  <c r="S125" i="2"/>
  <c r="AC125" i="2" a="1"/>
  <c r="AD125" i="2" a="1"/>
  <c r="AE125" i="2" a="1"/>
  <c r="AF125" i="2" a="1"/>
  <c r="AG125" i="2" a="1"/>
  <c r="B126" i="2"/>
  <c r="F126" i="2"/>
  <c r="G126" i="2"/>
  <c r="H126" i="2"/>
  <c r="I126" i="2"/>
  <c r="J126" i="2"/>
  <c r="L126" i="2"/>
  <c r="M126" i="2"/>
  <c r="O126" i="2"/>
  <c r="Q126" i="2"/>
  <c r="R126" i="2"/>
  <c r="S126" i="2"/>
  <c r="AA126" i="2" a="1"/>
  <c r="AB126" i="2" a="1"/>
  <c r="AC126" i="2" a="1"/>
  <c r="AD126" i="2" a="1"/>
  <c r="AE126" i="2" a="1"/>
  <c r="AF126" i="2" a="1"/>
  <c r="AG126" i="2" a="1"/>
  <c r="B127" i="2"/>
  <c r="F127" i="2"/>
  <c r="G127" i="2"/>
  <c r="H127" i="2"/>
  <c r="I127" i="2"/>
  <c r="J127" i="2"/>
  <c r="L127" i="2"/>
  <c r="M127" i="2"/>
  <c r="O127" i="2"/>
  <c r="Q127" i="2"/>
  <c r="R127" i="2"/>
  <c r="S127" i="2"/>
  <c r="AA127" i="2" a="1"/>
  <c r="AB127" i="2" a="1"/>
  <c r="AC127" i="2" a="1"/>
  <c r="AD127" i="2" a="1"/>
  <c r="AE127" i="2" a="1"/>
  <c r="AF127" i="2" a="1"/>
  <c r="AG127" i="2" a="1"/>
  <c r="B128" i="2"/>
  <c r="F128" i="2"/>
  <c r="G128" i="2"/>
  <c r="H128" i="2"/>
  <c r="I128" i="2"/>
  <c r="J128" i="2"/>
  <c r="L128" i="2"/>
  <c r="M128" i="2"/>
  <c r="O128" i="2"/>
  <c r="Q128" i="2"/>
  <c r="R128" i="2"/>
  <c r="S128" i="2"/>
  <c r="AA128" i="2" a="1"/>
  <c r="AB128" i="2" a="1"/>
  <c r="AC128" i="2" a="1"/>
  <c r="AD128" i="2" a="1"/>
  <c r="AE128" i="2" a="1"/>
  <c r="AF128" i="2" a="1"/>
  <c r="AG128" i="2" a="1"/>
  <c r="B129" i="2"/>
  <c r="F129" i="2"/>
  <c r="G129" i="2"/>
  <c r="H129" i="2"/>
  <c r="I129" i="2"/>
  <c r="J129" i="2"/>
  <c r="L129" i="2"/>
  <c r="M129" i="2"/>
  <c r="O129" i="2"/>
  <c r="Q129" i="2"/>
  <c r="R129" i="2"/>
  <c r="S129" i="2"/>
  <c r="AA129" i="2" a="1"/>
  <c r="AB129" i="2" a="1"/>
  <c r="AC129" i="2" a="1"/>
  <c r="AD129" i="2" a="1"/>
  <c r="AE129" i="2" a="1"/>
  <c r="AF129" i="2" a="1"/>
  <c r="AG129" i="2" a="1"/>
  <c r="B130" i="2"/>
  <c r="F130" i="2"/>
  <c r="G130" i="2"/>
  <c r="H130" i="2"/>
  <c r="I130" i="2"/>
  <c r="J130" i="2"/>
  <c r="L130" i="2"/>
  <c r="M130" i="2"/>
  <c r="O130" i="2"/>
  <c r="Q130" i="2"/>
  <c r="R130" i="2"/>
  <c r="S130" i="2"/>
  <c r="AC130" i="2" a="1"/>
  <c r="AD130" i="2" a="1"/>
  <c r="AE130" i="2" a="1"/>
  <c r="AF130" i="2" a="1"/>
  <c r="AG130" i="2" a="1"/>
  <c r="B131" i="2"/>
  <c r="F131" i="2"/>
  <c r="G131" i="2"/>
  <c r="H131" i="2"/>
  <c r="I131" i="2"/>
  <c r="J131" i="2"/>
  <c r="L131" i="2"/>
  <c r="M131" i="2"/>
  <c r="O131" i="2"/>
  <c r="Q131" i="2"/>
  <c r="R131" i="2"/>
  <c r="S131" i="2"/>
  <c r="AA131" i="2" a="1"/>
  <c r="AB131" i="2" a="1"/>
  <c r="AC131" i="2" a="1"/>
  <c r="AD131" i="2" a="1"/>
  <c r="AE131" i="2" a="1"/>
  <c r="AF131" i="2" a="1"/>
  <c r="AG131" i="2" a="1"/>
  <c r="B132" i="2"/>
  <c r="F132" i="2"/>
  <c r="G132" i="2"/>
  <c r="H132" i="2"/>
  <c r="I132" i="2"/>
  <c r="J132" i="2"/>
  <c r="L132" i="2"/>
  <c r="M132" i="2"/>
  <c r="O132" i="2"/>
  <c r="Q132" i="2"/>
  <c r="R132" i="2"/>
  <c r="S132" i="2"/>
  <c r="AA132" i="2" a="1"/>
  <c r="AB132" i="2" a="1"/>
  <c r="AC132" i="2" a="1"/>
  <c r="AD132" i="2" a="1"/>
  <c r="AE132" i="2" a="1"/>
  <c r="AF132" i="2" a="1"/>
  <c r="AG132" i="2" a="1"/>
  <c r="B133" i="2"/>
  <c r="F133" i="2"/>
  <c r="G133" i="2"/>
  <c r="H133" i="2"/>
  <c r="I133" i="2"/>
  <c r="J133" i="2"/>
  <c r="L133" i="2"/>
  <c r="M133" i="2"/>
  <c r="O133" i="2"/>
  <c r="Q133" i="2"/>
  <c r="R133" i="2"/>
  <c r="S133" i="2"/>
  <c r="B134" i="2"/>
  <c r="F134" i="2"/>
  <c r="G134" i="2"/>
  <c r="H134" i="2"/>
  <c r="I134" i="2"/>
  <c r="J134" i="2"/>
  <c r="L134" i="2"/>
  <c r="M134" i="2"/>
  <c r="O134" i="2"/>
  <c r="Q134" i="2"/>
  <c r="R134" i="2"/>
  <c r="S134" i="2"/>
  <c r="B135" i="2"/>
  <c r="F135" i="2"/>
  <c r="G135" i="2"/>
  <c r="H135" i="2"/>
  <c r="I135" i="2"/>
  <c r="J135" i="2"/>
  <c r="L135" i="2"/>
  <c r="M135" i="2"/>
  <c r="O135" i="2"/>
  <c r="Q135" i="2"/>
  <c r="R135" i="2"/>
  <c r="S135" i="2"/>
  <c r="B136" i="2"/>
  <c r="F136" i="2"/>
  <c r="G136" i="2"/>
  <c r="H136" i="2"/>
  <c r="I136" i="2"/>
  <c r="J136" i="2"/>
  <c r="L136" i="2"/>
  <c r="M136" i="2"/>
  <c r="O136" i="2"/>
  <c r="Q136" i="2"/>
  <c r="R136" i="2"/>
  <c r="S136" i="2"/>
  <c r="B137" i="2"/>
  <c r="F137" i="2"/>
  <c r="G137" i="2"/>
  <c r="H137" i="2"/>
  <c r="I137" i="2"/>
  <c r="J137" i="2"/>
  <c r="L137" i="2"/>
  <c r="M137" i="2"/>
  <c r="O137" i="2"/>
  <c r="Q137" i="2"/>
  <c r="R137" i="2"/>
  <c r="S137" i="2"/>
  <c r="B138" i="2"/>
  <c r="F138" i="2"/>
  <c r="G138" i="2"/>
  <c r="H138" i="2"/>
  <c r="I138" i="2"/>
  <c r="J138" i="2"/>
  <c r="L138" i="2"/>
  <c r="M138" i="2"/>
  <c r="O138" i="2"/>
  <c r="Q138" i="2"/>
  <c r="R138" i="2"/>
  <c r="S138" i="2"/>
  <c r="AA138" i="2" a="1"/>
  <c r="AC138" i="2" a="1"/>
  <c r="AE138" i="2" a="1"/>
  <c r="AF138" i="2" a="1"/>
  <c r="AG138" i="2" a="1"/>
  <c r="B139" i="2"/>
  <c r="F139" i="2"/>
  <c r="G139" i="2"/>
  <c r="H139" i="2"/>
  <c r="I139" i="2"/>
  <c r="J139" i="2"/>
  <c r="L139" i="2"/>
  <c r="M139" i="2"/>
  <c r="O139" i="2"/>
  <c r="Q139" i="2"/>
  <c r="R139" i="2"/>
  <c r="S139" i="2"/>
  <c r="AC139" i="2" a="1"/>
  <c r="AF139" i="2" a="1"/>
  <c r="AG139" i="2" a="1"/>
  <c r="B140" i="2"/>
  <c r="F140" i="2"/>
  <c r="G140" i="2"/>
  <c r="H140" i="2"/>
  <c r="I140" i="2"/>
  <c r="J140" i="2"/>
  <c r="L140" i="2"/>
  <c r="M140" i="2"/>
  <c r="O140" i="2"/>
  <c r="Q140" i="2"/>
  <c r="R140" i="2"/>
  <c r="S140" i="2"/>
  <c r="AG140" i="2" a="1"/>
  <c r="B141" i="2"/>
  <c r="F141" i="2"/>
  <c r="G141" i="2"/>
  <c r="H141" i="2"/>
  <c r="I141" i="2"/>
  <c r="J141" i="2"/>
  <c r="L141" i="2"/>
  <c r="M141" i="2"/>
  <c r="O141" i="2"/>
  <c r="Q141" i="2"/>
  <c r="R141" i="2"/>
  <c r="S141" i="2"/>
  <c r="AB141" i="2" a="1"/>
  <c r="AC141" i="2" a="1"/>
  <c r="AF141" i="2" a="1"/>
  <c r="AG141" i="2" a="1"/>
  <c r="B142" i="2"/>
  <c r="F142" i="2"/>
  <c r="G142" i="2"/>
  <c r="H142" i="2"/>
  <c r="I142" i="2"/>
  <c r="J142" i="2"/>
  <c r="L142" i="2"/>
  <c r="M142" i="2"/>
  <c r="O142" i="2"/>
  <c r="Q142" i="2"/>
  <c r="R142" i="2"/>
  <c r="S142" i="2"/>
  <c r="AA142" i="2" a="1"/>
  <c r="AB142" i="2" a="1"/>
  <c r="AC142" i="2" a="1"/>
  <c r="AD142" i="2" a="1"/>
  <c r="AE142" i="2" a="1"/>
  <c r="AF142" i="2" a="1"/>
  <c r="B143" i="2"/>
  <c r="F143" i="2"/>
  <c r="G143" i="2"/>
  <c r="H143" i="2"/>
  <c r="I143" i="2"/>
  <c r="J143" i="2"/>
  <c r="L143" i="2"/>
  <c r="M143" i="2"/>
  <c r="O143" i="2"/>
  <c r="Q143" i="2"/>
  <c r="R143" i="2"/>
  <c r="S143" i="2"/>
  <c r="B144" i="2"/>
  <c r="F144" i="2"/>
  <c r="G144" i="2"/>
  <c r="H144" i="2"/>
  <c r="I144" i="2"/>
  <c r="J144" i="2"/>
  <c r="L144" i="2"/>
  <c r="M144" i="2"/>
  <c r="O144" i="2"/>
  <c r="Q144" i="2"/>
  <c r="R144" i="2"/>
  <c r="S144" i="2"/>
  <c r="AA144" i="2" a="1"/>
  <c r="AB144" i="2" a="1"/>
  <c r="AC144" i="2" a="1"/>
  <c r="AD144" i="2" a="1"/>
  <c r="AE144" i="2" a="1"/>
  <c r="AF144" i="2" a="1"/>
  <c r="AG144" i="2" a="1"/>
  <c r="B145" i="2"/>
  <c r="F145" i="2"/>
  <c r="G145" i="2"/>
  <c r="H145" i="2"/>
  <c r="I145" i="2"/>
  <c r="J145" i="2"/>
  <c r="L145" i="2"/>
  <c r="M145" i="2"/>
  <c r="O145" i="2"/>
  <c r="Q145" i="2"/>
  <c r="R145" i="2"/>
  <c r="S145" i="2"/>
  <c r="AC145" i="2" a="1"/>
  <c r="AD145" i="2" a="1"/>
  <c r="AE145" i="2" a="1"/>
  <c r="AF145" i="2" a="1"/>
  <c r="AG145" i="2" a="1"/>
  <c r="B146" i="2"/>
  <c r="F146" i="2"/>
  <c r="G146" i="2"/>
  <c r="H146" i="2"/>
  <c r="I146" i="2"/>
  <c r="J146" i="2"/>
  <c r="L146" i="2"/>
  <c r="M146" i="2"/>
  <c r="O146" i="2"/>
  <c r="Q146" i="2"/>
  <c r="R146" i="2"/>
  <c r="S146" i="2"/>
  <c r="AA146" i="2" a="1"/>
  <c r="AB146" i="2" a="1"/>
  <c r="AC146" i="2" a="1"/>
  <c r="AD146" i="2" a="1"/>
  <c r="AE146" i="2" a="1"/>
  <c r="AF146" i="2" a="1"/>
  <c r="AG146" i="2" a="1"/>
  <c r="B147" i="2"/>
  <c r="F147" i="2"/>
  <c r="G147" i="2"/>
  <c r="H147" i="2"/>
  <c r="I147" i="2"/>
  <c r="J147" i="2"/>
  <c r="L147" i="2"/>
  <c r="M147" i="2"/>
  <c r="O147" i="2"/>
  <c r="Q147" i="2"/>
  <c r="R147" i="2"/>
  <c r="S147" i="2"/>
  <c r="B148" i="2"/>
  <c r="F148" i="2"/>
  <c r="G148" i="2"/>
  <c r="H148" i="2"/>
  <c r="I148" i="2"/>
  <c r="J148" i="2"/>
  <c r="L148" i="2"/>
  <c r="M148" i="2"/>
  <c r="O148" i="2"/>
  <c r="Q148" i="2"/>
  <c r="R148" i="2"/>
  <c r="S148" i="2"/>
  <c r="B149" i="2"/>
  <c r="F149" i="2"/>
  <c r="G149" i="2"/>
  <c r="H149" i="2"/>
  <c r="I149" i="2"/>
  <c r="J149" i="2"/>
  <c r="L149" i="2"/>
  <c r="M149" i="2"/>
  <c r="O149" i="2"/>
  <c r="Q149" i="2"/>
  <c r="R149" i="2"/>
  <c r="S149" i="2"/>
  <c r="AA149" i="2" a="1"/>
  <c r="AB149" i="2" a="1"/>
  <c r="AC149" i="2" a="1"/>
  <c r="AD149" i="2" a="1"/>
  <c r="AE149" i="2" a="1"/>
  <c r="AF149" i="2" a="1"/>
  <c r="AG149" i="2" a="1"/>
  <c r="B150" i="2"/>
  <c r="F150" i="2"/>
  <c r="G150" i="2"/>
  <c r="H150" i="2"/>
  <c r="I150" i="2"/>
  <c r="J150" i="2"/>
  <c r="L150" i="2"/>
  <c r="M150" i="2"/>
  <c r="O150" i="2"/>
  <c r="Q150" i="2"/>
  <c r="R150" i="2"/>
  <c r="S150" i="2"/>
  <c r="AB150" i="2" a="1"/>
  <c r="AC150" i="2" a="1"/>
  <c r="AD150" i="2" a="1"/>
  <c r="AE150" i="2" a="1"/>
  <c r="AF150" i="2" a="1"/>
  <c r="AG150" i="2" a="1"/>
  <c r="B151" i="2"/>
  <c r="F151" i="2"/>
  <c r="G151" i="2"/>
  <c r="H151" i="2"/>
  <c r="I151" i="2"/>
  <c r="J151" i="2"/>
  <c r="L151" i="2"/>
  <c r="M151" i="2"/>
  <c r="O151" i="2"/>
  <c r="Q151" i="2"/>
  <c r="R151" i="2"/>
  <c r="S151" i="2"/>
  <c r="B152" i="2"/>
  <c r="F152" i="2"/>
  <c r="G152" i="2"/>
  <c r="H152" i="2"/>
  <c r="I152" i="2"/>
  <c r="J152" i="2"/>
  <c r="L152" i="2"/>
  <c r="M152" i="2"/>
  <c r="O152" i="2"/>
  <c r="Q152" i="2"/>
  <c r="R152" i="2"/>
  <c r="S152" i="2"/>
  <c r="AA152" i="2" a="1"/>
  <c r="AB152" i="2" a="1"/>
  <c r="AC152" i="2" a="1"/>
  <c r="AD152" i="2" a="1"/>
  <c r="AE152" i="2" a="1"/>
  <c r="AF152" i="2" a="1"/>
  <c r="AG152" i="2" a="1"/>
  <c r="B153" i="2"/>
  <c r="F153" i="2"/>
  <c r="G153" i="2"/>
  <c r="H153" i="2"/>
  <c r="I153" i="2"/>
  <c r="J153" i="2"/>
  <c r="L153" i="2"/>
  <c r="M153" i="2"/>
  <c r="O153" i="2"/>
  <c r="Q153" i="2"/>
  <c r="R153" i="2"/>
  <c r="S153" i="2"/>
  <c r="AA153" i="2" a="1"/>
  <c r="AB153" i="2" a="1"/>
  <c r="AC153" i="2" a="1"/>
  <c r="AD153" i="2" a="1"/>
  <c r="AE153" i="2" a="1"/>
  <c r="AF153" i="2" a="1"/>
  <c r="AG153" i="2" a="1"/>
  <c r="B154" i="2"/>
  <c r="F154" i="2"/>
  <c r="G154" i="2"/>
  <c r="H154" i="2"/>
  <c r="I154" i="2"/>
  <c r="J154" i="2"/>
  <c r="L154" i="2"/>
  <c r="M154" i="2"/>
  <c r="O154" i="2"/>
  <c r="Q154" i="2"/>
  <c r="R154" i="2"/>
  <c r="S154" i="2"/>
  <c r="AA154" i="2" a="1"/>
  <c r="AB154" i="2" a="1"/>
  <c r="AC154" i="2" a="1"/>
  <c r="AD154" i="2" a="1"/>
  <c r="AE154" i="2" a="1"/>
  <c r="AF154" i="2" a="1"/>
  <c r="AG154" i="2" a="1"/>
  <c r="B155" i="2"/>
  <c r="F155" i="2"/>
  <c r="G155" i="2"/>
  <c r="H155" i="2"/>
  <c r="I155" i="2"/>
  <c r="J155" i="2"/>
  <c r="L155" i="2"/>
  <c r="M155" i="2"/>
  <c r="O155" i="2"/>
  <c r="Q155" i="2"/>
  <c r="R155" i="2"/>
  <c r="S155" i="2"/>
  <c r="AA155" i="2" a="1"/>
  <c r="AB155" i="2" a="1"/>
  <c r="AC155" i="2" a="1"/>
  <c r="AD155" i="2" a="1"/>
  <c r="AE155" i="2" a="1"/>
  <c r="AF155" i="2" a="1"/>
  <c r="AG155" i="2" a="1"/>
  <c r="B156" i="2"/>
  <c r="F156" i="2"/>
  <c r="G156" i="2"/>
  <c r="H156" i="2"/>
  <c r="I156" i="2"/>
  <c r="J156" i="2"/>
  <c r="L156" i="2"/>
  <c r="M156" i="2"/>
  <c r="O156" i="2"/>
  <c r="Q156" i="2"/>
  <c r="R156" i="2"/>
  <c r="S156" i="2"/>
  <c r="AA156" i="2" a="1"/>
  <c r="AB156" i="2" a="1"/>
  <c r="AC156" i="2" a="1"/>
  <c r="AD156" i="2" a="1"/>
  <c r="AE156" i="2" a="1"/>
  <c r="AF156" i="2" a="1"/>
  <c r="AG156" i="2" a="1"/>
  <c r="B157" i="2"/>
  <c r="F157" i="2"/>
  <c r="G157" i="2"/>
  <c r="H157" i="2"/>
  <c r="I157" i="2"/>
  <c r="J157" i="2"/>
  <c r="L157" i="2"/>
  <c r="M157" i="2"/>
  <c r="O157" i="2"/>
  <c r="Q157" i="2"/>
  <c r="R157" i="2"/>
  <c r="S157" i="2"/>
  <c r="AA157" i="2" a="1"/>
  <c r="AB157" i="2" a="1"/>
  <c r="AC157" i="2" a="1"/>
  <c r="AD157" i="2" a="1"/>
  <c r="AE157" i="2" a="1"/>
  <c r="AF157" i="2" a="1"/>
  <c r="AG157" i="2" a="1"/>
  <c r="B158" i="2"/>
  <c r="F158" i="2"/>
  <c r="G158" i="2"/>
  <c r="H158" i="2"/>
  <c r="I158" i="2"/>
  <c r="J158" i="2"/>
  <c r="L158" i="2"/>
  <c r="M158" i="2"/>
  <c r="O158" i="2"/>
  <c r="Q158" i="2"/>
  <c r="R158" i="2"/>
  <c r="S158" i="2"/>
  <c r="AA158" i="2" a="1"/>
  <c r="AB158" i="2" a="1"/>
  <c r="AC158" i="2" a="1"/>
  <c r="AD158" i="2" a="1"/>
  <c r="AE158" i="2" a="1"/>
  <c r="AF158" i="2" a="1"/>
  <c r="AG158" i="2" a="1"/>
  <c r="B159" i="2"/>
  <c r="F159" i="2"/>
  <c r="G159" i="2"/>
  <c r="H159" i="2"/>
  <c r="I159" i="2"/>
  <c r="J159" i="2"/>
  <c r="L159" i="2"/>
  <c r="M159" i="2"/>
  <c r="O159" i="2"/>
  <c r="Q159" i="2"/>
  <c r="R159" i="2"/>
  <c r="S159" i="2"/>
  <c r="AA159" i="2" a="1"/>
  <c r="AB159" i="2" a="1"/>
  <c r="AC159" i="2" a="1"/>
  <c r="AD159" i="2" a="1"/>
  <c r="AE159" i="2" a="1"/>
  <c r="AF159" i="2" a="1"/>
  <c r="AG159" i="2" a="1"/>
  <c r="B160" i="2"/>
  <c r="F160" i="2"/>
  <c r="G160" i="2"/>
  <c r="H160" i="2"/>
  <c r="I160" i="2"/>
  <c r="J160" i="2"/>
  <c r="L160" i="2"/>
  <c r="M160" i="2"/>
  <c r="O160" i="2"/>
  <c r="Q160" i="2"/>
  <c r="R160" i="2"/>
  <c r="S160" i="2"/>
  <c r="AD160" i="2" a="1"/>
  <c r="AF160" i="2" a="1"/>
  <c r="AG160" i="2" a="1"/>
  <c r="B161" i="2"/>
  <c r="F161" i="2"/>
  <c r="G161" i="2"/>
  <c r="H161" i="2"/>
  <c r="I161" i="2"/>
  <c r="J161" i="2"/>
  <c r="L161" i="2"/>
  <c r="M161" i="2"/>
  <c r="O161" i="2"/>
  <c r="Q161" i="2"/>
  <c r="R161" i="2"/>
  <c r="S161" i="2"/>
  <c r="AA161" i="2" a="1"/>
  <c r="AB161" i="2" a="1"/>
  <c r="AC161" i="2" a="1"/>
  <c r="AD161" i="2" a="1"/>
  <c r="AE161" i="2" a="1"/>
  <c r="AF161" i="2" a="1"/>
  <c r="AG161" i="2" a="1"/>
  <c r="B162" i="2"/>
  <c r="F162" i="2"/>
  <c r="G162" i="2"/>
  <c r="H162" i="2"/>
  <c r="I162" i="2"/>
  <c r="J162" i="2"/>
  <c r="L162" i="2"/>
  <c r="M162" i="2"/>
  <c r="O162" i="2"/>
  <c r="Q162" i="2"/>
  <c r="R162" i="2"/>
  <c r="S162" i="2"/>
  <c r="B163" i="2"/>
  <c r="F163" i="2"/>
  <c r="G163" i="2"/>
  <c r="H163" i="2"/>
  <c r="I163" i="2"/>
  <c r="J163" i="2"/>
  <c r="L163" i="2"/>
  <c r="M163" i="2"/>
  <c r="O163" i="2"/>
  <c r="Q163" i="2"/>
  <c r="R163" i="2"/>
  <c r="S163" i="2"/>
  <c r="B164" i="2"/>
  <c r="F164" i="2"/>
  <c r="G164" i="2"/>
  <c r="H164" i="2"/>
  <c r="I164" i="2"/>
  <c r="J164" i="2"/>
  <c r="L164" i="2"/>
  <c r="M164" i="2"/>
  <c r="O164" i="2"/>
  <c r="Q164" i="2"/>
  <c r="R164" i="2"/>
  <c r="S164" i="2"/>
  <c r="AA164" i="2" a="1"/>
  <c r="AB164" i="2" a="1"/>
  <c r="AC164" i="2" a="1"/>
  <c r="AD164" i="2" a="1"/>
  <c r="AE164" i="2" a="1"/>
  <c r="AF164" i="2" a="1"/>
  <c r="AG164" i="2" a="1"/>
  <c r="B165" i="2"/>
  <c r="F165" i="2"/>
  <c r="G165" i="2"/>
  <c r="H165" i="2"/>
  <c r="I165" i="2"/>
  <c r="J165" i="2"/>
  <c r="L165" i="2"/>
  <c r="M165" i="2"/>
  <c r="O165" i="2"/>
  <c r="Q165" i="2"/>
  <c r="R165" i="2"/>
  <c r="S165" i="2"/>
  <c r="AA165" i="2" a="1"/>
  <c r="AB165" i="2" a="1"/>
  <c r="AC165" i="2" a="1"/>
  <c r="AD165" i="2" a="1"/>
  <c r="AE165" i="2" a="1"/>
  <c r="AF165" i="2" a="1"/>
  <c r="AG165" i="2" a="1"/>
  <c r="B166" i="2"/>
  <c r="F166" i="2"/>
  <c r="G166" i="2"/>
  <c r="H166" i="2"/>
  <c r="I166" i="2"/>
  <c r="J166" i="2"/>
  <c r="L166" i="2"/>
  <c r="M166" i="2"/>
  <c r="O166" i="2"/>
  <c r="Q166" i="2"/>
  <c r="R166" i="2"/>
  <c r="S166" i="2"/>
  <c r="AA166" i="2" a="1"/>
  <c r="AB166" i="2" a="1"/>
  <c r="AC166" i="2" a="1"/>
  <c r="AD166" i="2" a="1"/>
  <c r="AE166" i="2" a="1"/>
  <c r="AF166" i="2" a="1"/>
  <c r="AG166" i="2" a="1"/>
  <c r="B167" i="2"/>
  <c r="F167" i="2"/>
  <c r="G167" i="2"/>
  <c r="H167" i="2"/>
  <c r="I167" i="2"/>
  <c r="J167" i="2"/>
  <c r="L167" i="2"/>
  <c r="M167" i="2"/>
  <c r="O167" i="2"/>
  <c r="Q167" i="2"/>
  <c r="R167" i="2"/>
  <c r="S167" i="2"/>
  <c r="AA167" i="2" a="1"/>
  <c r="AB167" i="2" a="1"/>
  <c r="AC167" i="2" a="1"/>
  <c r="AD167" i="2" a="1"/>
  <c r="AE167" i="2" a="1"/>
  <c r="AF167" i="2" a="1"/>
  <c r="AG167" i="2" a="1"/>
  <c r="B168" i="2"/>
  <c r="F168" i="2"/>
  <c r="G168" i="2"/>
  <c r="H168" i="2"/>
  <c r="I168" i="2"/>
  <c r="J168" i="2"/>
  <c r="L168" i="2"/>
  <c r="M168" i="2"/>
  <c r="O168" i="2"/>
  <c r="Q168" i="2"/>
  <c r="R168" i="2"/>
  <c r="S168" i="2"/>
  <c r="AA168" i="2" a="1"/>
  <c r="AB168" i="2" a="1"/>
  <c r="AC168" i="2" a="1"/>
  <c r="AD168" i="2" a="1"/>
  <c r="AE168" i="2" a="1"/>
  <c r="AF168" i="2" a="1"/>
  <c r="AG168" i="2" a="1"/>
  <c r="B169" i="2"/>
  <c r="F169" i="2"/>
  <c r="G169" i="2"/>
  <c r="H169" i="2"/>
  <c r="I169" i="2"/>
  <c r="J169" i="2"/>
  <c r="L169" i="2"/>
  <c r="M169" i="2"/>
  <c r="O169" i="2"/>
  <c r="Q169" i="2"/>
  <c r="R169" i="2"/>
  <c r="S169" i="2"/>
  <c r="AA169" i="2" a="1"/>
  <c r="AB169" i="2" a="1"/>
  <c r="AC169" i="2" a="1"/>
  <c r="AD169" i="2" a="1"/>
  <c r="AE169" i="2" a="1"/>
  <c r="AF169" i="2" a="1"/>
  <c r="AG169" i="2" a="1"/>
  <c r="B170" i="2"/>
  <c r="F170" i="2"/>
  <c r="G170" i="2"/>
  <c r="H170" i="2"/>
  <c r="I170" i="2"/>
  <c r="J170" i="2"/>
  <c r="L170" i="2"/>
  <c r="M170" i="2"/>
  <c r="O170" i="2"/>
  <c r="Q170" i="2"/>
  <c r="R170" i="2"/>
  <c r="S170" i="2"/>
  <c r="B171" i="2"/>
  <c r="F171" i="2"/>
  <c r="G171" i="2"/>
  <c r="H171" i="2"/>
  <c r="I171" i="2"/>
  <c r="J171" i="2"/>
  <c r="L171" i="2"/>
  <c r="M171" i="2"/>
  <c r="O171" i="2"/>
  <c r="Q171" i="2"/>
  <c r="R171" i="2"/>
  <c r="S171" i="2"/>
  <c r="AG171" i="2" a="1"/>
  <c r="B172" i="2"/>
  <c r="F172" i="2"/>
  <c r="G172" i="2"/>
  <c r="H172" i="2"/>
  <c r="I172" i="2"/>
  <c r="J172" i="2"/>
  <c r="L172" i="2"/>
  <c r="M172" i="2"/>
  <c r="O172" i="2"/>
  <c r="Q172" i="2"/>
  <c r="R172" i="2"/>
  <c r="S172" i="2"/>
  <c r="B173" i="2"/>
  <c r="F173" i="2"/>
  <c r="G173" i="2"/>
  <c r="H173" i="2"/>
  <c r="I173" i="2"/>
  <c r="J173" i="2"/>
  <c r="L173" i="2"/>
  <c r="M173" i="2"/>
  <c r="O173" i="2"/>
  <c r="Q173" i="2"/>
  <c r="R173" i="2"/>
  <c r="S173" i="2"/>
  <c r="AA173" i="2" a="1"/>
  <c r="AB173" i="2" a="1"/>
  <c r="AC173" i="2" a="1"/>
  <c r="AD173" i="2" a="1"/>
  <c r="AE173" i="2" a="1"/>
  <c r="AF173" i="2" a="1"/>
  <c r="AG173" i="2" a="1"/>
  <c r="B174" i="2"/>
  <c r="F174" i="2"/>
  <c r="G174" i="2"/>
  <c r="H174" i="2"/>
  <c r="I174" i="2"/>
  <c r="J174" i="2"/>
  <c r="L174" i="2"/>
  <c r="M174" i="2"/>
  <c r="O174" i="2"/>
  <c r="Q174" i="2"/>
  <c r="R174" i="2"/>
  <c r="S174" i="2"/>
  <c r="AB174" i="2" a="1"/>
  <c r="AC174" i="2" a="1"/>
  <c r="AD174" i="2" a="1"/>
  <c r="AE174" i="2" a="1"/>
  <c r="AF174" i="2" a="1"/>
  <c r="AG174" i="2" a="1"/>
  <c r="B175" i="2"/>
  <c r="F175" i="2"/>
  <c r="G175" i="2"/>
  <c r="H175" i="2"/>
  <c r="I175" i="2"/>
  <c r="J175" i="2"/>
  <c r="L175" i="2"/>
  <c r="M175" i="2"/>
  <c r="O175" i="2"/>
  <c r="Q175" i="2"/>
  <c r="R175" i="2"/>
  <c r="S175" i="2"/>
  <c r="AB175" i="2" a="1"/>
  <c r="AC175" i="2" a="1"/>
  <c r="AG175" i="2" a="1"/>
  <c r="B176" i="2"/>
  <c r="F176" i="2"/>
  <c r="G176" i="2"/>
  <c r="H176" i="2"/>
  <c r="I176" i="2"/>
  <c r="J176" i="2"/>
  <c r="L176" i="2"/>
  <c r="M176" i="2"/>
  <c r="O176" i="2"/>
  <c r="Q176" i="2"/>
  <c r="R176" i="2"/>
  <c r="S176" i="2"/>
  <c r="AA176" i="2" a="1"/>
  <c r="AB176" i="2" a="1"/>
  <c r="AC176" i="2" a="1"/>
  <c r="AD176" i="2" a="1"/>
  <c r="AE176" i="2" a="1"/>
  <c r="AF176" i="2" a="1"/>
  <c r="AG176" i="2" a="1"/>
  <c r="B177" i="2"/>
  <c r="F177" i="2"/>
  <c r="G177" i="2"/>
  <c r="H177" i="2"/>
  <c r="I177" i="2"/>
  <c r="J177" i="2"/>
  <c r="L177" i="2"/>
  <c r="M177" i="2"/>
  <c r="O177" i="2"/>
  <c r="Q177" i="2"/>
  <c r="R177" i="2"/>
  <c r="S177" i="2"/>
  <c r="AA177" i="2" a="1"/>
  <c r="AB177" i="2" a="1"/>
  <c r="AC177" i="2" a="1"/>
  <c r="AD177" i="2" a="1"/>
  <c r="AE177" i="2" a="1"/>
  <c r="AF177" i="2" a="1"/>
  <c r="AG177" i="2" a="1"/>
  <c r="B178" i="2"/>
  <c r="F178" i="2"/>
  <c r="G178" i="2"/>
  <c r="H178" i="2"/>
  <c r="I178" i="2"/>
  <c r="J178" i="2"/>
  <c r="L178" i="2"/>
  <c r="M178" i="2"/>
  <c r="O178" i="2"/>
  <c r="Q178" i="2"/>
  <c r="R178" i="2"/>
  <c r="S178" i="2"/>
  <c r="AA178" i="2" a="1"/>
  <c r="AB178" i="2" a="1"/>
  <c r="AC178" i="2" a="1"/>
  <c r="AD178" i="2" a="1"/>
  <c r="AE178" i="2" a="1"/>
  <c r="AF178" i="2" a="1"/>
  <c r="AG178" i="2" a="1"/>
  <c r="B179" i="2"/>
  <c r="F179" i="2"/>
  <c r="G179" i="2"/>
  <c r="H179" i="2"/>
  <c r="I179" i="2"/>
  <c r="J179" i="2"/>
  <c r="L179" i="2"/>
  <c r="M179" i="2"/>
  <c r="O179" i="2"/>
  <c r="Q179" i="2"/>
  <c r="R179" i="2"/>
  <c r="S179" i="2"/>
  <c r="AD179" i="2" a="1"/>
  <c r="AE179" i="2" a="1"/>
  <c r="AF179" i="2" a="1"/>
  <c r="AG179" i="2" a="1"/>
  <c r="B180" i="2"/>
  <c r="F180" i="2"/>
  <c r="G180" i="2"/>
  <c r="H180" i="2"/>
  <c r="I180" i="2"/>
  <c r="J180" i="2"/>
  <c r="L180" i="2"/>
  <c r="M180" i="2"/>
  <c r="O180" i="2"/>
  <c r="Q180" i="2"/>
  <c r="R180" i="2"/>
  <c r="S180" i="2"/>
  <c r="AA180" i="2" a="1"/>
  <c r="AB180" i="2" a="1"/>
  <c r="AC180" i="2" a="1"/>
  <c r="AD180" i="2" a="1"/>
  <c r="AE180" i="2" a="1"/>
  <c r="AF180" i="2" a="1"/>
  <c r="AG180" i="2" a="1"/>
  <c r="B181" i="2"/>
  <c r="F181" i="2"/>
  <c r="G181" i="2"/>
  <c r="H181" i="2"/>
  <c r="I181" i="2"/>
  <c r="J181" i="2"/>
  <c r="L181" i="2"/>
  <c r="M181" i="2"/>
  <c r="O181" i="2"/>
  <c r="Q181" i="2"/>
  <c r="R181" i="2"/>
  <c r="S181" i="2"/>
  <c r="AB181" i="2" a="1"/>
  <c r="AE181" i="2" a="1"/>
  <c r="B182" i="2"/>
  <c r="F182" i="2"/>
  <c r="G182" i="2"/>
  <c r="H182" i="2"/>
  <c r="I182" i="2"/>
  <c r="J182" i="2"/>
  <c r="L182" i="2"/>
  <c r="M182" i="2"/>
  <c r="O182" i="2"/>
  <c r="Q182" i="2"/>
  <c r="R182" i="2"/>
  <c r="S182" i="2"/>
  <c r="AB182" i="2" a="1"/>
  <c r="AC182" i="2" a="1"/>
  <c r="AD182" i="2" a="1"/>
  <c r="AE182" i="2" a="1"/>
  <c r="AF182" i="2" a="1"/>
  <c r="AG182" i="2" a="1"/>
  <c r="B183" i="2"/>
  <c r="F183" i="2"/>
  <c r="G183" i="2"/>
  <c r="H183" i="2"/>
  <c r="I183" i="2"/>
  <c r="J183" i="2"/>
  <c r="L183" i="2"/>
  <c r="M183" i="2"/>
  <c r="O183" i="2"/>
  <c r="Q183" i="2"/>
  <c r="R183" i="2"/>
  <c r="S183" i="2"/>
  <c r="B184" i="2"/>
  <c r="F184" i="2"/>
  <c r="G184" i="2"/>
  <c r="H184" i="2"/>
  <c r="I184" i="2"/>
  <c r="J184" i="2"/>
  <c r="L184" i="2"/>
  <c r="M184" i="2"/>
  <c r="O184" i="2"/>
  <c r="Q184" i="2"/>
  <c r="R184" i="2"/>
  <c r="S184" i="2"/>
  <c r="AA184" i="2" a="1"/>
  <c r="AB184" i="2" a="1"/>
  <c r="AC184" i="2" a="1"/>
  <c r="AD184" i="2" a="1"/>
  <c r="AE184" i="2" a="1"/>
  <c r="AF184" i="2" a="1"/>
  <c r="AG184" i="2" a="1"/>
  <c r="B185" i="2"/>
  <c r="F185" i="2"/>
  <c r="G185" i="2"/>
  <c r="H185" i="2"/>
  <c r="I185" i="2"/>
  <c r="J185" i="2"/>
  <c r="L185" i="2"/>
  <c r="M185" i="2"/>
  <c r="O185" i="2"/>
  <c r="Q185" i="2"/>
  <c r="R185" i="2"/>
  <c r="S185" i="2"/>
  <c r="AC185" i="2" a="1"/>
  <c r="AD185" i="2" a="1"/>
  <c r="AE185" i="2" a="1"/>
  <c r="AF185" i="2" a="1"/>
  <c r="AG185" i="2" a="1"/>
  <c r="B186" i="2"/>
  <c r="F186" i="2"/>
  <c r="G186" i="2"/>
  <c r="H186" i="2"/>
  <c r="I186" i="2"/>
  <c r="J186" i="2"/>
  <c r="L186" i="2"/>
  <c r="M186" i="2"/>
  <c r="O186" i="2"/>
  <c r="Q186" i="2"/>
  <c r="R186" i="2"/>
  <c r="S186" i="2"/>
  <c r="AA186" i="2" a="1"/>
  <c r="AB186" i="2" a="1"/>
  <c r="AC186" i="2" a="1"/>
  <c r="AD186" i="2" a="1"/>
  <c r="AE186" i="2" a="1"/>
  <c r="AF186" i="2" a="1"/>
  <c r="AG186" i="2" a="1"/>
  <c r="B187" i="2"/>
  <c r="F187" i="2"/>
  <c r="G187" i="2"/>
  <c r="H187" i="2"/>
  <c r="I187" i="2"/>
  <c r="J187" i="2"/>
  <c r="L187" i="2"/>
  <c r="M187" i="2"/>
  <c r="O187" i="2"/>
  <c r="Q187" i="2"/>
  <c r="R187" i="2"/>
  <c r="S187" i="2"/>
  <c r="AA187" i="2" a="1"/>
  <c r="AB187" i="2" a="1"/>
  <c r="AC187" i="2" a="1"/>
  <c r="AD187" i="2" a="1"/>
  <c r="AE187" i="2" a="1"/>
  <c r="AF187" i="2" a="1"/>
  <c r="AG187" i="2" a="1"/>
  <c r="B188" i="2"/>
  <c r="F188" i="2"/>
  <c r="G188" i="2"/>
  <c r="H188" i="2"/>
  <c r="I188" i="2"/>
  <c r="J188" i="2"/>
  <c r="L188" i="2"/>
  <c r="M188" i="2"/>
  <c r="O188" i="2"/>
  <c r="Q188" i="2"/>
  <c r="R188" i="2"/>
  <c r="S188" i="2"/>
  <c r="AA188" i="2" a="1"/>
  <c r="AB188" i="2" a="1"/>
  <c r="AC188" i="2" a="1"/>
  <c r="AD188" i="2" a="1"/>
  <c r="AE188" i="2" a="1"/>
  <c r="B189" i="2"/>
  <c r="F189" i="2"/>
  <c r="G189" i="2"/>
  <c r="H189" i="2"/>
  <c r="I189" i="2"/>
  <c r="J189" i="2"/>
  <c r="L189" i="2"/>
  <c r="M189" i="2"/>
  <c r="O189" i="2"/>
  <c r="Q189" i="2"/>
  <c r="R189" i="2"/>
  <c r="S189" i="2"/>
  <c r="AA189" i="2" a="1"/>
  <c r="AB189" i="2" a="1"/>
  <c r="AC189" i="2" a="1"/>
  <c r="AD189" i="2" a="1"/>
  <c r="AE189" i="2" a="1"/>
  <c r="AF189" i="2" a="1"/>
  <c r="AG189" i="2" a="1"/>
  <c r="B190" i="2"/>
  <c r="F190" i="2"/>
  <c r="G190" i="2"/>
  <c r="H190" i="2"/>
  <c r="I190" i="2"/>
  <c r="J190" i="2"/>
  <c r="L190" i="2"/>
  <c r="M190" i="2"/>
  <c r="O190" i="2"/>
  <c r="Q190" i="2"/>
  <c r="R190" i="2"/>
  <c r="S190" i="2"/>
  <c r="B191" i="2"/>
  <c r="F191" i="2"/>
  <c r="G191" i="2"/>
  <c r="H191" i="2"/>
  <c r="I191" i="2"/>
  <c r="J191" i="2"/>
  <c r="L191" i="2"/>
  <c r="M191" i="2"/>
  <c r="O191" i="2"/>
  <c r="Q191" i="2"/>
  <c r="R191" i="2"/>
  <c r="S191" i="2"/>
  <c r="B192" i="2"/>
  <c r="F192" i="2"/>
  <c r="G192" i="2"/>
  <c r="H192" i="2"/>
  <c r="I192" i="2"/>
  <c r="J192" i="2"/>
  <c r="L192" i="2"/>
  <c r="M192" i="2"/>
  <c r="O192" i="2"/>
  <c r="Q192" i="2"/>
  <c r="R192" i="2"/>
  <c r="S192" i="2"/>
  <c r="AA192" i="2" a="1"/>
  <c r="AB192" i="2" a="1"/>
  <c r="AC192" i="2" a="1"/>
  <c r="AD192" i="2" a="1"/>
  <c r="AE192" i="2" a="1"/>
  <c r="AF192" i="2" a="1"/>
  <c r="AG192" i="2" a="1"/>
  <c r="B193" i="2"/>
  <c r="F193" i="2"/>
  <c r="G193" i="2"/>
  <c r="H193" i="2"/>
  <c r="I193" i="2"/>
  <c r="J193" i="2"/>
  <c r="L193" i="2"/>
  <c r="M193" i="2"/>
  <c r="O193" i="2"/>
  <c r="Q193" i="2"/>
  <c r="R193" i="2"/>
  <c r="S193" i="2"/>
  <c r="AA193" i="2" a="1"/>
  <c r="AB193" i="2" a="1"/>
  <c r="AC193" i="2" a="1"/>
  <c r="AD193" i="2" a="1"/>
  <c r="AE193" i="2" a="1"/>
  <c r="AF193" i="2" a="1"/>
  <c r="AG193" i="2" a="1"/>
  <c r="B194" i="2"/>
  <c r="F194" i="2"/>
  <c r="G194" i="2"/>
  <c r="H194" i="2"/>
  <c r="I194" i="2"/>
  <c r="J194" i="2"/>
  <c r="L194" i="2"/>
  <c r="M194" i="2"/>
  <c r="O194" i="2"/>
  <c r="Q194" i="2"/>
  <c r="R194" i="2"/>
  <c r="S194" i="2"/>
  <c r="AA194" i="2" a="1"/>
  <c r="AB194" i="2" a="1"/>
  <c r="AC194" i="2" a="1"/>
  <c r="AD194" i="2" a="1"/>
  <c r="AE194" i="2" a="1"/>
  <c r="AF194" i="2" a="1"/>
  <c r="AG194" i="2" a="1"/>
  <c r="B195" i="2"/>
  <c r="F195" i="2"/>
  <c r="G195" i="2"/>
  <c r="H195" i="2"/>
  <c r="I195" i="2"/>
  <c r="J195" i="2"/>
  <c r="L195" i="2"/>
  <c r="M195" i="2"/>
  <c r="O195" i="2"/>
  <c r="Q195" i="2"/>
  <c r="R195" i="2"/>
  <c r="S195" i="2"/>
  <c r="AA195" i="2" a="1"/>
  <c r="AB195" i="2" a="1"/>
  <c r="AC195" i="2" a="1"/>
  <c r="AD195" i="2" a="1"/>
  <c r="AE195" i="2" a="1"/>
  <c r="AF195" i="2" a="1"/>
  <c r="AG195" i="2" a="1"/>
  <c r="B196" i="2"/>
  <c r="F196" i="2"/>
  <c r="G196" i="2"/>
  <c r="H196" i="2"/>
  <c r="I196" i="2"/>
  <c r="J196" i="2"/>
  <c r="L196" i="2"/>
  <c r="M196" i="2"/>
  <c r="O196" i="2"/>
  <c r="Q196" i="2"/>
  <c r="R196" i="2"/>
  <c r="S196" i="2"/>
  <c r="AA196" i="2" a="1"/>
  <c r="AB196" i="2" a="1"/>
  <c r="AC196" i="2" a="1"/>
  <c r="AD196" i="2" a="1"/>
  <c r="AE196" i="2" a="1"/>
  <c r="AF196" i="2" a="1"/>
  <c r="AG196" i="2" a="1"/>
  <c r="B197" i="2"/>
  <c r="F197" i="2"/>
  <c r="G197" i="2"/>
  <c r="H197" i="2"/>
  <c r="I197" i="2"/>
  <c r="J197" i="2"/>
  <c r="L197" i="2"/>
  <c r="M197" i="2"/>
  <c r="O197" i="2"/>
  <c r="Q197" i="2"/>
  <c r="R197" i="2"/>
  <c r="S197" i="2"/>
  <c r="B198" i="2"/>
  <c r="F198" i="2"/>
  <c r="G198" i="2"/>
  <c r="H198" i="2"/>
  <c r="I198" i="2"/>
  <c r="J198" i="2"/>
  <c r="L198" i="2"/>
  <c r="M198" i="2"/>
  <c r="O198" i="2"/>
  <c r="Q198" i="2"/>
  <c r="R198" i="2"/>
  <c r="S198" i="2"/>
  <c r="B199" i="2"/>
  <c r="F199" i="2"/>
  <c r="G199" i="2"/>
  <c r="H199" i="2"/>
  <c r="I199" i="2"/>
  <c r="J199" i="2"/>
  <c r="L199" i="2"/>
  <c r="M199" i="2"/>
  <c r="O199" i="2"/>
  <c r="Q199" i="2"/>
  <c r="R199" i="2"/>
  <c r="S199" i="2"/>
  <c r="AA199" i="2" a="1"/>
  <c r="AB199" i="2" a="1"/>
  <c r="AC199" i="2" a="1"/>
  <c r="AD199" i="2" a="1"/>
  <c r="B200" i="2"/>
  <c r="F200" i="2"/>
  <c r="G200" i="2"/>
  <c r="H200" i="2"/>
  <c r="I200" i="2"/>
  <c r="J200" i="2"/>
  <c r="L200" i="2"/>
  <c r="M200" i="2"/>
  <c r="O200" i="2"/>
  <c r="Q200" i="2"/>
  <c r="R200" i="2"/>
  <c r="S200" i="2"/>
  <c r="B201" i="2"/>
  <c r="F201" i="2"/>
  <c r="G201" i="2"/>
  <c r="H201" i="2"/>
  <c r="I201" i="2"/>
  <c r="J201" i="2"/>
  <c r="L201" i="2"/>
  <c r="M201" i="2"/>
  <c r="O201" i="2"/>
  <c r="Q201" i="2"/>
  <c r="R201" i="2"/>
  <c r="S201" i="2"/>
  <c r="AA201" i="2" a="1"/>
  <c r="AB201" i="2" a="1"/>
  <c r="AC201" i="2" a="1"/>
  <c r="AD201" i="2" a="1"/>
  <c r="AE201" i="2" a="1"/>
  <c r="AF201" i="2" a="1"/>
  <c r="AG201" i="2" a="1"/>
  <c r="B202" i="2"/>
  <c r="F202" i="2"/>
  <c r="G202" i="2"/>
  <c r="H202" i="2"/>
  <c r="I202" i="2"/>
  <c r="J202" i="2"/>
  <c r="L202" i="2"/>
  <c r="M202" i="2"/>
  <c r="O202" i="2"/>
  <c r="Q202" i="2"/>
  <c r="R202" i="2"/>
  <c r="S202" i="2"/>
  <c r="AA202" i="2" a="1"/>
  <c r="AB202" i="2" a="1"/>
  <c r="AC202" i="2" a="1"/>
  <c r="AD202" i="2" a="1"/>
  <c r="AE202" i="2" a="1"/>
  <c r="AF202" i="2" a="1"/>
  <c r="AG202" i="2" a="1"/>
  <c r="B203" i="2"/>
  <c r="F203" i="2"/>
  <c r="G203" i="2"/>
  <c r="H203" i="2"/>
  <c r="I203" i="2"/>
  <c r="J203" i="2"/>
  <c r="L203" i="2"/>
  <c r="M203" i="2"/>
  <c r="O203" i="2"/>
  <c r="Q203" i="2"/>
  <c r="R203" i="2"/>
  <c r="S203" i="2"/>
  <c r="AA203" i="2" a="1"/>
  <c r="AB203" i="2" a="1"/>
  <c r="AC203" i="2" a="1"/>
  <c r="AD203" i="2" a="1"/>
  <c r="AE203" i="2" a="1"/>
  <c r="AF203" i="2" a="1"/>
  <c r="AG203" i="2" a="1"/>
  <c r="B204" i="2"/>
  <c r="F204" i="2"/>
  <c r="G204" i="2"/>
  <c r="H204" i="2"/>
  <c r="I204" i="2"/>
  <c r="J204" i="2"/>
  <c r="L204" i="2"/>
  <c r="M204" i="2"/>
  <c r="O204" i="2"/>
  <c r="Q204" i="2"/>
  <c r="R204" i="2"/>
  <c r="S204" i="2"/>
  <c r="AA204" i="2" a="1"/>
  <c r="AB204" i="2" a="1"/>
  <c r="AC204" i="2" a="1"/>
  <c r="AD204" i="2" a="1"/>
  <c r="AE204" i="2" a="1"/>
  <c r="AF204" i="2" a="1"/>
  <c r="AG204" i="2" a="1"/>
  <c r="B205" i="2"/>
  <c r="F205" i="2"/>
  <c r="G205" i="2"/>
  <c r="H205" i="2"/>
  <c r="I205" i="2"/>
  <c r="J205" i="2"/>
  <c r="L205" i="2"/>
  <c r="M205" i="2"/>
  <c r="O205" i="2"/>
  <c r="Q205" i="2"/>
  <c r="R205" i="2"/>
  <c r="S205" i="2"/>
  <c r="AA205" i="2" a="1"/>
  <c r="AB205" i="2" a="1"/>
  <c r="AC205" i="2" a="1"/>
  <c r="AD205" i="2" a="1"/>
  <c r="AE205" i="2" a="1"/>
  <c r="AF205" i="2" a="1"/>
  <c r="AG205" i="2" a="1"/>
  <c r="B206" i="2"/>
  <c r="F206" i="2"/>
  <c r="G206" i="2"/>
  <c r="H206" i="2"/>
  <c r="I206" i="2"/>
  <c r="J206" i="2"/>
  <c r="L206" i="2"/>
  <c r="M206" i="2"/>
  <c r="O206" i="2"/>
  <c r="Q206" i="2"/>
  <c r="R206" i="2"/>
  <c r="S206" i="2"/>
  <c r="AA206" i="2" a="1"/>
  <c r="AB206" i="2" a="1"/>
  <c r="AC206" i="2" a="1"/>
  <c r="AD206" i="2" a="1"/>
  <c r="AE206" i="2" a="1"/>
  <c r="AF206" i="2" a="1"/>
  <c r="AG206" i="2" a="1"/>
  <c r="B207" i="2"/>
  <c r="F207" i="2"/>
  <c r="G207" i="2"/>
  <c r="H207" i="2"/>
  <c r="I207" i="2"/>
  <c r="J207" i="2"/>
  <c r="L207" i="2"/>
  <c r="M207" i="2"/>
  <c r="O207" i="2"/>
  <c r="Q207" i="2"/>
  <c r="R207" i="2"/>
  <c r="S207" i="2"/>
  <c r="AA207" i="2" a="1"/>
  <c r="AB207" i="2" a="1"/>
  <c r="AC207" i="2" a="1"/>
  <c r="AD207" i="2" a="1"/>
  <c r="AE207" i="2" a="1"/>
  <c r="AF207" i="2" a="1"/>
  <c r="AG207" i="2" a="1"/>
  <c r="B208" i="2"/>
  <c r="F208" i="2"/>
  <c r="G208" i="2"/>
  <c r="H208" i="2"/>
  <c r="I208" i="2"/>
  <c r="J208" i="2"/>
  <c r="L208" i="2"/>
  <c r="M208" i="2"/>
  <c r="O208" i="2"/>
  <c r="Q208" i="2"/>
  <c r="R208" i="2"/>
  <c r="S208" i="2"/>
  <c r="AA208" i="2" a="1"/>
  <c r="AB208" i="2" a="1"/>
  <c r="AC208" i="2" a="1"/>
  <c r="AD208" i="2" a="1"/>
  <c r="AE208" i="2" a="1"/>
  <c r="AF208" i="2" a="1"/>
  <c r="AG208" i="2" a="1"/>
  <c r="B209" i="2"/>
  <c r="F209" i="2"/>
  <c r="G209" i="2"/>
  <c r="H209" i="2"/>
  <c r="I209" i="2"/>
  <c r="J209" i="2"/>
  <c r="L209" i="2"/>
  <c r="M209" i="2"/>
  <c r="O209" i="2"/>
  <c r="Q209" i="2"/>
  <c r="R209" i="2"/>
  <c r="S209" i="2"/>
  <c r="AA209" i="2" a="1"/>
  <c r="AB209" i="2" a="1"/>
  <c r="AC209" i="2" a="1"/>
  <c r="AD209" i="2" a="1"/>
  <c r="AE209" i="2" a="1"/>
  <c r="AF209" i="2" a="1"/>
  <c r="AG209" i="2" a="1"/>
  <c r="B210" i="2"/>
  <c r="F210" i="2"/>
  <c r="G210" i="2"/>
  <c r="H210" i="2"/>
  <c r="I210" i="2"/>
  <c r="J210" i="2"/>
  <c r="L210" i="2"/>
  <c r="M210" i="2"/>
  <c r="O210" i="2"/>
  <c r="Q210" i="2"/>
  <c r="R210" i="2"/>
  <c r="S210" i="2"/>
  <c r="AA210" i="2" a="1"/>
  <c r="AB210" i="2" a="1"/>
  <c r="AC210" i="2" a="1"/>
  <c r="AD210" i="2" a="1"/>
  <c r="AE210" i="2" a="1"/>
  <c r="AF210" i="2" a="1"/>
  <c r="AG210" i="2" a="1"/>
  <c r="B211" i="2"/>
  <c r="F211" i="2"/>
  <c r="G211" i="2"/>
  <c r="H211" i="2"/>
  <c r="I211" i="2"/>
  <c r="J211" i="2"/>
  <c r="L211" i="2"/>
  <c r="M211" i="2"/>
  <c r="O211" i="2"/>
  <c r="Q211" i="2"/>
  <c r="R211" i="2"/>
  <c r="S211" i="2"/>
  <c r="AA211" i="2" a="1"/>
  <c r="AB211" i="2" a="1"/>
  <c r="AC211" i="2" a="1"/>
  <c r="AD211" i="2" a="1"/>
  <c r="AE211" i="2" a="1"/>
  <c r="AF211" i="2" a="1"/>
  <c r="AG211" i="2" a="1"/>
  <c r="B212" i="2"/>
  <c r="F212" i="2"/>
  <c r="G212" i="2"/>
  <c r="H212" i="2"/>
  <c r="I212" i="2"/>
  <c r="J212" i="2"/>
  <c r="L212" i="2"/>
  <c r="M212" i="2"/>
  <c r="O212" i="2"/>
  <c r="Q212" i="2"/>
  <c r="R212" i="2"/>
  <c r="S212" i="2"/>
  <c r="AA212" i="2" a="1"/>
  <c r="AB212" i="2" a="1"/>
  <c r="AC212" i="2" a="1"/>
  <c r="AD212" i="2" a="1"/>
  <c r="AE212" i="2" a="1"/>
  <c r="AF212" i="2" a="1"/>
  <c r="AG212" i="2" a="1"/>
  <c r="B213" i="2"/>
  <c r="F213" i="2"/>
  <c r="G213" i="2"/>
  <c r="H213" i="2"/>
  <c r="I213" i="2"/>
  <c r="J213" i="2"/>
  <c r="L213" i="2"/>
  <c r="M213" i="2"/>
  <c r="O213" i="2"/>
  <c r="Q213" i="2"/>
  <c r="R213" i="2"/>
  <c r="S213" i="2"/>
  <c r="AA213" i="2" a="1"/>
  <c r="AB213" i="2" a="1"/>
  <c r="AC213" i="2" a="1"/>
  <c r="AD213" i="2" a="1"/>
  <c r="AE213" i="2" a="1"/>
  <c r="AF213" i="2" a="1"/>
  <c r="AG213" i="2" a="1"/>
  <c r="B214" i="2"/>
  <c r="F214" i="2"/>
  <c r="G214" i="2"/>
  <c r="H214" i="2"/>
  <c r="I214" i="2"/>
  <c r="J214" i="2"/>
  <c r="L214" i="2"/>
  <c r="M214" i="2"/>
  <c r="O214" i="2"/>
  <c r="Q214" i="2"/>
  <c r="R214" i="2"/>
  <c r="S214" i="2"/>
  <c r="AA214" i="2" a="1"/>
  <c r="AB214" i="2" a="1"/>
  <c r="B215" i="2"/>
  <c r="F215" i="2"/>
  <c r="G215" i="2"/>
  <c r="H215" i="2"/>
  <c r="I215" i="2"/>
  <c r="J215" i="2"/>
  <c r="L215" i="2"/>
  <c r="M215" i="2"/>
  <c r="O215" i="2"/>
  <c r="Q215" i="2"/>
  <c r="R215" i="2"/>
  <c r="S215" i="2"/>
  <c r="AA215" i="2" a="1"/>
  <c r="AB215" i="2" a="1"/>
  <c r="AC215" i="2" a="1"/>
  <c r="AD215" i="2" a="1"/>
  <c r="AE215" i="2" a="1"/>
  <c r="AF215" i="2" a="1"/>
  <c r="AG215" i="2" a="1"/>
  <c r="B216" i="2"/>
  <c r="F216" i="2"/>
  <c r="G216" i="2"/>
  <c r="H216" i="2"/>
  <c r="I216" i="2"/>
  <c r="J216" i="2"/>
  <c r="L216" i="2"/>
  <c r="M216" i="2"/>
  <c r="O216" i="2"/>
  <c r="Q216" i="2"/>
  <c r="R216" i="2"/>
  <c r="S216" i="2"/>
  <c r="B217" i="2"/>
  <c r="F217" i="2"/>
  <c r="G217" i="2"/>
  <c r="H217" i="2"/>
  <c r="I217" i="2"/>
  <c r="J217" i="2"/>
  <c r="L217" i="2"/>
  <c r="M217" i="2"/>
  <c r="O217" i="2"/>
  <c r="Q217" i="2"/>
  <c r="R217" i="2"/>
  <c r="S217" i="2"/>
  <c r="AA217" i="2" a="1"/>
  <c r="AB217" i="2" a="1"/>
  <c r="AC217" i="2" a="1"/>
  <c r="AD217" i="2" a="1"/>
  <c r="AE217" i="2" a="1"/>
  <c r="AF217" i="2" a="1"/>
  <c r="AG217" i="2" a="1"/>
  <c r="B218" i="2"/>
  <c r="F218" i="2"/>
  <c r="G218" i="2"/>
  <c r="H218" i="2"/>
  <c r="I218" i="2"/>
  <c r="J218" i="2"/>
  <c r="L218" i="2"/>
  <c r="M218" i="2"/>
  <c r="O218" i="2"/>
  <c r="Q218" i="2"/>
  <c r="R218" i="2"/>
  <c r="S218" i="2"/>
  <c r="B219" i="2"/>
  <c r="F219" i="2"/>
  <c r="G219" i="2"/>
  <c r="H219" i="2"/>
  <c r="I219" i="2"/>
  <c r="J219" i="2"/>
  <c r="L219" i="2"/>
  <c r="M219" i="2"/>
  <c r="O219" i="2"/>
  <c r="Q219" i="2"/>
  <c r="R219" i="2"/>
  <c r="S219" i="2"/>
  <c r="AA219" i="2" a="1"/>
  <c r="B220" i="2"/>
  <c r="F220" i="2"/>
  <c r="G220" i="2"/>
  <c r="H220" i="2"/>
  <c r="I220" i="2"/>
  <c r="J220" i="2"/>
  <c r="L220" i="2"/>
  <c r="M220" i="2"/>
  <c r="O220" i="2"/>
  <c r="Q220" i="2"/>
  <c r="R220" i="2"/>
  <c r="S220" i="2"/>
  <c r="AA220" i="2" a="1"/>
  <c r="AB220" i="2" a="1"/>
  <c r="AC220" i="2" a="1"/>
  <c r="AD220" i="2" a="1"/>
  <c r="AE220" i="2" a="1"/>
  <c r="AF220" i="2" a="1"/>
  <c r="AG220" i="2" a="1"/>
  <c r="B221" i="2"/>
  <c r="F221" i="2"/>
  <c r="G221" i="2"/>
  <c r="H221" i="2"/>
  <c r="I221" i="2"/>
  <c r="J221" i="2"/>
  <c r="L221" i="2"/>
  <c r="M221" i="2"/>
  <c r="O221" i="2"/>
  <c r="Q221" i="2"/>
  <c r="R221" i="2"/>
  <c r="S221" i="2"/>
  <c r="AA221" i="2" a="1"/>
  <c r="AB221" i="2" a="1"/>
  <c r="AC221" i="2" a="1"/>
  <c r="AD221" i="2" a="1"/>
  <c r="AE221" i="2" a="1"/>
  <c r="AF221" i="2" a="1"/>
  <c r="AG221" i="2" a="1"/>
  <c r="B222" i="2"/>
  <c r="F222" i="2"/>
  <c r="G222" i="2"/>
  <c r="H222" i="2"/>
  <c r="I222" i="2"/>
  <c r="J222" i="2"/>
  <c r="L222" i="2"/>
  <c r="M222" i="2"/>
  <c r="O222" i="2"/>
  <c r="Q222" i="2"/>
  <c r="R222" i="2"/>
  <c r="S222" i="2"/>
  <c r="AA222" i="2" a="1"/>
  <c r="AB222" i="2" a="1"/>
  <c r="AC222" i="2" a="1"/>
  <c r="AD222" i="2" a="1"/>
  <c r="AE222" i="2" a="1"/>
  <c r="AF222" i="2" a="1"/>
  <c r="AG222" i="2" a="1"/>
  <c r="B223" i="2"/>
  <c r="F223" i="2"/>
  <c r="G223" i="2"/>
  <c r="H223" i="2"/>
  <c r="I223" i="2"/>
  <c r="J223" i="2"/>
  <c r="L223" i="2"/>
  <c r="M223" i="2"/>
  <c r="O223" i="2"/>
  <c r="Q223" i="2"/>
  <c r="R223" i="2"/>
  <c r="S223" i="2"/>
  <c r="AA223" i="2" a="1"/>
  <c r="AB223" i="2" a="1"/>
  <c r="AC223" i="2" a="1"/>
  <c r="AD223" i="2" a="1"/>
  <c r="AE223" i="2" a="1"/>
  <c r="AF223" i="2" a="1"/>
  <c r="AG223" i="2" a="1"/>
  <c r="B224" i="2"/>
  <c r="F224" i="2"/>
  <c r="G224" i="2"/>
  <c r="H224" i="2"/>
  <c r="I224" i="2"/>
  <c r="J224" i="2"/>
  <c r="L224" i="2"/>
  <c r="M224" i="2"/>
  <c r="O224" i="2"/>
  <c r="Q224" i="2"/>
  <c r="R224" i="2"/>
  <c r="S224" i="2"/>
  <c r="AA224" i="2" a="1"/>
  <c r="AB224" i="2" a="1"/>
  <c r="AC224" i="2" a="1"/>
  <c r="AD224" i="2" a="1"/>
  <c r="AE224" i="2" a="1"/>
  <c r="AF224" i="2" a="1"/>
  <c r="AG224" i="2" a="1"/>
  <c r="B225" i="2"/>
  <c r="F225" i="2"/>
  <c r="G225" i="2"/>
  <c r="H225" i="2"/>
  <c r="I225" i="2"/>
  <c r="J225" i="2"/>
  <c r="L225" i="2"/>
  <c r="M225" i="2"/>
  <c r="O225" i="2"/>
  <c r="Q225" i="2"/>
  <c r="R225" i="2"/>
  <c r="S225" i="2"/>
  <c r="B226" i="2"/>
  <c r="F226" i="2"/>
  <c r="G226" i="2"/>
  <c r="H226" i="2"/>
  <c r="I226" i="2"/>
  <c r="J226" i="2"/>
  <c r="L226" i="2"/>
  <c r="M226" i="2"/>
  <c r="O226" i="2"/>
  <c r="Q226" i="2"/>
  <c r="R226" i="2"/>
  <c r="S226" i="2"/>
  <c r="AE226" i="2" a="1"/>
  <c r="AF226" i="2" a="1"/>
  <c r="AG226" i="2" a="1"/>
  <c r="B227" i="2"/>
  <c r="F227" i="2"/>
  <c r="G227" i="2"/>
  <c r="H227" i="2"/>
  <c r="I227" i="2"/>
  <c r="J227" i="2"/>
  <c r="L227" i="2"/>
  <c r="M227" i="2"/>
  <c r="O227" i="2"/>
  <c r="Q227" i="2"/>
  <c r="R227" i="2"/>
  <c r="S227" i="2"/>
  <c r="B228" i="2"/>
  <c r="F228" i="2"/>
  <c r="G228" i="2"/>
  <c r="H228" i="2"/>
  <c r="I228" i="2"/>
  <c r="J228" i="2"/>
  <c r="L228" i="2"/>
  <c r="M228" i="2"/>
  <c r="O228" i="2"/>
  <c r="Q228" i="2"/>
  <c r="R228" i="2"/>
  <c r="S228" i="2"/>
  <c r="B229" i="2"/>
  <c r="F229" i="2"/>
  <c r="G229" i="2"/>
  <c r="H229" i="2"/>
  <c r="I229" i="2"/>
  <c r="J229" i="2"/>
  <c r="L229" i="2"/>
  <c r="M229" i="2"/>
  <c r="O229" i="2"/>
  <c r="Q229" i="2"/>
  <c r="R229" i="2"/>
  <c r="S229" i="2"/>
  <c r="B230" i="2"/>
  <c r="F230" i="2"/>
  <c r="G230" i="2"/>
  <c r="H230" i="2"/>
  <c r="I230" i="2"/>
  <c r="J230" i="2"/>
  <c r="L230" i="2"/>
  <c r="M230" i="2"/>
  <c r="O230" i="2"/>
  <c r="Q230" i="2"/>
  <c r="R230" i="2"/>
  <c r="S230" i="2"/>
  <c r="AA230" i="2" a="1"/>
  <c r="AB230" i="2" a="1"/>
  <c r="AC230" i="2" a="1"/>
  <c r="AD230" i="2" a="1"/>
  <c r="AE230" i="2" a="1"/>
  <c r="AF230" i="2" a="1"/>
  <c r="AG230" i="2" a="1"/>
  <c r="B231" i="2"/>
  <c r="F231" i="2"/>
  <c r="G231" i="2"/>
  <c r="H231" i="2"/>
  <c r="I231" i="2"/>
  <c r="J231" i="2"/>
  <c r="L231" i="2"/>
  <c r="M231" i="2"/>
  <c r="O231" i="2"/>
  <c r="Q231" i="2"/>
  <c r="R231" i="2"/>
  <c r="S231" i="2"/>
  <c r="AA231" i="2" a="1"/>
  <c r="AB231" i="2" a="1"/>
  <c r="AC231" i="2" a="1"/>
  <c r="AD231" i="2" a="1"/>
  <c r="AE231" i="2" a="1"/>
  <c r="AF231" i="2" a="1"/>
  <c r="AG231" i="2" a="1"/>
  <c r="B232" i="2"/>
  <c r="F232" i="2"/>
  <c r="G232" i="2"/>
  <c r="H232" i="2"/>
  <c r="I232" i="2"/>
  <c r="J232" i="2"/>
  <c r="L232" i="2"/>
  <c r="M232" i="2"/>
  <c r="O232" i="2"/>
  <c r="Q232" i="2"/>
  <c r="R232" i="2"/>
  <c r="S232" i="2"/>
  <c r="AA232" i="2" a="1"/>
  <c r="AB232" i="2" a="1"/>
  <c r="AC232" i="2" a="1"/>
  <c r="AD232" i="2" a="1"/>
  <c r="AE232" i="2" a="1"/>
  <c r="AF232" i="2" a="1"/>
  <c r="AG232" i="2" a="1"/>
  <c r="B233" i="2"/>
  <c r="F233" i="2"/>
  <c r="G233" i="2"/>
  <c r="H233" i="2"/>
  <c r="I233" i="2"/>
  <c r="J233" i="2"/>
  <c r="L233" i="2"/>
  <c r="M233" i="2"/>
  <c r="O233" i="2"/>
  <c r="Q233" i="2"/>
  <c r="R233" i="2"/>
  <c r="S233" i="2"/>
  <c r="AA233" i="2" a="1"/>
  <c r="AB233" i="2" a="1"/>
  <c r="AC233" i="2" a="1"/>
  <c r="AD233" i="2" a="1"/>
  <c r="AE233" i="2" a="1"/>
  <c r="AF233" i="2" a="1"/>
  <c r="AG233" i="2" a="1"/>
  <c r="B234" i="2"/>
  <c r="F234" i="2"/>
  <c r="G234" i="2"/>
  <c r="H234" i="2"/>
  <c r="I234" i="2"/>
  <c r="J234" i="2"/>
  <c r="L234" i="2"/>
  <c r="M234" i="2"/>
  <c r="O234" i="2"/>
  <c r="Q234" i="2"/>
  <c r="R234" i="2"/>
  <c r="S234" i="2"/>
  <c r="B235" i="2"/>
  <c r="F235" i="2"/>
  <c r="G235" i="2"/>
  <c r="H235" i="2"/>
  <c r="I235" i="2"/>
  <c r="J235" i="2"/>
  <c r="L235" i="2"/>
  <c r="M235" i="2"/>
  <c r="O235" i="2"/>
  <c r="Q235" i="2"/>
  <c r="R235" i="2"/>
  <c r="S235" i="2"/>
  <c r="AC235" i="2" a="1"/>
  <c r="AD235" i="2" a="1"/>
  <c r="AE235" i="2" a="1"/>
  <c r="AF235" i="2" a="1"/>
  <c r="AG235" i="2" a="1"/>
  <c r="B236" i="2"/>
  <c r="F236" i="2"/>
  <c r="G236" i="2"/>
  <c r="H236" i="2"/>
  <c r="I236" i="2"/>
  <c r="J236" i="2"/>
  <c r="L236" i="2"/>
  <c r="M236" i="2"/>
  <c r="O236" i="2"/>
  <c r="Q236" i="2"/>
  <c r="R236" i="2"/>
  <c r="S236" i="2"/>
  <c r="AA236" i="2" a="1"/>
  <c r="AB236" i="2" a="1"/>
  <c r="AC236" i="2" a="1"/>
  <c r="AD236" i="2" a="1"/>
  <c r="AE236" i="2" a="1"/>
  <c r="AF236" i="2" a="1"/>
  <c r="AG236" i="2" a="1"/>
  <c r="B237" i="2"/>
  <c r="F237" i="2"/>
  <c r="G237" i="2"/>
  <c r="H237" i="2"/>
  <c r="I237" i="2"/>
  <c r="J237" i="2"/>
  <c r="L237" i="2"/>
  <c r="M237" i="2"/>
  <c r="O237" i="2"/>
  <c r="Q237" i="2"/>
  <c r="R237" i="2"/>
  <c r="S237" i="2"/>
  <c r="AA237" i="2" a="1"/>
  <c r="AB237" i="2" a="1"/>
  <c r="AC237" i="2" a="1"/>
  <c r="AD237" i="2" a="1"/>
  <c r="AE237" i="2" a="1"/>
  <c r="AF237" i="2" a="1"/>
  <c r="AG237" i="2" a="1"/>
  <c r="B238" i="2"/>
  <c r="F238" i="2"/>
  <c r="G238" i="2"/>
  <c r="H238" i="2"/>
  <c r="I238" i="2"/>
  <c r="J238" i="2"/>
  <c r="L238" i="2"/>
  <c r="M238" i="2"/>
  <c r="O238" i="2"/>
  <c r="Q238" i="2"/>
  <c r="R238" i="2"/>
  <c r="S238" i="2"/>
  <c r="B239" i="2"/>
  <c r="F239" i="2"/>
  <c r="G239" i="2"/>
  <c r="H239" i="2"/>
  <c r="I239" i="2"/>
  <c r="J239" i="2"/>
  <c r="L239" i="2"/>
  <c r="M239" i="2"/>
  <c r="O239" i="2"/>
  <c r="Q239" i="2"/>
  <c r="R239" i="2"/>
  <c r="S239" i="2"/>
  <c r="AA239" i="2" a="1"/>
  <c r="AB239" i="2" a="1"/>
  <c r="AC239" i="2" a="1"/>
  <c r="AD239" i="2" a="1"/>
  <c r="AE239" i="2" a="1"/>
  <c r="AF239" i="2" a="1"/>
  <c r="AG239" i="2" a="1"/>
  <c r="B240" i="2"/>
  <c r="F240" i="2"/>
  <c r="G240" i="2"/>
  <c r="H240" i="2"/>
  <c r="I240" i="2"/>
  <c r="J240" i="2"/>
  <c r="L240" i="2"/>
  <c r="M240" i="2"/>
  <c r="O240" i="2"/>
  <c r="Q240" i="2"/>
  <c r="R240" i="2"/>
  <c r="S240" i="2"/>
  <c r="AA240" i="2" a="1"/>
  <c r="AB240" i="2" a="1"/>
  <c r="AC240" i="2" a="1"/>
  <c r="AD240" i="2" a="1"/>
  <c r="AE240" i="2" a="1"/>
  <c r="AF240" i="2" a="1"/>
  <c r="AG240" i="2" a="1"/>
  <c r="B241" i="2"/>
  <c r="F241" i="2"/>
  <c r="G241" i="2"/>
  <c r="H241" i="2"/>
  <c r="I241" i="2"/>
  <c r="J241" i="2"/>
  <c r="L241" i="2"/>
  <c r="M241" i="2"/>
  <c r="O241" i="2"/>
  <c r="Q241" i="2"/>
  <c r="R241" i="2"/>
  <c r="S241" i="2"/>
  <c r="B242" i="2"/>
  <c r="F242" i="2"/>
  <c r="G242" i="2"/>
  <c r="H242" i="2"/>
  <c r="I242" i="2"/>
  <c r="J242" i="2"/>
  <c r="L242" i="2"/>
  <c r="M242" i="2"/>
  <c r="O242" i="2"/>
  <c r="Q242" i="2"/>
  <c r="R242" i="2"/>
  <c r="S242" i="2"/>
  <c r="B243" i="2"/>
  <c r="F243" i="2"/>
  <c r="G243" i="2"/>
  <c r="H243" i="2"/>
  <c r="I243" i="2"/>
  <c r="J243" i="2"/>
  <c r="L243" i="2"/>
  <c r="M243" i="2"/>
  <c r="O243" i="2"/>
  <c r="Q243" i="2"/>
  <c r="R243" i="2"/>
  <c r="S243" i="2"/>
  <c r="AA243" i="2" a="1"/>
  <c r="AB243" i="2" a="1"/>
  <c r="AC243" i="2" a="1"/>
  <c r="AD243" i="2" a="1"/>
  <c r="AE243" i="2" a="1"/>
  <c r="AF243" i="2" a="1"/>
  <c r="AG243" i="2" a="1"/>
  <c r="B244" i="2"/>
  <c r="F244" i="2"/>
  <c r="G244" i="2"/>
  <c r="H244" i="2"/>
  <c r="I244" i="2"/>
  <c r="J244" i="2"/>
  <c r="L244" i="2"/>
  <c r="M244" i="2"/>
  <c r="O244" i="2"/>
  <c r="Q244" i="2"/>
  <c r="R244" i="2"/>
  <c r="S244" i="2"/>
  <c r="AA244" i="2" a="1"/>
  <c r="AB244" i="2" a="1"/>
  <c r="AC244" i="2" a="1"/>
  <c r="AD244" i="2" a="1"/>
  <c r="AE244" i="2" a="1"/>
  <c r="AF244" i="2" a="1"/>
  <c r="AG244" i="2" a="1"/>
  <c r="B245" i="2"/>
  <c r="F245" i="2"/>
  <c r="G245" i="2"/>
  <c r="H245" i="2"/>
  <c r="I245" i="2"/>
  <c r="J245" i="2"/>
  <c r="L245" i="2"/>
  <c r="M245" i="2"/>
  <c r="O245" i="2"/>
  <c r="Q245" i="2"/>
  <c r="R245" i="2"/>
  <c r="S245" i="2"/>
  <c r="AA245" i="2" a="1"/>
  <c r="AB245" i="2" a="1"/>
  <c r="AC245" i="2" a="1"/>
  <c r="AD245" i="2" a="1"/>
  <c r="AE245" i="2" a="1"/>
  <c r="AF245" i="2" a="1"/>
  <c r="AG245" i="2" a="1"/>
  <c r="B246" i="2"/>
  <c r="F246" i="2"/>
  <c r="G246" i="2"/>
  <c r="H246" i="2"/>
  <c r="I246" i="2"/>
  <c r="J246" i="2"/>
  <c r="L246" i="2"/>
  <c r="M246" i="2"/>
  <c r="O246" i="2"/>
  <c r="Q246" i="2"/>
  <c r="R246" i="2"/>
  <c r="S246" i="2"/>
  <c r="B247" i="2"/>
  <c r="F247" i="2"/>
  <c r="G247" i="2"/>
  <c r="H247" i="2"/>
  <c r="I247" i="2"/>
  <c r="J247" i="2"/>
  <c r="L247" i="2"/>
  <c r="M247" i="2"/>
  <c r="O247" i="2"/>
  <c r="Q247" i="2"/>
  <c r="R247" i="2"/>
  <c r="S247" i="2"/>
  <c r="B248" i="2"/>
  <c r="F248" i="2"/>
  <c r="G248" i="2"/>
  <c r="H248" i="2"/>
  <c r="I248" i="2"/>
  <c r="J248" i="2"/>
  <c r="L248" i="2"/>
  <c r="M248" i="2"/>
  <c r="O248" i="2"/>
  <c r="Q248" i="2"/>
  <c r="R248" i="2"/>
  <c r="S248" i="2"/>
  <c r="AA248" i="2" a="1"/>
  <c r="AB248" i="2" a="1"/>
  <c r="AC248" i="2" a="1"/>
  <c r="AD248" i="2" a="1"/>
  <c r="AE248" i="2" a="1"/>
  <c r="AF248" i="2" a="1"/>
  <c r="AG248" i="2" a="1"/>
  <c r="B249" i="2"/>
  <c r="F249" i="2"/>
  <c r="G249" i="2"/>
  <c r="H249" i="2"/>
  <c r="I249" i="2"/>
  <c r="J249" i="2"/>
  <c r="L249" i="2"/>
  <c r="M249" i="2"/>
  <c r="O249" i="2"/>
  <c r="Q249" i="2"/>
  <c r="R249" i="2"/>
  <c r="S249" i="2"/>
  <c r="AA249" i="2" a="1"/>
  <c r="AB249" i="2" a="1"/>
  <c r="AC249" i="2" a="1"/>
  <c r="AD249" i="2" a="1"/>
  <c r="AE249" i="2" a="1"/>
  <c r="AF249" i="2" a="1"/>
  <c r="AG249" i="2" a="1"/>
  <c r="B250" i="2"/>
  <c r="F250" i="2"/>
  <c r="G250" i="2"/>
  <c r="H250" i="2"/>
  <c r="I250" i="2"/>
  <c r="J250" i="2"/>
  <c r="L250" i="2"/>
  <c r="M250" i="2"/>
  <c r="O250" i="2"/>
  <c r="Q250" i="2"/>
  <c r="R250" i="2"/>
  <c r="S250" i="2"/>
  <c r="AA250" i="2" a="1"/>
  <c r="AB250" i="2" a="1"/>
  <c r="AC250" i="2" a="1"/>
  <c r="AD250" i="2" a="1"/>
  <c r="AE250" i="2" a="1"/>
  <c r="AF250" i="2" a="1"/>
  <c r="AG250" i="2" a="1"/>
  <c r="B251" i="2"/>
  <c r="F251" i="2"/>
  <c r="G251" i="2"/>
  <c r="H251" i="2"/>
  <c r="I251" i="2"/>
  <c r="J251" i="2"/>
  <c r="L251" i="2"/>
  <c r="M251" i="2"/>
  <c r="O251" i="2"/>
  <c r="Q251" i="2"/>
  <c r="R251" i="2"/>
  <c r="S251" i="2"/>
  <c r="AA251" i="2" a="1"/>
  <c r="AB251" i="2" a="1"/>
  <c r="AC251" i="2" a="1"/>
  <c r="AD251" i="2" a="1"/>
  <c r="AE251" i="2" a="1"/>
  <c r="AF251" i="2" a="1"/>
  <c r="AG251" i="2" a="1"/>
  <c r="B252" i="2"/>
  <c r="F252" i="2"/>
  <c r="G252" i="2"/>
  <c r="H252" i="2"/>
  <c r="I252" i="2"/>
  <c r="J252" i="2"/>
  <c r="L252" i="2"/>
  <c r="M252" i="2"/>
  <c r="O252" i="2"/>
  <c r="Q252" i="2"/>
  <c r="R252" i="2"/>
  <c r="S252" i="2"/>
  <c r="AA252" i="2" a="1"/>
  <c r="B253" i="2"/>
  <c r="F253" i="2"/>
  <c r="G253" i="2"/>
  <c r="H253" i="2"/>
  <c r="I253" i="2"/>
  <c r="J253" i="2"/>
  <c r="L253" i="2"/>
  <c r="M253" i="2"/>
  <c r="O253" i="2"/>
  <c r="Q253" i="2"/>
  <c r="R253" i="2"/>
  <c r="S253" i="2"/>
  <c r="AA253" i="2" a="1"/>
  <c r="AB253" i="2" a="1"/>
  <c r="AC253" i="2" a="1"/>
  <c r="AD253" i="2" a="1"/>
  <c r="AE253" i="2" a="1"/>
  <c r="AF253" i="2" a="1"/>
  <c r="AG253" i="2" a="1"/>
  <c r="B254" i="2"/>
  <c r="F254" i="2"/>
  <c r="G254" i="2"/>
  <c r="H254" i="2"/>
  <c r="I254" i="2"/>
  <c r="J254" i="2"/>
  <c r="L254" i="2"/>
  <c r="M254" i="2"/>
  <c r="O254" i="2"/>
  <c r="Q254" i="2"/>
  <c r="R254" i="2"/>
  <c r="S254" i="2"/>
  <c r="B255" i="2"/>
  <c r="F255" i="2"/>
  <c r="G255" i="2"/>
  <c r="H255" i="2"/>
  <c r="I255" i="2"/>
  <c r="J255" i="2"/>
  <c r="L255" i="2"/>
  <c r="M255" i="2"/>
  <c r="O255" i="2"/>
  <c r="Q255" i="2"/>
  <c r="R255" i="2"/>
  <c r="S255" i="2"/>
  <c r="AA255" i="2" a="1"/>
  <c r="AB255" i="2" a="1"/>
  <c r="AC255" i="2" a="1"/>
  <c r="AD255" i="2" a="1"/>
  <c r="AE255" i="2" a="1"/>
  <c r="AF255" i="2" a="1"/>
  <c r="AG255" i="2" a="1"/>
  <c r="B256" i="2"/>
  <c r="F256" i="2"/>
  <c r="G256" i="2"/>
  <c r="H256" i="2"/>
  <c r="I256" i="2"/>
  <c r="J256" i="2"/>
  <c r="L256" i="2"/>
  <c r="M256" i="2"/>
  <c r="O256" i="2"/>
  <c r="Q256" i="2"/>
  <c r="R256" i="2"/>
  <c r="S256" i="2"/>
  <c r="B257" i="2"/>
  <c r="F257" i="2"/>
  <c r="G257" i="2"/>
  <c r="H257" i="2"/>
  <c r="I257" i="2"/>
  <c r="J257" i="2"/>
  <c r="L257" i="2"/>
  <c r="M257" i="2"/>
  <c r="O257" i="2"/>
  <c r="Q257" i="2"/>
  <c r="R257" i="2"/>
  <c r="S257" i="2"/>
  <c r="AA257" i="2" a="1"/>
  <c r="AB257" i="2" a="1"/>
  <c r="AC257" i="2" a="1"/>
  <c r="AD257" i="2" a="1"/>
  <c r="AE257" i="2" a="1"/>
  <c r="AF257" i="2" a="1"/>
  <c r="AG257" i="2" a="1"/>
  <c r="B258" i="2"/>
  <c r="F258" i="2"/>
  <c r="G258" i="2"/>
  <c r="H258" i="2"/>
  <c r="I258" i="2"/>
  <c r="J258" i="2"/>
  <c r="L258" i="2"/>
  <c r="M258" i="2"/>
  <c r="O258" i="2"/>
  <c r="Q258" i="2"/>
  <c r="R258" i="2"/>
  <c r="S258" i="2"/>
  <c r="AA258" i="2" a="1"/>
  <c r="AB258" i="2" a="1"/>
  <c r="AC258" i="2" a="1"/>
  <c r="AD258" i="2" a="1"/>
  <c r="AE258" i="2" a="1"/>
  <c r="AF258" i="2" a="1"/>
  <c r="AG258" i="2" a="1"/>
  <c r="B259" i="2"/>
  <c r="F259" i="2"/>
  <c r="G259" i="2"/>
  <c r="H259" i="2"/>
  <c r="I259" i="2"/>
  <c r="J259" i="2"/>
  <c r="L259" i="2"/>
  <c r="M259" i="2"/>
  <c r="O259" i="2"/>
  <c r="Q259" i="2"/>
  <c r="R259" i="2"/>
  <c r="S259" i="2"/>
  <c r="AA259" i="2" a="1"/>
  <c r="AB259" i="2" a="1"/>
  <c r="AC259" i="2" a="1"/>
  <c r="AD259" i="2" a="1"/>
  <c r="AE259" i="2" a="1"/>
  <c r="AF259" i="2" a="1"/>
  <c r="AG259" i="2" a="1"/>
  <c r="B260" i="2"/>
  <c r="F260" i="2"/>
  <c r="G260" i="2"/>
  <c r="H260" i="2"/>
  <c r="I260" i="2"/>
  <c r="J260" i="2"/>
  <c r="L260" i="2"/>
  <c r="M260" i="2"/>
  <c r="O260" i="2"/>
  <c r="Q260" i="2"/>
  <c r="R260" i="2"/>
  <c r="S260" i="2"/>
  <c r="AA260" i="2" a="1"/>
  <c r="AB260" i="2" a="1"/>
  <c r="AC260" i="2" a="1"/>
  <c r="AD260" i="2" a="1"/>
  <c r="AE260" i="2" a="1"/>
  <c r="AF260" i="2" a="1"/>
  <c r="AG260" i="2" a="1"/>
  <c r="B261" i="2"/>
  <c r="F261" i="2"/>
  <c r="G261" i="2"/>
  <c r="H261" i="2"/>
  <c r="I261" i="2"/>
  <c r="J261" i="2"/>
  <c r="L261" i="2"/>
  <c r="M261" i="2"/>
  <c r="O261" i="2"/>
  <c r="Q261" i="2"/>
  <c r="R261" i="2"/>
  <c r="S261" i="2"/>
  <c r="AA261" i="2" a="1"/>
  <c r="AB261" i="2" a="1"/>
  <c r="AC261" i="2" a="1"/>
  <c r="AD261" i="2" a="1"/>
  <c r="AE261" i="2" a="1"/>
  <c r="AF261" i="2" a="1"/>
  <c r="AG261" i="2" a="1"/>
  <c r="B262" i="2"/>
  <c r="F262" i="2"/>
  <c r="G262" i="2"/>
  <c r="H262" i="2"/>
  <c r="I262" i="2"/>
  <c r="J262" i="2"/>
  <c r="L262" i="2"/>
  <c r="M262" i="2"/>
  <c r="O262" i="2"/>
  <c r="Q262" i="2"/>
  <c r="R262" i="2"/>
  <c r="S262" i="2"/>
  <c r="AA262" i="2" a="1"/>
  <c r="AB262" i="2" a="1"/>
  <c r="AC262" i="2" a="1"/>
  <c r="AD262" i="2" a="1"/>
  <c r="AE262" i="2" a="1"/>
  <c r="AF262" i="2" a="1"/>
  <c r="AG262" i="2" a="1"/>
  <c r="B263" i="2"/>
  <c r="F263" i="2"/>
  <c r="G263" i="2"/>
  <c r="H263" i="2"/>
  <c r="I263" i="2"/>
  <c r="J263" i="2"/>
  <c r="L263" i="2"/>
  <c r="M263" i="2"/>
  <c r="O263" i="2"/>
  <c r="Q263" i="2"/>
  <c r="R263" i="2"/>
  <c r="S263" i="2"/>
  <c r="AA263" i="2" a="1"/>
  <c r="AB263" i="2" a="1"/>
  <c r="AC263" i="2" a="1"/>
  <c r="AD263" i="2" a="1"/>
  <c r="AE263" i="2" a="1"/>
  <c r="AF263" i="2" a="1"/>
  <c r="AG263" i="2" a="1"/>
  <c r="B264" i="2"/>
  <c r="F264" i="2"/>
  <c r="G264" i="2"/>
  <c r="H264" i="2"/>
  <c r="I264" i="2"/>
  <c r="J264" i="2"/>
  <c r="L264" i="2"/>
  <c r="M264" i="2"/>
  <c r="O264" i="2"/>
  <c r="Q264" i="2"/>
  <c r="R264" i="2"/>
  <c r="S264" i="2"/>
  <c r="AA264" i="2" a="1"/>
  <c r="AB264" i="2" a="1"/>
  <c r="AC264" i="2" a="1"/>
  <c r="AD264" i="2" a="1"/>
  <c r="AE264" i="2" a="1"/>
  <c r="AF264" i="2" a="1"/>
  <c r="AG264" i="2" a="1"/>
  <c r="B265" i="2"/>
  <c r="F265" i="2"/>
  <c r="G265" i="2"/>
  <c r="H265" i="2"/>
  <c r="I265" i="2"/>
  <c r="J265" i="2"/>
  <c r="L265" i="2"/>
  <c r="M265" i="2"/>
  <c r="O265" i="2"/>
  <c r="Q265" i="2"/>
  <c r="R265" i="2"/>
  <c r="S265" i="2"/>
  <c r="AA265" i="2" a="1"/>
  <c r="AB265" i="2" a="1"/>
  <c r="AC265" i="2" a="1"/>
  <c r="AD265" i="2" a="1"/>
  <c r="AE265" i="2" a="1"/>
  <c r="AF265" i="2" a="1"/>
  <c r="AG265" i="2" a="1"/>
  <c r="B266" i="2"/>
  <c r="F266" i="2"/>
  <c r="G266" i="2"/>
  <c r="H266" i="2"/>
  <c r="I266" i="2"/>
  <c r="J266" i="2"/>
  <c r="L266" i="2"/>
  <c r="M266" i="2"/>
  <c r="O266" i="2"/>
  <c r="Q266" i="2"/>
  <c r="R266" i="2"/>
  <c r="S266" i="2"/>
  <c r="AA266" i="2" a="1"/>
  <c r="AB266" i="2" a="1"/>
  <c r="AC266" i="2" a="1"/>
  <c r="AD266" i="2" a="1"/>
  <c r="AE266" i="2" a="1"/>
  <c r="AF266" i="2" a="1"/>
  <c r="AG266" i="2" a="1"/>
  <c r="B267" i="2"/>
  <c r="F267" i="2"/>
  <c r="G267" i="2"/>
  <c r="H267" i="2"/>
  <c r="I267" i="2"/>
  <c r="J267" i="2"/>
  <c r="L267" i="2"/>
  <c r="M267" i="2"/>
  <c r="O267" i="2"/>
  <c r="Q267" i="2"/>
  <c r="R267" i="2"/>
  <c r="S267" i="2"/>
  <c r="AA267" i="2" a="1"/>
  <c r="AB267" i="2" a="1"/>
  <c r="AC267" i="2" a="1"/>
  <c r="AD267" i="2" a="1"/>
  <c r="AE267" i="2" a="1"/>
  <c r="AF267" i="2" a="1"/>
  <c r="AG267" i="2" a="1"/>
  <c r="B268" i="2"/>
  <c r="F268" i="2"/>
  <c r="G268" i="2"/>
  <c r="H268" i="2"/>
  <c r="I268" i="2"/>
  <c r="J268" i="2"/>
  <c r="L268" i="2"/>
  <c r="M268" i="2"/>
  <c r="O268" i="2"/>
  <c r="Q268" i="2"/>
  <c r="R268" i="2"/>
  <c r="S268" i="2"/>
  <c r="B269" i="2"/>
  <c r="F269" i="2"/>
  <c r="G269" i="2"/>
  <c r="H269" i="2"/>
  <c r="I269" i="2"/>
  <c r="J269" i="2"/>
  <c r="L269" i="2"/>
  <c r="M269" i="2"/>
  <c r="O269" i="2"/>
  <c r="Q269" i="2"/>
  <c r="R269" i="2"/>
  <c r="S269" i="2"/>
  <c r="AA269" i="2" a="1"/>
  <c r="AB269" i="2" a="1"/>
  <c r="AC269" i="2" a="1"/>
  <c r="AD269" i="2" a="1"/>
  <c r="AE269" i="2" a="1"/>
  <c r="AF269" i="2" a="1"/>
  <c r="AG269" i="2" a="1"/>
  <c r="B270" i="2"/>
  <c r="F270" i="2"/>
  <c r="G270" i="2"/>
  <c r="H270" i="2"/>
  <c r="I270" i="2"/>
  <c r="J270" i="2"/>
  <c r="L270" i="2"/>
  <c r="M270" i="2"/>
  <c r="O270" i="2"/>
  <c r="Q270" i="2"/>
  <c r="R270" i="2"/>
  <c r="S270" i="2"/>
  <c r="AD270" i="2" a="1"/>
  <c r="AE270" i="2" a="1"/>
  <c r="AF270" i="2" a="1"/>
  <c r="AG270" i="2" a="1"/>
  <c r="B271" i="2"/>
  <c r="F271" i="2"/>
  <c r="G271" i="2"/>
  <c r="H271" i="2"/>
  <c r="I271" i="2"/>
  <c r="J271" i="2"/>
  <c r="L271" i="2"/>
  <c r="M271" i="2"/>
  <c r="O271" i="2"/>
  <c r="Q271" i="2"/>
  <c r="R271" i="2"/>
  <c r="S271" i="2"/>
  <c r="AA271" i="2" a="1"/>
  <c r="AB271" i="2" a="1"/>
  <c r="AC271" i="2" a="1"/>
  <c r="AD271" i="2" a="1"/>
  <c r="AE271" i="2" a="1"/>
  <c r="AF271" i="2" a="1"/>
  <c r="AG271" i="2" a="1"/>
  <c r="B272" i="2"/>
  <c r="F272" i="2"/>
  <c r="G272" i="2"/>
  <c r="H272" i="2"/>
  <c r="I272" i="2"/>
  <c r="J272" i="2"/>
  <c r="L272" i="2"/>
  <c r="M272" i="2"/>
  <c r="O272" i="2"/>
  <c r="Q272" i="2"/>
  <c r="R272" i="2"/>
  <c r="S272" i="2"/>
  <c r="AA272" i="2" a="1"/>
  <c r="AB272" i="2" a="1"/>
  <c r="AC272" i="2" a="1"/>
  <c r="AD272" i="2" a="1"/>
  <c r="AE272" i="2" a="1"/>
  <c r="AF272" i="2" a="1"/>
  <c r="AG272" i="2" a="1"/>
  <c r="B273" i="2"/>
  <c r="F273" i="2"/>
  <c r="G273" i="2"/>
  <c r="H273" i="2"/>
  <c r="I273" i="2"/>
  <c r="J273" i="2"/>
  <c r="L273" i="2"/>
  <c r="M273" i="2"/>
  <c r="O273" i="2"/>
  <c r="Q273" i="2"/>
  <c r="R273" i="2"/>
  <c r="S273" i="2"/>
  <c r="B274" i="2"/>
  <c r="F274" i="2"/>
  <c r="G274" i="2"/>
  <c r="H274" i="2"/>
  <c r="I274" i="2"/>
  <c r="J274" i="2"/>
  <c r="L274" i="2"/>
  <c r="M274" i="2"/>
  <c r="O274" i="2"/>
  <c r="Q274" i="2"/>
  <c r="R274" i="2"/>
  <c r="S274" i="2"/>
  <c r="B275" i="2"/>
  <c r="F275" i="2"/>
  <c r="G275" i="2"/>
  <c r="H275" i="2"/>
  <c r="I275" i="2"/>
  <c r="J275" i="2"/>
  <c r="L275" i="2"/>
  <c r="M275" i="2"/>
  <c r="O275" i="2"/>
  <c r="Q275" i="2"/>
  <c r="R275" i="2"/>
  <c r="S275" i="2"/>
  <c r="B276" i="2"/>
  <c r="F276" i="2"/>
  <c r="G276" i="2"/>
  <c r="H276" i="2"/>
  <c r="I276" i="2"/>
  <c r="J276" i="2"/>
  <c r="L276" i="2"/>
  <c r="M276" i="2"/>
  <c r="O276" i="2"/>
  <c r="Q276" i="2"/>
  <c r="R276" i="2"/>
  <c r="S276" i="2"/>
  <c r="AA276" i="2" a="1"/>
  <c r="AB276" i="2" a="1"/>
  <c r="AC276" i="2" a="1"/>
  <c r="AD276" i="2" a="1"/>
  <c r="AE276" i="2" a="1"/>
  <c r="AF276" i="2" a="1"/>
  <c r="AG276" i="2" a="1"/>
  <c r="B277" i="2"/>
  <c r="F277" i="2"/>
  <c r="G277" i="2"/>
  <c r="H277" i="2"/>
  <c r="I277" i="2"/>
  <c r="J277" i="2"/>
  <c r="L277" i="2"/>
  <c r="M277" i="2"/>
  <c r="O277" i="2"/>
  <c r="Q277" i="2"/>
  <c r="R277" i="2"/>
  <c r="S277" i="2"/>
  <c r="AA277" i="2" a="1"/>
  <c r="AB277" i="2" a="1"/>
  <c r="AC277" i="2" a="1"/>
  <c r="AD277" i="2" a="1"/>
  <c r="AE277" i="2" a="1"/>
  <c r="AF277" i="2" a="1"/>
  <c r="AG277" i="2" a="1"/>
  <c r="B278" i="2"/>
  <c r="F278" i="2"/>
  <c r="G278" i="2"/>
  <c r="H278" i="2"/>
  <c r="I278" i="2"/>
  <c r="J278" i="2"/>
  <c r="L278" i="2"/>
  <c r="M278" i="2"/>
  <c r="O278" i="2"/>
  <c r="Q278" i="2"/>
  <c r="R278" i="2"/>
  <c r="S278" i="2"/>
  <c r="AA278" i="2" a="1"/>
  <c r="AB278" i="2" a="1"/>
  <c r="AC278" i="2" a="1"/>
  <c r="AD278" i="2" a="1"/>
  <c r="AE278" i="2" a="1"/>
  <c r="AF278" i="2" a="1"/>
  <c r="AG278" i="2" a="1"/>
  <c r="B279" i="2"/>
  <c r="F279" i="2"/>
  <c r="G279" i="2"/>
  <c r="H279" i="2"/>
  <c r="I279" i="2"/>
  <c r="J279" i="2"/>
  <c r="L279" i="2"/>
  <c r="M279" i="2"/>
  <c r="O279" i="2"/>
  <c r="Q279" i="2"/>
  <c r="R279" i="2"/>
  <c r="S279" i="2"/>
  <c r="AA279" i="2" a="1"/>
  <c r="AB279" i="2" a="1"/>
  <c r="AC279" i="2" a="1"/>
  <c r="AD279" i="2" a="1"/>
  <c r="AE279" i="2" a="1"/>
  <c r="AF279" i="2" a="1"/>
  <c r="AG279" i="2" a="1"/>
  <c r="B280" i="2"/>
  <c r="F280" i="2"/>
  <c r="G280" i="2"/>
  <c r="H280" i="2"/>
  <c r="I280" i="2"/>
  <c r="J280" i="2"/>
  <c r="L280" i="2"/>
  <c r="M280" i="2"/>
  <c r="O280" i="2"/>
  <c r="Q280" i="2"/>
  <c r="R280" i="2"/>
  <c r="S280" i="2"/>
  <c r="B281" i="2"/>
  <c r="F281" i="2"/>
  <c r="G281" i="2"/>
  <c r="H281" i="2"/>
  <c r="I281" i="2"/>
  <c r="J281" i="2"/>
  <c r="L281" i="2"/>
  <c r="M281" i="2"/>
  <c r="O281" i="2"/>
  <c r="Q281" i="2"/>
  <c r="R281" i="2"/>
  <c r="S281" i="2"/>
  <c r="B282" i="2"/>
  <c r="F282" i="2"/>
  <c r="G282" i="2"/>
  <c r="H282" i="2"/>
  <c r="I282" i="2"/>
  <c r="J282" i="2"/>
  <c r="L282" i="2"/>
  <c r="M282" i="2"/>
  <c r="O282" i="2"/>
  <c r="Q282" i="2"/>
  <c r="R282" i="2"/>
  <c r="S282" i="2"/>
  <c r="B283" i="2"/>
  <c r="F283" i="2"/>
  <c r="G283" i="2"/>
  <c r="H283" i="2"/>
  <c r="I283" i="2"/>
  <c r="J283" i="2"/>
  <c r="L283" i="2"/>
  <c r="M283" i="2"/>
  <c r="O283" i="2"/>
  <c r="Q283" i="2"/>
  <c r="R283" i="2"/>
  <c r="S283" i="2"/>
  <c r="AF283" i="2" a="1"/>
  <c r="AG283" i="2" a="1"/>
  <c r="B284" i="2"/>
  <c r="F284" i="2"/>
  <c r="G284" i="2"/>
  <c r="H284" i="2"/>
  <c r="I284" i="2"/>
  <c r="J284" i="2"/>
  <c r="L284" i="2"/>
  <c r="M284" i="2"/>
  <c r="O284" i="2"/>
  <c r="Q284" i="2"/>
  <c r="R284" i="2"/>
  <c r="S284" i="2"/>
  <c r="B285" i="2"/>
  <c r="F285" i="2"/>
  <c r="G285" i="2"/>
  <c r="H285" i="2"/>
  <c r="I285" i="2"/>
  <c r="J285" i="2"/>
  <c r="L285" i="2"/>
  <c r="M285" i="2"/>
  <c r="O285" i="2"/>
  <c r="Q285" i="2"/>
  <c r="R285" i="2"/>
  <c r="S285" i="2"/>
  <c r="B286" i="2"/>
  <c r="F286" i="2"/>
  <c r="G286" i="2"/>
  <c r="H286" i="2"/>
  <c r="I286" i="2"/>
  <c r="J286" i="2"/>
  <c r="L286" i="2"/>
  <c r="M286" i="2"/>
  <c r="O286" i="2"/>
  <c r="Q286" i="2"/>
  <c r="R286" i="2"/>
  <c r="S286" i="2"/>
  <c r="AD286" i="2" a="1"/>
  <c r="B287" i="2"/>
  <c r="F287" i="2"/>
  <c r="G287" i="2"/>
  <c r="H287" i="2"/>
  <c r="I287" i="2"/>
  <c r="J287" i="2"/>
  <c r="L287" i="2"/>
  <c r="M287" i="2"/>
  <c r="O287" i="2"/>
  <c r="Q287" i="2"/>
  <c r="R287" i="2"/>
  <c r="S287" i="2"/>
  <c r="AA287" i="2" a="1"/>
  <c r="AB287" i="2" a="1"/>
  <c r="AC287" i="2" a="1"/>
  <c r="AD287" i="2" a="1"/>
  <c r="AE287" i="2" a="1"/>
  <c r="AF287" i="2" a="1"/>
  <c r="AG287" i="2" a="1"/>
  <c r="B288" i="2"/>
  <c r="F288" i="2"/>
  <c r="G288" i="2"/>
  <c r="H288" i="2"/>
  <c r="I288" i="2"/>
  <c r="J288" i="2"/>
  <c r="L288" i="2"/>
  <c r="M288" i="2"/>
  <c r="O288" i="2"/>
  <c r="Q288" i="2"/>
  <c r="R288" i="2"/>
  <c r="S288" i="2"/>
  <c r="AA288" i="2" a="1"/>
  <c r="AB288" i="2" a="1"/>
  <c r="AC288" i="2" a="1"/>
  <c r="AD288" i="2" a="1"/>
  <c r="AE288" i="2" a="1"/>
  <c r="AF288" i="2" a="1"/>
  <c r="AG288" i="2" a="1"/>
  <c r="B289" i="2"/>
  <c r="F289" i="2"/>
  <c r="G289" i="2"/>
  <c r="H289" i="2"/>
  <c r="I289" i="2"/>
  <c r="J289" i="2"/>
  <c r="L289" i="2"/>
  <c r="M289" i="2"/>
  <c r="O289" i="2"/>
  <c r="Q289" i="2"/>
  <c r="R289" i="2"/>
  <c r="S289" i="2"/>
  <c r="AA289" i="2" a="1"/>
  <c r="AB289" i="2" a="1"/>
  <c r="AC289" i="2" a="1"/>
  <c r="AD289" i="2" a="1"/>
  <c r="AE289" i="2" a="1"/>
  <c r="AF289" i="2" a="1"/>
  <c r="AG289" i="2" a="1"/>
  <c r="B290" i="2"/>
  <c r="F290" i="2"/>
  <c r="G290" i="2"/>
  <c r="H290" i="2"/>
  <c r="I290" i="2"/>
  <c r="J290" i="2"/>
  <c r="L290" i="2"/>
  <c r="M290" i="2"/>
  <c r="O290" i="2"/>
  <c r="Q290" i="2"/>
  <c r="R290" i="2"/>
  <c r="S290" i="2"/>
  <c r="AA290" i="2" a="1"/>
  <c r="AC290" i="2" a="1"/>
  <c r="AD290" i="2" a="1"/>
  <c r="AE290" i="2" a="1"/>
  <c r="AF290" i="2" a="1"/>
  <c r="AG290" i="2" a="1"/>
  <c r="B291" i="2"/>
  <c r="F291" i="2"/>
  <c r="G291" i="2"/>
  <c r="H291" i="2"/>
  <c r="I291" i="2"/>
  <c r="J291" i="2"/>
  <c r="L291" i="2"/>
  <c r="M291" i="2"/>
  <c r="O291" i="2"/>
  <c r="Q291" i="2"/>
  <c r="R291" i="2"/>
  <c r="S291" i="2"/>
  <c r="AA291" i="2" a="1"/>
  <c r="AB291" i="2" a="1"/>
  <c r="AC291" i="2" a="1"/>
  <c r="AD291" i="2" a="1"/>
  <c r="AE291" i="2" a="1"/>
  <c r="AF291" i="2" a="1"/>
  <c r="AG291" i="2" a="1"/>
  <c r="B292" i="2"/>
  <c r="F292" i="2"/>
  <c r="G292" i="2"/>
  <c r="H292" i="2"/>
  <c r="I292" i="2"/>
  <c r="J292" i="2"/>
  <c r="L292" i="2"/>
  <c r="M292" i="2"/>
  <c r="O292" i="2"/>
  <c r="Q292" i="2"/>
  <c r="R292" i="2"/>
  <c r="S292" i="2"/>
  <c r="AA292" i="2" a="1"/>
  <c r="AB292" i="2" a="1"/>
  <c r="AC292" i="2" a="1"/>
  <c r="AD292" i="2" a="1"/>
  <c r="AE292" i="2" a="1"/>
  <c r="AF292" i="2" a="1"/>
  <c r="AG292" i="2" a="1"/>
  <c r="B293" i="2"/>
  <c r="F293" i="2"/>
  <c r="G293" i="2"/>
  <c r="H293" i="2"/>
  <c r="I293" i="2"/>
  <c r="J293" i="2"/>
  <c r="L293" i="2"/>
  <c r="M293" i="2"/>
  <c r="O293" i="2"/>
  <c r="Q293" i="2"/>
  <c r="R293" i="2"/>
  <c r="S293" i="2"/>
  <c r="B294" i="2"/>
  <c r="F294" i="2"/>
  <c r="G294" i="2"/>
  <c r="H294" i="2"/>
  <c r="I294" i="2"/>
  <c r="J294" i="2"/>
  <c r="L294" i="2"/>
  <c r="M294" i="2"/>
  <c r="O294" i="2"/>
  <c r="Q294" i="2"/>
  <c r="R294" i="2"/>
  <c r="S294" i="2"/>
  <c r="AA294" i="2" a="1"/>
  <c r="AB294" i="2" a="1"/>
  <c r="AC294" i="2" a="1"/>
  <c r="AD294" i="2" a="1"/>
  <c r="AE294" i="2" a="1"/>
  <c r="AF294" i="2" a="1"/>
  <c r="AG294" i="2" a="1"/>
  <c r="B295" i="2"/>
  <c r="F295" i="2"/>
  <c r="G295" i="2"/>
  <c r="H295" i="2"/>
  <c r="I295" i="2"/>
  <c r="J295" i="2"/>
  <c r="L295" i="2"/>
  <c r="M295" i="2"/>
  <c r="O295" i="2"/>
  <c r="Q295" i="2"/>
  <c r="R295" i="2"/>
  <c r="S295" i="2"/>
  <c r="AA295" i="2" a="1"/>
  <c r="AB295" i="2" a="1"/>
  <c r="AC295" i="2" a="1"/>
  <c r="AD295" i="2" a="1"/>
  <c r="AE295" i="2" a="1"/>
  <c r="AF295" i="2" a="1"/>
  <c r="AG295" i="2" a="1"/>
  <c r="B296" i="2"/>
  <c r="F296" i="2"/>
  <c r="G296" i="2"/>
  <c r="H296" i="2"/>
  <c r="I296" i="2"/>
  <c r="J296" i="2"/>
  <c r="L296" i="2"/>
  <c r="M296" i="2"/>
  <c r="O296" i="2"/>
  <c r="Q296" i="2"/>
  <c r="R296" i="2"/>
  <c r="S296" i="2"/>
  <c r="AA296" i="2" a="1"/>
  <c r="AB296" i="2" a="1"/>
  <c r="AC296" i="2" a="1"/>
  <c r="AD296" i="2" a="1"/>
  <c r="AE296" i="2" a="1"/>
  <c r="AF296" i="2" a="1"/>
  <c r="AG296" i="2" a="1"/>
  <c r="B297" i="2"/>
  <c r="F297" i="2"/>
  <c r="G297" i="2"/>
  <c r="H297" i="2"/>
  <c r="I297" i="2"/>
  <c r="J297" i="2"/>
  <c r="L297" i="2"/>
  <c r="M297" i="2"/>
  <c r="O297" i="2"/>
  <c r="Q297" i="2"/>
  <c r="R297" i="2"/>
  <c r="S297" i="2"/>
  <c r="AA297" i="2" a="1"/>
  <c r="AB297" i="2" a="1"/>
  <c r="AC297" i="2" a="1"/>
  <c r="AD297" i="2" a="1"/>
  <c r="AE297" i="2" a="1"/>
  <c r="AF297" i="2" a="1"/>
  <c r="AG297" i="2" a="1"/>
  <c r="B298" i="2"/>
  <c r="F298" i="2"/>
  <c r="G298" i="2"/>
  <c r="H298" i="2"/>
  <c r="I298" i="2"/>
  <c r="J298" i="2"/>
  <c r="L298" i="2"/>
  <c r="M298" i="2"/>
  <c r="O298" i="2"/>
  <c r="Q298" i="2"/>
  <c r="R298" i="2"/>
  <c r="S298" i="2"/>
  <c r="AA298" i="2" a="1"/>
  <c r="AB298" i="2" a="1"/>
  <c r="AC298" i="2" a="1"/>
  <c r="AD298" i="2" a="1"/>
  <c r="AE298" i="2" a="1"/>
  <c r="AF298" i="2" a="1"/>
  <c r="AG298" i="2" a="1"/>
  <c r="B299" i="2"/>
  <c r="F299" i="2"/>
  <c r="G299" i="2"/>
  <c r="H299" i="2"/>
  <c r="I299" i="2"/>
  <c r="J299" i="2"/>
  <c r="L299" i="2"/>
  <c r="M299" i="2"/>
  <c r="O299" i="2"/>
  <c r="Q299" i="2"/>
  <c r="R299" i="2"/>
  <c r="S299" i="2"/>
  <c r="AF299" i="2" a="1"/>
  <c r="B300" i="2"/>
  <c r="F300" i="2"/>
  <c r="G300" i="2"/>
  <c r="H300" i="2"/>
  <c r="I300" i="2"/>
  <c r="J300" i="2"/>
  <c r="L300" i="2"/>
  <c r="M300" i="2"/>
  <c r="O300" i="2"/>
  <c r="Q300" i="2"/>
  <c r="R300" i="2"/>
  <c r="S300" i="2"/>
  <c r="AA300" i="2" a="1"/>
  <c r="AB300" i="2" a="1"/>
  <c r="AC300" i="2" a="1"/>
  <c r="AD300" i="2" a="1"/>
  <c r="AE300" i="2" a="1"/>
  <c r="AF300" i="2" a="1"/>
  <c r="AG300" i="2" a="1"/>
  <c r="B301" i="2"/>
  <c r="F301" i="2"/>
  <c r="G301" i="2"/>
  <c r="H301" i="2"/>
  <c r="I301" i="2"/>
  <c r="J301" i="2"/>
  <c r="L301" i="2"/>
  <c r="M301" i="2"/>
  <c r="O301" i="2"/>
  <c r="Q301" i="2"/>
  <c r="R301" i="2"/>
  <c r="S301" i="2"/>
  <c r="B302" i="2"/>
  <c r="F302" i="2"/>
  <c r="G302" i="2"/>
  <c r="H302" i="2"/>
  <c r="I302" i="2"/>
  <c r="J302" i="2"/>
  <c r="L302" i="2"/>
  <c r="M302" i="2"/>
  <c r="O302" i="2"/>
  <c r="Q302" i="2"/>
  <c r="R302" i="2"/>
  <c r="S302" i="2"/>
  <c r="B303" i="2"/>
  <c r="F303" i="2"/>
  <c r="G303" i="2"/>
  <c r="H303" i="2"/>
  <c r="I303" i="2"/>
  <c r="J303" i="2"/>
  <c r="L303" i="2"/>
  <c r="M303" i="2"/>
  <c r="O303" i="2"/>
  <c r="Q303" i="2"/>
  <c r="R303" i="2"/>
  <c r="S303" i="2"/>
  <c r="AA303" i="2" a="1"/>
  <c r="AB303" i="2" a="1"/>
  <c r="AC303" i="2" a="1"/>
  <c r="AD303" i="2" a="1"/>
  <c r="AE303" i="2" a="1"/>
  <c r="AF303" i="2" a="1"/>
  <c r="AG303" i="2" a="1"/>
  <c r="B304" i="2"/>
  <c r="F304" i="2"/>
  <c r="G304" i="2"/>
  <c r="H304" i="2"/>
  <c r="I304" i="2"/>
  <c r="J304" i="2"/>
  <c r="L304" i="2"/>
  <c r="M304" i="2"/>
  <c r="O304" i="2"/>
  <c r="Q304" i="2"/>
  <c r="R304" i="2"/>
  <c r="S304" i="2"/>
  <c r="AA304" i="2" a="1"/>
  <c r="AB304" i="2" a="1"/>
  <c r="AC304" i="2" a="1"/>
  <c r="AD304" i="2" a="1"/>
  <c r="AE304" i="2" a="1"/>
  <c r="AF304" i="2" a="1"/>
  <c r="AG304" i="2" a="1"/>
  <c r="B305" i="2"/>
  <c r="F305" i="2"/>
  <c r="G305" i="2"/>
  <c r="H305" i="2"/>
  <c r="I305" i="2"/>
  <c r="J305" i="2"/>
  <c r="L305" i="2"/>
  <c r="M305" i="2"/>
  <c r="O305" i="2"/>
  <c r="Q305" i="2"/>
  <c r="R305" i="2"/>
  <c r="S305" i="2"/>
  <c r="AA305" i="2" a="1"/>
  <c r="AB305" i="2" a="1"/>
  <c r="AC305" i="2" a="1"/>
  <c r="AD305" i="2" a="1"/>
  <c r="AE305" i="2" a="1"/>
  <c r="AF305" i="2" a="1"/>
  <c r="AG305" i="2" a="1"/>
  <c r="B306" i="2"/>
  <c r="F306" i="2"/>
  <c r="G306" i="2"/>
  <c r="H306" i="2"/>
  <c r="I306" i="2"/>
  <c r="J306" i="2"/>
  <c r="L306" i="2"/>
  <c r="M306" i="2"/>
  <c r="O306" i="2"/>
  <c r="Q306" i="2"/>
  <c r="R306" i="2"/>
  <c r="S306" i="2"/>
  <c r="B307" i="2"/>
  <c r="F307" i="2"/>
  <c r="G307" i="2"/>
  <c r="H307" i="2"/>
  <c r="I307" i="2"/>
  <c r="J307" i="2"/>
  <c r="L307" i="2"/>
  <c r="M307" i="2"/>
  <c r="O307" i="2"/>
  <c r="Q307" i="2"/>
  <c r="R307" i="2"/>
  <c r="S307" i="2"/>
  <c r="B308" i="2"/>
  <c r="F308" i="2"/>
  <c r="G308" i="2"/>
  <c r="H308" i="2"/>
  <c r="I308" i="2"/>
  <c r="J308" i="2"/>
  <c r="L308" i="2"/>
  <c r="M308" i="2"/>
  <c r="O308" i="2"/>
  <c r="Q308" i="2"/>
  <c r="R308" i="2"/>
  <c r="S308" i="2"/>
  <c r="B309" i="2"/>
  <c r="F309" i="2"/>
  <c r="G309" i="2"/>
  <c r="H309" i="2"/>
  <c r="I309" i="2"/>
  <c r="J309" i="2"/>
  <c r="L309" i="2"/>
  <c r="M309" i="2"/>
  <c r="O309" i="2"/>
  <c r="Q309" i="2"/>
  <c r="R309" i="2"/>
  <c r="S309" i="2"/>
  <c r="B310" i="2"/>
  <c r="F310" i="2"/>
  <c r="G310" i="2"/>
  <c r="H310" i="2"/>
  <c r="I310" i="2"/>
  <c r="J310" i="2"/>
  <c r="L310" i="2"/>
  <c r="M310" i="2"/>
  <c r="O310" i="2"/>
  <c r="Q310" i="2"/>
  <c r="R310" i="2"/>
  <c r="S310" i="2"/>
  <c r="B311" i="2"/>
  <c r="F311" i="2"/>
  <c r="G311" i="2"/>
  <c r="H311" i="2"/>
  <c r="I311" i="2"/>
  <c r="J311" i="2"/>
  <c r="L311" i="2"/>
  <c r="M311" i="2"/>
  <c r="O311" i="2"/>
  <c r="Q311" i="2"/>
  <c r="R311" i="2"/>
  <c r="S311" i="2"/>
  <c r="B312" i="2"/>
  <c r="F312" i="2"/>
  <c r="G312" i="2"/>
  <c r="H312" i="2"/>
  <c r="I312" i="2"/>
  <c r="J312" i="2"/>
  <c r="L312" i="2"/>
  <c r="M312" i="2"/>
  <c r="O312" i="2"/>
  <c r="Q312" i="2"/>
  <c r="R312" i="2"/>
  <c r="S312" i="2"/>
  <c r="B313" i="2"/>
  <c r="F313" i="2"/>
  <c r="G313" i="2"/>
  <c r="H313" i="2"/>
  <c r="I313" i="2"/>
  <c r="J313" i="2"/>
  <c r="L313" i="2"/>
  <c r="M313" i="2"/>
  <c r="O313" i="2"/>
  <c r="Q313" i="2"/>
  <c r="R313" i="2"/>
  <c r="S313" i="2"/>
  <c r="B314" i="2"/>
  <c r="F314" i="2"/>
  <c r="G314" i="2"/>
  <c r="H314" i="2"/>
  <c r="I314" i="2"/>
  <c r="J314" i="2"/>
  <c r="L314" i="2"/>
  <c r="M314" i="2"/>
  <c r="O314" i="2"/>
  <c r="Q314" i="2"/>
  <c r="R314" i="2"/>
  <c r="S314" i="2"/>
  <c r="B315" i="2"/>
  <c r="F315" i="2"/>
  <c r="G315" i="2"/>
  <c r="H315" i="2"/>
  <c r="I315" i="2"/>
  <c r="J315" i="2"/>
  <c r="L315" i="2"/>
  <c r="M315" i="2"/>
  <c r="O315" i="2"/>
  <c r="Q315" i="2"/>
  <c r="R315" i="2"/>
  <c r="S315" i="2"/>
  <c r="B316" i="2"/>
  <c r="F316" i="2"/>
  <c r="G316" i="2"/>
  <c r="H316" i="2"/>
  <c r="I316" i="2"/>
  <c r="J316" i="2"/>
  <c r="L316" i="2"/>
  <c r="M316" i="2"/>
  <c r="O316" i="2"/>
  <c r="Q316" i="2"/>
  <c r="R316" i="2"/>
  <c r="S316" i="2"/>
  <c r="B317" i="2"/>
  <c r="F317" i="2"/>
  <c r="G317" i="2"/>
  <c r="H317" i="2"/>
  <c r="I317" i="2"/>
  <c r="J317" i="2"/>
  <c r="L317" i="2"/>
  <c r="M317" i="2"/>
  <c r="O317" i="2"/>
  <c r="Q317" i="2"/>
  <c r="R317" i="2"/>
  <c r="S317" i="2"/>
  <c r="AE317" i="2" a="1"/>
  <c r="B318" i="2"/>
  <c r="F318" i="2"/>
  <c r="G318" i="2"/>
  <c r="H318" i="2"/>
  <c r="I318" i="2"/>
  <c r="J318" i="2"/>
  <c r="L318" i="2"/>
  <c r="M318" i="2"/>
  <c r="O318" i="2"/>
  <c r="Q318" i="2"/>
  <c r="R318" i="2"/>
  <c r="S318" i="2"/>
  <c r="AA318" i="2" a="1"/>
  <c r="AB318" i="2" a="1"/>
  <c r="AC318" i="2" a="1"/>
  <c r="AD318" i="2" a="1"/>
  <c r="AE318" i="2" a="1"/>
  <c r="AF318" i="2" a="1"/>
  <c r="AG318" i="2" a="1"/>
  <c r="B319" i="2"/>
  <c r="F319" i="2"/>
  <c r="G319" i="2"/>
  <c r="H319" i="2"/>
  <c r="I319" i="2"/>
  <c r="J319" i="2"/>
  <c r="L319" i="2"/>
  <c r="M319" i="2"/>
  <c r="O319" i="2"/>
  <c r="Q319" i="2"/>
  <c r="R319" i="2"/>
  <c r="S319" i="2"/>
  <c r="B320" i="2"/>
  <c r="F320" i="2"/>
  <c r="G320" i="2"/>
  <c r="H320" i="2"/>
  <c r="I320" i="2"/>
  <c r="J320" i="2"/>
  <c r="L320" i="2"/>
  <c r="M320" i="2"/>
  <c r="O320" i="2"/>
  <c r="Q320" i="2"/>
  <c r="R320" i="2"/>
  <c r="S320" i="2"/>
  <c r="AA320" i="2" a="1"/>
  <c r="AB320" i="2" a="1"/>
  <c r="AC320" i="2" a="1"/>
  <c r="AD320" i="2" a="1"/>
  <c r="AE320" i="2" a="1"/>
  <c r="AF320" i="2" a="1"/>
  <c r="AG320" i="2" a="1"/>
  <c r="B321" i="2"/>
  <c r="F321" i="2"/>
  <c r="G321" i="2"/>
  <c r="H321" i="2"/>
  <c r="I321" i="2"/>
  <c r="J321" i="2"/>
  <c r="L321" i="2"/>
  <c r="M321" i="2"/>
  <c r="O321" i="2"/>
  <c r="Q321" i="2"/>
  <c r="R321" i="2"/>
  <c r="S321" i="2"/>
  <c r="B322" i="2"/>
  <c r="F322" i="2"/>
  <c r="G322" i="2"/>
  <c r="H322" i="2"/>
  <c r="I322" i="2"/>
  <c r="J322" i="2"/>
  <c r="L322" i="2"/>
  <c r="M322" i="2"/>
  <c r="O322" i="2"/>
  <c r="Q322" i="2"/>
  <c r="R322" i="2"/>
  <c r="S322" i="2"/>
  <c r="AA322" i="2" a="1"/>
  <c r="AB322" i="2" a="1"/>
  <c r="AC322" i="2" a="1"/>
  <c r="AD322" i="2" a="1"/>
  <c r="AE322" i="2" a="1"/>
  <c r="AF322" i="2" a="1"/>
  <c r="AG322" i="2" a="1"/>
  <c r="B323" i="2"/>
  <c r="F323" i="2"/>
  <c r="G323" i="2"/>
  <c r="H323" i="2"/>
  <c r="I323" i="2"/>
  <c r="J323" i="2"/>
  <c r="L323" i="2"/>
  <c r="M323" i="2"/>
  <c r="O323" i="2"/>
  <c r="Q323" i="2"/>
  <c r="R323" i="2"/>
  <c r="S323" i="2"/>
  <c r="AA323" i="2" a="1"/>
  <c r="AB323" i="2" a="1"/>
  <c r="AC323" i="2" a="1"/>
  <c r="AD323" i="2" a="1"/>
  <c r="AE323" i="2" a="1"/>
  <c r="AF323" i="2" a="1"/>
  <c r="AG323" i="2" a="1"/>
  <c r="B324" i="2"/>
  <c r="F324" i="2"/>
  <c r="G324" i="2"/>
  <c r="H324" i="2"/>
  <c r="I324" i="2"/>
  <c r="J324" i="2"/>
  <c r="L324" i="2"/>
  <c r="M324" i="2"/>
  <c r="O324" i="2"/>
  <c r="Q324" i="2"/>
  <c r="R324" i="2"/>
  <c r="S324" i="2"/>
  <c r="AA324" i="2" a="1"/>
  <c r="AB324" i="2" a="1"/>
  <c r="AC324" i="2" a="1"/>
  <c r="AD324" i="2" a="1"/>
  <c r="AE324" i="2" a="1"/>
  <c r="AF324" i="2" a="1"/>
  <c r="AG324" i="2" a="1"/>
  <c r="B325" i="2"/>
  <c r="F325" i="2"/>
  <c r="G325" i="2"/>
  <c r="AG325" i="2" s="1" a="1"/>
  <c r="H325" i="2"/>
  <c r="I325" i="2"/>
  <c r="J325" i="2"/>
  <c r="L325" i="2"/>
  <c r="M325" i="2"/>
  <c r="O325" i="2"/>
  <c r="Q325" i="2"/>
  <c r="R325" i="2"/>
  <c r="S325" i="2"/>
  <c r="AA325" i="2" a="1"/>
  <c r="AB325" i="2" a="1"/>
  <c r="AC325" i="2" a="1"/>
  <c r="AD325" i="2" a="1"/>
  <c r="AE325" i="2" a="1"/>
  <c r="AF325" i="2" a="1"/>
  <c r="B326" i="2"/>
  <c r="F326" i="2"/>
  <c r="G326" i="2"/>
  <c r="H326" i="2"/>
  <c r="I326" i="2"/>
  <c r="J326" i="2"/>
  <c r="L326" i="2"/>
  <c r="M326" i="2"/>
  <c r="O326" i="2"/>
  <c r="Q326" i="2"/>
  <c r="R326" i="2"/>
  <c r="S326" i="2"/>
  <c r="AA326" i="2" a="1"/>
  <c r="AB326" i="2" a="1"/>
  <c r="AC326" i="2" a="1"/>
  <c r="AD326" i="2" a="1"/>
  <c r="AE326" i="2" a="1"/>
  <c r="AF326" i="2" a="1"/>
  <c r="AG326" i="2" a="1"/>
  <c r="B327" i="2"/>
  <c r="F327" i="2"/>
  <c r="G327" i="2"/>
  <c r="H327" i="2"/>
  <c r="I327" i="2"/>
  <c r="J327" i="2"/>
  <c r="L327" i="2"/>
  <c r="M327" i="2"/>
  <c r="O327" i="2"/>
  <c r="Q327" i="2"/>
  <c r="R327" i="2"/>
  <c r="S327" i="2"/>
  <c r="AA327" i="2" a="1"/>
  <c r="AB327" i="2" a="1"/>
  <c r="AC327" i="2" a="1"/>
  <c r="AD327" i="2" a="1"/>
  <c r="AE327" i="2" a="1"/>
  <c r="AF327" i="2" a="1"/>
  <c r="AG327" i="2" a="1"/>
  <c r="B328" i="2"/>
  <c r="F328" i="2"/>
  <c r="G328" i="2"/>
  <c r="H328" i="2"/>
  <c r="I328" i="2"/>
  <c r="J328" i="2"/>
  <c r="L328" i="2"/>
  <c r="M328" i="2"/>
  <c r="O328" i="2"/>
  <c r="Q328" i="2"/>
  <c r="R328" i="2"/>
  <c r="S328" i="2"/>
  <c r="AA328" i="2" a="1"/>
  <c r="AB328" i="2" a="1"/>
  <c r="AC328" i="2" a="1"/>
  <c r="AD328" i="2" a="1"/>
  <c r="AE328" i="2" a="1"/>
  <c r="B329" i="2"/>
  <c r="F329" i="2"/>
  <c r="G329" i="2"/>
  <c r="H329" i="2"/>
  <c r="I329" i="2"/>
  <c r="J329" i="2"/>
  <c r="L329" i="2"/>
  <c r="M329" i="2"/>
  <c r="O329" i="2"/>
  <c r="Q329" i="2"/>
  <c r="R329" i="2"/>
  <c r="S329" i="2"/>
  <c r="B330" i="2"/>
  <c r="F330" i="2"/>
  <c r="G330" i="2"/>
  <c r="H330" i="2"/>
  <c r="I330" i="2"/>
  <c r="J330" i="2"/>
  <c r="L330" i="2"/>
  <c r="M330" i="2"/>
  <c r="O330" i="2"/>
  <c r="Q330" i="2"/>
  <c r="R330" i="2"/>
  <c r="S330" i="2"/>
  <c r="B331" i="2"/>
  <c r="F331" i="2"/>
  <c r="G331" i="2"/>
  <c r="H331" i="2"/>
  <c r="I331" i="2"/>
  <c r="J331" i="2"/>
  <c r="L331" i="2"/>
  <c r="M331" i="2"/>
  <c r="O331" i="2"/>
  <c r="Q331" i="2"/>
  <c r="R331" i="2"/>
  <c r="S331" i="2"/>
  <c r="AA331" i="2" a="1"/>
  <c r="AB331" i="2" a="1"/>
  <c r="AC331" i="2" a="1"/>
  <c r="AD331" i="2" a="1"/>
  <c r="AE331" i="2" a="1"/>
  <c r="AF331" i="2" a="1"/>
  <c r="AG331" i="2" a="1"/>
  <c r="B332" i="2"/>
  <c r="F332" i="2"/>
  <c r="G332" i="2"/>
  <c r="H332" i="2"/>
  <c r="I332" i="2"/>
  <c r="J332" i="2"/>
  <c r="L332" i="2"/>
  <c r="M332" i="2"/>
  <c r="O332" i="2"/>
  <c r="Q332" i="2"/>
  <c r="R332" i="2"/>
  <c r="S332" i="2"/>
  <c r="AB332" i="2" a="1"/>
  <c r="AD332" i="2" a="1"/>
  <c r="AE332" i="2" a="1"/>
  <c r="AF332" i="2" a="1"/>
  <c r="AG332" i="2" a="1"/>
  <c r="B333" i="2"/>
  <c r="F333" i="2"/>
  <c r="G333" i="2"/>
  <c r="H333" i="2"/>
  <c r="I333" i="2"/>
  <c r="J333" i="2"/>
  <c r="L333" i="2"/>
  <c r="M333" i="2"/>
  <c r="O333" i="2"/>
  <c r="Q333" i="2"/>
  <c r="R333" i="2"/>
  <c r="S333" i="2"/>
  <c r="AC333" i="2" a="1"/>
  <c r="AD333" i="2" a="1"/>
  <c r="AE333" i="2" a="1"/>
  <c r="AF333" i="2" a="1"/>
  <c r="AG333" i="2" a="1"/>
  <c r="B334" i="2"/>
  <c r="F334" i="2"/>
  <c r="G334" i="2"/>
  <c r="H334" i="2"/>
  <c r="I334" i="2"/>
  <c r="J334" i="2"/>
  <c r="L334" i="2"/>
  <c r="M334" i="2"/>
  <c r="O334" i="2"/>
  <c r="Q334" i="2"/>
  <c r="R334" i="2"/>
  <c r="S334" i="2"/>
  <c r="B335" i="2"/>
  <c r="F335" i="2"/>
  <c r="G335" i="2"/>
  <c r="H335" i="2"/>
  <c r="I335" i="2"/>
  <c r="J335" i="2"/>
  <c r="L335" i="2"/>
  <c r="M335" i="2"/>
  <c r="O335" i="2"/>
  <c r="Q335" i="2"/>
  <c r="R335" i="2"/>
  <c r="S335" i="2"/>
  <c r="AA335" i="2" a="1"/>
  <c r="AB335" i="2" a="1"/>
  <c r="AC335" i="2" a="1"/>
  <c r="AD335" i="2" a="1"/>
  <c r="AE335" i="2" a="1"/>
  <c r="AF335" i="2" a="1"/>
  <c r="AG335" i="2" a="1"/>
  <c r="B336" i="2"/>
  <c r="F336" i="2"/>
  <c r="G336" i="2"/>
  <c r="H336" i="2"/>
  <c r="I336" i="2"/>
  <c r="J336" i="2"/>
  <c r="L336" i="2"/>
  <c r="M336" i="2"/>
  <c r="O336" i="2"/>
  <c r="Q336" i="2"/>
  <c r="R336" i="2"/>
  <c r="S336" i="2"/>
  <c r="AE336" i="2" a="1"/>
  <c r="AF336" i="2" a="1"/>
  <c r="AG336" i="2" a="1"/>
  <c r="B337" i="2"/>
  <c r="F337" i="2"/>
  <c r="G337" i="2"/>
  <c r="H337" i="2"/>
  <c r="I337" i="2"/>
  <c r="J337" i="2"/>
  <c r="L337" i="2"/>
  <c r="M337" i="2"/>
  <c r="O337" i="2"/>
  <c r="Q337" i="2"/>
  <c r="R337" i="2"/>
  <c r="S337" i="2"/>
  <c r="AA337" i="2" a="1"/>
  <c r="AB337" i="2" a="1"/>
  <c r="AC337" i="2" a="1"/>
  <c r="AD337" i="2" a="1"/>
  <c r="AE337" i="2" a="1"/>
  <c r="AF337" i="2" a="1"/>
  <c r="AG337" i="2" a="1"/>
  <c r="B338" i="2"/>
  <c r="F338" i="2"/>
  <c r="G338" i="2"/>
  <c r="H338" i="2"/>
  <c r="I338" i="2"/>
  <c r="J338" i="2"/>
  <c r="L338" i="2"/>
  <c r="M338" i="2"/>
  <c r="O338" i="2"/>
  <c r="Q338" i="2"/>
  <c r="R338" i="2"/>
  <c r="S338" i="2"/>
  <c r="B339" i="2"/>
  <c r="F339" i="2"/>
  <c r="G339" i="2"/>
  <c r="H339" i="2"/>
  <c r="I339" i="2"/>
  <c r="J339" i="2"/>
  <c r="L339" i="2"/>
  <c r="M339" i="2"/>
  <c r="O339" i="2"/>
  <c r="Q339" i="2"/>
  <c r="R339" i="2"/>
  <c r="S339" i="2"/>
  <c r="AA339" i="2" a="1"/>
  <c r="AB339" i="2" a="1"/>
  <c r="AC339" i="2" a="1"/>
  <c r="AD339" i="2" a="1"/>
  <c r="AE339" i="2" a="1"/>
  <c r="AF339" i="2" a="1"/>
  <c r="AG339" i="2" a="1"/>
  <c r="B340" i="2"/>
  <c r="F340" i="2"/>
  <c r="G340" i="2"/>
  <c r="H340" i="2"/>
  <c r="I340" i="2"/>
  <c r="J340" i="2"/>
  <c r="L340" i="2"/>
  <c r="M340" i="2"/>
  <c r="O340" i="2"/>
  <c r="Q340" i="2"/>
  <c r="R340" i="2"/>
  <c r="S340" i="2"/>
  <c r="B341" i="2"/>
  <c r="F341" i="2"/>
  <c r="G341" i="2"/>
  <c r="H341" i="2"/>
  <c r="I341" i="2"/>
  <c r="J341" i="2"/>
  <c r="L341" i="2"/>
  <c r="M341" i="2"/>
  <c r="O341" i="2"/>
  <c r="Q341" i="2"/>
  <c r="R341" i="2"/>
  <c r="S341" i="2"/>
  <c r="AA341" i="2" a="1"/>
  <c r="AB341" i="2" a="1"/>
  <c r="AC341" i="2" a="1"/>
  <c r="AD341" i="2" a="1"/>
  <c r="AE341" i="2" a="1"/>
  <c r="AF341" i="2" a="1"/>
  <c r="AG341" i="2" a="1"/>
  <c r="B342" i="2"/>
  <c r="F342" i="2"/>
  <c r="G342" i="2"/>
  <c r="H342" i="2"/>
  <c r="I342" i="2"/>
  <c r="J342" i="2"/>
  <c r="L342" i="2"/>
  <c r="M342" i="2"/>
  <c r="O342" i="2"/>
  <c r="Q342" i="2"/>
  <c r="R342" i="2"/>
  <c r="S342" i="2"/>
  <c r="AA342" i="2" a="1"/>
  <c r="AB342" i="2" a="1"/>
  <c r="AC342" i="2" a="1"/>
  <c r="AD342" i="2" a="1"/>
  <c r="AE342" i="2" a="1"/>
  <c r="AF342" i="2" a="1"/>
  <c r="AG342" i="2" a="1"/>
  <c r="B343" i="2"/>
  <c r="F343" i="2"/>
  <c r="G343" i="2"/>
  <c r="H343" i="2"/>
  <c r="I343" i="2"/>
  <c r="J343" i="2"/>
  <c r="L343" i="2"/>
  <c r="M343" i="2"/>
  <c r="O343" i="2"/>
  <c r="Q343" i="2"/>
  <c r="R343" i="2"/>
  <c r="S343" i="2"/>
  <c r="AA343" i="2" a="1"/>
  <c r="AB343" i="2" a="1"/>
  <c r="AC343" i="2" a="1"/>
  <c r="AD343" i="2" a="1"/>
  <c r="AE343" i="2" a="1"/>
  <c r="AF343" i="2" a="1"/>
  <c r="AG343" i="2" a="1"/>
  <c r="B344" i="2"/>
  <c r="F344" i="2"/>
  <c r="G344" i="2"/>
  <c r="H344" i="2"/>
  <c r="I344" i="2"/>
  <c r="J344" i="2"/>
  <c r="L344" i="2"/>
  <c r="M344" i="2"/>
  <c r="O344" i="2"/>
  <c r="Q344" i="2"/>
  <c r="R344" i="2"/>
  <c r="S344" i="2"/>
  <c r="AA344" i="2" a="1"/>
  <c r="AB344" i="2" a="1"/>
  <c r="AC344" i="2" a="1"/>
  <c r="AD344" i="2" a="1"/>
  <c r="AE344" i="2" a="1"/>
  <c r="AF344" i="2" a="1"/>
  <c r="AG344" i="2" a="1"/>
  <c r="B345" i="2"/>
  <c r="F345" i="2"/>
  <c r="G345" i="2"/>
  <c r="H345" i="2"/>
  <c r="I345" i="2"/>
  <c r="J345" i="2"/>
  <c r="L345" i="2"/>
  <c r="M345" i="2"/>
  <c r="O345" i="2"/>
  <c r="Q345" i="2"/>
  <c r="R345" i="2"/>
  <c r="S345" i="2"/>
  <c r="B346" i="2"/>
  <c r="F346" i="2"/>
  <c r="G346" i="2"/>
  <c r="H346" i="2"/>
  <c r="I346" i="2"/>
  <c r="J346" i="2"/>
  <c r="L346" i="2"/>
  <c r="M346" i="2"/>
  <c r="O346" i="2"/>
  <c r="Q346" i="2"/>
  <c r="R346" i="2"/>
  <c r="S346" i="2"/>
  <c r="B347" i="2"/>
  <c r="F347" i="2"/>
  <c r="G347" i="2"/>
  <c r="H347" i="2"/>
  <c r="I347" i="2"/>
  <c r="J347" i="2"/>
  <c r="L347" i="2"/>
  <c r="M347" i="2"/>
  <c r="O347" i="2"/>
  <c r="Q347" i="2"/>
  <c r="R347" i="2"/>
  <c r="S347" i="2"/>
  <c r="B348" i="2"/>
  <c r="F348" i="2"/>
  <c r="G348" i="2"/>
  <c r="H348" i="2"/>
  <c r="I348" i="2"/>
  <c r="J348" i="2"/>
  <c r="L348" i="2"/>
  <c r="M348" i="2"/>
  <c r="O348" i="2"/>
  <c r="Q348" i="2"/>
  <c r="R348" i="2"/>
  <c r="S348" i="2"/>
  <c r="B349" i="2"/>
  <c r="F349" i="2"/>
  <c r="G349" i="2"/>
  <c r="H349" i="2"/>
  <c r="I349" i="2"/>
  <c r="J349" i="2"/>
  <c r="L349" i="2"/>
  <c r="M349" i="2"/>
  <c r="O349" i="2"/>
  <c r="Q349" i="2"/>
  <c r="R349" i="2"/>
  <c r="S349" i="2"/>
  <c r="AC349" i="2" a="1"/>
  <c r="AE349" i="2" a="1"/>
  <c r="AG349" i="2" a="1"/>
  <c r="B350" i="2"/>
  <c r="F350" i="2"/>
  <c r="G350" i="2"/>
  <c r="H350" i="2"/>
  <c r="I350" i="2"/>
  <c r="J350" i="2"/>
  <c r="L350" i="2"/>
  <c r="M350" i="2"/>
  <c r="O350" i="2"/>
  <c r="Q350" i="2"/>
  <c r="R350" i="2"/>
  <c r="S350" i="2"/>
  <c r="B351" i="2"/>
  <c r="F351" i="2"/>
  <c r="G351" i="2"/>
  <c r="H351" i="2"/>
  <c r="I351" i="2"/>
  <c r="J351" i="2"/>
  <c r="L351" i="2"/>
  <c r="M351" i="2"/>
  <c r="O351" i="2"/>
  <c r="Q351" i="2"/>
  <c r="R351" i="2"/>
  <c r="S351" i="2"/>
  <c r="B352" i="2"/>
  <c r="F352" i="2"/>
  <c r="G352" i="2"/>
  <c r="H352" i="2"/>
  <c r="I352" i="2"/>
  <c r="J352" i="2"/>
  <c r="L352" i="2"/>
  <c r="M352" i="2"/>
  <c r="O352" i="2"/>
  <c r="Q352" i="2"/>
  <c r="R352" i="2"/>
  <c r="S352" i="2"/>
  <c r="AA352" i="2" a="1"/>
  <c r="AB352" i="2" a="1"/>
  <c r="AC352" i="2" a="1"/>
  <c r="AD352" i="2" a="1"/>
  <c r="AE352" i="2" a="1"/>
  <c r="AF352" i="2" a="1"/>
  <c r="AG352" i="2" a="1"/>
  <c r="B353" i="2"/>
  <c r="F353" i="2"/>
  <c r="G353" i="2"/>
  <c r="H353" i="2"/>
  <c r="I353" i="2"/>
  <c r="J353" i="2"/>
  <c r="L353" i="2"/>
  <c r="M353" i="2"/>
  <c r="O353" i="2"/>
  <c r="Q353" i="2"/>
  <c r="R353" i="2"/>
  <c r="S353" i="2"/>
  <c r="AA353" i="2" a="1"/>
  <c r="AB353" i="2" a="1"/>
  <c r="AC353" i="2" a="1"/>
  <c r="AD353" i="2" a="1"/>
  <c r="AE353" i="2" a="1"/>
  <c r="AF353" i="2" a="1"/>
  <c r="AG353" i="2" a="1"/>
  <c r="B354" i="2"/>
  <c r="F354" i="2"/>
  <c r="G354" i="2"/>
  <c r="H354" i="2"/>
  <c r="I354" i="2"/>
  <c r="J354" i="2"/>
  <c r="L354" i="2"/>
  <c r="M354" i="2"/>
  <c r="O354" i="2"/>
  <c r="Q354" i="2"/>
  <c r="R354" i="2"/>
  <c r="S354" i="2"/>
  <c r="B355" i="2"/>
  <c r="F355" i="2"/>
  <c r="G355" i="2"/>
  <c r="H355" i="2"/>
  <c r="I355" i="2"/>
  <c r="J355" i="2"/>
  <c r="L355" i="2"/>
  <c r="M355" i="2"/>
  <c r="O355" i="2"/>
  <c r="Q355" i="2"/>
  <c r="R355" i="2"/>
  <c r="S355" i="2"/>
  <c r="AA355" i="2" a="1"/>
  <c r="AB355" i="2" a="1"/>
  <c r="AC355" i="2" a="1"/>
  <c r="AD355" i="2" a="1"/>
  <c r="AE355" i="2" a="1"/>
  <c r="AF355" i="2" a="1"/>
  <c r="AG355" i="2" a="1"/>
  <c r="B356" i="2"/>
  <c r="F356" i="2"/>
  <c r="G356" i="2"/>
  <c r="H356" i="2"/>
  <c r="I356" i="2"/>
  <c r="J356" i="2"/>
  <c r="L356" i="2"/>
  <c r="M356" i="2"/>
  <c r="O356" i="2"/>
  <c r="Q356" i="2"/>
  <c r="R356" i="2"/>
  <c r="S356" i="2"/>
  <c r="B357" i="2"/>
  <c r="F357" i="2"/>
  <c r="G357" i="2"/>
  <c r="H357" i="2"/>
  <c r="I357" i="2"/>
  <c r="J357" i="2"/>
  <c r="L357" i="2"/>
  <c r="M357" i="2"/>
  <c r="O357" i="2"/>
  <c r="Q357" i="2"/>
  <c r="R357" i="2"/>
  <c r="S357" i="2"/>
  <c r="AG357" i="2" a="1"/>
  <c r="B358" i="2"/>
  <c r="F358" i="2"/>
  <c r="G358" i="2"/>
  <c r="H358" i="2"/>
  <c r="I358" i="2"/>
  <c r="J358" i="2"/>
  <c r="L358" i="2"/>
  <c r="M358" i="2"/>
  <c r="O358" i="2"/>
  <c r="Q358" i="2"/>
  <c r="R358" i="2"/>
  <c r="S358" i="2"/>
  <c r="B359" i="2"/>
  <c r="F359" i="2"/>
  <c r="G359" i="2"/>
  <c r="H359" i="2"/>
  <c r="I359" i="2"/>
  <c r="J359" i="2"/>
  <c r="L359" i="2"/>
  <c r="M359" i="2"/>
  <c r="O359" i="2"/>
  <c r="Q359" i="2"/>
  <c r="R359" i="2"/>
  <c r="S359" i="2"/>
  <c r="B360" i="2"/>
  <c r="F360" i="2"/>
  <c r="G360" i="2"/>
  <c r="H360" i="2"/>
  <c r="I360" i="2"/>
  <c r="J360" i="2"/>
  <c r="L360" i="2"/>
  <c r="M360" i="2"/>
  <c r="O360" i="2"/>
  <c r="Q360" i="2"/>
  <c r="R360" i="2"/>
  <c r="S360" i="2"/>
  <c r="B361" i="2"/>
  <c r="F361" i="2"/>
  <c r="G361" i="2"/>
  <c r="H361" i="2"/>
  <c r="I361" i="2"/>
  <c r="J361" i="2"/>
  <c r="L361" i="2"/>
  <c r="M361" i="2"/>
  <c r="O361" i="2"/>
  <c r="Q361" i="2"/>
  <c r="R361" i="2"/>
  <c r="S361" i="2"/>
  <c r="AA361" i="2" a="1"/>
  <c r="AB361" i="2" a="1"/>
  <c r="AC361" i="2" a="1"/>
  <c r="AD361" i="2" a="1"/>
  <c r="AE361" i="2" a="1"/>
  <c r="AF361" i="2" a="1"/>
  <c r="B362" i="2"/>
  <c r="F362" i="2"/>
  <c r="G362" i="2"/>
  <c r="H362" i="2"/>
  <c r="I362" i="2"/>
  <c r="J362" i="2"/>
  <c r="L362" i="2"/>
  <c r="M362" i="2"/>
  <c r="O362" i="2"/>
  <c r="Q362" i="2"/>
  <c r="R362" i="2"/>
  <c r="S362" i="2"/>
  <c r="AA362" i="2" a="1"/>
  <c r="AB362" i="2" a="1"/>
  <c r="AC362" i="2" a="1"/>
  <c r="AD362" i="2" a="1"/>
  <c r="AE362" i="2" a="1"/>
  <c r="AF362" i="2" a="1"/>
  <c r="B363" i="2"/>
  <c r="F363" i="2"/>
  <c r="G363" i="2"/>
  <c r="H363" i="2"/>
  <c r="I363" i="2"/>
  <c r="J363" i="2"/>
  <c r="L363" i="2"/>
  <c r="M363" i="2"/>
  <c r="O363" i="2"/>
  <c r="Q363" i="2"/>
  <c r="R363" i="2"/>
  <c r="S363" i="2"/>
  <c r="AA363" i="2" a="1"/>
  <c r="AB363" i="2" a="1"/>
  <c r="AC363" i="2" a="1"/>
  <c r="AD363" i="2" a="1"/>
  <c r="AE363" i="2" a="1"/>
  <c r="AF363" i="2" a="1"/>
  <c r="AG363" i="2" a="1"/>
  <c r="B364" i="2"/>
  <c r="F364" i="2"/>
  <c r="G364" i="2"/>
  <c r="H364" i="2"/>
  <c r="I364" i="2"/>
  <c r="J364" i="2"/>
  <c r="L364" i="2"/>
  <c r="M364" i="2"/>
  <c r="O364" i="2"/>
  <c r="Q364" i="2"/>
  <c r="R364" i="2"/>
  <c r="S364" i="2"/>
  <c r="AA364" i="2" a="1"/>
  <c r="AB364" i="2" a="1"/>
  <c r="AC364" i="2" a="1"/>
  <c r="AD364" i="2" a="1"/>
  <c r="AE364" i="2" a="1"/>
  <c r="AF364" i="2" a="1"/>
  <c r="AG364" i="2" a="1"/>
  <c r="B365" i="2"/>
  <c r="F365" i="2"/>
  <c r="G365" i="2"/>
  <c r="H365" i="2"/>
  <c r="I365" i="2"/>
  <c r="J365" i="2"/>
  <c r="L365" i="2"/>
  <c r="M365" i="2"/>
  <c r="O365" i="2"/>
  <c r="Q365" i="2"/>
  <c r="R365" i="2"/>
  <c r="S365" i="2"/>
  <c r="AA365" i="2" a="1"/>
  <c r="AB365" i="2" a="1"/>
  <c r="AC365" i="2" a="1"/>
  <c r="AD365" i="2" a="1"/>
  <c r="AE365" i="2" a="1"/>
  <c r="AF365" i="2" a="1"/>
  <c r="AG365" i="2" a="1"/>
  <c r="B366" i="2"/>
  <c r="F366" i="2"/>
  <c r="G366" i="2"/>
  <c r="H366" i="2"/>
  <c r="I366" i="2"/>
  <c r="J366" i="2"/>
  <c r="L366" i="2"/>
  <c r="M366" i="2"/>
  <c r="O366" i="2"/>
  <c r="Q366" i="2"/>
  <c r="R366" i="2"/>
  <c r="S366" i="2"/>
  <c r="AA366" i="2" a="1"/>
  <c r="AB366" i="2" a="1"/>
  <c r="AC366" i="2" a="1"/>
  <c r="AD366" i="2" a="1"/>
  <c r="AE366" i="2" a="1"/>
  <c r="AF366" i="2" a="1"/>
  <c r="AG366" i="2" a="1"/>
  <c r="B367" i="2"/>
  <c r="F367" i="2"/>
  <c r="G367" i="2"/>
  <c r="H367" i="2"/>
  <c r="I367" i="2"/>
  <c r="J367" i="2"/>
  <c r="L367" i="2"/>
  <c r="M367" i="2"/>
  <c r="O367" i="2"/>
  <c r="Q367" i="2"/>
  <c r="R367" i="2"/>
  <c r="S367" i="2"/>
  <c r="B368" i="2"/>
  <c r="F368" i="2"/>
  <c r="G368" i="2"/>
  <c r="H368" i="2"/>
  <c r="I368" i="2"/>
  <c r="J368" i="2"/>
  <c r="L368" i="2"/>
  <c r="M368" i="2"/>
  <c r="O368" i="2"/>
  <c r="Q368" i="2"/>
  <c r="R368" i="2"/>
  <c r="S368" i="2"/>
  <c r="AA368" i="2" a="1"/>
  <c r="AB368" i="2" a="1"/>
  <c r="AC368" i="2" a="1"/>
  <c r="AD368" i="2" a="1"/>
  <c r="AE368" i="2" a="1"/>
  <c r="AF368" i="2" a="1"/>
  <c r="AG368" i="2" a="1"/>
  <c r="B369" i="2"/>
  <c r="F369" i="2"/>
  <c r="G369" i="2"/>
  <c r="H369" i="2"/>
  <c r="I369" i="2"/>
  <c r="J369" i="2"/>
  <c r="L369" i="2"/>
  <c r="M369" i="2"/>
  <c r="O369" i="2"/>
  <c r="Q369" i="2"/>
  <c r="R369" i="2"/>
  <c r="S369" i="2"/>
  <c r="AA369" i="2" a="1"/>
  <c r="AB369" i="2" a="1"/>
  <c r="AC369" i="2" a="1"/>
  <c r="AD369" i="2" a="1"/>
  <c r="AE369" i="2" a="1"/>
  <c r="AF369" i="2" a="1"/>
  <c r="AG369" i="2" a="1"/>
  <c r="B370" i="2"/>
  <c r="F370" i="2"/>
  <c r="G370" i="2"/>
  <c r="H370" i="2"/>
  <c r="I370" i="2"/>
  <c r="J370" i="2"/>
  <c r="L370" i="2"/>
  <c r="M370" i="2"/>
  <c r="O370" i="2"/>
  <c r="Q370" i="2"/>
  <c r="R370" i="2"/>
  <c r="S370" i="2"/>
  <c r="AA370" i="2" a="1"/>
  <c r="AB370" i="2" a="1"/>
  <c r="AC370" i="2" a="1"/>
  <c r="AD370" i="2" a="1"/>
  <c r="AE370" i="2" a="1"/>
  <c r="AF370" i="2" a="1"/>
  <c r="AG370" i="2" a="1"/>
  <c r="B371" i="2"/>
  <c r="F371" i="2"/>
  <c r="G371" i="2"/>
  <c r="H371" i="2"/>
  <c r="I371" i="2"/>
  <c r="J371" i="2"/>
  <c r="L371" i="2"/>
  <c r="M371" i="2"/>
  <c r="O371" i="2"/>
  <c r="Q371" i="2"/>
  <c r="R371" i="2"/>
  <c r="S371" i="2"/>
  <c r="AA371" i="2" a="1"/>
  <c r="AB371" i="2" a="1"/>
  <c r="AC371" i="2" a="1"/>
  <c r="AD371" i="2" a="1"/>
  <c r="AE371" i="2" a="1"/>
  <c r="AF371" i="2" a="1"/>
  <c r="AG371" i="2" a="1"/>
  <c r="B372" i="2"/>
  <c r="F372" i="2"/>
  <c r="G372" i="2"/>
  <c r="H372" i="2"/>
  <c r="I372" i="2"/>
  <c r="J372" i="2"/>
  <c r="L372" i="2"/>
  <c r="M372" i="2"/>
  <c r="O372" i="2"/>
  <c r="Q372" i="2"/>
  <c r="R372" i="2"/>
  <c r="S372" i="2"/>
  <c r="AA372" i="2" a="1"/>
  <c r="AB372" i="2" a="1"/>
  <c r="AC372" i="2" a="1"/>
  <c r="AD372" i="2" a="1"/>
  <c r="AE372" i="2" a="1"/>
  <c r="AF372" i="2" a="1"/>
  <c r="AG372" i="2" a="1"/>
  <c r="B373" i="2"/>
  <c r="F373" i="2"/>
  <c r="G373" i="2"/>
  <c r="H373" i="2"/>
  <c r="I373" i="2"/>
  <c r="J373" i="2"/>
  <c r="L373" i="2"/>
  <c r="M373" i="2"/>
  <c r="O373" i="2"/>
  <c r="Q373" i="2"/>
  <c r="R373" i="2"/>
  <c r="S373" i="2"/>
  <c r="AA373" i="2" a="1"/>
  <c r="AB373" i="2" a="1"/>
  <c r="AC373" i="2" a="1"/>
  <c r="AD373" i="2" a="1"/>
  <c r="AE373" i="2" a="1"/>
  <c r="AF373" i="2" a="1"/>
  <c r="AG373" i="2" a="1"/>
  <c r="B374" i="2"/>
  <c r="F374" i="2"/>
  <c r="G374" i="2"/>
  <c r="H374" i="2"/>
  <c r="I374" i="2"/>
  <c r="J374" i="2"/>
  <c r="L374" i="2"/>
  <c r="M374" i="2"/>
  <c r="O374" i="2"/>
  <c r="Q374" i="2"/>
  <c r="R374" i="2"/>
  <c r="S374" i="2"/>
  <c r="AA374" i="2" a="1"/>
  <c r="AB374" i="2" a="1"/>
  <c r="AC374" i="2" a="1"/>
  <c r="AD374" i="2" a="1"/>
  <c r="AE374" i="2" a="1"/>
  <c r="AF374" i="2" a="1"/>
  <c r="AG374" i="2" a="1"/>
  <c r="B375" i="2"/>
  <c r="F375" i="2"/>
  <c r="G375" i="2"/>
  <c r="H375" i="2"/>
  <c r="I375" i="2"/>
  <c r="J375" i="2"/>
  <c r="L375" i="2"/>
  <c r="M375" i="2"/>
  <c r="O375" i="2"/>
  <c r="Q375" i="2"/>
  <c r="R375" i="2"/>
  <c r="S375" i="2"/>
  <c r="AA375" i="2" a="1"/>
  <c r="AB375" i="2" a="1"/>
  <c r="AC375" i="2" a="1"/>
  <c r="AD375" i="2" a="1"/>
  <c r="AE375" i="2" a="1"/>
  <c r="AF375" i="2" a="1"/>
  <c r="AG375" i="2" a="1"/>
  <c r="B376" i="2"/>
  <c r="F376" i="2"/>
  <c r="G376" i="2"/>
  <c r="H376" i="2"/>
  <c r="I376" i="2"/>
  <c r="J376" i="2"/>
  <c r="L376" i="2"/>
  <c r="M376" i="2"/>
  <c r="O376" i="2"/>
  <c r="Q376" i="2"/>
  <c r="R376" i="2"/>
  <c r="S376" i="2"/>
  <c r="AA376" i="2" a="1"/>
  <c r="AB376" i="2" a="1"/>
  <c r="AC376" i="2" a="1"/>
  <c r="AD376" i="2" a="1"/>
  <c r="AE376" i="2" a="1"/>
  <c r="AF376" i="2" a="1"/>
  <c r="AG376" i="2" a="1"/>
  <c r="B377" i="2"/>
  <c r="F377" i="2"/>
  <c r="G377" i="2"/>
  <c r="H377" i="2"/>
  <c r="I377" i="2"/>
  <c r="J377" i="2"/>
  <c r="L377" i="2"/>
  <c r="M377" i="2"/>
  <c r="O377" i="2"/>
  <c r="Q377" i="2"/>
  <c r="R377" i="2"/>
  <c r="S377" i="2"/>
  <c r="AD377" i="2" a="1"/>
  <c r="B378" i="2"/>
  <c r="F378" i="2"/>
  <c r="G378" i="2"/>
  <c r="H378" i="2"/>
  <c r="I378" i="2"/>
  <c r="J378" i="2"/>
  <c r="L378" i="2"/>
  <c r="M378" i="2"/>
  <c r="O378" i="2"/>
  <c r="Q378" i="2"/>
  <c r="R378" i="2"/>
  <c r="S378" i="2"/>
  <c r="B379" i="2"/>
  <c r="F379" i="2"/>
  <c r="G379" i="2"/>
  <c r="H379" i="2"/>
  <c r="I379" i="2"/>
  <c r="J379" i="2"/>
  <c r="L379" i="2"/>
  <c r="M379" i="2"/>
  <c r="O379" i="2"/>
  <c r="Q379" i="2"/>
  <c r="R379" i="2"/>
  <c r="S379" i="2"/>
  <c r="AC379" i="2" a="1"/>
  <c r="AD379" i="2" a="1"/>
  <c r="AE379" i="2" a="1"/>
  <c r="AF379" i="2" a="1"/>
  <c r="AG379" i="2" a="1"/>
  <c r="B380" i="2"/>
  <c r="F380" i="2"/>
  <c r="G380" i="2"/>
  <c r="H380" i="2"/>
  <c r="I380" i="2"/>
  <c r="J380" i="2"/>
  <c r="L380" i="2"/>
  <c r="M380" i="2"/>
  <c r="O380" i="2"/>
  <c r="Q380" i="2"/>
  <c r="R380" i="2"/>
  <c r="S380" i="2"/>
  <c r="B381" i="2"/>
  <c r="F381" i="2"/>
  <c r="G381" i="2"/>
  <c r="H381" i="2"/>
  <c r="I381" i="2"/>
  <c r="J381" i="2"/>
  <c r="L381" i="2"/>
  <c r="M381" i="2"/>
  <c r="O381" i="2"/>
  <c r="Q381" i="2"/>
  <c r="R381" i="2"/>
  <c r="S381" i="2"/>
  <c r="AF381" i="2" a="1"/>
  <c r="AG381" i="2" a="1"/>
  <c r="B382" i="2"/>
  <c r="F382" i="2"/>
  <c r="G382" i="2"/>
  <c r="H382" i="2"/>
  <c r="I382" i="2"/>
  <c r="J382" i="2"/>
  <c r="L382" i="2"/>
  <c r="M382" i="2"/>
  <c r="O382" i="2"/>
  <c r="AA382" i="2" s="1" a="1"/>
  <c r="Q382" i="2"/>
  <c r="R382" i="2"/>
  <c r="S382" i="2"/>
  <c r="AB382" i="2" a="1"/>
  <c r="AC382" i="2" a="1"/>
  <c r="AD382" i="2" a="1"/>
  <c r="AE382" i="2" a="1"/>
  <c r="AF382" i="2" a="1"/>
  <c r="AG382" i="2" a="1"/>
  <c r="B383" i="2"/>
  <c r="F383" i="2"/>
  <c r="G383" i="2"/>
  <c r="H383" i="2"/>
  <c r="I383" i="2"/>
  <c r="J383" i="2"/>
  <c r="L383" i="2"/>
  <c r="M383" i="2"/>
  <c r="O383" i="2"/>
  <c r="Q383" i="2"/>
  <c r="R383" i="2"/>
  <c r="S383" i="2"/>
  <c r="B384" i="2"/>
  <c r="F384" i="2"/>
  <c r="G384" i="2"/>
  <c r="H384" i="2"/>
  <c r="I384" i="2"/>
  <c r="J384" i="2"/>
  <c r="L384" i="2"/>
  <c r="M384" i="2"/>
  <c r="O384" i="2"/>
  <c r="Q384" i="2"/>
  <c r="R384" i="2"/>
  <c r="S384" i="2"/>
  <c r="B385" i="2"/>
  <c r="F385" i="2"/>
  <c r="G385" i="2"/>
  <c r="H385" i="2"/>
  <c r="I385" i="2"/>
  <c r="J385" i="2"/>
  <c r="L385" i="2"/>
  <c r="M385" i="2"/>
  <c r="O385" i="2"/>
  <c r="Q385" i="2"/>
  <c r="R385" i="2"/>
  <c r="S385" i="2"/>
  <c r="AA385" i="2" a="1"/>
  <c r="AB385" i="2" a="1"/>
  <c r="AC385" i="2" a="1"/>
  <c r="AD385" i="2" a="1"/>
  <c r="AE385" i="2" a="1"/>
  <c r="AF385" i="2" a="1"/>
  <c r="AG385" i="2" a="1"/>
  <c r="B386" i="2"/>
  <c r="F386" i="2"/>
  <c r="G386" i="2"/>
  <c r="H386" i="2"/>
  <c r="I386" i="2"/>
  <c r="J386" i="2"/>
  <c r="L386" i="2"/>
  <c r="M386" i="2"/>
  <c r="O386" i="2"/>
  <c r="Q386" i="2"/>
  <c r="R386" i="2"/>
  <c r="S386" i="2"/>
  <c r="B387" i="2"/>
  <c r="F387" i="2"/>
  <c r="G387" i="2"/>
  <c r="H387" i="2"/>
  <c r="I387" i="2"/>
  <c r="J387" i="2"/>
  <c r="L387" i="2"/>
  <c r="M387" i="2"/>
  <c r="O387" i="2"/>
  <c r="Q387" i="2"/>
  <c r="R387" i="2"/>
  <c r="S387" i="2"/>
  <c r="AA387" i="2" a="1"/>
  <c r="AB387" i="2" a="1"/>
  <c r="AC387" i="2" a="1"/>
  <c r="AD387" i="2" a="1"/>
  <c r="AE387" i="2" a="1"/>
  <c r="AF387" i="2" a="1"/>
  <c r="AG387" i="2" a="1"/>
  <c r="B388" i="2"/>
  <c r="F388" i="2"/>
  <c r="G388" i="2"/>
  <c r="H388" i="2"/>
  <c r="I388" i="2"/>
  <c r="J388" i="2"/>
  <c r="L388" i="2"/>
  <c r="M388" i="2"/>
  <c r="O388" i="2"/>
  <c r="Q388" i="2"/>
  <c r="R388" i="2"/>
  <c r="S388" i="2"/>
  <c r="AA388" i="2" a="1"/>
  <c r="AB388" i="2" a="1"/>
  <c r="AC388" i="2" a="1"/>
  <c r="AD388" i="2" a="1"/>
  <c r="AE388" i="2" a="1"/>
  <c r="AF388" i="2" a="1"/>
  <c r="AG388" i="2" a="1"/>
  <c r="B389" i="2"/>
  <c r="F389" i="2"/>
  <c r="G389" i="2"/>
  <c r="H389" i="2"/>
  <c r="I389" i="2"/>
  <c r="J389" i="2"/>
  <c r="L389" i="2"/>
  <c r="M389" i="2"/>
  <c r="O389" i="2"/>
  <c r="Q389" i="2"/>
  <c r="R389" i="2"/>
  <c r="S389" i="2"/>
  <c r="B390" i="2"/>
  <c r="F390" i="2"/>
  <c r="G390" i="2"/>
  <c r="H390" i="2"/>
  <c r="I390" i="2"/>
  <c r="J390" i="2"/>
  <c r="L390" i="2"/>
  <c r="M390" i="2"/>
  <c r="O390" i="2"/>
  <c r="Q390" i="2"/>
  <c r="R390" i="2"/>
  <c r="S390" i="2"/>
  <c r="B391" i="2"/>
  <c r="F391" i="2"/>
  <c r="G391" i="2"/>
  <c r="H391" i="2"/>
  <c r="I391" i="2"/>
  <c r="J391" i="2"/>
  <c r="L391" i="2"/>
  <c r="M391" i="2"/>
  <c r="O391" i="2"/>
  <c r="Q391" i="2"/>
  <c r="R391" i="2"/>
  <c r="S391" i="2"/>
  <c r="AA391" i="2" a="1"/>
  <c r="AB391" i="2" a="1"/>
  <c r="AC391" i="2" a="1"/>
  <c r="AD391" i="2" a="1"/>
  <c r="AE391" i="2" a="1"/>
  <c r="AF391" i="2" a="1"/>
  <c r="AG391" i="2" a="1"/>
  <c r="B392" i="2"/>
  <c r="F392" i="2"/>
  <c r="G392" i="2"/>
  <c r="H392" i="2"/>
  <c r="I392" i="2"/>
  <c r="J392" i="2"/>
  <c r="L392" i="2"/>
  <c r="M392" i="2"/>
  <c r="O392" i="2"/>
  <c r="Q392" i="2"/>
  <c r="R392" i="2"/>
  <c r="S392" i="2"/>
  <c r="AA392" i="2" a="1"/>
  <c r="AB392" i="2" a="1"/>
  <c r="AC392" i="2" a="1"/>
  <c r="AD392" i="2" a="1"/>
  <c r="AE392" i="2" a="1"/>
  <c r="AF392" i="2" a="1"/>
  <c r="AG392" i="2" a="1"/>
  <c r="B393" i="2"/>
  <c r="F393" i="2"/>
  <c r="G393" i="2"/>
  <c r="H393" i="2"/>
  <c r="I393" i="2"/>
  <c r="J393" i="2"/>
  <c r="L393" i="2"/>
  <c r="M393" i="2"/>
  <c r="O393" i="2"/>
  <c r="Q393" i="2"/>
  <c r="R393" i="2"/>
  <c r="S393" i="2"/>
  <c r="AA393" i="2" a="1"/>
  <c r="AB393" i="2" a="1"/>
  <c r="AC393" i="2" a="1"/>
  <c r="AD393" i="2" a="1"/>
  <c r="AE393" i="2" a="1"/>
  <c r="AF393" i="2" a="1"/>
  <c r="AG393" i="2" a="1"/>
  <c r="B394" i="2"/>
  <c r="F394" i="2"/>
  <c r="G394" i="2"/>
  <c r="H394" i="2"/>
  <c r="I394" i="2"/>
  <c r="J394" i="2"/>
  <c r="L394" i="2"/>
  <c r="M394" i="2"/>
  <c r="O394" i="2"/>
  <c r="Q394" i="2"/>
  <c r="R394" i="2"/>
  <c r="S394" i="2"/>
  <c r="B395" i="2"/>
  <c r="F395" i="2"/>
  <c r="G395" i="2"/>
  <c r="H395" i="2"/>
  <c r="I395" i="2"/>
  <c r="J395" i="2"/>
  <c r="L395" i="2"/>
  <c r="M395" i="2"/>
  <c r="O395" i="2"/>
  <c r="Q395" i="2"/>
  <c r="R395" i="2"/>
  <c r="S395" i="2"/>
  <c r="B396" i="2"/>
  <c r="F396" i="2"/>
  <c r="G396" i="2"/>
  <c r="H396" i="2"/>
  <c r="I396" i="2"/>
  <c r="J396" i="2"/>
  <c r="L396" i="2"/>
  <c r="M396" i="2"/>
  <c r="O396" i="2"/>
  <c r="Q396" i="2"/>
  <c r="R396" i="2"/>
  <c r="S396" i="2"/>
  <c r="AA396" i="2" a="1"/>
  <c r="AB396" i="2" a="1"/>
  <c r="AC396" i="2" a="1"/>
  <c r="AD396" i="2" a="1"/>
  <c r="AE396" i="2" a="1"/>
  <c r="AF396" i="2" a="1"/>
  <c r="AG396" i="2" a="1"/>
  <c r="B397" i="2"/>
  <c r="F397" i="2"/>
  <c r="G397" i="2"/>
  <c r="H397" i="2"/>
  <c r="I397" i="2"/>
  <c r="J397" i="2"/>
  <c r="L397" i="2"/>
  <c r="M397" i="2"/>
  <c r="O397" i="2"/>
  <c r="Q397" i="2"/>
  <c r="R397" i="2"/>
  <c r="S397" i="2"/>
  <c r="AA397" i="2" a="1"/>
  <c r="AB397" i="2" a="1"/>
  <c r="AC397" i="2" a="1"/>
  <c r="AD397" i="2" a="1"/>
  <c r="AE397" i="2" a="1"/>
  <c r="AF397" i="2" a="1"/>
  <c r="AG397" i="2" a="1"/>
  <c r="B398" i="2"/>
  <c r="F398" i="2"/>
  <c r="G398" i="2"/>
  <c r="H398" i="2"/>
  <c r="I398" i="2"/>
  <c r="J398" i="2"/>
  <c r="L398" i="2"/>
  <c r="M398" i="2"/>
  <c r="O398" i="2"/>
  <c r="Q398" i="2"/>
  <c r="R398" i="2"/>
  <c r="S398" i="2"/>
  <c r="AA398" i="2" a="1"/>
  <c r="AB398" i="2" a="1"/>
  <c r="AC398" i="2" a="1"/>
  <c r="AD398" i="2" a="1"/>
  <c r="AE398" i="2" a="1"/>
  <c r="AF398" i="2" a="1"/>
  <c r="AG398" i="2" a="1"/>
  <c r="B399" i="2"/>
  <c r="F399" i="2"/>
  <c r="G399" i="2"/>
  <c r="H399" i="2"/>
  <c r="I399" i="2"/>
  <c r="J399" i="2"/>
  <c r="L399" i="2"/>
  <c r="M399" i="2"/>
  <c r="O399" i="2"/>
  <c r="Q399" i="2"/>
  <c r="R399" i="2"/>
  <c r="S399" i="2"/>
  <c r="AA399" i="2" a="1"/>
  <c r="AB399" i="2" a="1"/>
  <c r="AC399" i="2" a="1"/>
  <c r="AD399" i="2" a="1"/>
  <c r="AE399" i="2" a="1"/>
  <c r="AF399" i="2" a="1"/>
  <c r="AG399" i="2" a="1"/>
  <c r="B400" i="2"/>
  <c r="F400" i="2"/>
  <c r="G400" i="2"/>
  <c r="H400" i="2"/>
  <c r="I400" i="2"/>
  <c r="J400" i="2"/>
  <c r="L400" i="2"/>
  <c r="M400" i="2"/>
  <c r="O400" i="2"/>
  <c r="Q400" i="2"/>
  <c r="R400" i="2"/>
  <c r="S400" i="2"/>
  <c r="AA400" i="2" a="1"/>
  <c r="AB400" i="2" a="1"/>
  <c r="AC400" i="2" a="1"/>
  <c r="AD400" i="2" a="1"/>
  <c r="AE400" i="2" a="1"/>
  <c r="AF400" i="2" a="1"/>
  <c r="AG400" i="2" a="1"/>
  <c r="B401" i="2"/>
  <c r="F401" i="2"/>
  <c r="G401" i="2"/>
  <c r="H401" i="2"/>
  <c r="I401" i="2"/>
  <c r="J401" i="2"/>
  <c r="L401" i="2"/>
  <c r="M401" i="2"/>
  <c r="O401" i="2"/>
  <c r="Q401" i="2"/>
  <c r="R401" i="2"/>
  <c r="S401" i="2"/>
  <c r="AA401" i="2" a="1"/>
  <c r="AB401" i="2" a="1"/>
  <c r="AC401" i="2" a="1"/>
  <c r="AD401" i="2" a="1"/>
  <c r="AE401" i="2" a="1"/>
  <c r="AF401" i="2" a="1"/>
  <c r="AG401" i="2" a="1"/>
  <c r="B402" i="2"/>
  <c r="F402" i="2"/>
  <c r="G402" i="2"/>
  <c r="AA402" i="2" s="1" a="1"/>
  <c r="H402" i="2"/>
  <c r="I402" i="2"/>
  <c r="J402" i="2"/>
  <c r="L402" i="2"/>
  <c r="M402" i="2"/>
  <c r="O402" i="2"/>
  <c r="Q402" i="2"/>
  <c r="R402" i="2"/>
  <c r="S402" i="2"/>
  <c r="B403" i="2"/>
  <c r="F403" i="2"/>
  <c r="G403" i="2"/>
  <c r="H403" i="2"/>
  <c r="I403" i="2"/>
  <c r="J403" i="2"/>
  <c r="L403" i="2"/>
  <c r="M403" i="2"/>
  <c r="O403" i="2"/>
  <c r="Q403" i="2"/>
  <c r="R403" i="2"/>
  <c r="S403" i="2"/>
  <c r="B404" i="2"/>
  <c r="F404" i="2"/>
  <c r="G404" i="2"/>
  <c r="H404" i="2"/>
  <c r="I404" i="2"/>
  <c r="J404" i="2"/>
  <c r="L404" i="2"/>
  <c r="M404" i="2"/>
  <c r="O404" i="2"/>
  <c r="Q404" i="2"/>
  <c r="R404" i="2"/>
  <c r="S404" i="2"/>
  <c r="B405" i="2"/>
  <c r="F405" i="2"/>
  <c r="G405" i="2"/>
  <c r="H405" i="2"/>
  <c r="I405" i="2"/>
  <c r="J405" i="2"/>
  <c r="L405" i="2"/>
  <c r="M405" i="2"/>
  <c r="O405" i="2"/>
  <c r="Q405" i="2"/>
  <c r="R405" i="2"/>
  <c r="S405" i="2"/>
  <c r="B406" i="2"/>
  <c r="F406" i="2"/>
  <c r="G406" i="2"/>
  <c r="H406" i="2"/>
  <c r="I406" i="2"/>
  <c r="J406" i="2"/>
  <c r="L406" i="2"/>
  <c r="M406" i="2"/>
  <c r="O406" i="2"/>
  <c r="Q406" i="2"/>
  <c r="R406" i="2"/>
  <c r="S406" i="2"/>
  <c r="AA406" i="2" a="1"/>
  <c r="AB406" i="2" a="1"/>
  <c r="AC406" i="2" a="1"/>
  <c r="AD406" i="2" a="1"/>
  <c r="AE406" i="2" a="1"/>
  <c r="AF406" i="2" a="1"/>
  <c r="AG406" i="2" a="1"/>
  <c r="B407" i="2"/>
  <c r="F407" i="2"/>
  <c r="G407" i="2"/>
  <c r="H407" i="2"/>
  <c r="I407" i="2"/>
  <c r="J407" i="2"/>
  <c r="L407" i="2"/>
  <c r="M407" i="2"/>
  <c r="O407" i="2"/>
  <c r="Q407" i="2"/>
  <c r="R407" i="2"/>
  <c r="S407" i="2"/>
  <c r="AA407" i="2" a="1"/>
  <c r="AB407" i="2" a="1"/>
  <c r="AC407" i="2" a="1"/>
  <c r="AD407" i="2" a="1"/>
  <c r="AE407" i="2" a="1"/>
  <c r="AF407" i="2" a="1"/>
  <c r="AG407" i="2" a="1"/>
  <c r="B408" i="2"/>
  <c r="F408" i="2"/>
  <c r="G408" i="2"/>
  <c r="H408" i="2"/>
  <c r="I408" i="2"/>
  <c r="J408" i="2"/>
  <c r="L408" i="2"/>
  <c r="M408" i="2"/>
  <c r="O408" i="2"/>
  <c r="Q408" i="2"/>
  <c r="R408" i="2"/>
  <c r="S408" i="2"/>
  <c r="AA408" i="2" a="1"/>
  <c r="AB408" i="2" a="1"/>
  <c r="AC408" i="2" a="1"/>
  <c r="AD408" i="2" a="1"/>
  <c r="AE408" i="2" a="1"/>
  <c r="AF408" i="2" a="1"/>
  <c r="AG408" i="2" a="1"/>
  <c r="B409" i="2"/>
  <c r="F409" i="2"/>
  <c r="G409" i="2"/>
  <c r="AG409" i="2" s="1" a="1"/>
  <c r="H409" i="2"/>
  <c r="I409" i="2"/>
  <c r="J409" i="2"/>
  <c r="L409" i="2"/>
  <c r="M409" i="2"/>
  <c r="O409" i="2"/>
  <c r="Q409" i="2"/>
  <c r="R409" i="2"/>
  <c r="S409" i="2"/>
  <c r="AA409" i="2" a="1"/>
  <c r="AB409" i="2" a="1"/>
  <c r="AC409" i="2" a="1"/>
  <c r="AD409" i="2" a="1"/>
  <c r="AE409" i="2" a="1"/>
  <c r="AF409" i="2" a="1"/>
  <c r="B410" i="2"/>
  <c r="F410" i="2"/>
  <c r="G410" i="2"/>
  <c r="H410" i="2"/>
  <c r="I410" i="2"/>
  <c r="J410" i="2"/>
  <c r="L410" i="2"/>
  <c r="M410" i="2"/>
  <c r="O410" i="2"/>
  <c r="Q410" i="2"/>
  <c r="R410" i="2"/>
  <c r="S410" i="2"/>
  <c r="AA410" i="2" a="1"/>
  <c r="AB410" i="2" a="1"/>
  <c r="AC410" i="2" a="1"/>
  <c r="AD410" i="2" a="1"/>
  <c r="AE410" i="2" a="1"/>
  <c r="AF410" i="2" a="1"/>
  <c r="AG410" i="2" a="1"/>
  <c r="B411" i="2"/>
  <c r="F411" i="2"/>
  <c r="G411" i="2"/>
  <c r="H411" i="2"/>
  <c r="I411" i="2"/>
  <c r="J411" i="2"/>
  <c r="L411" i="2"/>
  <c r="M411" i="2"/>
  <c r="O411" i="2"/>
  <c r="Q411" i="2"/>
  <c r="R411" i="2"/>
  <c r="S411" i="2"/>
  <c r="B412" i="2"/>
  <c r="F412" i="2"/>
  <c r="G412" i="2"/>
  <c r="H412" i="2"/>
  <c r="I412" i="2"/>
  <c r="J412" i="2"/>
  <c r="L412" i="2"/>
  <c r="M412" i="2"/>
  <c r="O412" i="2"/>
  <c r="Q412" i="2"/>
  <c r="R412" i="2"/>
  <c r="S412" i="2"/>
  <c r="AA412" i="2" a="1"/>
  <c r="AB412" i="2" a="1"/>
  <c r="AC412" i="2" a="1"/>
  <c r="AD412" i="2" a="1"/>
  <c r="AE412" i="2" a="1"/>
  <c r="AF412" i="2" a="1"/>
  <c r="AG412" i="2" a="1"/>
  <c r="B413" i="2"/>
  <c r="F413" i="2"/>
  <c r="G413" i="2"/>
  <c r="H413" i="2"/>
  <c r="I413" i="2"/>
  <c r="J413" i="2"/>
  <c r="L413" i="2"/>
  <c r="M413" i="2"/>
  <c r="O413" i="2"/>
  <c r="Q413" i="2"/>
  <c r="R413" i="2"/>
  <c r="S413" i="2"/>
  <c r="AA413" i="2" a="1"/>
  <c r="AB413" i="2" a="1"/>
  <c r="AC413" i="2" a="1"/>
  <c r="AD413" i="2" a="1"/>
  <c r="AE413" i="2" a="1"/>
  <c r="AF413" i="2" a="1"/>
  <c r="AG413" i="2" a="1"/>
  <c r="B414" i="2"/>
  <c r="F414" i="2"/>
  <c r="G414" i="2"/>
  <c r="H414" i="2"/>
  <c r="I414" i="2"/>
  <c r="J414" i="2"/>
  <c r="L414" i="2"/>
  <c r="M414" i="2"/>
  <c r="O414" i="2"/>
  <c r="Q414" i="2"/>
  <c r="R414" i="2"/>
  <c r="S414" i="2"/>
  <c r="B415" i="2"/>
  <c r="F415" i="2"/>
  <c r="G415" i="2"/>
  <c r="H415" i="2"/>
  <c r="I415" i="2"/>
  <c r="J415" i="2"/>
  <c r="L415" i="2"/>
  <c r="M415" i="2"/>
  <c r="O415" i="2"/>
  <c r="Q415" i="2"/>
  <c r="R415" i="2"/>
  <c r="S415" i="2"/>
  <c r="AA415" i="2" a="1"/>
  <c r="AB415" i="2" a="1"/>
  <c r="AC415" i="2" a="1"/>
  <c r="AD415" i="2" a="1"/>
  <c r="AE415" i="2" a="1"/>
  <c r="AF415" i="2" a="1"/>
  <c r="AG415" i="2" a="1"/>
  <c r="B416" i="2"/>
  <c r="F416" i="2"/>
  <c r="G416" i="2"/>
  <c r="H416" i="2"/>
  <c r="I416" i="2"/>
  <c r="J416" i="2"/>
  <c r="L416" i="2"/>
  <c r="M416" i="2"/>
  <c r="O416" i="2"/>
  <c r="Q416" i="2"/>
  <c r="R416" i="2"/>
  <c r="S416" i="2"/>
  <c r="B417" i="2"/>
  <c r="F417" i="2"/>
  <c r="G417" i="2"/>
  <c r="H417" i="2"/>
  <c r="I417" i="2"/>
  <c r="J417" i="2"/>
  <c r="L417" i="2"/>
  <c r="M417" i="2"/>
  <c r="O417" i="2"/>
  <c r="Q417" i="2"/>
  <c r="R417" i="2"/>
  <c r="S417" i="2"/>
  <c r="B418" i="2"/>
  <c r="F418" i="2"/>
  <c r="G418" i="2"/>
  <c r="H418" i="2"/>
  <c r="I418" i="2"/>
  <c r="J418" i="2"/>
  <c r="L418" i="2"/>
  <c r="M418" i="2"/>
  <c r="O418" i="2"/>
  <c r="Q418" i="2"/>
  <c r="R418" i="2"/>
  <c r="S418" i="2"/>
  <c r="AC418" i="2" a="1"/>
  <c r="AD418" i="2" a="1"/>
  <c r="AE418" i="2" a="1"/>
  <c r="AF418" i="2" a="1"/>
  <c r="AG418" i="2" a="1"/>
  <c r="B419" i="2"/>
  <c r="F419" i="2"/>
  <c r="G419" i="2"/>
  <c r="H419" i="2"/>
  <c r="I419" i="2"/>
  <c r="J419" i="2"/>
  <c r="L419" i="2"/>
  <c r="M419" i="2"/>
  <c r="O419" i="2"/>
  <c r="Q419" i="2"/>
  <c r="R419" i="2"/>
  <c r="S419" i="2"/>
  <c r="AA419" i="2" a="1"/>
  <c r="AB419" i="2" a="1"/>
  <c r="AC419" i="2" a="1"/>
  <c r="AD419" i="2" a="1"/>
  <c r="AE419" i="2" a="1"/>
  <c r="AF419" i="2" a="1"/>
  <c r="AG419" i="2" a="1"/>
  <c r="B420" i="2"/>
  <c r="F420" i="2"/>
  <c r="G420" i="2"/>
  <c r="H420" i="2"/>
  <c r="I420" i="2"/>
  <c r="J420" i="2"/>
  <c r="L420" i="2"/>
  <c r="M420" i="2"/>
  <c r="O420" i="2"/>
  <c r="Q420" i="2"/>
  <c r="R420" i="2"/>
  <c r="S420" i="2"/>
  <c r="AA420" i="2" a="1"/>
  <c r="AB420" i="2" a="1"/>
  <c r="AC420" i="2" a="1"/>
  <c r="AD420" i="2" a="1"/>
  <c r="AE420" i="2" a="1"/>
  <c r="B421" i="2"/>
  <c r="F421" i="2"/>
  <c r="G421" i="2"/>
  <c r="H421" i="2"/>
  <c r="I421" i="2"/>
  <c r="J421" i="2"/>
  <c r="L421" i="2"/>
  <c r="M421" i="2"/>
  <c r="O421" i="2"/>
  <c r="Q421" i="2"/>
  <c r="R421" i="2"/>
  <c r="S421" i="2"/>
  <c r="AA421" i="2" a="1"/>
  <c r="AB421" i="2" a="1"/>
  <c r="AC421" i="2" a="1"/>
  <c r="AD421" i="2" a="1"/>
  <c r="AE421" i="2" a="1"/>
  <c r="AF421" i="2" a="1"/>
  <c r="AG421" i="2" a="1"/>
  <c r="B422" i="2"/>
  <c r="F422" i="2"/>
  <c r="G422" i="2"/>
  <c r="H422" i="2"/>
  <c r="I422" i="2"/>
  <c r="J422" i="2"/>
  <c r="L422" i="2"/>
  <c r="M422" i="2"/>
  <c r="O422" i="2"/>
  <c r="Q422" i="2"/>
  <c r="R422" i="2"/>
  <c r="S422" i="2"/>
  <c r="AA422" i="2" a="1"/>
  <c r="AB422" i="2" a="1"/>
  <c r="AC422" i="2" a="1"/>
  <c r="AD422" i="2" a="1"/>
  <c r="AE422" i="2" a="1"/>
  <c r="AF422" i="2" a="1"/>
  <c r="AG422" i="2" a="1"/>
  <c r="B423" i="2"/>
  <c r="F423" i="2"/>
  <c r="G423" i="2"/>
  <c r="H423" i="2"/>
  <c r="I423" i="2"/>
  <c r="J423" i="2"/>
  <c r="L423" i="2"/>
  <c r="M423" i="2"/>
  <c r="O423" i="2"/>
  <c r="Q423" i="2"/>
  <c r="R423" i="2"/>
  <c r="S423" i="2"/>
  <c r="AG423" i="2" a="1"/>
  <c r="B424" i="2"/>
  <c r="F424" i="2"/>
  <c r="G424" i="2"/>
  <c r="H424" i="2"/>
  <c r="I424" i="2"/>
  <c r="J424" i="2"/>
  <c r="L424" i="2"/>
  <c r="M424" i="2"/>
  <c r="O424" i="2"/>
  <c r="Q424" i="2"/>
  <c r="R424" i="2"/>
  <c r="S424" i="2"/>
  <c r="B425" i="2"/>
  <c r="F425" i="2"/>
  <c r="G425" i="2"/>
  <c r="H425" i="2"/>
  <c r="I425" i="2"/>
  <c r="J425" i="2"/>
  <c r="L425" i="2"/>
  <c r="M425" i="2"/>
  <c r="O425" i="2"/>
  <c r="Q425" i="2"/>
  <c r="R425" i="2"/>
  <c r="S425" i="2"/>
  <c r="B426" i="2"/>
  <c r="F426" i="2"/>
  <c r="G426" i="2"/>
  <c r="H426" i="2"/>
  <c r="I426" i="2"/>
  <c r="J426" i="2"/>
  <c r="L426" i="2"/>
  <c r="M426" i="2"/>
  <c r="O426" i="2"/>
  <c r="Q426" i="2"/>
  <c r="R426" i="2"/>
  <c r="S426" i="2"/>
  <c r="B427" i="2"/>
  <c r="F427" i="2"/>
  <c r="G427" i="2"/>
  <c r="H427" i="2"/>
  <c r="I427" i="2"/>
  <c r="J427" i="2"/>
  <c r="L427" i="2"/>
  <c r="M427" i="2"/>
  <c r="O427" i="2"/>
  <c r="Q427" i="2"/>
  <c r="R427" i="2"/>
  <c r="S427" i="2"/>
  <c r="AA427" i="2" a="1"/>
  <c r="AB427" i="2" a="1"/>
  <c r="AC427" i="2" a="1"/>
  <c r="AD427" i="2" a="1"/>
  <c r="AE427" i="2" a="1"/>
  <c r="AF427" i="2" a="1"/>
  <c r="AG427" i="2" a="1"/>
  <c r="B428" i="2"/>
  <c r="F428" i="2"/>
  <c r="G428" i="2"/>
  <c r="H428" i="2"/>
  <c r="I428" i="2"/>
  <c r="J428" i="2"/>
  <c r="L428" i="2"/>
  <c r="M428" i="2"/>
  <c r="O428" i="2"/>
  <c r="Q428" i="2"/>
  <c r="R428" i="2"/>
  <c r="S428" i="2"/>
  <c r="AA428" i="2" a="1"/>
  <c r="AB428" i="2" a="1"/>
  <c r="AC428" i="2" a="1"/>
  <c r="AD428" i="2" a="1"/>
  <c r="AE428" i="2" a="1"/>
  <c r="AF428" i="2" a="1"/>
  <c r="AG428" i="2" a="1"/>
  <c r="B429" i="2"/>
  <c r="F429" i="2"/>
  <c r="G429" i="2"/>
  <c r="H429" i="2"/>
  <c r="I429" i="2"/>
  <c r="J429" i="2"/>
  <c r="L429" i="2"/>
  <c r="M429" i="2"/>
  <c r="O429" i="2"/>
  <c r="Q429" i="2"/>
  <c r="R429" i="2"/>
  <c r="S429" i="2"/>
  <c r="AA429" i="2" a="1"/>
  <c r="AB429" i="2" a="1"/>
  <c r="AC429" i="2" a="1"/>
  <c r="AD429" i="2" a="1"/>
  <c r="AE429" i="2" a="1"/>
  <c r="AF429" i="2" a="1"/>
  <c r="AG429" i="2" a="1"/>
  <c r="B430" i="2"/>
  <c r="F430" i="2"/>
  <c r="G430" i="2"/>
  <c r="H430" i="2"/>
  <c r="I430" i="2"/>
  <c r="J430" i="2"/>
  <c r="L430" i="2"/>
  <c r="M430" i="2"/>
  <c r="O430" i="2"/>
  <c r="Q430" i="2"/>
  <c r="R430" i="2"/>
  <c r="S430" i="2"/>
  <c r="AA430" i="2" a="1"/>
  <c r="AB430" i="2" a="1"/>
  <c r="AC430" i="2" a="1"/>
  <c r="AD430" i="2" a="1"/>
  <c r="AE430" i="2" a="1"/>
  <c r="AF430" i="2" a="1"/>
  <c r="AG430" i="2" a="1"/>
  <c r="B431" i="2"/>
  <c r="F431" i="2"/>
  <c r="G431" i="2"/>
  <c r="H431" i="2"/>
  <c r="I431" i="2"/>
  <c r="J431" i="2"/>
  <c r="L431" i="2"/>
  <c r="M431" i="2"/>
  <c r="O431" i="2"/>
  <c r="Q431" i="2"/>
  <c r="R431" i="2"/>
  <c r="S431" i="2"/>
  <c r="AA431" i="2" a="1"/>
  <c r="AB431" i="2" a="1"/>
  <c r="AC431" i="2" a="1"/>
  <c r="AD431" i="2" a="1"/>
  <c r="AE431" i="2" a="1"/>
  <c r="AF431" i="2" a="1"/>
  <c r="AG431" i="2" a="1"/>
  <c r="B432" i="2"/>
  <c r="F432" i="2"/>
  <c r="G432" i="2"/>
  <c r="H432" i="2"/>
  <c r="I432" i="2"/>
  <c r="J432" i="2"/>
  <c r="L432" i="2"/>
  <c r="M432" i="2"/>
  <c r="O432" i="2"/>
  <c r="Q432" i="2"/>
  <c r="R432" i="2"/>
  <c r="S432" i="2"/>
  <c r="AA432" i="2" a="1"/>
  <c r="AB432" i="2" a="1"/>
  <c r="AC432" i="2" a="1"/>
  <c r="AD432" i="2" a="1"/>
  <c r="AE432" i="2" a="1"/>
  <c r="AF432" i="2" a="1"/>
  <c r="AG432" i="2" a="1"/>
  <c r="B433" i="2"/>
  <c r="F433" i="2"/>
  <c r="G433" i="2"/>
  <c r="H433" i="2"/>
  <c r="I433" i="2"/>
  <c r="J433" i="2"/>
  <c r="L433" i="2"/>
  <c r="M433" i="2"/>
  <c r="O433" i="2"/>
  <c r="Q433" i="2"/>
  <c r="R433" i="2"/>
  <c r="S433" i="2"/>
  <c r="B434" i="2"/>
  <c r="F434" i="2"/>
  <c r="G434" i="2"/>
  <c r="H434" i="2"/>
  <c r="I434" i="2"/>
  <c r="J434" i="2"/>
  <c r="L434" i="2"/>
  <c r="M434" i="2"/>
  <c r="O434" i="2"/>
  <c r="Q434" i="2"/>
  <c r="R434" i="2"/>
  <c r="S434" i="2"/>
  <c r="AA434" i="2" a="1"/>
  <c r="AB434" i="2" a="1"/>
  <c r="AC434" i="2" a="1"/>
  <c r="AD434" i="2" a="1"/>
  <c r="AE434" i="2" a="1"/>
  <c r="AF434" i="2" a="1"/>
  <c r="AG434" i="2" a="1"/>
  <c r="B435" i="2"/>
  <c r="F435" i="2"/>
  <c r="G435" i="2"/>
  <c r="H435" i="2"/>
  <c r="I435" i="2"/>
  <c r="J435" i="2"/>
  <c r="L435" i="2"/>
  <c r="M435" i="2"/>
  <c r="O435" i="2"/>
  <c r="Q435" i="2"/>
  <c r="R435" i="2"/>
  <c r="S435" i="2"/>
  <c r="B436" i="2"/>
  <c r="F436" i="2"/>
  <c r="G436" i="2"/>
  <c r="H436" i="2"/>
  <c r="I436" i="2"/>
  <c r="J436" i="2"/>
  <c r="L436" i="2"/>
  <c r="M436" i="2"/>
  <c r="O436" i="2"/>
  <c r="Q436" i="2"/>
  <c r="R436" i="2"/>
  <c r="S436" i="2"/>
  <c r="B437" i="2"/>
  <c r="F437" i="2"/>
  <c r="G437" i="2"/>
  <c r="H437" i="2"/>
  <c r="I437" i="2"/>
  <c r="J437" i="2"/>
  <c r="L437" i="2"/>
  <c r="M437" i="2"/>
  <c r="O437" i="2"/>
  <c r="Q437" i="2"/>
  <c r="R437" i="2"/>
  <c r="S437" i="2"/>
  <c r="AA437" i="2" a="1"/>
  <c r="AB437" i="2" a="1"/>
  <c r="AC437" i="2" a="1"/>
  <c r="AD437" i="2" a="1"/>
  <c r="AE437" i="2" a="1"/>
  <c r="AF437" i="2" a="1"/>
  <c r="AG437" i="2" a="1"/>
  <c r="B438" i="2"/>
  <c r="F438" i="2"/>
  <c r="G438" i="2"/>
  <c r="H438" i="2"/>
  <c r="I438" i="2"/>
  <c r="J438" i="2"/>
  <c r="L438" i="2"/>
  <c r="M438" i="2"/>
  <c r="O438" i="2"/>
  <c r="Q438" i="2"/>
  <c r="R438" i="2"/>
  <c r="S438" i="2"/>
  <c r="AB438" i="2" a="1"/>
  <c r="AD438" i="2" a="1"/>
  <c r="AE438" i="2" a="1"/>
  <c r="AF438" i="2" a="1"/>
  <c r="AG438" i="2" a="1"/>
  <c r="B439" i="2"/>
  <c r="F439" i="2"/>
  <c r="G439" i="2"/>
  <c r="H439" i="2"/>
  <c r="I439" i="2"/>
  <c r="J439" i="2"/>
  <c r="L439" i="2"/>
  <c r="M439" i="2"/>
  <c r="O439" i="2"/>
  <c r="Q439" i="2"/>
  <c r="R439" i="2"/>
  <c r="S439" i="2"/>
  <c r="B440" i="2"/>
  <c r="F440" i="2"/>
  <c r="G440" i="2"/>
  <c r="H440" i="2"/>
  <c r="I440" i="2"/>
  <c r="J440" i="2"/>
  <c r="L440" i="2"/>
  <c r="M440" i="2"/>
  <c r="O440" i="2"/>
  <c r="Q440" i="2"/>
  <c r="R440" i="2"/>
  <c r="S440" i="2"/>
  <c r="AA440" i="2" a="1"/>
  <c r="AB440" i="2" a="1"/>
  <c r="AC440" i="2" a="1"/>
  <c r="AD440" i="2" a="1"/>
  <c r="AE440" i="2" a="1"/>
  <c r="AF440" i="2" a="1"/>
  <c r="AG440" i="2" a="1"/>
  <c r="B441" i="2"/>
  <c r="F441" i="2"/>
  <c r="G441" i="2"/>
  <c r="H441" i="2"/>
  <c r="I441" i="2"/>
  <c r="J441" i="2"/>
  <c r="L441" i="2"/>
  <c r="M441" i="2"/>
  <c r="O441" i="2"/>
  <c r="Q441" i="2"/>
  <c r="R441" i="2"/>
  <c r="S441" i="2"/>
  <c r="AA441" i="2" a="1"/>
  <c r="AB441" i="2" a="1"/>
  <c r="AC441" i="2" a="1"/>
  <c r="AD441" i="2" a="1"/>
  <c r="AE441" i="2" a="1"/>
  <c r="AF441" i="2" a="1"/>
  <c r="B442" i="2"/>
  <c r="F442" i="2"/>
  <c r="G442" i="2"/>
  <c r="H442" i="2"/>
  <c r="I442" i="2"/>
  <c r="J442" i="2"/>
  <c r="L442" i="2"/>
  <c r="M442" i="2"/>
  <c r="O442" i="2"/>
  <c r="Q442" i="2"/>
  <c r="R442" i="2"/>
  <c r="S442" i="2"/>
  <c r="AA442" i="2" a="1"/>
  <c r="AB442" i="2" a="1"/>
  <c r="AC442" i="2" a="1"/>
  <c r="AD442" i="2" a="1"/>
  <c r="AE442" i="2" a="1"/>
  <c r="AF442" i="2" a="1"/>
  <c r="AG442" i="2" a="1"/>
  <c r="B443" i="2"/>
  <c r="F443" i="2"/>
  <c r="G443" i="2"/>
  <c r="H443" i="2"/>
  <c r="I443" i="2"/>
  <c r="J443" i="2"/>
  <c r="L443" i="2"/>
  <c r="M443" i="2"/>
  <c r="O443" i="2"/>
  <c r="Q443" i="2"/>
  <c r="R443" i="2"/>
  <c r="S443" i="2"/>
  <c r="B444" i="2"/>
  <c r="F444" i="2"/>
  <c r="G444" i="2"/>
  <c r="H444" i="2"/>
  <c r="I444" i="2"/>
  <c r="J444" i="2"/>
  <c r="L444" i="2"/>
  <c r="M444" i="2"/>
  <c r="O444" i="2"/>
  <c r="Q444" i="2"/>
  <c r="R444" i="2"/>
  <c r="S444" i="2"/>
  <c r="B6" i="2"/>
  <c r="F6" i="2"/>
  <c r="G6" i="2"/>
  <c r="H6" i="2"/>
  <c r="I6" i="2"/>
  <c r="J6" i="2"/>
  <c r="L6" i="2"/>
  <c r="M6" i="2"/>
  <c r="O6" i="2"/>
  <c r="Q6" i="2"/>
  <c r="R6" i="2"/>
  <c r="S6" i="2"/>
  <c r="B7" i="2"/>
  <c r="F7" i="2"/>
  <c r="G7" i="2"/>
  <c r="H7" i="2"/>
  <c r="I7" i="2"/>
  <c r="J7" i="2"/>
  <c r="L7" i="2"/>
  <c r="M7" i="2"/>
  <c r="O7" i="2"/>
  <c r="Q7" i="2"/>
  <c r="R7" i="2"/>
  <c r="S7" i="2"/>
  <c r="B8" i="2"/>
  <c r="F8" i="2"/>
  <c r="G8" i="2"/>
  <c r="H8" i="2"/>
  <c r="I8" i="2"/>
  <c r="J8" i="2"/>
  <c r="L8" i="2"/>
  <c r="M8" i="2"/>
  <c r="O8" i="2"/>
  <c r="Q8" i="2"/>
  <c r="R8" i="2"/>
  <c r="S8" i="2"/>
  <c r="B9" i="2"/>
  <c r="F9" i="2"/>
  <c r="G9" i="2"/>
  <c r="H9" i="2"/>
  <c r="I9" i="2"/>
  <c r="J9" i="2"/>
  <c r="L9" i="2"/>
  <c r="M9" i="2"/>
  <c r="O9" i="2"/>
  <c r="Q9" i="2"/>
  <c r="R9" i="2"/>
  <c r="S9" i="2"/>
  <c r="B10" i="2"/>
  <c r="F10" i="2"/>
  <c r="G10" i="2"/>
  <c r="H10" i="2"/>
  <c r="I10" i="2"/>
  <c r="J10" i="2"/>
  <c r="L10" i="2"/>
  <c r="M10" i="2"/>
  <c r="O10" i="2"/>
  <c r="Q10" i="2"/>
  <c r="R10" i="2"/>
  <c r="S10" i="2"/>
  <c r="AA10" i="2" a="1"/>
  <c r="AB10" i="2" a="1"/>
  <c r="AC10" i="2" a="1"/>
  <c r="AD10" i="2" a="1"/>
  <c r="AE10" i="2" a="1"/>
  <c r="AF10" i="2" a="1"/>
  <c r="AG10" i="2" a="1"/>
  <c r="B11" i="2"/>
  <c r="F11" i="2"/>
  <c r="G11" i="2"/>
  <c r="H11" i="2"/>
  <c r="I11" i="2"/>
  <c r="J11" i="2"/>
  <c r="L11" i="2"/>
  <c r="M11" i="2"/>
  <c r="O11" i="2"/>
  <c r="Q11" i="2"/>
  <c r="R11" i="2"/>
  <c r="S11" i="2"/>
  <c r="B12" i="2"/>
  <c r="F12" i="2"/>
  <c r="G12" i="2"/>
  <c r="H12" i="2"/>
  <c r="I12" i="2"/>
  <c r="J12" i="2"/>
  <c r="L12" i="2"/>
  <c r="M12" i="2"/>
  <c r="O12" i="2"/>
  <c r="Q12" i="2"/>
  <c r="R12" i="2"/>
  <c r="S12" i="2"/>
  <c r="B13" i="2"/>
  <c r="F13" i="2"/>
  <c r="G13" i="2"/>
  <c r="H13" i="2"/>
  <c r="I13" i="2"/>
  <c r="J13" i="2"/>
  <c r="L13" i="2"/>
  <c r="M13" i="2"/>
  <c r="O13" i="2"/>
  <c r="Q13" i="2"/>
  <c r="R13" i="2"/>
  <c r="S13" i="2"/>
  <c r="B14" i="2"/>
  <c r="F14" i="2"/>
  <c r="G14" i="2"/>
  <c r="H14" i="2"/>
  <c r="I14" i="2"/>
  <c r="J14" i="2"/>
  <c r="L14" i="2"/>
  <c r="M14" i="2"/>
  <c r="O14" i="2"/>
  <c r="Q14" i="2"/>
  <c r="R14" i="2"/>
  <c r="S14" i="2"/>
  <c r="AA14" i="2" a="1"/>
  <c r="AB14" i="2" a="1"/>
  <c r="AC14" i="2" a="1"/>
  <c r="AD14" i="2" a="1"/>
  <c r="AE14" i="2" a="1"/>
  <c r="AF14" i="2" a="1"/>
  <c r="AG14" i="2" a="1"/>
  <c r="B15" i="2"/>
  <c r="F15" i="2"/>
  <c r="G15" i="2"/>
  <c r="H15" i="2"/>
  <c r="I15" i="2"/>
  <c r="J15" i="2"/>
  <c r="L15" i="2"/>
  <c r="M15" i="2"/>
  <c r="O15" i="2"/>
  <c r="Q15" i="2"/>
  <c r="R15" i="2"/>
  <c r="S15" i="2"/>
  <c r="AA15" i="2" a="1"/>
  <c r="AB15" i="2" a="1"/>
  <c r="AC15" i="2" a="1"/>
  <c r="AD15" i="2" a="1"/>
  <c r="AE15" i="2" a="1"/>
  <c r="B16" i="2"/>
  <c r="F16" i="2"/>
  <c r="G16" i="2"/>
  <c r="H16" i="2"/>
  <c r="I16" i="2"/>
  <c r="J16" i="2"/>
  <c r="L16" i="2"/>
  <c r="M16" i="2"/>
  <c r="O16" i="2"/>
  <c r="Q16" i="2"/>
  <c r="R16" i="2"/>
  <c r="S16" i="2"/>
  <c r="B17" i="2"/>
  <c r="F17" i="2"/>
  <c r="G17" i="2"/>
  <c r="H17" i="2"/>
  <c r="I17" i="2"/>
  <c r="J17" i="2"/>
  <c r="L17" i="2"/>
  <c r="M17" i="2"/>
  <c r="O17" i="2"/>
  <c r="Q17" i="2"/>
  <c r="R17" i="2"/>
  <c r="S17" i="2"/>
  <c r="B18" i="2"/>
  <c r="F18" i="2"/>
  <c r="G18" i="2"/>
  <c r="H18" i="2"/>
  <c r="I18" i="2"/>
  <c r="J18" i="2"/>
  <c r="L18" i="2"/>
  <c r="M18" i="2"/>
  <c r="O18" i="2"/>
  <c r="Q18" i="2"/>
  <c r="R18" i="2"/>
  <c r="S18" i="2"/>
  <c r="AA18" i="2" a="1"/>
  <c r="AB18" i="2" a="1"/>
  <c r="AC18" i="2" a="1"/>
  <c r="AD18" i="2" a="1"/>
  <c r="AE18" i="2" a="1"/>
  <c r="AF18" i="2" a="1"/>
  <c r="AG18" i="2" a="1"/>
  <c r="B19" i="2"/>
  <c r="F19" i="2"/>
  <c r="G19" i="2"/>
  <c r="H19" i="2"/>
  <c r="I19" i="2"/>
  <c r="J19" i="2"/>
  <c r="L19" i="2"/>
  <c r="M19" i="2"/>
  <c r="O19" i="2"/>
  <c r="Q19" i="2"/>
  <c r="R19" i="2"/>
  <c r="S19" i="2"/>
  <c r="B20" i="2"/>
  <c r="F20" i="2"/>
  <c r="G20" i="2"/>
  <c r="H20" i="2"/>
  <c r="I20" i="2"/>
  <c r="J20" i="2"/>
  <c r="L20" i="2"/>
  <c r="M20" i="2"/>
  <c r="O20" i="2"/>
  <c r="Q20" i="2"/>
  <c r="R20" i="2"/>
  <c r="S20" i="2"/>
  <c r="B21" i="2"/>
  <c r="F21" i="2"/>
  <c r="G21" i="2"/>
  <c r="H21" i="2"/>
  <c r="I21" i="2"/>
  <c r="J21" i="2"/>
  <c r="L21" i="2"/>
  <c r="M21" i="2"/>
  <c r="O21" i="2"/>
  <c r="Q21" i="2"/>
  <c r="R21" i="2"/>
  <c r="S21" i="2"/>
  <c r="AA21" i="2" a="1"/>
  <c r="AB21" i="2" a="1"/>
  <c r="AC21" i="2" a="1"/>
  <c r="AD21" i="2" a="1"/>
  <c r="AE21" i="2" a="1"/>
  <c r="AF21" i="2" a="1"/>
  <c r="AG21" i="2" a="1"/>
  <c r="B22" i="2"/>
  <c r="F22" i="2"/>
  <c r="G22" i="2"/>
  <c r="H22" i="2"/>
  <c r="I22" i="2"/>
  <c r="J22" i="2"/>
  <c r="L22" i="2"/>
  <c r="M22" i="2"/>
  <c r="O22" i="2"/>
  <c r="Q22" i="2"/>
  <c r="R22" i="2"/>
  <c r="S22" i="2"/>
  <c r="AC22" i="2" a="1"/>
  <c r="AD22" i="2" a="1"/>
  <c r="AE22" i="2" a="1"/>
  <c r="AF22" i="2" a="1"/>
  <c r="AG22" i="2" a="1"/>
  <c r="B23" i="2"/>
  <c r="F23" i="2"/>
  <c r="G23" i="2"/>
  <c r="H23" i="2"/>
  <c r="I23" i="2"/>
  <c r="J23" i="2"/>
  <c r="L23" i="2"/>
  <c r="M23" i="2"/>
  <c r="O23" i="2"/>
  <c r="Q23" i="2"/>
  <c r="R23" i="2"/>
  <c r="S23" i="2"/>
  <c r="B24" i="2"/>
  <c r="F24" i="2"/>
  <c r="G24" i="2"/>
  <c r="H24" i="2"/>
  <c r="I24" i="2"/>
  <c r="J24" i="2"/>
  <c r="L24" i="2"/>
  <c r="M24" i="2"/>
  <c r="O24" i="2"/>
  <c r="Q24" i="2"/>
  <c r="R24" i="2"/>
  <c r="S24" i="2"/>
  <c r="B25" i="2"/>
  <c r="F25" i="2"/>
  <c r="G25" i="2"/>
  <c r="H25" i="2"/>
  <c r="I25" i="2"/>
  <c r="J25" i="2"/>
  <c r="L25" i="2"/>
  <c r="M25" i="2"/>
  <c r="O25" i="2"/>
  <c r="Q25" i="2"/>
  <c r="R25" i="2"/>
  <c r="S25" i="2"/>
  <c r="B26" i="2"/>
  <c r="F26" i="2"/>
  <c r="G26" i="2"/>
  <c r="H26" i="2"/>
  <c r="I26" i="2"/>
  <c r="J26" i="2"/>
  <c r="L26" i="2"/>
  <c r="M26" i="2"/>
  <c r="O26" i="2"/>
  <c r="Q26" i="2"/>
  <c r="R26" i="2"/>
  <c r="S26" i="2"/>
  <c r="B27" i="2"/>
  <c r="F27" i="2"/>
  <c r="G27" i="2"/>
  <c r="H27" i="2"/>
  <c r="I27" i="2"/>
  <c r="J27" i="2"/>
  <c r="L27" i="2"/>
  <c r="M27" i="2"/>
  <c r="O27" i="2"/>
  <c r="Q27" i="2"/>
  <c r="R27" i="2"/>
  <c r="S27" i="2"/>
  <c r="B28" i="2"/>
  <c r="F28" i="2"/>
  <c r="G28" i="2"/>
  <c r="H28" i="2"/>
  <c r="I28" i="2"/>
  <c r="J28" i="2"/>
  <c r="L28" i="2"/>
  <c r="M28" i="2"/>
  <c r="O28" i="2"/>
  <c r="Q28" i="2"/>
  <c r="R28" i="2"/>
  <c r="S28" i="2"/>
  <c r="B29" i="2"/>
  <c r="F29" i="2"/>
  <c r="G29" i="2"/>
  <c r="H29" i="2"/>
  <c r="I29" i="2"/>
  <c r="J29" i="2"/>
  <c r="L29" i="2"/>
  <c r="M29" i="2"/>
  <c r="O29" i="2"/>
  <c r="Q29" i="2"/>
  <c r="R29" i="2"/>
  <c r="S29" i="2"/>
  <c r="AA29" i="2" a="1"/>
  <c r="AB29" i="2" a="1"/>
  <c r="AC29" i="2" a="1"/>
  <c r="AD29" i="2" a="1"/>
  <c r="AE29" i="2" a="1"/>
  <c r="AF29" i="2" a="1"/>
  <c r="AG29" i="2" a="1"/>
  <c r="B30" i="2"/>
  <c r="F30" i="2"/>
  <c r="G30" i="2"/>
  <c r="H30" i="2"/>
  <c r="I30" i="2"/>
  <c r="J30" i="2"/>
  <c r="L30" i="2"/>
  <c r="M30" i="2"/>
  <c r="O30" i="2"/>
  <c r="Q30" i="2"/>
  <c r="R30" i="2"/>
  <c r="S30" i="2"/>
  <c r="B31" i="2"/>
  <c r="F31" i="2"/>
  <c r="G31" i="2"/>
  <c r="H31" i="2"/>
  <c r="I31" i="2"/>
  <c r="J31" i="2"/>
  <c r="L31" i="2"/>
  <c r="M31" i="2"/>
  <c r="O31" i="2"/>
  <c r="Q31" i="2"/>
  <c r="R31" i="2"/>
  <c r="S31" i="2"/>
  <c r="B32" i="2"/>
  <c r="F32" i="2"/>
  <c r="G32" i="2"/>
  <c r="H32" i="2"/>
  <c r="I32" i="2"/>
  <c r="J32" i="2"/>
  <c r="L32" i="2"/>
  <c r="M32" i="2"/>
  <c r="O32" i="2"/>
  <c r="Q32" i="2"/>
  <c r="R32" i="2"/>
  <c r="S32" i="2"/>
  <c r="AA32" i="2" a="1"/>
  <c r="AB32" i="2" a="1"/>
  <c r="AC32" i="2" a="1"/>
  <c r="AD32" i="2" a="1"/>
  <c r="AE32" i="2" a="1"/>
  <c r="AF32" i="2" a="1"/>
  <c r="AG32" i="2" a="1"/>
  <c r="B33" i="2"/>
  <c r="F33" i="2"/>
  <c r="G33" i="2"/>
  <c r="H33" i="2"/>
  <c r="I33" i="2"/>
  <c r="J33" i="2"/>
  <c r="L33" i="2"/>
  <c r="M33" i="2"/>
  <c r="O33" i="2"/>
  <c r="Q33" i="2"/>
  <c r="R33" i="2"/>
  <c r="S33" i="2"/>
  <c r="B34" i="2"/>
  <c r="F34" i="2"/>
  <c r="G34" i="2"/>
  <c r="H34" i="2"/>
  <c r="I34" i="2"/>
  <c r="J34" i="2"/>
  <c r="L34" i="2"/>
  <c r="M34" i="2"/>
  <c r="O34" i="2"/>
  <c r="Q34" i="2"/>
  <c r="R34" i="2"/>
  <c r="S34" i="2"/>
  <c r="B35" i="2"/>
  <c r="F35" i="2"/>
  <c r="G35" i="2"/>
  <c r="H35" i="2"/>
  <c r="I35" i="2"/>
  <c r="J35" i="2"/>
  <c r="L35" i="2"/>
  <c r="M35" i="2"/>
  <c r="O35" i="2"/>
  <c r="Q35" i="2"/>
  <c r="R35" i="2"/>
  <c r="S35" i="2"/>
  <c r="B36" i="2"/>
  <c r="F36" i="2"/>
  <c r="G36" i="2"/>
  <c r="H36" i="2"/>
  <c r="I36" i="2"/>
  <c r="J36" i="2"/>
  <c r="L36" i="2"/>
  <c r="M36" i="2"/>
  <c r="O36" i="2"/>
  <c r="Q36" i="2"/>
  <c r="R36" i="2"/>
  <c r="S36" i="2"/>
  <c r="AA36" i="2" a="1"/>
  <c r="AB36" i="2" a="1"/>
  <c r="AC36" i="2" a="1"/>
  <c r="AD36" i="2" a="1"/>
  <c r="AE36" i="2" a="1"/>
  <c r="AF36" i="2" a="1"/>
  <c r="AG36" i="2" a="1"/>
  <c r="B37" i="2"/>
  <c r="F37" i="2"/>
  <c r="G37" i="2"/>
  <c r="H37" i="2"/>
  <c r="I37" i="2"/>
  <c r="J37" i="2"/>
  <c r="L37" i="2"/>
  <c r="M37" i="2"/>
  <c r="O37" i="2"/>
  <c r="Q37" i="2"/>
  <c r="R37" i="2"/>
  <c r="S37" i="2"/>
  <c r="B38" i="2"/>
  <c r="F38" i="2"/>
  <c r="G38" i="2"/>
  <c r="H38" i="2"/>
  <c r="I38" i="2"/>
  <c r="J38" i="2"/>
  <c r="L38" i="2"/>
  <c r="M38" i="2"/>
  <c r="O38" i="2"/>
  <c r="Q38" i="2"/>
  <c r="R38" i="2"/>
  <c r="S38" i="2"/>
  <c r="B39" i="2"/>
  <c r="F39" i="2"/>
  <c r="G39" i="2"/>
  <c r="H39" i="2"/>
  <c r="I39" i="2"/>
  <c r="J39" i="2"/>
  <c r="L39" i="2"/>
  <c r="M39" i="2"/>
  <c r="O39" i="2"/>
  <c r="Q39" i="2"/>
  <c r="R39" i="2"/>
  <c r="S39" i="2"/>
  <c r="AA39" i="2" a="1"/>
  <c r="AB39" i="2" a="1"/>
  <c r="AC39" i="2" a="1"/>
  <c r="AD39" i="2" a="1"/>
  <c r="AE39" i="2" a="1"/>
  <c r="AF39" i="2" a="1"/>
  <c r="AG39" i="2" a="1"/>
  <c r="B40" i="2"/>
  <c r="F40" i="2"/>
  <c r="G40" i="2"/>
  <c r="H40" i="2"/>
  <c r="I40" i="2"/>
  <c r="J40" i="2"/>
  <c r="L40" i="2"/>
  <c r="M40" i="2"/>
  <c r="O40" i="2"/>
  <c r="Q40" i="2"/>
  <c r="R40" i="2"/>
  <c r="S40" i="2"/>
  <c r="B41" i="2"/>
  <c r="F41" i="2"/>
  <c r="G41" i="2"/>
  <c r="H41" i="2"/>
  <c r="I41" i="2"/>
  <c r="J41" i="2"/>
  <c r="L41" i="2"/>
  <c r="M41" i="2"/>
  <c r="O41" i="2"/>
  <c r="Q41" i="2"/>
  <c r="R41" i="2"/>
  <c r="S41" i="2"/>
  <c r="B42" i="2"/>
  <c r="F42" i="2"/>
  <c r="G42" i="2"/>
  <c r="H42" i="2"/>
  <c r="I42" i="2"/>
  <c r="J42" i="2"/>
  <c r="L42" i="2"/>
  <c r="M42" i="2"/>
  <c r="O42" i="2"/>
  <c r="Q42" i="2"/>
  <c r="R42" i="2"/>
  <c r="S42" i="2"/>
  <c r="B43" i="2"/>
  <c r="F43" i="2"/>
  <c r="G43" i="2"/>
  <c r="H43" i="2"/>
  <c r="I43" i="2"/>
  <c r="J43" i="2"/>
  <c r="L43" i="2"/>
  <c r="M43" i="2"/>
  <c r="O43" i="2"/>
  <c r="Q43" i="2"/>
  <c r="R43" i="2"/>
  <c r="S43" i="2"/>
  <c r="AB43" i="2" a="1"/>
  <c r="AC43" i="2" a="1"/>
  <c r="AD43" i="2" a="1"/>
  <c r="AE43" i="2" a="1"/>
  <c r="AF43" i="2" a="1"/>
  <c r="AG43" i="2" a="1"/>
  <c r="B44" i="2"/>
  <c r="F44" i="2"/>
  <c r="G44" i="2"/>
  <c r="H44" i="2"/>
  <c r="I44" i="2"/>
  <c r="J44" i="2"/>
  <c r="L44" i="2"/>
  <c r="M44" i="2"/>
  <c r="O44" i="2"/>
  <c r="Q44" i="2"/>
  <c r="R44" i="2"/>
  <c r="S44" i="2"/>
  <c r="B45" i="2"/>
  <c r="F45" i="2"/>
  <c r="G45" i="2"/>
  <c r="H45" i="2"/>
  <c r="I45" i="2"/>
  <c r="J45" i="2"/>
  <c r="L45" i="2"/>
  <c r="M45" i="2"/>
  <c r="O45" i="2"/>
  <c r="Q45" i="2"/>
  <c r="R45" i="2"/>
  <c r="S45" i="2"/>
  <c r="B46" i="2"/>
  <c r="F46" i="2"/>
  <c r="G46" i="2"/>
  <c r="H46" i="2"/>
  <c r="I46" i="2"/>
  <c r="J46" i="2"/>
  <c r="L46" i="2"/>
  <c r="M46" i="2"/>
  <c r="O46" i="2"/>
  <c r="Q46" i="2"/>
  <c r="R46" i="2"/>
  <c r="S46" i="2"/>
  <c r="B47" i="2"/>
  <c r="F47" i="2"/>
  <c r="G47" i="2"/>
  <c r="H47" i="2"/>
  <c r="I47" i="2"/>
  <c r="J47" i="2"/>
  <c r="L47" i="2"/>
  <c r="M47" i="2"/>
  <c r="O47" i="2"/>
  <c r="Q47" i="2"/>
  <c r="R47" i="2"/>
  <c r="S47" i="2"/>
  <c r="AB47" i="2" a="1"/>
  <c r="AC47" i="2" a="1"/>
  <c r="AD47" i="2" a="1"/>
  <c r="AE47" i="2" a="1"/>
  <c r="AF47" i="2" a="1"/>
  <c r="B48" i="2"/>
  <c r="F48" i="2"/>
  <c r="G48" i="2"/>
  <c r="H48" i="2"/>
  <c r="I48" i="2"/>
  <c r="J48" i="2"/>
  <c r="L48" i="2"/>
  <c r="M48" i="2"/>
  <c r="O48" i="2"/>
  <c r="Q48" i="2"/>
  <c r="R48" i="2"/>
  <c r="S48" i="2"/>
  <c r="B49" i="2"/>
  <c r="F49" i="2"/>
  <c r="G49" i="2"/>
  <c r="H49" i="2"/>
  <c r="I49" i="2"/>
  <c r="J49" i="2"/>
  <c r="L49" i="2"/>
  <c r="M49" i="2"/>
  <c r="O49" i="2"/>
  <c r="Q49" i="2"/>
  <c r="R49" i="2"/>
  <c r="S49" i="2"/>
  <c r="B50" i="2"/>
  <c r="F50" i="2"/>
  <c r="G50" i="2"/>
  <c r="H50" i="2"/>
  <c r="I50" i="2"/>
  <c r="J50" i="2"/>
  <c r="L50" i="2"/>
  <c r="M50" i="2"/>
  <c r="O50" i="2"/>
  <c r="Q50" i="2"/>
  <c r="R50" i="2"/>
  <c r="S50" i="2"/>
  <c r="B51" i="2"/>
  <c r="F51" i="2"/>
  <c r="G51" i="2"/>
  <c r="H51" i="2"/>
  <c r="I51" i="2"/>
  <c r="J51" i="2"/>
  <c r="L51" i="2"/>
  <c r="M51" i="2"/>
  <c r="O51" i="2"/>
  <c r="Q51" i="2"/>
  <c r="R51" i="2"/>
  <c r="S51" i="2"/>
  <c r="B52" i="2"/>
  <c r="F52" i="2"/>
  <c r="G52" i="2"/>
  <c r="H52" i="2"/>
  <c r="I52" i="2"/>
  <c r="J52" i="2"/>
  <c r="L52" i="2"/>
  <c r="M52" i="2"/>
  <c r="O52" i="2"/>
  <c r="Q52" i="2"/>
  <c r="R52" i="2"/>
  <c r="S52" i="2"/>
  <c r="S5" i="2"/>
  <c r="R5" i="2"/>
  <c r="Q5" i="2"/>
  <c r="O5" i="2"/>
  <c r="M5" i="2"/>
  <c r="L5" i="2"/>
  <c r="J5" i="2"/>
  <c r="I5" i="2"/>
  <c r="H5" i="2"/>
  <c r="G5" i="2"/>
  <c r="F5" i="2"/>
  <c r="B5" i="2"/>
  <c r="AD426" i="2" l="1" a="1"/>
  <c r="AF426" i="2" a="1"/>
  <c r="AE426" i="2" a="1"/>
  <c r="AA426" i="2" a="1"/>
  <c r="AC426" i="2" a="1"/>
  <c r="AG426" i="2" a="1"/>
  <c r="AA438" i="2" a="1"/>
  <c r="AC438" i="2" a="1"/>
  <c r="AA174" i="2" a="1"/>
  <c r="AA175" i="2" a="1"/>
  <c r="AA182" i="2" a="1"/>
  <c r="AA273" i="2" a="1"/>
  <c r="AD283" i="2" a="1"/>
  <c r="AB290" i="2" a="1"/>
  <c r="AA317" i="2" a="1"/>
  <c r="AG345" i="2" a="1"/>
  <c r="AG361" i="2" a="1"/>
  <c r="AG362" i="2" a="1"/>
  <c r="AA436" i="2" a="1"/>
  <c r="AB134" i="2" a="1"/>
  <c r="AA134" i="2" a="1"/>
  <c r="AC134" i="2" a="1"/>
  <c r="AD134" i="2" a="1"/>
  <c r="AE134" i="2" a="1"/>
  <c r="AF134" i="2" a="1"/>
  <c r="AG134" i="2" a="1"/>
  <c r="AG188" i="2" a="1"/>
  <c r="AF188" i="2" a="1"/>
  <c r="AD214" i="2" a="1"/>
  <c r="AE214" i="2" a="1"/>
  <c r="AF214" i="2" a="1"/>
  <c r="AG214" i="2" a="1"/>
  <c r="AC214" i="2" a="1"/>
  <c r="AD242" i="2" a="1"/>
  <c r="AE242" i="2" a="1"/>
  <c r="AF242" i="2" a="1"/>
  <c r="AG242" i="2" a="1"/>
  <c r="AA242" i="2" a="1"/>
  <c r="AB242" i="2" a="1"/>
  <c r="AC242" i="2" a="1"/>
  <c r="AE268" i="2" a="1"/>
  <c r="AF268" i="2" a="1"/>
  <c r="AG268" i="2" a="1"/>
  <c r="AA268" i="2" a="1"/>
  <c r="AB268" i="2" a="1"/>
  <c r="AC268" i="2" a="1"/>
  <c r="AD268" i="2" a="1"/>
  <c r="AD354" i="2" a="1"/>
  <c r="AE354" i="2" a="1"/>
  <c r="AF354" i="2" a="1"/>
  <c r="AG354" i="2" a="1"/>
  <c r="AA425" i="2" a="1"/>
  <c r="AF425" i="2" a="1"/>
  <c r="AC425" i="2" a="1"/>
  <c r="AE425" i="2" a="1"/>
  <c r="AD425" i="2" a="1"/>
  <c r="AB425" i="2" a="1"/>
  <c r="AG425" i="2" a="1"/>
  <c r="AG433" i="2" a="1"/>
  <c r="AA433" i="2" a="1"/>
  <c r="AF433" i="2" a="1"/>
  <c r="AE433" i="2" a="1"/>
  <c r="AB433" i="2" a="1"/>
  <c r="AD433" i="2" a="1"/>
  <c r="AC433" i="2" a="1"/>
  <c r="AF435" i="2" a="1"/>
  <c r="AA435" i="2" a="1"/>
  <c r="AG435" i="2" a="1"/>
  <c r="AD435" i="2" a="1"/>
  <c r="AE435" i="2" a="1"/>
  <c r="AC435" i="2" a="1"/>
  <c r="AB435" i="2" a="1"/>
  <c r="AB436" i="2" a="1"/>
  <c r="AC436" i="2" a="1"/>
  <c r="AD436" i="2" a="1"/>
  <c r="AE436" i="2" a="1"/>
  <c r="AF436" i="2" a="1"/>
  <c r="AG436" i="2" a="1"/>
  <c r="AB426" i="2" a="1"/>
  <c r="AD423" i="2" a="1"/>
  <c r="AE423" i="2" a="1"/>
  <c r="AG424" i="2" a="1"/>
  <c r="AA424" i="2" a="1"/>
  <c r="AB424" i="2" a="1"/>
  <c r="AD424" i="2" a="1"/>
  <c r="AC424" i="2" a="1"/>
  <c r="AE424" i="2" a="1"/>
  <c r="AF424" i="2" a="1"/>
  <c r="AF423" i="2" a="1"/>
  <c r="AC423" i="2" a="1"/>
  <c r="AA423" i="2" a="1"/>
  <c r="AB423" i="2" a="1"/>
  <c r="AA403" i="2" a="1"/>
  <c r="AE403" i="2" a="1"/>
  <c r="AF403" i="2" a="1"/>
  <c r="AG403" i="2" a="1"/>
  <c r="AB403" i="2" a="1"/>
  <c r="AC403" i="2" a="1"/>
  <c r="AD403" i="2" a="1"/>
  <c r="AF404" i="2" a="1"/>
  <c r="AG404" i="2" a="1"/>
  <c r="AB405" i="2" a="1"/>
  <c r="AD405" i="2" a="1"/>
  <c r="AF405" i="2" a="1"/>
  <c r="AA405" i="2" a="1"/>
  <c r="AC405" i="2" a="1"/>
  <c r="AG405" i="2" a="1"/>
  <c r="AE405" i="2" a="1"/>
  <c r="AD402" i="2" a="1"/>
  <c r="AC402" i="2" a="1"/>
  <c r="AE402" i="2" a="1"/>
  <c r="AF402" i="2" a="1"/>
  <c r="AB402" i="2" a="1"/>
  <c r="AG402" i="2" a="1"/>
  <c r="AC404" i="2" a="1"/>
  <c r="AA404" i="2" a="1"/>
  <c r="AD404" i="2" a="1"/>
  <c r="AE404" i="2" a="1"/>
  <c r="AB404" i="2" a="1"/>
  <c r="AB418" i="2" a="1"/>
  <c r="AA418" i="2" a="1"/>
  <c r="AF420" i="2" a="1"/>
  <c r="AG420" i="2" a="1"/>
  <c r="AE381" i="2" a="1"/>
  <c r="AD381" i="2" a="1"/>
  <c r="AA383" i="2" a="1"/>
  <c r="AE383" i="2" a="1"/>
  <c r="AD383" i="2" a="1"/>
  <c r="AC383" i="2" a="1"/>
  <c r="AG383" i="2" a="1"/>
  <c r="AB383" i="2" a="1"/>
  <c r="AF383" i="2" a="1"/>
  <c r="AC395" i="2" a="1"/>
  <c r="AA395" i="2" a="1"/>
  <c r="AE395" i="2" a="1"/>
  <c r="AD395" i="2" a="1"/>
  <c r="AB395" i="2" a="1"/>
  <c r="AF395" i="2" a="1"/>
  <c r="AG395" i="2" a="1"/>
  <c r="AC381" i="2" a="1"/>
  <c r="AB381" i="2" a="1"/>
  <c r="AA381" i="2" a="1"/>
  <c r="AA394" i="2" a="1"/>
  <c r="AB394" i="2" a="1"/>
  <c r="AC394" i="2" a="1"/>
  <c r="AD394" i="2" a="1"/>
  <c r="AE394" i="2" a="1"/>
  <c r="AF394" i="2" a="1"/>
  <c r="AG394" i="2" a="1"/>
  <c r="AD380" i="2" a="1"/>
  <c r="AB380" i="2" a="1"/>
  <c r="AE380" i="2" a="1"/>
  <c r="AG380" i="2" a="1"/>
  <c r="AA380" i="2" a="1"/>
  <c r="AF380" i="2" a="1"/>
  <c r="AC380" i="2" a="1"/>
  <c r="AA379" i="2" a="1"/>
  <c r="AB379" i="2" a="1"/>
  <c r="AA377" i="2" a="1"/>
  <c r="AB377" i="2" a="1"/>
  <c r="AC377" i="2" a="1"/>
  <c r="AE377" i="2" a="1"/>
  <c r="AF377" i="2" a="1"/>
  <c r="AG377" i="2" a="1"/>
  <c r="AB378" i="2" a="1"/>
  <c r="AC378" i="2" a="1"/>
  <c r="AA378" i="2" a="1"/>
  <c r="AF378" i="2" a="1"/>
  <c r="AE378" i="2" a="1"/>
  <c r="AD378" i="2" a="1"/>
  <c r="AG378" i="2" a="1"/>
  <c r="AA367" i="2" a="1"/>
  <c r="AB367" i="2" a="1"/>
  <c r="AC367" i="2" a="1"/>
  <c r="AD367" i="2" a="1"/>
  <c r="AE367" i="2" a="1"/>
  <c r="AF367" i="2" a="1"/>
  <c r="AG367" i="2" a="1"/>
  <c r="AF360" i="2" a="1"/>
  <c r="AD360" i="2" a="1"/>
  <c r="AE360" i="2" a="1"/>
  <c r="AB360" i="2" a="1"/>
  <c r="AA360" i="2" a="1"/>
  <c r="AC360" i="2" a="1"/>
  <c r="AG360" i="2" a="1"/>
  <c r="AG359" i="2" a="1"/>
  <c r="AA359" i="2" a="1"/>
  <c r="AB359" i="2" a="1"/>
  <c r="AD359" i="2" a="1"/>
  <c r="AF359" i="2" a="1"/>
  <c r="AC359" i="2" a="1"/>
  <c r="AE359" i="2" a="1"/>
  <c r="AA357" i="2" a="1"/>
  <c r="AB357" i="2" a="1"/>
  <c r="AC357" i="2" a="1"/>
  <c r="AD357" i="2" a="1"/>
  <c r="AE357" i="2" a="1"/>
  <c r="AF357" i="2" a="1"/>
  <c r="AA354" i="2" a="1"/>
  <c r="AC354" i="2" a="1"/>
  <c r="AB354" i="2" a="1"/>
  <c r="AF347" i="2" a="1"/>
  <c r="AA349" i="2" a="1"/>
  <c r="AF349" i="2" a="1"/>
  <c r="AF348" i="2" a="1"/>
  <c r="AE348" i="2" a="1"/>
  <c r="AC347" i="2" a="1"/>
  <c r="AG347" i="2" a="1"/>
  <c r="AD347" i="2" a="1"/>
  <c r="AE347" i="2" a="1"/>
  <c r="AB347" i="2" a="1"/>
  <c r="AA347" i="2" a="1"/>
  <c r="AA348" i="2" a="1"/>
  <c r="AD348" i="2" a="1"/>
  <c r="AC348" i="2" a="1"/>
  <c r="AG348" i="2" a="1"/>
  <c r="AB348" i="2" a="1"/>
  <c r="AB349" i="2" a="1"/>
  <c r="AD349" i="2" a="1"/>
  <c r="AD350" i="2" a="1"/>
  <c r="AC350" i="2" a="1"/>
  <c r="AG350" i="2" a="1"/>
  <c r="AA350" i="2" a="1"/>
  <c r="AE350" i="2" a="1"/>
  <c r="AB350" i="2" a="1"/>
  <c r="AF350" i="2" a="1"/>
  <c r="AC351" i="2" a="1"/>
  <c r="AA351" i="2" a="1"/>
  <c r="AF351" i="2" a="1"/>
  <c r="AB351" i="2" a="1"/>
  <c r="AG351" i="2" a="1"/>
  <c r="AD351" i="2" a="1"/>
  <c r="AE351" i="2" a="1"/>
  <c r="AA346" i="2" a="1"/>
  <c r="AC346" i="2" a="1"/>
  <c r="AD346" i="2" a="1"/>
  <c r="AE346" i="2" a="1"/>
  <c r="AF346" i="2" a="1"/>
  <c r="AG346" i="2" a="1"/>
  <c r="AB346" i="2" a="1"/>
  <c r="AF345" i="2" a="1"/>
  <c r="AB345" i="2" a="1"/>
  <c r="AA345" i="2" a="1"/>
  <c r="AE345" i="2" a="1"/>
  <c r="AC345" i="2" a="1"/>
  <c r="AD345" i="2" a="1"/>
  <c r="AB338" i="2" a="1"/>
  <c r="AF338" i="2" a="1"/>
  <c r="AA338" i="2" a="1"/>
  <c r="AC338" i="2" a="1"/>
  <c r="AD338" i="2" a="1"/>
  <c r="AE338" i="2" a="1"/>
  <c r="AG338" i="2" a="1"/>
  <c r="AA340" i="2" a="1"/>
  <c r="AB340" i="2" a="1"/>
  <c r="AC340" i="2" a="1"/>
  <c r="AD340" i="2" a="1"/>
  <c r="AE340" i="2" a="1"/>
  <c r="AF340" i="2" a="1"/>
  <c r="AG340" i="2" a="1"/>
  <c r="AD336" i="2" a="1"/>
  <c r="AA336" i="2" a="1"/>
  <c r="AB336" i="2" a="1"/>
  <c r="AC336" i="2" a="1"/>
  <c r="AA334" i="2" a="1"/>
  <c r="AB334" i="2" a="1"/>
  <c r="AA333" i="2" a="1"/>
  <c r="AB333" i="2" a="1"/>
  <c r="AC317" i="2" a="1"/>
  <c r="AB317" i="2" a="1"/>
  <c r="AF317" i="2" a="1"/>
  <c r="AG317" i="2" a="1"/>
  <c r="AD317" i="2" a="1"/>
  <c r="AD315" i="2" a="1"/>
  <c r="AG315" i="2" a="1"/>
  <c r="AF315" i="2" a="1"/>
  <c r="AE315" i="2" a="1"/>
  <c r="AA316" i="2" a="1"/>
  <c r="AG316" i="2" a="1"/>
  <c r="AD316" i="2" a="1"/>
  <c r="AB316" i="2" a="1"/>
  <c r="AC316" i="2" a="1"/>
  <c r="AF316" i="2" a="1"/>
  <c r="AE316" i="2" a="1"/>
  <c r="AE319" i="2" a="1"/>
  <c r="AB319" i="2" a="1"/>
  <c r="AG319" i="2" a="1"/>
  <c r="AA319" i="2" a="1"/>
  <c r="AD319" i="2" a="1"/>
  <c r="AC319" i="2" a="1"/>
  <c r="AF319" i="2" a="1"/>
  <c r="AF321" i="2" a="1"/>
  <c r="AC321" i="2" a="1"/>
  <c r="AA321" i="2" a="1"/>
  <c r="AD321" i="2" a="1"/>
  <c r="AE321" i="2" a="1"/>
  <c r="AG321" i="2" a="1"/>
  <c r="AB321" i="2" a="1"/>
  <c r="AD330" i="2" a="1"/>
  <c r="AA330" i="2" a="1"/>
  <c r="AC330" i="2" a="1"/>
  <c r="AB330" i="2" a="1"/>
  <c r="AC332" i="2" a="1"/>
  <c r="AA332" i="2" a="1"/>
  <c r="AC315" i="2" a="1"/>
  <c r="AA315" i="2" a="1"/>
  <c r="AB315" i="2" a="1"/>
  <c r="AG314" i="2" a="1"/>
  <c r="AD314" i="2" a="1"/>
  <c r="AF314" i="2" a="1"/>
  <c r="AA314" i="2" a="1"/>
  <c r="AB314" i="2" a="1"/>
  <c r="AE314" i="2" a="1"/>
  <c r="AC314" i="2" a="1"/>
  <c r="AB313" i="2" a="1"/>
  <c r="AD313" i="2" a="1"/>
  <c r="AC313" i="2" a="1"/>
  <c r="AF313" i="2" a="1"/>
  <c r="AG313" i="2" a="1"/>
  <c r="AA313" i="2" a="1"/>
  <c r="AE313" i="2" a="1"/>
  <c r="AF309" i="2" a="1"/>
  <c r="AF310" i="2" a="1"/>
  <c r="AE310" i="2" a="1"/>
  <c r="AG310" i="2" a="1"/>
  <c r="AD311" i="2" a="1"/>
  <c r="AA311" i="2" a="1"/>
  <c r="AG311" i="2" a="1"/>
  <c r="AF311" i="2" a="1"/>
  <c r="AC311" i="2" a="1"/>
  <c r="AB311" i="2" a="1"/>
  <c r="AE311" i="2" a="1"/>
  <c r="AE306" i="2" a="1"/>
  <c r="AF306" i="2" a="1"/>
  <c r="AG306" i="2" a="1"/>
  <c r="AD306" i="2" a="1"/>
  <c r="AC306" i="2" a="1"/>
  <c r="AA306" i="2" a="1"/>
  <c r="AB306" i="2" a="1"/>
  <c r="AB312" i="2" a="1"/>
  <c r="AC312" i="2" a="1"/>
  <c r="AD312" i="2" a="1"/>
  <c r="AE312" i="2" a="1"/>
  <c r="AF312" i="2" a="1"/>
  <c r="AG312" i="2" a="1"/>
  <c r="AA312" i="2" a="1"/>
  <c r="AD310" i="2" a="1"/>
  <c r="AB310" i="2" a="1"/>
  <c r="AA310" i="2" a="1"/>
  <c r="AC310" i="2" a="1"/>
  <c r="AG309" i="2" a="1"/>
  <c r="AC309" i="2" a="1"/>
  <c r="AE309" i="2" a="1"/>
  <c r="AA309" i="2" a="1"/>
  <c r="AB309" i="2" a="1"/>
  <c r="AD309" i="2" a="1"/>
  <c r="AC308" i="2" a="1"/>
  <c r="AG308" i="2" a="1"/>
  <c r="AA308" i="2" a="1"/>
  <c r="AF308" i="2" a="1"/>
  <c r="AE308" i="2" a="1"/>
  <c r="AD308" i="2" a="1"/>
  <c r="AB308" i="2" a="1"/>
  <c r="AD299" i="2" a="1"/>
  <c r="AG299" i="2" a="1"/>
  <c r="AC299" i="2" a="1"/>
  <c r="AE299" i="2" a="1"/>
  <c r="AA299" i="2" a="1"/>
  <c r="AB299" i="2" a="1"/>
  <c r="AE284" i="2" a="1"/>
  <c r="AC285" i="2" a="1"/>
  <c r="AE285" i="2" a="1"/>
  <c r="AF285" i="2" a="1"/>
  <c r="AG285" i="2" a="1"/>
  <c r="AB285" i="2" a="1"/>
  <c r="AD285" i="2" a="1"/>
  <c r="AA285" i="2" a="1"/>
  <c r="AB286" i="2" a="1"/>
  <c r="AF286" i="2" a="1"/>
  <c r="AE286" i="2" a="1"/>
  <c r="AG286" i="2" a="1"/>
  <c r="AC286" i="2" a="1"/>
  <c r="AB293" i="2" a="1"/>
  <c r="AF293" i="2" a="1"/>
  <c r="AE293" i="2" a="1"/>
  <c r="AC293" i="2" a="1"/>
  <c r="AG293" i="2" a="1"/>
  <c r="AD293" i="2" a="1"/>
  <c r="AA293" i="2" a="1"/>
  <c r="AA284" i="2" a="1"/>
  <c r="AA286" i="2" a="1"/>
  <c r="AB284" i="2" a="1"/>
  <c r="AC284" i="2" a="1"/>
  <c r="AD284" i="2" a="1"/>
  <c r="AF284" i="2" a="1"/>
  <c r="AG284" i="2" a="1"/>
  <c r="AB282" i="2" a="1"/>
  <c r="AE282" i="2" a="1"/>
  <c r="AF282" i="2" a="1"/>
  <c r="AG282" i="2" a="1"/>
  <c r="AC283" i="2" a="1"/>
  <c r="AB283" i="2" a="1"/>
  <c r="AA283" i="2" a="1"/>
  <c r="AE283" i="2" a="1"/>
  <c r="AC282" i="2" a="1"/>
  <c r="AA282" i="2" a="1"/>
  <c r="AD282" i="2" a="1"/>
  <c r="AE281" i="2" a="1"/>
  <c r="AB281" i="2" a="1"/>
  <c r="AA281" i="2" a="1"/>
  <c r="AC281" i="2" a="1"/>
  <c r="AD281" i="2" a="1"/>
  <c r="AF281" i="2" a="1"/>
  <c r="AG281" i="2" a="1"/>
  <c r="AA270" i="2" a="1"/>
  <c r="AC270" i="2" a="1"/>
  <c r="AB270" i="2" a="1"/>
  <c r="AE229" i="2" a="1"/>
  <c r="AA229" i="2" a="1"/>
  <c r="AD229" i="2" a="1"/>
  <c r="AD241" i="2" a="1"/>
  <c r="AE241" i="2" a="1"/>
  <c r="AB241" i="2" a="1"/>
  <c r="AG241" i="2" a="1"/>
  <c r="AA241" i="2" a="1"/>
  <c r="AC241" i="2" a="1"/>
  <c r="AF241" i="2" a="1"/>
  <c r="AD234" i="2" a="1"/>
  <c r="AF234" i="2" a="1"/>
  <c r="AB234" i="2" a="1"/>
  <c r="AC234" i="2" a="1"/>
  <c r="AG234" i="2" a="1"/>
  <c r="AE234" i="2" a="1"/>
  <c r="AA234" i="2" a="1"/>
  <c r="AA256" i="2" a="1"/>
  <c r="AB256" i="2" a="1"/>
  <c r="AC256" i="2" a="1"/>
  <c r="AD256" i="2" a="1"/>
  <c r="AE256" i="2" a="1"/>
  <c r="AF256" i="2" a="1"/>
  <c r="AG256" i="2" a="1"/>
  <c r="AA226" i="2" a="1"/>
  <c r="AC226" i="2" a="1"/>
  <c r="AD226" i="2" a="1"/>
  <c r="AB226" i="2" a="1"/>
  <c r="AA228" i="2" a="1"/>
  <c r="AB228" i="2" a="1"/>
  <c r="AC228" i="2" a="1"/>
  <c r="AD228" i="2" a="1"/>
  <c r="AE228" i="2" a="1"/>
  <c r="AF228" i="2" a="1"/>
  <c r="AG228" i="2" a="1"/>
  <c r="AB229" i="2" a="1"/>
  <c r="AG229" i="2" a="1"/>
  <c r="AF229" i="2" a="1"/>
  <c r="AC229" i="2" a="1"/>
  <c r="AB235" i="2" a="1"/>
  <c r="AA235" i="2" a="1"/>
  <c r="AB238" i="2" a="1"/>
  <c r="AF238" i="2" a="1"/>
  <c r="AC238" i="2" a="1"/>
  <c r="AG238" i="2" a="1"/>
  <c r="AD238" i="2" a="1"/>
  <c r="AA238" i="2" a="1"/>
  <c r="AE238" i="2" a="1"/>
  <c r="AA185" i="2" a="1"/>
  <c r="AB185" i="2" a="1"/>
  <c r="AA200" i="2" a="1"/>
  <c r="AB200" i="2" a="1"/>
  <c r="AC200" i="2" a="1"/>
  <c r="AD200" i="2" a="1"/>
  <c r="AE200" i="2" a="1"/>
  <c r="AF200" i="2" a="1"/>
  <c r="AG200" i="2" a="1"/>
  <c r="AE183" i="2" a="1"/>
  <c r="AC183" i="2" a="1"/>
  <c r="AA183" i="2" a="1"/>
  <c r="AG183" i="2" a="1"/>
  <c r="AD183" i="2" a="1"/>
  <c r="AB183" i="2" a="1"/>
  <c r="AF183" i="2" a="1"/>
  <c r="AG181" i="2" a="1"/>
  <c r="AF181" i="2" a="1"/>
  <c r="AD181" i="2" a="1"/>
  <c r="AC181" i="2" a="1"/>
  <c r="AA181" i="2" a="1"/>
  <c r="AA179" i="2" a="1"/>
  <c r="AB179" i="2" a="1"/>
  <c r="AC179" i="2" a="1"/>
  <c r="AE175" i="2" a="1"/>
  <c r="AD175" i="2" a="1"/>
  <c r="AF175" i="2" a="1"/>
  <c r="AC171" i="2" a="1"/>
  <c r="AF171" i="2" a="1"/>
  <c r="AE171" i="2" a="1"/>
  <c r="AB171" i="2" a="1"/>
  <c r="AD171" i="2" a="1"/>
  <c r="AA171" i="2" a="1"/>
  <c r="AA150" i="2" a="1"/>
  <c r="AA225" i="2" a="1"/>
  <c r="AA307" i="2" a="1"/>
  <c r="AA172" i="2" a="1"/>
  <c r="AB172" i="2" a="1"/>
  <c r="AC172" i="2" a="1"/>
  <c r="AD172" i="2" a="1"/>
  <c r="AE172" i="2" a="1"/>
  <c r="AF172" i="2" a="1"/>
  <c r="AG172" i="2" a="1"/>
  <c r="AE199" i="2" a="1"/>
  <c r="AF199" i="2" a="1"/>
  <c r="AG199" i="2" a="1"/>
  <c r="AA227" i="2" a="1"/>
  <c r="AB227" i="2" a="1"/>
  <c r="AC227" i="2" a="1"/>
  <c r="AD227" i="2" a="1"/>
  <c r="AE227" i="2" a="1"/>
  <c r="AF227" i="2" a="1"/>
  <c r="AG227" i="2" a="1"/>
  <c r="AA254" i="2" a="1"/>
  <c r="AB254" i="2" a="1"/>
  <c r="AC254" i="2" a="1"/>
  <c r="AD254" i="2" a="1"/>
  <c r="AE254" i="2" a="1"/>
  <c r="AF254" i="2" a="1"/>
  <c r="AG254" i="2" a="1"/>
  <c r="AA390" i="2" a="1"/>
  <c r="AB390" i="2" a="1"/>
  <c r="AC390" i="2" a="1"/>
  <c r="AD390" i="2" a="1"/>
  <c r="AE390" i="2" a="1"/>
  <c r="AF390" i="2" a="1"/>
  <c r="AG390" i="2" a="1"/>
  <c r="AA417" i="2" a="1"/>
  <c r="AB417" i="2" a="1"/>
  <c r="AC417" i="2" a="1"/>
  <c r="AD417" i="2" a="1"/>
  <c r="AE417" i="2" a="1"/>
  <c r="AF417" i="2" a="1"/>
  <c r="AG417" i="2" a="1"/>
  <c r="AA444" i="2" a="1"/>
  <c r="AB444" i="2" a="1"/>
  <c r="AC444" i="2" a="1"/>
  <c r="AD444" i="2" a="1"/>
  <c r="AE444" i="2" a="1"/>
  <c r="AF444" i="2" a="1"/>
  <c r="AG444" i="2" a="1"/>
  <c r="AA25" i="2" a="1"/>
  <c r="AB25" i="2" a="1"/>
  <c r="AC25" i="2" a="1"/>
  <c r="AD25" i="2" a="1"/>
  <c r="AE25" i="2" a="1"/>
  <c r="AF25" i="2" a="1"/>
  <c r="AG25" i="2" a="1"/>
  <c r="AC160" i="2" a="1"/>
  <c r="AE160" i="2" a="1"/>
  <c r="AB160" i="2" a="1"/>
  <c r="AA160" i="2" a="1"/>
  <c r="AB145" i="2" a="1"/>
  <c r="AA145" i="2" a="1"/>
  <c r="AG142" i="2" a="1"/>
  <c r="AB139" i="2" a="1"/>
  <c r="AA139" i="2" a="1"/>
  <c r="AD139" i="2" a="1"/>
  <c r="AE139" i="2" a="1"/>
  <c r="AD141" i="2" a="1"/>
  <c r="AE141" i="2" a="1"/>
  <c r="AA141" i="2" a="1"/>
  <c r="AC151" i="2" a="1"/>
  <c r="AD151" i="2" a="1"/>
  <c r="AF151" i="2" a="1"/>
  <c r="AB151" i="2" a="1"/>
  <c r="AG151" i="2" a="1"/>
  <c r="AA151" i="2" a="1"/>
  <c r="AE151" i="2" a="1"/>
  <c r="AA140" i="2" a="1"/>
  <c r="AE140" i="2" a="1"/>
  <c r="AC140" i="2" a="1"/>
  <c r="AB140" i="2" a="1"/>
  <c r="AD140" i="2" a="1"/>
  <c r="AF140" i="2" a="1"/>
  <c r="AF147" i="2" a="1"/>
  <c r="AG147" i="2" a="1"/>
  <c r="AD147" i="2" a="1"/>
  <c r="AE147" i="2" a="1"/>
  <c r="AC147" i="2" a="1"/>
  <c r="AB147" i="2" a="1"/>
  <c r="AA147" i="2" a="1"/>
  <c r="AE148" i="2" a="1"/>
  <c r="AF148" i="2" a="1"/>
  <c r="AC148" i="2" a="1"/>
  <c r="AG148" i="2" a="1"/>
  <c r="AB148" i="2" a="1"/>
  <c r="AD148" i="2" a="1"/>
  <c r="AA148" i="2" a="1"/>
  <c r="AA74" i="2" a="1"/>
  <c r="AG252" i="2" a="1"/>
  <c r="AA170" i="2" a="1"/>
  <c r="AB170" i="2" a="1"/>
  <c r="AC170" i="2" a="1"/>
  <c r="AD170" i="2" a="1"/>
  <c r="AE170" i="2" a="1"/>
  <c r="AA197" i="2" a="1"/>
  <c r="AB197" i="2" a="1"/>
  <c r="AC197" i="2" a="1"/>
  <c r="AD197" i="2" a="1"/>
  <c r="AE197" i="2" a="1"/>
  <c r="AF197" i="2" a="1"/>
  <c r="AG197" i="2" a="1"/>
  <c r="AB252" i="2" a="1"/>
  <c r="AC252" i="2" a="1"/>
  <c r="AD252" i="2" a="1"/>
  <c r="AE252" i="2" a="1"/>
  <c r="AF252" i="2" a="1"/>
  <c r="AC334" i="2" a="1"/>
  <c r="AD334" i="2" a="1"/>
  <c r="AD133" i="2" a="1"/>
  <c r="AE133" i="2" a="1"/>
  <c r="AA133" i="2" a="1"/>
  <c r="AB133" i="2" a="1"/>
  <c r="AC133" i="2" a="1"/>
  <c r="AF133" i="2" a="1"/>
  <c r="AG133" i="2" a="1"/>
  <c r="AF170" i="2" a="1"/>
  <c r="AG170" i="2" a="1"/>
  <c r="AA198" i="2" a="1"/>
  <c r="AB198" i="2" a="1"/>
  <c r="AC198" i="2" a="1"/>
  <c r="AD198" i="2" a="1"/>
  <c r="AE198" i="2" a="1"/>
  <c r="AF198" i="2" a="1"/>
  <c r="AG198" i="2" a="1"/>
  <c r="AB225" i="2" a="1"/>
  <c r="AC225" i="2" a="1"/>
  <c r="AD225" i="2" a="1"/>
  <c r="AE225" i="2" a="1"/>
  <c r="AF225" i="2" a="1"/>
  <c r="AG225" i="2" a="1"/>
  <c r="AA280" i="2" a="1"/>
  <c r="AB280" i="2" a="1"/>
  <c r="AC280" i="2" a="1"/>
  <c r="AD280" i="2" a="1"/>
  <c r="AE280" i="2" a="1"/>
  <c r="AF280" i="2" a="1"/>
  <c r="AG280" i="2" a="1"/>
  <c r="AB307" i="2" a="1"/>
  <c r="AE307" i="2" a="1"/>
  <c r="AF307" i="2" a="1"/>
  <c r="AG307" i="2" a="1"/>
  <c r="AD307" i="2" a="1"/>
  <c r="AC307" i="2" a="1"/>
  <c r="AE334" i="2" a="1"/>
  <c r="AF334" i="2" a="1"/>
  <c r="AG334" i="2" a="1"/>
  <c r="AA389" i="2" a="1"/>
  <c r="AB389" i="2" a="1"/>
  <c r="AC389" i="2" a="1"/>
  <c r="AD389" i="2" a="1"/>
  <c r="AE389" i="2" a="1"/>
  <c r="AF389" i="2" a="1"/>
  <c r="AG389" i="2" a="1"/>
  <c r="AB416" i="2" a="1"/>
  <c r="AC416" i="2" a="1"/>
  <c r="AD416" i="2" a="1"/>
  <c r="AE416" i="2" a="1"/>
  <c r="AF416" i="2" a="1"/>
  <c r="AG416" i="2" a="1"/>
  <c r="AA416" i="2" a="1"/>
  <c r="AB443" i="2" a="1"/>
  <c r="AC443" i="2" a="1"/>
  <c r="AD443" i="2" a="1"/>
  <c r="AE443" i="2" a="1"/>
  <c r="AF443" i="2" a="1"/>
  <c r="AG443" i="2" a="1"/>
  <c r="AA443" i="2" a="1"/>
  <c r="AC136" i="2" a="1"/>
  <c r="AB138" i="2" a="1"/>
  <c r="AD138" i="2" a="1"/>
  <c r="AA143" i="2" a="1"/>
  <c r="AB143" i="2" a="1"/>
  <c r="AC143" i="2" a="1"/>
  <c r="AD143" i="2" a="1"/>
  <c r="AE143" i="2" a="1"/>
  <c r="AF143" i="2" a="1"/>
  <c r="AG143" i="2" a="1"/>
  <c r="AB136" i="2" a="1"/>
  <c r="AA135" i="2" a="1"/>
  <c r="AB135" i="2" a="1"/>
  <c r="AD136" i="2" a="1"/>
  <c r="AF136" i="2" a="1"/>
  <c r="AE136" i="2" a="1"/>
  <c r="AG136" i="2" a="1"/>
  <c r="AA136" i="2" a="1"/>
  <c r="AB137" i="2" a="1"/>
  <c r="AF137" i="2" a="1"/>
  <c r="AD137" i="2" a="1"/>
  <c r="AC137" i="2" a="1"/>
  <c r="AE137" i="2" a="1"/>
  <c r="AA137" i="2" a="1"/>
  <c r="AG137" i="2" a="1"/>
  <c r="AA118" i="2" a="1"/>
  <c r="AE118" i="2" a="1"/>
  <c r="AG118" i="2" a="1"/>
  <c r="AD118" i="2" a="1"/>
  <c r="AC118" i="2" a="1"/>
  <c r="AF118" i="2" a="1"/>
  <c r="AB117" i="2" a="1"/>
  <c r="AC117" i="2" a="1"/>
  <c r="AA117" i="2" a="1"/>
  <c r="AG117" i="2" a="1"/>
  <c r="AD117" i="2" a="1"/>
  <c r="AA125" i="2" a="1"/>
  <c r="AB125" i="2" a="1"/>
  <c r="AD119" i="2" a="1"/>
  <c r="AE119" i="2" a="1"/>
  <c r="AB119" i="2" a="1"/>
  <c r="AC119" i="2" a="1"/>
  <c r="AB130" i="2" a="1"/>
  <c r="AA130" i="2" a="1"/>
  <c r="AB116" i="2" a="1"/>
  <c r="AC116" i="2" a="1"/>
  <c r="AD116" i="2" a="1"/>
  <c r="AA116" i="2" a="1"/>
  <c r="AC115" i="2" a="1"/>
  <c r="AB115" i="2" a="1"/>
  <c r="AF115" i="2" a="1"/>
  <c r="AD115" i="2" a="1"/>
  <c r="AG115" i="2" a="1"/>
  <c r="AE115" i="2" a="1"/>
  <c r="AA115" i="2" a="1"/>
  <c r="AA65" i="2" a="1"/>
  <c r="AD65" i="2" a="1"/>
  <c r="AB65" i="2" a="1"/>
  <c r="AE65" i="2" a="1"/>
  <c r="AA85" i="2" a="1"/>
  <c r="AB85" i="2" a="1"/>
  <c r="AC85" i="2" a="1"/>
  <c r="AD85" i="2" a="1"/>
  <c r="AE85" i="2" a="1"/>
  <c r="AF85" i="2" a="1"/>
  <c r="AG85" i="2" a="1"/>
  <c r="AA113" i="2" a="1"/>
  <c r="AB113" i="2" a="1"/>
  <c r="AC113" i="2" a="1"/>
  <c r="AD113" i="2" a="1"/>
  <c r="AE113" i="2" a="1"/>
  <c r="AF113" i="2" a="1"/>
  <c r="AG113" i="2" a="1"/>
  <c r="AG78" i="2" a="1"/>
  <c r="AA78" i="2" a="1"/>
  <c r="AD78" i="2" a="1"/>
  <c r="AC78" i="2" a="1"/>
  <c r="AF78" i="2" a="1"/>
  <c r="AE78" i="2" a="1"/>
  <c r="AB78" i="2" a="1"/>
  <c r="AA84" i="2" a="1"/>
  <c r="AB84" i="2" a="1"/>
  <c r="AC84" i="2" a="1"/>
  <c r="AD84" i="2" a="1"/>
  <c r="AE84" i="2" a="1"/>
  <c r="AF84" i="2" a="1"/>
  <c r="AG84" i="2" a="1"/>
  <c r="AA112" i="2" a="1"/>
  <c r="AB112" i="2" a="1"/>
  <c r="AC112" i="2" a="1"/>
  <c r="AD112" i="2" a="1"/>
  <c r="AE112" i="2" a="1"/>
  <c r="AF112" i="2" a="1"/>
  <c r="AG112" i="2" a="1"/>
  <c r="AG64" i="2" a="1"/>
  <c r="AD64" i="2" a="1"/>
  <c r="AB64" i="2" a="1"/>
  <c r="AA64" i="2" a="1"/>
  <c r="AE64" i="2" a="1"/>
  <c r="AC64" i="2" a="1"/>
  <c r="AF64" i="2" a="1"/>
  <c r="AB67" i="2" a="1"/>
  <c r="AG67" i="2" a="1"/>
  <c r="AD67" i="2" a="1"/>
  <c r="AF67" i="2" a="1"/>
  <c r="AA67" i="2" a="1"/>
  <c r="AC67" i="2" a="1"/>
  <c r="AE67" i="2" a="1"/>
  <c r="AF75" i="2" a="1"/>
  <c r="AG75" i="2" a="1"/>
  <c r="AD75" i="2" a="1"/>
  <c r="AB75" i="2" a="1"/>
  <c r="AE75" i="2" a="1"/>
  <c r="AA75" i="2" a="1"/>
  <c r="AC75" i="2" a="1"/>
  <c r="AG79" i="2" a="1"/>
  <c r="AF79" i="2" a="1"/>
  <c r="AC79" i="2" a="1"/>
  <c r="AA79" i="2" a="1"/>
  <c r="AE79" i="2" a="1"/>
  <c r="AB79" i="2" a="1"/>
  <c r="AD79" i="2" a="1"/>
  <c r="AE82" i="2" a="1"/>
  <c r="AF82" i="2" a="1"/>
  <c r="AG82" i="2" a="1"/>
  <c r="AC82" i="2" a="1"/>
  <c r="AA82" i="2" a="1"/>
  <c r="AB82" i="2" a="1"/>
  <c r="AD82" i="2" a="1"/>
  <c r="AA62" i="2" a="1"/>
  <c r="AC62" i="2" a="1"/>
  <c r="AE62" i="2" a="1"/>
  <c r="AG62" i="2" a="1"/>
  <c r="AB62" i="2" a="1"/>
  <c r="AD62" i="2" a="1"/>
  <c r="AF62" i="2" a="1"/>
  <c r="A158" i="2"/>
  <c r="A108" i="2"/>
  <c r="AF60" i="2" a="1"/>
  <c r="AC60" i="2" a="1"/>
  <c r="AG60" i="2" a="1"/>
  <c r="AB60" i="2" a="1"/>
  <c r="AA60" i="2" a="1"/>
  <c r="AD60" i="2" a="1"/>
  <c r="AE60" i="2" a="1"/>
  <c r="AG63" i="2" a="1"/>
  <c r="AA63" i="2" a="1"/>
  <c r="AB63" i="2" a="1"/>
  <c r="AE63" i="2" a="1"/>
  <c r="AF63" i="2" a="1"/>
  <c r="AC63" i="2" a="1"/>
  <c r="AD63" i="2" a="1"/>
  <c r="AG68" i="2" a="1"/>
  <c r="AB68" i="2" a="1"/>
  <c r="AC61" i="2" a="1"/>
  <c r="AB61" i="2" a="1"/>
  <c r="AA81" i="2" a="1"/>
  <c r="AB81" i="2" a="1"/>
  <c r="AC81" i="2" a="1"/>
  <c r="AD81" i="2" a="1"/>
  <c r="AE81" i="2" a="1"/>
  <c r="AF81" i="2" a="1"/>
  <c r="AG81" i="2" a="1"/>
  <c r="AA109" i="2" a="1"/>
  <c r="AB109" i="2" a="1"/>
  <c r="AC109" i="2" a="1"/>
  <c r="AD109" i="2" a="1"/>
  <c r="AE109" i="2" a="1"/>
  <c r="AF109" i="2" a="1"/>
  <c r="AG109" i="2" a="1"/>
  <c r="AA61" i="2" a="1"/>
  <c r="AE61" i="2" a="1"/>
  <c r="AD61" i="2" a="1"/>
  <c r="AF61" i="2" a="1"/>
  <c r="AG61" i="2" a="1"/>
  <c r="AB66" i="2" a="1"/>
  <c r="AE66" i="2" a="1"/>
  <c r="AG66" i="2" a="1"/>
  <c r="AA66" i="2" a="1"/>
  <c r="AC66" i="2" a="1"/>
  <c r="AD66" i="2" a="1"/>
  <c r="AF66" i="2" a="1"/>
  <c r="AF68" i="2" a="1"/>
  <c r="AA68" i="2" a="1"/>
  <c r="AD68" i="2" a="1"/>
  <c r="AC68" i="2" a="1"/>
  <c r="AE68" i="2" a="1"/>
  <c r="AA96" i="2" a="1"/>
  <c r="AB96" i="2" a="1"/>
  <c r="A107" i="2"/>
  <c r="A383" i="2"/>
  <c r="AG441" i="2" a="1"/>
  <c r="AA107" i="2" a="1"/>
  <c r="AB107" i="2" a="1"/>
  <c r="AC107" i="2" a="1"/>
  <c r="AA162" i="2" a="1"/>
  <c r="AB162" i="2" a="1"/>
  <c r="AC162" i="2" a="1"/>
  <c r="AG302" i="2" a="1"/>
  <c r="AD107" i="2" a="1"/>
  <c r="AE107" i="2" a="1"/>
  <c r="AF107" i="2" a="1"/>
  <c r="AG107" i="2" a="1"/>
  <c r="AD162" i="2" a="1"/>
  <c r="AE162" i="2" a="1"/>
  <c r="AF162" i="2" a="1"/>
  <c r="AG162" i="2" a="1"/>
  <c r="AA190" i="2" a="1"/>
  <c r="AB190" i="2" a="1"/>
  <c r="AC190" i="2" a="1"/>
  <c r="AD190" i="2" a="1"/>
  <c r="AE190" i="2" a="1"/>
  <c r="AF190" i="2" a="1"/>
  <c r="AA274" i="2" a="1"/>
  <c r="AB274" i="2" a="1"/>
  <c r="AC274" i="2" a="1"/>
  <c r="AD274" i="2" a="1"/>
  <c r="AE274" i="2" a="1"/>
  <c r="AF274" i="2" a="1"/>
  <c r="AG274" i="2" a="1"/>
  <c r="AA302" i="2" a="1"/>
  <c r="AB302" i="2" a="1"/>
  <c r="AC302" i="2" a="1"/>
  <c r="AD302" i="2" a="1"/>
  <c r="AE302" i="2" a="1"/>
  <c r="AF302" i="2" a="1"/>
  <c r="A161" i="2"/>
  <c r="A429" i="2"/>
  <c r="A433" i="2"/>
  <c r="A436" i="2"/>
  <c r="A438" i="2"/>
  <c r="AB219" i="2" a="1"/>
  <c r="AC219" i="2" a="1"/>
  <c r="AD219" i="2" a="1"/>
  <c r="AE219" i="2" a="1"/>
  <c r="AF219" i="2" a="1"/>
  <c r="AG219" i="2" a="1"/>
  <c r="AA247" i="2" a="1"/>
  <c r="AB247" i="2" a="1"/>
  <c r="AC247" i="2" a="1"/>
  <c r="AD247" i="2" a="1"/>
  <c r="AE247" i="2" a="1"/>
  <c r="AF247" i="2" a="1"/>
  <c r="AG247" i="2" a="1"/>
  <c r="AA275" i="2" a="1"/>
  <c r="AB275" i="2" a="1"/>
  <c r="AC275" i="2" a="1"/>
  <c r="AD275" i="2" a="1"/>
  <c r="AE275" i="2" a="1"/>
  <c r="AF275" i="2" a="1"/>
  <c r="AG275" i="2" a="1"/>
  <c r="AE330" i="2" a="1"/>
  <c r="AF330" i="2" a="1"/>
  <c r="AG330" i="2" a="1"/>
  <c r="AA358" i="2" a="1"/>
  <c r="AB358" i="2" a="1"/>
  <c r="AC358" i="2" a="1"/>
  <c r="AD358" i="2" a="1"/>
  <c r="AE358" i="2" a="1"/>
  <c r="AF358" i="2" a="1"/>
  <c r="AG358" i="2" a="1"/>
  <c r="AA386" i="2" a="1"/>
  <c r="AB386" i="2" a="1"/>
  <c r="AC386" i="2" a="1"/>
  <c r="AD386" i="2" a="1"/>
  <c r="AE386" i="2" a="1"/>
  <c r="AF386" i="2" a="1"/>
  <c r="AG386" i="2" a="1"/>
  <c r="AA414" i="2" a="1"/>
  <c r="AB414" i="2" a="1"/>
  <c r="AC414" i="2" a="1"/>
  <c r="AD414" i="2" a="1"/>
  <c r="AE414" i="2" a="1"/>
  <c r="AF414" i="2" a="1"/>
  <c r="AG414" i="2" a="1"/>
  <c r="A53" i="2"/>
  <c r="A54" i="2"/>
  <c r="A55" i="2"/>
  <c r="A56" i="2"/>
  <c r="A57" i="2"/>
  <c r="A59" i="2"/>
  <c r="A60" i="2"/>
  <c r="A61" i="2"/>
  <c r="A63" i="2"/>
  <c r="A65" i="2"/>
  <c r="A67" i="2"/>
  <c r="A69" i="2"/>
  <c r="A70" i="2"/>
  <c r="A72" i="2"/>
  <c r="A74" i="2"/>
  <c r="A75" i="2"/>
  <c r="A76" i="2"/>
  <c r="A78" i="2"/>
  <c r="A79" i="2"/>
  <c r="A93" i="2"/>
  <c r="A94" i="2"/>
  <c r="A95" i="2"/>
  <c r="A98" i="2"/>
  <c r="A100" i="2"/>
  <c r="A102" i="2"/>
  <c r="A104" i="2"/>
  <c r="A133" i="2"/>
  <c r="A134" i="2"/>
  <c r="A159" i="2"/>
  <c r="A162" i="2"/>
  <c r="A81" i="2"/>
  <c r="A82" i="2"/>
  <c r="A83" i="2"/>
  <c r="A84" i="2"/>
  <c r="A85" i="2"/>
  <c r="A86" i="2"/>
  <c r="A87" i="2"/>
  <c r="A8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60" i="2"/>
  <c r="A215" i="2"/>
  <c r="A216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434" i="2"/>
  <c r="A437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355" i="2"/>
  <c r="A430" i="2"/>
  <c r="A435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53" i="2"/>
  <c r="A432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4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31" i="2"/>
  <c r="A440" i="2"/>
  <c r="A441" i="2"/>
  <c r="A442" i="2"/>
  <c r="A443" i="2"/>
  <c r="A444" i="2"/>
  <c r="A105" i="2"/>
  <c r="A217" i="2"/>
  <c r="A58" i="2"/>
  <c r="A62" i="2"/>
  <c r="A64" i="2"/>
  <c r="A66" i="2"/>
  <c r="A68" i="2"/>
  <c r="A71" i="2"/>
  <c r="A73" i="2"/>
  <c r="A77" i="2"/>
  <c r="A89" i="2"/>
  <c r="A90" i="2"/>
  <c r="A91" i="2"/>
  <c r="A92" i="2"/>
  <c r="A96" i="2"/>
  <c r="A97" i="2"/>
  <c r="A99" i="2"/>
  <c r="A101" i="2"/>
  <c r="A103" i="2"/>
  <c r="A106" i="2"/>
  <c r="A132" i="2"/>
  <c r="A191" i="2"/>
  <c r="AE191" i="2" a="1"/>
  <c r="AF191" i="2" a="1"/>
  <c r="AG191" i="2" a="1"/>
  <c r="AA191" i="2" a="1"/>
  <c r="AB191" i="2" a="1"/>
  <c r="AC191" i="2" a="1"/>
  <c r="AD191" i="2" a="1"/>
  <c r="AA216" i="2" a="1"/>
  <c r="AB216" i="2" a="1"/>
  <c r="AE216" i="2" a="1"/>
  <c r="AG216" i="2" a="1"/>
  <c r="AC216" i="2" a="1"/>
  <c r="AF216" i="2" a="1"/>
  <c r="AD216" i="2" a="1"/>
  <c r="A246" i="2"/>
  <c r="AA246" i="2" a="1"/>
  <c r="AB246" i="2" a="1"/>
  <c r="AC246" i="2" a="1"/>
  <c r="AD246" i="2" a="1"/>
  <c r="AE246" i="2" a="1"/>
  <c r="AF246" i="2" a="1"/>
  <c r="AG246" i="2" a="1"/>
  <c r="AD329" i="2" a="1"/>
  <c r="AE329" i="2" a="1"/>
  <c r="AF329" i="2" a="1"/>
  <c r="AG329" i="2" a="1"/>
  <c r="AA329" i="2" a="1"/>
  <c r="AB329" i="2" a="1"/>
  <c r="AC329" i="2" a="1"/>
  <c r="A384" i="2"/>
  <c r="AA384" i="2" a="1"/>
  <c r="AB384" i="2" a="1"/>
  <c r="AC384" i="2" a="1"/>
  <c r="AD384" i="2" a="1"/>
  <c r="AE384" i="2" a="1"/>
  <c r="AF384" i="2" a="1"/>
  <c r="AG384" i="2" a="1"/>
  <c r="A80" i="2"/>
  <c r="AA80" i="2" a="1"/>
  <c r="AB80" i="2" a="1"/>
  <c r="AC80" i="2" a="1"/>
  <c r="AD80" i="2" a="1"/>
  <c r="AE80" i="2" a="1"/>
  <c r="AF80" i="2" a="1"/>
  <c r="AG80" i="2" a="1"/>
  <c r="AA108" i="2" a="1"/>
  <c r="AC108" i="2" a="1"/>
  <c r="AD108" i="2" a="1"/>
  <c r="AE108" i="2" a="1"/>
  <c r="AF108" i="2" a="1"/>
  <c r="AG108" i="2" a="1"/>
  <c r="AB108" i="2" a="1"/>
  <c r="AD135" i="2" a="1"/>
  <c r="AE135" i="2" a="1"/>
  <c r="AF135" i="2" a="1"/>
  <c r="AG135" i="2" a="1"/>
  <c r="AC135" i="2" a="1"/>
  <c r="A135" i="2"/>
  <c r="A163" i="2"/>
  <c r="AB163" i="2" a="1"/>
  <c r="AC163" i="2" a="1"/>
  <c r="AD163" i="2" a="1"/>
  <c r="AE163" i="2" a="1"/>
  <c r="AF163" i="2" a="1"/>
  <c r="AG163" i="2" a="1"/>
  <c r="AA163" i="2" a="1"/>
  <c r="A190" i="2"/>
  <c r="AG190" i="2" a="1"/>
  <c r="A218" i="2"/>
  <c r="AB218" i="2" a="1"/>
  <c r="AC218" i="2" a="1"/>
  <c r="AD218" i="2" a="1"/>
  <c r="AE218" i="2" a="1"/>
  <c r="AF218" i="2" a="1"/>
  <c r="AA218" i="2" a="1"/>
  <c r="AG218" i="2" a="1"/>
  <c r="AE273" i="2" a="1"/>
  <c r="AF273" i="2" a="1"/>
  <c r="AG273" i="2" a="1"/>
  <c r="A273" i="2"/>
  <c r="AB273" i="2" a="1"/>
  <c r="AC273" i="2" a="1"/>
  <c r="AD273" i="2" a="1"/>
  <c r="A301" i="2"/>
  <c r="AA301" i="2" a="1"/>
  <c r="AB301" i="2" a="1"/>
  <c r="AC301" i="2" a="1"/>
  <c r="AD301" i="2" a="1"/>
  <c r="AE301" i="2" a="1"/>
  <c r="AF301" i="2" a="1"/>
  <c r="AG301" i="2" a="1"/>
  <c r="AG328" i="2" a="1"/>
  <c r="AF328" i="2" a="1"/>
  <c r="A328" i="2"/>
  <c r="AB356" i="2" a="1"/>
  <c r="AG356" i="2" a="1"/>
  <c r="AF356" i="2" a="1"/>
  <c r="AE356" i="2" a="1"/>
  <c r="AD356" i="2" a="1"/>
  <c r="AC356" i="2" a="1"/>
  <c r="A356" i="2"/>
  <c r="AA356" i="2" a="1"/>
  <c r="A411" i="2"/>
  <c r="AG411" i="2" a="1"/>
  <c r="AF411" i="2" a="1"/>
  <c r="AE411" i="2" a="1"/>
  <c r="AD411" i="2" a="1"/>
  <c r="AC411" i="2" a="1"/>
  <c r="AB411" i="2" a="1"/>
  <c r="AA411" i="2" a="1"/>
  <c r="AA439" i="2" a="1"/>
  <c r="A439" i="2"/>
  <c r="AG439" i="2" a="1"/>
  <c r="AF439" i="2" a="1"/>
  <c r="AE439" i="2" a="1"/>
  <c r="AD439" i="2" a="1"/>
  <c r="AC439" i="2" a="1"/>
  <c r="AB439" i="2" a="1"/>
  <c r="AA43" i="2" a="1"/>
  <c r="AC50" i="2" a="1"/>
  <c r="AD50" i="2" a="1"/>
  <c r="AA47" i="2" a="1"/>
  <c r="AF50" i="2" a="1"/>
  <c r="AE50" i="2" a="1"/>
  <c r="AB50" i="2" a="1"/>
  <c r="AA50" i="2" a="1"/>
  <c r="AG50" i="2" a="1"/>
  <c r="AA33" i="2" a="1"/>
  <c r="AD8" i="2" a="1"/>
  <c r="AG8" i="2" a="1"/>
  <c r="AC8" i="2" a="1"/>
  <c r="AE8" i="2" a="1"/>
  <c r="AF8" i="2" a="1"/>
  <c r="AB8" i="2" a="1"/>
  <c r="AA22" i="2" a="1"/>
  <c r="AB22" i="2" a="1"/>
  <c r="AA8" i="2" a="1"/>
  <c r="AC11" i="2" a="1"/>
  <c r="AE11" i="2" a="1"/>
  <c r="AA11" i="2" a="1"/>
  <c r="AF11" i="2" a="1"/>
  <c r="AB11" i="2" a="1"/>
  <c r="AD11" i="2" a="1"/>
  <c r="AG11" i="2" a="1"/>
  <c r="AA46" i="2" a="1"/>
  <c r="AB46" i="2" a="1"/>
  <c r="AC46" i="2" a="1"/>
  <c r="AD46" i="2" a="1"/>
  <c r="AE46" i="2" a="1"/>
  <c r="AF46" i="2" a="1"/>
  <c r="AG46" i="2" a="1"/>
  <c r="AA49" i="2" a="1"/>
  <c r="AB49" i="2" a="1"/>
  <c r="AC49" i="2" a="1"/>
  <c r="AD49" i="2" a="1"/>
  <c r="AE49" i="2" a="1"/>
  <c r="AF49" i="2" a="1"/>
  <c r="AG49" i="2" a="1"/>
  <c r="AA28" i="2" a="1"/>
  <c r="AB28" i="2" a="1"/>
  <c r="AC28" i="2" a="1"/>
  <c r="AD28" i="2" a="1"/>
  <c r="AE28" i="2" a="1"/>
  <c r="AF28" i="2" a="1"/>
  <c r="AG28" i="2" a="1"/>
  <c r="AA35" i="2" a="1"/>
  <c r="AB35" i="2" a="1"/>
  <c r="AC35" i="2" a="1"/>
  <c r="AD35" i="2" a="1"/>
  <c r="AE35" i="2" a="1"/>
  <c r="AF35" i="2" a="1"/>
  <c r="AG35" i="2" a="1"/>
  <c r="AA38" i="2" a="1"/>
  <c r="AB38" i="2" a="1"/>
  <c r="AC38" i="2" a="1"/>
  <c r="AD38" i="2" a="1"/>
  <c r="AE38" i="2" a="1"/>
  <c r="AF38" i="2" a="1"/>
  <c r="AG38" i="2" a="1"/>
  <c r="AA42" i="2" a="1"/>
  <c r="AB42" i="2" a="1"/>
  <c r="AC42" i="2" a="1"/>
  <c r="AD42" i="2" a="1"/>
  <c r="AE42" i="2" a="1"/>
  <c r="AF42" i="2" a="1"/>
  <c r="AG42" i="2" a="1"/>
  <c r="AA17" i="2" a="1"/>
  <c r="AB17" i="2" a="1"/>
  <c r="AC17" i="2" a="1"/>
  <c r="AD17" i="2" a="1"/>
  <c r="AE17" i="2" a="1"/>
  <c r="AF17" i="2" a="1"/>
  <c r="AG17" i="2" a="1"/>
  <c r="AA24" i="2" a="1"/>
  <c r="AB24" i="2" a="1"/>
  <c r="AC24" i="2" a="1"/>
  <c r="AD24" i="2" a="1"/>
  <c r="AE24" i="2" a="1"/>
  <c r="AF24" i="2" a="1"/>
  <c r="AG24" i="2" a="1"/>
  <c r="AA31" i="2" a="1"/>
  <c r="AB31" i="2" a="1"/>
  <c r="AC31" i="2" a="1"/>
  <c r="AD31" i="2" a="1"/>
  <c r="AE31" i="2" a="1"/>
  <c r="AF31" i="2" a="1"/>
  <c r="AG31" i="2" a="1"/>
  <c r="A5" i="2"/>
  <c r="AC12" i="2" a="1"/>
  <c r="AB12" i="2" a="1"/>
  <c r="AA12" i="2" a="1"/>
  <c r="AA52" i="2" a="1"/>
  <c r="AA13" i="2" a="1"/>
  <c r="AB13" i="2" a="1"/>
  <c r="AC13" i="2" a="1"/>
  <c r="AD13" i="2" a="1"/>
  <c r="AE13" i="2" a="1"/>
  <c r="AF13" i="2" a="1"/>
  <c r="AG13" i="2" a="1"/>
  <c r="AG47" i="2" a="1"/>
  <c r="AA7" i="2" a="1"/>
  <c r="AB7" i="2" a="1"/>
  <c r="AC7" i="2" a="1"/>
  <c r="AD7" i="2" a="1"/>
  <c r="AE7" i="2" a="1"/>
  <c r="AF7" i="2" a="1"/>
  <c r="AG7" i="2" a="1"/>
  <c r="AD12" i="2" a="1"/>
  <c r="AE12" i="2" a="1"/>
  <c r="AF15" i="2" a="1"/>
  <c r="AG15" i="2" a="1"/>
  <c r="AF12" i="2" a="1"/>
  <c r="AG12" i="2" a="1"/>
  <c r="AA19" i="2" a="1"/>
  <c r="AB19" i="2" a="1"/>
  <c r="AC19" i="2" a="1"/>
  <c r="AA26" i="2" a="1"/>
  <c r="AB26" i="2" a="1"/>
  <c r="AC26" i="2" a="1"/>
  <c r="AD26" i="2" a="1"/>
  <c r="AE26" i="2" a="1"/>
  <c r="AB33" i="2" a="1"/>
  <c r="AC33" i="2" a="1"/>
  <c r="AD33" i="2" a="1"/>
  <c r="AE33" i="2" a="1"/>
  <c r="AF33" i="2" a="1"/>
  <c r="AG33" i="2" a="1"/>
  <c r="AA40" i="2" a="1"/>
  <c r="AB40" i="2" a="1"/>
  <c r="AC40" i="2" a="1"/>
  <c r="AD40" i="2" a="1"/>
  <c r="AE40" i="2" a="1"/>
  <c r="AF40" i="2" a="1"/>
  <c r="AG40" i="2" a="1"/>
  <c r="AD19" i="2" a="1"/>
  <c r="AE19" i="2" a="1"/>
  <c r="AF19" i="2" a="1"/>
  <c r="AG19" i="2" a="1"/>
  <c r="AF26" i="2" a="1"/>
  <c r="AG26" i="2" a="1"/>
  <c r="AA45" i="2" a="1"/>
  <c r="AB45" i="2" a="1"/>
  <c r="AC45" i="2" a="1"/>
  <c r="AD45" i="2" a="1"/>
  <c r="AE45" i="2" a="1"/>
  <c r="AF45" i="2" a="1"/>
  <c r="AG45" i="2" a="1"/>
  <c r="AB52" i="2" a="1"/>
  <c r="AC52" i="2" a="1"/>
  <c r="AD52" i="2" a="1"/>
  <c r="AE52" i="2" a="1"/>
  <c r="AF52" i="2" a="1"/>
  <c r="AG52" i="2" a="1"/>
  <c r="AB6" i="2" a="1"/>
  <c r="AA6" i="2" a="1"/>
  <c r="AD6" i="2" a="1"/>
  <c r="AC6" i="2" a="1"/>
  <c r="AE6" i="2" a="1"/>
  <c r="AF6" i="2" a="1"/>
  <c r="AG6" i="2" a="1"/>
  <c r="A6" i="2"/>
  <c r="A8" i="2"/>
  <c r="A12" i="2"/>
  <c r="A10" i="2"/>
  <c r="A11" i="2"/>
  <c r="A13" i="2"/>
  <c r="A14" i="2"/>
  <c r="A15" i="2"/>
  <c r="A17" i="2"/>
  <c r="A18" i="2"/>
  <c r="A19" i="2"/>
  <c r="A20" i="2"/>
  <c r="A21" i="2"/>
  <c r="A22" i="2"/>
  <c r="A24" i="2"/>
  <c r="A25" i="2"/>
  <c r="A26" i="2"/>
  <c r="A28" i="2"/>
  <c r="A29" i="2"/>
  <c r="A31" i="2"/>
  <c r="A32" i="2"/>
  <c r="A33" i="2"/>
  <c r="A35" i="2"/>
  <c r="A36" i="2"/>
  <c r="A38" i="2"/>
  <c r="A39" i="2"/>
  <c r="A40" i="2"/>
  <c r="A42" i="2"/>
  <c r="A43" i="2"/>
  <c r="A48" i="2"/>
  <c r="A45" i="2"/>
  <c r="A46" i="2"/>
  <c r="A47" i="2"/>
  <c r="A49" i="2"/>
  <c r="A50" i="2"/>
  <c r="A52" i="2"/>
  <c r="A7" i="2"/>
  <c r="AA20" i="2" a="1"/>
  <c r="AB20" i="2" a="1"/>
  <c r="AC20" i="2" a="1"/>
  <c r="AD20" i="2" a="1"/>
  <c r="AE20" i="2" a="1"/>
  <c r="AF20" i="2" a="1"/>
  <c r="AG20" i="2" a="1"/>
  <c r="A27" i="2"/>
  <c r="AA27" i="2" a="1"/>
  <c r="AB27" i="2" a="1"/>
  <c r="AC27" i="2" a="1"/>
  <c r="AD27" i="2" a="1"/>
  <c r="AE27" i="2" a="1"/>
  <c r="AF27" i="2" a="1"/>
  <c r="AG27" i="2" a="1"/>
  <c r="A34" i="2"/>
  <c r="AA34" i="2" a="1"/>
  <c r="AB34" i="2" a="1"/>
  <c r="AC34" i="2" a="1"/>
  <c r="AD34" i="2" a="1"/>
  <c r="AE34" i="2" a="1"/>
  <c r="AF34" i="2" a="1"/>
  <c r="AG34" i="2" a="1"/>
  <c r="A41" i="2"/>
  <c r="AA41" i="2" a="1"/>
  <c r="AB41" i="2" a="1"/>
  <c r="AC41" i="2" a="1"/>
  <c r="AD41" i="2" a="1"/>
  <c r="AE41" i="2" a="1"/>
  <c r="AF41" i="2" a="1"/>
  <c r="AG41" i="2" a="1"/>
  <c r="AA48" i="2" a="1"/>
  <c r="AB48" i="2" a="1"/>
  <c r="AC48" i="2" a="1"/>
  <c r="AD48" i="2" a="1"/>
  <c r="AE48" i="2" a="1"/>
  <c r="AF48" i="2" a="1"/>
  <c r="AG48" i="2" a="1"/>
  <c r="A9" i="2"/>
  <c r="AE9" i="2" a="1"/>
  <c r="AA9" i="2" a="1"/>
  <c r="AB9" i="2" a="1"/>
  <c r="AC9" i="2" a="1"/>
  <c r="AD9" i="2" a="1"/>
  <c r="AF9" i="2" a="1"/>
  <c r="AG9" i="2" a="1"/>
  <c r="AA16" i="2" a="1"/>
  <c r="AB16" i="2" a="1"/>
  <c r="AC16" i="2" a="1"/>
  <c r="AD16" i="2" a="1"/>
  <c r="AE16" i="2" a="1"/>
  <c r="AF16" i="2" a="1"/>
  <c r="AG16" i="2" a="1"/>
  <c r="A16" i="2"/>
  <c r="A23" i="2"/>
  <c r="AA23" i="2" a="1"/>
  <c r="AB23" i="2" a="1"/>
  <c r="AC23" i="2" a="1"/>
  <c r="AD23" i="2" a="1"/>
  <c r="AE23" i="2" a="1"/>
  <c r="AF23" i="2" a="1"/>
  <c r="AG23" i="2" a="1"/>
  <c r="A30" i="2"/>
  <c r="AF30" i="2" a="1"/>
  <c r="AG30" i="2" a="1"/>
  <c r="AA30" i="2" a="1"/>
  <c r="AB30" i="2" a="1"/>
  <c r="AC30" i="2" a="1"/>
  <c r="AD30" i="2" a="1"/>
  <c r="AE30" i="2" a="1"/>
  <c r="A37" i="2"/>
  <c r="AB37" i="2" a="1"/>
  <c r="AA37" i="2" a="1"/>
  <c r="AC37" i="2" a="1"/>
  <c r="AD37" i="2" a="1"/>
  <c r="AE37" i="2" a="1"/>
  <c r="AF37" i="2" a="1"/>
  <c r="AG37" i="2" a="1"/>
  <c r="AA44" i="2" a="1"/>
  <c r="AB44" i="2" a="1"/>
  <c r="AC44" i="2" a="1"/>
  <c r="AD44" i="2" a="1"/>
  <c r="AE44" i="2" a="1"/>
  <c r="AF44" i="2" a="1"/>
  <c r="AG44" i="2" a="1"/>
  <c r="A44" i="2"/>
  <c r="A51" i="2"/>
  <c r="AA51" i="2" a="1"/>
  <c r="AB51" i="2" a="1"/>
  <c r="AC51" i="2" a="1"/>
  <c r="AD51" i="2" a="1"/>
  <c r="AE51" i="2" a="1"/>
  <c r="AF51" i="2" a="1"/>
  <c r="AG51" i="2" a="1"/>
  <c r="AA5" i="2" a="1"/>
  <c r="AC5" i="2" a="1"/>
  <c r="AG5" i="2" a="1"/>
  <c r="AF5" i="2" a="1"/>
  <c r="AE5" i="2" a="1"/>
  <c r="AD5" i="2" a="1"/>
  <c r="AB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<sst xmlns="http://schemas.openxmlformats.org/spreadsheetml/2006/main" count="1843" uniqueCount="284">
  <si>
    <t>Weapon</t>
  </si>
  <si>
    <t>사용여부</t>
  </si>
  <si>
    <t>column명</t>
  </si>
  <si>
    <t>한글 명칭</t>
  </si>
  <si>
    <t>데이터 형식</t>
  </si>
  <si>
    <t>형식 설명</t>
  </si>
  <si>
    <t>설명</t>
  </si>
  <si>
    <t>weaponId</t>
  </si>
  <si>
    <t>무기ID</t>
  </si>
  <si>
    <t>string</t>
  </si>
  <si>
    <t>"Weapon_target_00001"</t>
  </si>
  <si>
    <t>포탑 ID 저장</t>
  </si>
  <si>
    <t>weaponName</t>
  </si>
  <si>
    <t>무기명칭</t>
  </si>
  <si>
    <t>"기관포"</t>
  </si>
  <si>
    <t>포탑의 이름 저장</t>
  </si>
  <si>
    <t>weaponLandType</t>
  </si>
  <si>
    <t>weaponPower</t>
  </si>
  <si>
    <t>위력</t>
  </si>
  <si>
    <t xml:space="preserve"> int</t>
  </si>
  <si>
    <t>포탑의 위력 수치 저장</t>
  </si>
  <si>
    <t>weaponRange</t>
  </si>
  <si>
    <t>사정거리</t>
  </si>
  <si>
    <t>float</t>
  </si>
  <si>
    <t>0.0f</t>
  </si>
  <si>
    <t>포탑의 사정거리 수치 저장</t>
  </si>
  <si>
    <t>weaponAtkcycle</t>
  </si>
  <si>
    <t>공격주기</t>
  </si>
  <si>
    <t>포탑의 공격주기 저장</t>
  </si>
  <si>
    <t>"단일형"</t>
  </si>
  <si>
    <t>weaponAtkType</t>
  </si>
  <si>
    <t>공격속성</t>
  </si>
  <si>
    <t>"Spread"</t>
  </si>
  <si>
    <t>weaponHitboxSize</t>
  </si>
  <si>
    <t>발사할  탄환의 크기 저장</t>
  </si>
  <si>
    <t>weaponAmmoSpeed</t>
  </si>
  <si>
    <t>탄환 속도</t>
  </si>
  <si>
    <t>발사할 탄환의 속도 저장</t>
  </si>
  <si>
    <t>weaponRotaionSpeed</t>
  </si>
  <si>
    <t>회전속도</t>
  </si>
  <si>
    <t>포탑의 회전 속도 저장</t>
  </si>
  <si>
    <t>weaponWeight</t>
  </si>
  <si>
    <t>무게</t>
  </si>
  <si>
    <t>int</t>
  </si>
  <si>
    <t>장착할 포탑의 무게수치 저장</t>
  </si>
  <si>
    <t>weaponPrice</t>
  </si>
  <si>
    <t>포탑의 가격수치 저장</t>
  </si>
  <si>
    <t>weaponUseammoType</t>
  </si>
  <si>
    <t>소모탄환 종류</t>
  </si>
  <si>
    <t>"bullet"</t>
  </si>
  <si>
    <t>공격때마다 감소하는 탄환의 종류</t>
  </si>
  <si>
    <t>폭발형, 곡사형만 
 사용</t>
  </si>
  <si>
    <t>weaponExplosionRange</t>
  </si>
  <si>
    <t>탄환이 생성하는 폭발의 범위 수치 저장</t>
  </si>
  <si>
    <t>소환 위치</t>
  </si>
  <si>
    <t>"Weapon"</t>
  </si>
  <si>
    <t>상태이상형 탄환이 소환될 위치 이름을 저장</t>
  </si>
  <si>
    <t>범위 형태</t>
  </si>
  <si>
    <t>"Circle"</t>
  </si>
  <si>
    <t>생성될 상태이상형 탄환의 형태 이름을 저장, "Circle", "Triangle" 2가지 값중 하나가 들어간다.</t>
  </si>
  <si>
    <t>weaponDebuff</t>
  </si>
  <si>
    <t>적용효과</t>
  </si>
  <si>
    <t>"Stun"</t>
  </si>
  <si>
    <t>상태이상형 탄환의 효과 이름 저장</t>
  </si>
  <si>
    <t>weaponAmmoDuration</t>
  </si>
  <si>
    <t>지속시간</t>
  </si>
  <si>
    <t>탄환의 지속시간 수치 저장</t>
  </si>
  <si>
    <t>weaponAmmonMuch</t>
  </si>
  <si>
    <t>탄환개수</t>
  </si>
  <si>
    <t>탄환이 발사될 개수 저장</t>
  </si>
  <si>
    <t>상태이상형만 사용</t>
    <phoneticPr fontId="8" type="noConversion"/>
  </si>
  <si>
    <t>관통형, 상태이상형, 산탄형만 사용</t>
    <phoneticPr fontId="8" type="noConversion"/>
  </si>
  <si>
    <t>곡사형,산탄형만사용</t>
    <phoneticPr fontId="8" type="noConversion"/>
  </si>
  <si>
    <t>모든 무기 보유 스탯</t>
    <phoneticPr fontId="8" type="noConversion"/>
  </si>
  <si>
    <t>소모 탄환별 보정치</t>
    <phoneticPr fontId="8" type="noConversion"/>
  </si>
  <si>
    <t>single</t>
    <phoneticPr fontId="8" type="noConversion"/>
  </si>
  <si>
    <t>blast</t>
    <phoneticPr fontId="8" type="noConversion"/>
  </si>
  <si>
    <t>pierce</t>
    <phoneticPr fontId="8" type="noConversion"/>
  </si>
  <si>
    <t>curved</t>
    <phoneticPr fontId="8" type="noConversion"/>
  </si>
  <si>
    <t>shot</t>
    <phoneticPr fontId="8" type="noConversion"/>
  </si>
  <si>
    <t>L</t>
    <phoneticPr fontId="8" type="noConversion"/>
  </si>
  <si>
    <t>F</t>
    <phoneticPr fontId="8" type="noConversion"/>
  </si>
  <si>
    <t>종류 구분</t>
    <phoneticPr fontId="8" type="noConversion"/>
  </si>
  <si>
    <t>stun</t>
    <phoneticPr fontId="8" type="noConversion"/>
  </si>
  <si>
    <t>dots</t>
    <phoneticPr fontId="8" type="noConversion"/>
  </si>
  <si>
    <t>slow</t>
    <phoneticPr fontId="8" type="noConversion"/>
  </si>
  <si>
    <t>deflow</t>
    <phoneticPr fontId="8" type="noConversion"/>
  </si>
  <si>
    <t>세부 보정치</t>
    <phoneticPr fontId="8" type="noConversion"/>
  </si>
  <si>
    <t>weaponPaturn</t>
    <phoneticPr fontId="8" type="noConversion"/>
  </si>
  <si>
    <t>weaponPaturn</t>
    <phoneticPr fontId="8" type="noConversion"/>
  </si>
  <si>
    <t>weaponAmmo</t>
    <phoneticPr fontId="8" type="noConversion"/>
  </si>
  <si>
    <t>weaponType</t>
    <phoneticPr fontId="8" type="noConversion"/>
  </si>
  <si>
    <t>보정치</t>
    <phoneticPr fontId="8" type="noConversion"/>
  </si>
  <si>
    <r>
      <rPr>
        <sz val="10"/>
        <color theme="1"/>
        <rFont val="맑은 고딕"/>
        <family val="3"/>
        <charset val="129"/>
      </rPr>
      <t>포탑의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공격형식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</t>
    </r>
    <r>
      <rPr>
        <sz val="10"/>
        <color theme="1"/>
        <rFont val="Arial"/>
        <family val="2"/>
        <scheme val="minor"/>
      </rPr>
      <t>["single", "blast", "pierce", "curved", "shot", "debuff"] 6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값중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들어가며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8" type="noConversion"/>
  </si>
  <si>
    <t>debuff</t>
    <phoneticPr fontId="8" type="noConversion"/>
  </si>
  <si>
    <t>ammo</t>
    <phoneticPr fontId="8" type="noConversion"/>
  </si>
  <si>
    <t>ammo</t>
    <phoneticPr fontId="8" type="noConversion"/>
  </si>
  <si>
    <t>shell</t>
    <phoneticPr fontId="8" type="noConversion"/>
  </si>
  <si>
    <t>missile</t>
    <phoneticPr fontId="8" type="noConversion"/>
  </si>
  <si>
    <t>spread</t>
    <phoneticPr fontId="8" type="noConversion"/>
  </si>
  <si>
    <t>normal</t>
    <phoneticPr fontId="8" type="noConversion"/>
  </si>
  <si>
    <t>armored</t>
    <phoneticPr fontId="8" type="noConversion"/>
  </si>
  <si>
    <t>weaponSP</t>
    <phoneticPr fontId="8" type="noConversion"/>
  </si>
  <si>
    <t>weaponZoneShape</t>
    <phoneticPr fontId="8" type="noConversion"/>
  </si>
  <si>
    <t>소수 보정치</t>
    <phoneticPr fontId="8" type="noConversion"/>
  </si>
  <si>
    <t>공격 패턴별 보정치</t>
    <phoneticPr fontId="8" type="noConversion"/>
  </si>
  <si>
    <t>circle</t>
    <phoneticPr fontId="8" type="noConversion"/>
  </si>
  <si>
    <t>triangle</t>
    <phoneticPr fontId="8" type="noConversion"/>
  </si>
  <si>
    <t>head</t>
    <phoneticPr fontId="8" type="noConversion"/>
  </si>
  <si>
    <t>target</t>
    <phoneticPr fontId="8" type="noConversion"/>
  </si>
  <si>
    <t>탄환크기</t>
    <phoneticPr fontId="8" type="noConversion"/>
  </si>
  <si>
    <t>공격 속성 보정치</t>
    <phoneticPr fontId="8" type="noConversion"/>
  </si>
  <si>
    <t>지형 보정치</t>
    <phoneticPr fontId="8" type="noConversion"/>
  </si>
  <si>
    <t>상태이상 생성위치 보정치</t>
    <phoneticPr fontId="8" type="noConversion"/>
  </si>
  <si>
    <t>상태이상 형태 범위 보정치</t>
    <phoneticPr fontId="8" type="noConversion"/>
  </si>
  <si>
    <t>가격별 기준 능력치</t>
    <phoneticPr fontId="8" type="noConversion"/>
  </si>
  <si>
    <t>피해범위 보정치</t>
    <phoneticPr fontId="8" type="noConversion"/>
  </si>
  <si>
    <t>상태이상 보정치</t>
    <phoneticPr fontId="8" type="noConversion"/>
  </si>
  <si>
    <t>지속시간 보정치</t>
    <phoneticPr fontId="8" type="noConversion"/>
  </si>
  <si>
    <t>탄환 개수보정치</t>
    <phoneticPr fontId="8" type="noConversion"/>
  </si>
  <si>
    <t>● 해당 페이지에서 모든 또는 특정 종류의 포탑의 능력치를 조절할 수 있다.
● 가격별 기준 능력치가 모든 포탑의 기준 능력치 수치를 조절하며 나머지 테이블은 특정 속성을 가진 포탑의 능력치의 배율을 조정한다.
● 배율을 조정하는 테이블의 요소는 크기가 클수록 증가수치도 증가하기 때문에 큰 수치조정은 권장하지 않는다.
● 일반적인 수치는 크기가 증가하면 강력해지지만 공격주기 수치의 경우 크기가 작을수록 포탑이 빠르게 공격을 진행한다.
● 회전속도 수치는 초당 몇도를 회전하는지에 대한 수치이다. EX) 30이면 초당 30도 회전한다.
● 탄환속도는 초당 몇 M 이동하는지에 대한 수치이다.
● 탄환 크기는 유니티에서 오브젝트 크기 수치를 나타낸다. EX) 1이면 1*1*1 크기가 된다.
●사정거리는 포탑의 적 감지범위인 원형 범위의 반지름 크기이다.
● 소수 보정치는 소수점 단위로 나올 수 있는 능력치에 대하여 0.1초당 추가적인 배율을 어느정도 제공할지에 대한 수치이다.</t>
    <phoneticPr fontId="8" type="noConversion"/>
  </si>
  <si>
    <r>
      <rPr>
        <sz val="10"/>
        <color theme="1"/>
        <rFont val="맑은 고딕"/>
        <family val="3"/>
        <charset val="129"/>
      </rPr>
      <t>포탑의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지형속성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</t>
    </r>
    <r>
      <rPr>
        <sz val="10"/>
        <color theme="1"/>
        <rFont val="Arial"/>
        <family val="2"/>
        <scheme val="minor"/>
      </rPr>
      <t>, "L", "F" 2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값이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8" type="noConversion"/>
  </si>
  <si>
    <t>"L"</t>
    <phoneticPr fontId="8" type="noConversion"/>
  </si>
  <si>
    <r>
      <rPr>
        <sz val="10"/>
        <color theme="1"/>
        <rFont val="맑은 고딕"/>
        <family val="3"/>
        <charset val="129"/>
      </rPr>
      <t>포탑의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공격속성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</t>
    </r>
    <r>
      <rPr>
        <sz val="10"/>
        <color theme="1"/>
        <rFont val="Arial"/>
        <family val="2"/>
        <scheme val="minor"/>
      </rPr>
      <t xml:space="preserve"> "spread", "normal", "armored" 3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들어간다</t>
    </r>
    <r>
      <rPr>
        <sz val="10"/>
        <color theme="1"/>
        <rFont val="Arial"/>
        <family val="2"/>
        <scheme val="minor"/>
      </rPr>
      <t>.</t>
    </r>
    <phoneticPr fontId="8" type="noConversion"/>
  </si>
  <si>
    <t>null</t>
  </si>
  <si>
    <t>null</t>
    <phoneticPr fontId="8" type="noConversion"/>
  </si>
  <si>
    <t>weaponSp</t>
    <phoneticPr fontId="8" type="noConversion"/>
  </si>
  <si>
    <r>
      <t xml:space="preserve">● </t>
    </r>
    <r>
      <rPr>
        <sz val="10"/>
        <color rgb="FF000000"/>
        <rFont val="맑은 고딕"/>
        <family val="2"/>
        <charset val="129"/>
      </rPr>
      <t xml:space="preserve">해당 페이지는 실제 사용할 데이터에 대한 내용이 적힌 테이블이다.
</t>
    </r>
    <r>
      <rPr>
        <sz val="10"/>
        <color rgb="FF000000"/>
        <rFont val="Segoe UI Symbol"/>
        <family val="2"/>
      </rPr>
      <t>●3</t>
    </r>
    <r>
      <rPr>
        <sz val="10"/>
        <color rgb="FF000000"/>
        <rFont val="맑은 고딕"/>
        <family val="2"/>
        <charset val="129"/>
      </rPr>
      <t xml:space="preserve">열은 데이터의 자료형이며 자료형이 한글로 되어있는 경우 인게임에서 사용하지 않는 데이터지만 테이블에서 수치조정 또는 색인을 위해 넣은 데이터이다.
</t>
    </r>
    <r>
      <rPr>
        <sz val="10"/>
        <color rgb="FF000000"/>
        <rFont val="Segoe UI Symbol"/>
        <family val="2"/>
      </rPr>
      <t>●</t>
    </r>
    <r>
      <rPr>
        <sz val="10"/>
        <color rgb="FF000000"/>
        <rFont val="맑은 고딕"/>
        <family val="2"/>
        <charset val="129"/>
      </rPr>
      <t>보정치의 수치를 조정해 각 포탑별로 상세 능력치를 조정할 수 있다.
● 보정값의 경우 수치 조정의도가 없는 경우 1을 유지한다.</t>
    </r>
    <r>
      <rPr>
        <sz val="10"/>
        <color rgb="FF000000"/>
        <rFont val="Segoe UI Symbol"/>
        <family val="2"/>
      </rPr>
      <t xml:space="preserve">
●</t>
    </r>
    <r>
      <rPr>
        <sz val="10"/>
        <color rgb="FF000000"/>
        <rFont val="맑은 고딕"/>
        <family val="2"/>
        <charset val="129"/>
      </rPr>
      <t>포탑에 따라 사용하지 않는 칼럼이 존재한다. 데이터를 입력해도 영향을 주지 않지만 통일성을 위하여 사용하지 않는데이터는 문자형의 경우 null값, 정수형/소수형의 경우 0 을 넣는다.</t>
    </r>
    <phoneticPr fontId="8" type="noConversion"/>
  </si>
  <si>
    <t>spread</t>
  </si>
  <si>
    <r>
      <t>무기</t>
    </r>
    <r>
      <rPr>
        <sz val="10"/>
        <color rgb="FF000000"/>
        <rFont val="Arial"/>
        <family val="2"/>
        <scheme val="minor"/>
      </rPr>
      <t>ID</t>
    </r>
  </si>
  <si>
    <r>
      <t>탄환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</t>
    </r>
  </si>
  <si>
    <r>
      <t>소모탄환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</si>
  <si>
    <r>
      <t>소환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위치</t>
    </r>
  </si>
  <si>
    <r>
      <t>범위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형태</t>
    </r>
  </si>
  <si>
    <t>공격패턴</t>
    <phoneticPr fontId="8" type="noConversion"/>
  </si>
  <si>
    <t>탄환 크기</t>
    <phoneticPr fontId="8" type="noConversion"/>
  </si>
  <si>
    <t>지형속성</t>
    <phoneticPr fontId="8" type="noConversion"/>
  </si>
  <si>
    <r>
      <rPr>
        <sz val="11"/>
        <color rgb="FF000000"/>
        <rFont val="맑은 고딕"/>
        <family val="3"/>
        <charset val="129"/>
      </rPr>
      <t>지형</t>
    </r>
    <r>
      <rPr>
        <sz val="11"/>
        <color rgb="FF000000"/>
        <rFont val="&quot;Malgun Gothic&quot;"/>
      </rPr>
      <t>속성</t>
    </r>
    <phoneticPr fontId="8" type="noConversion"/>
  </si>
  <si>
    <t>포탑 가격</t>
    <phoneticPr fontId="8" type="noConversion"/>
  </si>
  <si>
    <r>
      <rPr>
        <sz val="10"/>
        <color rgb="FF000000"/>
        <rFont val="맑은 고딕"/>
        <family val="3"/>
        <charset val="129"/>
      </rPr>
      <t>무게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</si>
  <si>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r>
      <rPr>
        <sz val="10"/>
        <color rgb="FF000000"/>
        <rFont val="맑은 고딕"/>
        <family val="3"/>
        <charset val="129"/>
      </rPr>
      <t>회전속도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</si>
  <si>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r>
      <rPr>
        <sz val="10"/>
        <color rgb="FF000000"/>
        <rFont val="맑은 고딕"/>
        <family val="3"/>
        <charset val="129"/>
      </rPr>
      <t>탄환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</si>
  <si>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t>탄환크기 보정치</t>
    <phoneticPr fontId="8" type="noConversion"/>
  </si>
  <si>
    <r>
      <rPr>
        <sz val="10"/>
        <color rgb="FF000000"/>
        <rFont val="맑은 고딕"/>
        <family val="3"/>
        <charset val="129"/>
      </rPr>
      <t>공격주기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</si>
  <si>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r>
      <rPr>
        <sz val="10"/>
        <color rgb="FF000000"/>
        <rFont val="맑은 고딕"/>
        <family val="3"/>
        <charset val="129"/>
      </rPr>
      <t>사정거리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</si>
  <si>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t>위력 보정치</t>
    <phoneticPr fontId="8" type="noConversion"/>
  </si>
  <si>
    <t>등급</t>
    <phoneticPr fontId="8" type="noConversion"/>
  </si>
  <si>
    <t>weaponTier</t>
    <phoneticPr fontId="8" type="noConversion"/>
  </si>
  <si>
    <t>무기 명칭(구경 입력용)</t>
    <phoneticPr fontId="8" type="noConversion"/>
  </si>
  <si>
    <t>무기 명칭(이름 입력용)</t>
    <phoneticPr fontId="8" type="noConversion"/>
  </si>
  <si>
    <t>녹슨</t>
    <phoneticPr fontId="8" type="noConversion"/>
  </si>
  <si>
    <t>기관포</t>
    <phoneticPr fontId="8" type="noConversion"/>
  </si>
  <si>
    <t>등급 구분</t>
    <phoneticPr fontId="8" type="noConversion"/>
  </si>
  <si>
    <t>녹슨</t>
    <phoneticPr fontId="8" type="noConversion"/>
  </si>
  <si>
    <t>T1</t>
    <phoneticPr fontId="8" type="noConversion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</si>
  <si>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</si>
  <si>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</si>
  <si>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</si>
  <si>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</si>
  <si>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</si>
  <si>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</si>
  <si>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</si>
  <si>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</si>
  <si>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</si>
  <si>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탄환 구경 보정치</t>
    <phoneticPr fontId="8" type="noConversion"/>
  </si>
  <si>
    <t>무기 이름별 기본 속성</t>
    <phoneticPr fontId="8" type="noConversion"/>
  </si>
  <si>
    <t>5.56mm</t>
    <phoneticPr fontId="8" type="noConversion"/>
  </si>
  <si>
    <t>7.62mm</t>
    <phoneticPr fontId="8" type="noConversion"/>
  </si>
  <si>
    <t>12.7mm</t>
    <phoneticPr fontId="8" type="noConversion"/>
  </si>
  <si>
    <t>20mm</t>
    <phoneticPr fontId="8" type="noConversion"/>
  </si>
  <si>
    <t>40mm</t>
    <phoneticPr fontId="8" type="noConversion"/>
  </si>
  <si>
    <t>55mm</t>
    <phoneticPr fontId="8" type="noConversion"/>
  </si>
  <si>
    <t>155mm</t>
    <phoneticPr fontId="8" type="noConversion"/>
  </si>
  <si>
    <r>
      <rPr>
        <sz val="10"/>
        <color rgb="FF000000"/>
        <rFont val="맑은 고딕"/>
        <family val="3"/>
        <charset val="129"/>
      </rPr>
      <t>피해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범위</t>
    </r>
    <phoneticPr fontId="8" type="noConversion"/>
  </si>
  <si>
    <r>
      <rPr>
        <sz val="10"/>
        <color rgb="FF000000"/>
        <rFont val="맑은 고딕"/>
        <family val="3"/>
        <charset val="129"/>
      </rPr>
      <t>탄환개수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</si>
  <si>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r>
      <rPr>
        <sz val="10"/>
        <color rgb="FF000000"/>
        <rFont val="맑은 고딕"/>
        <family val="3"/>
        <charset val="129"/>
      </rPr>
      <t>지속시간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</si>
  <si>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t>none</t>
    <phoneticPr fontId="8" type="noConversion"/>
  </si>
  <si>
    <t>81mm</t>
    <phoneticPr fontId="8" type="noConversion"/>
  </si>
  <si>
    <t>105mm</t>
    <phoneticPr fontId="8" type="noConversion"/>
  </si>
  <si>
    <t>240mm</t>
    <phoneticPr fontId="8" type="noConversion"/>
  </si>
  <si>
    <t>내부색인(없으면 none 입력)</t>
    <phoneticPr fontId="8" type="noConversion"/>
  </si>
  <si>
    <t>기관포</t>
    <phoneticPr fontId="8" type="noConversion"/>
  </si>
  <si>
    <t>id구별</t>
    <phoneticPr fontId="8" type="noConversion"/>
  </si>
  <si>
    <t>적힐 이름</t>
    <phoneticPr fontId="8" type="noConversion"/>
  </si>
  <si>
    <t>Am</t>
    <phoneticPr fontId="8" type="noConversion"/>
  </si>
  <si>
    <t>Sh</t>
    <phoneticPr fontId="8" type="noConversion"/>
  </si>
  <si>
    <t>Ms</t>
    <phoneticPr fontId="8" type="noConversion"/>
  </si>
  <si>
    <t>내부색인</t>
    <phoneticPr fontId="8" type="noConversion"/>
  </si>
  <si>
    <t>대공포</t>
    <phoneticPr fontId="8" type="noConversion"/>
  </si>
  <si>
    <t>유탄 포탑</t>
    <phoneticPr fontId="8" type="noConversion"/>
  </si>
  <si>
    <t>직사포</t>
    <phoneticPr fontId="8" type="noConversion"/>
  </si>
  <si>
    <t>바주카포 발사대</t>
    <phoneticPr fontId="8" type="noConversion"/>
  </si>
  <si>
    <t>휴대용 대공 미사일 발사대</t>
  </si>
  <si>
    <t>휴대용 대공 미사일 발사대</t>
    <phoneticPr fontId="8" type="noConversion"/>
  </si>
  <si>
    <t>쌍열 기관포</t>
  </si>
  <si>
    <t>쌍열 기관포</t>
    <phoneticPr fontId="8" type="noConversion"/>
  </si>
  <si>
    <t>쌍열 대공포</t>
    <phoneticPr fontId="8" type="noConversion"/>
  </si>
  <si>
    <t>박격포탑</t>
    <phoneticPr fontId="8" type="noConversion"/>
  </si>
  <si>
    <t>함포</t>
    <phoneticPr fontId="8" type="noConversion"/>
  </si>
  <si>
    <t>곡사포</t>
  </si>
  <si>
    <t>곡사포</t>
    <phoneticPr fontId="8" type="noConversion"/>
  </si>
  <si>
    <t>샷건포탑</t>
  </si>
  <si>
    <t>샷건포탑</t>
    <phoneticPr fontId="8" type="noConversion"/>
  </si>
  <si>
    <t>화염방사기</t>
  </si>
  <si>
    <t>화염방사기</t>
    <phoneticPr fontId="8" type="noConversion"/>
  </si>
  <si>
    <t>네이팜 미사일 발사대</t>
  </si>
  <si>
    <t>네이팜 미사일 발사대</t>
    <phoneticPr fontId="8" type="noConversion"/>
  </si>
  <si>
    <t>벙커버스터 미사일 발사대</t>
  </si>
  <si>
    <t>벙커버스터 미사일 발사대</t>
    <phoneticPr fontId="8" type="noConversion"/>
  </si>
  <si>
    <t>액화질소 살포 미사일 발사대</t>
  </si>
  <si>
    <t>액화질소 살포 미사일 발사대</t>
    <phoneticPr fontId="8" type="noConversion"/>
  </si>
  <si>
    <t>blast</t>
  </si>
  <si>
    <t>pierce</t>
  </si>
  <si>
    <t>shot</t>
  </si>
  <si>
    <t>curved</t>
  </si>
  <si>
    <t>debuff</t>
  </si>
  <si>
    <t>연막탄 발사기</t>
  </si>
  <si>
    <t>연막탄 발사기</t>
    <phoneticPr fontId="8" type="noConversion"/>
  </si>
  <si>
    <t>ammo</t>
  </si>
  <si>
    <t>shell</t>
  </si>
  <si>
    <t>missile</t>
  </si>
  <si>
    <t>L</t>
  </si>
  <si>
    <t>F</t>
  </si>
  <si>
    <t>normal</t>
  </si>
  <si>
    <t>armored</t>
  </si>
  <si>
    <t>slow</t>
  </si>
  <si>
    <t>stun</t>
  </si>
  <si>
    <t>deflow</t>
  </si>
  <si>
    <t>dots</t>
  </si>
  <si>
    <t>head</t>
  </si>
  <si>
    <t>circle</t>
  </si>
  <si>
    <t>target</t>
  </si>
  <si>
    <t>triangle</t>
  </si>
  <si>
    <r>
      <rPr>
        <sz val="10"/>
        <color rgb="FF000000"/>
        <rFont val="맑은 고딕"/>
        <family val="2"/>
        <charset val="129"/>
      </rPr>
      <t>폭발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범위</t>
    </r>
    <phoneticPr fontId="8" type="noConversion"/>
  </si>
  <si>
    <t>폭발 범위</t>
    <phoneticPr fontId="8" type="noConversion"/>
  </si>
  <si>
    <r>
      <rPr>
        <sz val="10"/>
        <color rgb="FF000000"/>
        <rFont val="맑은 고딕"/>
        <family val="2"/>
        <charset val="129"/>
      </rPr>
      <t>폭발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범위</t>
    </r>
    <phoneticPr fontId="8" type="noConversion"/>
  </si>
  <si>
    <r>
      <rPr>
        <sz val="10"/>
        <color rgb="FF000000"/>
        <rFont val="맑은 고딕"/>
        <family val="2"/>
        <charset val="129"/>
      </rPr>
      <t>폭발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범위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보정치</t>
    </r>
    <phoneticPr fontId="8" type="noConversion"/>
  </si>
  <si>
    <t>T1</t>
  </si>
  <si>
    <t>T1</t>
    <phoneticPr fontId="8" type="noConversion"/>
  </si>
  <si>
    <t>녹슨</t>
  </si>
  <si>
    <t>녹슨</t>
    <phoneticPr fontId="8" type="noConversion"/>
  </si>
  <si>
    <t>5.56mm</t>
  </si>
  <si>
    <t>7.62mm</t>
  </si>
  <si>
    <t>12.7mm</t>
  </si>
  <si>
    <t>20mm</t>
  </si>
  <si>
    <t>T2</t>
    <phoneticPr fontId="8" type="noConversion"/>
  </si>
  <si>
    <t>T2</t>
    <phoneticPr fontId="8" type="noConversion"/>
  </si>
  <si>
    <t>T3</t>
    <phoneticPr fontId="8" type="noConversion"/>
  </si>
  <si>
    <t>T3</t>
    <phoneticPr fontId="8" type="noConversion"/>
  </si>
  <si>
    <t>T4</t>
    <phoneticPr fontId="8" type="noConversion"/>
  </si>
  <si>
    <t>T4</t>
    <phoneticPr fontId="8" type="noConversion"/>
  </si>
  <si>
    <t>T5</t>
    <phoneticPr fontId="8" type="noConversion"/>
  </si>
  <si>
    <t>T5</t>
    <phoneticPr fontId="8" type="noConversion"/>
  </si>
  <si>
    <t>T6</t>
    <phoneticPr fontId="8" type="noConversion"/>
  </si>
  <si>
    <t>T7</t>
    <phoneticPr fontId="8" type="noConversion"/>
  </si>
  <si>
    <t>T8</t>
    <phoneticPr fontId="8" type="noConversion"/>
  </si>
  <si>
    <t>T9</t>
    <phoneticPr fontId="8" type="noConversion"/>
  </si>
  <si>
    <t>none</t>
    <phoneticPr fontId="8" type="noConversion"/>
  </si>
  <si>
    <t>5.56mm</t>
    <phoneticPr fontId="8" type="noConversion"/>
  </si>
  <si>
    <t>7.62mm</t>
    <phoneticPr fontId="8" type="noConversion"/>
  </si>
  <si>
    <t>12.7mm</t>
    <phoneticPr fontId="8" type="noConversion"/>
  </si>
  <si>
    <t>20mm</t>
    <phoneticPr fontId="8" type="noConversion"/>
  </si>
  <si>
    <t>40mm</t>
  </si>
  <si>
    <t>55mm</t>
  </si>
  <si>
    <t>81mm</t>
  </si>
  <si>
    <t>105mm</t>
  </si>
  <si>
    <t>155mm</t>
  </si>
  <si>
    <t>240mm</t>
  </si>
  <si>
    <t>T10</t>
    <phoneticPr fontId="8" type="noConversion"/>
  </si>
  <si>
    <t>40mm</t>
    <phoneticPr fontId="8" type="noConversion"/>
  </si>
  <si>
    <t>55mm</t>
    <phoneticPr fontId="8" type="noConversion"/>
  </si>
  <si>
    <t>81mm</t>
    <phoneticPr fontId="8" type="noConversion"/>
  </si>
  <si>
    <t>105mm</t>
    <phoneticPr fontId="8" type="noConversion"/>
  </si>
  <si>
    <t>155mm</t>
    <phoneticPr fontId="8" type="noConversion"/>
  </si>
  <si>
    <t>240mm</t>
    <phoneticPr fontId="8" type="noConversion"/>
  </si>
  <si>
    <t>none</t>
  </si>
  <si>
    <t>대공포</t>
    <phoneticPr fontId="8" type="noConversion"/>
  </si>
  <si>
    <t>유탄 포탑</t>
    <phoneticPr fontId="8" type="noConversion"/>
  </si>
  <si>
    <t>직사포</t>
    <phoneticPr fontId="8" type="noConversion"/>
  </si>
  <si>
    <t>바주카포 발사대</t>
    <phoneticPr fontId="8" type="noConversion"/>
  </si>
  <si>
    <t>휴대용 대공 미사일 발사대</t>
    <phoneticPr fontId="8" type="noConversion"/>
  </si>
  <si>
    <t>쌍열 대공포</t>
    <phoneticPr fontId="8" type="noConversion"/>
  </si>
  <si>
    <t>박격포탑</t>
    <phoneticPr fontId="8" type="noConversion"/>
  </si>
  <si>
    <t>함포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</si>
</sst>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&quot;Malgun Gothic&quot;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&quot;Malgun Gothic&quot;"/>
      <family val="3"/>
      <charset val="129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000000"/>
      <name val="Segoe UI Symbol"/>
      <family val="2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9" fillId="0" borderId="0"/>
  </cellStyleXfs>
  <cellXfs count="6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7" fillId="4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/>
    <xf numFmtId="0" fontId="10" fillId="0" borderId="0" xfId="0" applyFont="1"/>
    <xf numFmtId="0" fontId="15" fillId="4" borderId="1" xfId="0" applyFont="1" applyFill="1" applyBorder="1"/>
    <xf numFmtId="0" fontId="10" fillId="0" borderId="9" xfId="0" applyFont="1" applyBorder="1"/>
    <xf numFmtId="0" fontId="0" fillId="12" borderId="9" xfId="0" applyFill="1" applyBorder="1"/>
    <xf numFmtId="0" fontId="16" fillId="12" borderId="9" xfId="0" applyFont="1" applyFill="1" applyBorder="1"/>
    <xf numFmtId="0" fontId="10" fillId="13" borderId="9" xfId="0" applyFont="1" applyFill="1" applyBorder="1"/>
    <xf numFmtId="0" fontId="11" fillId="13" borderId="9" xfId="0" applyFont="1" applyFill="1" applyBorder="1"/>
    <xf numFmtId="0" fontId="16" fillId="13" borderId="9" xfId="0" applyFont="1" applyFill="1" applyBorder="1"/>
    <xf numFmtId="0" fontId="0" fillId="0" borderId="5" xfId="0" applyBorder="1"/>
    <xf numFmtId="0" fontId="11" fillId="0" borderId="5" xfId="0" applyFont="1" applyBorder="1"/>
    <xf numFmtId="0" fontId="2" fillId="2" borderId="6" xfId="0" applyFont="1" applyFill="1" applyBorder="1"/>
    <xf numFmtId="0" fontId="3" fillId="10" borderId="7" xfId="0" applyFont="1" applyFill="1" applyBorder="1" applyAlignment="1">
      <alignment vertical="center"/>
    </xf>
    <xf numFmtId="0" fontId="3" fillId="10" borderId="7" xfId="1" applyFont="1" applyFill="1" applyBorder="1" applyAlignment="1">
      <alignment vertical="center"/>
    </xf>
    <xf numFmtId="0" fontId="17" fillId="10" borderId="7" xfId="1" applyFont="1" applyFill="1" applyBorder="1" applyAlignment="1">
      <alignment vertical="center"/>
    </xf>
    <xf numFmtId="0" fontId="3" fillId="10" borderId="8" xfId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11" fillId="12" borderId="9" xfId="0" applyFont="1" applyFill="1" applyBorder="1"/>
    <xf numFmtId="0" fontId="14" fillId="4" borderId="1" xfId="0" applyFont="1" applyFill="1" applyBorder="1"/>
    <xf numFmtId="0" fontId="0" fillId="0" borderId="13" xfId="0" applyBorder="1"/>
    <xf numFmtId="0" fontId="2" fillId="2" borderId="14" xfId="0" applyFont="1" applyFill="1" applyBorder="1"/>
    <xf numFmtId="0" fontId="10" fillId="0" borderId="0" xfId="0" applyFont="1" applyAlignment="1">
      <alignment vertical="top"/>
    </xf>
    <xf numFmtId="0" fontId="17" fillId="10" borderId="7" xfId="0" applyFont="1" applyFill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5" fillId="5" borderId="14" xfId="0" applyFont="1" applyFill="1" applyBorder="1"/>
    <xf numFmtId="0" fontId="5" fillId="5" borderId="16" xfId="0" applyFont="1" applyFill="1" applyBorder="1"/>
    <xf numFmtId="0" fontId="11" fillId="14" borderId="17" xfId="0" applyFont="1" applyFill="1" applyBorder="1"/>
    <xf numFmtId="0" fontId="5" fillId="5" borderId="18" xfId="0" applyFont="1" applyFill="1" applyBorder="1"/>
    <xf numFmtId="0" fontId="19" fillId="12" borderId="9" xfId="0" applyFont="1" applyFill="1" applyBorder="1"/>
    <xf numFmtId="0" fontId="11" fillId="11" borderId="9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4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4" fillId="7" borderId="2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/>
    </xf>
    <xf numFmtId="0" fontId="11" fillId="11" borderId="11" xfId="0" applyFont="1" applyFill="1" applyBorder="1" applyAlignment="1">
      <alignment horizontal="center"/>
    </xf>
    <xf numFmtId="0" fontId="11" fillId="11" borderId="12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20" fillId="12" borderId="9" xfId="0" applyFont="1" applyFill="1" applyBorder="1"/>
    <xf numFmtId="0" fontId="16" fillId="11" borderId="9" xfId="0" applyFont="1" applyFill="1" applyBorder="1" applyAlignment="1">
      <alignment horizontal="center"/>
    </xf>
    <xf numFmtId="0" fontId="16" fillId="0" borderId="9" xfId="0" applyFont="1" applyBorder="1"/>
    <xf numFmtId="0" fontId="0" fillId="0" borderId="9" xfId="0" applyBorder="1"/>
  </cellXfs>
  <cellStyles count="2">
    <cellStyle name="Normal" xfId="1" xr:uid="{35CBD71F-68C0-4788-8906-A64C81508B3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showGridLines="0" workbookViewId="0">
      <selection activeCell="E18" sqref="E18"/>
    </sheetView>
  </sheetViews>
  <sheetFormatPr defaultColWidth="12.5703125" defaultRowHeight="15.75" customHeight="1"/>
  <cols>
    <col min="1" max="1" width="1.28515625" customWidth="1"/>
    <col min="3" max="3" width="38.42578125" customWidth="1"/>
    <col min="4" max="4" width="27.42578125" customWidth="1"/>
    <col min="5" max="5" width="17.7109375" customWidth="1"/>
    <col min="6" max="6" width="8.28515625" customWidth="1"/>
    <col min="7" max="7" width="21.42578125" customWidth="1"/>
    <col min="8" max="8" width="104" customWidth="1"/>
  </cols>
  <sheetData>
    <row r="1" spans="1:8" ht="6" customHeight="1">
      <c r="A1" s="1"/>
      <c r="B1" s="1"/>
    </row>
    <row r="2" spans="1:8" ht="15">
      <c r="A2" s="1"/>
      <c r="B2" s="1" t="s">
        <v>0</v>
      </c>
    </row>
    <row r="3" spans="1:8" ht="15">
      <c r="A3" s="1"/>
      <c r="B3" s="1"/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ht="15">
      <c r="A4" s="1"/>
      <c r="B4" s="1"/>
      <c r="C4" s="49" t="s">
        <v>73</v>
      </c>
      <c r="D4" s="4" t="s">
        <v>7</v>
      </c>
      <c r="E4" s="5" t="s">
        <v>8</v>
      </c>
      <c r="F4" s="6" t="s">
        <v>9</v>
      </c>
      <c r="G4" s="4" t="s">
        <v>10</v>
      </c>
      <c r="H4" s="4" t="s">
        <v>11</v>
      </c>
    </row>
    <row r="5" spans="1:8" ht="15">
      <c r="A5" s="1"/>
      <c r="B5" s="1"/>
      <c r="C5" s="50"/>
      <c r="D5" s="4" t="s">
        <v>12</v>
      </c>
      <c r="E5" s="5" t="s">
        <v>13</v>
      </c>
      <c r="F5" s="6" t="s">
        <v>9</v>
      </c>
      <c r="G5" s="4" t="s">
        <v>14</v>
      </c>
      <c r="H5" s="4" t="s">
        <v>15</v>
      </c>
    </row>
    <row r="6" spans="1:8" ht="16.5">
      <c r="A6" s="1"/>
      <c r="B6" s="1"/>
      <c r="C6" s="50"/>
      <c r="D6" s="4" t="s">
        <v>16</v>
      </c>
      <c r="E6" s="14" t="s">
        <v>137</v>
      </c>
      <c r="F6" s="6" t="s">
        <v>9</v>
      </c>
      <c r="G6" s="4" t="s">
        <v>122</v>
      </c>
      <c r="H6" s="12" t="s">
        <v>121</v>
      </c>
    </row>
    <row r="7" spans="1:8" ht="15">
      <c r="A7" s="1"/>
      <c r="B7" s="1"/>
      <c r="C7" s="50"/>
      <c r="D7" s="4" t="s">
        <v>17</v>
      </c>
      <c r="E7" s="5" t="s">
        <v>18</v>
      </c>
      <c r="F7" s="6" t="s">
        <v>19</v>
      </c>
      <c r="G7" s="4">
        <v>0</v>
      </c>
      <c r="H7" s="4" t="s">
        <v>20</v>
      </c>
    </row>
    <row r="8" spans="1:8" ht="15">
      <c r="A8" s="1"/>
      <c r="B8" s="1"/>
      <c r="C8" s="50"/>
      <c r="D8" s="4" t="s">
        <v>21</v>
      </c>
      <c r="E8" s="5" t="s">
        <v>22</v>
      </c>
      <c r="F8" s="6" t="s">
        <v>23</v>
      </c>
      <c r="G8" s="4" t="s">
        <v>24</v>
      </c>
      <c r="H8" s="4" t="s">
        <v>25</v>
      </c>
    </row>
    <row r="9" spans="1:8" ht="15">
      <c r="A9" s="1"/>
      <c r="B9" s="1"/>
      <c r="C9" s="50"/>
      <c r="D9" s="4" t="s">
        <v>26</v>
      </c>
      <c r="E9" s="5" t="s">
        <v>27</v>
      </c>
      <c r="F9" s="6" t="s">
        <v>23</v>
      </c>
      <c r="G9" s="4" t="s">
        <v>24</v>
      </c>
      <c r="H9" s="4" t="s">
        <v>28</v>
      </c>
    </row>
    <row r="10" spans="1:8" ht="16.5">
      <c r="A10" s="1"/>
      <c r="B10" s="1"/>
      <c r="C10" s="50"/>
      <c r="D10" s="4" t="s">
        <v>88</v>
      </c>
      <c r="E10" s="32" t="s">
        <v>134</v>
      </c>
      <c r="F10" s="6" t="s">
        <v>9</v>
      </c>
      <c r="G10" s="4" t="s">
        <v>29</v>
      </c>
      <c r="H10" s="12" t="s">
        <v>93</v>
      </c>
    </row>
    <row r="11" spans="1:8">
      <c r="A11" s="1"/>
      <c r="B11" s="1"/>
      <c r="C11" s="50"/>
      <c r="D11" s="4" t="s">
        <v>30</v>
      </c>
      <c r="E11" s="5" t="s">
        <v>31</v>
      </c>
      <c r="F11" s="6" t="s">
        <v>9</v>
      </c>
      <c r="G11" s="4" t="s">
        <v>32</v>
      </c>
      <c r="H11" s="12" t="s">
        <v>123</v>
      </c>
    </row>
    <row r="12" spans="1:8" ht="16.5">
      <c r="A12" s="1"/>
      <c r="B12" s="1"/>
      <c r="C12" s="50"/>
      <c r="D12" s="4" t="s">
        <v>33</v>
      </c>
      <c r="E12" s="32" t="s">
        <v>135</v>
      </c>
      <c r="F12" s="6" t="s">
        <v>23</v>
      </c>
      <c r="G12" s="4" t="s">
        <v>24</v>
      </c>
      <c r="H12" s="4" t="s">
        <v>34</v>
      </c>
    </row>
    <row r="13" spans="1:8" ht="15">
      <c r="A13" s="1"/>
      <c r="B13" s="1"/>
      <c r="C13" s="50"/>
      <c r="D13" s="4" t="s">
        <v>35</v>
      </c>
      <c r="E13" s="5" t="s">
        <v>36</v>
      </c>
      <c r="F13" s="6" t="s">
        <v>23</v>
      </c>
      <c r="G13" s="4" t="s">
        <v>24</v>
      </c>
      <c r="H13" s="4" t="s">
        <v>37</v>
      </c>
    </row>
    <row r="14" spans="1:8">
      <c r="A14" s="1"/>
      <c r="B14" s="1"/>
      <c r="C14" s="50"/>
      <c r="D14" s="4" t="s">
        <v>38</v>
      </c>
      <c r="E14" s="7" t="s">
        <v>39</v>
      </c>
      <c r="F14" s="6" t="s">
        <v>23</v>
      </c>
      <c r="G14" s="4" t="s">
        <v>24</v>
      </c>
      <c r="H14" s="4" t="s">
        <v>40</v>
      </c>
    </row>
    <row r="15" spans="1:8" ht="15">
      <c r="A15" s="1"/>
      <c r="B15" s="1"/>
      <c r="C15" s="50"/>
      <c r="D15" s="4" t="s">
        <v>41</v>
      </c>
      <c r="E15" s="5" t="s">
        <v>42</v>
      </c>
      <c r="F15" s="6" t="s">
        <v>43</v>
      </c>
      <c r="G15" s="4">
        <v>0</v>
      </c>
      <c r="H15" s="4" t="s">
        <v>44</v>
      </c>
    </row>
    <row r="16" spans="1:8" ht="16.5">
      <c r="A16" s="1"/>
      <c r="B16" s="1"/>
      <c r="C16" s="50"/>
      <c r="D16" s="4" t="s">
        <v>45</v>
      </c>
      <c r="E16" s="32" t="s">
        <v>138</v>
      </c>
      <c r="F16" s="6" t="s">
        <v>43</v>
      </c>
      <c r="G16" s="4">
        <v>0</v>
      </c>
      <c r="H16" s="4" t="s">
        <v>46</v>
      </c>
    </row>
    <row r="17" spans="1:8" ht="15">
      <c r="A17" s="1"/>
      <c r="B17" s="1"/>
      <c r="C17" s="51"/>
      <c r="D17" s="4" t="s">
        <v>47</v>
      </c>
      <c r="E17" s="5" t="s">
        <v>48</v>
      </c>
      <c r="F17" s="6" t="s">
        <v>9</v>
      </c>
      <c r="G17" s="4" t="s">
        <v>49</v>
      </c>
      <c r="H17" s="4" t="s">
        <v>50</v>
      </c>
    </row>
    <row r="18" spans="1:8" ht="16.5">
      <c r="A18" s="1"/>
      <c r="B18" s="1"/>
      <c r="C18" s="8" t="s">
        <v>51</v>
      </c>
      <c r="D18" s="4" t="s">
        <v>52</v>
      </c>
      <c r="E18" s="32" t="s">
        <v>234</v>
      </c>
      <c r="F18" s="6" t="s">
        <v>23</v>
      </c>
      <c r="G18" s="4" t="s">
        <v>24</v>
      </c>
      <c r="H18" s="4" t="s">
        <v>53</v>
      </c>
    </row>
    <row r="19" spans="1:8" ht="15">
      <c r="A19" s="1"/>
      <c r="B19" s="1"/>
      <c r="C19" s="52" t="s">
        <v>70</v>
      </c>
      <c r="D19" s="4" t="s">
        <v>126</v>
      </c>
      <c r="E19" s="5" t="s">
        <v>54</v>
      </c>
      <c r="F19" s="6" t="s">
        <v>9</v>
      </c>
      <c r="G19" s="4" t="s">
        <v>55</v>
      </c>
      <c r="H19" s="4" t="s">
        <v>56</v>
      </c>
    </row>
    <row r="20" spans="1:8" ht="15">
      <c r="A20" s="1"/>
      <c r="B20" s="1"/>
      <c r="C20" s="50"/>
      <c r="D20" t="s">
        <v>103</v>
      </c>
      <c r="E20" s="5" t="s">
        <v>57</v>
      </c>
      <c r="F20" s="6" t="s">
        <v>9</v>
      </c>
      <c r="G20" s="4" t="s">
        <v>58</v>
      </c>
      <c r="H20" s="4" t="s">
        <v>59</v>
      </c>
    </row>
    <row r="21" spans="1:8" ht="15">
      <c r="A21" s="1"/>
      <c r="B21" s="1"/>
      <c r="C21" s="51"/>
      <c r="D21" s="4" t="s">
        <v>60</v>
      </c>
      <c r="E21" s="5" t="s">
        <v>61</v>
      </c>
      <c r="F21" s="6" t="s">
        <v>9</v>
      </c>
      <c r="G21" s="4" t="s">
        <v>62</v>
      </c>
      <c r="H21" s="4" t="s">
        <v>63</v>
      </c>
    </row>
    <row r="22" spans="1:8" ht="15">
      <c r="A22" s="1"/>
      <c r="B22" s="1"/>
      <c r="C22" s="9" t="s">
        <v>71</v>
      </c>
      <c r="D22" s="4" t="s">
        <v>64</v>
      </c>
      <c r="E22" s="5" t="s">
        <v>65</v>
      </c>
      <c r="F22" s="6" t="s">
        <v>23</v>
      </c>
      <c r="G22" s="4" t="s">
        <v>24</v>
      </c>
      <c r="H22" s="4" t="s">
        <v>66</v>
      </c>
    </row>
    <row r="23" spans="1:8" ht="15">
      <c r="A23" s="1"/>
      <c r="B23" s="1"/>
      <c r="C23" s="10" t="s">
        <v>72</v>
      </c>
      <c r="D23" s="4" t="s">
        <v>67</v>
      </c>
      <c r="E23" s="5" t="s">
        <v>68</v>
      </c>
      <c r="F23" s="6" t="s">
        <v>43</v>
      </c>
      <c r="G23" s="4">
        <v>0</v>
      </c>
      <c r="H23" s="4" t="s">
        <v>69</v>
      </c>
    </row>
    <row r="24" spans="1:8" ht="15">
      <c r="A24" s="1"/>
      <c r="B24" s="1"/>
    </row>
    <row r="25" spans="1:8" ht="15">
      <c r="A25" s="1"/>
      <c r="B25" s="1"/>
    </row>
    <row r="26" spans="1:8" ht="15">
      <c r="A26" s="1"/>
      <c r="B26" s="1"/>
    </row>
    <row r="27" spans="1:8" ht="15">
      <c r="A27" s="1"/>
      <c r="B27" s="1"/>
    </row>
    <row r="28" spans="1:8" ht="15">
      <c r="A28" s="1"/>
      <c r="B28" s="1"/>
    </row>
    <row r="29" spans="1:8" ht="15">
      <c r="A29" s="1"/>
      <c r="B29" s="1"/>
    </row>
    <row r="30" spans="1:8" ht="15">
      <c r="A30" s="1"/>
      <c r="B30" s="1"/>
    </row>
    <row r="31" spans="1:8" ht="15">
      <c r="A31" s="1"/>
      <c r="B31" s="1"/>
    </row>
    <row r="32" spans="1:8" ht="15">
      <c r="A32" s="1"/>
      <c r="B32" s="1"/>
    </row>
    <row r="33" spans="1:2" ht="15">
      <c r="A33" s="1"/>
      <c r="B33" s="1"/>
    </row>
    <row r="34" spans="1:2" ht="15">
      <c r="A34" s="1"/>
      <c r="B34" s="1"/>
    </row>
    <row r="35" spans="1:2" ht="15">
      <c r="A35" s="1"/>
      <c r="B35" s="1"/>
    </row>
    <row r="36" spans="1:2" ht="15">
      <c r="A36" s="1"/>
      <c r="B36" s="1"/>
    </row>
    <row r="37" spans="1:2" ht="15">
      <c r="A37" s="1"/>
      <c r="B37" s="1"/>
    </row>
    <row r="38" spans="1:2" ht="15">
      <c r="A38" s="1"/>
      <c r="B38" s="1"/>
    </row>
    <row r="39" spans="1:2" ht="15">
      <c r="A39" s="1"/>
      <c r="B39" s="1"/>
    </row>
    <row r="40" spans="1:2" ht="15">
      <c r="A40" s="1"/>
      <c r="B40" s="1"/>
    </row>
    <row r="41" spans="1:2" ht="15">
      <c r="A41" s="1"/>
      <c r="B41" s="1"/>
    </row>
    <row r="42" spans="1:2" ht="15">
      <c r="A42" s="1"/>
      <c r="B42" s="1"/>
    </row>
    <row r="43" spans="1:2" ht="15">
      <c r="A43" s="1"/>
      <c r="B43" s="1"/>
    </row>
    <row r="44" spans="1:2" ht="15">
      <c r="A44" s="1"/>
      <c r="B44" s="1"/>
    </row>
    <row r="45" spans="1:2" ht="15">
      <c r="A45" s="1"/>
      <c r="B45" s="1"/>
    </row>
    <row r="46" spans="1:2" ht="15">
      <c r="A46" s="1"/>
      <c r="B46" s="1"/>
    </row>
    <row r="47" spans="1:2" ht="15">
      <c r="A47" s="1"/>
      <c r="B47" s="1"/>
    </row>
    <row r="48" spans="1:2" ht="15">
      <c r="A48" s="1"/>
      <c r="B48" s="1"/>
    </row>
    <row r="49" spans="1:2" ht="15">
      <c r="A49" s="1"/>
      <c r="B49" s="1"/>
    </row>
    <row r="50" spans="1:2" ht="15">
      <c r="A50" s="1"/>
      <c r="B50" s="1"/>
    </row>
    <row r="51" spans="1:2" ht="15">
      <c r="A51" s="1"/>
      <c r="B51" s="1"/>
    </row>
    <row r="52" spans="1:2" ht="15">
      <c r="A52" s="1"/>
      <c r="B52" s="1"/>
    </row>
    <row r="53" spans="1:2" ht="15">
      <c r="A53" s="1"/>
      <c r="B53" s="1"/>
    </row>
    <row r="54" spans="1:2" ht="15">
      <c r="A54" s="1"/>
      <c r="B54" s="1"/>
    </row>
    <row r="55" spans="1:2" ht="15">
      <c r="A55" s="1"/>
      <c r="B55" s="1"/>
    </row>
    <row r="56" spans="1:2" ht="15">
      <c r="A56" s="1"/>
      <c r="B56" s="1"/>
    </row>
    <row r="57" spans="1:2" ht="15">
      <c r="A57" s="1"/>
      <c r="B57" s="1"/>
    </row>
    <row r="58" spans="1:2" ht="15">
      <c r="A58" s="1"/>
      <c r="B58" s="1"/>
    </row>
    <row r="59" spans="1:2" ht="15">
      <c r="A59" s="1"/>
      <c r="B59" s="1"/>
    </row>
    <row r="60" spans="1:2" ht="15">
      <c r="A60" s="1"/>
      <c r="B60" s="1"/>
    </row>
    <row r="61" spans="1:2" ht="15">
      <c r="A61" s="1"/>
      <c r="B61" s="1"/>
    </row>
    <row r="62" spans="1:2" ht="15">
      <c r="A62" s="1"/>
      <c r="B62" s="1"/>
    </row>
    <row r="63" spans="1:2" ht="15">
      <c r="A63" s="1"/>
      <c r="B63" s="1"/>
    </row>
    <row r="64" spans="1:2" ht="15">
      <c r="A64" s="1"/>
      <c r="B64" s="1"/>
    </row>
    <row r="65" spans="1:2" ht="15">
      <c r="A65" s="1"/>
      <c r="B65" s="1"/>
    </row>
    <row r="66" spans="1:2" ht="15">
      <c r="A66" s="1"/>
      <c r="B66" s="1"/>
    </row>
    <row r="67" spans="1:2" ht="15">
      <c r="A67" s="1"/>
      <c r="B67" s="1"/>
    </row>
    <row r="68" spans="1:2" ht="15">
      <c r="A68" s="1"/>
      <c r="B68" s="1"/>
    </row>
    <row r="69" spans="1:2" ht="15">
      <c r="A69" s="1"/>
      <c r="B69" s="1"/>
    </row>
    <row r="70" spans="1:2" ht="15">
      <c r="A70" s="1"/>
      <c r="B70" s="1"/>
    </row>
    <row r="71" spans="1:2" ht="15">
      <c r="A71" s="1"/>
      <c r="B71" s="1"/>
    </row>
    <row r="72" spans="1:2" ht="15">
      <c r="A72" s="1"/>
      <c r="B72" s="1"/>
    </row>
    <row r="73" spans="1:2" ht="15">
      <c r="A73" s="1"/>
      <c r="B73" s="1"/>
    </row>
    <row r="74" spans="1:2" ht="15">
      <c r="A74" s="1"/>
      <c r="B74" s="1"/>
    </row>
    <row r="75" spans="1:2" ht="15">
      <c r="A75" s="1"/>
      <c r="B75" s="1"/>
    </row>
    <row r="76" spans="1:2" ht="15">
      <c r="A76" s="1"/>
      <c r="B76" s="1"/>
    </row>
    <row r="77" spans="1:2" ht="15">
      <c r="A77" s="1"/>
      <c r="B77" s="1"/>
    </row>
    <row r="78" spans="1:2" ht="15">
      <c r="A78" s="1"/>
      <c r="B78" s="1"/>
    </row>
    <row r="79" spans="1:2" ht="15">
      <c r="A79" s="1"/>
      <c r="B79" s="1"/>
    </row>
    <row r="80" spans="1:2" ht="15">
      <c r="A80" s="1"/>
      <c r="B80" s="1"/>
    </row>
    <row r="81" spans="1:2" ht="15">
      <c r="A81" s="1"/>
      <c r="B81" s="1"/>
    </row>
    <row r="82" spans="1:2" ht="15">
      <c r="A82" s="1"/>
      <c r="B82" s="1"/>
    </row>
    <row r="83" spans="1:2" ht="15">
      <c r="A83" s="1"/>
      <c r="B83" s="1"/>
    </row>
    <row r="84" spans="1:2" ht="15">
      <c r="A84" s="1"/>
      <c r="B84" s="1"/>
    </row>
    <row r="85" spans="1:2" ht="15">
      <c r="A85" s="1"/>
      <c r="B85" s="1"/>
    </row>
    <row r="86" spans="1:2" ht="15">
      <c r="A86" s="1"/>
      <c r="B86" s="1"/>
    </row>
    <row r="87" spans="1:2" ht="15">
      <c r="A87" s="1"/>
      <c r="B87" s="1"/>
    </row>
    <row r="88" spans="1:2" ht="15">
      <c r="A88" s="1"/>
      <c r="B88" s="1"/>
    </row>
    <row r="89" spans="1:2" ht="15">
      <c r="A89" s="1"/>
      <c r="B89" s="1"/>
    </row>
    <row r="90" spans="1:2" ht="15">
      <c r="A90" s="1"/>
      <c r="B90" s="1"/>
    </row>
    <row r="91" spans="1:2" ht="15">
      <c r="A91" s="1"/>
      <c r="B91" s="1"/>
    </row>
    <row r="92" spans="1:2" ht="15">
      <c r="A92" s="1"/>
      <c r="B92" s="1"/>
    </row>
    <row r="93" spans="1:2" ht="15">
      <c r="A93" s="1"/>
      <c r="B93" s="1"/>
    </row>
    <row r="94" spans="1:2" ht="15">
      <c r="A94" s="1"/>
      <c r="B94" s="1"/>
    </row>
    <row r="95" spans="1:2" ht="15">
      <c r="A95" s="1"/>
      <c r="B95" s="1"/>
    </row>
    <row r="96" spans="1:2" ht="15">
      <c r="A96" s="1"/>
      <c r="B96" s="1"/>
    </row>
    <row r="97" spans="1:2" ht="15">
      <c r="A97" s="1"/>
      <c r="B97" s="1"/>
    </row>
    <row r="98" spans="1:2" ht="15">
      <c r="A98" s="1"/>
      <c r="B98" s="1"/>
    </row>
    <row r="99" spans="1:2" ht="15">
      <c r="A99" s="1"/>
      <c r="B99" s="1"/>
    </row>
    <row r="100" spans="1:2" ht="15">
      <c r="A100" s="1"/>
      <c r="B100" s="1"/>
    </row>
    <row r="101" spans="1:2" ht="15">
      <c r="A101" s="1"/>
      <c r="B101" s="1"/>
    </row>
    <row r="102" spans="1:2" ht="15">
      <c r="A102" s="1"/>
      <c r="B102" s="1"/>
    </row>
    <row r="103" spans="1:2" ht="15">
      <c r="A103" s="1"/>
      <c r="B103" s="1"/>
    </row>
    <row r="104" spans="1:2" ht="15">
      <c r="A104" s="1"/>
      <c r="B104" s="1"/>
    </row>
    <row r="105" spans="1:2" ht="15">
      <c r="A105" s="1"/>
      <c r="B105" s="1"/>
    </row>
    <row r="106" spans="1:2" ht="15">
      <c r="A106" s="1"/>
      <c r="B106" s="1"/>
    </row>
    <row r="107" spans="1:2" ht="15">
      <c r="A107" s="1"/>
      <c r="B107" s="1"/>
    </row>
    <row r="108" spans="1:2" ht="15">
      <c r="A108" s="1"/>
      <c r="B108" s="1"/>
    </row>
    <row r="109" spans="1:2" ht="15">
      <c r="A109" s="1"/>
      <c r="B109" s="1"/>
    </row>
    <row r="110" spans="1:2" ht="15">
      <c r="A110" s="1"/>
      <c r="B110" s="1"/>
    </row>
    <row r="111" spans="1:2" ht="15">
      <c r="A111" s="1"/>
      <c r="B111" s="1"/>
    </row>
    <row r="112" spans="1:2" ht="15">
      <c r="A112" s="1"/>
      <c r="B112" s="1"/>
    </row>
    <row r="113" spans="1:2" ht="15">
      <c r="A113" s="1"/>
      <c r="B113" s="1"/>
    </row>
    <row r="114" spans="1:2" ht="15">
      <c r="A114" s="1"/>
      <c r="B114" s="1"/>
    </row>
    <row r="115" spans="1:2" ht="15">
      <c r="A115" s="1"/>
      <c r="B115" s="1"/>
    </row>
    <row r="116" spans="1:2" ht="15">
      <c r="A116" s="1"/>
      <c r="B116" s="1"/>
    </row>
    <row r="117" spans="1:2" ht="15">
      <c r="A117" s="1"/>
      <c r="B117" s="1"/>
    </row>
    <row r="118" spans="1:2" ht="15">
      <c r="A118" s="1"/>
      <c r="B118" s="1"/>
    </row>
    <row r="119" spans="1:2" ht="15">
      <c r="A119" s="1"/>
      <c r="B119" s="1"/>
    </row>
    <row r="120" spans="1:2" ht="15">
      <c r="A120" s="1"/>
      <c r="B120" s="1"/>
    </row>
    <row r="121" spans="1:2" ht="15">
      <c r="A121" s="1"/>
      <c r="B121" s="1"/>
    </row>
    <row r="122" spans="1:2" ht="15">
      <c r="A122" s="1"/>
      <c r="B122" s="1"/>
    </row>
    <row r="123" spans="1:2" ht="15">
      <c r="A123" s="1"/>
      <c r="B123" s="1"/>
    </row>
    <row r="124" spans="1:2" ht="15">
      <c r="A124" s="1"/>
      <c r="B124" s="1"/>
    </row>
    <row r="125" spans="1:2" ht="15">
      <c r="A125" s="1"/>
      <c r="B125" s="1"/>
    </row>
    <row r="126" spans="1:2" ht="15">
      <c r="A126" s="1"/>
      <c r="B126" s="1"/>
    </row>
    <row r="127" spans="1:2" ht="15">
      <c r="A127" s="1"/>
      <c r="B127" s="1"/>
    </row>
    <row r="128" spans="1:2" ht="15">
      <c r="A128" s="1"/>
      <c r="B128" s="1"/>
    </row>
    <row r="129" spans="1:2" ht="15">
      <c r="A129" s="1"/>
      <c r="B129" s="1"/>
    </row>
    <row r="130" spans="1:2" ht="15">
      <c r="A130" s="1"/>
      <c r="B130" s="1"/>
    </row>
    <row r="131" spans="1:2" ht="15">
      <c r="A131" s="1"/>
      <c r="B131" s="1"/>
    </row>
    <row r="132" spans="1:2" ht="15">
      <c r="A132" s="1"/>
      <c r="B132" s="1"/>
    </row>
    <row r="133" spans="1:2" ht="15">
      <c r="A133" s="1"/>
      <c r="B133" s="1"/>
    </row>
    <row r="134" spans="1:2" ht="15">
      <c r="A134" s="1"/>
      <c r="B134" s="1"/>
    </row>
    <row r="135" spans="1:2" ht="15">
      <c r="A135" s="1"/>
      <c r="B135" s="1"/>
    </row>
    <row r="136" spans="1:2" ht="15">
      <c r="A136" s="1"/>
      <c r="B136" s="1"/>
    </row>
    <row r="137" spans="1:2" ht="15">
      <c r="A137" s="1"/>
      <c r="B137" s="1"/>
    </row>
    <row r="138" spans="1:2" ht="15">
      <c r="A138" s="1"/>
      <c r="B138" s="1"/>
    </row>
    <row r="139" spans="1:2" ht="15">
      <c r="A139" s="1"/>
      <c r="B139" s="1"/>
    </row>
    <row r="140" spans="1:2" ht="15">
      <c r="A140" s="1"/>
      <c r="B140" s="1"/>
    </row>
    <row r="141" spans="1:2" ht="15">
      <c r="A141" s="1"/>
      <c r="B141" s="1"/>
    </row>
    <row r="142" spans="1:2" ht="15">
      <c r="A142" s="1"/>
      <c r="B142" s="1"/>
    </row>
    <row r="143" spans="1:2" ht="15">
      <c r="A143" s="1"/>
      <c r="B143" s="1"/>
    </row>
    <row r="144" spans="1:2" ht="15">
      <c r="A144" s="1"/>
      <c r="B144" s="1"/>
    </row>
    <row r="145" spans="1:2" ht="15">
      <c r="A145" s="1"/>
      <c r="B145" s="1"/>
    </row>
    <row r="146" spans="1:2" ht="15">
      <c r="A146" s="1"/>
      <c r="B146" s="1"/>
    </row>
    <row r="147" spans="1:2" ht="15">
      <c r="A147" s="1"/>
      <c r="B147" s="1"/>
    </row>
    <row r="148" spans="1:2" ht="15">
      <c r="A148" s="1"/>
      <c r="B148" s="1"/>
    </row>
    <row r="149" spans="1:2" ht="15">
      <c r="A149" s="1"/>
      <c r="B149" s="1"/>
    </row>
    <row r="150" spans="1:2" ht="15">
      <c r="A150" s="1"/>
      <c r="B150" s="1"/>
    </row>
    <row r="151" spans="1:2" ht="15">
      <c r="A151" s="1"/>
      <c r="B151" s="1"/>
    </row>
    <row r="152" spans="1:2" ht="15">
      <c r="A152" s="1"/>
      <c r="B152" s="1"/>
    </row>
    <row r="153" spans="1:2" ht="15">
      <c r="A153" s="1"/>
      <c r="B153" s="1"/>
    </row>
    <row r="154" spans="1:2" ht="15">
      <c r="A154" s="1"/>
      <c r="B154" s="1"/>
    </row>
    <row r="155" spans="1:2" ht="15">
      <c r="A155" s="1"/>
      <c r="B155" s="1"/>
    </row>
    <row r="156" spans="1:2" ht="15">
      <c r="A156" s="1"/>
      <c r="B156" s="1"/>
    </row>
    <row r="157" spans="1:2" ht="15">
      <c r="A157" s="1"/>
      <c r="B157" s="1"/>
    </row>
    <row r="158" spans="1:2" ht="15">
      <c r="A158" s="1"/>
      <c r="B158" s="1"/>
    </row>
    <row r="159" spans="1:2" ht="15">
      <c r="A159" s="1"/>
      <c r="B159" s="1"/>
    </row>
    <row r="160" spans="1:2" ht="15">
      <c r="A160" s="1"/>
      <c r="B160" s="1"/>
    </row>
    <row r="161" spans="1:2" ht="15">
      <c r="A161" s="1"/>
      <c r="B161" s="1"/>
    </row>
    <row r="162" spans="1:2" ht="15">
      <c r="A162" s="1"/>
      <c r="B162" s="1"/>
    </row>
    <row r="163" spans="1:2" ht="15">
      <c r="A163" s="1"/>
      <c r="B163" s="1"/>
    </row>
    <row r="164" spans="1:2" ht="15">
      <c r="A164" s="1"/>
      <c r="B164" s="1"/>
    </row>
    <row r="165" spans="1:2" ht="15">
      <c r="A165" s="1"/>
      <c r="B165" s="1"/>
    </row>
    <row r="166" spans="1:2" ht="15">
      <c r="A166" s="1"/>
      <c r="B166" s="1"/>
    </row>
    <row r="167" spans="1:2" ht="15">
      <c r="A167" s="1"/>
      <c r="B167" s="1"/>
    </row>
    <row r="168" spans="1:2" ht="15">
      <c r="A168" s="1"/>
      <c r="B168" s="1"/>
    </row>
    <row r="169" spans="1:2" ht="15">
      <c r="A169" s="1"/>
      <c r="B169" s="1"/>
    </row>
    <row r="170" spans="1:2" ht="15">
      <c r="A170" s="1"/>
      <c r="B170" s="1"/>
    </row>
    <row r="171" spans="1:2" ht="15">
      <c r="A171" s="1"/>
      <c r="B171" s="1"/>
    </row>
    <row r="172" spans="1:2" ht="15">
      <c r="A172" s="1"/>
      <c r="B172" s="1"/>
    </row>
    <row r="173" spans="1:2" ht="15">
      <c r="A173" s="1"/>
      <c r="B173" s="1"/>
    </row>
    <row r="174" spans="1:2" ht="15">
      <c r="A174" s="1"/>
      <c r="B174" s="1"/>
    </row>
    <row r="175" spans="1:2" ht="15">
      <c r="A175" s="1"/>
      <c r="B175" s="1"/>
    </row>
    <row r="176" spans="1:2" ht="15">
      <c r="A176" s="1"/>
      <c r="B176" s="1"/>
    </row>
    <row r="177" spans="1:2" ht="15">
      <c r="A177" s="1"/>
      <c r="B177" s="1"/>
    </row>
    <row r="178" spans="1:2" ht="15">
      <c r="A178" s="1"/>
      <c r="B178" s="1"/>
    </row>
    <row r="179" spans="1:2" ht="15">
      <c r="A179" s="1"/>
      <c r="B179" s="1"/>
    </row>
    <row r="180" spans="1:2" ht="15">
      <c r="A180" s="1"/>
      <c r="B180" s="1"/>
    </row>
    <row r="181" spans="1:2" ht="15">
      <c r="A181" s="1"/>
      <c r="B181" s="1"/>
    </row>
    <row r="182" spans="1:2" ht="15">
      <c r="A182" s="1"/>
      <c r="B182" s="1"/>
    </row>
    <row r="183" spans="1:2" ht="15">
      <c r="A183" s="1"/>
      <c r="B183" s="1"/>
    </row>
    <row r="184" spans="1:2" ht="15">
      <c r="A184" s="1"/>
      <c r="B184" s="1"/>
    </row>
    <row r="185" spans="1:2" ht="15">
      <c r="A185" s="1"/>
      <c r="B185" s="1"/>
    </row>
    <row r="186" spans="1:2" ht="15">
      <c r="A186" s="1"/>
      <c r="B186" s="1"/>
    </row>
    <row r="187" spans="1:2" ht="15">
      <c r="A187" s="1"/>
      <c r="B187" s="1"/>
    </row>
    <row r="188" spans="1:2" ht="15">
      <c r="A188" s="1"/>
      <c r="B188" s="1"/>
    </row>
    <row r="189" spans="1:2" ht="15">
      <c r="A189" s="1"/>
      <c r="B189" s="1"/>
    </row>
    <row r="190" spans="1:2" ht="15">
      <c r="A190" s="1"/>
      <c r="B190" s="1"/>
    </row>
    <row r="191" spans="1:2" ht="15">
      <c r="A191" s="1"/>
      <c r="B191" s="1"/>
    </row>
    <row r="192" spans="1:2" ht="15">
      <c r="A192" s="1"/>
      <c r="B192" s="1"/>
    </row>
    <row r="193" spans="1:2" ht="15">
      <c r="A193" s="1"/>
      <c r="B193" s="1"/>
    </row>
    <row r="194" spans="1:2" ht="15">
      <c r="A194" s="1"/>
      <c r="B194" s="1"/>
    </row>
    <row r="195" spans="1:2" ht="15">
      <c r="A195" s="1"/>
      <c r="B195" s="1"/>
    </row>
    <row r="196" spans="1:2" ht="15">
      <c r="A196" s="1"/>
      <c r="B196" s="1"/>
    </row>
    <row r="197" spans="1:2" ht="15">
      <c r="A197" s="1"/>
      <c r="B197" s="1"/>
    </row>
    <row r="198" spans="1:2" ht="15">
      <c r="A198" s="1"/>
      <c r="B198" s="1"/>
    </row>
    <row r="199" spans="1:2" ht="15">
      <c r="A199" s="1"/>
      <c r="B199" s="1"/>
    </row>
    <row r="200" spans="1:2" ht="15">
      <c r="A200" s="1"/>
      <c r="B200" s="1"/>
    </row>
    <row r="201" spans="1:2" ht="15">
      <c r="A201" s="1"/>
      <c r="B201" s="1"/>
    </row>
    <row r="202" spans="1:2" ht="15">
      <c r="A202" s="1"/>
      <c r="B202" s="1"/>
    </row>
    <row r="203" spans="1:2" ht="15">
      <c r="A203" s="1"/>
      <c r="B203" s="1"/>
    </row>
    <row r="204" spans="1:2" ht="15">
      <c r="A204" s="1"/>
      <c r="B204" s="1"/>
    </row>
    <row r="205" spans="1:2" ht="15">
      <c r="A205" s="1"/>
      <c r="B205" s="1"/>
    </row>
    <row r="206" spans="1:2" ht="15">
      <c r="A206" s="1"/>
      <c r="B206" s="1"/>
    </row>
    <row r="207" spans="1:2" ht="15">
      <c r="A207" s="1"/>
      <c r="B207" s="1"/>
    </row>
    <row r="208" spans="1:2" ht="15">
      <c r="A208" s="1"/>
      <c r="B208" s="1"/>
    </row>
    <row r="209" spans="1:2" ht="15">
      <c r="A209" s="1"/>
      <c r="B209" s="1"/>
    </row>
    <row r="210" spans="1:2" ht="15">
      <c r="A210" s="1"/>
      <c r="B210" s="1"/>
    </row>
    <row r="211" spans="1:2" ht="15">
      <c r="A211" s="1"/>
      <c r="B211" s="1"/>
    </row>
    <row r="212" spans="1:2" ht="15">
      <c r="A212" s="1"/>
      <c r="B212" s="1"/>
    </row>
    <row r="213" spans="1:2" ht="15">
      <c r="A213" s="1"/>
      <c r="B213" s="1"/>
    </row>
    <row r="214" spans="1:2" ht="15">
      <c r="A214" s="1"/>
      <c r="B214" s="1"/>
    </row>
    <row r="215" spans="1:2" ht="15">
      <c r="A215" s="1"/>
      <c r="B215" s="1"/>
    </row>
    <row r="216" spans="1:2" ht="15">
      <c r="A216" s="1"/>
      <c r="B216" s="1"/>
    </row>
    <row r="217" spans="1:2" ht="15">
      <c r="A217" s="1"/>
      <c r="B217" s="1"/>
    </row>
    <row r="218" spans="1:2" ht="15">
      <c r="A218" s="1"/>
      <c r="B218" s="1"/>
    </row>
    <row r="219" spans="1:2" ht="15">
      <c r="A219" s="1"/>
      <c r="B219" s="1"/>
    </row>
    <row r="220" spans="1:2" ht="15">
      <c r="A220" s="1"/>
      <c r="B220" s="1"/>
    </row>
    <row r="221" spans="1:2" ht="15">
      <c r="A221" s="1"/>
      <c r="B221" s="1"/>
    </row>
    <row r="222" spans="1:2" ht="15">
      <c r="A222" s="1"/>
      <c r="B222" s="1"/>
    </row>
    <row r="223" spans="1:2" ht="15">
      <c r="A223" s="1"/>
      <c r="B223" s="1"/>
    </row>
    <row r="224" spans="1:2" ht="15">
      <c r="A224" s="1"/>
      <c r="B224" s="1"/>
    </row>
    <row r="225" spans="1:2" ht="15">
      <c r="A225" s="1"/>
      <c r="B225" s="1"/>
    </row>
    <row r="226" spans="1:2" ht="15">
      <c r="A226" s="1"/>
      <c r="B226" s="1"/>
    </row>
    <row r="227" spans="1:2" ht="15">
      <c r="A227" s="1"/>
      <c r="B227" s="1"/>
    </row>
    <row r="228" spans="1:2" ht="15">
      <c r="A228" s="1"/>
      <c r="B228" s="1"/>
    </row>
    <row r="229" spans="1:2" ht="15">
      <c r="A229" s="1"/>
      <c r="B229" s="1"/>
    </row>
    <row r="230" spans="1:2" ht="15">
      <c r="A230" s="1"/>
      <c r="B230" s="1"/>
    </row>
    <row r="231" spans="1:2" ht="15">
      <c r="A231" s="1"/>
      <c r="B231" s="1"/>
    </row>
    <row r="232" spans="1:2" ht="15">
      <c r="A232" s="1"/>
      <c r="B232" s="1"/>
    </row>
    <row r="233" spans="1:2" ht="15">
      <c r="A233" s="1"/>
      <c r="B233" s="1"/>
    </row>
    <row r="234" spans="1:2" ht="15">
      <c r="A234" s="1"/>
      <c r="B234" s="1"/>
    </row>
    <row r="235" spans="1:2" ht="15">
      <c r="A235" s="1"/>
      <c r="B235" s="1"/>
    </row>
    <row r="236" spans="1:2" ht="15">
      <c r="A236" s="1"/>
      <c r="B236" s="1"/>
    </row>
    <row r="237" spans="1:2" ht="15">
      <c r="A237" s="1"/>
      <c r="B237" s="1"/>
    </row>
    <row r="238" spans="1:2" ht="15">
      <c r="A238" s="1"/>
      <c r="B238" s="1"/>
    </row>
    <row r="239" spans="1:2" ht="15">
      <c r="A239" s="1"/>
      <c r="B239" s="1"/>
    </row>
    <row r="240" spans="1:2" ht="15">
      <c r="A240" s="1"/>
      <c r="B240" s="1"/>
    </row>
    <row r="241" spans="1:2" ht="15">
      <c r="A241" s="1"/>
      <c r="B241" s="1"/>
    </row>
    <row r="242" spans="1:2" ht="15">
      <c r="A242" s="1"/>
      <c r="B242" s="1"/>
    </row>
    <row r="243" spans="1:2" ht="15">
      <c r="A243" s="1"/>
      <c r="B243" s="1"/>
    </row>
    <row r="244" spans="1:2" ht="15">
      <c r="A244" s="1"/>
      <c r="B244" s="1"/>
    </row>
    <row r="245" spans="1:2" ht="15">
      <c r="A245" s="1"/>
      <c r="B245" s="1"/>
    </row>
    <row r="246" spans="1:2" ht="15">
      <c r="A246" s="1"/>
      <c r="B246" s="1"/>
    </row>
    <row r="247" spans="1:2" ht="15">
      <c r="A247" s="1"/>
      <c r="B247" s="1"/>
    </row>
    <row r="248" spans="1:2" ht="15">
      <c r="A248" s="1"/>
      <c r="B248" s="1"/>
    </row>
    <row r="249" spans="1:2" ht="15">
      <c r="A249" s="1"/>
      <c r="B249" s="1"/>
    </row>
    <row r="250" spans="1:2" ht="15">
      <c r="A250" s="1"/>
      <c r="B250" s="1"/>
    </row>
    <row r="251" spans="1:2" ht="15">
      <c r="A251" s="1"/>
      <c r="B251" s="1"/>
    </row>
    <row r="252" spans="1:2" ht="15">
      <c r="A252" s="1"/>
      <c r="B252" s="1"/>
    </row>
    <row r="253" spans="1:2" ht="15">
      <c r="A253" s="1"/>
      <c r="B253" s="1"/>
    </row>
    <row r="254" spans="1:2" ht="15">
      <c r="A254" s="1"/>
      <c r="B254" s="1"/>
    </row>
    <row r="255" spans="1:2" ht="15">
      <c r="A255" s="1"/>
      <c r="B255" s="1"/>
    </row>
    <row r="256" spans="1:2" ht="15">
      <c r="A256" s="1"/>
      <c r="B256" s="1"/>
    </row>
    <row r="257" spans="1:2" ht="15">
      <c r="A257" s="1"/>
      <c r="B257" s="1"/>
    </row>
    <row r="258" spans="1:2" ht="15">
      <c r="A258" s="1"/>
      <c r="B258" s="1"/>
    </row>
    <row r="259" spans="1:2" ht="15">
      <c r="A259" s="1"/>
      <c r="B259" s="1"/>
    </row>
    <row r="260" spans="1:2" ht="15">
      <c r="A260" s="1"/>
      <c r="B260" s="1"/>
    </row>
    <row r="261" spans="1:2" ht="15">
      <c r="A261" s="1"/>
      <c r="B261" s="1"/>
    </row>
    <row r="262" spans="1:2" ht="15">
      <c r="A262" s="1"/>
      <c r="B262" s="1"/>
    </row>
    <row r="263" spans="1:2" ht="15">
      <c r="A263" s="1"/>
      <c r="B263" s="1"/>
    </row>
    <row r="264" spans="1:2" ht="15">
      <c r="A264" s="1"/>
      <c r="B264" s="1"/>
    </row>
    <row r="265" spans="1:2" ht="15">
      <c r="A265" s="1"/>
      <c r="B265" s="1"/>
    </row>
    <row r="266" spans="1:2" ht="15">
      <c r="A266" s="1"/>
      <c r="B266" s="1"/>
    </row>
    <row r="267" spans="1:2" ht="15">
      <c r="A267" s="1"/>
      <c r="B267" s="1"/>
    </row>
    <row r="268" spans="1:2" ht="15">
      <c r="A268" s="1"/>
      <c r="B268" s="1"/>
    </row>
    <row r="269" spans="1:2" ht="15">
      <c r="A269" s="1"/>
      <c r="B269" s="1"/>
    </row>
    <row r="270" spans="1:2" ht="15">
      <c r="A270" s="1"/>
      <c r="B270" s="1"/>
    </row>
    <row r="271" spans="1:2" ht="15">
      <c r="A271" s="1"/>
      <c r="B271" s="1"/>
    </row>
    <row r="272" spans="1:2" ht="15">
      <c r="A272" s="1"/>
      <c r="B272" s="1"/>
    </row>
    <row r="273" spans="1:2" ht="15">
      <c r="A273" s="1"/>
      <c r="B273" s="1"/>
    </row>
    <row r="274" spans="1:2" ht="15">
      <c r="A274" s="1"/>
      <c r="B274" s="1"/>
    </row>
    <row r="275" spans="1:2" ht="15">
      <c r="A275" s="1"/>
      <c r="B275" s="1"/>
    </row>
    <row r="276" spans="1:2" ht="15">
      <c r="A276" s="1"/>
      <c r="B276" s="1"/>
    </row>
    <row r="277" spans="1:2" ht="15">
      <c r="A277" s="1"/>
      <c r="B277" s="1"/>
    </row>
    <row r="278" spans="1:2" ht="15">
      <c r="A278" s="1"/>
      <c r="B278" s="1"/>
    </row>
    <row r="279" spans="1:2" ht="15">
      <c r="A279" s="1"/>
      <c r="B279" s="1"/>
    </row>
    <row r="280" spans="1:2" ht="15">
      <c r="A280" s="1"/>
      <c r="B280" s="1"/>
    </row>
    <row r="281" spans="1:2" ht="15">
      <c r="A281" s="1"/>
      <c r="B281" s="1"/>
    </row>
    <row r="282" spans="1:2" ht="15">
      <c r="A282" s="1"/>
      <c r="B282" s="1"/>
    </row>
    <row r="283" spans="1:2" ht="15">
      <c r="A283" s="1"/>
      <c r="B283" s="1"/>
    </row>
    <row r="284" spans="1:2" ht="15">
      <c r="A284" s="1"/>
      <c r="B284" s="1"/>
    </row>
    <row r="285" spans="1:2" ht="15">
      <c r="A285" s="1"/>
      <c r="B285" s="1"/>
    </row>
    <row r="286" spans="1:2" ht="15">
      <c r="A286" s="1"/>
      <c r="B286" s="1"/>
    </row>
    <row r="287" spans="1:2" ht="15">
      <c r="A287" s="1"/>
      <c r="B287" s="1"/>
    </row>
    <row r="288" spans="1:2" ht="15">
      <c r="A288" s="1"/>
      <c r="B288" s="1"/>
    </row>
    <row r="289" spans="1:2" ht="15">
      <c r="A289" s="1"/>
      <c r="B289" s="1"/>
    </row>
    <row r="290" spans="1:2" ht="15">
      <c r="A290" s="1"/>
      <c r="B290" s="1"/>
    </row>
    <row r="291" spans="1:2" ht="15">
      <c r="A291" s="1"/>
      <c r="B291" s="1"/>
    </row>
    <row r="292" spans="1:2" ht="15">
      <c r="A292" s="1"/>
      <c r="B292" s="1"/>
    </row>
    <row r="293" spans="1:2" ht="15">
      <c r="A293" s="1"/>
      <c r="B293" s="1"/>
    </row>
    <row r="294" spans="1:2" ht="15">
      <c r="A294" s="1"/>
      <c r="B294" s="1"/>
    </row>
    <row r="295" spans="1:2" ht="15">
      <c r="A295" s="1"/>
      <c r="B295" s="1"/>
    </row>
    <row r="296" spans="1:2" ht="15">
      <c r="A296" s="1"/>
      <c r="B296" s="1"/>
    </row>
    <row r="297" spans="1:2" ht="15">
      <c r="A297" s="1"/>
      <c r="B297" s="1"/>
    </row>
    <row r="298" spans="1:2" ht="15">
      <c r="A298" s="1"/>
      <c r="B298" s="1"/>
    </row>
    <row r="299" spans="1:2" ht="15">
      <c r="A299" s="1"/>
      <c r="B299" s="1"/>
    </row>
    <row r="300" spans="1:2" ht="15">
      <c r="A300" s="1"/>
      <c r="B300" s="1"/>
    </row>
    <row r="301" spans="1:2" ht="15">
      <c r="A301" s="1"/>
      <c r="B301" s="1"/>
    </row>
    <row r="302" spans="1:2" ht="15">
      <c r="A302" s="1"/>
      <c r="B302" s="1"/>
    </row>
    <row r="303" spans="1:2" ht="15">
      <c r="A303" s="1"/>
      <c r="B303" s="1"/>
    </row>
    <row r="304" spans="1:2" ht="15">
      <c r="A304" s="1"/>
      <c r="B304" s="1"/>
    </row>
    <row r="305" spans="1:2" ht="15">
      <c r="A305" s="1"/>
      <c r="B305" s="1"/>
    </row>
    <row r="306" spans="1:2" ht="15">
      <c r="A306" s="1"/>
      <c r="B306" s="1"/>
    </row>
    <row r="307" spans="1:2" ht="15">
      <c r="A307" s="1"/>
      <c r="B307" s="1"/>
    </row>
    <row r="308" spans="1:2" ht="15">
      <c r="A308" s="1"/>
      <c r="B308" s="1"/>
    </row>
    <row r="309" spans="1:2" ht="15">
      <c r="A309" s="1"/>
      <c r="B309" s="1"/>
    </row>
    <row r="310" spans="1:2" ht="15">
      <c r="A310" s="1"/>
      <c r="B310" s="1"/>
    </row>
    <row r="311" spans="1:2" ht="15">
      <c r="A311" s="1"/>
      <c r="B311" s="1"/>
    </row>
    <row r="312" spans="1:2" ht="15">
      <c r="A312" s="1"/>
      <c r="B312" s="1"/>
    </row>
    <row r="313" spans="1:2" ht="15">
      <c r="A313" s="1"/>
      <c r="B313" s="1"/>
    </row>
    <row r="314" spans="1:2" ht="15">
      <c r="A314" s="1"/>
      <c r="B314" s="1"/>
    </row>
    <row r="315" spans="1:2" ht="15">
      <c r="A315" s="1"/>
      <c r="B315" s="1"/>
    </row>
    <row r="316" spans="1:2" ht="15">
      <c r="A316" s="1"/>
      <c r="B316" s="1"/>
    </row>
    <row r="317" spans="1:2" ht="15">
      <c r="A317" s="1"/>
      <c r="B317" s="1"/>
    </row>
    <row r="318" spans="1:2" ht="15">
      <c r="A318" s="1"/>
      <c r="B318" s="1"/>
    </row>
    <row r="319" spans="1:2" ht="15">
      <c r="A319" s="1"/>
      <c r="B319" s="1"/>
    </row>
    <row r="320" spans="1:2" ht="15">
      <c r="A320" s="1"/>
      <c r="B320" s="1"/>
    </row>
    <row r="321" spans="1:2" ht="15">
      <c r="A321" s="1"/>
      <c r="B321" s="1"/>
    </row>
    <row r="322" spans="1:2" ht="15">
      <c r="A322" s="1"/>
      <c r="B322" s="1"/>
    </row>
    <row r="323" spans="1:2" ht="15">
      <c r="A323" s="1"/>
      <c r="B323" s="1"/>
    </row>
    <row r="324" spans="1:2" ht="15">
      <c r="A324" s="1"/>
      <c r="B324" s="1"/>
    </row>
    <row r="325" spans="1:2" ht="15">
      <c r="A325" s="1"/>
      <c r="B325" s="1"/>
    </row>
    <row r="326" spans="1:2" ht="15">
      <c r="A326" s="1"/>
      <c r="B326" s="1"/>
    </row>
    <row r="327" spans="1:2" ht="15">
      <c r="A327" s="1"/>
      <c r="B327" s="1"/>
    </row>
    <row r="328" spans="1:2" ht="15">
      <c r="A328" s="1"/>
      <c r="B328" s="1"/>
    </row>
    <row r="329" spans="1:2" ht="15">
      <c r="A329" s="1"/>
      <c r="B329" s="1"/>
    </row>
    <row r="330" spans="1:2" ht="15">
      <c r="A330" s="1"/>
      <c r="B330" s="1"/>
    </row>
    <row r="331" spans="1:2" ht="15">
      <c r="A331" s="1"/>
      <c r="B331" s="1"/>
    </row>
    <row r="332" spans="1:2" ht="15">
      <c r="A332" s="1"/>
      <c r="B332" s="1"/>
    </row>
    <row r="333" spans="1:2" ht="15">
      <c r="A333" s="1"/>
      <c r="B333" s="1"/>
    </row>
    <row r="334" spans="1:2" ht="15">
      <c r="A334" s="1"/>
      <c r="B334" s="1"/>
    </row>
    <row r="335" spans="1:2" ht="15">
      <c r="A335" s="1"/>
      <c r="B335" s="1"/>
    </row>
    <row r="336" spans="1:2" ht="15">
      <c r="A336" s="1"/>
      <c r="B336" s="1"/>
    </row>
    <row r="337" spans="1:2" ht="15">
      <c r="A337" s="1"/>
      <c r="B337" s="1"/>
    </row>
    <row r="338" spans="1:2" ht="15">
      <c r="A338" s="1"/>
      <c r="B338" s="1"/>
    </row>
    <row r="339" spans="1:2" ht="15">
      <c r="A339" s="1"/>
      <c r="B339" s="1"/>
    </row>
    <row r="340" spans="1:2" ht="15">
      <c r="A340" s="1"/>
      <c r="B340" s="1"/>
    </row>
    <row r="341" spans="1:2" ht="15">
      <c r="A341" s="1"/>
      <c r="B341" s="1"/>
    </row>
    <row r="342" spans="1:2" ht="15">
      <c r="A342" s="1"/>
      <c r="B342" s="1"/>
    </row>
    <row r="343" spans="1:2" ht="15">
      <c r="A343" s="1"/>
      <c r="B343" s="1"/>
    </row>
    <row r="344" spans="1:2" ht="15">
      <c r="A344" s="1"/>
      <c r="B344" s="1"/>
    </row>
    <row r="345" spans="1:2" ht="15">
      <c r="A345" s="1"/>
      <c r="B345" s="1"/>
    </row>
    <row r="346" spans="1:2" ht="15">
      <c r="A346" s="1"/>
      <c r="B346" s="1"/>
    </row>
    <row r="347" spans="1:2" ht="15">
      <c r="A347" s="1"/>
      <c r="B347" s="1"/>
    </row>
    <row r="348" spans="1:2" ht="15">
      <c r="A348" s="1"/>
      <c r="B348" s="1"/>
    </row>
    <row r="349" spans="1:2" ht="15">
      <c r="A349" s="1"/>
      <c r="B349" s="1"/>
    </row>
    <row r="350" spans="1:2" ht="15">
      <c r="A350" s="1"/>
      <c r="B350" s="1"/>
    </row>
    <row r="351" spans="1:2" ht="15">
      <c r="A351" s="1"/>
      <c r="B351" s="1"/>
    </row>
    <row r="352" spans="1:2" ht="15">
      <c r="A352" s="1"/>
      <c r="B352" s="1"/>
    </row>
    <row r="353" spans="1:2" ht="15">
      <c r="A353" s="1"/>
      <c r="B353" s="1"/>
    </row>
    <row r="354" spans="1:2" ht="15">
      <c r="A354" s="1"/>
      <c r="B354" s="1"/>
    </row>
    <row r="355" spans="1:2" ht="15">
      <c r="A355" s="1"/>
      <c r="B355" s="1"/>
    </row>
    <row r="356" spans="1:2" ht="15">
      <c r="A356" s="1"/>
      <c r="B356" s="1"/>
    </row>
    <row r="357" spans="1:2" ht="15">
      <c r="A357" s="1"/>
      <c r="B357" s="1"/>
    </row>
    <row r="358" spans="1:2" ht="15">
      <c r="A358" s="1"/>
      <c r="B358" s="1"/>
    </row>
    <row r="359" spans="1:2" ht="15">
      <c r="A359" s="1"/>
      <c r="B359" s="1"/>
    </row>
    <row r="360" spans="1:2" ht="15">
      <c r="A360" s="1"/>
      <c r="B360" s="1"/>
    </row>
    <row r="361" spans="1:2" ht="15">
      <c r="A361" s="1"/>
      <c r="B361" s="1"/>
    </row>
    <row r="362" spans="1:2" ht="15">
      <c r="A362" s="1"/>
      <c r="B362" s="1"/>
    </row>
    <row r="363" spans="1:2" ht="15">
      <c r="A363" s="1"/>
      <c r="B363" s="1"/>
    </row>
    <row r="364" spans="1:2" ht="15">
      <c r="A364" s="1"/>
      <c r="B364" s="1"/>
    </row>
    <row r="365" spans="1:2" ht="15">
      <c r="A365" s="1"/>
      <c r="B365" s="1"/>
    </row>
    <row r="366" spans="1:2" ht="15">
      <c r="A366" s="1"/>
      <c r="B366" s="1"/>
    </row>
    <row r="367" spans="1:2" ht="15">
      <c r="A367" s="1"/>
      <c r="B367" s="1"/>
    </row>
    <row r="368" spans="1:2" ht="15">
      <c r="A368" s="1"/>
      <c r="B368" s="1"/>
    </row>
    <row r="369" spans="1:2" ht="15">
      <c r="A369" s="1"/>
      <c r="B369" s="1"/>
    </row>
    <row r="370" spans="1:2" ht="15">
      <c r="A370" s="1"/>
      <c r="B370" s="1"/>
    </row>
    <row r="371" spans="1:2" ht="15">
      <c r="A371" s="1"/>
      <c r="B371" s="1"/>
    </row>
    <row r="372" spans="1:2" ht="15">
      <c r="A372" s="1"/>
      <c r="B372" s="1"/>
    </row>
    <row r="373" spans="1:2" ht="15">
      <c r="A373" s="1"/>
      <c r="B373" s="1"/>
    </row>
    <row r="374" spans="1:2" ht="15">
      <c r="A374" s="1"/>
      <c r="B374" s="1"/>
    </row>
    <row r="375" spans="1:2" ht="15">
      <c r="A375" s="1"/>
      <c r="B375" s="1"/>
    </row>
    <row r="376" spans="1:2" ht="15">
      <c r="A376" s="1"/>
      <c r="B376" s="1"/>
    </row>
    <row r="377" spans="1:2" ht="15">
      <c r="A377" s="1"/>
      <c r="B377" s="1"/>
    </row>
    <row r="378" spans="1:2" ht="15">
      <c r="A378" s="1"/>
      <c r="B378" s="1"/>
    </row>
    <row r="379" spans="1:2" ht="15">
      <c r="A379" s="1"/>
      <c r="B379" s="1"/>
    </row>
    <row r="380" spans="1:2" ht="15">
      <c r="A380" s="1"/>
      <c r="B380" s="1"/>
    </row>
    <row r="381" spans="1:2" ht="15">
      <c r="A381" s="1"/>
      <c r="B381" s="1"/>
    </row>
    <row r="382" spans="1:2" ht="15">
      <c r="A382" s="1"/>
      <c r="B382" s="1"/>
    </row>
    <row r="383" spans="1:2" ht="15">
      <c r="A383" s="1"/>
      <c r="B383" s="1"/>
    </row>
    <row r="384" spans="1:2" ht="15">
      <c r="A384" s="1"/>
      <c r="B384" s="1"/>
    </row>
    <row r="385" spans="1:2" ht="15">
      <c r="A385" s="1"/>
      <c r="B385" s="1"/>
    </row>
    <row r="386" spans="1:2" ht="15">
      <c r="A386" s="1"/>
      <c r="B386" s="1"/>
    </row>
    <row r="387" spans="1:2" ht="15">
      <c r="A387" s="1"/>
      <c r="B387" s="1"/>
    </row>
    <row r="388" spans="1:2" ht="15">
      <c r="A388" s="1"/>
      <c r="B388" s="1"/>
    </row>
    <row r="389" spans="1:2" ht="15">
      <c r="A389" s="1"/>
      <c r="B389" s="1"/>
    </row>
    <row r="390" spans="1:2" ht="15">
      <c r="A390" s="1"/>
      <c r="B390" s="1"/>
    </row>
    <row r="391" spans="1:2" ht="15">
      <c r="A391" s="1"/>
      <c r="B391" s="1"/>
    </row>
    <row r="392" spans="1:2" ht="15">
      <c r="A392" s="1"/>
      <c r="B392" s="1"/>
    </row>
    <row r="393" spans="1:2" ht="15">
      <c r="A393" s="1"/>
      <c r="B393" s="1"/>
    </row>
    <row r="394" spans="1:2" ht="15">
      <c r="A394" s="1"/>
      <c r="B394" s="1"/>
    </row>
    <row r="395" spans="1:2" ht="15">
      <c r="A395" s="1"/>
      <c r="B395" s="1"/>
    </row>
    <row r="396" spans="1:2" ht="15">
      <c r="A396" s="1"/>
      <c r="B396" s="1"/>
    </row>
    <row r="397" spans="1:2" ht="15">
      <c r="A397" s="1"/>
      <c r="B397" s="1"/>
    </row>
    <row r="398" spans="1:2" ht="15">
      <c r="A398" s="1"/>
      <c r="B398" s="1"/>
    </row>
    <row r="399" spans="1:2" ht="15">
      <c r="A399" s="1"/>
      <c r="B399" s="1"/>
    </row>
    <row r="400" spans="1:2" ht="15">
      <c r="A400" s="1"/>
      <c r="B400" s="1"/>
    </row>
    <row r="401" spans="1:2" ht="15">
      <c r="A401" s="1"/>
      <c r="B401" s="1"/>
    </row>
    <row r="402" spans="1:2" ht="15">
      <c r="A402" s="1"/>
      <c r="B402" s="1"/>
    </row>
    <row r="403" spans="1:2" ht="15">
      <c r="A403" s="1"/>
      <c r="B403" s="1"/>
    </row>
    <row r="404" spans="1:2" ht="15">
      <c r="A404" s="1"/>
      <c r="B404" s="1"/>
    </row>
    <row r="405" spans="1:2" ht="15">
      <c r="A405" s="1"/>
      <c r="B405" s="1"/>
    </row>
    <row r="406" spans="1:2" ht="15">
      <c r="A406" s="1"/>
      <c r="B406" s="1"/>
    </row>
    <row r="407" spans="1:2" ht="15">
      <c r="A407" s="1"/>
      <c r="B407" s="1"/>
    </row>
    <row r="408" spans="1:2" ht="15">
      <c r="A408" s="1"/>
      <c r="B408" s="1"/>
    </row>
    <row r="409" spans="1:2" ht="15">
      <c r="A409" s="1"/>
      <c r="B409" s="1"/>
    </row>
    <row r="410" spans="1:2" ht="15">
      <c r="A410" s="1"/>
      <c r="B410" s="1"/>
    </row>
    <row r="411" spans="1:2" ht="15">
      <c r="A411" s="1"/>
      <c r="B411" s="1"/>
    </row>
    <row r="412" spans="1:2" ht="15">
      <c r="A412" s="1"/>
      <c r="B412" s="1"/>
    </row>
    <row r="413" spans="1:2" ht="15">
      <c r="A413" s="1"/>
      <c r="B413" s="1"/>
    </row>
    <row r="414" spans="1:2" ht="15">
      <c r="A414" s="1"/>
      <c r="B414" s="1"/>
    </row>
    <row r="415" spans="1:2" ht="15">
      <c r="A415" s="1"/>
      <c r="B415" s="1"/>
    </row>
    <row r="416" spans="1:2" ht="15">
      <c r="A416" s="1"/>
      <c r="B416" s="1"/>
    </row>
    <row r="417" spans="1:2" ht="15">
      <c r="A417" s="1"/>
      <c r="B417" s="1"/>
    </row>
    <row r="418" spans="1:2" ht="15">
      <c r="A418" s="1"/>
      <c r="B418" s="1"/>
    </row>
    <row r="419" spans="1:2" ht="15">
      <c r="A419" s="1"/>
      <c r="B419" s="1"/>
    </row>
    <row r="420" spans="1:2" ht="15">
      <c r="A420" s="1"/>
      <c r="B420" s="1"/>
    </row>
    <row r="421" spans="1:2" ht="15">
      <c r="A421" s="1"/>
      <c r="B421" s="1"/>
    </row>
    <row r="422" spans="1:2" ht="15">
      <c r="A422" s="1"/>
      <c r="B422" s="1"/>
    </row>
    <row r="423" spans="1:2" ht="15">
      <c r="A423" s="1"/>
      <c r="B423" s="1"/>
    </row>
    <row r="424" spans="1:2" ht="15">
      <c r="A424" s="1"/>
      <c r="B424" s="1"/>
    </row>
    <row r="425" spans="1:2" ht="15">
      <c r="A425" s="1"/>
      <c r="B425" s="1"/>
    </row>
    <row r="426" spans="1:2" ht="15">
      <c r="A426" s="1"/>
      <c r="B426" s="1"/>
    </row>
    <row r="427" spans="1:2" ht="15">
      <c r="A427" s="1"/>
      <c r="B427" s="1"/>
    </row>
    <row r="428" spans="1:2" ht="15">
      <c r="A428" s="1"/>
      <c r="B428" s="1"/>
    </row>
    <row r="429" spans="1:2" ht="15">
      <c r="A429" s="1"/>
      <c r="B429" s="1"/>
    </row>
    <row r="430" spans="1:2" ht="15">
      <c r="A430" s="1"/>
      <c r="B430" s="1"/>
    </row>
    <row r="431" spans="1:2" ht="15">
      <c r="A431" s="1"/>
      <c r="B431" s="1"/>
    </row>
    <row r="432" spans="1:2" ht="15">
      <c r="A432" s="1"/>
      <c r="B432" s="1"/>
    </row>
    <row r="433" spans="1:2" ht="15">
      <c r="A433" s="1"/>
      <c r="B433" s="1"/>
    </row>
    <row r="434" spans="1:2" ht="15">
      <c r="A434" s="1"/>
      <c r="B434" s="1"/>
    </row>
    <row r="435" spans="1:2" ht="15">
      <c r="A435" s="1"/>
      <c r="B435" s="1"/>
    </row>
    <row r="436" spans="1:2" ht="15">
      <c r="A436" s="1"/>
      <c r="B436" s="1"/>
    </row>
    <row r="437" spans="1:2" ht="15">
      <c r="A437" s="1"/>
      <c r="B437" s="1"/>
    </row>
    <row r="438" spans="1:2" ht="15">
      <c r="A438" s="1"/>
      <c r="B438" s="1"/>
    </row>
    <row r="439" spans="1:2" ht="15">
      <c r="A439" s="1"/>
      <c r="B439" s="1"/>
    </row>
    <row r="440" spans="1:2" ht="15">
      <c r="A440" s="1"/>
      <c r="B440" s="1"/>
    </row>
    <row r="441" spans="1:2" ht="15">
      <c r="A441" s="1"/>
      <c r="B441" s="1"/>
    </row>
    <row r="442" spans="1:2" ht="15">
      <c r="A442" s="1"/>
      <c r="B442" s="1"/>
    </row>
    <row r="443" spans="1:2" ht="15">
      <c r="A443" s="1"/>
      <c r="B443" s="1"/>
    </row>
    <row r="444" spans="1:2" ht="15">
      <c r="A444" s="1"/>
      <c r="B444" s="1"/>
    </row>
    <row r="445" spans="1:2" ht="15">
      <c r="A445" s="1"/>
      <c r="B445" s="1"/>
    </row>
    <row r="446" spans="1:2" ht="15">
      <c r="A446" s="1"/>
      <c r="B446" s="1"/>
    </row>
    <row r="447" spans="1:2" ht="15">
      <c r="A447" s="1"/>
      <c r="B447" s="1"/>
    </row>
    <row r="448" spans="1:2" ht="15">
      <c r="A448" s="1"/>
      <c r="B448" s="1"/>
    </row>
    <row r="449" spans="1:2" ht="15">
      <c r="A449" s="1"/>
      <c r="B449" s="1"/>
    </row>
    <row r="450" spans="1:2" ht="15">
      <c r="A450" s="1"/>
      <c r="B450" s="1"/>
    </row>
    <row r="451" spans="1:2" ht="15">
      <c r="A451" s="1"/>
      <c r="B451" s="1"/>
    </row>
    <row r="452" spans="1:2" ht="15">
      <c r="A452" s="1"/>
      <c r="B452" s="1"/>
    </row>
    <row r="453" spans="1:2" ht="15">
      <c r="A453" s="1"/>
      <c r="B453" s="1"/>
    </row>
    <row r="454" spans="1:2" ht="15">
      <c r="A454" s="1"/>
      <c r="B454" s="1"/>
    </row>
    <row r="455" spans="1:2" ht="15">
      <c r="A455" s="1"/>
      <c r="B455" s="1"/>
    </row>
    <row r="456" spans="1:2" ht="15">
      <c r="A456" s="1"/>
      <c r="B456" s="1"/>
    </row>
    <row r="457" spans="1:2" ht="15">
      <c r="A457" s="1"/>
      <c r="B457" s="1"/>
    </row>
    <row r="458" spans="1:2" ht="15">
      <c r="A458" s="1"/>
      <c r="B458" s="1"/>
    </row>
    <row r="459" spans="1:2" ht="15">
      <c r="A459" s="1"/>
      <c r="B459" s="1"/>
    </row>
    <row r="460" spans="1:2" ht="15">
      <c r="A460" s="1"/>
      <c r="B460" s="1"/>
    </row>
    <row r="461" spans="1:2" ht="15">
      <c r="A461" s="1"/>
      <c r="B461" s="1"/>
    </row>
    <row r="462" spans="1:2" ht="15">
      <c r="A462" s="1"/>
      <c r="B462" s="1"/>
    </row>
    <row r="463" spans="1:2" ht="15">
      <c r="A463" s="1"/>
      <c r="B463" s="1"/>
    </row>
    <row r="464" spans="1:2" ht="15">
      <c r="A464" s="1"/>
      <c r="B464" s="1"/>
    </row>
    <row r="465" spans="1:2" ht="15">
      <c r="A465" s="1"/>
      <c r="B465" s="1"/>
    </row>
    <row r="466" spans="1:2" ht="15">
      <c r="A466" s="1"/>
      <c r="B466" s="1"/>
    </row>
    <row r="467" spans="1:2" ht="15">
      <c r="A467" s="1"/>
      <c r="B467" s="1"/>
    </row>
    <row r="468" spans="1:2" ht="15">
      <c r="A468" s="1"/>
      <c r="B468" s="1"/>
    </row>
    <row r="469" spans="1:2" ht="15">
      <c r="A469" s="1"/>
      <c r="B469" s="1"/>
    </row>
    <row r="470" spans="1:2" ht="15">
      <c r="A470" s="1"/>
      <c r="B470" s="1"/>
    </row>
    <row r="471" spans="1:2" ht="15">
      <c r="A471" s="1"/>
      <c r="B471" s="1"/>
    </row>
    <row r="472" spans="1:2" ht="15">
      <c r="A472" s="1"/>
      <c r="B472" s="1"/>
    </row>
    <row r="473" spans="1:2" ht="15">
      <c r="A473" s="1"/>
      <c r="B473" s="1"/>
    </row>
    <row r="474" spans="1:2" ht="15">
      <c r="A474" s="1"/>
      <c r="B474" s="1"/>
    </row>
    <row r="475" spans="1:2" ht="15">
      <c r="A475" s="1"/>
      <c r="B475" s="1"/>
    </row>
    <row r="476" spans="1:2" ht="15">
      <c r="A476" s="1"/>
      <c r="B476" s="1"/>
    </row>
    <row r="477" spans="1:2" ht="15">
      <c r="A477" s="1"/>
      <c r="B477" s="1"/>
    </row>
    <row r="478" spans="1:2" ht="15">
      <c r="A478" s="1"/>
      <c r="B478" s="1"/>
    </row>
    <row r="479" spans="1:2" ht="15">
      <c r="A479" s="1"/>
      <c r="B479" s="1"/>
    </row>
    <row r="480" spans="1:2" ht="15">
      <c r="A480" s="1"/>
      <c r="B480" s="1"/>
    </row>
    <row r="481" spans="1:2" ht="15">
      <c r="A481" s="1"/>
      <c r="B481" s="1"/>
    </row>
    <row r="482" spans="1:2" ht="15">
      <c r="A482" s="1"/>
      <c r="B482" s="1"/>
    </row>
    <row r="483" spans="1:2" ht="15">
      <c r="A483" s="1"/>
      <c r="B483" s="1"/>
    </row>
    <row r="484" spans="1:2" ht="15">
      <c r="A484" s="1"/>
      <c r="B484" s="1"/>
    </row>
    <row r="485" spans="1:2" ht="15">
      <c r="A485" s="1"/>
      <c r="B485" s="1"/>
    </row>
    <row r="486" spans="1:2" ht="15">
      <c r="A486" s="1"/>
      <c r="B486" s="1"/>
    </row>
    <row r="487" spans="1:2" ht="15">
      <c r="A487" s="1"/>
      <c r="B487" s="1"/>
    </row>
    <row r="488" spans="1:2" ht="15">
      <c r="A488" s="1"/>
      <c r="B488" s="1"/>
    </row>
    <row r="489" spans="1:2" ht="15">
      <c r="A489" s="1"/>
      <c r="B489" s="1"/>
    </row>
    <row r="490" spans="1:2" ht="15">
      <c r="A490" s="1"/>
      <c r="B490" s="1"/>
    </row>
    <row r="491" spans="1:2" ht="15">
      <c r="A491" s="1"/>
      <c r="B491" s="1"/>
    </row>
    <row r="492" spans="1:2" ht="15">
      <c r="A492" s="1"/>
      <c r="B492" s="1"/>
    </row>
    <row r="493" spans="1:2" ht="15">
      <c r="A493" s="1"/>
      <c r="B493" s="1"/>
    </row>
    <row r="494" spans="1:2" ht="15">
      <c r="A494" s="1"/>
      <c r="B494" s="1"/>
    </row>
    <row r="495" spans="1:2" ht="15">
      <c r="A495" s="1"/>
      <c r="B495" s="1"/>
    </row>
    <row r="496" spans="1:2" ht="15">
      <c r="A496" s="1"/>
      <c r="B496" s="1"/>
    </row>
    <row r="497" spans="1:2" ht="15">
      <c r="A497" s="1"/>
      <c r="B497" s="1"/>
    </row>
    <row r="498" spans="1:2" ht="15">
      <c r="A498" s="1"/>
      <c r="B498" s="1"/>
    </row>
    <row r="499" spans="1:2" ht="15">
      <c r="A499" s="1"/>
      <c r="B499" s="1"/>
    </row>
    <row r="500" spans="1:2" ht="15">
      <c r="A500" s="1"/>
      <c r="B500" s="1"/>
    </row>
    <row r="501" spans="1:2" ht="15">
      <c r="A501" s="1"/>
      <c r="B501" s="1"/>
    </row>
    <row r="502" spans="1:2" ht="15">
      <c r="A502" s="1"/>
      <c r="B502" s="1"/>
    </row>
    <row r="503" spans="1:2" ht="15">
      <c r="A503" s="1"/>
      <c r="B503" s="1"/>
    </row>
    <row r="504" spans="1:2" ht="15">
      <c r="A504" s="1"/>
      <c r="B504" s="1"/>
    </row>
    <row r="505" spans="1:2" ht="15">
      <c r="A505" s="1"/>
      <c r="B505" s="1"/>
    </row>
    <row r="506" spans="1:2" ht="15">
      <c r="A506" s="1"/>
      <c r="B506" s="1"/>
    </row>
    <row r="507" spans="1:2" ht="15">
      <c r="A507" s="1"/>
      <c r="B507" s="1"/>
    </row>
    <row r="508" spans="1:2" ht="15">
      <c r="A508" s="1"/>
      <c r="B508" s="1"/>
    </row>
    <row r="509" spans="1:2" ht="15">
      <c r="A509" s="1"/>
      <c r="B509" s="1"/>
    </row>
    <row r="510" spans="1:2" ht="15">
      <c r="A510" s="1"/>
      <c r="B510" s="1"/>
    </row>
    <row r="511" spans="1:2" ht="15">
      <c r="A511" s="1"/>
      <c r="B511" s="1"/>
    </row>
    <row r="512" spans="1:2" ht="15">
      <c r="A512" s="1"/>
      <c r="B512" s="1"/>
    </row>
    <row r="513" spans="1:2" ht="15">
      <c r="A513" s="1"/>
      <c r="B513" s="1"/>
    </row>
    <row r="514" spans="1:2" ht="15">
      <c r="A514" s="1"/>
      <c r="B514" s="1"/>
    </row>
    <row r="515" spans="1:2" ht="15">
      <c r="A515" s="1"/>
      <c r="B515" s="1"/>
    </row>
    <row r="516" spans="1:2" ht="15">
      <c r="A516" s="1"/>
      <c r="B516" s="1"/>
    </row>
    <row r="517" spans="1:2" ht="15">
      <c r="A517" s="1"/>
      <c r="B517" s="1"/>
    </row>
    <row r="518" spans="1:2" ht="15">
      <c r="A518" s="1"/>
      <c r="B518" s="1"/>
    </row>
    <row r="519" spans="1:2" ht="15">
      <c r="A519" s="1"/>
      <c r="B519" s="1"/>
    </row>
    <row r="520" spans="1:2" ht="15">
      <c r="A520" s="1"/>
      <c r="B520" s="1"/>
    </row>
    <row r="521" spans="1:2" ht="15">
      <c r="A521" s="1"/>
      <c r="B521" s="1"/>
    </row>
    <row r="522" spans="1:2" ht="15">
      <c r="A522" s="1"/>
      <c r="B522" s="1"/>
    </row>
    <row r="523" spans="1:2" ht="15">
      <c r="A523" s="1"/>
      <c r="B523" s="1"/>
    </row>
    <row r="524" spans="1:2" ht="15">
      <c r="A524" s="1"/>
      <c r="B524" s="1"/>
    </row>
    <row r="525" spans="1:2" ht="15">
      <c r="A525" s="1"/>
      <c r="B525" s="1"/>
    </row>
    <row r="526" spans="1:2" ht="15">
      <c r="A526" s="1"/>
      <c r="B526" s="1"/>
    </row>
    <row r="527" spans="1:2" ht="15">
      <c r="A527" s="1"/>
      <c r="B527" s="1"/>
    </row>
    <row r="528" spans="1:2" ht="15">
      <c r="A528" s="1"/>
      <c r="B528" s="1"/>
    </row>
    <row r="529" spans="1:2" ht="15">
      <c r="A529" s="1"/>
      <c r="B529" s="1"/>
    </row>
    <row r="530" spans="1:2" ht="15">
      <c r="A530" s="1"/>
      <c r="B530" s="1"/>
    </row>
    <row r="531" spans="1:2" ht="15">
      <c r="A531" s="1"/>
      <c r="B531" s="1"/>
    </row>
    <row r="532" spans="1:2" ht="15">
      <c r="A532" s="1"/>
      <c r="B532" s="1"/>
    </row>
    <row r="533" spans="1:2" ht="15">
      <c r="A533" s="1"/>
      <c r="B533" s="1"/>
    </row>
    <row r="534" spans="1:2" ht="15">
      <c r="A534" s="1"/>
      <c r="B534" s="1"/>
    </row>
    <row r="535" spans="1:2" ht="15">
      <c r="A535" s="1"/>
      <c r="B535" s="1"/>
    </row>
    <row r="536" spans="1:2" ht="15">
      <c r="A536" s="1"/>
      <c r="B536" s="1"/>
    </row>
    <row r="537" spans="1:2" ht="15">
      <c r="A537" s="1"/>
      <c r="B537" s="1"/>
    </row>
    <row r="538" spans="1:2" ht="15">
      <c r="A538" s="1"/>
      <c r="B538" s="1"/>
    </row>
    <row r="539" spans="1:2" ht="15">
      <c r="A539" s="1"/>
      <c r="B539" s="1"/>
    </row>
    <row r="540" spans="1:2" ht="15">
      <c r="A540" s="1"/>
      <c r="B540" s="1"/>
    </row>
    <row r="541" spans="1:2" ht="15">
      <c r="A541" s="1"/>
      <c r="B541" s="1"/>
    </row>
    <row r="542" spans="1:2" ht="15">
      <c r="A542" s="1"/>
      <c r="B542" s="1"/>
    </row>
    <row r="543" spans="1:2" ht="15">
      <c r="A543" s="1"/>
      <c r="B543" s="1"/>
    </row>
    <row r="544" spans="1:2" ht="15">
      <c r="A544" s="1"/>
      <c r="B544" s="1"/>
    </row>
    <row r="545" spans="1:2" ht="15">
      <c r="A545" s="1"/>
      <c r="B545" s="1"/>
    </row>
    <row r="546" spans="1:2" ht="15">
      <c r="A546" s="1"/>
      <c r="B546" s="1"/>
    </row>
    <row r="547" spans="1:2" ht="15">
      <c r="A547" s="1"/>
      <c r="B547" s="1"/>
    </row>
    <row r="548" spans="1:2" ht="15">
      <c r="A548" s="1"/>
      <c r="B548" s="1"/>
    </row>
    <row r="549" spans="1:2" ht="15">
      <c r="A549" s="1"/>
      <c r="B549" s="1"/>
    </row>
    <row r="550" spans="1:2" ht="15">
      <c r="A550" s="1"/>
      <c r="B550" s="1"/>
    </row>
    <row r="551" spans="1:2" ht="15">
      <c r="A551" s="1"/>
      <c r="B551" s="1"/>
    </row>
    <row r="552" spans="1:2" ht="15">
      <c r="A552" s="1"/>
      <c r="B552" s="1"/>
    </row>
    <row r="553" spans="1:2" ht="15">
      <c r="A553" s="1"/>
      <c r="B553" s="1"/>
    </row>
    <row r="554" spans="1:2" ht="15">
      <c r="A554" s="1"/>
      <c r="B554" s="1"/>
    </row>
    <row r="555" spans="1:2" ht="15">
      <c r="A555" s="1"/>
      <c r="B555" s="1"/>
    </row>
    <row r="556" spans="1:2" ht="15">
      <c r="A556" s="1"/>
      <c r="B556" s="1"/>
    </row>
    <row r="557" spans="1:2" ht="15">
      <c r="A557" s="1"/>
      <c r="B557" s="1"/>
    </row>
    <row r="558" spans="1:2" ht="15">
      <c r="A558" s="1"/>
      <c r="B558" s="1"/>
    </row>
    <row r="559" spans="1:2" ht="15">
      <c r="A559" s="1"/>
      <c r="B559" s="1"/>
    </row>
    <row r="560" spans="1:2" ht="15">
      <c r="A560" s="1"/>
      <c r="B560" s="1"/>
    </row>
    <row r="561" spans="1:2" ht="15">
      <c r="A561" s="1"/>
      <c r="B561" s="1"/>
    </row>
    <row r="562" spans="1:2" ht="15">
      <c r="A562" s="1"/>
      <c r="B562" s="1"/>
    </row>
    <row r="563" spans="1:2" ht="15">
      <c r="A563" s="1"/>
      <c r="B563" s="1"/>
    </row>
    <row r="564" spans="1:2" ht="15">
      <c r="A564" s="1"/>
      <c r="B564" s="1"/>
    </row>
    <row r="565" spans="1:2" ht="15">
      <c r="A565" s="1"/>
      <c r="B565" s="1"/>
    </row>
    <row r="566" spans="1:2" ht="15">
      <c r="A566" s="1"/>
      <c r="B566" s="1"/>
    </row>
    <row r="567" spans="1:2" ht="15">
      <c r="A567" s="1"/>
      <c r="B567" s="1"/>
    </row>
    <row r="568" spans="1:2" ht="15">
      <c r="A568" s="1"/>
      <c r="B568" s="1"/>
    </row>
    <row r="569" spans="1:2" ht="15">
      <c r="A569" s="1"/>
      <c r="B569" s="1"/>
    </row>
    <row r="570" spans="1:2" ht="15">
      <c r="A570" s="1"/>
      <c r="B570" s="1"/>
    </row>
    <row r="571" spans="1:2" ht="15">
      <c r="A571" s="1"/>
      <c r="B571" s="1"/>
    </row>
    <row r="572" spans="1:2" ht="15">
      <c r="A572" s="1"/>
      <c r="B572" s="1"/>
    </row>
    <row r="573" spans="1:2" ht="15">
      <c r="A573" s="1"/>
      <c r="B573" s="1"/>
    </row>
    <row r="574" spans="1:2" ht="15">
      <c r="A574" s="1"/>
      <c r="B574" s="1"/>
    </row>
    <row r="575" spans="1:2" ht="15">
      <c r="A575" s="1"/>
      <c r="B575" s="1"/>
    </row>
    <row r="576" spans="1:2" ht="15">
      <c r="A576" s="1"/>
      <c r="B576" s="1"/>
    </row>
    <row r="577" spans="1:2" ht="15">
      <c r="A577" s="1"/>
      <c r="B577" s="1"/>
    </row>
    <row r="578" spans="1:2" ht="15">
      <c r="A578" s="1"/>
      <c r="B578" s="1"/>
    </row>
    <row r="579" spans="1:2" ht="15">
      <c r="A579" s="1"/>
      <c r="B579" s="1"/>
    </row>
    <row r="580" spans="1:2" ht="15">
      <c r="A580" s="1"/>
      <c r="B580" s="1"/>
    </row>
    <row r="581" spans="1:2" ht="15">
      <c r="A581" s="1"/>
      <c r="B581" s="1"/>
    </row>
    <row r="582" spans="1:2" ht="15">
      <c r="A582" s="1"/>
      <c r="B582" s="1"/>
    </row>
    <row r="583" spans="1:2" ht="15">
      <c r="A583" s="1"/>
      <c r="B583" s="1"/>
    </row>
    <row r="584" spans="1:2" ht="15">
      <c r="A584" s="1"/>
      <c r="B584" s="1"/>
    </row>
    <row r="585" spans="1:2" ht="15">
      <c r="A585" s="1"/>
      <c r="B585" s="1"/>
    </row>
    <row r="586" spans="1:2" ht="15">
      <c r="A586" s="1"/>
      <c r="B586" s="1"/>
    </row>
    <row r="587" spans="1:2" ht="15">
      <c r="A587" s="1"/>
      <c r="B587" s="1"/>
    </row>
    <row r="588" spans="1:2" ht="15">
      <c r="A588" s="1"/>
      <c r="B588" s="1"/>
    </row>
    <row r="589" spans="1:2" ht="15">
      <c r="A589" s="1"/>
      <c r="B589" s="1"/>
    </row>
    <row r="590" spans="1:2" ht="15">
      <c r="A590" s="1"/>
      <c r="B590" s="1"/>
    </row>
    <row r="591" spans="1:2" ht="15">
      <c r="A591" s="1"/>
      <c r="B591" s="1"/>
    </row>
    <row r="592" spans="1:2" ht="15">
      <c r="A592" s="1"/>
      <c r="B592" s="1"/>
    </row>
    <row r="593" spans="1:2" ht="15">
      <c r="A593" s="1"/>
      <c r="B593" s="1"/>
    </row>
    <row r="594" spans="1:2" ht="15">
      <c r="A594" s="1"/>
      <c r="B594" s="1"/>
    </row>
    <row r="595" spans="1:2" ht="15">
      <c r="A595" s="1"/>
      <c r="B595" s="1"/>
    </row>
    <row r="596" spans="1:2" ht="15">
      <c r="A596" s="1"/>
      <c r="B596" s="1"/>
    </row>
    <row r="597" spans="1:2" ht="15">
      <c r="A597" s="1"/>
      <c r="B597" s="1"/>
    </row>
    <row r="598" spans="1:2" ht="15">
      <c r="A598" s="1"/>
      <c r="B598" s="1"/>
    </row>
    <row r="599" spans="1:2" ht="15">
      <c r="A599" s="1"/>
      <c r="B599" s="1"/>
    </row>
    <row r="600" spans="1:2" ht="15">
      <c r="A600" s="1"/>
      <c r="B600" s="1"/>
    </row>
    <row r="601" spans="1:2" ht="15">
      <c r="A601" s="1"/>
      <c r="B601" s="1"/>
    </row>
    <row r="602" spans="1:2" ht="15">
      <c r="A602" s="1"/>
      <c r="B602" s="1"/>
    </row>
    <row r="603" spans="1:2" ht="15">
      <c r="A603" s="1"/>
      <c r="B603" s="1"/>
    </row>
    <row r="604" spans="1:2" ht="15">
      <c r="A604" s="1"/>
      <c r="B604" s="1"/>
    </row>
    <row r="605" spans="1:2" ht="15">
      <c r="A605" s="1"/>
      <c r="B605" s="1"/>
    </row>
    <row r="606" spans="1:2" ht="15">
      <c r="A606" s="1"/>
      <c r="B606" s="1"/>
    </row>
    <row r="607" spans="1:2" ht="15">
      <c r="A607" s="1"/>
      <c r="B607" s="1"/>
    </row>
    <row r="608" spans="1:2" ht="15">
      <c r="A608" s="1"/>
      <c r="B608" s="1"/>
    </row>
    <row r="609" spans="1:2" ht="15">
      <c r="A609" s="1"/>
      <c r="B609" s="1"/>
    </row>
    <row r="610" spans="1:2" ht="15">
      <c r="A610" s="1"/>
      <c r="B610" s="1"/>
    </row>
    <row r="611" spans="1:2" ht="15">
      <c r="A611" s="1"/>
      <c r="B611" s="1"/>
    </row>
    <row r="612" spans="1:2" ht="15">
      <c r="A612" s="1"/>
      <c r="B612" s="1"/>
    </row>
    <row r="613" spans="1:2" ht="15">
      <c r="A613" s="1"/>
      <c r="B613" s="1"/>
    </row>
    <row r="614" spans="1:2" ht="15">
      <c r="A614" s="1"/>
      <c r="B614" s="1"/>
    </row>
    <row r="615" spans="1:2" ht="15">
      <c r="A615" s="1"/>
      <c r="B615" s="1"/>
    </row>
    <row r="616" spans="1:2" ht="15">
      <c r="A616" s="1"/>
      <c r="B616" s="1"/>
    </row>
    <row r="617" spans="1:2" ht="15">
      <c r="A617" s="1"/>
      <c r="B617" s="1"/>
    </row>
    <row r="618" spans="1:2" ht="15">
      <c r="A618" s="1"/>
      <c r="B618" s="1"/>
    </row>
    <row r="619" spans="1:2" ht="15">
      <c r="A619" s="1"/>
      <c r="B619" s="1"/>
    </row>
    <row r="620" spans="1:2" ht="15">
      <c r="A620" s="1"/>
      <c r="B620" s="1"/>
    </row>
    <row r="621" spans="1:2" ht="15">
      <c r="A621" s="1"/>
      <c r="B621" s="1"/>
    </row>
    <row r="622" spans="1:2" ht="15">
      <c r="A622" s="1"/>
      <c r="B622" s="1"/>
    </row>
    <row r="623" spans="1:2" ht="15">
      <c r="A623" s="1"/>
      <c r="B623" s="1"/>
    </row>
    <row r="624" spans="1:2" ht="15">
      <c r="A624" s="1"/>
      <c r="B624" s="1"/>
    </row>
    <row r="625" spans="1:2" ht="15">
      <c r="A625" s="1"/>
      <c r="B625" s="1"/>
    </row>
    <row r="626" spans="1:2" ht="15">
      <c r="A626" s="1"/>
      <c r="B626" s="1"/>
    </row>
    <row r="627" spans="1:2" ht="15">
      <c r="A627" s="1"/>
      <c r="B627" s="1"/>
    </row>
    <row r="628" spans="1:2" ht="15">
      <c r="A628" s="1"/>
      <c r="B628" s="1"/>
    </row>
    <row r="629" spans="1:2" ht="15">
      <c r="A629" s="1"/>
      <c r="B629" s="1"/>
    </row>
    <row r="630" spans="1:2" ht="15">
      <c r="A630" s="1"/>
      <c r="B630" s="1"/>
    </row>
    <row r="631" spans="1:2" ht="15">
      <c r="A631" s="1"/>
      <c r="B631" s="1"/>
    </row>
    <row r="632" spans="1:2" ht="15">
      <c r="A632" s="1"/>
      <c r="B632" s="1"/>
    </row>
    <row r="633" spans="1:2" ht="15">
      <c r="A633" s="1"/>
      <c r="B633" s="1"/>
    </row>
    <row r="634" spans="1:2" ht="15">
      <c r="A634" s="1"/>
      <c r="B634" s="1"/>
    </row>
    <row r="635" spans="1:2" ht="15">
      <c r="A635" s="1"/>
      <c r="B635" s="1"/>
    </row>
    <row r="636" spans="1:2" ht="15">
      <c r="A636" s="1"/>
      <c r="B636" s="1"/>
    </row>
    <row r="637" spans="1:2" ht="15">
      <c r="A637" s="1"/>
      <c r="B637" s="1"/>
    </row>
    <row r="638" spans="1:2" ht="15">
      <c r="A638" s="1"/>
      <c r="B638" s="1"/>
    </row>
    <row r="639" spans="1:2" ht="15">
      <c r="A639" s="1"/>
      <c r="B639" s="1"/>
    </row>
    <row r="640" spans="1:2" ht="15">
      <c r="A640" s="1"/>
      <c r="B640" s="1"/>
    </row>
    <row r="641" spans="1:2" ht="15">
      <c r="A641" s="1"/>
      <c r="B641" s="1"/>
    </row>
    <row r="642" spans="1:2" ht="15">
      <c r="A642" s="1"/>
      <c r="B642" s="1"/>
    </row>
    <row r="643" spans="1:2" ht="15">
      <c r="A643" s="1"/>
      <c r="B643" s="1"/>
    </row>
    <row r="644" spans="1:2" ht="15">
      <c r="A644" s="1"/>
      <c r="B644" s="1"/>
    </row>
    <row r="645" spans="1:2" ht="15">
      <c r="A645" s="1"/>
      <c r="B645" s="1"/>
    </row>
    <row r="646" spans="1:2" ht="15">
      <c r="A646" s="1"/>
      <c r="B646" s="1"/>
    </row>
    <row r="647" spans="1:2" ht="15">
      <c r="A647" s="1"/>
      <c r="B647" s="1"/>
    </row>
    <row r="648" spans="1:2" ht="15">
      <c r="A648" s="1"/>
      <c r="B648" s="1"/>
    </row>
    <row r="649" spans="1:2" ht="15">
      <c r="A649" s="1"/>
      <c r="B649" s="1"/>
    </row>
    <row r="650" spans="1:2" ht="15">
      <c r="A650" s="1"/>
      <c r="B650" s="1"/>
    </row>
    <row r="651" spans="1:2" ht="15">
      <c r="A651" s="1"/>
      <c r="B651" s="1"/>
    </row>
    <row r="652" spans="1:2" ht="15">
      <c r="A652" s="1"/>
      <c r="B652" s="1"/>
    </row>
    <row r="653" spans="1:2" ht="15">
      <c r="A653" s="1"/>
      <c r="B653" s="1"/>
    </row>
    <row r="654" spans="1:2" ht="15">
      <c r="A654" s="1"/>
      <c r="B654" s="1"/>
    </row>
    <row r="655" spans="1:2" ht="15">
      <c r="A655" s="1"/>
      <c r="B655" s="1"/>
    </row>
    <row r="656" spans="1:2" ht="15">
      <c r="A656" s="1"/>
      <c r="B656" s="1"/>
    </row>
    <row r="657" spans="1:2" ht="15">
      <c r="A657" s="1"/>
      <c r="B657" s="1"/>
    </row>
    <row r="658" spans="1:2" ht="15">
      <c r="A658" s="1"/>
      <c r="B658" s="1"/>
    </row>
    <row r="659" spans="1:2" ht="15">
      <c r="A659" s="1"/>
      <c r="B659" s="1"/>
    </row>
    <row r="660" spans="1:2" ht="15">
      <c r="A660" s="1"/>
      <c r="B660" s="1"/>
    </row>
    <row r="661" spans="1:2" ht="15">
      <c r="A661" s="1"/>
      <c r="B661" s="1"/>
    </row>
    <row r="662" spans="1:2" ht="15">
      <c r="A662" s="1"/>
      <c r="B662" s="1"/>
    </row>
    <row r="663" spans="1:2" ht="15">
      <c r="A663" s="1"/>
      <c r="B663" s="1"/>
    </row>
    <row r="664" spans="1:2" ht="15">
      <c r="A664" s="1"/>
      <c r="B664" s="1"/>
    </row>
    <row r="665" spans="1:2" ht="15">
      <c r="A665" s="1"/>
      <c r="B665" s="1"/>
    </row>
    <row r="666" spans="1:2" ht="15">
      <c r="A666" s="1"/>
      <c r="B666" s="1"/>
    </row>
    <row r="667" spans="1:2" ht="15">
      <c r="A667" s="1"/>
      <c r="B667" s="1"/>
    </row>
    <row r="668" spans="1:2" ht="15">
      <c r="A668" s="1"/>
      <c r="B668" s="1"/>
    </row>
    <row r="669" spans="1:2" ht="15">
      <c r="A669" s="1"/>
      <c r="B669" s="1"/>
    </row>
    <row r="670" spans="1:2" ht="15">
      <c r="A670" s="1"/>
      <c r="B670" s="1"/>
    </row>
    <row r="671" spans="1:2" ht="15">
      <c r="A671" s="1"/>
      <c r="B671" s="1"/>
    </row>
    <row r="672" spans="1:2" ht="15">
      <c r="A672" s="1"/>
      <c r="B672" s="1"/>
    </row>
    <row r="673" spans="1:2" ht="15">
      <c r="A673" s="1"/>
      <c r="B673" s="1"/>
    </row>
    <row r="674" spans="1:2" ht="15">
      <c r="A674" s="1"/>
      <c r="B674" s="1"/>
    </row>
    <row r="675" spans="1:2" ht="15">
      <c r="A675" s="1"/>
      <c r="B675" s="1"/>
    </row>
    <row r="676" spans="1:2" ht="15">
      <c r="A676" s="1"/>
      <c r="B676" s="1"/>
    </row>
    <row r="677" spans="1:2" ht="15">
      <c r="A677" s="1"/>
      <c r="B677" s="1"/>
    </row>
    <row r="678" spans="1:2" ht="15">
      <c r="A678" s="1"/>
      <c r="B678" s="1"/>
    </row>
    <row r="679" spans="1:2" ht="15">
      <c r="A679" s="1"/>
      <c r="B679" s="1"/>
    </row>
    <row r="680" spans="1:2" ht="15">
      <c r="A680" s="1"/>
      <c r="B680" s="1"/>
    </row>
    <row r="681" spans="1:2" ht="15">
      <c r="A681" s="1"/>
      <c r="B681" s="1"/>
    </row>
    <row r="682" spans="1:2" ht="15">
      <c r="A682" s="1"/>
      <c r="B682" s="1"/>
    </row>
    <row r="683" spans="1:2" ht="15">
      <c r="A683" s="1"/>
      <c r="B683" s="1"/>
    </row>
    <row r="684" spans="1:2" ht="15">
      <c r="A684" s="1"/>
      <c r="B684" s="1"/>
    </row>
    <row r="685" spans="1:2" ht="15">
      <c r="A685" s="1"/>
      <c r="B685" s="1"/>
    </row>
    <row r="686" spans="1:2" ht="15">
      <c r="A686" s="1"/>
      <c r="B686" s="1"/>
    </row>
    <row r="687" spans="1:2" ht="15">
      <c r="A687" s="1"/>
      <c r="B687" s="1"/>
    </row>
    <row r="688" spans="1:2" ht="15">
      <c r="A688" s="1"/>
      <c r="B688" s="1"/>
    </row>
    <row r="689" spans="1:2" ht="15">
      <c r="A689" s="1"/>
      <c r="B689" s="1"/>
    </row>
    <row r="690" spans="1:2" ht="15">
      <c r="A690" s="1"/>
      <c r="B690" s="1"/>
    </row>
    <row r="691" spans="1:2" ht="15">
      <c r="A691" s="1"/>
      <c r="B691" s="1"/>
    </row>
    <row r="692" spans="1:2" ht="15">
      <c r="A692" s="1"/>
      <c r="B692" s="1"/>
    </row>
    <row r="693" spans="1:2" ht="15">
      <c r="A693" s="1"/>
      <c r="B693" s="1"/>
    </row>
    <row r="694" spans="1:2" ht="15">
      <c r="A694" s="1"/>
      <c r="B694" s="1"/>
    </row>
    <row r="695" spans="1:2" ht="15">
      <c r="A695" s="1"/>
      <c r="B695" s="1"/>
    </row>
    <row r="696" spans="1:2" ht="15">
      <c r="A696" s="1"/>
      <c r="B696" s="1"/>
    </row>
    <row r="697" spans="1:2" ht="15">
      <c r="A697" s="1"/>
      <c r="B697" s="1"/>
    </row>
    <row r="698" spans="1:2" ht="15">
      <c r="A698" s="1"/>
      <c r="B698" s="1"/>
    </row>
    <row r="699" spans="1:2" ht="15">
      <c r="A699" s="1"/>
      <c r="B699" s="1"/>
    </row>
    <row r="700" spans="1:2" ht="15">
      <c r="A700" s="1"/>
      <c r="B700" s="1"/>
    </row>
    <row r="701" spans="1:2" ht="15">
      <c r="A701" s="1"/>
      <c r="B701" s="1"/>
    </row>
    <row r="702" spans="1:2" ht="15">
      <c r="A702" s="1"/>
      <c r="B702" s="1"/>
    </row>
    <row r="703" spans="1:2" ht="15">
      <c r="A703" s="1"/>
      <c r="B703" s="1"/>
    </row>
    <row r="704" spans="1:2" ht="15">
      <c r="A704" s="1"/>
      <c r="B704" s="1"/>
    </row>
    <row r="705" spans="1:2" ht="15">
      <c r="A705" s="1"/>
      <c r="B705" s="1"/>
    </row>
    <row r="706" spans="1:2" ht="15">
      <c r="A706" s="1"/>
      <c r="B706" s="1"/>
    </row>
    <row r="707" spans="1:2" ht="15">
      <c r="A707" s="1"/>
      <c r="B707" s="1"/>
    </row>
    <row r="708" spans="1:2" ht="15">
      <c r="A708" s="1"/>
      <c r="B708" s="1"/>
    </row>
    <row r="709" spans="1:2" ht="15">
      <c r="A709" s="1"/>
      <c r="B709" s="1"/>
    </row>
    <row r="710" spans="1:2" ht="15">
      <c r="A710" s="1"/>
      <c r="B710" s="1"/>
    </row>
    <row r="711" spans="1:2" ht="15">
      <c r="A711" s="1"/>
      <c r="B711" s="1"/>
    </row>
    <row r="712" spans="1:2" ht="15">
      <c r="A712" s="1"/>
      <c r="B712" s="1"/>
    </row>
    <row r="713" spans="1:2" ht="15">
      <c r="A713" s="1"/>
      <c r="B713" s="1"/>
    </row>
    <row r="714" spans="1:2" ht="15">
      <c r="A714" s="1"/>
      <c r="B714" s="1"/>
    </row>
    <row r="715" spans="1:2" ht="15">
      <c r="A715" s="1"/>
      <c r="B715" s="1"/>
    </row>
    <row r="716" spans="1:2" ht="15">
      <c r="A716" s="1"/>
      <c r="B716" s="1"/>
    </row>
    <row r="717" spans="1:2" ht="15">
      <c r="A717" s="1"/>
      <c r="B717" s="1"/>
    </row>
    <row r="718" spans="1:2" ht="15">
      <c r="A718" s="1"/>
      <c r="B718" s="1"/>
    </row>
    <row r="719" spans="1:2" ht="15">
      <c r="A719" s="1"/>
      <c r="B719" s="1"/>
    </row>
    <row r="720" spans="1:2" ht="15">
      <c r="A720" s="1"/>
      <c r="B720" s="1"/>
    </row>
    <row r="721" spans="1:2" ht="15">
      <c r="A721" s="1"/>
      <c r="B721" s="1"/>
    </row>
    <row r="722" spans="1:2" ht="15">
      <c r="A722" s="1"/>
      <c r="B722" s="1"/>
    </row>
    <row r="723" spans="1:2" ht="15">
      <c r="A723" s="1"/>
      <c r="B723" s="1"/>
    </row>
    <row r="724" spans="1:2" ht="15">
      <c r="A724" s="1"/>
      <c r="B724" s="1"/>
    </row>
    <row r="725" spans="1:2" ht="15">
      <c r="A725" s="1"/>
      <c r="B725" s="1"/>
    </row>
    <row r="726" spans="1:2" ht="15">
      <c r="A726" s="1"/>
      <c r="B726" s="1"/>
    </row>
    <row r="727" spans="1:2" ht="15">
      <c r="A727" s="1"/>
      <c r="B727" s="1"/>
    </row>
    <row r="728" spans="1:2" ht="15">
      <c r="A728" s="1"/>
      <c r="B728" s="1"/>
    </row>
    <row r="729" spans="1:2" ht="15">
      <c r="A729" s="1"/>
      <c r="B729" s="1"/>
    </row>
    <row r="730" spans="1:2" ht="15">
      <c r="A730" s="1"/>
      <c r="B730" s="1"/>
    </row>
    <row r="731" spans="1:2" ht="15">
      <c r="A731" s="1"/>
      <c r="B731" s="1"/>
    </row>
    <row r="732" spans="1:2" ht="15">
      <c r="A732" s="1"/>
      <c r="B732" s="1"/>
    </row>
    <row r="733" spans="1:2" ht="15">
      <c r="A733" s="1"/>
      <c r="B733" s="1"/>
    </row>
    <row r="734" spans="1:2" ht="15">
      <c r="A734" s="1"/>
      <c r="B734" s="1"/>
    </row>
    <row r="735" spans="1:2" ht="15">
      <c r="A735" s="1"/>
      <c r="B735" s="1"/>
    </row>
    <row r="736" spans="1:2" ht="15">
      <c r="A736" s="1"/>
      <c r="B736" s="1"/>
    </row>
    <row r="737" spans="1:2" ht="15">
      <c r="A737" s="1"/>
      <c r="B737" s="1"/>
    </row>
    <row r="738" spans="1:2" ht="15">
      <c r="A738" s="1"/>
      <c r="B738" s="1"/>
    </row>
    <row r="739" spans="1:2" ht="15">
      <c r="A739" s="1"/>
      <c r="B739" s="1"/>
    </row>
    <row r="740" spans="1:2" ht="15">
      <c r="A740" s="1"/>
      <c r="B740" s="1"/>
    </row>
    <row r="741" spans="1:2" ht="15">
      <c r="A741" s="1"/>
      <c r="B741" s="1"/>
    </row>
    <row r="742" spans="1:2" ht="15">
      <c r="A742" s="1"/>
      <c r="B742" s="1"/>
    </row>
    <row r="743" spans="1:2" ht="15">
      <c r="A743" s="1"/>
      <c r="B743" s="1"/>
    </row>
    <row r="744" spans="1:2" ht="15">
      <c r="A744" s="1"/>
      <c r="B744" s="1"/>
    </row>
    <row r="745" spans="1:2" ht="15">
      <c r="A745" s="1"/>
      <c r="B745" s="1"/>
    </row>
    <row r="746" spans="1:2" ht="15">
      <c r="A746" s="1"/>
      <c r="B746" s="1"/>
    </row>
    <row r="747" spans="1:2" ht="15">
      <c r="A747" s="1"/>
      <c r="B747" s="1"/>
    </row>
    <row r="748" spans="1:2" ht="15">
      <c r="A748" s="1"/>
      <c r="B748" s="1"/>
    </row>
    <row r="749" spans="1:2" ht="15">
      <c r="A749" s="1"/>
      <c r="B749" s="1"/>
    </row>
    <row r="750" spans="1:2" ht="15">
      <c r="A750" s="1"/>
      <c r="B750" s="1"/>
    </row>
    <row r="751" spans="1:2" ht="15">
      <c r="A751" s="1"/>
      <c r="B751" s="1"/>
    </row>
    <row r="752" spans="1:2" ht="15">
      <c r="A752" s="1"/>
      <c r="B752" s="1"/>
    </row>
    <row r="753" spans="1:2" ht="15">
      <c r="A753" s="1"/>
      <c r="B753" s="1"/>
    </row>
    <row r="754" spans="1:2" ht="15">
      <c r="A754" s="1"/>
      <c r="B754" s="1"/>
    </row>
    <row r="755" spans="1:2" ht="15">
      <c r="A755" s="1"/>
      <c r="B755" s="1"/>
    </row>
    <row r="756" spans="1:2" ht="15">
      <c r="A756" s="1"/>
      <c r="B756" s="1"/>
    </row>
    <row r="757" spans="1:2" ht="15">
      <c r="A757" s="1"/>
      <c r="B757" s="1"/>
    </row>
    <row r="758" spans="1:2" ht="15">
      <c r="A758" s="1"/>
      <c r="B758" s="1"/>
    </row>
    <row r="759" spans="1:2" ht="15">
      <c r="A759" s="1"/>
      <c r="B759" s="1"/>
    </row>
    <row r="760" spans="1:2" ht="15">
      <c r="A760" s="1"/>
      <c r="B760" s="1"/>
    </row>
    <row r="761" spans="1:2" ht="15">
      <c r="A761" s="1"/>
      <c r="B761" s="1"/>
    </row>
    <row r="762" spans="1:2" ht="15">
      <c r="A762" s="1"/>
      <c r="B762" s="1"/>
    </row>
    <row r="763" spans="1:2" ht="15">
      <c r="A763" s="1"/>
      <c r="B763" s="1"/>
    </row>
    <row r="764" spans="1:2" ht="15">
      <c r="A764" s="1"/>
      <c r="B764" s="1"/>
    </row>
    <row r="765" spans="1:2" ht="15">
      <c r="A765" s="1"/>
      <c r="B765" s="1"/>
    </row>
    <row r="766" spans="1:2" ht="15">
      <c r="A766" s="1"/>
      <c r="B766" s="1"/>
    </row>
    <row r="767" spans="1:2" ht="15">
      <c r="A767" s="1"/>
      <c r="B767" s="1"/>
    </row>
    <row r="768" spans="1:2" ht="15">
      <c r="A768" s="1"/>
      <c r="B768" s="1"/>
    </row>
    <row r="769" spans="1:2" ht="15">
      <c r="A769" s="1"/>
      <c r="B769" s="1"/>
    </row>
    <row r="770" spans="1:2" ht="15">
      <c r="A770" s="1"/>
      <c r="B770" s="1"/>
    </row>
    <row r="771" spans="1:2" ht="15">
      <c r="A771" s="1"/>
      <c r="B771" s="1"/>
    </row>
    <row r="772" spans="1:2" ht="15">
      <c r="A772" s="1"/>
      <c r="B772" s="1"/>
    </row>
    <row r="773" spans="1:2" ht="15">
      <c r="A773" s="1"/>
      <c r="B773" s="1"/>
    </row>
    <row r="774" spans="1:2" ht="15">
      <c r="A774" s="1"/>
      <c r="B774" s="1"/>
    </row>
    <row r="775" spans="1:2" ht="15">
      <c r="A775" s="1"/>
      <c r="B775" s="1"/>
    </row>
    <row r="776" spans="1:2" ht="15">
      <c r="A776" s="1"/>
      <c r="B776" s="1"/>
    </row>
    <row r="777" spans="1:2" ht="15">
      <c r="A777" s="1"/>
      <c r="B777" s="1"/>
    </row>
    <row r="778" spans="1:2" ht="15">
      <c r="A778" s="1"/>
      <c r="B778" s="1"/>
    </row>
    <row r="779" spans="1:2" ht="15">
      <c r="A779" s="1"/>
      <c r="B779" s="1"/>
    </row>
    <row r="780" spans="1:2" ht="15">
      <c r="A780" s="1"/>
      <c r="B780" s="1"/>
    </row>
    <row r="781" spans="1:2" ht="15">
      <c r="A781" s="1"/>
      <c r="B781" s="1"/>
    </row>
    <row r="782" spans="1:2" ht="15">
      <c r="A782" s="1"/>
      <c r="B782" s="1"/>
    </row>
    <row r="783" spans="1:2" ht="15">
      <c r="A783" s="1"/>
      <c r="B783" s="1"/>
    </row>
    <row r="784" spans="1:2" ht="15">
      <c r="A784" s="1"/>
      <c r="B784" s="1"/>
    </row>
    <row r="785" spans="1:2" ht="15">
      <c r="A785" s="1"/>
      <c r="B785" s="1"/>
    </row>
    <row r="786" spans="1:2" ht="15">
      <c r="A786" s="1"/>
      <c r="B786" s="1"/>
    </row>
    <row r="787" spans="1:2" ht="15">
      <c r="A787" s="1"/>
      <c r="B787" s="1"/>
    </row>
    <row r="788" spans="1:2" ht="15">
      <c r="A788" s="1"/>
      <c r="B788" s="1"/>
    </row>
    <row r="789" spans="1:2" ht="15">
      <c r="A789" s="1"/>
      <c r="B789" s="1"/>
    </row>
    <row r="790" spans="1:2" ht="15">
      <c r="A790" s="1"/>
      <c r="B790" s="1"/>
    </row>
    <row r="791" spans="1:2" ht="15">
      <c r="A791" s="1"/>
      <c r="B791" s="1"/>
    </row>
    <row r="792" spans="1:2" ht="15">
      <c r="A792" s="1"/>
      <c r="B792" s="1"/>
    </row>
    <row r="793" spans="1:2" ht="15">
      <c r="A793" s="1"/>
      <c r="B793" s="1"/>
    </row>
    <row r="794" spans="1:2" ht="15">
      <c r="A794" s="1"/>
      <c r="B794" s="1"/>
    </row>
    <row r="795" spans="1:2" ht="15">
      <c r="A795" s="1"/>
      <c r="B795" s="1"/>
    </row>
    <row r="796" spans="1:2" ht="15">
      <c r="A796" s="1"/>
      <c r="B796" s="1"/>
    </row>
    <row r="797" spans="1:2" ht="15">
      <c r="A797" s="1"/>
      <c r="B797" s="1"/>
    </row>
    <row r="798" spans="1:2" ht="15">
      <c r="A798" s="1"/>
      <c r="B798" s="1"/>
    </row>
    <row r="799" spans="1:2" ht="15">
      <c r="A799" s="1"/>
      <c r="B799" s="1"/>
    </row>
    <row r="800" spans="1:2" ht="15">
      <c r="A800" s="1"/>
      <c r="B800" s="1"/>
    </row>
    <row r="801" spans="1:2" ht="15">
      <c r="A801" s="1"/>
      <c r="B801" s="1"/>
    </row>
    <row r="802" spans="1:2" ht="15">
      <c r="A802" s="1"/>
      <c r="B802" s="1"/>
    </row>
    <row r="803" spans="1:2" ht="15">
      <c r="A803" s="1"/>
      <c r="B803" s="1"/>
    </row>
    <row r="804" spans="1:2" ht="15">
      <c r="A804" s="1"/>
      <c r="B804" s="1"/>
    </row>
    <row r="805" spans="1:2" ht="15">
      <c r="A805" s="1"/>
      <c r="B805" s="1"/>
    </row>
    <row r="806" spans="1:2" ht="15">
      <c r="A806" s="1"/>
      <c r="B806" s="1"/>
    </row>
    <row r="807" spans="1:2" ht="15">
      <c r="A807" s="1"/>
      <c r="B807" s="1"/>
    </row>
    <row r="808" spans="1:2" ht="15">
      <c r="A808" s="1"/>
      <c r="B808" s="1"/>
    </row>
    <row r="809" spans="1:2" ht="15">
      <c r="A809" s="1"/>
      <c r="B809" s="1"/>
    </row>
    <row r="810" spans="1:2" ht="15">
      <c r="A810" s="1"/>
      <c r="B810" s="1"/>
    </row>
    <row r="811" spans="1:2" ht="15">
      <c r="A811" s="1"/>
      <c r="B811" s="1"/>
    </row>
    <row r="812" spans="1:2" ht="15">
      <c r="A812" s="1"/>
      <c r="B812" s="1"/>
    </row>
    <row r="813" spans="1:2" ht="15">
      <c r="A813" s="1"/>
      <c r="B813" s="1"/>
    </row>
    <row r="814" spans="1:2" ht="15">
      <c r="A814" s="1"/>
      <c r="B814" s="1"/>
    </row>
    <row r="815" spans="1:2" ht="15">
      <c r="A815" s="1"/>
      <c r="B815" s="1"/>
    </row>
    <row r="816" spans="1:2" ht="15">
      <c r="A816" s="1"/>
      <c r="B816" s="1"/>
    </row>
    <row r="817" spans="1:2" ht="15">
      <c r="A817" s="1"/>
      <c r="B817" s="1"/>
    </row>
    <row r="818" spans="1:2" ht="15">
      <c r="A818" s="1"/>
      <c r="B818" s="1"/>
    </row>
    <row r="819" spans="1:2" ht="15">
      <c r="A819" s="1"/>
      <c r="B819" s="1"/>
    </row>
    <row r="820" spans="1:2" ht="15">
      <c r="A820" s="1"/>
      <c r="B820" s="1"/>
    </row>
    <row r="821" spans="1:2" ht="15">
      <c r="A821" s="1"/>
      <c r="B821" s="1"/>
    </row>
    <row r="822" spans="1:2" ht="15">
      <c r="A822" s="1"/>
      <c r="B822" s="1"/>
    </row>
    <row r="823" spans="1:2" ht="15">
      <c r="A823" s="1"/>
      <c r="B823" s="1"/>
    </row>
    <row r="824" spans="1:2" ht="15">
      <c r="A824" s="1"/>
      <c r="B824" s="1"/>
    </row>
    <row r="825" spans="1:2" ht="15">
      <c r="A825" s="1"/>
      <c r="B825" s="1"/>
    </row>
    <row r="826" spans="1:2" ht="15">
      <c r="A826" s="1"/>
      <c r="B826" s="1"/>
    </row>
    <row r="827" spans="1:2" ht="15">
      <c r="A827" s="1"/>
      <c r="B827" s="1"/>
    </row>
    <row r="828" spans="1:2" ht="15">
      <c r="A828" s="1"/>
      <c r="B828" s="1"/>
    </row>
    <row r="829" spans="1:2" ht="15">
      <c r="A829" s="1"/>
      <c r="B829" s="1"/>
    </row>
    <row r="830" spans="1:2" ht="15">
      <c r="A830" s="1"/>
      <c r="B830" s="1"/>
    </row>
    <row r="831" spans="1:2" ht="15">
      <c r="A831" s="1"/>
      <c r="B831" s="1"/>
    </row>
    <row r="832" spans="1:2" ht="15">
      <c r="A832" s="1"/>
      <c r="B832" s="1"/>
    </row>
    <row r="833" spans="1:2" ht="15">
      <c r="A833" s="1"/>
      <c r="B833" s="1"/>
    </row>
    <row r="834" spans="1:2" ht="15">
      <c r="A834" s="1"/>
      <c r="B834" s="1"/>
    </row>
    <row r="835" spans="1:2" ht="15">
      <c r="A835" s="1"/>
      <c r="B835" s="1"/>
    </row>
    <row r="836" spans="1:2" ht="15">
      <c r="A836" s="1"/>
      <c r="B836" s="1"/>
    </row>
    <row r="837" spans="1:2" ht="15">
      <c r="A837" s="1"/>
      <c r="B837" s="1"/>
    </row>
    <row r="838" spans="1:2" ht="15">
      <c r="A838" s="1"/>
      <c r="B838" s="1"/>
    </row>
    <row r="839" spans="1:2" ht="15">
      <c r="A839" s="1"/>
      <c r="B839" s="1"/>
    </row>
    <row r="840" spans="1:2" ht="15">
      <c r="A840" s="1"/>
      <c r="B840" s="1"/>
    </row>
    <row r="841" spans="1:2" ht="15">
      <c r="A841" s="1"/>
      <c r="B841" s="1"/>
    </row>
    <row r="842" spans="1:2" ht="15">
      <c r="A842" s="1"/>
      <c r="B842" s="1"/>
    </row>
    <row r="843" spans="1:2" ht="15">
      <c r="A843" s="1"/>
      <c r="B843" s="1"/>
    </row>
    <row r="844" spans="1:2" ht="15">
      <c r="A844" s="1"/>
      <c r="B844" s="1"/>
    </row>
    <row r="845" spans="1:2" ht="15">
      <c r="A845" s="1"/>
      <c r="B845" s="1"/>
    </row>
    <row r="846" spans="1:2" ht="15">
      <c r="A846" s="1"/>
      <c r="B846" s="1"/>
    </row>
    <row r="847" spans="1:2" ht="15">
      <c r="A847" s="1"/>
      <c r="B847" s="1"/>
    </row>
    <row r="848" spans="1:2" ht="15">
      <c r="A848" s="1"/>
      <c r="B848" s="1"/>
    </row>
    <row r="849" spans="1:2" ht="15">
      <c r="A849" s="1"/>
      <c r="B849" s="1"/>
    </row>
    <row r="850" spans="1:2" ht="15">
      <c r="A850" s="1"/>
      <c r="B850" s="1"/>
    </row>
    <row r="851" spans="1:2" ht="15">
      <c r="A851" s="1"/>
      <c r="B851" s="1"/>
    </row>
    <row r="852" spans="1:2" ht="15">
      <c r="A852" s="1"/>
      <c r="B852" s="1"/>
    </row>
    <row r="853" spans="1:2" ht="15">
      <c r="A853" s="1"/>
      <c r="B853" s="1"/>
    </row>
    <row r="854" spans="1:2" ht="15">
      <c r="A854" s="1"/>
      <c r="B854" s="1"/>
    </row>
    <row r="855" spans="1:2" ht="15">
      <c r="A855" s="1"/>
      <c r="B855" s="1"/>
    </row>
    <row r="856" spans="1:2" ht="15">
      <c r="A856" s="1"/>
      <c r="B856" s="1"/>
    </row>
    <row r="857" spans="1:2" ht="15">
      <c r="A857" s="1"/>
      <c r="B857" s="1"/>
    </row>
    <row r="858" spans="1:2" ht="15">
      <c r="A858" s="1"/>
      <c r="B858" s="1"/>
    </row>
    <row r="859" spans="1:2" ht="15">
      <c r="A859" s="1"/>
      <c r="B859" s="1"/>
    </row>
    <row r="860" spans="1:2" ht="15">
      <c r="A860" s="1"/>
      <c r="B860" s="1"/>
    </row>
    <row r="861" spans="1:2" ht="15">
      <c r="A861" s="1"/>
      <c r="B861" s="1"/>
    </row>
    <row r="862" spans="1:2" ht="15">
      <c r="A862" s="1"/>
      <c r="B862" s="1"/>
    </row>
    <row r="863" spans="1:2" ht="15">
      <c r="A863" s="1"/>
      <c r="B863" s="1"/>
    </row>
    <row r="864" spans="1:2" ht="15">
      <c r="A864" s="1"/>
      <c r="B864" s="1"/>
    </row>
    <row r="865" spans="1:2" ht="15">
      <c r="A865" s="1"/>
      <c r="B865" s="1"/>
    </row>
    <row r="866" spans="1:2" ht="15">
      <c r="A866" s="1"/>
      <c r="B866" s="1"/>
    </row>
    <row r="867" spans="1:2" ht="15">
      <c r="A867" s="1"/>
      <c r="B867" s="1"/>
    </row>
    <row r="868" spans="1:2" ht="15">
      <c r="A868" s="1"/>
      <c r="B868" s="1"/>
    </row>
    <row r="869" spans="1:2" ht="15">
      <c r="A869" s="1"/>
      <c r="B869" s="1"/>
    </row>
    <row r="870" spans="1:2" ht="15">
      <c r="A870" s="1"/>
      <c r="B870" s="1"/>
    </row>
    <row r="871" spans="1:2" ht="15">
      <c r="A871" s="1"/>
      <c r="B871" s="1"/>
    </row>
    <row r="872" spans="1:2" ht="15">
      <c r="A872" s="1"/>
      <c r="B872" s="1"/>
    </row>
    <row r="873" spans="1:2" ht="15">
      <c r="A873" s="1"/>
      <c r="B873" s="1"/>
    </row>
    <row r="874" spans="1:2" ht="15">
      <c r="A874" s="1"/>
      <c r="B874" s="1"/>
    </row>
    <row r="875" spans="1:2" ht="15">
      <c r="A875" s="1"/>
      <c r="B875" s="1"/>
    </row>
    <row r="876" spans="1:2" ht="15">
      <c r="A876" s="1"/>
      <c r="B876" s="1"/>
    </row>
    <row r="877" spans="1:2" ht="15">
      <c r="A877" s="1"/>
      <c r="B877" s="1"/>
    </row>
    <row r="878" spans="1:2" ht="15">
      <c r="A878" s="1"/>
      <c r="B878" s="1"/>
    </row>
    <row r="879" spans="1:2" ht="15">
      <c r="A879" s="1"/>
      <c r="B879" s="1"/>
    </row>
    <row r="880" spans="1:2" ht="15">
      <c r="A880" s="1"/>
      <c r="B880" s="1"/>
    </row>
    <row r="881" spans="1:2" ht="15">
      <c r="A881" s="1"/>
      <c r="B881" s="1"/>
    </row>
    <row r="882" spans="1:2" ht="15">
      <c r="A882" s="1"/>
      <c r="B882" s="1"/>
    </row>
    <row r="883" spans="1:2" ht="15">
      <c r="A883" s="1"/>
      <c r="B883" s="1"/>
    </row>
    <row r="884" spans="1:2" ht="15">
      <c r="A884" s="1"/>
      <c r="B884" s="1"/>
    </row>
    <row r="885" spans="1:2" ht="15">
      <c r="A885" s="1"/>
      <c r="B885" s="1"/>
    </row>
    <row r="886" spans="1:2" ht="15">
      <c r="A886" s="1"/>
      <c r="B886" s="1"/>
    </row>
    <row r="887" spans="1:2" ht="15">
      <c r="A887" s="1"/>
      <c r="B887" s="1"/>
    </row>
    <row r="888" spans="1:2" ht="15">
      <c r="A888" s="1"/>
      <c r="B888" s="1"/>
    </row>
    <row r="889" spans="1:2" ht="15">
      <c r="A889" s="1"/>
      <c r="B889" s="1"/>
    </row>
    <row r="890" spans="1:2" ht="15">
      <c r="A890" s="1"/>
      <c r="B890" s="1"/>
    </row>
    <row r="891" spans="1:2" ht="15">
      <c r="A891" s="1"/>
      <c r="B891" s="1"/>
    </row>
    <row r="892" spans="1:2" ht="15">
      <c r="A892" s="1"/>
      <c r="B892" s="1"/>
    </row>
    <row r="893" spans="1:2" ht="15">
      <c r="A893" s="1"/>
      <c r="B893" s="1"/>
    </row>
    <row r="894" spans="1:2" ht="15">
      <c r="A894" s="1"/>
      <c r="B894" s="1"/>
    </row>
    <row r="895" spans="1:2" ht="15">
      <c r="A895" s="1"/>
      <c r="B895" s="1"/>
    </row>
    <row r="896" spans="1:2" ht="15">
      <c r="A896" s="1"/>
      <c r="B896" s="1"/>
    </row>
    <row r="897" spans="1:2" ht="15">
      <c r="A897" s="1"/>
      <c r="B897" s="1"/>
    </row>
    <row r="898" spans="1:2" ht="15">
      <c r="A898" s="1"/>
      <c r="B898" s="1"/>
    </row>
    <row r="899" spans="1:2" ht="15">
      <c r="A899" s="1"/>
      <c r="B899" s="1"/>
    </row>
    <row r="900" spans="1:2" ht="15">
      <c r="A900" s="1"/>
      <c r="B900" s="1"/>
    </row>
    <row r="901" spans="1:2" ht="15">
      <c r="A901" s="1"/>
      <c r="B901" s="1"/>
    </row>
    <row r="902" spans="1:2" ht="15">
      <c r="A902" s="1"/>
      <c r="B902" s="1"/>
    </row>
    <row r="903" spans="1:2" ht="15">
      <c r="A903" s="1"/>
      <c r="B903" s="1"/>
    </row>
    <row r="904" spans="1:2" ht="15">
      <c r="A904" s="1"/>
      <c r="B904" s="1"/>
    </row>
    <row r="905" spans="1:2" ht="15">
      <c r="A905" s="1"/>
      <c r="B905" s="1"/>
    </row>
    <row r="906" spans="1:2" ht="15">
      <c r="A906" s="1"/>
      <c r="B906" s="1"/>
    </row>
    <row r="907" spans="1:2" ht="15">
      <c r="A907" s="1"/>
      <c r="B907" s="1"/>
    </row>
    <row r="908" spans="1:2" ht="15">
      <c r="A908" s="1"/>
      <c r="B908" s="1"/>
    </row>
    <row r="909" spans="1:2" ht="15">
      <c r="A909" s="1"/>
      <c r="B909" s="1"/>
    </row>
    <row r="910" spans="1:2" ht="15">
      <c r="A910" s="1"/>
      <c r="B910" s="1"/>
    </row>
    <row r="911" spans="1:2" ht="15">
      <c r="A911" s="1"/>
      <c r="B911" s="1"/>
    </row>
    <row r="912" spans="1:2" ht="15">
      <c r="A912" s="1"/>
      <c r="B912" s="1"/>
    </row>
    <row r="913" spans="1:2" ht="15">
      <c r="A913" s="1"/>
      <c r="B913" s="1"/>
    </row>
    <row r="914" spans="1:2" ht="15">
      <c r="A914" s="1"/>
      <c r="B914" s="1"/>
    </row>
    <row r="915" spans="1:2" ht="15">
      <c r="A915" s="1"/>
      <c r="B915" s="1"/>
    </row>
    <row r="916" spans="1:2" ht="15">
      <c r="A916" s="1"/>
      <c r="B916" s="1"/>
    </row>
    <row r="917" spans="1:2" ht="15">
      <c r="A917" s="1"/>
      <c r="B917" s="1"/>
    </row>
    <row r="918" spans="1:2" ht="15">
      <c r="A918" s="1"/>
      <c r="B918" s="1"/>
    </row>
    <row r="919" spans="1:2" ht="15">
      <c r="A919" s="1"/>
      <c r="B919" s="1"/>
    </row>
    <row r="920" spans="1:2" ht="15">
      <c r="A920" s="1"/>
      <c r="B920" s="1"/>
    </row>
    <row r="921" spans="1:2" ht="15">
      <c r="A921" s="1"/>
      <c r="B921" s="1"/>
    </row>
    <row r="922" spans="1:2" ht="15">
      <c r="A922" s="1"/>
      <c r="B922" s="1"/>
    </row>
    <row r="923" spans="1:2" ht="15">
      <c r="A923" s="1"/>
      <c r="B923" s="1"/>
    </row>
    <row r="924" spans="1:2" ht="15">
      <c r="A924" s="1"/>
      <c r="B924" s="1"/>
    </row>
    <row r="925" spans="1:2" ht="15">
      <c r="A925" s="1"/>
      <c r="B925" s="1"/>
    </row>
    <row r="926" spans="1:2" ht="15">
      <c r="A926" s="1"/>
      <c r="B926" s="1"/>
    </row>
    <row r="927" spans="1:2" ht="15">
      <c r="A927" s="1"/>
      <c r="B927" s="1"/>
    </row>
    <row r="928" spans="1:2" ht="15">
      <c r="A928" s="1"/>
      <c r="B928" s="1"/>
    </row>
    <row r="929" spans="1:2" ht="15">
      <c r="A929" s="1"/>
      <c r="B929" s="1"/>
    </row>
    <row r="930" spans="1:2" ht="15">
      <c r="A930" s="1"/>
      <c r="B930" s="1"/>
    </row>
    <row r="931" spans="1:2" ht="15">
      <c r="A931" s="1"/>
      <c r="B931" s="1"/>
    </row>
    <row r="932" spans="1:2" ht="15">
      <c r="A932" s="1"/>
      <c r="B932" s="1"/>
    </row>
    <row r="933" spans="1:2" ht="15">
      <c r="A933" s="1"/>
      <c r="B933" s="1"/>
    </row>
    <row r="934" spans="1:2" ht="15">
      <c r="A934" s="1"/>
      <c r="B934" s="1"/>
    </row>
    <row r="935" spans="1:2" ht="15">
      <c r="A935" s="1"/>
      <c r="B935" s="1"/>
    </row>
    <row r="936" spans="1:2" ht="15">
      <c r="A936" s="1"/>
      <c r="B936" s="1"/>
    </row>
    <row r="937" spans="1:2" ht="15">
      <c r="A937" s="1"/>
      <c r="B937" s="1"/>
    </row>
    <row r="938" spans="1:2" ht="15">
      <c r="A938" s="1"/>
      <c r="B938" s="1"/>
    </row>
    <row r="939" spans="1:2" ht="15">
      <c r="A939" s="1"/>
      <c r="B939" s="1"/>
    </row>
    <row r="940" spans="1:2" ht="15">
      <c r="A940" s="1"/>
      <c r="B940" s="1"/>
    </row>
    <row r="941" spans="1:2" ht="15">
      <c r="A941" s="1"/>
      <c r="B941" s="1"/>
    </row>
    <row r="942" spans="1:2" ht="15">
      <c r="A942" s="1"/>
      <c r="B942" s="1"/>
    </row>
    <row r="943" spans="1:2" ht="15">
      <c r="A943" s="1"/>
      <c r="B943" s="1"/>
    </row>
    <row r="944" spans="1:2" ht="15">
      <c r="A944" s="1"/>
      <c r="B944" s="1"/>
    </row>
    <row r="945" spans="1:2" ht="15">
      <c r="A945" s="1"/>
      <c r="B945" s="1"/>
    </row>
    <row r="946" spans="1:2" ht="15">
      <c r="A946" s="1"/>
      <c r="B946" s="1"/>
    </row>
    <row r="947" spans="1:2" ht="15">
      <c r="A947" s="1"/>
      <c r="B947" s="1"/>
    </row>
    <row r="948" spans="1:2" ht="15">
      <c r="A948" s="1"/>
      <c r="B948" s="1"/>
    </row>
    <row r="949" spans="1:2" ht="15">
      <c r="A949" s="1"/>
      <c r="B949" s="1"/>
    </row>
    <row r="950" spans="1:2" ht="15">
      <c r="A950" s="1"/>
      <c r="B950" s="1"/>
    </row>
    <row r="951" spans="1:2" ht="15">
      <c r="A951" s="1"/>
      <c r="B951" s="1"/>
    </row>
    <row r="952" spans="1:2" ht="15">
      <c r="A952" s="1"/>
      <c r="B952" s="1"/>
    </row>
    <row r="953" spans="1:2" ht="15">
      <c r="A953" s="1"/>
      <c r="B953" s="1"/>
    </row>
    <row r="954" spans="1:2" ht="15">
      <c r="A954" s="1"/>
      <c r="B954" s="1"/>
    </row>
    <row r="955" spans="1:2" ht="15">
      <c r="A955" s="1"/>
      <c r="B955" s="1"/>
    </row>
    <row r="956" spans="1:2" ht="15">
      <c r="A956" s="1"/>
      <c r="B956" s="1"/>
    </row>
    <row r="957" spans="1:2" ht="15">
      <c r="A957" s="1"/>
      <c r="B957" s="1"/>
    </row>
    <row r="958" spans="1:2" ht="15">
      <c r="A958" s="1"/>
      <c r="B958" s="1"/>
    </row>
    <row r="959" spans="1:2" ht="15">
      <c r="A959" s="1"/>
      <c r="B959" s="1"/>
    </row>
    <row r="960" spans="1:2" ht="15">
      <c r="A960" s="1"/>
      <c r="B960" s="1"/>
    </row>
    <row r="961" spans="1:2" ht="15">
      <c r="A961" s="1"/>
      <c r="B961" s="1"/>
    </row>
    <row r="962" spans="1:2" ht="15">
      <c r="A962" s="1"/>
      <c r="B962" s="1"/>
    </row>
    <row r="963" spans="1:2" ht="15">
      <c r="A963" s="1"/>
      <c r="B963" s="1"/>
    </row>
    <row r="964" spans="1:2" ht="15">
      <c r="A964" s="1"/>
      <c r="B964" s="1"/>
    </row>
    <row r="965" spans="1:2" ht="15">
      <c r="A965" s="1"/>
      <c r="B965" s="1"/>
    </row>
    <row r="966" spans="1:2" ht="15">
      <c r="A966" s="1"/>
      <c r="B966" s="1"/>
    </row>
    <row r="967" spans="1:2" ht="15">
      <c r="A967" s="1"/>
      <c r="B967" s="1"/>
    </row>
    <row r="968" spans="1:2" ht="15">
      <c r="A968" s="1"/>
      <c r="B968" s="1"/>
    </row>
    <row r="969" spans="1:2" ht="15">
      <c r="A969" s="1"/>
      <c r="B969" s="1"/>
    </row>
    <row r="970" spans="1:2" ht="15">
      <c r="A970" s="1"/>
      <c r="B970" s="1"/>
    </row>
    <row r="971" spans="1:2" ht="15">
      <c r="A971" s="1"/>
      <c r="B971" s="1"/>
    </row>
    <row r="972" spans="1:2" ht="15">
      <c r="A972" s="1"/>
      <c r="B972" s="1"/>
    </row>
    <row r="973" spans="1:2" ht="15">
      <c r="A973" s="1"/>
      <c r="B973" s="1"/>
    </row>
    <row r="974" spans="1:2" ht="15">
      <c r="A974" s="1"/>
      <c r="B974" s="1"/>
    </row>
    <row r="975" spans="1:2" ht="15">
      <c r="A975" s="1"/>
      <c r="B975" s="1"/>
    </row>
    <row r="976" spans="1:2" ht="15">
      <c r="A976" s="1"/>
      <c r="B976" s="1"/>
    </row>
    <row r="977" spans="1:2" ht="15">
      <c r="A977" s="1"/>
      <c r="B977" s="1"/>
    </row>
    <row r="978" spans="1:2" ht="15">
      <c r="A978" s="1"/>
      <c r="B978" s="1"/>
    </row>
    <row r="979" spans="1:2" ht="15">
      <c r="A979" s="1"/>
      <c r="B979" s="1"/>
    </row>
    <row r="980" spans="1:2" ht="15">
      <c r="A980" s="1"/>
      <c r="B980" s="1"/>
    </row>
    <row r="981" spans="1:2" ht="15">
      <c r="A981" s="1"/>
      <c r="B981" s="1"/>
    </row>
    <row r="982" spans="1:2" ht="15">
      <c r="A982" s="1"/>
      <c r="B982" s="1"/>
    </row>
    <row r="983" spans="1:2" ht="15">
      <c r="A983" s="1"/>
      <c r="B983" s="1"/>
    </row>
    <row r="984" spans="1:2" ht="15">
      <c r="A984" s="1"/>
      <c r="B984" s="1"/>
    </row>
    <row r="985" spans="1:2" ht="15">
      <c r="A985" s="1"/>
      <c r="B985" s="1"/>
    </row>
    <row r="986" spans="1:2" ht="15">
      <c r="A986" s="1"/>
      <c r="B986" s="1"/>
    </row>
    <row r="987" spans="1:2" ht="15">
      <c r="A987" s="1"/>
      <c r="B987" s="1"/>
    </row>
    <row r="988" spans="1:2" ht="15">
      <c r="A988" s="1"/>
      <c r="B988" s="1"/>
    </row>
    <row r="989" spans="1:2" ht="15">
      <c r="A989" s="1"/>
      <c r="B989" s="1"/>
    </row>
    <row r="990" spans="1:2" ht="15">
      <c r="A990" s="1"/>
      <c r="B990" s="1"/>
    </row>
    <row r="991" spans="1:2" ht="15">
      <c r="A991" s="1"/>
      <c r="B991" s="1"/>
    </row>
    <row r="992" spans="1:2" ht="15">
      <c r="A992" s="1"/>
      <c r="B992" s="1"/>
    </row>
    <row r="993" spans="1:2" ht="15">
      <c r="A993" s="1"/>
      <c r="B993" s="1"/>
    </row>
    <row r="994" spans="1:2" ht="15">
      <c r="A994" s="1"/>
      <c r="B994" s="1"/>
    </row>
    <row r="995" spans="1:2" ht="15">
      <c r="A995" s="1"/>
      <c r="B995" s="1"/>
    </row>
    <row r="996" spans="1:2" ht="15">
      <c r="A996" s="1"/>
      <c r="B996" s="1"/>
    </row>
    <row r="997" spans="1:2" ht="15">
      <c r="A997" s="1"/>
      <c r="B997" s="1"/>
    </row>
    <row r="998" spans="1:2" ht="15">
      <c r="A998" s="1"/>
      <c r="B998" s="1"/>
    </row>
    <row r="999" spans="1:2" ht="15">
      <c r="A999" s="1"/>
      <c r="B999" s="1"/>
    </row>
    <row r="1000" spans="1:2" ht="15">
      <c r="A1000" s="1"/>
      <c r="B1000" s="1"/>
    </row>
  </sheetData>
  <mergeCells count="2">
    <mergeCell ref="C4:C17"/>
    <mergeCell ref="C19:C2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85AF-F907-491F-BFF4-5963DB5CD350}">
  <dimension ref="B1:CV39"/>
  <sheetViews>
    <sheetView topLeftCell="BP1" zoomScale="75" zoomScaleNormal="75" workbookViewId="0">
      <pane ySplit="2" topLeftCell="A3" activePane="bottomLeft" state="frozen"/>
      <selection pane="bottomLeft" activeCell="CL14" sqref="CL14"/>
    </sheetView>
  </sheetViews>
  <sheetFormatPr defaultRowHeight="12.75"/>
  <cols>
    <col min="1" max="1" width="0.7109375" style="13" customWidth="1"/>
    <col min="2" max="40" width="9.140625" style="13"/>
    <col min="41" max="41" width="12.140625" style="13" customWidth="1"/>
    <col min="42" max="59" width="9.140625" style="13"/>
    <col min="60" max="60" width="13.28515625" style="13" customWidth="1"/>
    <col min="61" max="75" width="9.140625" style="13"/>
    <col min="76" max="76" width="6.42578125" style="13" customWidth="1"/>
    <col min="77" max="89" width="9.140625" style="13"/>
    <col min="90" max="90" width="27.85546875" style="13" customWidth="1"/>
    <col min="91" max="100" width="12.7109375" style="13" customWidth="1"/>
    <col min="101" max="16384" width="9.140625" style="13"/>
  </cols>
  <sheetData>
    <row r="1" spans="2:100" ht="6" customHeight="1"/>
    <row r="2" spans="2:100" s="35" customFormat="1" ht="135.75" customHeight="1">
      <c r="B2" s="57" t="s">
        <v>120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pans="2:100" ht="13.5">
      <c r="B3" s="56" t="s">
        <v>105</v>
      </c>
      <c r="C3" s="56"/>
      <c r="D3" s="56"/>
      <c r="E3" s="56"/>
      <c r="F3" s="56"/>
      <c r="G3" s="56"/>
      <c r="H3" s="56"/>
      <c r="I3" s="56"/>
      <c r="K3" s="56" t="s">
        <v>111</v>
      </c>
      <c r="L3" s="56"/>
      <c r="M3" s="56"/>
      <c r="N3" s="56"/>
      <c r="O3" s="56"/>
      <c r="P3" s="56"/>
      <c r="Q3" s="56"/>
      <c r="R3" s="56"/>
      <c r="T3" s="56" t="s">
        <v>74</v>
      </c>
      <c r="U3" s="56"/>
      <c r="V3" s="56"/>
      <c r="W3" s="56"/>
      <c r="X3" s="56"/>
      <c r="Y3" s="56"/>
      <c r="Z3" s="56"/>
      <c r="AA3" s="56"/>
      <c r="AB3" s="43" t="s">
        <v>182</v>
      </c>
      <c r="AE3" s="56" t="s">
        <v>115</v>
      </c>
      <c r="AF3" s="56"/>
      <c r="AG3" s="56"/>
      <c r="AH3" s="56"/>
      <c r="AI3" s="56"/>
      <c r="AJ3" s="56"/>
      <c r="AK3" s="56"/>
      <c r="AL3" s="56"/>
      <c r="AN3" s="56" t="s">
        <v>116</v>
      </c>
      <c r="AO3" s="56"/>
      <c r="AP3" s="56"/>
      <c r="AQ3" s="56"/>
      <c r="AR3" s="56"/>
      <c r="AS3" s="56"/>
      <c r="AT3" s="56"/>
      <c r="AU3" s="56"/>
      <c r="AV3" s="56"/>
      <c r="AX3" s="56" t="s">
        <v>117</v>
      </c>
      <c r="AY3" s="56"/>
      <c r="AZ3" s="56"/>
      <c r="BA3" s="56"/>
      <c r="BB3" s="56"/>
      <c r="BC3" s="56"/>
      <c r="BD3" s="56"/>
      <c r="BE3" s="56"/>
      <c r="BG3" s="56" t="s">
        <v>118</v>
      </c>
      <c r="BH3" s="56"/>
      <c r="BI3" s="56"/>
      <c r="BJ3" s="56"/>
      <c r="BK3" s="56"/>
      <c r="BL3" s="56"/>
      <c r="BM3" s="56"/>
      <c r="BN3" s="56"/>
      <c r="BO3" s="56"/>
      <c r="BQ3" s="56" t="s">
        <v>119</v>
      </c>
      <c r="BR3" s="56"/>
      <c r="BS3" s="56"/>
      <c r="BT3" s="56"/>
      <c r="BU3" s="56"/>
      <c r="BV3" s="56"/>
      <c r="BW3" s="56"/>
      <c r="BX3" s="56"/>
      <c r="BZ3" s="59" t="s">
        <v>164</v>
      </c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45"/>
      <c r="CL3" s="59" t="s">
        <v>165</v>
      </c>
      <c r="CM3" s="59"/>
      <c r="CN3" s="59"/>
      <c r="CO3" s="59"/>
      <c r="CP3" s="59"/>
      <c r="CQ3" s="59"/>
      <c r="CR3" s="59"/>
      <c r="CS3" s="59"/>
      <c r="CT3" s="59"/>
      <c r="CU3" s="59"/>
      <c r="CV3" s="59"/>
    </row>
    <row r="4" spans="2:100" ht="13.5">
      <c r="B4" s="16" t="s">
        <v>82</v>
      </c>
      <c r="C4" s="16" t="s">
        <v>18</v>
      </c>
      <c r="D4" s="16" t="s">
        <v>22</v>
      </c>
      <c r="E4" s="16" t="s">
        <v>27</v>
      </c>
      <c r="F4" s="31" t="s">
        <v>110</v>
      </c>
      <c r="G4" s="16" t="s">
        <v>36</v>
      </c>
      <c r="H4" s="16" t="s">
        <v>39</v>
      </c>
      <c r="I4" s="16" t="s">
        <v>42</v>
      </c>
      <c r="K4" s="16" t="s">
        <v>82</v>
      </c>
      <c r="L4" s="16" t="s">
        <v>18</v>
      </c>
      <c r="M4" s="16" t="s">
        <v>22</v>
      </c>
      <c r="N4" s="16" t="s">
        <v>27</v>
      </c>
      <c r="O4" s="31" t="s">
        <v>110</v>
      </c>
      <c r="P4" s="16" t="s">
        <v>36</v>
      </c>
      <c r="Q4" s="16" t="s">
        <v>39</v>
      </c>
      <c r="R4" s="16" t="s">
        <v>42</v>
      </c>
      <c r="T4" s="16" t="s">
        <v>82</v>
      </c>
      <c r="U4" s="16" t="s">
        <v>18</v>
      </c>
      <c r="V4" s="16" t="s">
        <v>22</v>
      </c>
      <c r="W4" s="16" t="s">
        <v>27</v>
      </c>
      <c r="X4" s="31" t="s">
        <v>110</v>
      </c>
      <c r="Y4" s="16" t="s">
        <v>36</v>
      </c>
      <c r="Z4" s="16" t="s">
        <v>39</v>
      </c>
      <c r="AA4" s="16" t="s">
        <v>42</v>
      </c>
      <c r="AB4" s="31" t="s">
        <v>183</v>
      </c>
      <c r="AD4" s="44" t="s">
        <v>152</v>
      </c>
      <c r="AE4" s="16" t="s">
        <v>82</v>
      </c>
      <c r="AF4" s="16" t="s">
        <v>18</v>
      </c>
      <c r="AG4" s="16" t="s">
        <v>22</v>
      </c>
      <c r="AH4" s="16" t="s">
        <v>27</v>
      </c>
      <c r="AI4" s="31" t="s">
        <v>110</v>
      </c>
      <c r="AJ4" s="16" t="s">
        <v>36</v>
      </c>
      <c r="AK4" s="16" t="s">
        <v>39</v>
      </c>
      <c r="AL4" s="16" t="s">
        <v>42</v>
      </c>
      <c r="AN4" s="16" t="s">
        <v>82</v>
      </c>
      <c r="AO4" s="17" t="s">
        <v>104</v>
      </c>
      <c r="AP4" s="16" t="s">
        <v>18</v>
      </c>
      <c r="AQ4" s="16" t="s">
        <v>22</v>
      </c>
      <c r="AR4" s="16" t="s">
        <v>27</v>
      </c>
      <c r="AS4" s="31" t="s">
        <v>110</v>
      </c>
      <c r="AT4" s="16" t="s">
        <v>36</v>
      </c>
      <c r="AU4" s="16" t="s">
        <v>39</v>
      </c>
      <c r="AV4" s="16" t="s">
        <v>42</v>
      </c>
      <c r="AX4" s="16" t="s">
        <v>82</v>
      </c>
      <c r="AY4" s="16" t="s">
        <v>18</v>
      </c>
      <c r="AZ4" s="16" t="s">
        <v>22</v>
      </c>
      <c r="BA4" s="16" t="s">
        <v>27</v>
      </c>
      <c r="BB4" s="31" t="s">
        <v>110</v>
      </c>
      <c r="BC4" s="16" t="s">
        <v>36</v>
      </c>
      <c r="BD4" s="16" t="s">
        <v>39</v>
      </c>
      <c r="BE4" s="16" t="s">
        <v>42</v>
      </c>
      <c r="BG4" s="16" t="s">
        <v>82</v>
      </c>
      <c r="BH4" s="17" t="s">
        <v>87</v>
      </c>
      <c r="BI4" s="16" t="s">
        <v>18</v>
      </c>
      <c r="BJ4" s="16" t="s">
        <v>22</v>
      </c>
      <c r="BK4" s="16" t="s">
        <v>27</v>
      </c>
      <c r="BL4" s="31" t="s">
        <v>110</v>
      </c>
      <c r="BM4" s="16" t="s">
        <v>36</v>
      </c>
      <c r="BN4" s="16" t="s">
        <v>39</v>
      </c>
      <c r="BO4" s="16" t="s">
        <v>42</v>
      </c>
      <c r="BQ4" s="16" t="s">
        <v>82</v>
      </c>
      <c r="BR4" s="16" t="s">
        <v>18</v>
      </c>
      <c r="BS4" s="16" t="s">
        <v>22</v>
      </c>
      <c r="BT4" s="16" t="s">
        <v>27</v>
      </c>
      <c r="BU4" s="31" t="s">
        <v>110</v>
      </c>
      <c r="BV4" s="16" t="s">
        <v>36</v>
      </c>
      <c r="BW4" s="16" t="s">
        <v>39</v>
      </c>
      <c r="BX4" s="16" t="s">
        <v>42</v>
      </c>
      <c r="BZ4" s="16" t="s">
        <v>82</v>
      </c>
      <c r="CA4" s="16" t="s">
        <v>18</v>
      </c>
      <c r="CB4" s="16" t="s">
        <v>22</v>
      </c>
      <c r="CC4" s="16" t="s">
        <v>27</v>
      </c>
      <c r="CD4" s="31" t="s">
        <v>110</v>
      </c>
      <c r="CE4" s="16" t="s">
        <v>36</v>
      </c>
      <c r="CF4" s="16" t="s">
        <v>39</v>
      </c>
      <c r="CG4" s="16" t="s">
        <v>42</v>
      </c>
      <c r="CH4" s="42" t="s">
        <v>173</v>
      </c>
      <c r="CI4" s="42" t="s">
        <v>65</v>
      </c>
      <c r="CJ4" s="42" t="s">
        <v>68</v>
      </c>
      <c r="CL4" s="16" t="s">
        <v>82</v>
      </c>
      <c r="CM4" s="31" t="s">
        <v>134</v>
      </c>
      <c r="CN4" s="42" t="s">
        <v>131</v>
      </c>
      <c r="CO4" s="31" t="s">
        <v>136</v>
      </c>
      <c r="CP4" s="42" t="s">
        <v>31</v>
      </c>
      <c r="CQ4" s="58" t="s">
        <v>233</v>
      </c>
      <c r="CR4" s="42" t="s">
        <v>61</v>
      </c>
      <c r="CS4" s="42" t="s">
        <v>65</v>
      </c>
      <c r="CT4" s="42" t="s">
        <v>68</v>
      </c>
      <c r="CU4" s="42" t="s">
        <v>132</v>
      </c>
      <c r="CV4" s="42" t="s">
        <v>133</v>
      </c>
    </row>
    <row r="5" spans="2:100" ht="13.5">
      <c r="B5" s="18" t="s">
        <v>75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K5" s="18" t="s">
        <v>99</v>
      </c>
      <c r="L5" s="15">
        <v>1</v>
      </c>
      <c r="M5" s="15">
        <v>1</v>
      </c>
      <c r="N5" s="15">
        <v>1</v>
      </c>
      <c r="O5" s="15">
        <v>1</v>
      </c>
      <c r="P5" s="15">
        <v>1</v>
      </c>
      <c r="Q5" s="15">
        <v>1</v>
      </c>
      <c r="R5" s="15">
        <v>1</v>
      </c>
      <c r="T5" s="18" t="s">
        <v>96</v>
      </c>
      <c r="U5" s="15">
        <v>1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 t="s">
        <v>184</v>
      </c>
      <c r="AD5" s="44" t="s">
        <v>153</v>
      </c>
      <c r="AE5" s="18">
        <v>0</v>
      </c>
      <c r="AF5" s="15">
        <v>10</v>
      </c>
      <c r="AG5" s="15">
        <v>4</v>
      </c>
      <c r="AH5" s="15">
        <v>1</v>
      </c>
      <c r="AI5" s="15">
        <v>1</v>
      </c>
      <c r="AJ5" s="15">
        <v>1</v>
      </c>
      <c r="AK5" s="15">
        <v>120</v>
      </c>
      <c r="AL5" s="15">
        <v>1</v>
      </c>
      <c r="AN5" s="18">
        <v>0</v>
      </c>
      <c r="AO5" s="15">
        <v>0.01</v>
      </c>
      <c r="AP5" s="15">
        <v>1</v>
      </c>
      <c r="AQ5" s="15">
        <v>1</v>
      </c>
      <c r="AR5" s="15">
        <v>1</v>
      </c>
      <c r="AS5" s="15">
        <v>1</v>
      </c>
      <c r="AT5" s="15">
        <v>1</v>
      </c>
      <c r="AU5" s="15">
        <v>1</v>
      </c>
      <c r="AV5" s="15">
        <v>1</v>
      </c>
      <c r="AX5" s="18" t="s">
        <v>125</v>
      </c>
      <c r="AY5" s="15">
        <v>1</v>
      </c>
      <c r="AZ5" s="15">
        <v>1</v>
      </c>
      <c r="BA5" s="15">
        <v>1</v>
      </c>
      <c r="BB5" s="15">
        <v>1</v>
      </c>
      <c r="BC5" s="15">
        <v>1</v>
      </c>
      <c r="BD5" s="15">
        <v>1</v>
      </c>
      <c r="BE5" s="15">
        <v>1</v>
      </c>
      <c r="BG5" s="18">
        <v>0</v>
      </c>
      <c r="BH5" s="15">
        <v>1</v>
      </c>
      <c r="BI5" s="15">
        <v>1</v>
      </c>
      <c r="BJ5" s="15">
        <v>1</v>
      </c>
      <c r="BK5" s="15">
        <v>1</v>
      </c>
      <c r="BL5" s="15">
        <v>1</v>
      </c>
      <c r="BM5" s="15">
        <v>1</v>
      </c>
      <c r="BN5" s="15">
        <v>1</v>
      </c>
      <c r="BO5" s="15">
        <v>1</v>
      </c>
      <c r="BQ5" s="18">
        <v>1</v>
      </c>
      <c r="BR5" s="13">
        <v>1</v>
      </c>
      <c r="BS5" s="13">
        <v>1</v>
      </c>
      <c r="BT5" s="13">
        <v>1</v>
      </c>
      <c r="BU5" s="13">
        <v>1</v>
      </c>
      <c r="BV5" s="13">
        <v>1</v>
      </c>
      <c r="BW5" s="13">
        <v>1</v>
      </c>
      <c r="BX5" s="15">
        <v>1</v>
      </c>
      <c r="BZ5" s="60" t="s">
        <v>176</v>
      </c>
      <c r="CA5" s="15">
        <v>1</v>
      </c>
      <c r="CB5" s="15">
        <v>1</v>
      </c>
      <c r="CC5" s="15">
        <v>1</v>
      </c>
      <c r="CD5" s="15">
        <v>1</v>
      </c>
      <c r="CE5" s="15">
        <v>1</v>
      </c>
      <c r="CF5" s="15">
        <v>1</v>
      </c>
      <c r="CG5" s="15">
        <v>1</v>
      </c>
      <c r="CH5" s="15">
        <v>1</v>
      </c>
      <c r="CI5" s="15">
        <v>1</v>
      </c>
      <c r="CJ5" s="15">
        <v>1</v>
      </c>
      <c r="CL5" s="60" t="s">
        <v>181</v>
      </c>
      <c r="CM5" s="61" t="s">
        <v>75</v>
      </c>
      <c r="CN5" s="61" t="s">
        <v>95</v>
      </c>
      <c r="CO5" s="61" t="s">
        <v>80</v>
      </c>
      <c r="CP5" s="61" t="s">
        <v>128</v>
      </c>
      <c r="CQ5" s="61">
        <v>0</v>
      </c>
      <c r="CR5" s="61" t="s">
        <v>124</v>
      </c>
      <c r="CS5" s="61">
        <v>0</v>
      </c>
      <c r="CT5" s="61">
        <v>1</v>
      </c>
      <c r="CU5" s="61" t="s">
        <v>124</v>
      </c>
      <c r="CV5" s="61" t="s">
        <v>124</v>
      </c>
    </row>
    <row r="6" spans="2:100" ht="13.5">
      <c r="B6" s="18" t="s">
        <v>76</v>
      </c>
      <c r="C6" s="15">
        <v>1</v>
      </c>
      <c r="D6" s="15">
        <v>0.9</v>
      </c>
      <c r="E6" s="15">
        <v>0.9</v>
      </c>
      <c r="F6" s="15">
        <v>0.9</v>
      </c>
      <c r="G6" s="15">
        <v>0.9</v>
      </c>
      <c r="H6" s="15">
        <v>0.9</v>
      </c>
      <c r="I6" s="15">
        <v>0.9</v>
      </c>
      <c r="K6" s="18" t="s">
        <v>100</v>
      </c>
      <c r="L6" s="15">
        <v>2</v>
      </c>
      <c r="M6" s="15">
        <v>2</v>
      </c>
      <c r="N6" s="15">
        <v>2</v>
      </c>
      <c r="O6" s="15">
        <v>2</v>
      </c>
      <c r="P6" s="15">
        <v>2</v>
      </c>
      <c r="Q6" s="15">
        <v>2</v>
      </c>
      <c r="R6" s="15">
        <v>2</v>
      </c>
      <c r="T6" s="18" t="s">
        <v>97</v>
      </c>
      <c r="U6" s="15">
        <v>2</v>
      </c>
      <c r="V6" s="15">
        <v>2</v>
      </c>
      <c r="W6" s="15">
        <v>2</v>
      </c>
      <c r="X6" s="15">
        <v>2</v>
      </c>
      <c r="Y6" s="15">
        <v>2</v>
      </c>
      <c r="Z6" s="15">
        <v>2</v>
      </c>
      <c r="AA6" s="15">
        <v>2</v>
      </c>
      <c r="AB6" s="15" t="s">
        <v>185</v>
      </c>
      <c r="AD6" s="13" t="s">
        <v>154</v>
      </c>
      <c r="AE6" s="18">
        <v>1000</v>
      </c>
      <c r="AF6" s="15">
        <v>20</v>
      </c>
      <c r="AG6" s="15">
        <v>4</v>
      </c>
      <c r="AH6" s="15">
        <v>1</v>
      </c>
      <c r="AI6" s="15">
        <v>2</v>
      </c>
      <c r="AJ6" s="15">
        <v>2</v>
      </c>
      <c r="AK6" s="15">
        <v>120</v>
      </c>
      <c r="AL6" s="15">
        <v>2</v>
      </c>
      <c r="AN6" s="18">
        <v>1</v>
      </c>
      <c r="AO6" s="15">
        <v>0.01</v>
      </c>
      <c r="AP6" s="15">
        <v>1</v>
      </c>
      <c r="AQ6" s="15">
        <v>1</v>
      </c>
      <c r="AR6" s="15">
        <v>1</v>
      </c>
      <c r="AS6" s="15">
        <v>1</v>
      </c>
      <c r="AT6" s="15">
        <v>1</v>
      </c>
      <c r="AU6" s="15">
        <v>1</v>
      </c>
      <c r="AV6" s="15">
        <v>1</v>
      </c>
      <c r="AX6" s="18" t="s">
        <v>83</v>
      </c>
      <c r="AY6" s="15">
        <v>1</v>
      </c>
      <c r="AZ6" s="15">
        <v>1</v>
      </c>
      <c r="BA6" s="15">
        <v>1</v>
      </c>
      <c r="BB6" s="15">
        <v>1</v>
      </c>
      <c r="BC6" s="15">
        <v>1</v>
      </c>
      <c r="BD6" s="15">
        <v>1</v>
      </c>
      <c r="BE6" s="15">
        <v>1</v>
      </c>
      <c r="BG6" s="18">
        <v>1</v>
      </c>
      <c r="BH6" s="15">
        <v>1</v>
      </c>
      <c r="BI6" s="15">
        <v>1</v>
      </c>
      <c r="BJ6" s="15">
        <v>1</v>
      </c>
      <c r="BK6" s="15">
        <v>1</v>
      </c>
      <c r="BL6" s="15">
        <v>1</v>
      </c>
      <c r="BM6" s="15">
        <v>1</v>
      </c>
      <c r="BN6" s="15">
        <v>1</v>
      </c>
      <c r="BO6" s="15">
        <v>1</v>
      </c>
      <c r="BQ6" s="18">
        <v>2</v>
      </c>
      <c r="BR6" s="15">
        <v>2</v>
      </c>
      <c r="BS6" s="15">
        <v>2</v>
      </c>
      <c r="BT6" s="15">
        <v>2</v>
      </c>
      <c r="BU6" s="15">
        <v>2</v>
      </c>
      <c r="BV6" s="15">
        <v>2</v>
      </c>
      <c r="BW6" s="15">
        <v>2</v>
      </c>
      <c r="BX6" s="15">
        <v>2</v>
      </c>
      <c r="BZ6" s="15" t="s">
        <v>166</v>
      </c>
      <c r="CA6" s="15">
        <v>1</v>
      </c>
      <c r="CB6" s="15">
        <v>1</v>
      </c>
      <c r="CC6" s="15">
        <v>1</v>
      </c>
      <c r="CD6" s="15">
        <v>1</v>
      </c>
      <c r="CE6" s="15">
        <v>1</v>
      </c>
      <c r="CF6" s="15">
        <v>1</v>
      </c>
      <c r="CG6" s="15">
        <v>1</v>
      </c>
      <c r="CH6" s="15">
        <v>2</v>
      </c>
      <c r="CI6" s="15">
        <v>2</v>
      </c>
      <c r="CJ6" s="15">
        <v>2</v>
      </c>
      <c r="CL6" s="60" t="s">
        <v>188</v>
      </c>
      <c r="CM6" s="61" t="s">
        <v>75</v>
      </c>
      <c r="CN6" s="61" t="s">
        <v>95</v>
      </c>
      <c r="CO6" s="61" t="s">
        <v>222</v>
      </c>
      <c r="CP6" s="61" t="s">
        <v>128</v>
      </c>
      <c r="CQ6" s="61">
        <v>0</v>
      </c>
      <c r="CR6" s="61" t="s">
        <v>124</v>
      </c>
      <c r="CS6" s="61">
        <v>0</v>
      </c>
      <c r="CT6" s="61">
        <v>1</v>
      </c>
      <c r="CU6" s="61" t="s">
        <v>124</v>
      </c>
      <c r="CV6" s="61" t="s">
        <v>124</v>
      </c>
    </row>
    <row r="7" spans="2:100" ht="13.5">
      <c r="B7" s="18" t="s">
        <v>77</v>
      </c>
      <c r="C7" s="15">
        <v>1</v>
      </c>
      <c r="D7" s="15">
        <v>0.8</v>
      </c>
      <c r="E7" s="15">
        <v>0.8</v>
      </c>
      <c r="F7" s="15">
        <v>0.8</v>
      </c>
      <c r="G7" s="15">
        <v>0.8</v>
      </c>
      <c r="H7" s="15">
        <v>0.8</v>
      </c>
      <c r="I7" s="15">
        <v>0.8</v>
      </c>
      <c r="K7" s="18" t="s">
        <v>101</v>
      </c>
      <c r="L7" s="15">
        <v>3</v>
      </c>
      <c r="M7" s="15">
        <v>3</v>
      </c>
      <c r="N7" s="15">
        <v>3</v>
      </c>
      <c r="O7" s="15">
        <v>3</v>
      </c>
      <c r="P7" s="15">
        <v>3</v>
      </c>
      <c r="Q7" s="15">
        <v>3</v>
      </c>
      <c r="R7" s="15">
        <v>3</v>
      </c>
      <c r="T7" s="18" t="s">
        <v>98</v>
      </c>
      <c r="U7" s="15">
        <v>3</v>
      </c>
      <c r="V7" s="15">
        <v>3</v>
      </c>
      <c r="W7" s="15">
        <v>3</v>
      </c>
      <c r="X7" s="15">
        <v>3</v>
      </c>
      <c r="Y7" s="15">
        <v>3</v>
      </c>
      <c r="Z7" s="15">
        <v>3</v>
      </c>
      <c r="AA7" s="15">
        <v>3</v>
      </c>
      <c r="AB7" s="15" t="s">
        <v>186</v>
      </c>
      <c r="AD7" s="13" t="s">
        <v>155</v>
      </c>
      <c r="AE7" s="18">
        <v>2000</v>
      </c>
      <c r="AF7" s="15">
        <v>30</v>
      </c>
      <c r="AG7" s="15">
        <v>4</v>
      </c>
      <c r="AH7" s="15">
        <v>1</v>
      </c>
      <c r="AI7" s="15">
        <v>3</v>
      </c>
      <c r="AJ7" s="15">
        <v>3</v>
      </c>
      <c r="AK7" s="15">
        <v>120</v>
      </c>
      <c r="AL7" s="15">
        <v>3</v>
      </c>
      <c r="AN7" s="18">
        <v>2</v>
      </c>
      <c r="AO7" s="15">
        <v>0.01</v>
      </c>
      <c r="AP7" s="15">
        <v>2</v>
      </c>
      <c r="AQ7" s="15">
        <v>2</v>
      </c>
      <c r="AR7" s="15">
        <v>2</v>
      </c>
      <c r="AS7" s="15">
        <v>2</v>
      </c>
      <c r="AT7" s="15">
        <v>2</v>
      </c>
      <c r="AU7" s="15">
        <v>2</v>
      </c>
      <c r="AV7" s="15">
        <v>2</v>
      </c>
      <c r="AX7" s="18" t="s">
        <v>84</v>
      </c>
      <c r="AY7" s="15">
        <v>2</v>
      </c>
      <c r="AZ7" s="15">
        <v>2</v>
      </c>
      <c r="BA7" s="15">
        <v>2</v>
      </c>
      <c r="BB7" s="15">
        <v>2</v>
      </c>
      <c r="BC7" s="15">
        <v>2</v>
      </c>
      <c r="BD7" s="15">
        <v>2</v>
      </c>
      <c r="BE7" s="15">
        <v>2</v>
      </c>
      <c r="BG7" s="18">
        <v>2</v>
      </c>
      <c r="BH7" s="15">
        <v>2</v>
      </c>
      <c r="BI7" s="15">
        <v>2</v>
      </c>
      <c r="BJ7" s="15">
        <v>2</v>
      </c>
      <c r="BK7" s="15">
        <v>2</v>
      </c>
      <c r="BL7" s="15">
        <v>2</v>
      </c>
      <c r="BM7" s="15">
        <v>2</v>
      </c>
      <c r="BN7" s="15">
        <v>2</v>
      </c>
      <c r="BO7" s="15">
        <v>2</v>
      </c>
      <c r="BQ7" s="18">
        <v>3</v>
      </c>
      <c r="BR7" s="15">
        <v>3</v>
      </c>
      <c r="BS7" s="15">
        <v>3</v>
      </c>
      <c r="BT7" s="15">
        <v>3</v>
      </c>
      <c r="BU7" s="15">
        <v>3</v>
      </c>
      <c r="BV7" s="15">
        <v>3</v>
      </c>
      <c r="BW7" s="15">
        <v>3</v>
      </c>
      <c r="BX7" s="15">
        <v>3</v>
      </c>
      <c r="BZ7" s="15" t="s">
        <v>167</v>
      </c>
      <c r="CA7" s="15">
        <v>1</v>
      </c>
      <c r="CB7" s="15">
        <v>1</v>
      </c>
      <c r="CC7" s="15">
        <v>1</v>
      </c>
      <c r="CD7" s="15">
        <v>1</v>
      </c>
      <c r="CE7" s="15">
        <v>1</v>
      </c>
      <c r="CF7" s="15">
        <v>1</v>
      </c>
      <c r="CG7" s="15">
        <v>1</v>
      </c>
      <c r="CH7" s="15">
        <v>3</v>
      </c>
      <c r="CI7" s="15">
        <v>3</v>
      </c>
      <c r="CJ7" s="15">
        <v>3</v>
      </c>
      <c r="CL7" s="60" t="s">
        <v>189</v>
      </c>
      <c r="CM7" s="61" t="s">
        <v>211</v>
      </c>
      <c r="CN7" s="61" t="s">
        <v>218</v>
      </c>
      <c r="CO7" s="61" t="s">
        <v>80</v>
      </c>
      <c r="CP7" s="61" t="s">
        <v>128</v>
      </c>
      <c r="CQ7" s="61">
        <v>1</v>
      </c>
      <c r="CR7" s="61" t="s">
        <v>124</v>
      </c>
      <c r="CS7" s="61">
        <v>0</v>
      </c>
      <c r="CT7" s="61">
        <v>1</v>
      </c>
      <c r="CU7" s="61" t="s">
        <v>124</v>
      </c>
      <c r="CV7" s="61" t="s">
        <v>124</v>
      </c>
    </row>
    <row r="8" spans="2:100" ht="13.5">
      <c r="B8" s="18" t="s">
        <v>78</v>
      </c>
      <c r="C8" s="15">
        <v>1</v>
      </c>
      <c r="D8" s="15">
        <v>0.7</v>
      </c>
      <c r="E8" s="15">
        <v>0.7</v>
      </c>
      <c r="F8" s="15">
        <v>0.7</v>
      </c>
      <c r="G8" s="15">
        <v>0.7</v>
      </c>
      <c r="H8" s="15">
        <v>0.7</v>
      </c>
      <c r="I8" s="15">
        <v>0.7</v>
      </c>
      <c r="AD8" s="13" t="s">
        <v>156</v>
      </c>
      <c r="AE8" s="18">
        <v>3000</v>
      </c>
      <c r="AF8" s="15">
        <v>40</v>
      </c>
      <c r="AG8" s="15">
        <v>5</v>
      </c>
      <c r="AH8" s="15">
        <v>1</v>
      </c>
      <c r="AI8" s="15">
        <v>4</v>
      </c>
      <c r="AJ8" s="15">
        <v>4</v>
      </c>
      <c r="AK8" s="15">
        <v>120</v>
      </c>
      <c r="AL8" s="15">
        <v>4</v>
      </c>
      <c r="AN8" s="18">
        <v>3</v>
      </c>
      <c r="AO8" s="15">
        <v>0.01</v>
      </c>
      <c r="AP8" s="15">
        <v>3</v>
      </c>
      <c r="AQ8" s="15">
        <v>3</v>
      </c>
      <c r="AR8" s="15">
        <v>3</v>
      </c>
      <c r="AS8" s="15">
        <v>3</v>
      </c>
      <c r="AT8" s="15">
        <v>3</v>
      </c>
      <c r="AU8" s="15">
        <v>3</v>
      </c>
      <c r="AV8" s="15">
        <v>3</v>
      </c>
      <c r="AX8" s="18" t="s">
        <v>85</v>
      </c>
      <c r="AY8" s="15">
        <v>3</v>
      </c>
      <c r="AZ8" s="15">
        <v>3</v>
      </c>
      <c r="BA8" s="15">
        <v>3</v>
      </c>
      <c r="BB8" s="15">
        <v>3</v>
      </c>
      <c r="BC8" s="15">
        <v>3</v>
      </c>
      <c r="BD8" s="15">
        <v>3</v>
      </c>
      <c r="BE8" s="15">
        <v>3</v>
      </c>
      <c r="BG8" s="18">
        <v>3</v>
      </c>
      <c r="BH8" s="15">
        <v>3</v>
      </c>
      <c r="BI8" s="15">
        <v>3</v>
      </c>
      <c r="BJ8" s="15">
        <v>3</v>
      </c>
      <c r="BK8" s="15">
        <v>3</v>
      </c>
      <c r="BL8" s="15">
        <v>3</v>
      </c>
      <c r="BM8" s="15">
        <v>3</v>
      </c>
      <c r="BN8" s="15">
        <v>3</v>
      </c>
      <c r="BO8" s="15">
        <v>3</v>
      </c>
      <c r="BQ8" s="18">
        <v>4</v>
      </c>
      <c r="BR8" s="15">
        <v>4</v>
      </c>
      <c r="BS8" s="15">
        <v>4</v>
      </c>
      <c r="BT8" s="15">
        <v>4</v>
      </c>
      <c r="BU8" s="15">
        <v>4</v>
      </c>
      <c r="BV8" s="15">
        <v>4</v>
      </c>
      <c r="BW8" s="15">
        <v>4</v>
      </c>
      <c r="BX8" s="15">
        <v>4</v>
      </c>
      <c r="BZ8" s="15" t="s">
        <v>168</v>
      </c>
      <c r="CA8" s="15">
        <v>1</v>
      </c>
      <c r="CB8" s="15">
        <v>1</v>
      </c>
      <c r="CC8" s="15">
        <v>1</v>
      </c>
      <c r="CD8" s="15">
        <v>1</v>
      </c>
      <c r="CE8" s="15">
        <v>1</v>
      </c>
      <c r="CF8" s="15">
        <v>1</v>
      </c>
      <c r="CG8" s="15">
        <v>1</v>
      </c>
      <c r="CH8" s="15">
        <v>4</v>
      </c>
      <c r="CI8" s="15">
        <v>4</v>
      </c>
      <c r="CJ8" s="15">
        <v>4</v>
      </c>
      <c r="CL8" s="60" t="s">
        <v>190</v>
      </c>
      <c r="CM8" s="61" t="s">
        <v>212</v>
      </c>
      <c r="CN8" s="61" t="s">
        <v>219</v>
      </c>
      <c r="CO8" s="61" t="s">
        <v>80</v>
      </c>
      <c r="CP8" s="61" t="s">
        <v>223</v>
      </c>
      <c r="CQ8" s="61">
        <v>0</v>
      </c>
      <c r="CR8" s="61" t="s">
        <v>124</v>
      </c>
      <c r="CS8" s="61">
        <v>3</v>
      </c>
      <c r="CT8" s="61">
        <v>1</v>
      </c>
      <c r="CU8" s="61" t="s">
        <v>124</v>
      </c>
      <c r="CV8" s="61" t="s">
        <v>124</v>
      </c>
    </row>
    <row r="9" spans="2:100" ht="13.5">
      <c r="B9" s="18" t="s">
        <v>79</v>
      </c>
      <c r="C9" s="15">
        <v>1</v>
      </c>
      <c r="D9" s="15">
        <v>0.6</v>
      </c>
      <c r="E9" s="15">
        <v>0.6</v>
      </c>
      <c r="F9" s="15">
        <v>0.6</v>
      </c>
      <c r="G9" s="15">
        <v>0.6</v>
      </c>
      <c r="H9" s="15">
        <v>0.6</v>
      </c>
      <c r="I9" s="15">
        <v>0.6</v>
      </c>
      <c r="AD9" s="13" t="s">
        <v>157</v>
      </c>
      <c r="AE9" s="18">
        <v>4000</v>
      </c>
      <c r="AF9" s="15">
        <v>50</v>
      </c>
      <c r="AG9" s="15">
        <v>5</v>
      </c>
      <c r="AH9" s="15">
        <v>1</v>
      </c>
      <c r="AI9" s="15">
        <v>5</v>
      </c>
      <c r="AJ9" s="15">
        <v>5</v>
      </c>
      <c r="AK9" s="15">
        <v>120</v>
      </c>
      <c r="AL9" s="15">
        <v>5</v>
      </c>
      <c r="AN9" s="18">
        <v>4</v>
      </c>
      <c r="AO9" s="15">
        <v>0.01</v>
      </c>
      <c r="AP9" s="15">
        <v>4</v>
      </c>
      <c r="AQ9" s="15">
        <v>4</v>
      </c>
      <c r="AR9" s="15">
        <v>4</v>
      </c>
      <c r="AS9" s="15">
        <v>4</v>
      </c>
      <c r="AT9" s="15">
        <v>4</v>
      </c>
      <c r="AU9" s="15">
        <v>4</v>
      </c>
      <c r="AV9" s="15">
        <v>4</v>
      </c>
      <c r="AX9" s="20" t="s">
        <v>86</v>
      </c>
      <c r="AY9" s="15">
        <v>4</v>
      </c>
      <c r="AZ9" s="15">
        <v>4</v>
      </c>
      <c r="BA9" s="15">
        <v>4</v>
      </c>
      <c r="BB9" s="15">
        <v>4</v>
      </c>
      <c r="BC9" s="15">
        <v>4</v>
      </c>
      <c r="BD9" s="15">
        <v>4</v>
      </c>
      <c r="BE9" s="15">
        <v>4</v>
      </c>
      <c r="BG9" s="18">
        <v>4</v>
      </c>
      <c r="BH9" s="15">
        <v>4</v>
      </c>
      <c r="BI9" s="15">
        <v>4</v>
      </c>
      <c r="BJ9" s="15">
        <v>4</v>
      </c>
      <c r="BK9" s="15">
        <v>4</v>
      </c>
      <c r="BL9" s="15">
        <v>4</v>
      </c>
      <c r="BM9" s="15">
        <v>4</v>
      </c>
      <c r="BN9" s="15">
        <v>4</v>
      </c>
      <c r="BO9" s="15">
        <v>4</v>
      </c>
      <c r="BQ9" s="18">
        <v>5</v>
      </c>
      <c r="BR9" s="15">
        <v>5</v>
      </c>
      <c r="BS9" s="15">
        <v>5</v>
      </c>
      <c r="BT9" s="15">
        <v>5</v>
      </c>
      <c r="BU9" s="15">
        <v>5</v>
      </c>
      <c r="BV9" s="15">
        <v>5</v>
      </c>
      <c r="BW9" s="15">
        <v>5</v>
      </c>
      <c r="BX9" s="15">
        <v>5</v>
      </c>
      <c r="BZ9" s="15" t="s">
        <v>169</v>
      </c>
      <c r="CA9" s="15">
        <v>1</v>
      </c>
      <c r="CB9" s="15">
        <v>1</v>
      </c>
      <c r="CC9" s="15">
        <v>1</v>
      </c>
      <c r="CD9" s="15">
        <v>1</v>
      </c>
      <c r="CE9" s="15">
        <v>1</v>
      </c>
      <c r="CF9" s="15">
        <v>1</v>
      </c>
      <c r="CG9" s="15">
        <v>1</v>
      </c>
      <c r="CH9" s="15">
        <v>5</v>
      </c>
      <c r="CI9" s="15">
        <v>5</v>
      </c>
      <c r="CJ9" s="15">
        <v>5</v>
      </c>
      <c r="CL9" s="60" t="s">
        <v>191</v>
      </c>
      <c r="CM9" s="61" t="s">
        <v>211</v>
      </c>
      <c r="CN9" s="61" t="s">
        <v>220</v>
      </c>
      <c r="CO9" s="61" t="s">
        <v>80</v>
      </c>
      <c r="CP9" s="61" t="s">
        <v>223</v>
      </c>
      <c r="CQ9" s="61">
        <v>2</v>
      </c>
      <c r="CR9" s="61" t="s">
        <v>124</v>
      </c>
      <c r="CS9" s="61">
        <v>0</v>
      </c>
      <c r="CT9" s="61">
        <v>1</v>
      </c>
      <c r="CU9" s="61" t="s">
        <v>124</v>
      </c>
      <c r="CV9" s="61" t="s">
        <v>124</v>
      </c>
    </row>
    <row r="10" spans="2:100" ht="13.5">
      <c r="B10" s="18" t="s">
        <v>94</v>
      </c>
      <c r="C10" s="15">
        <v>1</v>
      </c>
      <c r="D10" s="15">
        <v>0.5</v>
      </c>
      <c r="E10" s="15">
        <v>0.5</v>
      </c>
      <c r="F10" s="15">
        <v>0.5</v>
      </c>
      <c r="G10" s="15">
        <v>0.5</v>
      </c>
      <c r="H10" s="15">
        <v>0.5</v>
      </c>
      <c r="I10" s="15">
        <v>0.5</v>
      </c>
      <c r="K10" s="53" t="s">
        <v>112</v>
      </c>
      <c r="L10" s="54"/>
      <c r="M10" s="54"/>
      <c r="N10" s="54"/>
      <c r="O10" s="54"/>
      <c r="P10" s="54"/>
      <c r="Q10" s="54"/>
      <c r="R10" s="55"/>
      <c r="AD10" s="13" t="s">
        <v>158</v>
      </c>
      <c r="AE10" s="18">
        <v>5000</v>
      </c>
      <c r="AF10" s="15">
        <v>60</v>
      </c>
      <c r="AG10" s="15">
        <v>5</v>
      </c>
      <c r="AH10" s="15">
        <v>1</v>
      </c>
      <c r="AI10" s="15">
        <v>6</v>
      </c>
      <c r="AJ10" s="15">
        <v>6</v>
      </c>
      <c r="AK10" s="15">
        <v>120</v>
      </c>
      <c r="AL10" s="15">
        <v>6</v>
      </c>
      <c r="AN10" s="18">
        <v>5</v>
      </c>
      <c r="AO10" s="15">
        <v>0.01</v>
      </c>
      <c r="AP10" s="15">
        <v>5</v>
      </c>
      <c r="AQ10" s="15">
        <v>5</v>
      </c>
      <c r="AR10" s="15">
        <v>5</v>
      </c>
      <c r="AS10" s="15">
        <v>5</v>
      </c>
      <c r="AT10" s="15">
        <v>5</v>
      </c>
      <c r="AU10" s="15">
        <v>5</v>
      </c>
      <c r="AV10" s="15">
        <v>5</v>
      </c>
      <c r="BG10" s="18">
        <v>5</v>
      </c>
      <c r="BH10" s="15">
        <v>5</v>
      </c>
      <c r="BI10" s="15">
        <v>5</v>
      </c>
      <c r="BJ10" s="15">
        <v>5</v>
      </c>
      <c r="BK10" s="15">
        <v>5</v>
      </c>
      <c r="BL10" s="15">
        <v>5</v>
      </c>
      <c r="BM10" s="15">
        <v>5</v>
      </c>
      <c r="BN10" s="15">
        <v>5</v>
      </c>
      <c r="BO10" s="15">
        <v>5</v>
      </c>
      <c r="BQ10" s="18">
        <v>6</v>
      </c>
      <c r="BR10" s="15">
        <v>6</v>
      </c>
      <c r="BS10" s="15">
        <v>6</v>
      </c>
      <c r="BT10" s="15">
        <v>6</v>
      </c>
      <c r="BU10" s="15">
        <v>6</v>
      </c>
      <c r="BV10" s="15">
        <v>6</v>
      </c>
      <c r="BW10" s="15">
        <v>6</v>
      </c>
      <c r="BX10" s="15">
        <v>6</v>
      </c>
      <c r="BZ10" s="15" t="s">
        <v>170</v>
      </c>
      <c r="CA10" s="15">
        <v>1</v>
      </c>
      <c r="CB10" s="15">
        <v>1</v>
      </c>
      <c r="CC10" s="15">
        <v>1</v>
      </c>
      <c r="CD10" s="15">
        <v>1</v>
      </c>
      <c r="CE10" s="15">
        <v>1</v>
      </c>
      <c r="CF10" s="15">
        <v>1</v>
      </c>
      <c r="CG10" s="15">
        <v>1</v>
      </c>
      <c r="CH10" s="15">
        <v>6</v>
      </c>
      <c r="CI10" s="15">
        <v>6</v>
      </c>
      <c r="CJ10" s="15">
        <v>6</v>
      </c>
      <c r="CL10" s="60" t="s">
        <v>193</v>
      </c>
      <c r="CM10" s="61" t="s">
        <v>211</v>
      </c>
      <c r="CN10" s="61" t="s">
        <v>220</v>
      </c>
      <c r="CO10" s="61" t="s">
        <v>222</v>
      </c>
      <c r="CP10" s="61" t="s">
        <v>224</v>
      </c>
      <c r="CQ10" s="61">
        <v>2</v>
      </c>
      <c r="CR10" s="61" t="s">
        <v>124</v>
      </c>
      <c r="CS10" s="61">
        <v>0</v>
      </c>
      <c r="CT10" s="61">
        <v>1</v>
      </c>
      <c r="CU10" s="61" t="s">
        <v>124</v>
      </c>
      <c r="CV10" s="61" t="s">
        <v>124</v>
      </c>
    </row>
    <row r="11" spans="2:100" ht="13.5">
      <c r="K11" s="16" t="s">
        <v>82</v>
      </c>
      <c r="L11" s="16" t="s">
        <v>18</v>
      </c>
      <c r="M11" s="16" t="s">
        <v>22</v>
      </c>
      <c r="N11" s="16" t="s">
        <v>27</v>
      </c>
      <c r="O11" s="31" t="s">
        <v>110</v>
      </c>
      <c r="P11" s="16" t="s">
        <v>36</v>
      </c>
      <c r="Q11" s="16" t="s">
        <v>39</v>
      </c>
      <c r="R11" s="16" t="s">
        <v>42</v>
      </c>
      <c r="AD11" s="13" t="s">
        <v>159</v>
      </c>
      <c r="AE11" s="18">
        <v>6000</v>
      </c>
      <c r="AF11" s="15">
        <v>70</v>
      </c>
      <c r="AG11" s="15">
        <v>6</v>
      </c>
      <c r="AH11" s="15">
        <v>1</v>
      </c>
      <c r="AI11" s="15">
        <v>7</v>
      </c>
      <c r="AJ11" s="15">
        <v>7</v>
      </c>
      <c r="AK11" s="15">
        <v>120</v>
      </c>
      <c r="AL11" s="15">
        <v>7</v>
      </c>
      <c r="BG11" s="18">
        <v>6</v>
      </c>
      <c r="BH11" s="15">
        <v>6</v>
      </c>
      <c r="BI11" s="15">
        <v>6</v>
      </c>
      <c r="BJ11" s="15">
        <v>6</v>
      </c>
      <c r="BK11" s="15">
        <v>6</v>
      </c>
      <c r="BL11" s="15">
        <v>6</v>
      </c>
      <c r="BM11" s="15">
        <v>6</v>
      </c>
      <c r="BN11" s="15">
        <v>6</v>
      </c>
      <c r="BO11" s="15">
        <v>6</v>
      </c>
      <c r="BQ11" s="18">
        <v>7</v>
      </c>
      <c r="BR11" s="15">
        <v>7</v>
      </c>
      <c r="BS11" s="15">
        <v>7</v>
      </c>
      <c r="BT11" s="15">
        <v>7</v>
      </c>
      <c r="BU11" s="15">
        <v>7</v>
      </c>
      <c r="BV11" s="15">
        <v>7</v>
      </c>
      <c r="BW11" s="15">
        <v>7</v>
      </c>
      <c r="BX11" s="15">
        <v>7</v>
      </c>
      <c r="BZ11" s="15" t="s">
        <v>171</v>
      </c>
      <c r="CA11" s="15">
        <v>1</v>
      </c>
      <c r="CB11" s="15">
        <v>1</v>
      </c>
      <c r="CC11" s="15">
        <v>1</v>
      </c>
      <c r="CD11" s="15">
        <v>1</v>
      </c>
      <c r="CE11" s="15">
        <v>1</v>
      </c>
      <c r="CF11" s="15">
        <v>1</v>
      </c>
      <c r="CG11" s="15">
        <v>1</v>
      </c>
      <c r="CH11" s="15">
        <v>7</v>
      </c>
      <c r="CI11" s="15">
        <v>7</v>
      </c>
      <c r="CJ11" s="15">
        <v>7</v>
      </c>
      <c r="CL11" s="60" t="s">
        <v>195</v>
      </c>
      <c r="CM11" s="61" t="s">
        <v>213</v>
      </c>
      <c r="CN11" s="61" t="s">
        <v>95</v>
      </c>
      <c r="CO11" s="61" t="s">
        <v>80</v>
      </c>
      <c r="CP11" s="61" t="s">
        <v>128</v>
      </c>
      <c r="CQ11" s="61">
        <v>0</v>
      </c>
      <c r="CR11" s="61" t="s">
        <v>124</v>
      </c>
      <c r="CS11" s="61">
        <v>3</v>
      </c>
      <c r="CT11" s="61">
        <v>1</v>
      </c>
      <c r="CU11" s="61" t="s">
        <v>124</v>
      </c>
      <c r="CV11" s="61" t="s">
        <v>124</v>
      </c>
    </row>
    <row r="12" spans="2:100" ht="13.5">
      <c r="K12" s="19" t="s">
        <v>80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</v>
      </c>
      <c r="AD12" s="13" t="s">
        <v>160</v>
      </c>
      <c r="AE12" s="18">
        <v>7000</v>
      </c>
      <c r="AF12" s="15">
        <v>80</v>
      </c>
      <c r="AG12" s="15">
        <v>6</v>
      </c>
      <c r="AH12" s="15">
        <v>1</v>
      </c>
      <c r="AI12" s="15">
        <v>8</v>
      </c>
      <c r="AJ12" s="15">
        <v>8</v>
      </c>
      <c r="AK12" s="15">
        <v>120</v>
      </c>
      <c r="AL12" s="15">
        <v>8</v>
      </c>
      <c r="BG12" s="18">
        <v>7</v>
      </c>
      <c r="BH12" s="15">
        <v>7</v>
      </c>
      <c r="BI12" s="15">
        <v>7</v>
      </c>
      <c r="BJ12" s="15">
        <v>7</v>
      </c>
      <c r="BK12" s="15">
        <v>7</v>
      </c>
      <c r="BL12" s="15">
        <v>7</v>
      </c>
      <c r="BM12" s="15">
        <v>7</v>
      </c>
      <c r="BN12" s="15">
        <v>7</v>
      </c>
      <c r="BO12" s="15">
        <v>7</v>
      </c>
      <c r="BQ12" s="18">
        <v>8</v>
      </c>
      <c r="BR12" s="15">
        <v>8</v>
      </c>
      <c r="BS12" s="15">
        <v>8</v>
      </c>
      <c r="BT12" s="15">
        <v>8</v>
      </c>
      <c r="BU12" s="15">
        <v>8</v>
      </c>
      <c r="BV12" s="15">
        <v>8</v>
      </c>
      <c r="BW12" s="15">
        <v>8</v>
      </c>
      <c r="BX12" s="15">
        <v>8</v>
      </c>
      <c r="BZ12" s="15" t="s">
        <v>177</v>
      </c>
      <c r="CA12" s="15">
        <v>1</v>
      </c>
      <c r="CB12" s="15">
        <v>1</v>
      </c>
      <c r="CC12" s="15">
        <v>1</v>
      </c>
      <c r="CD12" s="15">
        <v>1</v>
      </c>
      <c r="CE12" s="15">
        <v>1</v>
      </c>
      <c r="CF12" s="15">
        <v>1</v>
      </c>
      <c r="CG12" s="15">
        <v>1</v>
      </c>
      <c r="CH12" s="15">
        <v>8</v>
      </c>
      <c r="CI12" s="15">
        <v>8</v>
      </c>
      <c r="CJ12" s="15">
        <v>8</v>
      </c>
      <c r="CL12" s="60" t="s">
        <v>196</v>
      </c>
      <c r="CM12" s="61" t="s">
        <v>213</v>
      </c>
      <c r="CN12" s="61" t="s">
        <v>95</v>
      </c>
      <c r="CO12" s="61" t="s">
        <v>222</v>
      </c>
      <c r="CP12" s="61" t="s">
        <v>128</v>
      </c>
      <c r="CQ12" s="61">
        <v>0</v>
      </c>
      <c r="CR12" s="61" t="s">
        <v>124</v>
      </c>
      <c r="CS12" s="61">
        <v>3</v>
      </c>
      <c r="CT12" s="61">
        <v>1</v>
      </c>
      <c r="CU12" s="61" t="s">
        <v>124</v>
      </c>
      <c r="CV12" s="61" t="s">
        <v>124</v>
      </c>
    </row>
    <row r="13" spans="2:100" ht="13.5">
      <c r="K13" s="18" t="s">
        <v>81</v>
      </c>
      <c r="L13" s="15">
        <v>2</v>
      </c>
      <c r="M13" s="15">
        <v>2</v>
      </c>
      <c r="N13" s="15">
        <v>2</v>
      </c>
      <c r="O13" s="15">
        <v>2</v>
      </c>
      <c r="P13" s="15">
        <v>2</v>
      </c>
      <c r="Q13" s="15">
        <v>2</v>
      </c>
      <c r="R13" s="15">
        <v>2</v>
      </c>
      <c r="AD13" s="13" t="s">
        <v>161</v>
      </c>
      <c r="AE13" s="18">
        <v>8000</v>
      </c>
      <c r="AF13" s="15">
        <v>90</v>
      </c>
      <c r="AG13" s="15">
        <v>6</v>
      </c>
      <c r="AH13" s="15">
        <v>1</v>
      </c>
      <c r="AI13" s="15">
        <v>9</v>
      </c>
      <c r="AJ13" s="15">
        <v>9</v>
      </c>
      <c r="AK13" s="15">
        <v>120</v>
      </c>
      <c r="AL13" s="15">
        <v>9</v>
      </c>
      <c r="BG13" s="18">
        <v>8</v>
      </c>
      <c r="BH13" s="15">
        <v>8</v>
      </c>
      <c r="BI13" s="15">
        <v>8</v>
      </c>
      <c r="BJ13" s="15">
        <v>8</v>
      </c>
      <c r="BK13" s="15">
        <v>8</v>
      </c>
      <c r="BL13" s="15">
        <v>8</v>
      </c>
      <c r="BM13" s="15">
        <v>8</v>
      </c>
      <c r="BN13" s="15">
        <v>8</v>
      </c>
      <c r="BO13" s="15">
        <v>8</v>
      </c>
      <c r="BQ13" s="18">
        <v>9</v>
      </c>
      <c r="BR13" s="15">
        <v>9</v>
      </c>
      <c r="BS13" s="15">
        <v>9</v>
      </c>
      <c r="BT13" s="15">
        <v>9</v>
      </c>
      <c r="BU13" s="15">
        <v>9</v>
      </c>
      <c r="BV13" s="15">
        <v>9</v>
      </c>
      <c r="BW13" s="15">
        <v>9</v>
      </c>
      <c r="BX13" s="15">
        <v>9</v>
      </c>
      <c r="BZ13" s="15" t="s">
        <v>178</v>
      </c>
      <c r="CA13" s="15">
        <v>1</v>
      </c>
      <c r="CB13" s="15">
        <v>1</v>
      </c>
      <c r="CC13" s="15">
        <v>1</v>
      </c>
      <c r="CD13" s="15">
        <v>1</v>
      </c>
      <c r="CE13" s="15">
        <v>1</v>
      </c>
      <c r="CF13" s="15">
        <v>1</v>
      </c>
      <c r="CG13" s="15">
        <v>1</v>
      </c>
      <c r="CH13" s="15">
        <v>8</v>
      </c>
      <c r="CI13" s="15">
        <v>8</v>
      </c>
      <c r="CJ13" s="15">
        <v>8</v>
      </c>
      <c r="CL13" s="60" t="s">
        <v>197</v>
      </c>
      <c r="CM13" s="61" t="s">
        <v>214</v>
      </c>
      <c r="CN13" s="61" t="s">
        <v>219</v>
      </c>
      <c r="CO13" s="61" t="s">
        <v>80</v>
      </c>
      <c r="CP13" s="61" t="s">
        <v>128</v>
      </c>
      <c r="CQ13" s="61">
        <v>3</v>
      </c>
      <c r="CR13" s="61" t="s">
        <v>124</v>
      </c>
      <c r="CS13" s="61">
        <v>0</v>
      </c>
      <c r="CT13" s="61">
        <v>1</v>
      </c>
      <c r="CU13" s="61" t="s">
        <v>124</v>
      </c>
      <c r="CV13" s="61" t="s">
        <v>124</v>
      </c>
    </row>
    <row r="14" spans="2:100" ht="13.5">
      <c r="AD14" s="13" t="s">
        <v>162</v>
      </c>
      <c r="AE14" s="18">
        <v>9000</v>
      </c>
      <c r="AF14" s="15">
        <v>100</v>
      </c>
      <c r="AG14" s="15">
        <v>7</v>
      </c>
      <c r="AH14" s="15">
        <v>1</v>
      </c>
      <c r="AI14" s="15">
        <v>10</v>
      </c>
      <c r="AJ14" s="15">
        <v>10</v>
      </c>
      <c r="AK14" s="15">
        <v>120</v>
      </c>
      <c r="AL14" s="15">
        <v>10</v>
      </c>
      <c r="BG14" s="18">
        <v>9</v>
      </c>
      <c r="BH14" s="15">
        <v>9</v>
      </c>
      <c r="BI14" s="15">
        <v>9</v>
      </c>
      <c r="BJ14" s="15">
        <v>9</v>
      </c>
      <c r="BK14" s="15">
        <v>9</v>
      </c>
      <c r="BL14" s="15">
        <v>9</v>
      </c>
      <c r="BM14" s="15">
        <v>9</v>
      </c>
      <c r="BN14" s="15">
        <v>9</v>
      </c>
      <c r="BO14" s="15">
        <v>9</v>
      </c>
      <c r="BQ14" s="18">
        <v>10</v>
      </c>
      <c r="BR14" s="15">
        <v>10</v>
      </c>
      <c r="BS14" s="15">
        <v>10</v>
      </c>
      <c r="BT14" s="15">
        <v>10</v>
      </c>
      <c r="BU14" s="15">
        <v>10</v>
      </c>
      <c r="BV14" s="15">
        <v>10</v>
      </c>
      <c r="BW14" s="15">
        <v>10</v>
      </c>
      <c r="BX14" s="15">
        <v>10</v>
      </c>
      <c r="BZ14" s="15" t="s">
        <v>172</v>
      </c>
      <c r="CA14" s="15">
        <v>1</v>
      </c>
      <c r="CB14" s="15">
        <v>1</v>
      </c>
      <c r="CC14" s="15">
        <v>1</v>
      </c>
      <c r="CD14" s="15">
        <v>1</v>
      </c>
      <c r="CE14" s="15">
        <v>1</v>
      </c>
      <c r="CF14" s="15">
        <v>1</v>
      </c>
      <c r="CG14" s="15">
        <v>1</v>
      </c>
      <c r="CH14" s="15">
        <v>8</v>
      </c>
      <c r="CI14" s="15">
        <v>8</v>
      </c>
      <c r="CJ14" s="15">
        <v>8</v>
      </c>
      <c r="CL14" s="60" t="s">
        <v>198</v>
      </c>
      <c r="CM14" s="61" t="s">
        <v>212</v>
      </c>
      <c r="CN14" s="61" t="s">
        <v>219</v>
      </c>
      <c r="CO14" s="61" t="s">
        <v>80</v>
      </c>
      <c r="CP14" s="61" t="s">
        <v>223</v>
      </c>
      <c r="CQ14" s="61">
        <v>0</v>
      </c>
      <c r="CR14" s="61" t="s">
        <v>124</v>
      </c>
      <c r="CS14" s="61">
        <v>3</v>
      </c>
      <c r="CT14" s="61">
        <v>1</v>
      </c>
      <c r="CU14" s="61" t="s">
        <v>124</v>
      </c>
      <c r="CV14" s="61" t="s">
        <v>124</v>
      </c>
    </row>
    <row r="15" spans="2:100" ht="13.5">
      <c r="AD15" s="13" t="s">
        <v>163</v>
      </c>
      <c r="AE15" s="18">
        <v>10000</v>
      </c>
      <c r="AF15" s="15">
        <v>110</v>
      </c>
      <c r="AG15" s="15">
        <v>7</v>
      </c>
      <c r="AH15" s="15">
        <v>1</v>
      </c>
      <c r="AI15" s="15">
        <v>11</v>
      </c>
      <c r="AJ15" s="15">
        <v>11</v>
      </c>
      <c r="AK15" s="15">
        <v>120</v>
      </c>
      <c r="AL15" s="15">
        <v>11</v>
      </c>
      <c r="BG15" s="18">
        <v>10</v>
      </c>
      <c r="BH15" s="15">
        <v>10</v>
      </c>
      <c r="BI15" s="15">
        <v>10</v>
      </c>
      <c r="BJ15" s="15">
        <v>10</v>
      </c>
      <c r="BK15" s="15">
        <v>10</v>
      </c>
      <c r="BL15" s="15">
        <v>10</v>
      </c>
      <c r="BM15" s="15">
        <v>10</v>
      </c>
      <c r="BN15" s="15">
        <v>10</v>
      </c>
      <c r="BO15" s="15">
        <v>10</v>
      </c>
      <c r="BZ15" s="15" t="s">
        <v>179</v>
      </c>
      <c r="CA15" s="15">
        <v>1</v>
      </c>
      <c r="CB15" s="15">
        <v>1</v>
      </c>
      <c r="CC15" s="15">
        <v>1</v>
      </c>
      <c r="CD15" s="15">
        <v>1</v>
      </c>
      <c r="CE15" s="15">
        <v>1</v>
      </c>
      <c r="CF15" s="15">
        <v>1</v>
      </c>
      <c r="CG15" s="15">
        <v>1</v>
      </c>
      <c r="CH15" s="15">
        <v>8</v>
      </c>
      <c r="CI15" s="15">
        <v>8</v>
      </c>
      <c r="CJ15" s="15">
        <v>8</v>
      </c>
      <c r="CL15" s="60" t="s">
        <v>200</v>
      </c>
      <c r="CM15" s="61" t="s">
        <v>214</v>
      </c>
      <c r="CN15" s="61" t="s">
        <v>219</v>
      </c>
      <c r="CO15" s="61" t="s">
        <v>80</v>
      </c>
      <c r="CP15" s="61" t="s">
        <v>223</v>
      </c>
      <c r="CQ15" s="61">
        <v>4</v>
      </c>
      <c r="CR15" s="61" t="s">
        <v>124</v>
      </c>
      <c r="CS15" s="61">
        <v>0</v>
      </c>
      <c r="CT15" s="61">
        <v>1</v>
      </c>
      <c r="CU15" s="61" t="s">
        <v>124</v>
      </c>
      <c r="CV15" s="61" t="s">
        <v>124</v>
      </c>
    </row>
    <row r="16" spans="2:100" ht="13.5">
      <c r="K16" s="53" t="s">
        <v>113</v>
      </c>
      <c r="L16" s="54"/>
      <c r="M16" s="54"/>
      <c r="N16" s="54"/>
      <c r="O16" s="54"/>
      <c r="P16" s="54"/>
      <c r="Q16" s="54"/>
      <c r="R16" s="55"/>
      <c r="CL16" s="60" t="s">
        <v>202</v>
      </c>
      <c r="CM16" s="61" t="s">
        <v>213</v>
      </c>
      <c r="CN16" s="61" t="s">
        <v>218</v>
      </c>
      <c r="CO16" s="61" t="s">
        <v>221</v>
      </c>
      <c r="CP16" s="61" t="s">
        <v>128</v>
      </c>
      <c r="CQ16" s="61">
        <v>0</v>
      </c>
      <c r="CR16" s="61" t="s">
        <v>124</v>
      </c>
      <c r="CS16" s="61">
        <v>3</v>
      </c>
      <c r="CT16" s="61">
        <v>5</v>
      </c>
      <c r="CU16" s="61" t="s">
        <v>124</v>
      </c>
      <c r="CV16" s="61" t="s">
        <v>124</v>
      </c>
    </row>
    <row r="17" spans="2:100" ht="13.5">
      <c r="K17" s="16" t="s">
        <v>82</v>
      </c>
      <c r="L17" s="16" t="s">
        <v>18</v>
      </c>
      <c r="M17" s="16" t="s">
        <v>22</v>
      </c>
      <c r="N17" s="16" t="s">
        <v>27</v>
      </c>
      <c r="O17" s="31" t="s">
        <v>110</v>
      </c>
      <c r="P17" s="16" t="s">
        <v>36</v>
      </c>
      <c r="Q17" s="16" t="s">
        <v>39</v>
      </c>
      <c r="R17" s="16" t="s">
        <v>42</v>
      </c>
      <c r="CL17" s="60" t="s">
        <v>204</v>
      </c>
      <c r="CM17" s="61" t="s">
        <v>215</v>
      </c>
      <c r="CN17" s="61" t="s">
        <v>218</v>
      </c>
      <c r="CO17" s="61" t="s">
        <v>221</v>
      </c>
      <c r="CP17" s="61" t="s">
        <v>128</v>
      </c>
      <c r="CQ17" s="61">
        <v>0</v>
      </c>
      <c r="CR17" s="61" t="s">
        <v>228</v>
      </c>
      <c r="CS17" s="61">
        <v>5</v>
      </c>
      <c r="CT17" s="61">
        <v>1</v>
      </c>
      <c r="CU17" s="61" t="s">
        <v>229</v>
      </c>
      <c r="CV17" s="61" t="s">
        <v>232</v>
      </c>
    </row>
    <row r="18" spans="2:100" ht="13.5">
      <c r="K18" s="19" t="s">
        <v>108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CL18" s="60" t="s">
        <v>206</v>
      </c>
      <c r="CM18" s="61" t="s">
        <v>215</v>
      </c>
      <c r="CN18" s="61" t="s">
        <v>220</v>
      </c>
      <c r="CO18" s="61" t="s">
        <v>221</v>
      </c>
      <c r="CP18" s="61" t="s">
        <v>224</v>
      </c>
      <c r="CQ18" s="61">
        <v>0</v>
      </c>
      <c r="CR18" s="61" t="s">
        <v>228</v>
      </c>
      <c r="CS18" s="61">
        <v>5</v>
      </c>
      <c r="CT18" s="61">
        <v>1</v>
      </c>
      <c r="CU18" s="61" t="s">
        <v>231</v>
      </c>
      <c r="CV18" s="61" t="s">
        <v>230</v>
      </c>
    </row>
    <row r="19" spans="2:100" ht="13.5">
      <c r="K19" s="18" t="s">
        <v>109</v>
      </c>
      <c r="L19" s="15">
        <v>2</v>
      </c>
      <c r="M19" s="15">
        <v>2</v>
      </c>
      <c r="N19" s="15">
        <v>2</v>
      </c>
      <c r="O19" s="15">
        <v>2</v>
      </c>
      <c r="P19" s="15">
        <v>2</v>
      </c>
      <c r="Q19" s="15">
        <v>2</v>
      </c>
      <c r="R19" s="15">
        <v>2</v>
      </c>
      <c r="CL19" s="60" t="s">
        <v>208</v>
      </c>
      <c r="CM19" s="61" t="s">
        <v>215</v>
      </c>
      <c r="CN19" s="61" t="s">
        <v>220</v>
      </c>
      <c r="CO19" s="61" t="s">
        <v>221</v>
      </c>
      <c r="CP19" s="61" t="s">
        <v>224</v>
      </c>
      <c r="CQ19" s="61">
        <v>0</v>
      </c>
      <c r="CR19" s="61" t="s">
        <v>227</v>
      </c>
      <c r="CS19" s="61">
        <v>5</v>
      </c>
      <c r="CT19" s="15">
        <v>1</v>
      </c>
      <c r="CU19" s="61" t="s">
        <v>231</v>
      </c>
      <c r="CV19" s="61" t="s">
        <v>230</v>
      </c>
    </row>
    <row r="20" spans="2:100" ht="13.5">
      <c r="K20" s="13" t="s">
        <v>125</v>
      </c>
      <c r="CL20" s="60" t="s">
        <v>210</v>
      </c>
      <c r="CM20" s="61" t="s">
        <v>215</v>
      </c>
      <c r="CN20" s="61" t="s">
        <v>220</v>
      </c>
      <c r="CO20" s="61" t="s">
        <v>221</v>
      </c>
      <c r="CP20" s="61" t="s">
        <v>128</v>
      </c>
      <c r="CQ20" s="61">
        <v>0</v>
      </c>
      <c r="CR20" s="61" t="s">
        <v>226</v>
      </c>
      <c r="CS20" s="61">
        <v>5</v>
      </c>
      <c r="CT20" s="61">
        <v>1</v>
      </c>
      <c r="CU20" s="61" t="s">
        <v>231</v>
      </c>
      <c r="CV20" s="61" t="s">
        <v>230</v>
      </c>
    </row>
    <row r="21" spans="2:100" ht="13.5">
      <c r="CL21" s="60" t="s">
        <v>217</v>
      </c>
      <c r="CM21" s="61" t="s">
        <v>215</v>
      </c>
      <c r="CN21" s="61" t="s">
        <v>218</v>
      </c>
      <c r="CO21" s="61" t="s">
        <v>221</v>
      </c>
      <c r="CP21" s="61" t="s">
        <v>128</v>
      </c>
      <c r="CQ21" s="61">
        <v>0</v>
      </c>
      <c r="CR21" s="61" t="s">
        <v>225</v>
      </c>
      <c r="CS21" s="61">
        <v>5</v>
      </c>
      <c r="CT21" s="61">
        <v>1</v>
      </c>
      <c r="CU21" s="61" t="s">
        <v>231</v>
      </c>
      <c r="CV21" s="61" t="s">
        <v>230</v>
      </c>
    </row>
    <row r="22" spans="2:100" ht="13.5">
      <c r="K22" s="53" t="s">
        <v>114</v>
      </c>
      <c r="L22" s="54"/>
      <c r="M22" s="54"/>
      <c r="N22" s="54"/>
      <c r="O22" s="54"/>
      <c r="P22" s="54"/>
      <c r="Q22" s="54"/>
      <c r="R22" s="55"/>
      <c r="CM22"/>
      <c r="CN22"/>
      <c r="CO22"/>
      <c r="CP22"/>
      <c r="CQ22"/>
      <c r="CR22"/>
      <c r="CS22"/>
      <c r="CT22"/>
      <c r="CU22"/>
      <c r="CV22"/>
    </row>
    <row r="23" spans="2:100" ht="13.5">
      <c r="K23" s="16" t="s">
        <v>82</v>
      </c>
      <c r="L23" s="16" t="s">
        <v>18</v>
      </c>
      <c r="M23" s="16" t="s">
        <v>22</v>
      </c>
      <c r="N23" s="16" t="s">
        <v>27</v>
      </c>
      <c r="O23" s="31" t="s">
        <v>110</v>
      </c>
      <c r="P23" s="16" t="s">
        <v>36</v>
      </c>
      <c r="Q23" s="16" t="s">
        <v>39</v>
      </c>
      <c r="R23" s="16" t="s">
        <v>42</v>
      </c>
      <c r="CM23"/>
      <c r="CN23"/>
      <c r="CO23"/>
      <c r="CP23"/>
      <c r="CQ23"/>
      <c r="CR23"/>
      <c r="CS23"/>
      <c r="CT23"/>
      <c r="CU23"/>
      <c r="CV23"/>
    </row>
    <row r="24" spans="2:100" ht="13.5">
      <c r="K24" s="19" t="s">
        <v>106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CM24"/>
      <c r="CN24"/>
      <c r="CO24"/>
      <c r="CP24"/>
      <c r="CQ24"/>
      <c r="CR24"/>
      <c r="CS24"/>
      <c r="CT24"/>
      <c r="CU24"/>
      <c r="CV24"/>
    </row>
    <row r="25" spans="2:100">
      <c r="K25" s="18" t="s">
        <v>107</v>
      </c>
      <c r="L25" s="15">
        <v>2</v>
      </c>
      <c r="M25" s="15">
        <v>2</v>
      </c>
      <c r="N25" s="15">
        <v>2</v>
      </c>
      <c r="O25" s="15">
        <v>2</v>
      </c>
      <c r="P25" s="15">
        <v>2</v>
      </c>
      <c r="Q25" s="15">
        <v>2</v>
      </c>
      <c r="R25" s="15">
        <v>2</v>
      </c>
      <c r="CM25"/>
      <c r="CN25"/>
      <c r="CO25"/>
      <c r="CP25"/>
      <c r="CQ25"/>
      <c r="CR25"/>
      <c r="CS25"/>
      <c r="CT25"/>
      <c r="CU25"/>
      <c r="CV25"/>
    </row>
    <row r="26" spans="2:100" ht="13.5">
      <c r="B26" s="11"/>
      <c r="K26" s="13" t="s">
        <v>125</v>
      </c>
      <c r="CM26"/>
      <c r="CN26"/>
      <c r="CO26"/>
      <c r="CP26"/>
      <c r="CQ26"/>
      <c r="CR26"/>
      <c r="CS26"/>
      <c r="CT26"/>
      <c r="CU26"/>
      <c r="CV26"/>
    </row>
    <row r="27" spans="2:100">
      <c r="CM27"/>
      <c r="CN27"/>
      <c r="CO27"/>
      <c r="CP27"/>
      <c r="CQ27"/>
      <c r="CR27"/>
      <c r="CS27"/>
      <c r="CT27"/>
      <c r="CU27"/>
      <c r="CV27"/>
    </row>
    <row r="28" spans="2:100">
      <c r="CM28"/>
      <c r="CN28"/>
      <c r="CO28"/>
      <c r="CP28"/>
      <c r="CQ28"/>
      <c r="CR28"/>
      <c r="CS28"/>
      <c r="CT28"/>
      <c r="CU28"/>
      <c r="CV28"/>
    </row>
    <row r="29" spans="2:100">
      <c r="CM29"/>
      <c r="CN29"/>
      <c r="CO29"/>
      <c r="CP29"/>
      <c r="CQ29"/>
      <c r="CR29"/>
      <c r="CS29"/>
      <c r="CT29"/>
      <c r="CU29"/>
      <c r="CV29"/>
    </row>
    <row r="30" spans="2:100">
      <c r="CM30"/>
      <c r="CN30"/>
      <c r="CO30"/>
      <c r="CP30"/>
      <c r="CQ30"/>
      <c r="CR30"/>
      <c r="CS30"/>
      <c r="CT30"/>
      <c r="CU30"/>
      <c r="CV30"/>
    </row>
    <row r="31" spans="2:100" ht="13.5">
      <c r="I31" s="11"/>
      <c r="CM31"/>
      <c r="CN31"/>
      <c r="CO31"/>
      <c r="CP31"/>
      <c r="CQ31"/>
      <c r="CR31"/>
      <c r="CS31"/>
      <c r="CT31"/>
      <c r="CU31"/>
      <c r="CV31"/>
    </row>
    <row r="32" spans="2:100">
      <c r="CM32"/>
      <c r="CN32"/>
      <c r="CO32"/>
      <c r="CP32"/>
      <c r="CQ32"/>
      <c r="CR32"/>
      <c r="CS32"/>
      <c r="CT32"/>
      <c r="CU32"/>
      <c r="CV32"/>
    </row>
    <row r="33" spans="2:100">
      <c r="CM33"/>
      <c r="CN33"/>
      <c r="CO33"/>
      <c r="CP33"/>
      <c r="CQ33"/>
      <c r="CR33"/>
      <c r="CS33"/>
      <c r="CT33"/>
      <c r="CU33"/>
      <c r="CV33"/>
    </row>
    <row r="34" spans="2:100">
      <c r="CM34"/>
      <c r="CN34"/>
      <c r="CO34"/>
      <c r="CP34"/>
      <c r="CQ34"/>
      <c r="CR34"/>
      <c r="CS34"/>
      <c r="CT34"/>
      <c r="CU34"/>
      <c r="CV34"/>
    </row>
    <row r="35" spans="2:100">
      <c r="CM35"/>
      <c r="CN35"/>
      <c r="CO35"/>
      <c r="CP35"/>
      <c r="CQ35"/>
      <c r="CR35"/>
      <c r="CS35"/>
      <c r="CT35"/>
      <c r="CU35"/>
      <c r="CV35"/>
    </row>
    <row r="36" spans="2:100">
      <c r="CM36"/>
      <c r="CN36"/>
      <c r="CO36"/>
      <c r="CP36"/>
      <c r="CQ36"/>
      <c r="CR36"/>
      <c r="CS36"/>
      <c r="CT36"/>
      <c r="CU36"/>
      <c r="CV36"/>
    </row>
    <row r="37" spans="2:100">
      <c r="CM37"/>
      <c r="CN37"/>
      <c r="CO37"/>
      <c r="CP37"/>
      <c r="CQ37"/>
      <c r="CR37"/>
      <c r="CS37"/>
      <c r="CT37"/>
      <c r="CU37"/>
      <c r="CV37"/>
    </row>
    <row r="38" spans="2:100" ht="13.5">
      <c r="B38" s="11"/>
      <c r="CM38"/>
      <c r="CN38"/>
      <c r="CO38"/>
      <c r="CP38"/>
      <c r="CQ38"/>
      <c r="CR38"/>
      <c r="CS38"/>
      <c r="CT38"/>
      <c r="CU38"/>
      <c r="CV38"/>
    </row>
    <row r="39" spans="2:100">
      <c r="CM39"/>
      <c r="CN39"/>
      <c r="CO39"/>
      <c r="CP39"/>
      <c r="CQ39"/>
      <c r="CR39"/>
      <c r="CS39"/>
      <c r="CT39"/>
      <c r="CU39"/>
      <c r="CV39"/>
    </row>
  </sheetData>
  <mergeCells count="14">
    <mergeCell ref="B2:AL2"/>
    <mergeCell ref="AX3:BE3"/>
    <mergeCell ref="BG3:BO3"/>
    <mergeCell ref="BQ3:BX3"/>
    <mergeCell ref="K16:R16"/>
    <mergeCell ref="CL3:CV3"/>
    <mergeCell ref="BZ3:CJ3"/>
    <mergeCell ref="K22:R22"/>
    <mergeCell ref="AN3:AV3"/>
    <mergeCell ref="B3:I3"/>
    <mergeCell ref="K3:R3"/>
    <mergeCell ref="K10:R10"/>
    <mergeCell ref="T3:AA3"/>
    <mergeCell ref="AE3:AL3"/>
  </mergeCells>
  <phoneticPr fontId="8" type="noConversion"/>
  <dataValidations count="9">
    <dataValidation type="list" allowBlank="1" showInputMessage="1" showErrorMessage="1" sqref="CV5:CV39" xr:uid="{8054542F-5762-4EA9-AD15-F8CCF348F79B}">
      <formula1>$K$24:$K$26</formula1>
    </dataValidation>
    <dataValidation type="list" allowBlank="1" showInputMessage="1" showErrorMessage="1" sqref="CU5:CU39" xr:uid="{B86B3107-5DB8-40EF-9318-CFE78F737FE9}">
      <formula1>$K$18:$K$20</formula1>
    </dataValidation>
    <dataValidation type="list" allowBlank="1" showInputMessage="1" showErrorMessage="1" sqref="CR5:CR39" xr:uid="{3B1E0ED5-CD72-4CE3-BBB7-18A082D57E78}">
      <formula1>$AX$5:$AX$9</formula1>
    </dataValidation>
    <dataValidation type="list" allowBlank="1" showInputMessage="1" showErrorMessage="1" sqref="CN5:CN39" xr:uid="{206D9F3A-0E5E-420B-8776-41024169D797}">
      <formula1>$T$5:$T$7</formula1>
    </dataValidation>
    <dataValidation type="list" allowBlank="1" showInputMessage="1" showErrorMessage="1" sqref="CM5:CM39" xr:uid="{5D3AEB8F-E3E1-4D94-A300-2D44AE582E80}">
      <formula1>$B$5:$B$10</formula1>
    </dataValidation>
    <dataValidation type="decimal" operator="greaterThanOrEqual" allowBlank="1" showInputMessage="1" showErrorMessage="1" sqref="CS5:CS39 CQ5:CQ39" xr:uid="{B664960A-3E31-4803-B60F-D63C1FDA602F}">
      <formula1>0</formula1>
    </dataValidation>
    <dataValidation type="list" allowBlank="1" showInputMessage="1" showErrorMessage="1" sqref="CO5:CO39" xr:uid="{C1140E19-F547-4DE8-B8CA-15235BE1516C}">
      <formula1>$K$12:$K$13</formula1>
    </dataValidation>
    <dataValidation type="list" allowBlank="1" showInputMessage="1" showErrorMessage="1" sqref="CP5:CP39" xr:uid="{B7F72349-78CD-48D5-95B7-D3CD448600AC}">
      <formula1>$K$5:$K$7</formula1>
    </dataValidation>
    <dataValidation type="whole" operator="greaterThanOrEqual" allowBlank="1" showInputMessage="1" showErrorMessage="1" sqref="CT5:CT18 CT20:CT39" xr:uid="{BA323148-16CE-440D-ABF4-4F9124DB01BC}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444"/>
  <sheetViews>
    <sheetView tabSelected="1" zoomScale="75" zoomScaleNormal="75" workbookViewId="0">
      <selection activeCell="E14" sqref="E14"/>
    </sheetView>
  </sheetViews>
  <sheetFormatPr defaultColWidth="12.5703125" defaultRowHeight="15.75" customHeight="1"/>
  <cols>
    <col min="1" max="1" width="24.42578125" style="21" customWidth="1"/>
    <col min="2" max="2" width="44.7109375" style="21" customWidth="1"/>
    <col min="3" max="5" width="29.28515625" style="21" customWidth="1"/>
    <col min="6" max="7" width="20.7109375" style="21" customWidth="1"/>
    <col min="8" max="8" width="23.7109375" style="21" customWidth="1"/>
    <col min="9" max="26" width="20.7109375" style="21" customWidth="1"/>
    <col min="27" max="33" width="18.7109375" style="21" customWidth="1"/>
    <col min="34" max="35" width="12.5703125" style="21"/>
    <col min="36" max="36" width="18.42578125" style="21" customWidth="1"/>
    <col min="37" max="37" width="20.140625" style="21" customWidth="1"/>
    <col min="38" max="38" width="24.5703125" style="21" customWidth="1"/>
    <col min="39" max="39" width="18" style="21" customWidth="1"/>
    <col min="40" max="16384" width="12.5703125" style="21"/>
  </cols>
  <sheetData>
    <row r="1" spans="1:40" ht="90.75" customHeight="1">
      <c r="A1" s="46" t="s">
        <v>127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8"/>
      <c r="Y1" s="33"/>
      <c r="Z1" s="33"/>
      <c r="AA1" s="33"/>
      <c r="AB1" s="33"/>
      <c r="AC1" s="33"/>
      <c r="AD1" s="33"/>
      <c r="AE1" s="33"/>
      <c r="AF1" s="33"/>
      <c r="AG1" s="33"/>
      <c r="AH1"/>
      <c r="AI1"/>
      <c r="AJ1"/>
      <c r="AK1"/>
      <c r="AL1"/>
      <c r="AM1"/>
      <c r="AN1"/>
    </row>
    <row r="2" spans="1:40" ht="15.75" customHeight="1">
      <c r="A2" s="42" t="s">
        <v>129</v>
      </c>
      <c r="B2" s="42" t="s">
        <v>13</v>
      </c>
      <c r="C2" s="31" t="s">
        <v>146</v>
      </c>
      <c r="D2" s="31" t="s">
        <v>148</v>
      </c>
      <c r="E2" s="31" t="s">
        <v>149</v>
      </c>
      <c r="F2" s="31" t="s">
        <v>138</v>
      </c>
      <c r="G2" s="31" t="s">
        <v>134</v>
      </c>
      <c r="H2" s="42" t="s">
        <v>131</v>
      </c>
      <c r="I2" s="31" t="s">
        <v>136</v>
      </c>
      <c r="J2" s="42" t="s">
        <v>31</v>
      </c>
      <c r="K2" s="58" t="s">
        <v>236</v>
      </c>
      <c r="L2" s="58" t="s">
        <v>235</v>
      </c>
      <c r="M2" s="42" t="s">
        <v>61</v>
      </c>
      <c r="N2" s="42" t="s">
        <v>175</v>
      </c>
      <c r="O2" s="42" t="s">
        <v>65</v>
      </c>
      <c r="P2" s="42" t="s">
        <v>174</v>
      </c>
      <c r="Q2" s="42" t="s">
        <v>68</v>
      </c>
      <c r="R2" s="42" t="s">
        <v>132</v>
      </c>
      <c r="S2" s="42" t="s">
        <v>133</v>
      </c>
      <c r="T2" s="31" t="s">
        <v>145</v>
      </c>
      <c r="U2" s="42" t="s">
        <v>144</v>
      </c>
      <c r="V2" s="42" t="s">
        <v>143</v>
      </c>
      <c r="W2" s="31" t="s">
        <v>142</v>
      </c>
      <c r="X2" s="42" t="s">
        <v>141</v>
      </c>
      <c r="Y2" s="42" t="s">
        <v>140</v>
      </c>
      <c r="Z2" s="42" t="s">
        <v>139</v>
      </c>
      <c r="AA2" s="42" t="s">
        <v>18</v>
      </c>
      <c r="AB2" s="42" t="s">
        <v>22</v>
      </c>
      <c r="AC2" s="42" t="s">
        <v>27</v>
      </c>
      <c r="AD2" s="31" t="s">
        <v>110</v>
      </c>
      <c r="AE2" s="42" t="s">
        <v>130</v>
      </c>
      <c r="AF2" s="42" t="s">
        <v>39</v>
      </c>
      <c r="AG2" s="42" t="s">
        <v>42</v>
      </c>
      <c r="AH2"/>
      <c r="AI2"/>
      <c r="AJ2"/>
      <c r="AK2"/>
      <c r="AL2"/>
      <c r="AM2"/>
      <c r="AN2"/>
    </row>
    <row r="3" spans="1:40" ht="15">
      <c r="A3" s="38" t="s">
        <v>9</v>
      </c>
      <c r="B3" s="38" t="s">
        <v>9</v>
      </c>
      <c r="C3" s="40" t="s">
        <v>187</v>
      </c>
      <c r="D3" s="40" t="s">
        <v>180</v>
      </c>
      <c r="E3" s="40" t="s">
        <v>187</v>
      </c>
      <c r="F3" s="38" t="s">
        <v>43</v>
      </c>
      <c r="G3" s="38" t="s">
        <v>9</v>
      </c>
      <c r="H3" s="38" t="s">
        <v>9</v>
      </c>
      <c r="I3" s="38" t="s">
        <v>9</v>
      </c>
      <c r="J3" s="38" t="s">
        <v>9</v>
      </c>
      <c r="K3" s="40" t="s">
        <v>92</v>
      </c>
      <c r="L3" s="38" t="s">
        <v>23</v>
      </c>
      <c r="M3" s="38" t="s">
        <v>9</v>
      </c>
      <c r="N3" s="40" t="s">
        <v>92</v>
      </c>
      <c r="O3" s="38" t="s">
        <v>23</v>
      </c>
      <c r="P3" s="40" t="s">
        <v>92</v>
      </c>
      <c r="Q3" s="38" t="s">
        <v>43</v>
      </c>
      <c r="R3" s="38" t="s">
        <v>9</v>
      </c>
      <c r="S3" s="39" t="s">
        <v>9</v>
      </c>
      <c r="T3" s="40" t="s">
        <v>92</v>
      </c>
      <c r="U3" s="40" t="s">
        <v>92</v>
      </c>
      <c r="V3" s="40" t="s">
        <v>92</v>
      </c>
      <c r="W3" s="40" t="s">
        <v>92</v>
      </c>
      <c r="X3" s="40" t="s">
        <v>92</v>
      </c>
      <c r="Y3" s="40" t="s">
        <v>92</v>
      </c>
      <c r="Z3" s="40" t="s">
        <v>92</v>
      </c>
      <c r="AA3" s="41" t="s">
        <v>19</v>
      </c>
      <c r="AB3" s="38" t="s">
        <v>23</v>
      </c>
      <c r="AC3" s="38" t="s">
        <v>23</v>
      </c>
      <c r="AD3" s="38" t="s">
        <v>23</v>
      </c>
      <c r="AE3" s="38" t="s">
        <v>23</v>
      </c>
      <c r="AF3" s="38" t="s">
        <v>23</v>
      </c>
      <c r="AG3" s="38" t="s">
        <v>43</v>
      </c>
      <c r="AH3"/>
      <c r="AI3"/>
      <c r="AJ3"/>
      <c r="AK3"/>
      <c r="AL3"/>
      <c r="AM3"/>
      <c r="AN3" s="22"/>
    </row>
    <row r="4" spans="1:40" ht="12.75">
      <c r="A4" s="23" t="s">
        <v>7</v>
      </c>
      <c r="B4" s="23" t="s">
        <v>12</v>
      </c>
      <c r="C4" s="23" t="s">
        <v>147</v>
      </c>
      <c r="D4" s="23" t="s">
        <v>12</v>
      </c>
      <c r="E4" s="23" t="s">
        <v>12</v>
      </c>
      <c r="F4" s="23" t="s">
        <v>45</v>
      </c>
      <c r="G4" s="23" t="s">
        <v>89</v>
      </c>
      <c r="H4" s="23" t="s">
        <v>90</v>
      </c>
      <c r="I4" s="23" t="s">
        <v>16</v>
      </c>
      <c r="J4" s="23" t="s">
        <v>91</v>
      </c>
      <c r="K4" s="23" t="s">
        <v>52</v>
      </c>
      <c r="L4" s="23" t="s">
        <v>52</v>
      </c>
      <c r="M4" s="23" t="s">
        <v>60</v>
      </c>
      <c r="N4" s="23" t="s">
        <v>64</v>
      </c>
      <c r="O4" s="23" t="s">
        <v>64</v>
      </c>
      <c r="P4" s="23" t="s">
        <v>67</v>
      </c>
      <c r="Q4" s="23" t="s">
        <v>67</v>
      </c>
      <c r="R4" s="23" t="s">
        <v>102</v>
      </c>
      <c r="S4" s="23" t="s">
        <v>103</v>
      </c>
      <c r="T4" s="34" t="s">
        <v>17</v>
      </c>
      <c r="U4" s="34" t="s">
        <v>21</v>
      </c>
      <c r="V4" s="34" t="s">
        <v>26</v>
      </c>
      <c r="W4" s="34" t="s">
        <v>33</v>
      </c>
      <c r="X4" s="34" t="s">
        <v>35</v>
      </c>
      <c r="Y4" s="34" t="s">
        <v>38</v>
      </c>
      <c r="Z4" s="34" t="s">
        <v>41</v>
      </c>
      <c r="AA4" s="23" t="s">
        <v>17</v>
      </c>
      <c r="AB4" s="23" t="s">
        <v>21</v>
      </c>
      <c r="AC4" s="23" t="s">
        <v>26</v>
      </c>
      <c r="AD4" s="23" t="s">
        <v>33</v>
      </c>
      <c r="AE4" s="23" t="s">
        <v>35</v>
      </c>
      <c r="AF4" s="23" t="s">
        <v>38</v>
      </c>
      <c r="AG4" s="23" t="s">
        <v>41</v>
      </c>
      <c r="AH4"/>
      <c r="AI4"/>
      <c r="AJ4"/>
      <c r="AK4"/>
      <c r="AL4"/>
      <c r="AM4"/>
      <c r="AN4"/>
    </row>
    <row r="5" spans="1:40" ht="13.5">
      <c r="A5" s="24" t="str">
        <f>"weapon_"&amp;G5&amp;"_"&amp;VLOOKUP(H5, Factor!$T$5:$AB$7, 9, 0)&amp;"_"&amp;IF(COUNTIFS($G$4:G4, G5, $H$4:H4, H5)+1&gt;=100, COUNTIFS($G$4:G4, G5, $H$4:H4, H5)+1,IF(COUNTIFS($G$4:G4, G5, $H$4:H4, H5)+1&gt;=10, "0"&amp;COUNTIFS($G$4:G4, G5, $H$4:H4, H5)+1, "00"&amp;COUNTIFS($G$4:G4, G5, $H$4:H4, H5)+1))</f>
        <v>weapon_single_Am_001</v>
      </c>
      <c r="B5" s="36" t="str">
        <f>C5&amp;" "&amp;IF(D5 = "none","", D5)&amp;E5</f>
        <v>녹슨 기관포</v>
      </c>
      <c r="C5" s="36" t="s">
        <v>150</v>
      </c>
      <c r="D5" s="36" t="s">
        <v>176</v>
      </c>
      <c r="E5" s="36" t="s">
        <v>151</v>
      </c>
      <c r="F5" s="25">
        <f>VLOOKUP(C5, Factor!$AD$5:$AE$15, 2, 0)</f>
        <v>0</v>
      </c>
      <c r="G5" s="26" t="str">
        <f>VLOOKUP(E5, Factor!$CL$5:$CV$50, 2, 0)</f>
        <v>single</v>
      </c>
      <c r="H5" s="25" t="str">
        <f>VLOOKUP(E5, Factor!$CL$5:$CV$50, 3, 0)</f>
        <v>ammo</v>
      </c>
      <c r="I5" s="25" t="str">
        <f>VLOOKUP(E5, Factor!$CL$5:$CV$50, 4, 0)</f>
        <v>L</v>
      </c>
      <c r="J5" s="25" t="str">
        <f>VLOOKUP(E5, Factor!$CL$5:$CV$50, 5, 0)</f>
        <v>spread</v>
      </c>
      <c r="K5" s="25">
        <v>1</v>
      </c>
      <c r="L5" s="25">
        <f>VLOOKUP(E5, Factor!$CL$5:$CV$50, 6, 0)*K5*VLOOKUP(D5, Factor!$BZ$5:$CJ$49, 9, 0)</f>
        <v>0</v>
      </c>
      <c r="M5" s="25" t="str">
        <f>VLOOKUP(E5, Factor!$CL$5:$CV$50, 7, 0)</f>
        <v>null</v>
      </c>
      <c r="N5" s="25">
        <v>1</v>
      </c>
      <c r="O5" s="25">
        <f>VLOOKUP(E5, Factor!$CL$5:$CV$50, 8, 0)*N5*VLOOKUP(D5, Factor!$BZ$5:$CJ$49, 10, 0)</f>
        <v>0</v>
      </c>
      <c r="P5" s="25">
        <v>1</v>
      </c>
      <c r="Q5" s="25">
        <f>VLOOKUP(E5, Factor!$CL$5:$CV$50, 9, 0)*P5*VLOOKUP(D5, Factor!$BZ$5:$CJ$49, 11, 0)</f>
        <v>1</v>
      </c>
      <c r="R5" s="25" t="str">
        <f>VLOOKUP(E5, Factor!$CL$5:$CV$50, 10, 0)</f>
        <v>null</v>
      </c>
      <c r="S5" s="25" t="str">
        <f>VLOOKUP(E5, Factor!$CL$5:$CV$50, 11, 0)</f>
        <v>null</v>
      </c>
      <c r="T5" s="25">
        <v>1</v>
      </c>
      <c r="U5" s="25">
        <v>1</v>
      </c>
      <c r="V5" s="25">
        <v>1</v>
      </c>
      <c r="W5" s="25">
        <v>1</v>
      </c>
      <c r="X5" s="25">
        <v>1</v>
      </c>
      <c r="Y5" s="25">
        <v>1</v>
      </c>
      <c r="Z5" s="25">
        <v>1</v>
      </c>
      <c r="AA5" s="25" cm="1">
        <f t="array" ref="AA5">_xlfn.LET(_xlpm.기본_색인번호, 2,
_xlpm.추가_색인번호, 3,
_xlpm.개별보정치, T5,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B5" s="25" cm="1">
        <f t="array" ref="AB5">_xlfn.LET(_xlpm.기본_색인번호, 3,
_xlpm.추가_색인번호, 4,
_xlpm.개별보정치, U5,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5" s="25" cm="1">
        <f t="array" ref="AC5">_xlfn.LET(_xlpm.기본_색인번호, 4,
_xlpm.추가_색인번호, 5,
_xlpm.개별보정치, V5,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" s="25" cm="1">
        <f t="array" ref="AD5">_xlfn.LET(_xlpm.기본_색인번호, 5,
_xlpm.추가_색인번호, 6,
_xlpm.개별보정치, W5,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E5" s="25" cm="1">
        <f t="array" ref="AE5">_xlfn.LET(_xlpm.기본_색인번호, 6,
_xlpm.추가_색인번호, 7,
_xlpm.개별보정치, X5,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F5" s="25" cm="1">
        <f t="array" ref="AF5">_xlfn.LET(_xlpm.기본_색인번호, 7,
_xlpm.추가_색인번호, 8,
_xlpm.개별보정치, Y5,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" s="25" cm="1">
        <f t="array" ref="AG5">_xlfn.LET(_xlpm.기본_색인번호, 8,
_xlpm.추가_색인번호, 9,
_xlpm.개별보정치, Z5,
_xlpm.패턴보정치, VLOOKUP($G5, Factor!$B$5:$I$51, _xlpm.기본_색인번호, 0),
_xlpm.소모탄환보정치, VLOOKUP($H5, Factor!$T$5:$AA$51, _xlpm.기본_색인번호, 0),
_xlpm.지형보정치, VLOOKUP($I5, Factor!$K$12:$R$13, _xlpm.기본_색인번호, 0),
_xlpm.공격속성보정치, VLOOKUP($J5, Factor!$K$5:$R$7, _xlpm.기본_색인번호, 0),
_xlpm.피해범위보정치, INDEX(Factor!$AN$5:$AV$51, _xlfn.XMATCH(IF(OR($G5="blast", $G5="curved",  $G5= "debuff"), $L5, 0), Factor!$AN$5:$AN$51, -1), _xlpm.추가_색인번호)-IF(AND(OR($G5="blast", $G5="curved", $G5= "debuff"), MOD($L5,1)&lt;&gt;0),INDEX(Factor!$AN$5:$AV$51, _xlfn.XMATCH(IF(OR($G5="blast", $G5="curved", $G5= "debuff"), $L5, 0), Factor!$AN$5:$AN$51, -1), 2)*MOD($L5,1)*10,0),
_xlpm.상태이상보정치, VLOOKUP(IF($G5 = "debuff", $M5, "null"), Factor!$AX$5:$BE$51, _xlpm.기본_색인번호, 0),
_xlpm.지속시간보정치, INDEX(Factor!$BG$5:$BO$51, _xlfn.XMATCH(IF(OR($G5 ="debuff", $G5 = "shot", $G5 = "pierce"), $O5, 0), Factor!$BG$5:$BG$51, -1), _xlpm.추가_색인번호)-IF(AND(OR($G5 ="debuff", $G5 = "shot", $G5 = "pierce"), MOD($O5, 1)&lt;&gt;0), 10*MOD($O5, 1)*INDEX(Factor!$BG$5:$BO$51, _xlfn.XMATCH(IF(OR($G5 ="debuff", $G5 = "shot", $G5 = "pierce"), $O5, 0), Factor!$BG$5:$BG$51, -1), 2), 0),
_xlpm.탄환개수보정치, VLOOKUP(IF(OR($G5 = "curved", $G5 = "shot"), $Q5, 1), Factor!$BQ$5:$BX$51, _xlpm.기본_색인번호, 0),
_xlpm.상태이상탄환생성위치보정치, IF($G5 = "debuff", VLOOKUP($R5, Factor!$K$18:$R$19, _xlpm.기본_색인번호, 0),1),
_xlpm.상태이상탄환형태보정치, IF($G5 = "debuff", VLOOKUP($S5, Factor!$K$24:$R$25, _xlpm.기본_색인번호, 0),1),
_xlpm.가격보정치, INDEX(Factor!$AE$5:$AL$51, _xlfn.XMATCH($F5,Factor!$AE$5:$AE$51, -1), _xlpm.기본_색인번호),
_xlpm.구경보정치, VLOOKUP($D5,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H5"/>
      <c r="AI5"/>
      <c r="AJ5"/>
      <c r="AK5"/>
      <c r="AL5"/>
      <c r="AM5"/>
      <c r="AN5"/>
    </row>
    <row r="6" spans="1:40" ht="13.5">
      <c r="A6" s="28" t="str">
        <f>"weapon_"&amp;G6&amp;"_"&amp;VLOOKUP(H6, Factor!$T$5:$AB$7, 9, 0)&amp;"_"&amp;IF(COUNTIFS($G$4:G5, G6, $H$4:H5, H6)+1&gt;=100, COUNTIFS($G$4:G5, G6, $H$4:H5, H6)+1,IF(COUNTIFS($G$4:G5, G6, $H$4:H5, H6)+1&gt;=10, "0"&amp;COUNTIFS($G$4:G5, G6, $H$4:H5, H6)+1, "00"&amp;COUNTIFS($G$4:G5, G6, $H$4:H5, H6)+1))</f>
        <v>weapon_single_Am_002</v>
      </c>
      <c r="B6" s="37" t="str">
        <f t="shared" ref="B6:B54" si="0">C6&amp;" "&amp;IF(D6 = "none","", D6)&amp;E6</f>
        <v>녹슨 5.56mm기관포</v>
      </c>
      <c r="C6" s="37" t="s">
        <v>240</v>
      </c>
      <c r="D6" s="37" t="s">
        <v>166</v>
      </c>
      <c r="E6" s="37" t="s">
        <v>151</v>
      </c>
      <c r="F6" s="29">
        <f>VLOOKUP(C6, Factor!$AD$5:$AE$15, 2, 0)</f>
        <v>0</v>
      </c>
      <c r="G6" s="29" t="str">
        <f>VLOOKUP(E6, Factor!$CL$5:$CV$50, 2, 0)</f>
        <v>single</v>
      </c>
      <c r="H6" s="29" t="str">
        <f>VLOOKUP(E6, Factor!$CL$5:$CV$50, 3, 0)</f>
        <v>ammo</v>
      </c>
      <c r="I6" s="29" t="str">
        <f>VLOOKUP(E6, Factor!$CL$5:$CV$50, 4, 0)</f>
        <v>L</v>
      </c>
      <c r="J6" s="29" t="str">
        <f>VLOOKUP(E6, Factor!$CL$5:$CV$50, 5, 0)</f>
        <v>spread</v>
      </c>
      <c r="K6" s="29">
        <v>1</v>
      </c>
      <c r="L6" s="29">
        <f>VLOOKUP(E6, Factor!$CL$5:$CV$50, 6, 0)*K6*VLOOKUP(D6, Factor!$BZ$5:$CJ$49, 9, 0)</f>
        <v>0</v>
      </c>
      <c r="M6" s="29" t="str">
        <f>VLOOKUP(E6, Factor!$CL$5:$CV$50, 7, 0)</f>
        <v>null</v>
      </c>
      <c r="N6" s="29">
        <v>1</v>
      </c>
      <c r="O6" s="29">
        <f>VLOOKUP(E6, Factor!$CL$5:$CV$50, 8, 0)*N6*VLOOKUP(D6, Factor!$BZ$5:$CJ$49, 10, 0)</f>
        <v>0</v>
      </c>
      <c r="P6" s="29">
        <v>1</v>
      </c>
      <c r="Q6" s="29">
        <f>VLOOKUP(E6, Factor!$CL$5:$CV$50, 9, 0)*P6*VLOOKUP(D6, Factor!$BZ$5:$CJ$49, 11, 0)</f>
        <v>2</v>
      </c>
      <c r="R6" s="29" t="str">
        <f>VLOOKUP(E6, Factor!$CL$5:$CV$50, 10, 0)</f>
        <v>null</v>
      </c>
      <c r="S6" s="29" t="str">
        <f>VLOOKUP(E6, Factor!$CL$5:$CV$50, 11, 0)</f>
        <v>null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 cm="1">
        <f t="array" ref="AA6">_xlfn.LET(_xlpm.기본_색인번호, 2,
_xlpm.추가_색인번호, 3,
_xlpm.개별보정치, T6,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B6" s="29" cm="1">
        <f t="array" ref="AB6">_xlfn.LET(_xlpm.기본_색인번호, 3,
_xlpm.추가_색인번호, 4,
_xlpm.개별보정치, U6,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6" s="29" cm="1">
        <f t="array" ref="AC6">_xlfn.LET(_xlpm.기본_색인번호, 4,
_xlpm.추가_색인번호, 5,
_xlpm.개별보정치, V6,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6" s="29" cm="1">
        <f t="array" ref="AD6">_xlfn.LET(_xlpm.기본_색인번호, 5,
_xlpm.추가_색인번호, 6,
_xlpm.개별보정치, W6,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E6" s="29" cm="1">
        <f t="array" ref="AE6">_xlfn.LET(_xlpm.기본_색인번호, 6,
_xlpm.추가_색인번호, 7,
_xlpm.개별보정치, X6,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F6" s="29" cm="1">
        <f t="array" ref="AF6">_xlfn.LET(_xlpm.기본_색인번호, 7,
_xlpm.추가_색인번호, 8,
_xlpm.개별보정치, Y6,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6" s="30" cm="1">
        <f t="array" ref="AG6">_xlfn.LET(_xlpm.기본_색인번호, 8,
_xlpm.추가_색인번호, 9,
_xlpm.개별보정치, Z6,
_xlpm.패턴보정치, VLOOKUP($G6, Factor!$B$5:$I$51, _xlpm.기본_색인번호, 0),
_xlpm.소모탄환보정치, VLOOKUP($H6, Factor!$T$5:$AA$51, _xlpm.기본_색인번호, 0),
_xlpm.지형보정치, VLOOKUP($I6, Factor!$K$12:$R$13, _xlpm.기본_색인번호, 0),
_xlpm.공격속성보정치, VLOOKUP($J6, Factor!$K$5:$R$7, _xlpm.기본_색인번호, 0),
_xlpm.피해범위보정치, INDEX(Factor!$AN$5:$AV$51, _xlfn.XMATCH(IF(OR($G6="blast", $G6="curved",  $G6= "debuff"), $L6, 0), Factor!$AN$5:$AN$51, -1), _xlpm.추가_색인번호)-IF(AND(OR($G6="blast", $G6="curved", $G6= "debuff"), MOD($L6,1)&lt;&gt;0),INDEX(Factor!$AN$5:$AV$51, _xlfn.XMATCH(IF(OR($G6="blast", $G6="curved", $G6= "debuff"), $L6, 0), Factor!$AN$5:$AN$51, -1), 2)*MOD($L6,1)*10,0),
_xlpm.상태이상보정치, VLOOKUP(IF($G6 = "debuff", $M6, "null"), Factor!$AX$5:$BE$51, _xlpm.기본_색인번호, 0),
_xlpm.지속시간보정치, INDEX(Factor!$BG$5:$BO$51, _xlfn.XMATCH(IF(OR($G6 ="debuff", $G6 = "shot", $G6 = "pierce"), $O6, 0), Factor!$BG$5:$BG$51, -1), _xlpm.추가_색인번호)-IF(AND(OR($G6 ="debuff", $G6 = "shot", $G6 = "pierce"), MOD($O6, 1)&lt;&gt;0), 10*MOD($O6, 1)*INDEX(Factor!$BG$5:$BO$51, _xlfn.XMATCH(IF(OR($G6 ="debuff", $G6 = "shot", $G6 = "pierce"), $O6, 0), Factor!$BG$5:$BG$51, -1), 2), 0),
_xlpm.탄환개수보정치, VLOOKUP(IF(OR($G6 = "curved", $G6 = "shot"), $Q6, 1), Factor!$BQ$5:$BX$51, _xlpm.기본_색인번호, 0),
_xlpm.상태이상탄환생성위치보정치, IF($G6 = "debuff", VLOOKUP($R6, Factor!$K$18:$R$19, _xlpm.기본_색인번호, 0),1),
_xlpm.상태이상탄환형태보정치, IF($G6 = "debuff", VLOOKUP($S6, Factor!$K$24:$R$25, _xlpm.기본_색인번호, 0),1),
_xlpm.가격보정치, INDEX(Factor!$AE$5:$AL$51, _xlfn.XMATCH($F6,Factor!$AE$5:$AE$51, -1), _xlpm.기본_색인번호),
_xlpm.구경보정치, VLOOKUP($D6,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H6"/>
      <c r="AI6"/>
      <c r="AJ6"/>
      <c r="AK6"/>
      <c r="AL6"/>
      <c r="AM6"/>
      <c r="AN6"/>
    </row>
    <row r="7" spans="1:40" ht="13.5">
      <c r="A7" s="24" t="str">
        <f>"weapon_"&amp;G7&amp;"_"&amp;VLOOKUP(H7, Factor!$T$5:$AB$7, 9, 0)&amp;"_"&amp;IF(COUNTIFS($G$4:G6, G7, $H$4:H6, H7)+1&gt;=100, COUNTIFS($G$4:G6, G7, $H$4:H6, H7)+1,IF(COUNTIFS($G$4:G6, G7, $H$4:H6, H7)+1&gt;=10, "0"&amp;COUNTIFS($G$4:G6, G7, $H$4:H6, H7)+1, "00"&amp;COUNTIFS($G$4:G6, G7, $H$4:H6, H7)+1))</f>
        <v>weapon_single_Am_003</v>
      </c>
      <c r="B7" s="36" t="str">
        <f t="shared" si="0"/>
        <v>녹슨 7.62mm기관포</v>
      </c>
      <c r="C7" s="36" t="s">
        <v>150</v>
      </c>
      <c r="D7" s="36" t="s">
        <v>167</v>
      </c>
      <c r="E7" s="36" t="s">
        <v>151</v>
      </c>
      <c r="F7" s="25">
        <f>VLOOKUP(C7, Factor!$AD$5:$AE$15, 2, 0)</f>
        <v>0</v>
      </c>
      <c r="G7" s="26" t="str">
        <f>VLOOKUP(E7, Factor!$CL$5:$CV$50, 2, 0)</f>
        <v>single</v>
      </c>
      <c r="H7" s="25" t="str">
        <f>VLOOKUP(E7, Factor!$CL$5:$CV$50, 3, 0)</f>
        <v>ammo</v>
      </c>
      <c r="I7" s="25" t="str">
        <f>VLOOKUP(E7, Factor!$CL$5:$CV$50, 4, 0)</f>
        <v>L</v>
      </c>
      <c r="J7" s="25" t="str">
        <f>VLOOKUP(E7, Factor!$CL$5:$CV$50, 5, 0)</f>
        <v>spread</v>
      </c>
      <c r="K7" s="25">
        <v>1</v>
      </c>
      <c r="L7" s="25">
        <f>VLOOKUP(E7, Factor!$CL$5:$CV$50, 6, 0)*K7*VLOOKUP(D7, Factor!$BZ$5:$CJ$49, 9, 0)</f>
        <v>0</v>
      </c>
      <c r="M7" s="25" t="str">
        <f>VLOOKUP(E7, Factor!$CL$5:$CV$50, 7, 0)</f>
        <v>null</v>
      </c>
      <c r="N7" s="25">
        <v>1</v>
      </c>
      <c r="O7" s="25">
        <f>VLOOKUP(E7, Factor!$CL$5:$CV$50, 8, 0)*N7*VLOOKUP(D7, Factor!$BZ$5:$CJ$49, 10, 0)</f>
        <v>0</v>
      </c>
      <c r="P7" s="25">
        <v>1</v>
      </c>
      <c r="Q7" s="25">
        <f>VLOOKUP(E7, Factor!$CL$5:$CV$50, 9, 0)*P7*VLOOKUP(D7, Factor!$BZ$5:$CJ$49, 11, 0)</f>
        <v>3</v>
      </c>
      <c r="R7" s="25" t="str">
        <f>VLOOKUP(E7, Factor!$CL$5:$CV$50, 10, 0)</f>
        <v>null</v>
      </c>
      <c r="S7" s="25" t="str">
        <f>VLOOKUP(E7, Factor!$CL$5:$CV$50, 11, 0)</f>
        <v>null</v>
      </c>
      <c r="T7" s="25">
        <v>1</v>
      </c>
      <c r="U7" s="25">
        <v>1</v>
      </c>
      <c r="V7" s="25">
        <v>1</v>
      </c>
      <c r="W7" s="25">
        <v>1</v>
      </c>
      <c r="X7" s="25">
        <v>1</v>
      </c>
      <c r="Y7" s="25">
        <v>1</v>
      </c>
      <c r="Z7" s="25">
        <v>1</v>
      </c>
      <c r="AA7" s="25" cm="1">
        <f t="array" ref="AA7">_xlfn.LET(_xlpm.기본_색인번호, 2,
_xlpm.추가_색인번호, 3,
_xlpm.개별보정치, T7,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B7" s="25" cm="1">
        <f t="array" ref="AB7">_xlfn.LET(_xlpm.기본_색인번호, 3,
_xlpm.추가_색인번호, 4,
_xlpm.개별보정치, U7,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7" s="25" cm="1">
        <f t="array" ref="AC7">_xlfn.LET(_xlpm.기본_색인번호, 4,
_xlpm.추가_색인번호, 5,
_xlpm.개별보정치, V7,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7" s="25" cm="1">
        <f t="array" ref="AD7">_xlfn.LET(_xlpm.기본_색인번호, 5,
_xlpm.추가_색인번호, 6,
_xlpm.개별보정치, W7,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E7" s="25" cm="1">
        <f t="array" ref="AE7">_xlfn.LET(_xlpm.기본_색인번호, 6,
_xlpm.추가_색인번호, 7,
_xlpm.개별보정치, X7,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F7" s="25" cm="1">
        <f t="array" ref="AF7">_xlfn.LET(_xlpm.기본_색인번호, 7,
_xlpm.추가_색인번호, 8,
_xlpm.개별보정치, Y7,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7" s="27" cm="1">
        <f t="array" ref="AG7">_xlfn.LET(_xlpm.기본_색인번호, 8,
_xlpm.추가_색인번호, 9,
_xlpm.개별보정치, Z7,
_xlpm.패턴보정치, VLOOKUP($G7, Factor!$B$5:$I$51, _xlpm.기본_색인번호, 0),
_xlpm.소모탄환보정치, VLOOKUP($H7, Factor!$T$5:$AA$51, _xlpm.기본_색인번호, 0),
_xlpm.지형보정치, VLOOKUP($I7, Factor!$K$12:$R$13, _xlpm.기본_색인번호, 0),
_xlpm.공격속성보정치, VLOOKUP($J7, Factor!$K$5:$R$7, _xlpm.기본_색인번호, 0),
_xlpm.피해범위보정치, INDEX(Factor!$AN$5:$AV$51, _xlfn.XMATCH(IF(OR($G7="blast", $G7="curved",  $G7= "debuff"), $L7, 0), Factor!$AN$5:$AN$51, -1), _xlpm.추가_색인번호)-IF(AND(OR($G7="blast", $G7="curved", $G7= "debuff"), MOD($L7,1)&lt;&gt;0),INDEX(Factor!$AN$5:$AV$51, _xlfn.XMATCH(IF(OR($G7="blast", $G7="curved", $G7= "debuff"), $L7, 0), Factor!$AN$5:$AN$51, -1), 2)*MOD($L7,1)*10,0),
_xlpm.상태이상보정치, VLOOKUP(IF($G7 = "debuff", $M7, "null"), Factor!$AX$5:$BE$51, _xlpm.기본_색인번호, 0),
_xlpm.지속시간보정치, INDEX(Factor!$BG$5:$BO$51, _xlfn.XMATCH(IF(OR($G7 ="debuff", $G7 = "shot", $G7 = "pierce"), $O7, 0), Factor!$BG$5:$BG$51, -1), _xlpm.추가_색인번호)-IF(AND(OR($G7 ="debuff", $G7 = "shot", $G7 = "pierce"), MOD($O7, 1)&lt;&gt;0), 10*MOD($O7, 1)*INDEX(Factor!$BG$5:$BO$51, _xlfn.XMATCH(IF(OR($G7 ="debuff", $G7 = "shot", $G7 = "pierce"), $O7, 0), Factor!$BG$5:$BG$51, -1), 2), 0),
_xlpm.탄환개수보정치, VLOOKUP(IF(OR($G7 = "curved", $G7 = "shot"), $Q7, 1), Factor!$BQ$5:$BX$51, _xlpm.기본_색인번호, 0),
_xlpm.상태이상탄환생성위치보정치, IF($G7 = "debuff", VLOOKUP($R7, Factor!$K$18:$R$19, _xlpm.기본_색인번호, 0),1),
_xlpm.상태이상탄환형태보정치, IF($G7 = "debuff", VLOOKUP($S7, Factor!$K$24:$R$25, _xlpm.기본_색인번호, 0),1),
_xlpm.가격보정치, INDEX(Factor!$AE$5:$AL$51, _xlfn.XMATCH($F7,Factor!$AE$5:$AE$51, -1), _xlpm.기본_색인번호),
_xlpm.구경보정치, VLOOKUP($D7,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H7"/>
      <c r="AI7"/>
      <c r="AJ7"/>
      <c r="AK7"/>
      <c r="AL7"/>
      <c r="AM7"/>
      <c r="AN7"/>
    </row>
    <row r="8" spans="1:40" ht="13.5">
      <c r="A8" s="28" t="str">
        <f>"weapon_"&amp;G8&amp;"_"&amp;VLOOKUP(H8, Factor!$T$5:$AB$7, 9, 0)&amp;"_"&amp;IF(COUNTIFS($G$4:G7, G8, $H$4:H7, H8)+1&gt;=100, COUNTIFS($G$4:G7, G8, $H$4:H7, H8)+1,IF(COUNTIFS($G$4:G7, G8, $H$4:H7, H8)+1&gt;=10, "0"&amp;COUNTIFS($G$4:G7, G8, $H$4:H7, H8)+1, "00"&amp;COUNTIFS($G$4:G7, G8, $H$4:H7, H8)+1))</f>
        <v>weapon_single_Am_004</v>
      </c>
      <c r="B8" s="37" t="str">
        <f t="shared" si="0"/>
        <v>녹슨 12.7mm기관포</v>
      </c>
      <c r="C8" s="37" t="s">
        <v>240</v>
      </c>
      <c r="D8" s="37" t="s">
        <v>168</v>
      </c>
      <c r="E8" s="37" t="s">
        <v>151</v>
      </c>
      <c r="F8" s="29">
        <f>VLOOKUP(C8, Factor!$AD$5:$AE$15, 2, 0)</f>
        <v>0</v>
      </c>
      <c r="G8" s="29" t="str">
        <f>VLOOKUP(E8, Factor!$CL$5:$CV$50, 2, 0)</f>
        <v>single</v>
      </c>
      <c r="H8" s="29" t="str">
        <f>VLOOKUP(E8, Factor!$CL$5:$CV$50, 3, 0)</f>
        <v>ammo</v>
      </c>
      <c r="I8" s="29" t="str">
        <f>VLOOKUP(E8, Factor!$CL$5:$CV$50, 4, 0)</f>
        <v>L</v>
      </c>
      <c r="J8" s="29" t="str">
        <f>VLOOKUP(E8, Factor!$CL$5:$CV$50, 5, 0)</f>
        <v>spread</v>
      </c>
      <c r="K8" s="29">
        <v>1</v>
      </c>
      <c r="L8" s="29">
        <f>VLOOKUP(E8, Factor!$CL$5:$CV$50, 6, 0)*K8*VLOOKUP(D8, Factor!$BZ$5:$CJ$49, 9, 0)</f>
        <v>0</v>
      </c>
      <c r="M8" s="29" t="str">
        <f>VLOOKUP(E8, Factor!$CL$5:$CV$50, 7, 0)</f>
        <v>null</v>
      </c>
      <c r="N8" s="29">
        <v>1</v>
      </c>
      <c r="O8" s="29">
        <f>VLOOKUP(E8, Factor!$CL$5:$CV$50, 8, 0)*N8*VLOOKUP(D8, Factor!$BZ$5:$CJ$49, 10, 0)</f>
        <v>0</v>
      </c>
      <c r="P8" s="29">
        <v>1</v>
      </c>
      <c r="Q8" s="29">
        <f>VLOOKUP(E8, Factor!$CL$5:$CV$50, 9, 0)*P8*VLOOKUP(D8, Factor!$BZ$5:$CJ$49, 11, 0)</f>
        <v>4</v>
      </c>
      <c r="R8" s="29" t="str">
        <f>VLOOKUP(E8, Factor!$CL$5:$CV$50, 10, 0)</f>
        <v>null</v>
      </c>
      <c r="S8" s="29" t="str">
        <f>VLOOKUP(E8, Factor!$CL$5:$CV$50, 11, 0)</f>
        <v>null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 cm="1">
        <f t="array" ref="AA8">_xlfn.LET(_xlpm.기본_색인번호, 2,
_xlpm.추가_색인번호, 3,
_xlpm.개별보정치, T8,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B8" s="29" cm="1">
        <f t="array" ref="AB8">_xlfn.LET(_xlpm.기본_색인번호, 3,
_xlpm.추가_색인번호, 4,
_xlpm.개별보정치, U8,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8" s="29" cm="1">
        <f t="array" ref="AC8">_xlfn.LET(_xlpm.기본_색인번호, 4,
_xlpm.추가_색인번호, 5,
_xlpm.개별보정치, V8,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8" s="29" cm="1">
        <f t="array" ref="AD8">_xlfn.LET(_xlpm.기본_색인번호, 5,
_xlpm.추가_색인번호, 6,
_xlpm.개별보정치, W8,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E8" s="29" cm="1">
        <f t="array" ref="AE8">_xlfn.LET(_xlpm.기본_색인번호, 6,
_xlpm.추가_색인번호, 7,
_xlpm.개별보정치, X8,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F8" s="29" cm="1">
        <f t="array" ref="AF8">_xlfn.LET(_xlpm.기본_색인번호, 7,
_xlpm.추가_색인번호, 8,
_xlpm.개별보정치, Y8,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8" s="30" cm="1">
        <f t="array" ref="AG8">_xlfn.LET(_xlpm.기본_색인번호, 8,
_xlpm.추가_색인번호, 9,
_xlpm.개별보정치, Z8,
_xlpm.패턴보정치, VLOOKUP($G8, Factor!$B$5:$I$51, _xlpm.기본_색인번호, 0),
_xlpm.소모탄환보정치, VLOOKUP($H8, Factor!$T$5:$AA$51, _xlpm.기본_색인번호, 0),
_xlpm.지형보정치, VLOOKUP($I8, Factor!$K$12:$R$13, _xlpm.기본_색인번호, 0),
_xlpm.공격속성보정치, VLOOKUP($J8, Factor!$K$5:$R$7, _xlpm.기본_색인번호, 0),
_xlpm.피해범위보정치, INDEX(Factor!$AN$5:$AV$51, _xlfn.XMATCH(IF(OR($G8="blast", $G8="curved",  $G8= "debuff"), $L8, 0), Factor!$AN$5:$AN$51, -1), _xlpm.추가_색인번호)-IF(AND(OR($G8="blast", $G8="curved", $G8= "debuff"), MOD($L8,1)&lt;&gt;0),INDEX(Factor!$AN$5:$AV$51, _xlfn.XMATCH(IF(OR($G8="blast", $G8="curved", $G8= "debuff"), $L8, 0), Factor!$AN$5:$AN$51, -1), 2)*MOD($L8,1)*10,0),
_xlpm.상태이상보정치, VLOOKUP(IF($G8 = "debuff", $M8, "null"), Factor!$AX$5:$BE$51, _xlpm.기본_색인번호, 0),
_xlpm.지속시간보정치, INDEX(Factor!$BG$5:$BO$51, _xlfn.XMATCH(IF(OR($G8 ="debuff", $G8 = "shot", $G8 = "pierce"), $O8, 0), Factor!$BG$5:$BG$51, -1), _xlpm.추가_색인번호)-IF(AND(OR($G8 ="debuff", $G8 = "shot", $G8 = "pierce"), MOD($O8, 1)&lt;&gt;0), 10*MOD($O8, 1)*INDEX(Factor!$BG$5:$BO$51, _xlfn.XMATCH(IF(OR($G8 ="debuff", $G8 = "shot", $G8 = "pierce"), $O8, 0), Factor!$BG$5:$BG$51, -1), 2), 0),
_xlpm.탄환개수보정치, VLOOKUP(IF(OR($G8 = "curved", $G8 = "shot"), $Q8, 1), Factor!$BQ$5:$BX$51, _xlpm.기본_색인번호, 0),
_xlpm.상태이상탄환생성위치보정치, IF($G8 = "debuff", VLOOKUP($R8, Factor!$K$18:$R$19, _xlpm.기본_색인번호, 0),1),
_xlpm.상태이상탄환형태보정치, IF($G8 = "debuff", VLOOKUP($S8, Factor!$K$24:$R$25, _xlpm.기본_색인번호, 0),1),
_xlpm.가격보정치, INDEX(Factor!$AE$5:$AL$51, _xlfn.XMATCH($F8,Factor!$AE$5:$AE$51, -1), _xlpm.기본_색인번호),
_xlpm.구경보정치, VLOOKUP($D8,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H8"/>
      <c r="AI8"/>
      <c r="AJ8"/>
      <c r="AK8"/>
      <c r="AL8"/>
      <c r="AM8"/>
      <c r="AN8"/>
    </row>
    <row r="9" spans="1:40" ht="13.5">
      <c r="A9" s="24" t="str">
        <f>"weapon_"&amp;G9&amp;"_"&amp;VLOOKUP(H9, Factor!$T$5:$AB$7, 9, 0)&amp;"_"&amp;IF(COUNTIFS($G$4:G8, G9, $H$4:H8, H9)+1&gt;=100, COUNTIFS($G$4:G8, G9, $H$4:H8, H9)+1,IF(COUNTIFS($G$4:G8, G9, $H$4:H8, H9)+1&gt;=10, "0"&amp;COUNTIFS($G$4:G8, G9, $H$4:H8, H9)+1, "00"&amp;COUNTIFS($G$4:G8, G9, $H$4:H8, H9)+1))</f>
        <v>weapon_single_Am_005</v>
      </c>
      <c r="B9" s="36" t="str">
        <f t="shared" si="0"/>
        <v>녹슨 20mm기관포</v>
      </c>
      <c r="C9" s="36" t="s">
        <v>150</v>
      </c>
      <c r="D9" s="36" t="s">
        <v>169</v>
      </c>
      <c r="E9" s="36" t="s">
        <v>151</v>
      </c>
      <c r="F9" s="25">
        <f>VLOOKUP(C9, Factor!$AD$5:$AE$15, 2, 0)</f>
        <v>0</v>
      </c>
      <c r="G9" s="26" t="str">
        <f>VLOOKUP(E9, Factor!$CL$5:$CV$50, 2, 0)</f>
        <v>single</v>
      </c>
      <c r="H9" s="25" t="str">
        <f>VLOOKUP(E9, Factor!$CL$5:$CV$50, 3, 0)</f>
        <v>ammo</v>
      </c>
      <c r="I9" s="25" t="str">
        <f>VLOOKUP(E9, Factor!$CL$5:$CV$50, 4, 0)</f>
        <v>L</v>
      </c>
      <c r="J9" s="25" t="str">
        <f>VLOOKUP(E9, Factor!$CL$5:$CV$50, 5, 0)</f>
        <v>spread</v>
      </c>
      <c r="K9" s="25">
        <v>1</v>
      </c>
      <c r="L9" s="25">
        <f>VLOOKUP(E9, Factor!$CL$5:$CV$50, 6, 0)*K9*VLOOKUP(D9, Factor!$BZ$5:$CJ$49, 9, 0)</f>
        <v>0</v>
      </c>
      <c r="M9" s="25" t="str">
        <f>VLOOKUP(E9, Factor!$CL$5:$CV$50, 7, 0)</f>
        <v>null</v>
      </c>
      <c r="N9" s="25">
        <v>1</v>
      </c>
      <c r="O9" s="25">
        <f>VLOOKUP(E9, Factor!$CL$5:$CV$50, 8, 0)*N9*VLOOKUP(D9, Factor!$BZ$5:$CJ$49, 10, 0)</f>
        <v>0</v>
      </c>
      <c r="P9" s="25">
        <v>1</v>
      </c>
      <c r="Q9" s="25">
        <f>VLOOKUP(E9, Factor!$CL$5:$CV$50, 9, 0)*P9*VLOOKUP(D9, Factor!$BZ$5:$CJ$49, 11, 0)</f>
        <v>5</v>
      </c>
      <c r="R9" s="25" t="str">
        <f>VLOOKUP(E9, Factor!$CL$5:$CV$50, 10, 0)</f>
        <v>null</v>
      </c>
      <c r="S9" s="25" t="str">
        <f>VLOOKUP(E9, Factor!$CL$5:$CV$50, 11, 0)</f>
        <v>null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 cm="1">
        <f t="array" ref="AA9">_xlfn.LET(_xlpm.기본_색인번호, 2,
_xlpm.추가_색인번호, 3,
_xlpm.개별보정치, T9,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B9" s="25" cm="1">
        <f t="array" ref="AB9">_xlfn.LET(_xlpm.기본_색인번호, 3,
_xlpm.추가_색인번호, 4,
_xlpm.개별보정치, U9,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9" s="25" cm="1">
        <f t="array" ref="AC9">_xlfn.LET(_xlpm.기본_색인번호, 4,
_xlpm.추가_색인번호, 5,
_xlpm.개별보정치, V9,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9" s="25" cm="1">
        <f t="array" ref="AD9">_xlfn.LET(_xlpm.기본_색인번호, 5,
_xlpm.추가_색인번호, 6,
_xlpm.개별보정치, W9,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E9" s="25" cm="1">
        <f t="array" ref="AE9">_xlfn.LET(_xlpm.기본_색인번호, 6,
_xlpm.추가_색인번호, 7,
_xlpm.개별보정치, X9,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F9" s="25" cm="1">
        <f t="array" ref="AF9">_xlfn.LET(_xlpm.기본_색인번호, 7,
_xlpm.추가_색인번호, 8,
_xlpm.개별보정치, Y9,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9" s="27" cm="1">
        <f t="array" ref="AG9">_xlfn.LET(_xlpm.기본_색인번호, 8,
_xlpm.추가_색인번호, 9,
_xlpm.개별보정치, Z9,
_xlpm.패턴보정치, VLOOKUP($G9, Factor!$B$5:$I$51, _xlpm.기본_색인번호, 0),
_xlpm.소모탄환보정치, VLOOKUP($H9, Factor!$T$5:$AA$51, _xlpm.기본_색인번호, 0),
_xlpm.지형보정치, VLOOKUP($I9, Factor!$K$12:$R$13, _xlpm.기본_색인번호, 0),
_xlpm.공격속성보정치, VLOOKUP($J9, Factor!$K$5:$R$7, _xlpm.기본_색인번호, 0),
_xlpm.피해범위보정치, INDEX(Factor!$AN$5:$AV$51, _xlfn.XMATCH(IF(OR($G9="blast", $G9="curved",  $G9= "debuff"), $L9, 0), Factor!$AN$5:$AN$51, -1), _xlpm.추가_색인번호)-IF(AND(OR($G9="blast", $G9="curved", $G9= "debuff"), MOD($L9,1)&lt;&gt;0),INDEX(Factor!$AN$5:$AV$51, _xlfn.XMATCH(IF(OR($G9="blast", $G9="curved", $G9= "debuff"), $L9, 0), Factor!$AN$5:$AN$51, -1), 2)*MOD($L9,1)*10,0),
_xlpm.상태이상보정치, VLOOKUP(IF($G9 = "debuff", $M9, "null"), Factor!$AX$5:$BE$51, _xlpm.기본_색인번호, 0),
_xlpm.지속시간보정치, INDEX(Factor!$BG$5:$BO$51, _xlfn.XMATCH(IF(OR($G9 ="debuff", $G9 = "shot", $G9 = "pierce"), $O9, 0), Factor!$BG$5:$BG$51, -1), _xlpm.추가_색인번호)-IF(AND(OR($G9 ="debuff", $G9 = "shot", $G9 = "pierce"), MOD($O9, 1)&lt;&gt;0), 10*MOD($O9, 1)*INDEX(Factor!$BG$5:$BO$51, _xlfn.XMATCH(IF(OR($G9 ="debuff", $G9 = "shot", $G9 = "pierce"), $O9, 0), Factor!$BG$5:$BG$51, -1), 2), 0),
_xlpm.탄환개수보정치, VLOOKUP(IF(OR($G9 = "curved", $G9 = "shot"), $Q9, 1), Factor!$BQ$5:$BX$51, _xlpm.기본_색인번호, 0),
_xlpm.상태이상탄환생성위치보정치, IF($G9 = "debuff", VLOOKUP($R9, Factor!$K$18:$R$19, _xlpm.기본_색인번호, 0),1),
_xlpm.상태이상탄환형태보정치, IF($G9 = "debuff", VLOOKUP($S9, Factor!$K$24:$R$25, _xlpm.기본_색인번호, 0),1),
_xlpm.가격보정치, INDEX(Factor!$AE$5:$AL$51, _xlfn.XMATCH($F9,Factor!$AE$5:$AE$51, -1), _xlpm.기본_색인번호),
_xlpm.구경보정치, VLOOKUP($D9,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H9"/>
      <c r="AI9"/>
      <c r="AJ9"/>
      <c r="AK9"/>
      <c r="AL9"/>
      <c r="AM9"/>
      <c r="AN9"/>
    </row>
    <row r="10" spans="1:40" ht="13.5">
      <c r="A10" s="28" t="str">
        <f>"weapon_"&amp;G10&amp;"_"&amp;VLOOKUP(H10, Factor!$T$5:$AB$7, 9, 0)&amp;"_"&amp;IF(COUNTIFS($G$4:G9, G10, $H$4:H9, H10)+1&gt;=100, COUNTIFS($G$4:G9, G10, $H$4:H9, H10)+1,IF(COUNTIFS($G$4:G9, G10, $H$4:H9, H10)+1&gt;=10, "0"&amp;COUNTIFS($G$4:G9, G10, $H$4:H9, H10)+1, "00"&amp;COUNTIFS($G$4:G9, G10, $H$4:H9, H10)+1))</f>
        <v>weapon_single_Am_006</v>
      </c>
      <c r="B10" s="37" t="str">
        <f t="shared" si="0"/>
        <v>T1 기관포</v>
      </c>
      <c r="C10" s="37" t="s">
        <v>238</v>
      </c>
      <c r="D10" s="37" t="s">
        <v>176</v>
      </c>
      <c r="E10" s="37" t="s">
        <v>151</v>
      </c>
      <c r="F10" s="29">
        <f>VLOOKUP(C10, Factor!$AD$5:$AE$15, 2, 0)</f>
        <v>1000</v>
      </c>
      <c r="G10" s="29" t="str">
        <f>VLOOKUP(E10, Factor!$CL$5:$CV$50, 2, 0)</f>
        <v>single</v>
      </c>
      <c r="H10" s="29" t="str">
        <f>VLOOKUP(E10, Factor!$CL$5:$CV$50, 3, 0)</f>
        <v>ammo</v>
      </c>
      <c r="I10" s="29" t="str">
        <f>VLOOKUP(E10, Factor!$CL$5:$CV$50, 4, 0)</f>
        <v>L</v>
      </c>
      <c r="J10" s="29" t="str">
        <f>VLOOKUP(E10, Factor!$CL$5:$CV$50, 5, 0)</f>
        <v>spread</v>
      </c>
      <c r="K10" s="29">
        <v>1</v>
      </c>
      <c r="L10" s="29">
        <f>VLOOKUP(E10, Factor!$CL$5:$CV$50, 6, 0)*K10*VLOOKUP(D10, Factor!$BZ$5:$CJ$49, 9, 0)</f>
        <v>0</v>
      </c>
      <c r="M10" s="29" t="str">
        <f>VLOOKUP(E10, Factor!$CL$5:$CV$50, 7, 0)</f>
        <v>null</v>
      </c>
      <c r="N10" s="29">
        <v>1</v>
      </c>
      <c r="O10" s="29">
        <f>VLOOKUP(E10, Factor!$CL$5:$CV$50, 8, 0)*N10*VLOOKUP(D10, Factor!$BZ$5:$CJ$49, 10, 0)</f>
        <v>0</v>
      </c>
      <c r="P10" s="29">
        <v>1</v>
      </c>
      <c r="Q10" s="29">
        <f>VLOOKUP(E10, Factor!$CL$5:$CV$50, 9, 0)*P10*VLOOKUP(D10, Factor!$BZ$5:$CJ$49, 11, 0)</f>
        <v>1</v>
      </c>
      <c r="R10" s="29" t="str">
        <f>VLOOKUP(E10, Factor!$CL$5:$CV$50, 10, 0)</f>
        <v>null</v>
      </c>
      <c r="S10" s="29" t="str">
        <f>VLOOKUP(E10, Factor!$CL$5:$CV$50, 11, 0)</f>
        <v>null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 cm="1">
        <f t="array" ref="AA10">_xlfn.LET(_xlpm.기본_색인번호, 2,
_xlpm.추가_색인번호, 3,
_xlpm.개별보정치, T10,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10" s="29" cm="1">
        <f t="array" ref="AB10">_xlfn.LET(_xlpm.기본_색인번호, 3,
_xlpm.추가_색인번호, 4,
_xlpm.개별보정치, U10,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0" s="29" cm="1">
        <f t="array" ref="AC10">_xlfn.LET(_xlpm.기본_색인번호, 4,
_xlpm.추가_색인번호, 5,
_xlpm.개별보정치, V10,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0" s="29" cm="1">
        <f t="array" ref="AD10">_xlfn.LET(_xlpm.기본_색인번호, 5,
_xlpm.추가_색인번호, 6,
_xlpm.개별보정치, W10,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10" s="29" cm="1">
        <f t="array" ref="AE10">_xlfn.LET(_xlpm.기본_색인번호, 6,
_xlpm.추가_색인번호, 7,
_xlpm.개별보정치, X10,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10" s="29" cm="1">
        <f t="array" ref="AF10">_xlfn.LET(_xlpm.기본_색인번호, 7,
_xlpm.추가_색인번호, 8,
_xlpm.개별보정치, Y10,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0" s="30" cm="1">
        <f t="array" ref="AG10">_xlfn.LET(_xlpm.기본_색인번호, 8,
_xlpm.추가_색인번호, 9,
_xlpm.개별보정치, Z10,
_xlpm.패턴보정치, VLOOKUP($G10, Factor!$B$5:$I$51, _xlpm.기본_색인번호, 0),
_xlpm.소모탄환보정치, VLOOKUP($H10, Factor!$T$5:$AA$51, _xlpm.기본_색인번호, 0),
_xlpm.지형보정치, VLOOKUP($I10, Factor!$K$12:$R$13, _xlpm.기본_색인번호, 0),
_xlpm.공격속성보정치, VLOOKUP($J10, Factor!$K$5:$R$7, _xlpm.기본_색인번호, 0),
_xlpm.피해범위보정치, INDEX(Factor!$AN$5:$AV$51, _xlfn.XMATCH(IF(OR($G10="blast", $G10="curved",  $G10= "debuff"), $L10, 0), Factor!$AN$5:$AN$51, -1), _xlpm.추가_색인번호)-IF(AND(OR($G10="blast", $G10="curved", $G10= "debuff"), MOD($L10,1)&lt;&gt;0),INDEX(Factor!$AN$5:$AV$51, _xlfn.XMATCH(IF(OR($G10="blast", $G10="curved", $G10= "debuff"), $L10, 0), Factor!$AN$5:$AN$51, -1), 2)*MOD($L10,1)*10,0),
_xlpm.상태이상보정치, VLOOKUP(IF($G10 = "debuff", $M10, "null"), Factor!$AX$5:$BE$51, _xlpm.기본_색인번호, 0),
_xlpm.지속시간보정치, INDEX(Factor!$BG$5:$BO$51, _xlfn.XMATCH(IF(OR($G10 ="debuff", $G10 = "shot", $G10 = "pierce"), $O10, 0), Factor!$BG$5:$BG$51, -1), _xlpm.추가_색인번호)-IF(AND(OR($G10 ="debuff", $G10 = "shot", $G10 = "pierce"), MOD($O10, 1)&lt;&gt;0), 10*MOD($O10, 1)*INDEX(Factor!$BG$5:$BO$51, _xlfn.XMATCH(IF(OR($G10 ="debuff", $G10 = "shot", $G10 = "pierce"), $O10, 0), Factor!$BG$5:$BG$51, -1), 2), 0),
_xlpm.탄환개수보정치, VLOOKUP(IF(OR($G10 = "curved", $G10 = "shot"), $Q10, 1), Factor!$BQ$5:$BX$51, _xlpm.기본_색인번호, 0),
_xlpm.상태이상탄환생성위치보정치, IF($G10 = "debuff", VLOOKUP($R10, Factor!$K$18:$R$19, _xlpm.기본_색인번호, 0),1),
_xlpm.상태이상탄환형태보정치, IF($G10 = "debuff", VLOOKUP($S10, Factor!$K$24:$R$25, _xlpm.기본_색인번호, 0),1),
_xlpm.가격보정치, INDEX(Factor!$AE$5:$AL$51, _xlfn.XMATCH($F10,Factor!$AE$5:$AE$51, -1), _xlpm.기본_색인번호),
_xlpm.구경보정치, VLOOKUP($D10,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H10"/>
      <c r="AI10"/>
      <c r="AJ10"/>
      <c r="AK10"/>
      <c r="AL10"/>
      <c r="AM10"/>
      <c r="AN10"/>
    </row>
    <row r="11" spans="1:40" ht="13.5">
      <c r="A11" s="24" t="str">
        <f>"weapon_"&amp;G11&amp;"_"&amp;VLOOKUP(H11, Factor!$T$5:$AB$7, 9, 0)&amp;"_"&amp;IF(COUNTIFS($G$4:G10, G11, $H$4:H10, H11)+1&gt;=100, COUNTIFS($G$4:G10, G11, $H$4:H10, H11)+1,IF(COUNTIFS($G$4:G10, G11, $H$4:H10, H11)+1&gt;=10, "0"&amp;COUNTIFS($G$4:G10, G11, $H$4:H10, H11)+1, "00"&amp;COUNTIFS($G$4:G10, G11, $H$4:H10, H11)+1))</f>
        <v>weapon_single_Am_007</v>
      </c>
      <c r="B11" s="36" t="str">
        <f t="shared" si="0"/>
        <v>T1 5.56mm기관포</v>
      </c>
      <c r="C11" s="36" t="s">
        <v>237</v>
      </c>
      <c r="D11" s="36" t="s">
        <v>166</v>
      </c>
      <c r="E11" s="36" t="s">
        <v>151</v>
      </c>
      <c r="F11" s="25">
        <f>VLOOKUP(C11, Factor!$AD$5:$AE$15, 2, 0)</f>
        <v>1000</v>
      </c>
      <c r="G11" s="26" t="str">
        <f>VLOOKUP(E11, Factor!$CL$5:$CV$50, 2, 0)</f>
        <v>single</v>
      </c>
      <c r="H11" s="25" t="str">
        <f>VLOOKUP(E11, Factor!$CL$5:$CV$50, 3, 0)</f>
        <v>ammo</v>
      </c>
      <c r="I11" s="25" t="str">
        <f>VLOOKUP(E11, Factor!$CL$5:$CV$50, 4, 0)</f>
        <v>L</v>
      </c>
      <c r="J11" s="25" t="str">
        <f>VLOOKUP(E11, Factor!$CL$5:$CV$50, 5, 0)</f>
        <v>spread</v>
      </c>
      <c r="K11" s="25">
        <v>1</v>
      </c>
      <c r="L11" s="25">
        <f>VLOOKUP(E11, Factor!$CL$5:$CV$50, 6, 0)*K11*VLOOKUP(D11, Factor!$BZ$5:$CJ$49, 9, 0)</f>
        <v>0</v>
      </c>
      <c r="M11" s="25" t="str">
        <f>VLOOKUP(E11, Factor!$CL$5:$CV$50, 7, 0)</f>
        <v>null</v>
      </c>
      <c r="N11" s="25">
        <v>1</v>
      </c>
      <c r="O11" s="25">
        <f>VLOOKUP(E11, Factor!$CL$5:$CV$50, 8, 0)*N11*VLOOKUP(D11, Factor!$BZ$5:$CJ$49, 10, 0)</f>
        <v>0</v>
      </c>
      <c r="P11" s="25">
        <v>1</v>
      </c>
      <c r="Q11" s="25">
        <f>VLOOKUP(E11, Factor!$CL$5:$CV$50, 9, 0)*P11*VLOOKUP(D11, Factor!$BZ$5:$CJ$49, 11, 0)</f>
        <v>2</v>
      </c>
      <c r="R11" s="25" t="str">
        <f>VLOOKUP(E11, Factor!$CL$5:$CV$50, 10, 0)</f>
        <v>null</v>
      </c>
      <c r="S11" s="25" t="str">
        <f>VLOOKUP(E11, Factor!$CL$5:$CV$50, 11, 0)</f>
        <v>null</v>
      </c>
      <c r="T11" s="25">
        <v>1</v>
      </c>
      <c r="U11" s="25">
        <v>1</v>
      </c>
      <c r="V11" s="25">
        <v>1</v>
      </c>
      <c r="W11" s="25">
        <v>1</v>
      </c>
      <c r="X11" s="25">
        <v>1</v>
      </c>
      <c r="Y11" s="25">
        <v>1</v>
      </c>
      <c r="Z11" s="25">
        <v>1</v>
      </c>
      <c r="AA11" s="25" cm="1">
        <f t="array" ref="AA11">_xlfn.LET(_xlpm.기본_색인번호, 2,
_xlpm.추가_색인번호, 3,
_xlpm.개별보정치, T11,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11" s="25" cm="1">
        <f t="array" ref="AB11">_xlfn.LET(_xlpm.기본_색인번호, 3,
_xlpm.추가_색인번호, 4,
_xlpm.개별보정치, U11,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1" s="25" cm="1">
        <f t="array" ref="AC11">_xlfn.LET(_xlpm.기본_색인번호, 4,
_xlpm.추가_색인번호, 5,
_xlpm.개별보정치, V11,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1" s="25" cm="1">
        <f t="array" ref="AD11">_xlfn.LET(_xlpm.기본_색인번호, 5,
_xlpm.추가_색인번호, 6,
_xlpm.개별보정치, W11,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11" s="25" cm="1">
        <f t="array" ref="AE11">_xlfn.LET(_xlpm.기본_색인번호, 6,
_xlpm.추가_색인번호, 7,
_xlpm.개별보정치, X11,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11" s="25" cm="1">
        <f t="array" ref="AF11">_xlfn.LET(_xlpm.기본_색인번호, 7,
_xlpm.추가_색인번호, 8,
_xlpm.개별보정치, Y11,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1" s="27" cm="1">
        <f t="array" ref="AG11">_xlfn.LET(_xlpm.기본_색인번호, 8,
_xlpm.추가_색인번호, 9,
_xlpm.개별보정치, Z11,
_xlpm.패턴보정치, VLOOKUP($G11, Factor!$B$5:$I$51, _xlpm.기본_색인번호, 0),
_xlpm.소모탄환보정치, VLOOKUP($H11, Factor!$T$5:$AA$51, _xlpm.기본_색인번호, 0),
_xlpm.지형보정치, VLOOKUP($I11, Factor!$K$12:$R$13, _xlpm.기본_색인번호, 0),
_xlpm.공격속성보정치, VLOOKUP($J11, Factor!$K$5:$R$7, _xlpm.기본_색인번호, 0),
_xlpm.피해범위보정치, INDEX(Factor!$AN$5:$AV$51, _xlfn.XMATCH(IF(OR($G11="blast", $G11="curved",  $G11= "debuff"), $L11, 0), Factor!$AN$5:$AN$51, -1), _xlpm.추가_색인번호)-IF(AND(OR($G11="blast", $G11="curved", $G11= "debuff"), MOD($L11,1)&lt;&gt;0),INDEX(Factor!$AN$5:$AV$51, _xlfn.XMATCH(IF(OR($G11="blast", $G11="curved", $G11= "debuff"), $L11, 0), Factor!$AN$5:$AN$51, -1), 2)*MOD($L11,1)*10,0),
_xlpm.상태이상보정치, VLOOKUP(IF($G11 = "debuff", $M11, "null"), Factor!$AX$5:$BE$51, _xlpm.기본_색인번호, 0),
_xlpm.지속시간보정치, INDEX(Factor!$BG$5:$BO$51, _xlfn.XMATCH(IF(OR($G11 ="debuff", $G11 = "shot", $G11 = "pierce"), $O11, 0), Factor!$BG$5:$BG$51, -1), _xlpm.추가_색인번호)-IF(AND(OR($G11 ="debuff", $G11 = "shot", $G11 = "pierce"), MOD($O11, 1)&lt;&gt;0), 10*MOD($O11, 1)*INDEX(Factor!$BG$5:$BO$51, _xlfn.XMATCH(IF(OR($G11 ="debuff", $G11 = "shot", $G11 = "pierce"), $O11, 0), Factor!$BG$5:$BG$51, -1), 2), 0),
_xlpm.탄환개수보정치, VLOOKUP(IF(OR($G11 = "curved", $G11 = "shot"), $Q11, 1), Factor!$BQ$5:$BX$51, _xlpm.기본_색인번호, 0),
_xlpm.상태이상탄환생성위치보정치, IF($G11 = "debuff", VLOOKUP($R11, Factor!$K$18:$R$19, _xlpm.기본_색인번호, 0),1),
_xlpm.상태이상탄환형태보정치, IF($G11 = "debuff", VLOOKUP($S11, Factor!$K$24:$R$25, _xlpm.기본_색인번호, 0),1),
_xlpm.가격보정치, INDEX(Factor!$AE$5:$AL$51, _xlfn.XMATCH($F11,Factor!$AE$5:$AE$51, -1), _xlpm.기본_색인번호),
_xlpm.구경보정치, VLOOKUP($D11,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H11"/>
      <c r="AI11"/>
      <c r="AJ11"/>
      <c r="AK11"/>
      <c r="AL11"/>
      <c r="AM11"/>
      <c r="AN11"/>
    </row>
    <row r="12" spans="1:40" ht="13.5">
      <c r="A12" s="28" t="str">
        <f>"weapon_"&amp;G12&amp;"_"&amp;VLOOKUP(H12, Factor!$T$5:$AB$7, 9, 0)&amp;"_"&amp;IF(COUNTIFS($G$4:G11, G12, $H$4:H11, H12)+1&gt;=100, COUNTIFS($G$4:G11, G12, $H$4:H11, H12)+1,IF(COUNTIFS($G$4:G11, G12, $H$4:H11, H12)+1&gt;=10, "0"&amp;COUNTIFS($G$4:G11, G12, $H$4:H11, H12)+1, "00"&amp;COUNTIFS($G$4:G11, G12, $H$4:H11, H12)+1))</f>
        <v>weapon_single_Am_008</v>
      </c>
      <c r="B12" s="37" t="str">
        <f t="shared" si="0"/>
        <v>T1 7.62mm기관포</v>
      </c>
      <c r="C12" s="37" t="s">
        <v>237</v>
      </c>
      <c r="D12" s="37" t="s">
        <v>167</v>
      </c>
      <c r="E12" s="37" t="s">
        <v>151</v>
      </c>
      <c r="F12" s="29">
        <f>VLOOKUP(C12, Factor!$AD$5:$AE$15, 2, 0)</f>
        <v>1000</v>
      </c>
      <c r="G12" s="29" t="str">
        <f>VLOOKUP(E12, Factor!$CL$5:$CV$50, 2, 0)</f>
        <v>single</v>
      </c>
      <c r="H12" s="29" t="str">
        <f>VLOOKUP(E12, Factor!$CL$5:$CV$50, 3, 0)</f>
        <v>ammo</v>
      </c>
      <c r="I12" s="29" t="str">
        <f>VLOOKUP(E12, Factor!$CL$5:$CV$50, 4, 0)</f>
        <v>L</v>
      </c>
      <c r="J12" s="29" t="str">
        <f>VLOOKUP(E12, Factor!$CL$5:$CV$50, 5, 0)</f>
        <v>spread</v>
      </c>
      <c r="K12" s="29">
        <v>1</v>
      </c>
      <c r="L12" s="29">
        <f>VLOOKUP(E12, Factor!$CL$5:$CV$50, 6, 0)*K12*VLOOKUP(D12, Factor!$BZ$5:$CJ$49, 9, 0)</f>
        <v>0</v>
      </c>
      <c r="M12" s="29" t="str">
        <f>VLOOKUP(E12, Factor!$CL$5:$CV$50, 7, 0)</f>
        <v>null</v>
      </c>
      <c r="N12" s="29">
        <v>1</v>
      </c>
      <c r="O12" s="29">
        <f>VLOOKUP(E12, Factor!$CL$5:$CV$50, 8, 0)*N12*VLOOKUP(D12, Factor!$BZ$5:$CJ$49, 10, 0)</f>
        <v>0</v>
      </c>
      <c r="P12" s="29">
        <v>1</v>
      </c>
      <c r="Q12" s="29">
        <f>VLOOKUP(E12, Factor!$CL$5:$CV$50, 9, 0)*P12*VLOOKUP(D12, Factor!$BZ$5:$CJ$49, 11, 0)</f>
        <v>3</v>
      </c>
      <c r="R12" s="29" t="str">
        <f>VLOOKUP(E12, Factor!$CL$5:$CV$50, 10, 0)</f>
        <v>null</v>
      </c>
      <c r="S12" s="29" t="str">
        <f>VLOOKUP(E12, Factor!$CL$5:$CV$50, 11, 0)</f>
        <v>null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 cm="1">
        <f t="array" ref="AA12">_xlfn.LET(_xlpm.기본_색인번호, 2,
_xlpm.추가_색인번호, 3,
_xlpm.개별보정치, T12,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12" s="29" cm="1">
        <f t="array" ref="AB12">_xlfn.LET(_xlpm.기본_색인번호, 3,
_xlpm.추가_색인번호, 4,
_xlpm.개별보정치, U12,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2" s="29" cm="1">
        <f t="array" ref="AC12">_xlfn.LET(_xlpm.기본_색인번호, 4,
_xlpm.추가_색인번호, 5,
_xlpm.개별보정치, V12,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2" s="29" cm="1">
        <f t="array" ref="AD12">_xlfn.LET(_xlpm.기본_색인번호, 5,
_xlpm.추가_색인번호, 6,
_xlpm.개별보정치, W12,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12" s="29" cm="1">
        <f t="array" ref="AE12">_xlfn.LET(_xlpm.기본_색인번호, 6,
_xlpm.추가_색인번호, 7,
_xlpm.개별보정치, X12,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12" s="29" cm="1">
        <f t="array" ref="AF12">_xlfn.LET(_xlpm.기본_색인번호, 7,
_xlpm.추가_색인번호, 8,
_xlpm.개별보정치, Y12,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2" s="30" cm="1">
        <f t="array" ref="AG12">_xlfn.LET(_xlpm.기본_색인번호, 8,
_xlpm.추가_색인번호, 9,
_xlpm.개별보정치, Z12,
_xlpm.패턴보정치, VLOOKUP($G12, Factor!$B$5:$I$51, _xlpm.기본_색인번호, 0),
_xlpm.소모탄환보정치, VLOOKUP($H12, Factor!$T$5:$AA$51, _xlpm.기본_색인번호, 0),
_xlpm.지형보정치, VLOOKUP($I12, Factor!$K$12:$R$13, _xlpm.기본_색인번호, 0),
_xlpm.공격속성보정치, VLOOKUP($J12, Factor!$K$5:$R$7, _xlpm.기본_색인번호, 0),
_xlpm.피해범위보정치, INDEX(Factor!$AN$5:$AV$51, _xlfn.XMATCH(IF(OR($G12="blast", $G12="curved",  $G12= "debuff"), $L12, 0), Factor!$AN$5:$AN$51, -1), _xlpm.추가_색인번호)-IF(AND(OR($G12="blast", $G12="curved", $G12= "debuff"), MOD($L12,1)&lt;&gt;0),INDEX(Factor!$AN$5:$AV$51, _xlfn.XMATCH(IF(OR($G12="blast", $G12="curved", $G12= "debuff"), $L12, 0), Factor!$AN$5:$AN$51, -1), 2)*MOD($L12,1)*10,0),
_xlpm.상태이상보정치, VLOOKUP(IF($G12 = "debuff", $M12, "null"), Factor!$AX$5:$BE$51, _xlpm.기본_색인번호, 0),
_xlpm.지속시간보정치, INDEX(Factor!$BG$5:$BO$51, _xlfn.XMATCH(IF(OR($G12 ="debuff", $G12 = "shot", $G12 = "pierce"), $O12, 0), Factor!$BG$5:$BG$51, -1), _xlpm.추가_색인번호)-IF(AND(OR($G12 ="debuff", $G12 = "shot", $G12 = "pierce"), MOD($O12, 1)&lt;&gt;0), 10*MOD($O12, 1)*INDEX(Factor!$BG$5:$BO$51, _xlfn.XMATCH(IF(OR($G12 ="debuff", $G12 = "shot", $G12 = "pierce"), $O12, 0), Factor!$BG$5:$BG$51, -1), 2), 0),
_xlpm.탄환개수보정치, VLOOKUP(IF(OR($G12 = "curved", $G12 = "shot"), $Q12, 1), Factor!$BQ$5:$BX$51, _xlpm.기본_색인번호, 0),
_xlpm.상태이상탄환생성위치보정치, IF($G12 = "debuff", VLOOKUP($R12, Factor!$K$18:$R$19, _xlpm.기본_색인번호, 0),1),
_xlpm.상태이상탄환형태보정치, IF($G12 = "debuff", VLOOKUP($S12, Factor!$K$24:$R$25, _xlpm.기본_색인번호, 0),1),
_xlpm.가격보정치, INDEX(Factor!$AE$5:$AL$51, _xlfn.XMATCH($F12,Factor!$AE$5:$AE$51, -1), _xlpm.기본_색인번호),
_xlpm.구경보정치, VLOOKUP($D12,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H12"/>
      <c r="AI12"/>
      <c r="AJ12"/>
      <c r="AK12"/>
      <c r="AL12"/>
      <c r="AM12"/>
      <c r="AN12"/>
    </row>
    <row r="13" spans="1:40" ht="13.5">
      <c r="A13" s="24" t="str">
        <f>"weapon_"&amp;G13&amp;"_"&amp;VLOOKUP(H13, Factor!$T$5:$AB$7, 9, 0)&amp;"_"&amp;IF(COUNTIFS($G$4:G12, G13, $H$4:H12, H13)+1&gt;=100, COUNTIFS($G$4:G12, G13, $H$4:H12, H13)+1,IF(COUNTIFS($G$4:G12, G13, $H$4:H12, H13)+1&gt;=10, "0"&amp;COUNTIFS($G$4:G12, G13, $H$4:H12, H13)+1, "00"&amp;COUNTIFS($G$4:G12, G13, $H$4:H12, H13)+1))</f>
        <v>weapon_single_Am_009</v>
      </c>
      <c r="B13" s="36" t="str">
        <f t="shared" si="0"/>
        <v>T1 12.7mm기관포</v>
      </c>
      <c r="C13" s="36" t="s">
        <v>237</v>
      </c>
      <c r="D13" s="36" t="s">
        <v>168</v>
      </c>
      <c r="E13" s="36" t="s">
        <v>151</v>
      </c>
      <c r="F13" s="25">
        <f>VLOOKUP(C13, Factor!$AD$5:$AE$15, 2, 0)</f>
        <v>1000</v>
      </c>
      <c r="G13" s="26" t="str">
        <f>VLOOKUP(E13, Factor!$CL$5:$CV$50, 2, 0)</f>
        <v>single</v>
      </c>
      <c r="H13" s="25" t="str">
        <f>VLOOKUP(E13, Factor!$CL$5:$CV$50, 3, 0)</f>
        <v>ammo</v>
      </c>
      <c r="I13" s="25" t="str">
        <f>VLOOKUP(E13, Factor!$CL$5:$CV$50, 4, 0)</f>
        <v>L</v>
      </c>
      <c r="J13" s="25" t="str">
        <f>VLOOKUP(E13, Factor!$CL$5:$CV$50, 5, 0)</f>
        <v>spread</v>
      </c>
      <c r="K13" s="25">
        <v>1</v>
      </c>
      <c r="L13" s="25">
        <f>VLOOKUP(E13, Factor!$CL$5:$CV$50, 6, 0)*K13*VLOOKUP(D13, Factor!$BZ$5:$CJ$49, 9, 0)</f>
        <v>0</v>
      </c>
      <c r="M13" s="25" t="str">
        <f>VLOOKUP(E13, Factor!$CL$5:$CV$50, 7, 0)</f>
        <v>null</v>
      </c>
      <c r="N13" s="25">
        <v>1</v>
      </c>
      <c r="O13" s="25">
        <f>VLOOKUP(E13, Factor!$CL$5:$CV$50, 8, 0)*N13*VLOOKUP(D13, Factor!$BZ$5:$CJ$49, 10, 0)</f>
        <v>0</v>
      </c>
      <c r="P13" s="25">
        <v>1</v>
      </c>
      <c r="Q13" s="25">
        <f>VLOOKUP(E13, Factor!$CL$5:$CV$50, 9, 0)*P13*VLOOKUP(D13, Factor!$BZ$5:$CJ$49, 11, 0)</f>
        <v>4</v>
      </c>
      <c r="R13" s="25" t="str">
        <f>VLOOKUP(E13, Factor!$CL$5:$CV$50, 10, 0)</f>
        <v>null</v>
      </c>
      <c r="S13" s="25" t="str">
        <f>VLOOKUP(E13, Factor!$CL$5:$CV$50, 11, 0)</f>
        <v>null</v>
      </c>
      <c r="T13" s="25">
        <v>1</v>
      </c>
      <c r="U13" s="25">
        <v>1</v>
      </c>
      <c r="V13" s="25">
        <v>1</v>
      </c>
      <c r="W13" s="25">
        <v>1</v>
      </c>
      <c r="X13" s="25">
        <v>1</v>
      </c>
      <c r="Y13" s="25">
        <v>1</v>
      </c>
      <c r="Z13" s="25">
        <v>1</v>
      </c>
      <c r="AA13" s="25" cm="1">
        <f t="array" ref="AA13">_xlfn.LET(_xlpm.기본_색인번호, 2,
_xlpm.추가_색인번호, 3,
_xlpm.개별보정치, T13,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13" s="25" cm="1">
        <f t="array" ref="AB13">_xlfn.LET(_xlpm.기본_색인번호, 3,
_xlpm.추가_색인번호, 4,
_xlpm.개별보정치, U13,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3" s="25" cm="1">
        <f t="array" ref="AC13">_xlfn.LET(_xlpm.기본_색인번호, 4,
_xlpm.추가_색인번호, 5,
_xlpm.개별보정치, V13,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3" s="25" cm="1">
        <f t="array" ref="AD13">_xlfn.LET(_xlpm.기본_색인번호, 5,
_xlpm.추가_색인번호, 6,
_xlpm.개별보정치, W13,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13" s="25" cm="1">
        <f t="array" ref="AE13">_xlfn.LET(_xlpm.기본_색인번호, 6,
_xlpm.추가_색인번호, 7,
_xlpm.개별보정치, X13,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13" s="25" cm="1">
        <f t="array" ref="AF13">_xlfn.LET(_xlpm.기본_색인번호, 7,
_xlpm.추가_색인번호, 8,
_xlpm.개별보정치, Y13,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3" s="27" cm="1">
        <f t="array" ref="AG13">_xlfn.LET(_xlpm.기본_색인번호, 8,
_xlpm.추가_색인번호, 9,
_xlpm.개별보정치, Z13,
_xlpm.패턴보정치, VLOOKUP($G13, Factor!$B$5:$I$51, _xlpm.기본_색인번호, 0),
_xlpm.소모탄환보정치, VLOOKUP($H13, Factor!$T$5:$AA$51, _xlpm.기본_색인번호, 0),
_xlpm.지형보정치, VLOOKUP($I13, Factor!$K$12:$R$13, _xlpm.기본_색인번호, 0),
_xlpm.공격속성보정치, VLOOKUP($J13, Factor!$K$5:$R$7, _xlpm.기본_색인번호, 0),
_xlpm.피해범위보정치, INDEX(Factor!$AN$5:$AV$51, _xlfn.XMATCH(IF(OR($G13="blast", $G13="curved",  $G13= "debuff"), $L13, 0), Factor!$AN$5:$AN$51, -1), _xlpm.추가_색인번호)-IF(AND(OR($G13="blast", $G13="curved", $G13= "debuff"), MOD($L13,1)&lt;&gt;0),INDEX(Factor!$AN$5:$AV$51, _xlfn.XMATCH(IF(OR($G13="blast", $G13="curved", $G13= "debuff"), $L13, 0), Factor!$AN$5:$AN$51, -1), 2)*MOD($L13,1)*10,0),
_xlpm.상태이상보정치, VLOOKUP(IF($G13 = "debuff", $M13, "null"), Factor!$AX$5:$BE$51, _xlpm.기본_색인번호, 0),
_xlpm.지속시간보정치, INDEX(Factor!$BG$5:$BO$51, _xlfn.XMATCH(IF(OR($G13 ="debuff", $G13 = "shot", $G13 = "pierce"), $O13, 0), Factor!$BG$5:$BG$51, -1), _xlpm.추가_색인번호)-IF(AND(OR($G13 ="debuff", $G13 = "shot", $G13 = "pierce"), MOD($O13, 1)&lt;&gt;0), 10*MOD($O13, 1)*INDEX(Factor!$BG$5:$BO$51, _xlfn.XMATCH(IF(OR($G13 ="debuff", $G13 = "shot", $G13 = "pierce"), $O13, 0), Factor!$BG$5:$BG$51, -1), 2), 0),
_xlpm.탄환개수보정치, VLOOKUP(IF(OR($G13 = "curved", $G13 = "shot"), $Q13, 1), Factor!$BQ$5:$BX$51, _xlpm.기본_색인번호, 0),
_xlpm.상태이상탄환생성위치보정치, IF($G13 = "debuff", VLOOKUP($R13, Factor!$K$18:$R$19, _xlpm.기본_색인번호, 0),1),
_xlpm.상태이상탄환형태보정치, IF($G13 = "debuff", VLOOKUP($S13, Factor!$K$24:$R$25, _xlpm.기본_색인번호, 0),1),
_xlpm.가격보정치, INDEX(Factor!$AE$5:$AL$51, _xlfn.XMATCH($F13,Factor!$AE$5:$AE$51, -1), _xlpm.기본_색인번호),
_xlpm.구경보정치, VLOOKUP($D13,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H13"/>
      <c r="AI13"/>
      <c r="AJ13"/>
      <c r="AK13"/>
      <c r="AL13"/>
      <c r="AM13"/>
      <c r="AN13"/>
    </row>
    <row r="14" spans="1:40" ht="13.5">
      <c r="A14" s="28" t="str">
        <f>"weapon_"&amp;G14&amp;"_"&amp;VLOOKUP(H14, Factor!$T$5:$AB$7, 9, 0)&amp;"_"&amp;IF(COUNTIFS($G$4:G13, G14, $H$4:H13, H14)+1&gt;=100, COUNTIFS($G$4:G13, G14, $H$4:H13, H14)+1,IF(COUNTIFS($G$4:G13, G14, $H$4:H13, H14)+1&gt;=10, "0"&amp;COUNTIFS($G$4:G13, G14, $H$4:H13, H14)+1, "00"&amp;COUNTIFS($G$4:G13, G14, $H$4:H13, H14)+1))</f>
        <v>weapon_single_Am_010</v>
      </c>
      <c r="B14" s="37" t="str">
        <f t="shared" si="0"/>
        <v>T1 20mm기관포</v>
      </c>
      <c r="C14" s="37" t="s">
        <v>237</v>
      </c>
      <c r="D14" s="37" t="s">
        <v>169</v>
      </c>
      <c r="E14" s="37" t="s">
        <v>151</v>
      </c>
      <c r="F14" s="29">
        <f>VLOOKUP(C14, Factor!$AD$5:$AE$15, 2, 0)</f>
        <v>1000</v>
      </c>
      <c r="G14" s="29" t="str">
        <f>VLOOKUP(E14, Factor!$CL$5:$CV$50, 2, 0)</f>
        <v>single</v>
      </c>
      <c r="H14" s="29" t="str">
        <f>VLOOKUP(E14, Factor!$CL$5:$CV$50, 3, 0)</f>
        <v>ammo</v>
      </c>
      <c r="I14" s="29" t="str">
        <f>VLOOKUP(E14, Factor!$CL$5:$CV$50, 4, 0)</f>
        <v>L</v>
      </c>
      <c r="J14" s="29" t="str">
        <f>VLOOKUP(E14, Factor!$CL$5:$CV$50, 5, 0)</f>
        <v>spread</v>
      </c>
      <c r="K14" s="29">
        <v>1</v>
      </c>
      <c r="L14" s="29">
        <f>VLOOKUP(E14, Factor!$CL$5:$CV$50, 6, 0)*K14*VLOOKUP(D14, Factor!$BZ$5:$CJ$49, 9, 0)</f>
        <v>0</v>
      </c>
      <c r="M14" s="29" t="str">
        <f>VLOOKUP(E14, Factor!$CL$5:$CV$50, 7, 0)</f>
        <v>null</v>
      </c>
      <c r="N14" s="29">
        <v>1</v>
      </c>
      <c r="O14" s="29">
        <f>VLOOKUP(E14, Factor!$CL$5:$CV$50, 8, 0)*N14*VLOOKUP(D14, Factor!$BZ$5:$CJ$49, 10, 0)</f>
        <v>0</v>
      </c>
      <c r="P14" s="29">
        <v>1</v>
      </c>
      <c r="Q14" s="29">
        <f>VLOOKUP(E14, Factor!$CL$5:$CV$50, 9, 0)*P14*VLOOKUP(D14, Factor!$BZ$5:$CJ$49, 11, 0)</f>
        <v>5</v>
      </c>
      <c r="R14" s="29" t="str">
        <f>VLOOKUP(E14, Factor!$CL$5:$CV$50, 10, 0)</f>
        <v>null</v>
      </c>
      <c r="S14" s="29" t="str">
        <f>VLOOKUP(E14, Factor!$CL$5:$CV$50, 11, 0)</f>
        <v>null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 cm="1">
        <f t="array" ref="AA14">_xlfn.LET(_xlpm.기본_색인번호, 2,
_xlpm.추가_색인번호, 3,
_xlpm.개별보정치, T14,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14" s="29" cm="1">
        <f t="array" ref="AB14">_xlfn.LET(_xlpm.기본_색인번호, 3,
_xlpm.추가_색인번호, 4,
_xlpm.개별보정치, U14,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4" s="29" cm="1">
        <f t="array" ref="AC14">_xlfn.LET(_xlpm.기본_색인번호, 4,
_xlpm.추가_색인번호, 5,
_xlpm.개별보정치, V14,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4" s="29" cm="1">
        <f t="array" ref="AD14">_xlfn.LET(_xlpm.기본_색인번호, 5,
_xlpm.추가_색인번호, 6,
_xlpm.개별보정치, W14,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14" s="29" cm="1">
        <f t="array" ref="AE14">_xlfn.LET(_xlpm.기본_색인번호, 6,
_xlpm.추가_색인번호, 7,
_xlpm.개별보정치, X14,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14" s="29" cm="1">
        <f t="array" ref="AF14">_xlfn.LET(_xlpm.기본_색인번호, 7,
_xlpm.추가_색인번호, 8,
_xlpm.개별보정치, Y14,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4" s="30" cm="1">
        <f t="array" ref="AG14">_xlfn.LET(_xlpm.기본_색인번호, 8,
_xlpm.추가_색인번호, 9,
_xlpm.개별보정치, Z14,
_xlpm.패턴보정치, VLOOKUP($G14, Factor!$B$5:$I$51, _xlpm.기본_색인번호, 0),
_xlpm.소모탄환보정치, VLOOKUP($H14, Factor!$T$5:$AA$51, _xlpm.기본_색인번호, 0),
_xlpm.지형보정치, VLOOKUP($I14, Factor!$K$12:$R$13, _xlpm.기본_색인번호, 0),
_xlpm.공격속성보정치, VLOOKUP($J14, Factor!$K$5:$R$7, _xlpm.기본_색인번호, 0),
_xlpm.피해범위보정치, INDEX(Factor!$AN$5:$AV$51, _xlfn.XMATCH(IF(OR($G14="blast", $G14="curved",  $G14= "debuff"), $L14, 0), Factor!$AN$5:$AN$51, -1), _xlpm.추가_색인번호)-IF(AND(OR($G14="blast", $G14="curved", $G14= "debuff"), MOD($L14,1)&lt;&gt;0),INDEX(Factor!$AN$5:$AV$51, _xlfn.XMATCH(IF(OR($G14="blast", $G14="curved", $G14= "debuff"), $L14, 0), Factor!$AN$5:$AN$51, -1), 2)*MOD($L14,1)*10,0),
_xlpm.상태이상보정치, VLOOKUP(IF($G14 = "debuff", $M14, "null"), Factor!$AX$5:$BE$51, _xlpm.기본_색인번호, 0),
_xlpm.지속시간보정치, INDEX(Factor!$BG$5:$BO$51, _xlfn.XMATCH(IF(OR($G14 ="debuff", $G14 = "shot", $G14 = "pierce"), $O14, 0), Factor!$BG$5:$BG$51, -1), _xlpm.추가_색인번호)-IF(AND(OR($G14 ="debuff", $G14 = "shot", $G14 = "pierce"), MOD($O14, 1)&lt;&gt;0), 10*MOD($O14, 1)*INDEX(Factor!$BG$5:$BO$51, _xlfn.XMATCH(IF(OR($G14 ="debuff", $G14 = "shot", $G14 = "pierce"), $O14, 0), Factor!$BG$5:$BG$51, -1), 2), 0),
_xlpm.탄환개수보정치, VLOOKUP(IF(OR($G14 = "curved", $G14 = "shot"), $Q14, 1), Factor!$BQ$5:$BX$51, _xlpm.기본_색인번호, 0),
_xlpm.상태이상탄환생성위치보정치, IF($G14 = "debuff", VLOOKUP($R14, Factor!$K$18:$R$19, _xlpm.기본_색인번호, 0),1),
_xlpm.상태이상탄환형태보정치, IF($G14 = "debuff", VLOOKUP($S14, Factor!$K$24:$R$25, _xlpm.기본_색인번호, 0),1),
_xlpm.가격보정치, INDEX(Factor!$AE$5:$AL$51, _xlfn.XMATCH($F14,Factor!$AE$5:$AE$51, -1), _xlpm.기본_색인번호),
_xlpm.구경보정치, VLOOKUP($D14,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H14"/>
      <c r="AI14"/>
      <c r="AJ14"/>
      <c r="AK14"/>
      <c r="AL14"/>
      <c r="AM14"/>
      <c r="AN14"/>
    </row>
    <row r="15" spans="1:40" ht="13.5">
      <c r="A15" s="24" t="str">
        <f>"weapon_"&amp;G15&amp;"_"&amp;VLOOKUP(H15, Factor!$T$5:$AB$7, 9, 0)&amp;"_"&amp;IF(COUNTIFS($G$4:G14, G15, $H$4:H14, H15)+1&gt;=100, COUNTIFS($G$4:G14, G15, $H$4:H14, H15)+1,IF(COUNTIFS($G$4:G14, G15, $H$4:H14, H15)+1&gt;=10, "0"&amp;COUNTIFS($G$4:G14, G15, $H$4:H14, H15)+1, "00"&amp;COUNTIFS($G$4:G14, G15, $H$4:H14, H15)+1))</f>
        <v>weapon_single_Am_011</v>
      </c>
      <c r="B15" s="36" t="str">
        <f t="shared" si="0"/>
        <v>T2 기관포</v>
      </c>
      <c r="C15" s="36" t="s">
        <v>245</v>
      </c>
      <c r="D15" s="36" t="s">
        <v>176</v>
      </c>
      <c r="E15" s="36" t="s">
        <v>151</v>
      </c>
      <c r="F15" s="25">
        <f>VLOOKUP(C15, Factor!$AD$5:$AE$15, 2, 0)</f>
        <v>2000</v>
      </c>
      <c r="G15" s="26" t="str">
        <f>VLOOKUP(E15, Factor!$CL$5:$CV$50, 2, 0)</f>
        <v>single</v>
      </c>
      <c r="H15" s="25" t="str">
        <f>VLOOKUP(E15, Factor!$CL$5:$CV$50, 3, 0)</f>
        <v>ammo</v>
      </c>
      <c r="I15" s="25" t="str">
        <f>VLOOKUP(E15, Factor!$CL$5:$CV$50, 4, 0)</f>
        <v>L</v>
      </c>
      <c r="J15" s="25" t="str">
        <f>VLOOKUP(E15, Factor!$CL$5:$CV$50, 5, 0)</f>
        <v>spread</v>
      </c>
      <c r="K15" s="25">
        <v>1</v>
      </c>
      <c r="L15" s="25">
        <f>VLOOKUP(E15, Factor!$CL$5:$CV$50, 6, 0)*K15*VLOOKUP(D15, Factor!$BZ$5:$CJ$49, 9, 0)</f>
        <v>0</v>
      </c>
      <c r="M15" s="25" t="str">
        <f>VLOOKUP(E15, Factor!$CL$5:$CV$50, 7, 0)</f>
        <v>null</v>
      </c>
      <c r="N15" s="25">
        <v>1</v>
      </c>
      <c r="O15" s="25">
        <f>VLOOKUP(E15, Factor!$CL$5:$CV$50, 8, 0)*N15*VLOOKUP(D15, Factor!$BZ$5:$CJ$49, 10, 0)</f>
        <v>0</v>
      </c>
      <c r="P15" s="25">
        <v>1</v>
      </c>
      <c r="Q15" s="25">
        <f>VLOOKUP(E15, Factor!$CL$5:$CV$50, 9, 0)*P15*VLOOKUP(D15, Factor!$BZ$5:$CJ$49, 11, 0)</f>
        <v>1</v>
      </c>
      <c r="R15" s="25" t="str">
        <f>VLOOKUP(E15, Factor!$CL$5:$CV$50, 10, 0)</f>
        <v>null</v>
      </c>
      <c r="S15" s="25" t="str">
        <f>VLOOKUP(E15, Factor!$CL$5:$CV$50, 11, 0)</f>
        <v>null</v>
      </c>
      <c r="T15" s="25">
        <v>1</v>
      </c>
      <c r="U15" s="25">
        <v>1</v>
      </c>
      <c r="V15" s="25">
        <v>1</v>
      </c>
      <c r="W15" s="25">
        <v>1</v>
      </c>
      <c r="X15" s="25">
        <v>1</v>
      </c>
      <c r="Y15" s="25">
        <v>1</v>
      </c>
      <c r="Z15" s="25">
        <v>1</v>
      </c>
      <c r="AA15" s="25" cm="1">
        <f t="array" ref="AA15">_xlfn.LET(_xlpm.기본_색인번호, 2,
_xlpm.추가_색인번호, 3,
_xlpm.개별보정치, T15,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B15" s="25" cm="1">
        <f t="array" ref="AB15">_xlfn.LET(_xlpm.기본_색인번호, 3,
_xlpm.추가_색인번호, 4,
_xlpm.개별보정치, U15,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5" s="25" cm="1">
        <f t="array" ref="AC15">_xlfn.LET(_xlpm.기본_색인번호, 4,
_xlpm.추가_색인번호, 5,
_xlpm.개별보정치, V15,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5" s="25" cm="1">
        <f t="array" ref="AD15">_xlfn.LET(_xlpm.기본_색인번호, 5,
_xlpm.추가_색인번호, 6,
_xlpm.개별보정치, W15,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E15" s="25" cm="1">
        <f t="array" ref="AE15">_xlfn.LET(_xlpm.기본_색인번호, 6,
_xlpm.추가_색인번호, 7,
_xlpm.개별보정치, X15,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F15" s="25" cm="1">
        <f t="array" ref="AF15">_xlfn.LET(_xlpm.기본_색인번호, 7,
_xlpm.추가_색인번호, 8,
_xlpm.개별보정치, Y15,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5" s="27" cm="1">
        <f t="array" ref="AG15">_xlfn.LET(_xlpm.기본_색인번호, 8,
_xlpm.추가_색인번호, 9,
_xlpm.개별보정치, Z15,
_xlpm.패턴보정치, VLOOKUP($G15, Factor!$B$5:$I$51, _xlpm.기본_색인번호, 0),
_xlpm.소모탄환보정치, VLOOKUP($H15, Factor!$T$5:$AA$51, _xlpm.기본_색인번호, 0),
_xlpm.지형보정치, VLOOKUP($I15, Factor!$K$12:$R$13, _xlpm.기본_색인번호, 0),
_xlpm.공격속성보정치, VLOOKUP($J15, Factor!$K$5:$R$7, _xlpm.기본_색인번호, 0),
_xlpm.피해범위보정치, INDEX(Factor!$AN$5:$AV$51, _xlfn.XMATCH(IF(OR($G15="blast", $G15="curved",  $G15= "debuff"), $L15, 0), Factor!$AN$5:$AN$51, -1), _xlpm.추가_색인번호)-IF(AND(OR($G15="blast", $G15="curved", $G15= "debuff"), MOD($L15,1)&lt;&gt;0),INDEX(Factor!$AN$5:$AV$51, _xlfn.XMATCH(IF(OR($G15="blast", $G15="curved", $G15= "debuff"), $L15, 0), Factor!$AN$5:$AN$51, -1), 2)*MOD($L15,1)*10,0),
_xlpm.상태이상보정치, VLOOKUP(IF($G15 = "debuff", $M15, "null"), Factor!$AX$5:$BE$51, _xlpm.기본_색인번호, 0),
_xlpm.지속시간보정치, INDEX(Factor!$BG$5:$BO$51, _xlfn.XMATCH(IF(OR($G15 ="debuff", $G15 = "shot", $G15 = "pierce"), $O15, 0), Factor!$BG$5:$BG$51, -1), _xlpm.추가_색인번호)-IF(AND(OR($G15 ="debuff", $G15 = "shot", $G15 = "pierce"), MOD($O15, 1)&lt;&gt;0), 10*MOD($O15, 1)*INDEX(Factor!$BG$5:$BO$51, _xlfn.XMATCH(IF(OR($G15 ="debuff", $G15 = "shot", $G15 = "pierce"), $O15, 0), Factor!$BG$5:$BG$51, -1), 2), 0),
_xlpm.탄환개수보정치, VLOOKUP(IF(OR($G15 = "curved", $G15 = "shot"), $Q15, 1), Factor!$BQ$5:$BX$51, _xlpm.기본_색인번호, 0),
_xlpm.상태이상탄환생성위치보정치, IF($G15 = "debuff", VLOOKUP($R15, Factor!$K$18:$R$19, _xlpm.기본_색인번호, 0),1),
_xlpm.상태이상탄환형태보정치, IF($G15 = "debuff", VLOOKUP($S15, Factor!$K$24:$R$25, _xlpm.기본_색인번호, 0),1),
_xlpm.가격보정치, INDEX(Factor!$AE$5:$AL$51, _xlfn.XMATCH($F15,Factor!$AE$5:$AE$51, -1), _xlpm.기본_색인번호),
_xlpm.구경보정치, VLOOKUP($D15,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H15"/>
      <c r="AI15"/>
      <c r="AJ15"/>
      <c r="AK15"/>
      <c r="AL15"/>
      <c r="AM15"/>
      <c r="AN15"/>
    </row>
    <row r="16" spans="1:40" ht="15.75" customHeight="1">
      <c r="A16" s="28" t="str">
        <f>"weapon_"&amp;G16&amp;"_"&amp;VLOOKUP(H16, Factor!$T$5:$AB$7, 9, 0)&amp;"_"&amp;IF(COUNTIFS($G$4:G15, G16, $H$4:H15, H16)+1&gt;=100, COUNTIFS($G$4:G15, G16, $H$4:H15, H16)+1,IF(COUNTIFS($G$4:G15, G16, $H$4:H15, H16)+1&gt;=10, "0"&amp;COUNTIFS($G$4:G15, G16, $H$4:H15, H16)+1, "00"&amp;COUNTIFS($G$4:G15, G16, $H$4:H15, H16)+1))</f>
        <v>weapon_single_Am_012</v>
      </c>
      <c r="B16" s="37" t="str">
        <f t="shared" si="0"/>
        <v>T2 5.56mm기관포</v>
      </c>
      <c r="C16" s="37" t="s">
        <v>246</v>
      </c>
      <c r="D16" s="37" t="s">
        <v>166</v>
      </c>
      <c r="E16" s="37" t="s">
        <v>151</v>
      </c>
      <c r="F16" s="29">
        <f>VLOOKUP(C16, Factor!$AD$5:$AE$15, 2, 0)</f>
        <v>2000</v>
      </c>
      <c r="G16" s="29" t="str">
        <f>VLOOKUP(E16, Factor!$CL$5:$CV$50, 2, 0)</f>
        <v>single</v>
      </c>
      <c r="H16" s="29" t="str">
        <f>VLOOKUP(E16, Factor!$CL$5:$CV$50, 3, 0)</f>
        <v>ammo</v>
      </c>
      <c r="I16" s="29" t="str">
        <f>VLOOKUP(E16, Factor!$CL$5:$CV$50, 4, 0)</f>
        <v>L</v>
      </c>
      <c r="J16" s="29" t="str">
        <f>VLOOKUP(E16, Factor!$CL$5:$CV$50, 5, 0)</f>
        <v>spread</v>
      </c>
      <c r="K16" s="29">
        <v>1</v>
      </c>
      <c r="L16" s="29">
        <f>VLOOKUP(E16, Factor!$CL$5:$CV$50, 6, 0)*K16*VLOOKUP(D16, Factor!$BZ$5:$CJ$49, 9, 0)</f>
        <v>0</v>
      </c>
      <c r="M16" s="29" t="str">
        <f>VLOOKUP(E16, Factor!$CL$5:$CV$50, 7, 0)</f>
        <v>null</v>
      </c>
      <c r="N16" s="29">
        <v>1</v>
      </c>
      <c r="O16" s="29">
        <f>VLOOKUP(E16, Factor!$CL$5:$CV$50, 8, 0)*N16*VLOOKUP(D16, Factor!$BZ$5:$CJ$49, 10, 0)</f>
        <v>0</v>
      </c>
      <c r="P16" s="29">
        <v>1</v>
      </c>
      <c r="Q16" s="29">
        <f>VLOOKUP(E16, Factor!$CL$5:$CV$50, 9, 0)*P16*VLOOKUP(D16, Factor!$BZ$5:$CJ$49, 11, 0)</f>
        <v>2</v>
      </c>
      <c r="R16" s="29" t="str">
        <f>VLOOKUP(E16, Factor!$CL$5:$CV$50, 10, 0)</f>
        <v>null</v>
      </c>
      <c r="S16" s="29" t="str">
        <f>VLOOKUP(E16, Factor!$CL$5:$CV$50, 11, 0)</f>
        <v>null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 cm="1">
        <f t="array" ref="AA16">_xlfn.LET(_xlpm.기본_색인번호, 2,
_xlpm.추가_색인번호, 3,
_xlpm.개별보정치, T16,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B16" s="29" cm="1">
        <f t="array" ref="AB16">_xlfn.LET(_xlpm.기본_색인번호, 3,
_xlpm.추가_색인번호, 4,
_xlpm.개별보정치, U16,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6" s="29" cm="1">
        <f t="array" ref="AC16">_xlfn.LET(_xlpm.기본_색인번호, 4,
_xlpm.추가_색인번호, 5,
_xlpm.개별보정치, V16,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6" s="29" cm="1">
        <f t="array" ref="AD16">_xlfn.LET(_xlpm.기본_색인번호, 5,
_xlpm.추가_색인번호, 6,
_xlpm.개별보정치, W16,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E16" s="29" cm="1">
        <f t="array" ref="AE16">_xlfn.LET(_xlpm.기본_색인번호, 6,
_xlpm.추가_색인번호, 7,
_xlpm.개별보정치, X16,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F16" s="29" cm="1">
        <f t="array" ref="AF16">_xlfn.LET(_xlpm.기본_색인번호, 7,
_xlpm.추가_색인번호, 8,
_xlpm.개별보정치, Y16,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6" s="30" cm="1">
        <f t="array" ref="AG16">_xlfn.LET(_xlpm.기본_색인번호, 8,
_xlpm.추가_색인번호, 9,
_xlpm.개별보정치, Z16,
_xlpm.패턴보정치, VLOOKUP($G16, Factor!$B$5:$I$51, _xlpm.기본_색인번호, 0),
_xlpm.소모탄환보정치, VLOOKUP($H16, Factor!$T$5:$AA$51, _xlpm.기본_색인번호, 0),
_xlpm.지형보정치, VLOOKUP($I16, Factor!$K$12:$R$13, _xlpm.기본_색인번호, 0),
_xlpm.공격속성보정치, VLOOKUP($J16, Factor!$K$5:$R$7, _xlpm.기본_색인번호, 0),
_xlpm.피해범위보정치, INDEX(Factor!$AN$5:$AV$51, _xlfn.XMATCH(IF(OR($G16="blast", $G16="curved",  $G16= "debuff"), $L16, 0), Factor!$AN$5:$AN$51, -1), _xlpm.추가_색인번호)-IF(AND(OR($G16="blast", $G16="curved", $G16= "debuff"), MOD($L16,1)&lt;&gt;0),INDEX(Factor!$AN$5:$AV$51, _xlfn.XMATCH(IF(OR($G16="blast", $G16="curved", $G16= "debuff"), $L16, 0), Factor!$AN$5:$AN$51, -1), 2)*MOD($L16,1)*10,0),
_xlpm.상태이상보정치, VLOOKUP(IF($G16 = "debuff", $M16, "null"), Factor!$AX$5:$BE$51, _xlpm.기본_색인번호, 0),
_xlpm.지속시간보정치, INDEX(Factor!$BG$5:$BO$51, _xlfn.XMATCH(IF(OR($G16 ="debuff", $G16 = "shot", $G16 = "pierce"), $O16, 0), Factor!$BG$5:$BG$51, -1), _xlpm.추가_색인번호)-IF(AND(OR($G16 ="debuff", $G16 = "shot", $G16 = "pierce"), MOD($O16, 1)&lt;&gt;0), 10*MOD($O16, 1)*INDEX(Factor!$BG$5:$BO$51, _xlfn.XMATCH(IF(OR($G16 ="debuff", $G16 = "shot", $G16 = "pierce"), $O16, 0), Factor!$BG$5:$BG$51, -1), 2), 0),
_xlpm.탄환개수보정치, VLOOKUP(IF(OR($G16 = "curved", $G16 = "shot"), $Q16, 1), Factor!$BQ$5:$BX$51, _xlpm.기본_색인번호, 0),
_xlpm.상태이상탄환생성위치보정치, IF($G16 = "debuff", VLOOKUP($R16, Factor!$K$18:$R$19, _xlpm.기본_색인번호, 0),1),
_xlpm.상태이상탄환형태보정치, IF($G16 = "debuff", VLOOKUP($S16, Factor!$K$24:$R$25, _xlpm.기본_색인번호, 0),1),
_xlpm.가격보정치, INDEX(Factor!$AE$5:$AL$51, _xlfn.XMATCH($F16,Factor!$AE$5:$AE$51, -1), _xlpm.기본_색인번호),
_xlpm.구경보정치, VLOOKUP($D16,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H16"/>
      <c r="AI16"/>
      <c r="AJ16"/>
      <c r="AK16"/>
      <c r="AL16"/>
      <c r="AM16"/>
      <c r="AN16"/>
    </row>
    <row r="17" spans="1:40" ht="13.5">
      <c r="A17" s="24" t="str">
        <f>"weapon_"&amp;G17&amp;"_"&amp;VLOOKUP(H17, Factor!$T$5:$AB$7, 9, 0)&amp;"_"&amp;IF(COUNTIFS($G$4:G16, G17, $H$4:H16, H17)+1&gt;=100, COUNTIFS($G$4:G16, G17, $H$4:H16, H17)+1,IF(COUNTIFS($G$4:G16, G17, $H$4:H16, H17)+1&gt;=10, "0"&amp;COUNTIFS($G$4:G16, G17, $H$4:H16, H17)+1, "00"&amp;COUNTIFS($G$4:G16, G17, $H$4:H16, H17)+1))</f>
        <v>weapon_single_Am_013</v>
      </c>
      <c r="B17" s="36" t="str">
        <f t="shared" si="0"/>
        <v>T2 7.62mm기관포</v>
      </c>
      <c r="C17" s="36" t="s">
        <v>245</v>
      </c>
      <c r="D17" s="36" t="s">
        <v>167</v>
      </c>
      <c r="E17" s="36" t="s">
        <v>151</v>
      </c>
      <c r="F17" s="25">
        <f>VLOOKUP(C17, Factor!$AD$5:$AE$15, 2, 0)</f>
        <v>2000</v>
      </c>
      <c r="G17" s="26" t="str">
        <f>VLOOKUP(E17, Factor!$CL$5:$CV$50, 2, 0)</f>
        <v>single</v>
      </c>
      <c r="H17" s="25" t="str">
        <f>VLOOKUP(E17, Factor!$CL$5:$CV$50, 3, 0)</f>
        <v>ammo</v>
      </c>
      <c r="I17" s="25" t="str">
        <f>VLOOKUP(E17, Factor!$CL$5:$CV$50, 4, 0)</f>
        <v>L</v>
      </c>
      <c r="J17" s="25" t="str">
        <f>VLOOKUP(E17, Factor!$CL$5:$CV$50, 5, 0)</f>
        <v>spread</v>
      </c>
      <c r="K17" s="25">
        <v>1</v>
      </c>
      <c r="L17" s="25">
        <f>VLOOKUP(E17, Factor!$CL$5:$CV$50, 6, 0)*K17*VLOOKUP(D17, Factor!$BZ$5:$CJ$49, 9, 0)</f>
        <v>0</v>
      </c>
      <c r="M17" s="25" t="str">
        <f>VLOOKUP(E17, Factor!$CL$5:$CV$50, 7, 0)</f>
        <v>null</v>
      </c>
      <c r="N17" s="25">
        <v>1</v>
      </c>
      <c r="O17" s="25">
        <f>VLOOKUP(E17, Factor!$CL$5:$CV$50, 8, 0)*N17*VLOOKUP(D17, Factor!$BZ$5:$CJ$49, 10, 0)</f>
        <v>0</v>
      </c>
      <c r="P17" s="25">
        <v>1</v>
      </c>
      <c r="Q17" s="25">
        <f>VLOOKUP(E17, Factor!$CL$5:$CV$50, 9, 0)*P17*VLOOKUP(D17, Factor!$BZ$5:$CJ$49, 11, 0)</f>
        <v>3</v>
      </c>
      <c r="R17" s="25" t="str">
        <f>VLOOKUP(E17, Factor!$CL$5:$CV$50, 10, 0)</f>
        <v>null</v>
      </c>
      <c r="S17" s="25" t="str">
        <f>VLOOKUP(E17, Factor!$CL$5:$CV$50, 11, 0)</f>
        <v>null</v>
      </c>
      <c r="T17" s="25">
        <v>1</v>
      </c>
      <c r="U17" s="25">
        <v>1</v>
      </c>
      <c r="V17" s="25">
        <v>1</v>
      </c>
      <c r="W17" s="25">
        <v>1</v>
      </c>
      <c r="X17" s="25">
        <v>1</v>
      </c>
      <c r="Y17" s="25">
        <v>1</v>
      </c>
      <c r="Z17" s="25">
        <v>1</v>
      </c>
      <c r="AA17" s="25" cm="1">
        <f t="array" ref="AA17">_xlfn.LET(_xlpm.기본_색인번호, 2,
_xlpm.추가_색인번호, 3,
_xlpm.개별보정치, T17,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B17" s="25" cm="1">
        <f t="array" ref="AB17">_xlfn.LET(_xlpm.기본_색인번호, 3,
_xlpm.추가_색인번호, 4,
_xlpm.개별보정치, U17,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7" s="25" cm="1">
        <f t="array" ref="AC17">_xlfn.LET(_xlpm.기본_색인번호, 4,
_xlpm.추가_색인번호, 5,
_xlpm.개별보정치, V17,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7" s="25" cm="1">
        <f t="array" ref="AD17">_xlfn.LET(_xlpm.기본_색인번호, 5,
_xlpm.추가_색인번호, 6,
_xlpm.개별보정치, W17,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E17" s="25" cm="1">
        <f t="array" ref="AE17">_xlfn.LET(_xlpm.기본_색인번호, 6,
_xlpm.추가_색인번호, 7,
_xlpm.개별보정치, X17,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F17" s="25" cm="1">
        <f t="array" ref="AF17">_xlfn.LET(_xlpm.기본_색인번호, 7,
_xlpm.추가_색인번호, 8,
_xlpm.개별보정치, Y17,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7" s="27" cm="1">
        <f t="array" ref="AG17">_xlfn.LET(_xlpm.기본_색인번호, 8,
_xlpm.추가_색인번호, 9,
_xlpm.개별보정치, Z17,
_xlpm.패턴보정치, VLOOKUP($G17, Factor!$B$5:$I$51, _xlpm.기본_색인번호, 0),
_xlpm.소모탄환보정치, VLOOKUP($H17, Factor!$T$5:$AA$51, _xlpm.기본_색인번호, 0),
_xlpm.지형보정치, VLOOKUP($I17, Factor!$K$12:$R$13, _xlpm.기본_색인번호, 0),
_xlpm.공격속성보정치, VLOOKUP($J17, Factor!$K$5:$R$7, _xlpm.기본_색인번호, 0),
_xlpm.피해범위보정치, INDEX(Factor!$AN$5:$AV$51, _xlfn.XMATCH(IF(OR($G17="blast", $G17="curved",  $G17= "debuff"), $L17, 0), Factor!$AN$5:$AN$51, -1), _xlpm.추가_색인번호)-IF(AND(OR($G17="blast", $G17="curved", $G17= "debuff"), MOD($L17,1)&lt;&gt;0),INDEX(Factor!$AN$5:$AV$51, _xlfn.XMATCH(IF(OR($G17="blast", $G17="curved", $G17= "debuff"), $L17, 0), Factor!$AN$5:$AN$51, -1), 2)*MOD($L17,1)*10,0),
_xlpm.상태이상보정치, VLOOKUP(IF($G17 = "debuff", $M17, "null"), Factor!$AX$5:$BE$51, _xlpm.기본_색인번호, 0),
_xlpm.지속시간보정치, INDEX(Factor!$BG$5:$BO$51, _xlfn.XMATCH(IF(OR($G17 ="debuff", $G17 = "shot", $G17 = "pierce"), $O17, 0), Factor!$BG$5:$BG$51, -1), _xlpm.추가_색인번호)-IF(AND(OR($G17 ="debuff", $G17 = "shot", $G17 = "pierce"), MOD($O17, 1)&lt;&gt;0), 10*MOD($O17, 1)*INDEX(Factor!$BG$5:$BO$51, _xlfn.XMATCH(IF(OR($G17 ="debuff", $G17 = "shot", $G17 = "pierce"), $O17, 0), Factor!$BG$5:$BG$51, -1), 2), 0),
_xlpm.탄환개수보정치, VLOOKUP(IF(OR($G17 = "curved", $G17 = "shot"), $Q17, 1), Factor!$BQ$5:$BX$51, _xlpm.기본_색인번호, 0),
_xlpm.상태이상탄환생성위치보정치, IF($G17 = "debuff", VLOOKUP($R17, Factor!$K$18:$R$19, _xlpm.기본_색인번호, 0),1),
_xlpm.상태이상탄환형태보정치, IF($G17 = "debuff", VLOOKUP($S17, Factor!$K$24:$R$25, _xlpm.기본_색인번호, 0),1),
_xlpm.가격보정치, INDEX(Factor!$AE$5:$AL$51, _xlfn.XMATCH($F17,Factor!$AE$5:$AE$51, -1), _xlpm.기본_색인번호),
_xlpm.구경보정치, VLOOKUP($D17,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H17"/>
      <c r="AI17"/>
      <c r="AJ17"/>
      <c r="AK17"/>
      <c r="AL17"/>
      <c r="AM17"/>
      <c r="AN17"/>
    </row>
    <row r="18" spans="1:40" ht="13.5">
      <c r="A18" s="28" t="str">
        <f>"weapon_"&amp;G18&amp;"_"&amp;VLOOKUP(H18, Factor!$T$5:$AB$7, 9, 0)&amp;"_"&amp;IF(COUNTIFS($G$4:G17, G18, $H$4:H17, H18)+1&gt;=100, COUNTIFS($G$4:G17, G18, $H$4:H17, H18)+1,IF(COUNTIFS($G$4:G17, G18, $H$4:H17, H18)+1&gt;=10, "0"&amp;COUNTIFS($G$4:G17, G18, $H$4:H17, H18)+1, "00"&amp;COUNTIFS($G$4:G17, G18, $H$4:H17, H18)+1))</f>
        <v>weapon_single_Am_014</v>
      </c>
      <c r="B18" s="37" t="str">
        <f t="shared" si="0"/>
        <v>T2 12.7mm기관포</v>
      </c>
      <c r="C18" s="37" t="s">
        <v>246</v>
      </c>
      <c r="D18" s="37" t="s">
        <v>168</v>
      </c>
      <c r="E18" s="37" t="s">
        <v>151</v>
      </c>
      <c r="F18" s="29">
        <f>VLOOKUP(C18, Factor!$AD$5:$AE$15, 2, 0)</f>
        <v>2000</v>
      </c>
      <c r="G18" s="29" t="str">
        <f>VLOOKUP(E18, Factor!$CL$5:$CV$50, 2, 0)</f>
        <v>single</v>
      </c>
      <c r="H18" s="29" t="str">
        <f>VLOOKUP(E18, Factor!$CL$5:$CV$50, 3, 0)</f>
        <v>ammo</v>
      </c>
      <c r="I18" s="29" t="str">
        <f>VLOOKUP(E18, Factor!$CL$5:$CV$50, 4, 0)</f>
        <v>L</v>
      </c>
      <c r="J18" s="29" t="str">
        <f>VLOOKUP(E18, Factor!$CL$5:$CV$50, 5, 0)</f>
        <v>spread</v>
      </c>
      <c r="K18" s="29">
        <v>1</v>
      </c>
      <c r="L18" s="29">
        <f>VLOOKUP(E18, Factor!$CL$5:$CV$50, 6, 0)*K18*VLOOKUP(D18, Factor!$BZ$5:$CJ$49, 9, 0)</f>
        <v>0</v>
      </c>
      <c r="M18" s="29" t="str">
        <f>VLOOKUP(E18, Factor!$CL$5:$CV$50, 7, 0)</f>
        <v>null</v>
      </c>
      <c r="N18" s="29">
        <v>1</v>
      </c>
      <c r="O18" s="29">
        <f>VLOOKUP(E18, Factor!$CL$5:$CV$50, 8, 0)*N18*VLOOKUP(D18, Factor!$BZ$5:$CJ$49, 10, 0)</f>
        <v>0</v>
      </c>
      <c r="P18" s="29">
        <v>1</v>
      </c>
      <c r="Q18" s="29">
        <f>VLOOKUP(E18, Factor!$CL$5:$CV$50, 9, 0)*P18*VLOOKUP(D18, Factor!$BZ$5:$CJ$49, 11, 0)</f>
        <v>4</v>
      </c>
      <c r="R18" s="29" t="str">
        <f>VLOOKUP(E18, Factor!$CL$5:$CV$50, 10, 0)</f>
        <v>null</v>
      </c>
      <c r="S18" s="29" t="str">
        <f>VLOOKUP(E18, Factor!$CL$5:$CV$50, 11, 0)</f>
        <v>null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 cm="1">
        <f t="array" ref="AA18">_xlfn.LET(_xlpm.기본_색인번호, 2,
_xlpm.추가_색인번호, 3,
_xlpm.개별보정치, T18,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B18" s="29" cm="1">
        <f t="array" ref="AB18">_xlfn.LET(_xlpm.기본_색인번호, 3,
_xlpm.추가_색인번호, 4,
_xlpm.개별보정치, U18,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8" s="29" cm="1">
        <f t="array" ref="AC18">_xlfn.LET(_xlpm.기본_색인번호, 4,
_xlpm.추가_색인번호, 5,
_xlpm.개별보정치, V18,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8" s="29" cm="1">
        <f t="array" ref="AD18">_xlfn.LET(_xlpm.기본_색인번호, 5,
_xlpm.추가_색인번호, 6,
_xlpm.개별보정치, W18,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E18" s="29" cm="1">
        <f t="array" ref="AE18">_xlfn.LET(_xlpm.기본_색인번호, 6,
_xlpm.추가_색인번호, 7,
_xlpm.개별보정치, X18,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F18" s="29" cm="1">
        <f t="array" ref="AF18">_xlfn.LET(_xlpm.기본_색인번호, 7,
_xlpm.추가_색인번호, 8,
_xlpm.개별보정치, Y18,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8" s="30" cm="1">
        <f t="array" ref="AG18">_xlfn.LET(_xlpm.기본_색인번호, 8,
_xlpm.추가_색인번호, 9,
_xlpm.개별보정치, Z18,
_xlpm.패턴보정치, VLOOKUP($G18, Factor!$B$5:$I$51, _xlpm.기본_색인번호, 0),
_xlpm.소모탄환보정치, VLOOKUP($H18, Factor!$T$5:$AA$51, _xlpm.기본_색인번호, 0),
_xlpm.지형보정치, VLOOKUP($I18, Factor!$K$12:$R$13, _xlpm.기본_색인번호, 0),
_xlpm.공격속성보정치, VLOOKUP($J18, Factor!$K$5:$R$7, _xlpm.기본_색인번호, 0),
_xlpm.피해범위보정치, INDEX(Factor!$AN$5:$AV$51, _xlfn.XMATCH(IF(OR($G18="blast", $G18="curved",  $G18= "debuff"), $L18, 0), Factor!$AN$5:$AN$51, -1), _xlpm.추가_색인번호)-IF(AND(OR($G18="blast", $G18="curved", $G18= "debuff"), MOD($L18,1)&lt;&gt;0),INDEX(Factor!$AN$5:$AV$51, _xlfn.XMATCH(IF(OR($G18="blast", $G18="curved", $G18= "debuff"), $L18, 0), Factor!$AN$5:$AN$51, -1), 2)*MOD($L18,1)*10,0),
_xlpm.상태이상보정치, VLOOKUP(IF($G18 = "debuff", $M18, "null"), Factor!$AX$5:$BE$51, _xlpm.기본_색인번호, 0),
_xlpm.지속시간보정치, INDEX(Factor!$BG$5:$BO$51, _xlfn.XMATCH(IF(OR($G18 ="debuff", $G18 = "shot", $G18 = "pierce"), $O18, 0), Factor!$BG$5:$BG$51, -1), _xlpm.추가_색인번호)-IF(AND(OR($G18 ="debuff", $G18 = "shot", $G18 = "pierce"), MOD($O18, 1)&lt;&gt;0), 10*MOD($O18, 1)*INDEX(Factor!$BG$5:$BO$51, _xlfn.XMATCH(IF(OR($G18 ="debuff", $G18 = "shot", $G18 = "pierce"), $O18, 0), Factor!$BG$5:$BG$51, -1), 2), 0),
_xlpm.탄환개수보정치, VLOOKUP(IF(OR($G18 = "curved", $G18 = "shot"), $Q18, 1), Factor!$BQ$5:$BX$51, _xlpm.기본_색인번호, 0),
_xlpm.상태이상탄환생성위치보정치, IF($G18 = "debuff", VLOOKUP($R18, Factor!$K$18:$R$19, _xlpm.기본_색인번호, 0),1),
_xlpm.상태이상탄환형태보정치, IF($G18 = "debuff", VLOOKUP($S18, Factor!$K$24:$R$25, _xlpm.기본_색인번호, 0),1),
_xlpm.가격보정치, INDEX(Factor!$AE$5:$AL$51, _xlfn.XMATCH($F18,Factor!$AE$5:$AE$51, -1), _xlpm.기본_색인번호),
_xlpm.구경보정치, VLOOKUP($D18,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H18"/>
      <c r="AI18"/>
      <c r="AJ18"/>
      <c r="AK18"/>
      <c r="AL18"/>
      <c r="AM18"/>
      <c r="AN18"/>
    </row>
    <row r="19" spans="1:40" ht="13.5">
      <c r="A19" s="24" t="str">
        <f>"weapon_"&amp;G19&amp;"_"&amp;VLOOKUP(H19, Factor!$T$5:$AB$7, 9, 0)&amp;"_"&amp;IF(COUNTIFS($G$4:G18, G19, $H$4:H18, H19)+1&gt;=100, COUNTIFS($G$4:G18, G19, $H$4:H18, H19)+1,IF(COUNTIFS($G$4:G18, G19, $H$4:H18, H19)+1&gt;=10, "0"&amp;COUNTIFS($G$4:G18, G19, $H$4:H18, H19)+1, "00"&amp;COUNTIFS($G$4:G18, G19, $H$4:H18, H19)+1))</f>
        <v>weapon_single_Am_015</v>
      </c>
      <c r="B19" s="36" t="str">
        <f t="shared" si="0"/>
        <v>T2 20mm기관포</v>
      </c>
      <c r="C19" s="36" t="s">
        <v>245</v>
      </c>
      <c r="D19" s="36" t="s">
        <v>169</v>
      </c>
      <c r="E19" s="36" t="s">
        <v>151</v>
      </c>
      <c r="F19" s="25">
        <f>VLOOKUP(C19, Factor!$AD$5:$AE$15, 2, 0)</f>
        <v>2000</v>
      </c>
      <c r="G19" s="26" t="str">
        <f>VLOOKUP(E19, Factor!$CL$5:$CV$50, 2, 0)</f>
        <v>single</v>
      </c>
      <c r="H19" s="25" t="str">
        <f>VLOOKUP(E19, Factor!$CL$5:$CV$50, 3, 0)</f>
        <v>ammo</v>
      </c>
      <c r="I19" s="25" t="str">
        <f>VLOOKUP(E19, Factor!$CL$5:$CV$50, 4, 0)</f>
        <v>L</v>
      </c>
      <c r="J19" s="25" t="str">
        <f>VLOOKUP(E19, Factor!$CL$5:$CV$50, 5, 0)</f>
        <v>spread</v>
      </c>
      <c r="K19" s="25">
        <v>1</v>
      </c>
      <c r="L19" s="25">
        <f>VLOOKUP(E19, Factor!$CL$5:$CV$50, 6, 0)*K19*VLOOKUP(D19, Factor!$BZ$5:$CJ$49, 9, 0)</f>
        <v>0</v>
      </c>
      <c r="M19" s="25" t="str">
        <f>VLOOKUP(E19, Factor!$CL$5:$CV$50, 7, 0)</f>
        <v>null</v>
      </c>
      <c r="N19" s="25">
        <v>1</v>
      </c>
      <c r="O19" s="25">
        <f>VLOOKUP(E19, Factor!$CL$5:$CV$50, 8, 0)*N19*VLOOKUP(D19, Factor!$BZ$5:$CJ$49, 10, 0)</f>
        <v>0</v>
      </c>
      <c r="P19" s="25">
        <v>1</v>
      </c>
      <c r="Q19" s="25">
        <f>VLOOKUP(E19, Factor!$CL$5:$CV$50, 9, 0)*P19*VLOOKUP(D19, Factor!$BZ$5:$CJ$49, 11, 0)</f>
        <v>5</v>
      </c>
      <c r="R19" s="25" t="str">
        <f>VLOOKUP(E19, Factor!$CL$5:$CV$50, 10, 0)</f>
        <v>null</v>
      </c>
      <c r="S19" s="25" t="str">
        <f>VLOOKUP(E19, Factor!$CL$5:$CV$50, 11, 0)</f>
        <v>null</v>
      </c>
      <c r="T19" s="25">
        <v>1</v>
      </c>
      <c r="U19" s="25">
        <v>1</v>
      </c>
      <c r="V19" s="25">
        <v>1</v>
      </c>
      <c r="W19" s="25">
        <v>1</v>
      </c>
      <c r="X19" s="25">
        <v>1</v>
      </c>
      <c r="Y19" s="25">
        <v>1</v>
      </c>
      <c r="Z19" s="25">
        <v>1</v>
      </c>
      <c r="AA19" s="25" cm="1">
        <f t="array" ref="AA19">_xlfn.LET(_xlpm.기본_색인번호, 2,
_xlpm.추가_색인번호, 3,
_xlpm.개별보정치, T19,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B19" s="25" cm="1">
        <f t="array" ref="AB19">_xlfn.LET(_xlpm.기본_색인번호, 3,
_xlpm.추가_색인번호, 4,
_xlpm.개별보정치, U19,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C19" s="25" cm="1">
        <f t="array" ref="AC19">_xlfn.LET(_xlpm.기본_색인번호, 4,
_xlpm.추가_색인번호, 5,
_xlpm.개별보정치, V19,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19" s="25" cm="1">
        <f t="array" ref="AD19">_xlfn.LET(_xlpm.기본_색인번호, 5,
_xlpm.추가_색인번호, 6,
_xlpm.개별보정치, W19,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E19" s="25" cm="1">
        <f t="array" ref="AE19">_xlfn.LET(_xlpm.기본_색인번호, 6,
_xlpm.추가_색인번호, 7,
_xlpm.개별보정치, X19,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F19" s="25" cm="1">
        <f t="array" ref="AF19">_xlfn.LET(_xlpm.기본_색인번호, 7,
_xlpm.추가_색인번호, 8,
_xlpm.개별보정치, Y19,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19" s="27" cm="1">
        <f t="array" ref="AG19">_xlfn.LET(_xlpm.기본_색인번호, 8,
_xlpm.추가_색인번호, 9,
_xlpm.개별보정치, Z19,
_xlpm.패턴보정치, VLOOKUP($G19, Factor!$B$5:$I$51, _xlpm.기본_색인번호, 0),
_xlpm.소모탄환보정치, VLOOKUP($H19, Factor!$T$5:$AA$51, _xlpm.기본_색인번호, 0),
_xlpm.지형보정치, VLOOKUP($I19, Factor!$K$12:$R$13, _xlpm.기본_색인번호, 0),
_xlpm.공격속성보정치, VLOOKUP($J19, Factor!$K$5:$R$7, _xlpm.기본_색인번호, 0),
_xlpm.피해범위보정치, INDEX(Factor!$AN$5:$AV$51, _xlfn.XMATCH(IF(OR($G19="blast", $G19="curved",  $G19= "debuff"), $L19, 0), Factor!$AN$5:$AN$51, -1), _xlpm.추가_색인번호)-IF(AND(OR($G19="blast", $G19="curved", $G19= "debuff"), MOD($L19,1)&lt;&gt;0),INDEX(Factor!$AN$5:$AV$51, _xlfn.XMATCH(IF(OR($G19="blast", $G19="curved", $G19= "debuff"), $L19, 0), Factor!$AN$5:$AN$51, -1), 2)*MOD($L19,1)*10,0),
_xlpm.상태이상보정치, VLOOKUP(IF($G19 = "debuff", $M19, "null"), Factor!$AX$5:$BE$51, _xlpm.기본_색인번호, 0),
_xlpm.지속시간보정치, INDEX(Factor!$BG$5:$BO$51, _xlfn.XMATCH(IF(OR($G19 ="debuff", $G19 = "shot", $G19 = "pierce"), $O19, 0), Factor!$BG$5:$BG$51, -1), _xlpm.추가_색인번호)-IF(AND(OR($G19 ="debuff", $G19 = "shot", $G19 = "pierce"), MOD($O19, 1)&lt;&gt;0), 10*MOD($O19, 1)*INDEX(Factor!$BG$5:$BO$51, _xlfn.XMATCH(IF(OR($G19 ="debuff", $G19 = "shot", $G19 = "pierce"), $O19, 0), Factor!$BG$5:$BG$51, -1), 2), 0),
_xlpm.탄환개수보정치, VLOOKUP(IF(OR($G19 = "curved", $G19 = "shot"), $Q19, 1), Factor!$BQ$5:$BX$51, _xlpm.기본_색인번호, 0),
_xlpm.상태이상탄환생성위치보정치, IF($G19 = "debuff", VLOOKUP($R19, Factor!$K$18:$R$19, _xlpm.기본_색인번호, 0),1),
_xlpm.상태이상탄환형태보정치, IF($G19 = "debuff", VLOOKUP($S19, Factor!$K$24:$R$25, _xlpm.기본_색인번호, 0),1),
_xlpm.가격보정치, INDEX(Factor!$AE$5:$AL$51, _xlfn.XMATCH($F19,Factor!$AE$5:$AE$51, -1), _xlpm.기본_색인번호),
_xlpm.구경보정치, VLOOKUP($D19,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</v>
      </c>
      <c r="AH19"/>
      <c r="AI19"/>
      <c r="AJ19"/>
      <c r="AK19"/>
      <c r="AL19"/>
      <c r="AM19"/>
      <c r="AN19"/>
    </row>
    <row r="20" spans="1:40" ht="13.5">
      <c r="A20" s="28" t="str">
        <f>"weapon_"&amp;G20&amp;"_"&amp;VLOOKUP(H20, Factor!$T$5:$AB$7, 9, 0)&amp;"_"&amp;IF(COUNTIFS($G$4:G19, G20, $H$4:H19, H20)+1&gt;=100, COUNTIFS($G$4:G19, G20, $H$4:H19, H20)+1,IF(COUNTIFS($G$4:G19, G20, $H$4:H19, H20)+1&gt;=10, "0"&amp;COUNTIFS($G$4:G19, G20, $H$4:H19, H20)+1, "00"&amp;COUNTIFS($G$4:G19, G20, $H$4:H19, H20)+1))</f>
        <v>weapon_single_Am_016</v>
      </c>
      <c r="B20" s="37" t="str">
        <f t="shared" si="0"/>
        <v>T3 기관포</v>
      </c>
      <c r="C20" s="37" t="s">
        <v>247</v>
      </c>
      <c r="D20" s="37" t="s">
        <v>176</v>
      </c>
      <c r="E20" s="37" t="s">
        <v>151</v>
      </c>
      <c r="F20" s="29">
        <f>VLOOKUP(C20, Factor!$AD$5:$AE$15, 2, 0)</f>
        <v>3000</v>
      </c>
      <c r="G20" s="29" t="str">
        <f>VLOOKUP(E20, Factor!$CL$5:$CV$50, 2, 0)</f>
        <v>single</v>
      </c>
      <c r="H20" s="29" t="str">
        <f>VLOOKUP(E20, Factor!$CL$5:$CV$50, 3, 0)</f>
        <v>ammo</v>
      </c>
      <c r="I20" s="29" t="str">
        <f>VLOOKUP(E20, Factor!$CL$5:$CV$50, 4, 0)</f>
        <v>L</v>
      </c>
      <c r="J20" s="29" t="str">
        <f>VLOOKUP(E20, Factor!$CL$5:$CV$50, 5, 0)</f>
        <v>spread</v>
      </c>
      <c r="K20" s="29">
        <v>1</v>
      </c>
      <c r="L20" s="29">
        <f>VLOOKUP(E20, Factor!$CL$5:$CV$50, 6, 0)*K20*VLOOKUP(D20, Factor!$BZ$5:$CJ$49, 9, 0)</f>
        <v>0</v>
      </c>
      <c r="M20" s="29" t="str">
        <f>VLOOKUP(E20, Factor!$CL$5:$CV$50, 7, 0)</f>
        <v>null</v>
      </c>
      <c r="N20" s="29">
        <v>1</v>
      </c>
      <c r="O20" s="29">
        <f>VLOOKUP(E20, Factor!$CL$5:$CV$50, 8, 0)*N20*VLOOKUP(D20, Factor!$BZ$5:$CJ$49, 10, 0)</f>
        <v>0</v>
      </c>
      <c r="P20" s="29">
        <v>1</v>
      </c>
      <c r="Q20" s="29">
        <f>VLOOKUP(E20, Factor!$CL$5:$CV$50, 9, 0)*P20*VLOOKUP(D20, Factor!$BZ$5:$CJ$49, 11, 0)</f>
        <v>1</v>
      </c>
      <c r="R20" s="29" t="str">
        <f>VLOOKUP(E20, Factor!$CL$5:$CV$50, 10, 0)</f>
        <v>null</v>
      </c>
      <c r="S20" s="29" t="str">
        <f>VLOOKUP(E20, Factor!$CL$5:$CV$50, 11, 0)</f>
        <v>null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 cm="1">
        <f t="array" ref="AA20">_xlfn.LET(_xlpm.기본_색인번호, 2,
_xlpm.추가_색인번호, 3,
_xlpm.개별보정치, T20,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20" s="29" cm="1">
        <f t="array" ref="AB20">_xlfn.LET(_xlpm.기본_색인번호, 3,
_xlpm.추가_색인번호, 4,
_xlpm.개별보정치, U20,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0" s="29" cm="1">
        <f t="array" ref="AC20">_xlfn.LET(_xlpm.기본_색인번호, 4,
_xlpm.추가_색인번호, 5,
_xlpm.개별보정치, V20,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0" s="29" cm="1">
        <f t="array" ref="AD20">_xlfn.LET(_xlpm.기본_색인번호, 5,
_xlpm.추가_색인번호, 6,
_xlpm.개별보정치, W20,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20" s="29" cm="1">
        <f t="array" ref="AE20">_xlfn.LET(_xlpm.기본_색인번호, 6,
_xlpm.추가_색인번호, 7,
_xlpm.개별보정치, X20,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20" s="29" cm="1">
        <f t="array" ref="AF20">_xlfn.LET(_xlpm.기본_색인번호, 7,
_xlpm.추가_색인번호, 8,
_xlpm.개별보정치, Y20,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0" s="30" cm="1">
        <f t="array" ref="AG20">_xlfn.LET(_xlpm.기본_색인번호, 8,
_xlpm.추가_색인번호, 9,
_xlpm.개별보정치, Z20,
_xlpm.패턴보정치, VLOOKUP($G20, Factor!$B$5:$I$51, _xlpm.기본_색인번호, 0),
_xlpm.소모탄환보정치, VLOOKUP($H20, Factor!$T$5:$AA$51, _xlpm.기본_색인번호, 0),
_xlpm.지형보정치, VLOOKUP($I20, Factor!$K$12:$R$13, _xlpm.기본_색인번호, 0),
_xlpm.공격속성보정치, VLOOKUP($J20, Factor!$K$5:$R$7, _xlpm.기본_색인번호, 0),
_xlpm.피해범위보정치, INDEX(Factor!$AN$5:$AV$51, _xlfn.XMATCH(IF(OR($G20="blast", $G20="curved",  $G20= "debuff"), $L20, 0), Factor!$AN$5:$AN$51, -1), _xlpm.추가_색인번호)-IF(AND(OR($G20="blast", $G20="curved", $G20= "debuff"), MOD($L20,1)&lt;&gt;0),INDEX(Factor!$AN$5:$AV$51, _xlfn.XMATCH(IF(OR($G20="blast", $G20="curved", $G20= "debuff"), $L20, 0), Factor!$AN$5:$AN$51, -1), 2)*MOD($L20,1)*10,0),
_xlpm.상태이상보정치, VLOOKUP(IF($G20 = "debuff", $M20, "null"), Factor!$AX$5:$BE$51, _xlpm.기본_색인번호, 0),
_xlpm.지속시간보정치, INDEX(Factor!$BG$5:$BO$51, _xlfn.XMATCH(IF(OR($G20 ="debuff", $G20 = "shot", $G20 = "pierce"), $O20, 0), Factor!$BG$5:$BG$51, -1), _xlpm.추가_색인번호)-IF(AND(OR($G20 ="debuff", $G20 = "shot", $G20 = "pierce"), MOD($O20, 1)&lt;&gt;0), 10*MOD($O20, 1)*INDEX(Factor!$BG$5:$BO$51, _xlfn.XMATCH(IF(OR($G20 ="debuff", $G20 = "shot", $G20 = "pierce"), $O20, 0), Factor!$BG$5:$BG$51, -1), 2), 0),
_xlpm.탄환개수보정치, VLOOKUP(IF(OR($G20 = "curved", $G20 = "shot"), $Q20, 1), Factor!$BQ$5:$BX$51, _xlpm.기본_색인번호, 0),
_xlpm.상태이상탄환생성위치보정치, IF($G20 = "debuff", VLOOKUP($R20, Factor!$K$18:$R$19, _xlpm.기본_색인번호, 0),1),
_xlpm.상태이상탄환형태보정치, IF($G20 = "debuff", VLOOKUP($S20, Factor!$K$24:$R$25, _xlpm.기본_색인번호, 0),1),
_xlpm.가격보정치, INDEX(Factor!$AE$5:$AL$51, _xlfn.XMATCH($F20,Factor!$AE$5:$AE$51, -1), _xlpm.기본_색인번호),
_xlpm.구경보정치, VLOOKUP($D20,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H20"/>
      <c r="AI20"/>
      <c r="AJ20"/>
      <c r="AK20"/>
      <c r="AL20"/>
      <c r="AM20"/>
      <c r="AN20"/>
    </row>
    <row r="21" spans="1:40" ht="13.5">
      <c r="A21" s="24" t="str">
        <f>"weapon_"&amp;G21&amp;"_"&amp;VLOOKUP(H21, Factor!$T$5:$AB$7, 9, 0)&amp;"_"&amp;IF(COUNTIFS($G$4:G20, G21, $H$4:H20, H21)+1&gt;=100, COUNTIFS($G$4:G20, G21, $H$4:H20, H21)+1,IF(COUNTIFS($G$4:G20, G21, $H$4:H20, H21)+1&gt;=10, "0"&amp;COUNTIFS($G$4:G20, G21, $H$4:H20, H21)+1, "00"&amp;COUNTIFS($G$4:G20, G21, $H$4:H20, H21)+1))</f>
        <v>weapon_single_Am_017</v>
      </c>
      <c r="B21" s="36" t="str">
        <f t="shared" si="0"/>
        <v>T3 5.56mm기관포</v>
      </c>
      <c r="C21" s="36" t="s">
        <v>248</v>
      </c>
      <c r="D21" s="36" t="s">
        <v>166</v>
      </c>
      <c r="E21" s="36" t="s">
        <v>151</v>
      </c>
      <c r="F21" s="25">
        <f>VLOOKUP(C21, Factor!$AD$5:$AE$15, 2, 0)</f>
        <v>3000</v>
      </c>
      <c r="G21" s="26" t="str">
        <f>VLOOKUP(E21, Factor!$CL$5:$CV$50, 2, 0)</f>
        <v>single</v>
      </c>
      <c r="H21" s="25" t="str">
        <f>VLOOKUP(E21, Factor!$CL$5:$CV$50, 3, 0)</f>
        <v>ammo</v>
      </c>
      <c r="I21" s="25" t="str">
        <f>VLOOKUP(E21, Factor!$CL$5:$CV$50, 4, 0)</f>
        <v>L</v>
      </c>
      <c r="J21" s="25" t="str">
        <f>VLOOKUP(E21, Factor!$CL$5:$CV$50, 5, 0)</f>
        <v>spread</v>
      </c>
      <c r="K21" s="25">
        <v>1</v>
      </c>
      <c r="L21" s="25">
        <f>VLOOKUP(E21, Factor!$CL$5:$CV$50, 6, 0)*K21*VLOOKUP(D21, Factor!$BZ$5:$CJ$49, 9, 0)</f>
        <v>0</v>
      </c>
      <c r="M21" s="25" t="str">
        <f>VLOOKUP(E21, Factor!$CL$5:$CV$50, 7, 0)</f>
        <v>null</v>
      </c>
      <c r="N21" s="25">
        <v>1</v>
      </c>
      <c r="O21" s="25">
        <f>VLOOKUP(E21, Factor!$CL$5:$CV$50, 8, 0)*N21*VLOOKUP(D21, Factor!$BZ$5:$CJ$49, 10, 0)</f>
        <v>0</v>
      </c>
      <c r="P21" s="25">
        <v>1</v>
      </c>
      <c r="Q21" s="25">
        <f>VLOOKUP(E21, Factor!$CL$5:$CV$50, 9, 0)*P21*VLOOKUP(D21, Factor!$BZ$5:$CJ$49, 11, 0)</f>
        <v>2</v>
      </c>
      <c r="R21" s="25" t="str">
        <f>VLOOKUP(E21, Factor!$CL$5:$CV$50, 10, 0)</f>
        <v>null</v>
      </c>
      <c r="S21" s="25" t="str">
        <f>VLOOKUP(E21, Factor!$CL$5:$CV$50, 11, 0)</f>
        <v>null</v>
      </c>
      <c r="T21" s="25">
        <v>1</v>
      </c>
      <c r="U21" s="25">
        <v>1</v>
      </c>
      <c r="V21" s="25">
        <v>1</v>
      </c>
      <c r="W21" s="25">
        <v>1</v>
      </c>
      <c r="X21" s="25">
        <v>1</v>
      </c>
      <c r="Y21" s="25">
        <v>1</v>
      </c>
      <c r="Z21" s="25">
        <v>1</v>
      </c>
      <c r="AA21" s="25" cm="1">
        <f t="array" ref="AA21">_xlfn.LET(_xlpm.기본_색인번호, 2,
_xlpm.추가_색인번호, 3,
_xlpm.개별보정치, T21,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21" s="25" cm="1">
        <f t="array" ref="AB21">_xlfn.LET(_xlpm.기본_색인번호, 3,
_xlpm.추가_색인번호, 4,
_xlpm.개별보정치, U21,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1" s="25" cm="1">
        <f t="array" ref="AC21">_xlfn.LET(_xlpm.기본_색인번호, 4,
_xlpm.추가_색인번호, 5,
_xlpm.개별보정치, V21,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1" s="25" cm="1">
        <f t="array" ref="AD21">_xlfn.LET(_xlpm.기본_색인번호, 5,
_xlpm.추가_색인번호, 6,
_xlpm.개별보정치, W21,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21" s="25" cm="1">
        <f t="array" ref="AE21">_xlfn.LET(_xlpm.기본_색인번호, 6,
_xlpm.추가_색인번호, 7,
_xlpm.개별보정치, X21,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21" s="25" cm="1">
        <f t="array" ref="AF21">_xlfn.LET(_xlpm.기본_색인번호, 7,
_xlpm.추가_색인번호, 8,
_xlpm.개별보정치, Y21,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1" s="27" cm="1">
        <f t="array" ref="AG21">_xlfn.LET(_xlpm.기본_색인번호, 8,
_xlpm.추가_색인번호, 9,
_xlpm.개별보정치, Z21,
_xlpm.패턴보정치, VLOOKUP($G21, Factor!$B$5:$I$51, _xlpm.기본_색인번호, 0),
_xlpm.소모탄환보정치, VLOOKUP($H21, Factor!$T$5:$AA$51, _xlpm.기본_색인번호, 0),
_xlpm.지형보정치, VLOOKUP($I21, Factor!$K$12:$R$13, _xlpm.기본_색인번호, 0),
_xlpm.공격속성보정치, VLOOKUP($J21, Factor!$K$5:$R$7, _xlpm.기본_색인번호, 0),
_xlpm.피해범위보정치, INDEX(Factor!$AN$5:$AV$51, _xlfn.XMATCH(IF(OR($G21="blast", $G21="curved",  $G21= "debuff"), $L21, 0), Factor!$AN$5:$AN$51, -1), _xlpm.추가_색인번호)-IF(AND(OR($G21="blast", $G21="curved", $G21= "debuff"), MOD($L21,1)&lt;&gt;0),INDEX(Factor!$AN$5:$AV$51, _xlfn.XMATCH(IF(OR($G21="blast", $G21="curved", $G21= "debuff"), $L21, 0), Factor!$AN$5:$AN$51, -1), 2)*MOD($L21,1)*10,0),
_xlpm.상태이상보정치, VLOOKUP(IF($G21 = "debuff", $M21, "null"), Factor!$AX$5:$BE$51, _xlpm.기본_색인번호, 0),
_xlpm.지속시간보정치, INDEX(Factor!$BG$5:$BO$51, _xlfn.XMATCH(IF(OR($G21 ="debuff", $G21 = "shot", $G21 = "pierce"), $O21, 0), Factor!$BG$5:$BG$51, -1), _xlpm.추가_색인번호)-IF(AND(OR($G21 ="debuff", $G21 = "shot", $G21 = "pierce"), MOD($O21, 1)&lt;&gt;0), 10*MOD($O21, 1)*INDEX(Factor!$BG$5:$BO$51, _xlfn.XMATCH(IF(OR($G21 ="debuff", $G21 = "shot", $G21 = "pierce"), $O21, 0), Factor!$BG$5:$BG$51, -1), 2), 0),
_xlpm.탄환개수보정치, VLOOKUP(IF(OR($G21 = "curved", $G21 = "shot"), $Q21, 1), Factor!$BQ$5:$BX$51, _xlpm.기본_색인번호, 0),
_xlpm.상태이상탄환생성위치보정치, IF($G21 = "debuff", VLOOKUP($R21, Factor!$K$18:$R$19, _xlpm.기본_색인번호, 0),1),
_xlpm.상태이상탄환형태보정치, IF($G21 = "debuff", VLOOKUP($S21, Factor!$K$24:$R$25, _xlpm.기본_색인번호, 0),1),
_xlpm.가격보정치, INDEX(Factor!$AE$5:$AL$51, _xlfn.XMATCH($F21,Factor!$AE$5:$AE$51, -1), _xlpm.기본_색인번호),
_xlpm.구경보정치, VLOOKUP($D21,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H21"/>
      <c r="AI21"/>
      <c r="AJ21"/>
      <c r="AK21"/>
      <c r="AL21"/>
      <c r="AM21"/>
      <c r="AN21"/>
    </row>
    <row r="22" spans="1:40" ht="13.5">
      <c r="A22" s="28" t="str">
        <f>"weapon_"&amp;G22&amp;"_"&amp;VLOOKUP(H22, Factor!$T$5:$AB$7, 9, 0)&amp;"_"&amp;IF(COUNTIFS($G$4:G21, G22, $H$4:H21, H22)+1&gt;=100, COUNTIFS($G$4:G21, G22, $H$4:H21, H22)+1,IF(COUNTIFS($G$4:G21, G22, $H$4:H21, H22)+1&gt;=10, "0"&amp;COUNTIFS($G$4:G21, G22, $H$4:H21, H22)+1, "00"&amp;COUNTIFS($G$4:G21, G22, $H$4:H21, H22)+1))</f>
        <v>weapon_single_Am_018</v>
      </c>
      <c r="B22" s="37" t="str">
        <f t="shared" si="0"/>
        <v>T3 7.62mm기관포</v>
      </c>
      <c r="C22" s="37" t="s">
        <v>247</v>
      </c>
      <c r="D22" s="37" t="s">
        <v>167</v>
      </c>
      <c r="E22" s="37" t="s">
        <v>151</v>
      </c>
      <c r="F22" s="29">
        <f>VLOOKUP(C22, Factor!$AD$5:$AE$15, 2, 0)</f>
        <v>3000</v>
      </c>
      <c r="G22" s="29" t="str">
        <f>VLOOKUP(E22, Factor!$CL$5:$CV$50, 2, 0)</f>
        <v>single</v>
      </c>
      <c r="H22" s="29" t="str">
        <f>VLOOKUP(E22, Factor!$CL$5:$CV$50, 3, 0)</f>
        <v>ammo</v>
      </c>
      <c r="I22" s="29" t="str">
        <f>VLOOKUP(E22, Factor!$CL$5:$CV$50, 4, 0)</f>
        <v>L</v>
      </c>
      <c r="J22" s="29" t="str">
        <f>VLOOKUP(E22, Factor!$CL$5:$CV$50, 5, 0)</f>
        <v>spread</v>
      </c>
      <c r="K22" s="29">
        <v>1</v>
      </c>
      <c r="L22" s="29">
        <f>VLOOKUP(E22, Factor!$CL$5:$CV$50, 6, 0)*K22*VLOOKUP(D22, Factor!$BZ$5:$CJ$49, 9, 0)</f>
        <v>0</v>
      </c>
      <c r="M22" s="29" t="str">
        <f>VLOOKUP(E22, Factor!$CL$5:$CV$50, 7, 0)</f>
        <v>null</v>
      </c>
      <c r="N22" s="29">
        <v>1</v>
      </c>
      <c r="O22" s="29">
        <f>VLOOKUP(E22, Factor!$CL$5:$CV$50, 8, 0)*N22*VLOOKUP(D22, Factor!$BZ$5:$CJ$49, 10, 0)</f>
        <v>0</v>
      </c>
      <c r="P22" s="29">
        <v>1</v>
      </c>
      <c r="Q22" s="29">
        <f>VLOOKUP(E22, Factor!$CL$5:$CV$50, 9, 0)*P22*VLOOKUP(D22, Factor!$BZ$5:$CJ$49, 11, 0)</f>
        <v>3</v>
      </c>
      <c r="R22" s="29" t="str">
        <f>VLOOKUP(E22, Factor!$CL$5:$CV$50, 10, 0)</f>
        <v>null</v>
      </c>
      <c r="S22" s="29" t="str">
        <f>VLOOKUP(E22, Factor!$CL$5:$CV$50, 11, 0)</f>
        <v>null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 cm="1">
        <f t="array" ref="AA22">_xlfn.LET(_xlpm.기본_색인번호, 2,
_xlpm.추가_색인번호, 3,
_xlpm.개별보정치, T22,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22" s="29" cm="1">
        <f t="array" ref="AB22">_xlfn.LET(_xlpm.기본_색인번호, 3,
_xlpm.추가_색인번호, 4,
_xlpm.개별보정치, U22,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2" s="29" cm="1">
        <f t="array" ref="AC22">_xlfn.LET(_xlpm.기본_색인번호, 4,
_xlpm.추가_색인번호, 5,
_xlpm.개별보정치, V22,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2" s="29" cm="1">
        <f t="array" ref="AD22">_xlfn.LET(_xlpm.기본_색인번호, 5,
_xlpm.추가_색인번호, 6,
_xlpm.개별보정치, W22,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22" s="29" cm="1">
        <f t="array" ref="AE22">_xlfn.LET(_xlpm.기본_색인번호, 6,
_xlpm.추가_색인번호, 7,
_xlpm.개별보정치, X22,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22" s="29" cm="1">
        <f t="array" ref="AF22">_xlfn.LET(_xlpm.기본_색인번호, 7,
_xlpm.추가_색인번호, 8,
_xlpm.개별보정치, Y22,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2" s="30" cm="1">
        <f t="array" ref="AG22">_xlfn.LET(_xlpm.기본_색인번호, 8,
_xlpm.추가_색인번호, 9,
_xlpm.개별보정치, Z22,
_xlpm.패턴보정치, VLOOKUP($G22, Factor!$B$5:$I$51, _xlpm.기본_색인번호, 0),
_xlpm.소모탄환보정치, VLOOKUP($H22, Factor!$T$5:$AA$51, _xlpm.기본_색인번호, 0),
_xlpm.지형보정치, VLOOKUP($I22, Factor!$K$12:$R$13, _xlpm.기본_색인번호, 0),
_xlpm.공격속성보정치, VLOOKUP($J22, Factor!$K$5:$R$7, _xlpm.기본_색인번호, 0),
_xlpm.피해범위보정치, INDEX(Factor!$AN$5:$AV$51, _xlfn.XMATCH(IF(OR($G22="blast", $G22="curved",  $G22= "debuff"), $L22, 0), Factor!$AN$5:$AN$51, -1), _xlpm.추가_색인번호)-IF(AND(OR($G22="blast", $G22="curved", $G22= "debuff"), MOD($L22,1)&lt;&gt;0),INDEX(Factor!$AN$5:$AV$51, _xlfn.XMATCH(IF(OR($G22="blast", $G22="curved", $G22= "debuff"), $L22, 0), Factor!$AN$5:$AN$51, -1), 2)*MOD($L22,1)*10,0),
_xlpm.상태이상보정치, VLOOKUP(IF($G22 = "debuff", $M22, "null"), Factor!$AX$5:$BE$51, _xlpm.기본_색인번호, 0),
_xlpm.지속시간보정치, INDEX(Factor!$BG$5:$BO$51, _xlfn.XMATCH(IF(OR($G22 ="debuff", $G22 = "shot", $G22 = "pierce"), $O22, 0), Factor!$BG$5:$BG$51, -1), _xlpm.추가_색인번호)-IF(AND(OR($G22 ="debuff", $G22 = "shot", $G22 = "pierce"), MOD($O22, 1)&lt;&gt;0), 10*MOD($O22, 1)*INDEX(Factor!$BG$5:$BO$51, _xlfn.XMATCH(IF(OR($G22 ="debuff", $G22 = "shot", $G22 = "pierce"), $O22, 0), Factor!$BG$5:$BG$51, -1), 2), 0),
_xlpm.탄환개수보정치, VLOOKUP(IF(OR($G22 = "curved", $G22 = "shot"), $Q22, 1), Factor!$BQ$5:$BX$51, _xlpm.기본_색인번호, 0),
_xlpm.상태이상탄환생성위치보정치, IF($G22 = "debuff", VLOOKUP($R22, Factor!$K$18:$R$19, _xlpm.기본_색인번호, 0),1),
_xlpm.상태이상탄환형태보정치, IF($G22 = "debuff", VLOOKUP($S22, Factor!$K$24:$R$25, _xlpm.기본_색인번호, 0),1),
_xlpm.가격보정치, INDEX(Factor!$AE$5:$AL$51, _xlfn.XMATCH($F22,Factor!$AE$5:$AE$51, -1), _xlpm.기본_색인번호),
_xlpm.구경보정치, VLOOKUP($D22,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H22"/>
      <c r="AI22"/>
      <c r="AJ22"/>
      <c r="AK22"/>
      <c r="AL22"/>
      <c r="AM22"/>
      <c r="AN22"/>
    </row>
    <row r="23" spans="1:40" ht="13.5">
      <c r="A23" s="24" t="str">
        <f>"weapon_"&amp;G23&amp;"_"&amp;VLOOKUP(H23, Factor!$T$5:$AB$7, 9, 0)&amp;"_"&amp;IF(COUNTIFS($G$4:G22, G23, $H$4:H22, H23)+1&gt;=100, COUNTIFS($G$4:G22, G23, $H$4:H22, H23)+1,IF(COUNTIFS($G$4:G22, G23, $H$4:H22, H23)+1&gt;=10, "0"&amp;COUNTIFS($G$4:G22, G23, $H$4:H22, H23)+1, "00"&amp;COUNTIFS($G$4:G22, G23, $H$4:H22, H23)+1))</f>
        <v>weapon_single_Am_019</v>
      </c>
      <c r="B23" s="36" t="str">
        <f t="shared" si="0"/>
        <v>T3 12.7mm기관포</v>
      </c>
      <c r="C23" s="36" t="s">
        <v>248</v>
      </c>
      <c r="D23" s="36" t="s">
        <v>168</v>
      </c>
      <c r="E23" s="36" t="s">
        <v>151</v>
      </c>
      <c r="F23" s="25">
        <f>VLOOKUP(C23, Factor!$AD$5:$AE$15, 2, 0)</f>
        <v>3000</v>
      </c>
      <c r="G23" s="26" t="str">
        <f>VLOOKUP(E23, Factor!$CL$5:$CV$50, 2, 0)</f>
        <v>single</v>
      </c>
      <c r="H23" s="25" t="str">
        <f>VLOOKUP(E23, Factor!$CL$5:$CV$50, 3, 0)</f>
        <v>ammo</v>
      </c>
      <c r="I23" s="25" t="str">
        <f>VLOOKUP(E23, Factor!$CL$5:$CV$50, 4, 0)</f>
        <v>L</v>
      </c>
      <c r="J23" s="25" t="str">
        <f>VLOOKUP(E23, Factor!$CL$5:$CV$50, 5, 0)</f>
        <v>spread</v>
      </c>
      <c r="K23" s="25">
        <v>1</v>
      </c>
      <c r="L23" s="25">
        <f>VLOOKUP(E23, Factor!$CL$5:$CV$50, 6, 0)*K23*VLOOKUP(D23, Factor!$BZ$5:$CJ$49, 9, 0)</f>
        <v>0</v>
      </c>
      <c r="M23" s="25" t="str">
        <f>VLOOKUP(E23, Factor!$CL$5:$CV$50, 7, 0)</f>
        <v>null</v>
      </c>
      <c r="N23" s="25">
        <v>1</v>
      </c>
      <c r="O23" s="25">
        <f>VLOOKUP(E23, Factor!$CL$5:$CV$50, 8, 0)*N23*VLOOKUP(D23, Factor!$BZ$5:$CJ$49, 10, 0)</f>
        <v>0</v>
      </c>
      <c r="P23" s="25">
        <v>1</v>
      </c>
      <c r="Q23" s="25">
        <f>VLOOKUP(E23, Factor!$CL$5:$CV$50, 9, 0)*P23*VLOOKUP(D23, Factor!$BZ$5:$CJ$49, 11, 0)</f>
        <v>4</v>
      </c>
      <c r="R23" s="25" t="str">
        <f>VLOOKUP(E23, Factor!$CL$5:$CV$50, 10, 0)</f>
        <v>null</v>
      </c>
      <c r="S23" s="25" t="str">
        <f>VLOOKUP(E23, Factor!$CL$5:$CV$50, 11, 0)</f>
        <v>null</v>
      </c>
      <c r="T23" s="25">
        <v>1</v>
      </c>
      <c r="U23" s="25">
        <v>1</v>
      </c>
      <c r="V23" s="25">
        <v>1</v>
      </c>
      <c r="W23" s="25">
        <v>1</v>
      </c>
      <c r="X23" s="25">
        <v>1</v>
      </c>
      <c r="Y23" s="25">
        <v>1</v>
      </c>
      <c r="Z23" s="25">
        <v>1</v>
      </c>
      <c r="AA23" s="25" cm="1">
        <f t="array" ref="AA23">_xlfn.LET(_xlpm.기본_색인번호, 2,
_xlpm.추가_색인번호, 3,
_xlpm.개별보정치, T23,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23" s="25" cm="1">
        <f t="array" ref="AB23">_xlfn.LET(_xlpm.기본_색인번호, 3,
_xlpm.추가_색인번호, 4,
_xlpm.개별보정치, U23,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3" s="25" cm="1">
        <f t="array" ref="AC23">_xlfn.LET(_xlpm.기본_색인번호, 4,
_xlpm.추가_색인번호, 5,
_xlpm.개별보정치, V23,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3" s="25" cm="1">
        <f t="array" ref="AD23">_xlfn.LET(_xlpm.기본_색인번호, 5,
_xlpm.추가_색인번호, 6,
_xlpm.개별보정치, W23,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23" s="25" cm="1">
        <f t="array" ref="AE23">_xlfn.LET(_xlpm.기본_색인번호, 6,
_xlpm.추가_색인번호, 7,
_xlpm.개별보정치, X23,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23" s="25" cm="1">
        <f t="array" ref="AF23">_xlfn.LET(_xlpm.기본_색인번호, 7,
_xlpm.추가_색인번호, 8,
_xlpm.개별보정치, Y23,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3" s="27" cm="1">
        <f t="array" ref="AG23">_xlfn.LET(_xlpm.기본_색인번호, 8,
_xlpm.추가_색인번호, 9,
_xlpm.개별보정치, Z23,
_xlpm.패턴보정치, VLOOKUP($G23, Factor!$B$5:$I$51, _xlpm.기본_색인번호, 0),
_xlpm.소모탄환보정치, VLOOKUP($H23, Factor!$T$5:$AA$51, _xlpm.기본_색인번호, 0),
_xlpm.지형보정치, VLOOKUP($I23, Factor!$K$12:$R$13, _xlpm.기본_색인번호, 0),
_xlpm.공격속성보정치, VLOOKUP($J23, Factor!$K$5:$R$7, _xlpm.기본_색인번호, 0),
_xlpm.피해범위보정치, INDEX(Factor!$AN$5:$AV$51, _xlfn.XMATCH(IF(OR($G23="blast", $G23="curved",  $G23= "debuff"), $L23, 0), Factor!$AN$5:$AN$51, -1), _xlpm.추가_색인번호)-IF(AND(OR($G23="blast", $G23="curved", $G23= "debuff"), MOD($L23,1)&lt;&gt;0),INDEX(Factor!$AN$5:$AV$51, _xlfn.XMATCH(IF(OR($G23="blast", $G23="curved", $G23= "debuff"), $L23, 0), Factor!$AN$5:$AN$51, -1), 2)*MOD($L23,1)*10,0),
_xlpm.상태이상보정치, VLOOKUP(IF($G23 = "debuff", $M23, "null"), Factor!$AX$5:$BE$51, _xlpm.기본_색인번호, 0),
_xlpm.지속시간보정치, INDEX(Factor!$BG$5:$BO$51, _xlfn.XMATCH(IF(OR($G23 ="debuff", $G23 = "shot", $G23 = "pierce"), $O23, 0), Factor!$BG$5:$BG$51, -1), _xlpm.추가_색인번호)-IF(AND(OR($G23 ="debuff", $G23 = "shot", $G23 = "pierce"), MOD($O23, 1)&lt;&gt;0), 10*MOD($O23, 1)*INDEX(Factor!$BG$5:$BO$51, _xlfn.XMATCH(IF(OR($G23 ="debuff", $G23 = "shot", $G23 = "pierce"), $O23, 0), Factor!$BG$5:$BG$51, -1), 2), 0),
_xlpm.탄환개수보정치, VLOOKUP(IF(OR($G23 = "curved", $G23 = "shot"), $Q23, 1), Factor!$BQ$5:$BX$51, _xlpm.기본_색인번호, 0),
_xlpm.상태이상탄환생성위치보정치, IF($G23 = "debuff", VLOOKUP($R23, Factor!$K$18:$R$19, _xlpm.기본_색인번호, 0),1),
_xlpm.상태이상탄환형태보정치, IF($G23 = "debuff", VLOOKUP($S23, Factor!$K$24:$R$25, _xlpm.기본_색인번호, 0),1),
_xlpm.가격보정치, INDEX(Factor!$AE$5:$AL$51, _xlfn.XMATCH($F23,Factor!$AE$5:$AE$51, -1), _xlpm.기본_색인번호),
_xlpm.구경보정치, VLOOKUP($D23,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H23"/>
      <c r="AI23"/>
      <c r="AJ23"/>
      <c r="AK23"/>
      <c r="AL23"/>
      <c r="AM23"/>
      <c r="AN23"/>
    </row>
    <row r="24" spans="1:40" ht="13.5">
      <c r="A24" s="28" t="str">
        <f>"weapon_"&amp;G24&amp;"_"&amp;VLOOKUP(H24, Factor!$T$5:$AB$7, 9, 0)&amp;"_"&amp;IF(COUNTIFS($G$4:G23, G24, $H$4:H23, H24)+1&gt;=100, COUNTIFS($G$4:G23, G24, $H$4:H23, H24)+1,IF(COUNTIFS($G$4:G23, G24, $H$4:H23, H24)+1&gt;=10, "0"&amp;COUNTIFS($G$4:G23, G24, $H$4:H23, H24)+1, "00"&amp;COUNTIFS($G$4:G23, G24, $H$4:H23, H24)+1))</f>
        <v>weapon_single_Am_020</v>
      </c>
      <c r="B24" s="37" t="str">
        <f t="shared" si="0"/>
        <v>T3 20mm기관포</v>
      </c>
      <c r="C24" s="37" t="s">
        <v>247</v>
      </c>
      <c r="D24" s="37" t="s">
        <v>169</v>
      </c>
      <c r="E24" s="37" t="s">
        <v>151</v>
      </c>
      <c r="F24" s="29">
        <f>VLOOKUP(C24, Factor!$AD$5:$AE$15, 2, 0)</f>
        <v>3000</v>
      </c>
      <c r="G24" s="29" t="str">
        <f>VLOOKUP(E24, Factor!$CL$5:$CV$50, 2, 0)</f>
        <v>single</v>
      </c>
      <c r="H24" s="29" t="str">
        <f>VLOOKUP(E24, Factor!$CL$5:$CV$50, 3, 0)</f>
        <v>ammo</v>
      </c>
      <c r="I24" s="29" t="str">
        <f>VLOOKUP(E24, Factor!$CL$5:$CV$50, 4, 0)</f>
        <v>L</v>
      </c>
      <c r="J24" s="29" t="str">
        <f>VLOOKUP(E24, Factor!$CL$5:$CV$50, 5, 0)</f>
        <v>spread</v>
      </c>
      <c r="K24" s="29">
        <v>1</v>
      </c>
      <c r="L24" s="29">
        <f>VLOOKUP(E24, Factor!$CL$5:$CV$50, 6, 0)*K24*VLOOKUP(D24, Factor!$BZ$5:$CJ$49, 9, 0)</f>
        <v>0</v>
      </c>
      <c r="M24" s="29" t="str">
        <f>VLOOKUP(E24, Factor!$CL$5:$CV$50, 7, 0)</f>
        <v>null</v>
      </c>
      <c r="N24" s="29">
        <v>1</v>
      </c>
      <c r="O24" s="29">
        <f>VLOOKUP(E24, Factor!$CL$5:$CV$50, 8, 0)*N24*VLOOKUP(D24, Factor!$BZ$5:$CJ$49, 10, 0)</f>
        <v>0</v>
      </c>
      <c r="P24" s="29">
        <v>1</v>
      </c>
      <c r="Q24" s="29">
        <f>VLOOKUP(E24, Factor!$CL$5:$CV$50, 9, 0)*P24*VLOOKUP(D24, Factor!$BZ$5:$CJ$49, 11, 0)</f>
        <v>5</v>
      </c>
      <c r="R24" s="29" t="str">
        <f>VLOOKUP(E24, Factor!$CL$5:$CV$50, 10, 0)</f>
        <v>null</v>
      </c>
      <c r="S24" s="29" t="str">
        <f>VLOOKUP(E24, Factor!$CL$5:$CV$50, 11, 0)</f>
        <v>null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 cm="1">
        <f t="array" ref="AA24">_xlfn.LET(_xlpm.기본_색인번호, 2,
_xlpm.추가_색인번호, 3,
_xlpm.개별보정치, T24,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24" s="29" cm="1">
        <f t="array" ref="AB24">_xlfn.LET(_xlpm.기본_색인번호, 3,
_xlpm.추가_색인번호, 4,
_xlpm.개별보정치, U24,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4" s="29" cm="1">
        <f t="array" ref="AC24">_xlfn.LET(_xlpm.기본_색인번호, 4,
_xlpm.추가_색인번호, 5,
_xlpm.개별보정치, V24,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4" s="29" cm="1">
        <f t="array" ref="AD24">_xlfn.LET(_xlpm.기본_색인번호, 5,
_xlpm.추가_색인번호, 6,
_xlpm.개별보정치, W24,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24" s="29" cm="1">
        <f t="array" ref="AE24">_xlfn.LET(_xlpm.기본_색인번호, 6,
_xlpm.추가_색인번호, 7,
_xlpm.개별보정치, X24,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24" s="29" cm="1">
        <f t="array" ref="AF24">_xlfn.LET(_xlpm.기본_색인번호, 7,
_xlpm.추가_색인번호, 8,
_xlpm.개별보정치, Y24,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4" s="30" cm="1">
        <f t="array" ref="AG24">_xlfn.LET(_xlpm.기본_색인번호, 8,
_xlpm.추가_색인번호, 9,
_xlpm.개별보정치, Z24,
_xlpm.패턴보정치, VLOOKUP($G24, Factor!$B$5:$I$51, _xlpm.기본_색인번호, 0),
_xlpm.소모탄환보정치, VLOOKUP($H24, Factor!$T$5:$AA$51, _xlpm.기본_색인번호, 0),
_xlpm.지형보정치, VLOOKUP($I24, Factor!$K$12:$R$13, _xlpm.기본_색인번호, 0),
_xlpm.공격속성보정치, VLOOKUP($J24, Factor!$K$5:$R$7, _xlpm.기본_색인번호, 0),
_xlpm.피해범위보정치, INDEX(Factor!$AN$5:$AV$51, _xlfn.XMATCH(IF(OR($G24="blast", $G24="curved",  $G24= "debuff"), $L24, 0), Factor!$AN$5:$AN$51, -1), _xlpm.추가_색인번호)-IF(AND(OR($G24="blast", $G24="curved", $G24= "debuff"), MOD($L24,1)&lt;&gt;0),INDEX(Factor!$AN$5:$AV$51, _xlfn.XMATCH(IF(OR($G24="blast", $G24="curved", $G24= "debuff"), $L24, 0), Factor!$AN$5:$AN$51, -1), 2)*MOD($L24,1)*10,0),
_xlpm.상태이상보정치, VLOOKUP(IF($G24 = "debuff", $M24, "null"), Factor!$AX$5:$BE$51, _xlpm.기본_색인번호, 0),
_xlpm.지속시간보정치, INDEX(Factor!$BG$5:$BO$51, _xlfn.XMATCH(IF(OR($G24 ="debuff", $G24 = "shot", $G24 = "pierce"), $O24, 0), Factor!$BG$5:$BG$51, -1), _xlpm.추가_색인번호)-IF(AND(OR($G24 ="debuff", $G24 = "shot", $G24 = "pierce"), MOD($O24, 1)&lt;&gt;0), 10*MOD($O24, 1)*INDEX(Factor!$BG$5:$BO$51, _xlfn.XMATCH(IF(OR($G24 ="debuff", $G24 = "shot", $G24 = "pierce"), $O24, 0), Factor!$BG$5:$BG$51, -1), 2), 0),
_xlpm.탄환개수보정치, VLOOKUP(IF(OR($G24 = "curved", $G24 = "shot"), $Q24, 1), Factor!$BQ$5:$BX$51, _xlpm.기본_색인번호, 0),
_xlpm.상태이상탄환생성위치보정치, IF($G24 = "debuff", VLOOKUP($R24, Factor!$K$18:$R$19, _xlpm.기본_색인번호, 0),1),
_xlpm.상태이상탄환형태보정치, IF($G24 = "debuff", VLOOKUP($S24, Factor!$K$24:$R$25, _xlpm.기본_색인번호, 0),1),
_xlpm.가격보정치, INDEX(Factor!$AE$5:$AL$51, _xlfn.XMATCH($F24,Factor!$AE$5:$AE$51, -1), _xlpm.기본_색인번호),
_xlpm.구경보정치, VLOOKUP($D24,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H24"/>
      <c r="AI24"/>
      <c r="AJ24"/>
      <c r="AK24"/>
      <c r="AL24"/>
      <c r="AM24"/>
      <c r="AN24"/>
    </row>
    <row r="25" spans="1:40" ht="13.5">
      <c r="A25" s="24" t="str">
        <f>"weapon_"&amp;G25&amp;"_"&amp;VLOOKUP(H25, Factor!$T$5:$AB$7, 9, 0)&amp;"_"&amp;IF(COUNTIFS($G$4:G24, G25, $H$4:H24, H25)+1&gt;=100, COUNTIFS($G$4:G24, G25, $H$4:H24, H25)+1,IF(COUNTIFS($G$4:G24, G25, $H$4:H24, H25)+1&gt;=10, "0"&amp;COUNTIFS($G$4:G24, G25, $H$4:H24, H25)+1, "00"&amp;COUNTIFS($G$4:G24, G25, $H$4:H24, H25)+1))</f>
        <v>weapon_single_Am_021</v>
      </c>
      <c r="B25" s="36" t="str">
        <f t="shared" si="0"/>
        <v>T4 기관포</v>
      </c>
      <c r="C25" s="36" t="s">
        <v>250</v>
      </c>
      <c r="D25" s="36" t="s">
        <v>176</v>
      </c>
      <c r="E25" s="36" t="s">
        <v>151</v>
      </c>
      <c r="F25" s="25">
        <f>VLOOKUP(C25, Factor!$AD$5:$AE$15, 2, 0)</f>
        <v>4000</v>
      </c>
      <c r="G25" s="26" t="str">
        <f>VLOOKUP(E25, Factor!$CL$5:$CV$50, 2, 0)</f>
        <v>single</v>
      </c>
      <c r="H25" s="25" t="str">
        <f>VLOOKUP(E25, Factor!$CL$5:$CV$50, 3, 0)</f>
        <v>ammo</v>
      </c>
      <c r="I25" s="25" t="str">
        <f>VLOOKUP(E25, Factor!$CL$5:$CV$50, 4, 0)</f>
        <v>L</v>
      </c>
      <c r="J25" s="25" t="str">
        <f>VLOOKUP(E25, Factor!$CL$5:$CV$50, 5, 0)</f>
        <v>spread</v>
      </c>
      <c r="K25" s="25">
        <v>1</v>
      </c>
      <c r="L25" s="25">
        <f>VLOOKUP(E25, Factor!$CL$5:$CV$50, 6, 0)*K25*VLOOKUP(D25, Factor!$BZ$5:$CJ$49, 9, 0)</f>
        <v>0</v>
      </c>
      <c r="M25" s="25" t="str">
        <f>VLOOKUP(E25, Factor!$CL$5:$CV$50, 7, 0)</f>
        <v>null</v>
      </c>
      <c r="N25" s="25">
        <v>1</v>
      </c>
      <c r="O25" s="25">
        <f>VLOOKUP(E25, Factor!$CL$5:$CV$50, 8, 0)*N25*VLOOKUP(D25, Factor!$BZ$5:$CJ$49, 10, 0)</f>
        <v>0</v>
      </c>
      <c r="P25" s="25">
        <v>1</v>
      </c>
      <c r="Q25" s="25">
        <f>VLOOKUP(E25, Factor!$CL$5:$CV$50, 9, 0)*P25*VLOOKUP(D25, Factor!$BZ$5:$CJ$49, 11, 0)</f>
        <v>1</v>
      </c>
      <c r="R25" s="25" t="str">
        <f>VLOOKUP(E25, Factor!$CL$5:$CV$50, 10, 0)</f>
        <v>null</v>
      </c>
      <c r="S25" s="25" t="str">
        <f>VLOOKUP(E25, Factor!$CL$5:$CV$50, 11, 0)</f>
        <v>null</v>
      </c>
      <c r="T25" s="25">
        <v>1</v>
      </c>
      <c r="U25" s="25">
        <v>1</v>
      </c>
      <c r="V25" s="25">
        <v>1</v>
      </c>
      <c r="W25" s="25">
        <v>1</v>
      </c>
      <c r="X25" s="25">
        <v>1</v>
      </c>
      <c r="Y25" s="25">
        <v>1</v>
      </c>
      <c r="Z25" s="25">
        <v>1</v>
      </c>
      <c r="AA25" s="25" cm="1">
        <f t="array" ref="AA25">_xlfn.LET(_xlpm.기본_색인번호, 2,
_xlpm.추가_색인번호, 3,
_xlpm.개별보정치, T25,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25" s="25" cm="1">
        <f t="array" ref="AB25">_xlfn.LET(_xlpm.기본_색인번호, 3,
_xlpm.추가_색인번호, 4,
_xlpm.개별보정치, U25,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5" s="25" cm="1">
        <f t="array" ref="AC25">_xlfn.LET(_xlpm.기본_색인번호, 4,
_xlpm.추가_색인번호, 5,
_xlpm.개별보정치, V25,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5" s="25" cm="1">
        <f t="array" ref="AD25">_xlfn.LET(_xlpm.기본_색인번호, 5,
_xlpm.추가_색인번호, 6,
_xlpm.개별보정치, W25,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E25" s="25" cm="1">
        <f t="array" ref="AE25">_xlfn.LET(_xlpm.기본_색인번호, 6,
_xlpm.추가_색인번호, 7,
_xlpm.개별보정치, X25,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F25" s="25" cm="1">
        <f t="array" ref="AF25">_xlfn.LET(_xlpm.기본_색인번호, 7,
_xlpm.추가_색인번호, 8,
_xlpm.개별보정치, Y25,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5" s="27" cm="1">
        <f t="array" ref="AG25">_xlfn.LET(_xlpm.기본_색인번호, 8,
_xlpm.추가_색인번호, 9,
_xlpm.개별보정치, Z25,
_xlpm.패턴보정치, VLOOKUP($G25, Factor!$B$5:$I$51, _xlpm.기본_색인번호, 0),
_xlpm.소모탄환보정치, VLOOKUP($H25, Factor!$T$5:$AA$51, _xlpm.기본_색인번호, 0),
_xlpm.지형보정치, VLOOKUP($I25, Factor!$K$12:$R$13, _xlpm.기본_색인번호, 0),
_xlpm.공격속성보정치, VLOOKUP($J25, Factor!$K$5:$R$7, _xlpm.기본_색인번호, 0),
_xlpm.피해범위보정치, INDEX(Factor!$AN$5:$AV$51, _xlfn.XMATCH(IF(OR($G25="blast", $G25="curved",  $G25= "debuff"), $L25, 0), Factor!$AN$5:$AN$51, -1), _xlpm.추가_색인번호)-IF(AND(OR($G25="blast", $G25="curved", $G25= "debuff"), MOD($L25,1)&lt;&gt;0),INDEX(Factor!$AN$5:$AV$51, _xlfn.XMATCH(IF(OR($G25="blast", $G25="curved", $G25= "debuff"), $L25, 0), Factor!$AN$5:$AN$51, -1), 2)*MOD($L25,1)*10,0),
_xlpm.상태이상보정치, VLOOKUP(IF($G25 = "debuff", $M25, "null"), Factor!$AX$5:$BE$51, _xlpm.기본_색인번호, 0),
_xlpm.지속시간보정치, INDEX(Factor!$BG$5:$BO$51, _xlfn.XMATCH(IF(OR($G25 ="debuff", $G25 = "shot", $G25 = "pierce"), $O25, 0), Factor!$BG$5:$BG$51, -1), _xlpm.추가_색인번호)-IF(AND(OR($G25 ="debuff", $G25 = "shot", $G25 = "pierce"), MOD($O25, 1)&lt;&gt;0), 10*MOD($O25, 1)*INDEX(Factor!$BG$5:$BO$51, _xlfn.XMATCH(IF(OR($G25 ="debuff", $G25 = "shot", $G25 = "pierce"), $O25, 0), Factor!$BG$5:$BG$51, -1), 2), 0),
_xlpm.탄환개수보정치, VLOOKUP(IF(OR($G25 = "curved", $G25 = "shot"), $Q25, 1), Factor!$BQ$5:$BX$51, _xlpm.기본_색인번호, 0),
_xlpm.상태이상탄환생성위치보정치, IF($G25 = "debuff", VLOOKUP($R25, Factor!$K$18:$R$19, _xlpm.기본_색인번호, 0),1),
_xlpm.상태이상탄환형태보정치, IF($G25 = "debuff", VLOOKUP($S25, Factor!$K$24:$R$25, _xlpm.기본_색인번호, 0),1),
_xlpm.가격보정치, INDEX(Factor!$AE$5:$AL$51, _xlfn.XMATCH($F25,Factor!$AE$5:$AE$51, -1), _xlpm.기본_색인번호),
_xlpm.구경보정치, VLOOKUP($D25,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H25"/>
      <c r="AI25"/>
      <c r="AJ25"/>
      <c r="AK25"/>
      <c r="AL25"/>
      <c r="AM25"/>
      <c r="AN25"/>
    </row>
    <row r="26" spans="1:40" ht="15.75" customHeight="1">
      <c r="A26" s="28" t="str">
        <f>"weapon_"&amp;G26&amp;"_"&amp;VLOOKUP(H26, Factor!$T$5:$AB$7, 9, 0)&amp;"_"&amp;IF(COUNTIFS($G$4:G25, G26, $H$4:H25, H26)+1&gt;=100, COUNTIFS($G$4:G25, G26, $H$4:H25, H26)+1,IF(COUNTIFS($G$4:G25, G26, $H$4:H25, H26)+1&gt;=10, "0"&amp;COUNTIFS($G$4:G25, G26, $H$4:H25, H26)+1, "00"&amp;COUNTIFS($G$4:G25, G26, $H$4:H25, H26)+1))</f>
        <v>weapon_single_Am_022</v>
      </c>
      <c r="B26" s="37" t="str">
        <f t="shared" si="0"/>
        <v>T4 5.56mm기관포</v>
      </c>
      <c r="C26" s="37" t="s">
        <v>249</v>
      </c>
      <c r="D26" s="37" t="s">
        <v>166</v>
      </c>
      <c r="E26" s="37" t="s">
        <v>151</v>
      </c>
      <c r="F26" s="29">
        <f>VLOOKUP(C26, Factor!$AD$5:$AE$15, 2, 0)</f>
        <v>4000</v>
      </c>
      <c r="G26" s="29" t="str">
        <f>VLOOKUP(E26, Factor!$CL$5:$CV$50, 2, 0)</f>
        <v>single</v>
      </c>
      <c r="H26" s="29" t="str">
        <f>VLOOKUP(E26, Factor!$CL$5:$CV$50, 3, 0)</f>
        <v>ammo</v>
      </c>
      <c r="I26" s="29" t="str">
        <f>VLOOKUP(E26, Factor!$CL$5:$CV$50, 4, 0)</f>
        <v>L</v>
      </c>
      <c r="J26" s="29" t="str">
        <f>VLOOKUP(E26, Factor!$CL$5:$CV$50, 5, 0)</f>
        <v>spread</v>
      </c>
      <c r="K26" s="29">
        <v>1</v>
      </c>
      <c r="L26" s="29">
        <f>VLOOKUP(E26, Factor!$CL$5:$CV$50, 6, 0)*K26*VLOOKUP(D26, Factor!$BZ$5:$CJ$49, 9, 0)</f>
        <v>0</v>
      </c>
      <c r="M26" s="29" t="str">
        <f>VLOOKUP(E26, Factor!$CL$5:$CV$50, 7, 0)</f>
        <v>null</v>
      </c>
      <c r="N26" s="29">
        <v>1</v>
      </c>
      <c r="O26" s="29">
        <f>VLOOKUP(E26, Factor!$CL$5:$CV$50, 8, 0)*N26*VLOOKUP(D26, Factor!$BZ$5:$CJ$49, 10, 0)</f>
        <v>0</v>
      </c>
      <c r="P26" s="29">
        <v>1</v>
      </c>
      <c r="Q26" s="29">
        <f>VLOOKUP(E26, Factor!$CL$5:$CV$50, 9, 0)*P26*VLOOKUP(D26, Factor!$BZ$5:$CJ$49, 11, 0)</f>
        <v>2</v>
      </c>
      <c r="R26" s="29" t="str">
        <f>VLOOKUP(E26, Factor!$CL$5:$CV$50, 10, 0)</f>
        <v>null</v>
      </c>
      <c r="S26" s="29" t="str">
        <f>VLOOKUP(E26, Factor!$CL$5:$CV$50, 11, 0)</f>
        <v>null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 cm="1">
        <f t="array" ref="AA26">_xlfn.LET(_xlpm.기본_색인번호, 2,
_xlpm.추가_색인번호, 3,
_xlpm.개별보정치, T26,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26" s="29" cm="1">
        <f t="array" ref="AB26">_xlfn.LET(_xlpm.기본_색인번호, 3,
_xlpm.추가_색인번호, 4,
_xlpm.개별보정치, U26,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6" s="29" cm="1">
        <f t="array" ref="AC26">_xlfn.LET(_xlpm.기본_색인번호, 4,
_xlpm.추가_색인번호, 5,
_xlpm.개별보정치, V26,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6" s="29" cm="1">
        <f t="array" ref="AD26">_xlfn.LET(_xlpm.기본_색인번호, 5,
_xlpm.추가_색인번호, 6,
_xlpm.개별보정치, W26,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E26" s="29" cm="1">
        <f t="array" ref="AE26">_xlfn.LET(_xlpm.기본_색인번호, 6,
_xlpm.추가_색인번호, 7,
_xlpm.개별보정치, X26,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F26" s="29" cm="1">
        <f t="array" ref="AF26">_xlfn.LET(_xlpm.기본_색인번호, 7,
_xlpm.추가_색인번호, 8,
_xlpm.개별보정치, Y26,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6" s="30" cm="1">
        <f t="array" ref="AG26">_xlfn.LET(_xlpm.기본_색인번호, 8,
_xlpm.추가_색인번호, 9,
_xlpm.개별보정치, Z26,
_xlpm.패턴보정치, VLOOKUP($G26, Factor!$B$5:$I$51, _xlpm.기본_색인번호, 0),
_xlpm.소모탄환보정치, VLOOKUP($H26, Factor!$T$5:$AA$51, _xlpm.기본_색인번호, 0),
_xlpm.지형보정치, VLOOKUP($I26, Factor!$K$12:$R$13, _xlpm.기본_색인번호, 0),
_xlpm.공격속성보정치, VLOOKUP($J26, Factor!$K$5:$R$7, _xlpm.기본_색인번호, 0),
_xlpm.피해범위보정치, INDEX(Factor!$AN$5:$AV$51, _xlfn.XMATCH(IF(OR($G26="blast", $G26="curved",  $G26= "debuff"), $L26, 0), Factor!$AN$5:$AN$51, -1), _xlpm.추가_색인번호)-IF(AND(OR($G26="blast", $G26="curved", $G26= "debuff"), MOD($L26,1)&lt;&gt;0),INDEX(Factor!$AN$5:$AV$51, _xlfn.XMATCH(IF(OR($G26="blast", $G26="curved", $G26= "debuff"), $L26, 0), Factor!$AN$5:$AN$51, -1), 2)*MOD($L26,1)*10,0),
_xlpm.상태이상보정치, VLOOKUP(IF($G26 = "debuff", $M26, "null"), Factor!$AX$5:$BE$51, _xlpm.기본_색인번호, 0),
_xlpm.지속시간보정치, INDEX(Factor!$BG$5:$BO$51, _xlfn.XMATCH(IF(OR($G26 ="debuff", $G26 = "shot", $G26 = "pierce"), $O26, 0), Factor!$BG$5:$BG$51, -1), _xlpm.추가_색인번호)-IF(AND(OR($G26 ="debuff", $G26 = "shot", $G26 = "pierce"), MOD($O26, 1)&lt;&gt;0), 10*MOD($O26, 1)*INDEX(Factor!$BG$5:$BO$51, _xlfn.XMATCH(IF(OR($G26 ="debuff", $G26 = "shot", $G26 = "pierce"), $O26, 0), Factor!$BG$5:$BG$51, -1), 2), 0),
_xlpm.탄환개수보정치, VLOOKUP(IF(OR($G26 = "curved", $G26 = "shot"), $Q26, 1), Factor!$BQ$5:$BX$51, _xlpm.기본_색인번호, 0),
_xlpm.상태이상탄환생성위치보정치, IF($G26 = "debuff", VLOOKUP($R26, Factor!$K$18:$R$19, _xlpm.기본_색인번호, 0),1),
_xlpm.상태이상탄환형태보정치, IF($G26 = "debuff", VLOOKUP($S26, Factor!$K$24:$R$25, _xlpm.기본_색인번호, 0),1),
_xlpm.가격보정치, INDEX(Factor!$AE$5:$AL$51, _xlfn.XMATCH($F26,Factor!$AE$5:$AE$51, -1), _xlpm.기본_색인번호),
_xlpm.구경보정치, VLOOKUP($D26,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H26"/>
      <c r="AI26"/>
      <c r="AJ26"/>
      <c r="AK26"/>
      <c r="AL26"/>
      <c r="AM26"/>
      <c r="AN26"/>
    </row>
    <row r="27" spans="1:40" ht="15.75" customHeight="1">
      <c r="A27" s="24" t="str">
        <f>"weapon_"&amp;G27&amp;"_"&amp;VLOOKUP(H27, Factor!$T$5:$AB$7, 9, 0)&amp;"_"&amp;IF(COUNTIFS($G$4:G26, G27, $H$4:H26, H27)+1&gt;=100, COUNTIFS($G$4:G26, G27, $H$4:H26, H27)+1,IF(COUNTIFS($G$4:G26, G27, $H$4:H26, H27)+1&gt;=10, "0"&amp;COUNTIFS($G$4:G26, G27, $H$4:H26, H27)+1, "00"&amp;COUNTIFS($G$4:G26, G27, $H$4:H26, H27)+1))</f>
        <v>weapon_single_Am_023</v>
      </c>
      <c r="B27" s="36" t="str">
        <f t="shared" si="0"/>
        <v>T4 7.62mm기관포</v>
      </c>
      <c r="C27" s="36" t="s">
        <v>250</v>
      </c>
      <c r="D27" s="36" t="s">
        <v>167</v>
      </c>
      <c r="E27" s="36" t="s">
        <v>151</v>
      </c>
      <c r="F27" s="25">
        <f>VLOOKUP(C27, Factor!$AD$5:$AE$15, 2, 0)</f>
        <v>4000</v>
      </c>
      <c r="G27" s="26" t="str">
        <f>VLOOKUP(E27, Factor!$CL$5:$CV$50, 2, 0)</f>
        <v>single</v>
      </c>
      <c r="H27" s="25" t="str">
        <f>VLOOKUP(E27, Factor!$CL$5:$CV$50, 3, 0)</f>
        <v>ammo</v>
      </c>
      <c r="I27" s="25" t="str">
        <f>VLOOKUP(E27, Factor!$CL$5:$CV$50, 4, 0)</f>
        <v>L</v>
      </c>
      <c r="J27" s="25" t="str">
        <f>VLOOKUP(E27, Factor!$CL$5:$CV$50, 5, 0)</f>
        <v>spread</v>
      </c>
      <c r="K27" s="25">
        <v>1</v>
      </c>
      <c r="L27" s="25">
        <f>VLOOKUP(E27, Factor!$CL$5:$CV$50, 6, 0)*K27*VLOOKUP(D27, Factor!$BZ$5:$CJ$49, 9, 0)</f>
        <v>0</v>
      </c>
      <c r="M27" s="25" t="str">
        <f>VLOOKUP(E27, Factor!$CL$5:$CV$50, 7, 0)</f>
        <v>null</v>
      </c>
      <c r="N27" s="25">
        <v>1</v>
      </c>
      <c r="O27" s="25">
        <f>VLOOKUP(E27, Factor!$CL$5:$CV$50, 8, 0)*N27*VLOOKUP(D27, Factor!$BZ$5:$CJ$49, 10, 0)</f>
        <v>0</v>
      </c>
      <c r="P27" s="25">
        <v>1</v>
      </c>
      <c r="Q27" s="25">
        <f>VLOOKUP(E27, Factor!$CL$5:$CV$50, 9, 0)*P27*VLOOKUP(D27, Factor!$BZ$5:$CJ$49, 11, 0)</f>
        <v>3</v>
      </c>
      <c r="R27" s="25" t="str">
        <f>VLOOKUP(E27, Factor!$CL$5:$CV$50, 10, 0)</f>
        <v>null</v>
      </c>
      <c r="S27" s="25" t="str">
        <f>VLOOKUP(E27, Factor!$CL$5:$CV$50, 11, 0)</f>
        <v>null</v>
      </c>
      <c r="T27" s="25">
        <v>1</v>
      </c>
      <c r="U27" s="25">
        <v>1</v>
      </c>
      <c r="V27" s="25">
        <v>1</v>
      </c>
      <c r="W27" s="25">
        <v>1</v>
      </c>
      <c r="X27" s="25">
        <v>1</v>
      </c>
      <c r="Y27" s="25">
        <v>1</v>
      </c>
      <c r="Z27" s="25">
        <v>1</v>
      </c>
      <c r="AA27" s="25" cm="1">
        <f t="array" ref="AA27">_xlfn.LET(_xlpm.기본_색인번호, 2,
_xlpm.추가_색인번호, 3,
_xlpm.개별보정치, T27,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27" s="25" cm="1">
        <f t="array" ref="AB27">_xlfn.LET(_xlpm.기본_색인번호, 3,
_xlpm.추가_색인번호, 4,
_xlpm.개별보정치, U27,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7" s="25" cm="1">
        <f t="array" ref="AC27">_xlfn.LET(_xlpm.기본_색인번호, 4,
_xlpm.추가_색인번호, 5,
_xlpm.개별보정치, V27,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7" s="25" cm="1">
        <f t="array" ref="AD27">_xlfn.LET(_xlpm.기본_색인번호, 5,
_xlpm.추가_색인번호, 6,
_xlpm.개별보정치, W27,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E27" s="25" cm="1">
        <f t="array" ref="AE27">_xlfn.LET(_xlpm.기본_색인번호, 6,
_xlpm.추가_색인번호, 7,
_xlpm.개별보정치, X27,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F27" s="25" cm="1">
        <f t="array" ref="AF27">_xlfn.LET(_xlpm.기본_색인번호, 7,
_xlpm.추가_색인번호, 8,
_xlpm.개별보정치, Y27,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7" s="27" cm="1">
        <f t="array" ref="AG27">_xlfn.LET(_xlpm.기본_색인번호, 8,
_xlpm.추가_색인번호, 9,
_xlpm.개별보정치, Z27,
_xlpm.패턴보정치, VLOOKUP($G27, Factor!$B$5:$I$51, _xlpm.기본_색인번호, 0),
_xlpm.소모탄환보정치, VLOOKUP($H27, Factor!$T$5:$AA$51, _xlpm.기본_색인번호, 0),
_xlpm.지형보정치, VLOOKUP($I27, Factor!$K$12:$R$13, _xlpm.기본_색인번호, 0),
_xlpm.공격속성보정치, VLOOKUP($J27, Factor!$K$5:$R$7, _xlpm.기본_색인번호, 0),
_xlpm.피해범위보정치, INDEX(Factor!$AN$5:$AV$51, _xlfn.XMATCH(IF(OR($G27="blast", $G27="curved",  $G27= "debuff"), $L27, 0), Factor!$AN$5:$AN$51, -1), _xlpm.추가_색인번호)-IF(AND(OR($G27="blast", $G27="curved", $G27= "debuff"), MOD($L27,1)&lt;&gt;0),INDEX(Factor!$AN$5:$AV$51, _xlfn.XMATCH(IF(OR($G27="blast", $G27="curved", $G27= "debuff"), $L27, 0), Factor!$AN$5:$AN$51, -1), 2)*MOD($L27,1)*10,0),
_xlpm.상태이상보정치, VLOOKUP(IF($G27 = "debuff", $M27, "null"), Factor!$AX$5:$BE$51, _xlpm.기본_색인번호, 0),
_xlpm.지속시간보정치, INDEX(Factor!$BG$5:$BO$51, _xlfn.XMATCH(IF(OR($G27 ="debuff", $G27 = "shot", $G27 = "pierce"), $O27, 0), Factor!$BG$5:$BG$51, -1), _xlpm.추가_색인번호)-IF(AND(OR($G27 ="debuff", $G27 = "shot", $G27 = "pierce"), MOD($O27, 1)&lt;&gt;0), 10*MOD($O27, 1)*INDEX(Factor!$BG$5:$BO$51, _xlfn.XMATCH(IF(OR($G27 ="debuff", $G27 = "shot", $G27 = "pierce"), $O27, 0), Factor!$BG$5:$BG$51, -1), 2), 0),
_xlpm.탄환개수보정치, VLOOKUP(IF(OR($G27 = "curved", $G27 = "shot"), $Q27, 1), Factor!$BQ$5:$BX$51, _xlpm.기본_색인번호, 0),
_xlpm.상태이상탄환생성위치보정치, IF($G27 = "debuff", VLOOKUP($R27, Factor!$K$18:$R$19, _xlpm.기본_색인번호, 0),1),
_xlpm.상태이상탄환형태보정치, IF($G27 = "debuff", VLOOKUP($S27, Factor!$K$24:$R$25, _xlpm.기본_색인번호, 0),1),
_xlpm.가격보정치, INDEX(Factor!$AE$5:$AL$51, _xlfn.XMATCH($F27,Factor!$AE$5:$AE$51, -1), _xlpm.기본_색인번호),
_xlpm.구경보정치, VLOOKUP($D27,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H27"/>
      <c r="AI27"/>
      <c r="AJ27"/>
      <c r="AK27"/>
      <c r="AL27"/>
      <c r="AM27"/>
      <c r="AN27"/>
    </row>
    <row r="28" spans="1:40" ht="15.75" customHeight="1">
      <c r="A28" s="28" t="str">
        <f>"weapon_"&amp;G28&amp;"_"&amp;VLOOKUP(H28, Factor!$T$5:$AB$7, 9, 0)&amp;"_"&amp;IF(COUNTIFS($G$4:G27, G28, $H$4:H27, H28)+1&gt;=100, COUNTIFS($G$4:G27, G28, $H$4:H27, H28)+1,IF(COUNTIFS($G$4:G27, G28, $H$4:H27, H28)+1&gt;=10, "0"&amp;COUNTIFS($G$4:G27, G28, $H$4:H27, H28)+1, "00"&amp;COUNTIFS($G$4:G27, G28, $H$4:H27, H28)+1))</f>
        <v>weapon_single_Am_024</v>
      </c>
      <c r="B28" s="37" t="str">
        <f t="shared" si="0"/>
        <v>T4 12.7mm기관포</v>
      </c>
      <c r="C28" s="37" t="s">
        <v>249</v>
      </c>
      <c r="D28" s="37" t="s">
        <v>168</v>
      </c>
      <c r="E28" s="37" t="s">
        <v>151</v>
      </c>
      <c r="F28" s="29">
        <f>VLOOKUP(C28, Factor!$AD$5:$AE$15, 2, 0)</f>
        <v>4000</v>
      </c>
      <c r="G28" s="29" t="str">
        <f>VLOOKUP(E28, Factor!$CL$5:$CV$50, 2, 0)</f>
        <v>single</v>
      </c>
      <c r="H28" s="29" t="str">
        <f>VLOOKUP(E28, Factor!$CL$5:$CV$50, 3, 0)</f>
        <v>ammo</v>
      </c>
      <c r="I28" s="29" t="str">
        <f>VLOOKUP(E28, Factor!$CL$5:$CV$50, 4, 0)</f>
        <v>L</v>
      </c>
      <c r="J28" s="29" t="str">
        <f>VLOOKUP(E28, Factor!$CL$5:$CV$50, 5, 0)</f>
        <v>spread</v>
      </c>
      <c r="K28" s="29">
        <v>1</v>
      </c>
      <c r="L28" s="29">
        <f>VLOOKUP(E28, Factor!$CL$5:$CV$50, 6, 0)*K28*VLOOKUP(D28, Factor!$BZ$5:$CJ$49, 9, 0)</f>
        <v>0</v>
      </c>
      <c r="M28" s="29" t="str">
        <f>VLOOKUP(E28, Factor!$CL$5:$CV$50, 7, 0)</f>
        <v>null</v>
      </c>
      <c r="N28" s="29">
        <v>1</v>
      </c>
      <c r="O28" s="29">
        <f>VLOOKUP(E28, Factor!$CL$5:$CV$50, 8, 0)*N28*VLOOKUP(D28, Factor!$BZ$5:$CJ$49, 10, 0)</f>
        <v>0</v>
      </c>
      <c r="P28" s="29">
        <v>1</v>
      </c>
      <c r="Q28" s="29">
        <f>VLOOKUP(E28, Factor!$CL$5:$CV$50, 9, 0)*P28*VLOOKUP(D28, Factor!$BZ$5:$CJ$49, 11, 0)</f>
        <v>4</v>
      </c>
      <c r="R28" s="29" t="str">
        <f>VLOOKUP(E28, Factor!$CL$5:$CV$50, 10, 0)</f>
        <v>null</v>
      </c>
      <c r="S28" s="29" t="str">
        <f>VLOOKUP(E28, Factor!$CL$5:$CV$50, 11, 0)</f>
        <v>null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 cm="1">
        <f t="array" ref="AA28">_xlfn.LET(_xlpm.기본_색인번호, 2,
_xlpm.추가_색인번호, 3,
_xlpm.개별보정치, T28,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28" s="29" cm="1">
        <f t="array" ref="AB28">_xlfn.LET(_xlpm.기본_색인번호, 3,
_xlpm.추가_색인번호, 4,
_xlpm.개별보정치, U28,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8" s="29" cm="1">
        <f t="array" ref="AC28">_xlfn.LET(_xlpm.기본_색인번호, 4,
_xlpm.추가_색인번호, 5,
_xlpm.개별보정치, V28,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8" s="29" cm="1">
        <f t="array" ref="AD28">_xlfn.LET(_xlpm.기본_색인번호, 5,
_xlpm.추가_색인번호, 6,
_xlpm.개별보정치, W28,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E28" s="29" cm="1">
        <f t="array" ref="AE28">_xlfn.LET(_xlpm.기본_색인번호, 6,
_xlpm.추가_색인번호, 7,
_xlpm.개별보정치, X28,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F28" s="29" cm="1">
        <f t="array" ref="AF28">_xlfn.LET(_xlpm.기본_색인번호, 7,
_xlpm.추가_색인번호, 8,
_xlpm.개별보정치, Y28,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8" s="30" cm="1">
        <f t="array" ref="AG28">_xlfn.LET(_xlpm.기본_색인번호, 8,
_xlpm.추가_색인번호, 9,
_xlpm.개별보정치, Z28,
_xlpm.패턴보정치, VLOOKUP($G28, Factor!$B$5:$I$51, _xlpm.기본_색인번호, 0),
_xlpm.소모탄환보정치, VLOOKUP($H28, Factor!$T$5:$AA$51, _xlpm.기본_색인번호, 0),
_xlpm.지형보정치, VLOOKUP($I28, Factor!$K$12:$R$13, _xlpm.기본_색인번호, 0),
_xlpm.공격속성보정치, VLOOKUP($J28, Factor!$K$5:$R$7, _xlpm.기본_색인번호, 0),
_xlpm.피해범위보정치, INDEX(Factor!$AN$5:$AV$51, _xlfn.XMATCH(IF(OR($G28="blast", $G28="curved",  $G28= "debuff"), $L28, 0), Factor!$AN$5:$AN$51, -1), _xlpm.추가_색인번호)-IF(AND(OR($G28="blast", $G28="curved", $G28= "debuff"), MOD($L28,1)&lt;&gt;0),INDEX(Factor!$AN$5:$AV$51, _xlfn.XMATCH(IF(OR($G28="blast", $G28="curved", $G28= "debuff"), $L28, 0), Factor!$AN$5:$AN$51, -1), 2)*MOD($L28,1)*10,0),
_xlpm.상태이상보정치, VLOOKUP(IF($G28 = "debuff", $M28, "null"), Factor!$AX$5:$BE$51, _xlpm.기본_색인번호, 0),
_xlpm.지속시간보정치, INDEX(Factor!$BG$5:$BO$51, _xlfn.XMATCH(IF(OR($G28 ="debuff", $G28 = "shot", $G28 = "pierce"), $O28, 0), Factor!$BG$5:$BG$51, -1), _xlpm.추가_색인번호)-IF(AND(OR($G28 ="debuff", $G28 = "shot", $G28 = "pierce"), MOD($O28, 1)&lt;&gt;0), 10*MOD($O28, 1)*INDEX(Factor!$BG$5:$BO$51, _xlfn.XMATCH(IF(OR($G28 ="debuff", $G28 = "shot", $G28 = "pierce"), $O28, 0), Factor!$BG$5:$BG$51, -1), 2), 0),
_xlpm.탄환개수보정치, VLOOKUP(IF(OR($G28 = "curved", $G28 = "shot"), $Q28, 1), Factor!$BQ$5:$BX$51, _xlpm.기본_색인번호, 0),
_xlpm.상태이상탄환생성위치보정치, IF($G28 = "debuff", VLOOKUP($R28, Factor!$K$18:$R$19, _xlpm.기본_색인번호, 0),1),
_xlpm.상태이상탄환형태보정치, IF($G28 = "debuff", VLOOKUP($S28, Factor!$K$24:$R$25, _xlpm.기본_색인번호, 0),1),
_xlpm.가격보정치, INDEX(Factor!$AE$5:$AL$51, _xlfn.XMATCH($F28,Factor!$AE$5:$AE$51, -1), _xlpm.기본_색인번호),
_xlpm.구경보정치, VLOOKUP($D28,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H28"/>
      <c r="AI28"/>
      <c r="AJ28"/>
      <c r="AK28"/>
      <c r="AL28"/>
      <c r="AM28"/>
      <c r="AN28"/>
    </row>
    <row r="29" spans="1:40" ht="15.75" customHeight="1">
      <c r="A29" s="24" t="str">
        <f>"weapon_"&amp;G29&amp;"_"&amp;VLOOKUP(H29, Factor!$T$5:$AB$7, 9, 0)&amp;"_"&amp;IF(COUNTIFS($G$4:G28, G29, $H$4:H28, H29)+1&gt;=100, COUNTIFS($G$4:G28, G29, $H$4:H28, H29)+1,IF(COUNTIFS($G$4:G28, G29, $H$4:H28, H29)+1&gt;=10, "0"&amp;COUNTIFS($G$4:G28, G29, $H$4:H28, H29)+1, "00"&amp;COUNTIFS($G$4:G28, G29, $H$4:H28, H29)+1))</f>
        <v>weapon_single_Am_025</v>
      </c>
      <c r="B29" s="36" t="str">
        <f t="shared" si="0"/>
        <v>T4 20mm기관포</v>
      </c>
      <c r="C29" s="36" t="s">
        <v>250</v>
      </c>
      <c r="D29" s="36" t="s">
        <v>169</v>
      </c>
      <c r="E29" s="36" t="s">
        <v>151</v>
      </c>
      <c r="F29" s="25">
        <f>VLOOKUP(C29, Factor!$AD$5:$AE$15, 2, 0)</f>
        <v>4000</v>
      </c>
      <c r="G29" s="26" t="str">
        <f>VLOOKUP(E29, Factor!$CL$5:$CV$50, 2, 0)</f>
        <v>single</v>
      </c>
      <c r="H29" s="25" t="str">
        <f>VLOOKUP(E29, Factor!$CL$5:$CV$50, 3, 0)</f>
        <v>ammo</v>
      </c>
      <c r="I29" s="25" t="str">
        <f>VLOOKUP(E29, Factor!$CL$5:$CV$50, 4, 0)</f>
        <v>L</v>
      </c>
      <c r="J29" s="25" t="str">
        <f>VLOOKUP(E29, Factor!$CL$5:$CV$50, 5, 0)</f>
        <v>spread</v>
      </c>
      <c r="K29" s="25">
        <v>1</v>
      </c>
      <c r="L29" s="25">
        <f>VLOOKUP(E29, Factor!$CL$5:$CV$50, 6, 0)*K29*VLOOKUP(D29, Factor!$BZ$5:$CJ$49, 9, 0)</f>
        <v>0</v>
      </c>
      <c r="M29" s="25" t="str">
        <f>VLOOKUP(E29, Factor!$CL$5:$CV$50, 7, 0)</f>
        <v>null</v>
      </c>
      <c r="N29" s="25">
        <v>1</v>
      </c>
      <c r="O29" s="25">
        <f>VLOOKUP(E29, Factor!$CL$5:$CV$50, 8, 0)*N29*VLOOKUP(D29, Factor!$BZ$5:$CJ$49, 10, 0)</f>
        <v>0</v>
      </c>
      <c r="P29" s="25">
        <v>1</v>
      </c>
      <c r="Q29" s="25">
        <f>VLOOKUP(E29, Factor!$CL$5:$CV$50, 9, 0)*P29*VLOOKUP(D29, Factor!$BZ$5:$CJ$49, 11, 0)</f>
        <v>5</v>
      </c>
      <c r="R29" s="25" t="str">
        <f>VLOOKUP(E29, Factor!$CL$5:$CV$50, 10, 0)</f>
        <v>null</v>
      </c>
      <c r="S29" s="25" t="str">
        <f>VLOOKUP(E29, Factor!$CL$5:$CV$50, 11, 0)</f>
        <v>null</v>
      </c>
      <c r="T29" s="25">
        <v>1</v>
      </c>
      <c r="U29" s="25">
        <v>1</v>
      </c>
      <c r="V29" s="25">
        <v>1</v>
      </c>
      <c r="W29" s="25">
        <v>1</v>
      </c>
      <c r="X29" s="25">
        <v>1</v>
      </c>
      <c r="Y29" s="25">
        <v>1</v>
      </c>
      <c r="Z29" s="25">
        <v>1</v>
      </c>
      <c r="AA29" s="25" cm="1">
        <f t="array" ref="AA29">_xlfn.LET(_xlpm.기본_색인번호, 2,
_xlpm.추가_색인번호, 3,
_xlpm.개별보정치, T29,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29" s="25" cm="1">
        <f t="array" ref="AB29">_xlfn.LET(_xlpm.기본_색인번호, 3,
_xlpm.추가_색인번호, 4,
_xlpm.개별보정치, U29,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29" s="25" cm="1">
        <f t="array" ref="AC29">_xlfn.LET(_xlpm.기본_색인번호, 4,
_xlpm.추가_색인번호, 5,
_xlpm.개별보정치, V29,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29" s="25" cm="1">
        <f t="array" ref="AD29">_xlfn.LET(_xlpm.기본_색인번호, 5,
_xlpm.추가_색인번호, 6,
_xlpm.개별보정치, W29,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E29" s="25" cm="1">
        <f t="array" ref="AE29">_xlfn.LET(_xlpm.기본_색인번호, 6,
_xlpm.추가_색인번호, 7,
_xlpm.개별보정치, X29,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F29" s="25" cm="1">
        <f t="array" ref="AF29">_xlfn.LET(_xlpm.기본_색인번호, 7,
_xlpm.추가_색인번호, 8,
_xlpm.개별보정치, Y29,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29" s="27" cm="1">
        <f t="array" ref="AG29">_xlfn.LET(_xlpm.기본_색인번호, 8,
_xlpm.추가_색인번호, 9,
_xlpm.개별보정치, Z29,
_xlpm.패턴보정치, VLOOKUP($G29, Factor!$B$5:$I$51, _xlpm.기본_색인번호, 0),
_xlpm.소모탄환보정치, VLOOKUP($H29, Factor!$T$5:$AA$51, _xlpm.기본_색인번호, 0),
_xlpm.지형보정치, VLOOKUP($I29, Factor!$K$12:$R$13, _xlpm.기본_색인번호, 0),
_xlpm.공격속성보정치, VLOOKUP($J29, Factor!$K$5:$R$7, _xlpm.기본_색인번호, 0),
_xlpm.피해범위보정치, INDEX(Factor!$AN$5:$AV$51, _xlfn.XMATCH(IF(OR($G29="blast", $G29="curved",  $G29= "debuff"), $L29, 0), Factor!$AN$5:$AN$51, -1), _xlpm.추가_색인번호)-IF(AND(OR($G29="blast", $G29="curved", $G29= "debuff"), MOD($L29,1)&lt;&gt;0),INDEX(Factor!$AN$5:$AV$51, _xlfn.XMATCH(IF(OR($G29="blast", $G29="curved", $G29= "debuff"), $L29, 0), Factor!$AN$5:$AN$51, -1), 2)*MOD($L29,1)*10,0),
_xlpm.상태이상보정치, VLOOKUP(IF($G29 = "debuff", $M29, "null"), Factor!$AX$5:$BE$51, _xlpm.기본_색인번호, 0),
_xlpm.지속시간보정치, INDEX(Factor!$BG$5:$BO$51, _xlfn.XMATCH(IF(OR($G29 ="debuff", $G29 = "shot", $G29 = "pierce"), $O29, 0), Factor!$BG$5:$BG$51, -1), _xlpm.추가_색인번호)-IF(AND(OR($G29 ="debuff", $G29 = "shot", $G29 = "pierce"), MOD($O29, 1)&lt;&gt;0), 10*MOD($O29, 1)*INDEX(Factor!$BG$5:$BO$51, _xlfn.XMATCH(IF(OR($G29 ="debuff", $G29 = "shot", $G29 = "pierce"), $O29, 0), Factor!$BG$5:$BG$51, -1), 2), 0),
_xlpm.탄환개수보정치, VLOOKUP(IF(OR($G29 = "curved", $G29 = "shot"), $Q29, 1), Factor!$BQ$5:$BX$51, _xlpm.기본_색인번호, 0),
_xlpm.상태이상탄환생성위치보정치, IF($G29 = "debuff", VLOOKUP($R29, Factor!$K$18:$R$19, _xlpm.기본_색인번호, 0),1),
_xlpm.상태이상탄환형태보정치, IF($G29 = "debuff", VLOOKUP($S29, Factor!$K$24:$R$25, _xlpm.기본_색인번호, 0),1),
_xlpm.가격보정치, INDEX(Factor!$AE$5:$AL$51, _xlfn.XMATCH($F29,Factor!$AE$5:$AE$51, -1), _xlpm.기본_색인번호),
_xlpm.구경보정치, VLOOKUP($D29,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H29"/>
      <c r="AI29"/>
      <c r="AJ29"/>
      <c r="AK29"/>
      <c r="AL29"/>
      <c r="AM29"/>
      <c r="AN29"/>
    </row>
    <row r="30" spans="1:40" ht="15.75" customHeight="1">
      <c r="A30" s="28" t="str">
        <f>"weapon_"&amp;G30&amp;"_"&amp;VLOOKUP(H30, Factor!$T$5:$AB$7, 9, 0)&amp;"_"&amp;IF(COUNTIFS($G$4:G29, G30, $H$4:H29, H30)+1&gt;=100, COUNTIFS($G$4:G29, G30, $H$4:H29, H30)+1,IF(COUNTIFS($G$4:G29, G30, $H$4:H29, H30)+1&gt;=10, "0"&amp;COUNTIFS($G$4:G29, G30, $H$4:H29, H30)+1, "00"&amp;COUNTIFS($G$4:G29, G30, $H$4:H29, H30)+1))</f>
        <v>weapon_single_Am_026</v>
      </c>
      <c r="B30" s="37" t="str">
        <f t="shared" si="0"/>
        <v>T5 기관포</v>
      </c>
      <c r="C30" s="37" t="s">
        <v>251</v>
      </c>
      <c r="D30" s="37" t="s">
        <v>176</v>
      </c>
      <c r="E30" s="37" t="s">
        <v>151</v>
      </c>
      <c r="F30" s="29">
        <f>VLOOKUP(C30, Factor!$AD$5:$AE$15, 2, 0)</f>
        <v>5000</v>
      </c>
      <c r="G30" s="29" t="str">
        <f>VLOOKUP(E30, Factor!$CL$5:$CV$50, 2, 0)</f>
        <v>single</v>
      </c>
      <c r="H30" s="29" t="str">
        <f>VLOOKUP(E30, Factor!$CL$5:$CV$50, 3, 0)</f>
        <v>ammo</v>
      </c>
      <c r="I30" s="29" t="str">
        <f>VLOOKUP(E30, Factor!$CL$5:$CV$50, 4, 0)</f>
        <v>L</v>
      </c>
      <c r="J30" s="29" t="str">
        <f>VLOOKUP(E30, Factor!$CL$5:$CV$50, 5, 0)</f>
        <v>spread</v>
      </c>
      <c r="K30" s="29">
        <v>1</v>
      </c>
      <c r="L30" s="29">
        <f>VLOOKUP(E30, Factor!$CL$5:$CV$50, 6, 0)*K30*VLOOKUP(D30, Factor!$BZ$5:$CJ$49, 9, 0)</f>
        <v>0</v>
      </c>
      <c r="M30" s="29" t="str">
        <f>VLOOKUP(E30, Factor!$CL$5:$CV$50, 7, 0)</f>
        <v>null</v>
      </c>
      <c r="N30" s="29">
        <v>1</v>
      </c>
      <c r="O30" s="29">
        <f>VLOOKUP(E30, Factor!$CL$5:$CV$50, 8, 0)*N30*VLOOKUP(D30, Factor!$BZ$5:$CJ$49, 10, 0)</f>
        <v>0</v>
      </c>
      <c r="P30" s="29">
        <v>1</v>
      </c>
      <c r="Q30" s="29">
        <f>VLOOKUP(E30, Factor!$CL$5:$CV$50, 9, 0)*P30*VLOOKUP(D30, Factor!$BZ$5:$CJ$49, 11, 0)</f>
        <v>1</v>
      </c>
      <c r="R30" s="29" t="str">
        <f>VLOOKUP(E30, Factor!$CL$5:$CV$50, 10, 0)</f>
        <v>null</v>
      </c>
      <c r="S30" s="29" t="str">
        <f>VLOOKUP(E30, Factor!$CL$5:$CV$50, 11, 0)</f>
        <v>null</v>
      </c>
      <c r="T30" s="29">
        <v>1</v>
      </c>
      <c r="U30" s="29">
        <v>1</v>
      </c>
      <c r="V30" s="29">
        <v>1</v>
      </c>
      <c r="W30" s="29">
        <v>1</v>
      </c>
      <c r="X30" s="29">
        <v>1</v>
      </c>
      <c r="Y30" s="29">
        <v>1</v>
      </c>
      <c r="Z30" s="29">
        <v>1</v>
      </c>
      <c r="AA30" s="29" cm="1">
        <f t="array" ref="AA30">_xlfn.LET(_xlpm.기본_색인번호, 2,
_xlpm.추가_색인번호, 3,
_xlpm.개별보정치, T30,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30" s="29" cm="1">
        <f t="array" ref="AB30">_xlfn.LET(_xlpm.기본_색인번호, 3,
_xlpm.추가_색인번호, 4,
_xlpm.개별보정치, U30,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30" s="29" cm="1">
        <f t="array" ref="AC30">_xlfn.LET(_xlpm.기본_색인번호, 4,
_xlpm.추가_색인번호, 5,
_xlpm.개별보정치, V30,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0" s="29" cm="1">
        <f t="array" ref="AD30">_xlfn.LET(_xlpm.기본_색인번호, 5,
_xlpm.추가_색인번호, 6,
_xlpm.개별보정치, W30,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30" s="29" cm="1">
        <f t="array" ref="AE30">_xlfn.LET(_xlpm.기본_색인번호, 6,
_xlpm.추가_색인번호, 7,
_xlpm.개별보정치, X30,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30" s="29" cm="1">
        <f t="array" ref="AF30">_xlfn.LET(_xlpm.기본_색인번호, 7,
_xlpm.추가_색인번호, 8,
_xlpm.개별보정치, Y30,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0" s="30" cm="1">
        <f t="array" ref="AG30">_xlfn.LET(_xlpm.기본_색인번호, 8,
_xlpm.추가_색인번호, 9,
_xlpm.개별보정치, Z30,
_xlpm.패턴보정치, VLOOKUP($G30, Factor!$B$5:$I$51, _xlpm.기본_색인번호, 0),
_xlpm.소모탄환보정치, VLOOKUP($H30, Factor!$T$5:$AA$51, _xlpm.기본_색인번호, 0),
_xlpm.지형보정치, VLOOKUP($I30, Factor!$K$12:$R$13, _xlpm.기본_색인번호, 0),
_xlpm.공격속성보정치, VLOOKUP($J30, Factor!$K$5:$R$7, _xlpm.기본_색인번호, 0),
_xlpm.피해범위보정치, INDEX(Factor!$AN$5:$AV$51, _xlfn.XMATCH(IF(OR($G30="blast", $G30="curved",  $G30= "debuff"), $L30, 0), Factor!$AN$5:$AN$51, -1), _xlpm.추가_색인번호)-IF(AND(OR($G30="blast", $G30="curved", $G30= "debuff"), MOD($L30,1)&lt;&gt;0),INDEX(Factor!$AN$5:$AV$51, _xlfn.XMATCH(IF(OR($G30="blast", $G30="curved", $G30= "debuff"), $L30, 0), Factor!$AN$5:$AN$51, -1), 2)*MOD($L30,1)*10,0),
_xlpm.상태이상보정치, VLOOKUP(IF($G30 = "debuff", $M30, "null"), Factor!$AX$5:$BE$51, _xlpm.기본_색인번호, 0),
_xlpm.지속시간보정치, INDEX(Factor!$BG$5:$BO$51, _xlfn.XMATCH(IF(OR($G30 ="debuff", $G30 = "shot", $G30 = "pierce"), $O30, 0), Factor!$BG$5:$BG$51, -1), _xlpm.추가_색인번호)-IF(AND(OR($G30 ="debuff", $G30 = "shot", $G30 = "pierce"), MOD($O30, 1)&lt;&gt;0), 10*MOD($O30, 1)*INDEX(Factor!$BG$5:$BO$51, _xlfn.XMATCH(IF(OR($G30 ="debuff", $G30 = "shot", $G30 = "pierce"), $O30, 0), Factor!$BG$5:$BG$51, -1), 2), 0),
_xlpm.탄환개수보정치, VLOOKUP(IF(OR($G30 = "curved", $G30 = "shot"), $Q30, 1), Factor!$BQ$5:$BX$51, _xlpm.기본_색인번호, 0),
_xlpm.상태이상탄환생성위치보정치, IF($G30 = "debuff", VLOOKUP($R30, Factor!$K$18:$R$19, _xlpm.기본_색인번호, 0),1),
_xlpm.상태이상탄환형태보정치, IF($G30 = "debuff", VLOOKUP($S30, Factor!$K$24:$R$25, _xlpm.기본_색인번호, 0),1),
_xlpm.가격보정치, INDEX(Factor!$AE$5:$AL$51, _xlfn.XMATCH($F30,Factor!$AE$5:$AE$51, -1), _xlpm.기본_색인번호),
_xlpm.구경보정치, VLOOKUP($D30,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H30"/>
      <c r="AI30"/>
      <c r="AJ30"/>
      <c r="AK30"/>
      <c r="AL30"/>
      <c r="AM30"/>
      <c r="AN30"/>
    </row>
    <row r="31" spans="1:40" ht="15.75" customHeight="1">
      <c r="A31" s="24" t="str">
        <f>"weapon_"&amp;G31&amp;"_"&amp;VLOOKUP(H31, Factor!$T$5:$AB$7, 9, 0)&amp;"_"&amp;IF(COUNTIFS($G$4:G30, G31, $H$4:H30, H31)+1&gt;=100, COUNTIFS($G$4:G30, G31, $H$4:H30, H31)+1,IF(COUNTIFS($G$4:G30, G31, $H$4:H30, H31)+1&gt;=10, "0"&amp;COUNTIFS($G$4:G30, G31, $H$4:H30, H31)+1, "00"&amp;COUNTIFS($G$4:G30, G31, $H$4:H30, H31)+1))</f>
        <v>weapon_single_Am_027</v>
      </c>
      <c r="B31" s="36" t="str">
        <f t="shared" si="0"/>
        <v>T5 5.56mm기관포</v>
      </c>
      <c r="C31" s="36" t="s">
        <v>252</v>
      </c>
      <c r="D31" s="36" t="s">
        <v>166</v>
      </c>
      <c r="E31" s="36" t="s">
        <v>151</v>
      </c>
      <c r="F31" s="25">
        <f>VLOOKUP(C31, Factor!$AD$5:$AE$15, 2, 0)</f>
        <v>5000</v>
      </c>
      <c r="G31" s="26" t="str">
        <f>VLOOKUP(E31, Factor!$CL$5:$CV$50, 2, 0)</f>
        <v>single</v>
      </c>
      <c r="H31" s="25" t="str">
        <f>VLOOKUP(E31, Factor!$CL$5:$CV$50, 3, 0)</f>
        <v>ammo</v>
      </c>
      <c r="I31" s="25" t="str">
        <f>VLOOKUP(E31, Factor!$CL$5:$CV$50, 4, 0)</f>
        <v>L</v>
      </c>
      <c r="J31" s="25" t="str">
        <f>VLOOKUP(E31, Factor!$CL$5:$CV$50, 5, 0)</f>
        <v>spread</v>
      </c>
      <c r="K31" s="25">
        <v>1</v>
      </c>
      <c r="L31" s="25">
        <f>VLOOKUP(E31, Factor!$CL$5:$CV$50, 6, 0)*K31*VLOOKUP(D31, Factor!$BZ$5:$CJ$49, 9, 0)</f>
        <v>0</v>
      </c>
      <c r="M31" s="25" t="str">
        <f>VLOOKUP(E31, Factor!$CL$5:$CV$50, 7, 0)</f>
        <v>null</v>
      </c>
      <c r="N31" s="25">
        <v>1</v>
      </c>
      <c r="O31" s="25">
        <f>VLOOKUP(E31, Factor!$CL$5:$CV$50, 8, 0)*N31*VLOOKUP(D31, Factor!$BZ$5:$CJ$49, 10, 0)</f>
        <v>0</v>
      </c>
      <c r="P31" s="25">
        <v>1</v>
      </c>
      <c r="Q31" s="25">
        <f>VLOOKUP(E31, Factor!$CL$5:$CV$50, 9, 0)*P31*VLOOKUP(D31, Factor!$BZ$5:$CJ$49, 11, 0)</f>
        <v>2</v>
      </c>
      <c r="R31" s="25" t="str">
        <f>VLOOKUP(E31, Factor!$CL$5:$CV$50, 10, 0)</f>
        <v>null</v>
      </c>
      <c r="S31" s="25" t="str">
        <f>VLOOKUP(E31, Factor!$CL$5:$CV$50, 11, 0)</f>
        <v>null</v>
      </c>
      <c r="T31" s="25">
        <v>1</v>
      </c>
      <c r="U31" s="25">
        <v>1</v>
      </c>
      <c r="V31" s="25">
        <v>1</v>
      </c>
      <c r="W31" s="25">
        <v>1</v>
      </c>
      <c r="X31" s="25">
        <v>1</v>
      </c>
      <c r="Y31" s="25">
        <v>1</v>
      </c>
      <c r="Z31" s="25">
        <v>1</v>
      </c>
      <c r="AA31" s="25" cm="1">
        <f t="array" ref="AA31">_xlfn.LET(_xlpm.기본_색인번호, 2,
_xlpm.추가_색인번호, 3,
_xlpm.개별보정치, T31,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31" s="25" cm="1">
        <f t="array" ref="AB31">_xlfn.LET(_xlpm.기본_색인번호, 3,
_xlpm.추가_색인번호, 4,
_xlpm.개별보정치, U31,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31" s="25" cm="1">
        <f t="array" ref="AC31">_xlfn.LET(_xlpm.기본_색인번호, 4,
_xlpm.추가_색인번호, 5,
_xlpm.개별보정치, V31,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1" s="25" cm="1">
        <f t="array" ref="AD31">_xlfn.LET(_xlpm.기본_색인번호, 5,
_xlpm.추가_색인번호, 6,
_xlpm.개별보정치, W31,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31" s="25" cm="1">
        <f t="array" ref="AE31">_xlfn.LET(_xlpm.기본_색인번호, 6,
_xlpm.추가_색인번호, 7,
_xlpm.개별보정치, X31,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31" s="25" cm="1">
        <f t="array" ref="AF31">_xlfn.LET(_xlpm.기본_색인번호, 7,
_xlpm.추가_색인번호, 8,
_xlpm.개별보정치, Y31,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1" s="27" cm="1">
        <f t="array" ref="AG31">_xlfn.LET(_xlpm.기본_색인번호, 8,
_xlpm.추가_색인번호, 9,
_xlpm.개별보정치, Z31,
_xlpm.패턴보정치, VLOOKUP($G31, Factor!$B$5:$I$51, _xlpm.기본_색인번호, 0),
_xlpm.소모탄환보정치, VLOOKUP($H31, Factor!$T$5:$AA$51, _xlpm.기본_색인번호, 0),
_xlpm.지형보정치, VLOOKUP($I31, Factor!$K$12:$R$13, _xlpm.기본_색인번호, 0),
_xlpm.공격속성보정치, VLOOKUP($J31, Factor!$K$5:$R$7, _xlpm.기본_색인번호, 0),
_xlpm.피해범위보정치, INDEX(Factor!$AN$5:$AV$51, _xlfn.XMATCH(IF(OR($G31="blast", $G31="curved",  $G31= "debuff"), $L31, 0), Factor!$AN$5:$AN$51, -1), _xlpm.추가_색인번호)-IF(AND(OR($G31="blast", $G31="curved", $G31= "debuff"), MOD($L31,1)&lt;&gt;0),INDEX(Factor!$AN$5:$AV$51, _xlfn.XMATCH(IF(OR($G31="blast", $G31="curved", $G31= "debuff"), $L31, 0), Factor!$AN$5:$AN$51, -1), 2)*MOD($L31,1)*10,0),
_xlpm.상태이상보정치, VLOOKUP(IF($G31 = "debuff", $M31, "null"), Factor!$AX$5:$BE$51, _xlpm.기본_색인번호, 0),
_xlpm.지속시간보정치, INDEX(Factor!$BG$5:$BO$51, _xlfn.XMATCH(IF(OR($G31 ="debuff", $G31 = "shot", $G31 = "pierce"), $O31, 0), Factor!$BG$5:$BG$51, -1), _xlpm.추가_색인번호)-IF(AND(OR($G31 ="debuff", $G31 = "shot", $G31 = "pierce"), MOD($O31, 1)&lt;&gt;0), 10*MOD($O31, 1)*INDEX(Factor!$BG$5:$BO$51, _xlfn.XMATCH(IF(OR($G31 ="debuff", $G31 = "shot", $G31 = "pierce"), $O31, 0), Factor!$BG$5:$BG$51, -1), 2), 0),
_xlpm.탄환개수보정치, VLOOKUP(IF(OR($G31 = "curved", $G31 = "shot"), $Q31, 1), Factor!$BQ$5:$BX$51, _xlpm.기본_색인번호, 0),
_xlpm.상태이상탄환생성위치보정치, IF($G31 = "debuff", VLOOKUP($R31, Factor!$K$18:$R$19, _xlpm.기본_색인번호, 0),1),
_xlpm.상태이상탄환형태보정치, IF($G31 = "debuff", VLOOKUP($S31, Factor!$K$24:$R$25, _xlpm.기본_색인번호, 0),1),
_xlpm.가격보정치, INDEX(Factor!$AE$5:$AL$51, _xlfn.XMATCH($F31,Factor!$AE$5:$AE$51, -1), _xlpm.기본_색인번호),
_xlpm.구경보정치, VLOOKUP($D31,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H31"/>
      <c r="AI31"/>
      <c r="AJ31"/>
      <c r="AK31"/>
      <c r="AL31"/>
      <c r="AM31"/>
      <c r="AN31"/>
    </row>
    <row r="32" spans="1:40" ht="15.75" customHeight="1">
      <c r="A32" s="28" t="str">
        <f>"weapon_"&amp;G32&amp;"_"&amp;VLOOKUP(H32, Factor!$T$5:$AB$7, 9, 0)&amp;"_"&amp;IF(COUNTIFS($G$4:G31, G32, $H$4:H31, H32)+1&gt;=100, COUNTIFS($G$4:G31, G32, $H$4:H31, H32)+1,IF(COUNTIFS($G$4:G31, G32, $H$4:H31, H32)+1&gt;=10, "0"&amp;COUNTIFS($G$4:G31, G32, $H$4:H31, H32)+1, "00"&amp;COUNTIFS($G$4:G31, G32, $H$4:H31, H32)+1))</f>
        <v>weapon_single_Am_028</v>
      </c>
      <c r="B32" s="37" t="str">
        <f t="shared" si="0"/>
        <v>T5 7.62mm기관포</v>
      </c>
      <c r="C32" s="37" t="s">
        <v>251</v>
      </c>
      <c r="D32" s="37" t="s">
        <v>242</v>
      </c>
      <c r="E32" s="37" t="s">
        <v>151</v>
      </c>
      <c r="F32" s="29">
        <f>VLOOKUP(C32, Factor!$AD$5:$AE$15, 2, 0)</f>
        <v>5000</v>
      </c>
      <c r="G32" s="29" t="str">
        <f>VLOOKUP(E32, Factor!$CL$5:$CV$50, 2, 0)</f>
        <v>single</v>
      </c>
      <c r="H32" s="29" t="str">
        <f>VLOOKUP(E32, Factor!$CL$5:$CV$50, 3, 0)</f>
        <v>ammo</v>
      </c>
      <c r="I32" s="29" t="str">
        <f>VLOOKUP(E32, Factor!$CL$5:$CV$50, 4, 0)</f>
        <v>L</v>
      </c>
      <c r="J32" s="29" t="str">
        <f>VLOOKUP(E32, Factor!$CL$5:$CV$50, 5, 0)</f>
        <v>spread</v>
      </c>
      <c r="K32" s="29">
        <v>1</v>
      </c>
      <c r="L32" s="29">
        <f>VLOOKUP(E32, Factor!$CL$5:$CV$50, 6, 0)*K32*VLOOKUP(D32, Factor!$BZ$5:$CJ$49, 9, 0)</f>
        <v>0</v>
      </c>
      <c r="M32" s="29" t="str">
        <f>VLOOKUP(E32, Factor!$CL$5:$CV$50, 7, 0)</f>
        <v>null</v>
      </c>
      <c r="N32" s="29">
        <v>1</v>
      </c>
      <c r="O32" s="29">
        <f>VLOOKUP(E32, Factor!$CL$5:$CV$50, 8, 0)*N32*VLOOKUP(D32, Factor!$BZ$5:$CJ$49, 10, 0)</f>
        <v>0</v>
      </c>
      <c r="P32" s="29">
        <v>1</v>
      </c>
      <c r="Q32" s="29">
        <f>VLOOKUP(E32, Factor!$CL$5:$CV$50, 9, 0)*P32*VLOOKUP(D32, Factor!$BZ$5:$CJ$49, 11, 0)</f>
        <v>3</v>
      </c>
      <c r="R32" s="29" t="str">
        <f>VLOOKUP(E32, Factor!$CL$5:$CV$50, 10, 0)</f>
        <v>null</v>
      </c>
      <c r="S32" s="29" t="str">
        <f>VLOOKUP(E32, Factor!$CL$5:$CV$50, 11, 0)</f>
        <v>null</v>
      </c>
      <c r="T32" s="29">
        <v>1</v>
      </c>
      <c r="U32" s="29">
        <v>1</v>
      </c>
      <c r="V32" s="29">
        <v>1</v>
      </c>
      <c r="W32" s="29">
        <v>1</v>
      </c>
      <c r="X32" s="29">
        <v>1</v>
      </c>
      <c r="Y32" s="29">
        <v>1</v>
      </c>
      <c r="Z32" s="29">
        <v>1</v>
      </c>
      <c r="AA32" s="29" cm="1">
        <f t="array" ref="AA32">_xlfn.LET(_xlpm.기본_색인번호, 2,
_xlpm.추가_색인번호, 3,
_xlpm.개별보정치, T32,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32" s="29" cm="1">
        <f t="array" ref="AB32">_xlfn.LET(_xlpm.기본_색인번호, 3,
_xlpm.추가_색인번호, 4,
_xlpm.개별보정치, U32,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32" s="29" cm="1">
        <f t="array" ref="AC32">_xlfn.LET(_xlpm.기본_색인번호, 4,
_xlpm.추가_색인번호, 5,
_xlpm.개별보정치, V32,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2" s="29" cm="1">
        <f t="array" ref="AD32">_xlfn.LET(_xlpm.기본_색인번호, 5,
_xlpm.추가_색인번호, 6,
_xlpm.개별보정치, W32,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32" s="29" cm="1">
        <f t="array" ref="AE32">_xlfn.LET(_xlpm.기본_색인번호, 6,
_xlpm.추가_색인번호, 7,
_xlpm.개별보정치, X32,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32" s="29" cm="1">
        <f t="array" ref="AF32">_xlfn.LET(_xlpm.기본_색인번호, 7,
_xlpm.추가_색인번호, 8,
_xlpm.개별보정치, Y32,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2" s="30" cm="1">
        <f t="array" ref="AG32">_xlfn.LET(_xlpm.기본_색인번호, 8,
_xlpm.추가_색인번호, 9,
_xlpm.개별보정치, Z32,
_xlpm.패턴보정치, VLOOKUP($G32, Factor!$B$5:$I$51, _xlpm.기본_색인번호, 0),
_xlpm.소모탄환보정치, VLOOKUP($H32, Factor!$T$5:$AA$51, _xlpm.기본_색인번호, 0),
_xlpm.지형보정치, VLOOKUP($I32, Factor!$K$12:$R$13, _xlpm.기본_색인번호, 0),
_xlpm.공격속성보정치, VLOOKUP($J32, Factor!$K$5:$R$7, _xlpm.기본_색인번호, 0),
_xlpm.피해범위보정치, INDEX(Factor!$AN$5:$AV$51, _xlfn.XMATCH(IF(OR($G32="blast", $G32="curved",  $G32= "debuff"), $L32, 0), Factor!$AN$5:$AN$51, -1), _xlpm.추가_색인번호)-IF(AND(OR($G32="blast", $G32="curved", $G32= "debuff"), MOD($L32,1)&lt;&gt;0),INDEX(Factor!$AN$5:$AV$51, _xlfn.XMATCH(IF(OR($G32="blast", $G32="curved", $G32= "debuff"), $L32, 0), Factor!$AN$5:$AN$51, -1), 2)*MOD($L32,1)*10,0),
_xlpm.상태이상보정치, VLOOKUP(IF($G32 = "debuff", $M32, "null"), Factor!$AX$5:$BE$51, _xlpm.기본_색인번호, 0),
_xlpm.지속시간보정치, INDEX(Factor!$BG$5:$BO$51, _xlfn.XMATCH(IF(OR($G32 ="debuff", $G32 = "shot", $G32 = "pierce"), $O32, 0), Factor!$BG$5:$BG$51, -1), _xlpm.추가_색인번호)-IF(AND(OR($G32 ="debuff", $G32 = "shot", $G32 = "pierce"), MOD($O32, 1)&lt;&gt;0), 10*MOD($O32, 1)*INDEX(Factor!$BG$5:$BO$51, _xlfn.XMATCH(IF(OR($G32 ="debuff", $G32 = "shot", $G32 = "pierce"), $O32, 0), Factor!$BG$5:$BG$51, -1), 2), 0),
_xlpm.탄환개수보정치, VLOOKUP(IF(OR($G32 = "curved", $G32 = "shot"), $Q32, 1), Factor!$BQ$5:$BX$51, _xlpm.기본_색인번호, 0),
_xlpm.상태이상탄환생성위치보정치, IF($G32 = "debuff", VLOOKUP($R32, Factor!$K$18:$R$19, _xlpm.기본_색인번호, 0),1),
_xlpm.상태이상탄환형태보정치, IF($G32 = "debuff", VLOOKUP($S32, Factor!$K$24:$R$25, _xlpm.기본_색인번호, 0),1),
_xlpm.가격보정치, INDEX(Factor!$AE$5:$AL$51, _xlfn.XMATCH($F32,Factor!$AE$5:$AE$51, -1), _xlpm.기본_색인번호),
_xlpm.구경보정치, VLOOKUP($D32,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H32"/>
      <c r="AI32"/>
      <c r="AJ32"/>
      <c r="AK32"/>
      <c r="AL32"/>
      <c r="AM32"/>
      <c r="AN32"/>
    </row>
    <row r="33" spans="1:40" ht="15.75" customHeight="1">
      <c r="A33" s="24" t="str">
        <f>"weapon_"&amp;G33&amp;"_"&amp;VLOOKUP(H33, Factor!$T$5:$AB$7, 9, 0)&amp;"_"&amp;IF(COUNTIFS($G$4:G32, G33, $H$4:H32, H33)+1&gt;=100, COUNTIFS($G$4:G32, G33, $H$4:H32, H33)+1,IF(COUNTIFS($G$4:G32, G33, $H$4:H32, H33)+1&gt;=10, "0"&amp;COUNTIFS($G$4:G32, G33, $H$4:H32, H33)+1, "00"&amp;COUNTIFS($G$4:G32, G33, $H$4:H32, H33)+1))</f>
        <v>weapon_single_Am_029</v>
      </c>
      <c r="B33" s="36" t="str">
        <f t="shared" si="0"/>
        <v>T5 12.7mm기관포</v>
      </c>
      <c r="C33" s="36" t="s">
        <v>251</v>
      </c>
      <c r="D33" s="36" t="s">
        <v>243</v>
      </c>
      <c r="E33" s="36" t="s">
        <v>151</v>
      </c>
      <c r="F33" s="25">
        <f>VLOOKUP(C33, Factor!$AD$5:$AE$15, 2, 0)</f>
        <v>5000</v>
      </c>
      <c r="G33" s="26" t="str">
        <f>VLOOKUP(E33, Factor!$CL$5:$CV$50, 2, 0)</f>
        <v>single</v>
      </c>
      <c r="H33" s="25" t="str">
        <f>VLOOKUP(E33, Factor!$CL$5:$CV$50, 3, 0)</f>
        <v>ammo</v>
      </c>
      <c r="I33" s="25" t="str">
        <f>VLOOKUP(E33, Factor!$CL$5:$CV$50, 4, 0)</f>
        <v>L</v>
      </c>
      <c r="J33" s="25" t="str">
        <f>VLOOKUP(E33, Factor!$CL$5:$CV$50, 5, 0)</f>
        <v>spread</v>
      </c>
      <c r="K33" s="25">
        <v>1</v>
      </c>
      <c r="L33" s="25">
        <f>VLOOKUP(E33, Factor!$CL$5:$CV$50, 6, 0)*K33*VLOOKUP(D33, Factor!$BZ$5:$CJ$49, 9, 0)</f>
        <v>0</v>
      </c>
      <c r="M33" s="25" t="str">
        <f>VLOOKUP(E33, Factor!$CL$5:$CV$50, 7, 0)</f>
        <v>null</v>
      </c>
      <c r="N33" s="25">
        <v>1</v>
      </c>
      <c r="O33" s="25">
        <f>VLOOKUP(E33, Factor!$CL$5:$CV$50, 8, 0)*N33*VLOOKUP(D33, Factor!$BZ$5:$CJ$49, 10, 0)</f>
        <v>0</v>
      </c>
      <c r="P33" s="25">
        <v>1</v>
      </c>
      <c r="Q33" s="25">
        <f>VLOOKUP(E33, Factor!$CL$5:$CV$50, 9, 0)*P33*VLOOKUP(D33, Factor!$BZ$5:$CJ$49, 11, 0)</f>
        <v>4</v>
      </c>
      <c r="R33" s="25" t="str">
        <f>VLOOKUP(E33, Factor!$CL$5:$CV$50, 10, 0)</f>
        <v>null</v>
      </c>
      <c r="S33" s="25" t="str">
        <f>VLOOKUP(E33, Factor!$CL$5:$CV$50, 11, 0)</f>
        <v>null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 cm="1">
        <f t="array" ref="AA33">_xlfn.LET(_xlpm.기본_색인번호, 2,
_xlpm.추가_색인번호, 3,
_xlpm.개별보정치, T33,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33" s="25" cm="1">
        <f t="array" ref="AB33">_xlfn.LET(_xlpm.기본_색인번호, 3,
_xlpm.추가_색인번호, 4,
_xlpm.개별보정치, U33,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33" s="25" cm="1">
        <f t="array" ref="AC33">_xlfn.LET(_xlpm.기본_색인번호, 4,
_xlpm.추가_색인번호, 5,
_xlpm.개별보정치, V33,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3" s="25" cm="1">
        <f t="array" ref="AD33">_xlfn.LET(_xlpm.기본_색인번호, 5,
_xlpm.추가_색인번호, 6,
_xlpm.개별보정치, W33,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33" s="25" cm="1">
        <f t="array" ref="AE33">_xlfn.LET(_xlpm.기본_색인번호, 6,
_xlpm.추가_색인번호, 7,
_xlpm.개별보정치, X33,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33" s="25" cm="1">
        <f t="array" ref="AF33">_xlfn.LET(_xlpm.기본_색인번호, 7,
_xlpm.추가_색인번호, 8,
_xlpm.개별보정치, Y33,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3" s="27" cm="1">
        <f t="array" ref="AG33">_xlfn.LET(_xlpm.기본_색인번호, 8,
_xlpm.추가_색인번호, 9,
_xlpm.개별보정치, Z33,
_xlpm.패턴보정치, VLOOKUP($G33, Factor!$B$5:$I$51, _xlpm.기본_색인번호, 0),
_xlpm.소모탄환보정치, VLOOKUP($H33, Factor!$T$5:$AA$51, _xlpm.기본_색인번호, 0),
_xlpm.지형보정치, VLOOKUP($I33, Factor!$K$12:$R$13, _xlpm.기본_색인번호, 0),
_xlpm.공격속성보정치, VLOOKUP($J33, Factor!$K$5:$R$7, _xlpm.기본_색인번호, 0),
_xlpm.피해범위보정치, INDEX(Factor!$AN$5:$AV$51, _xlfn.XMATCH(IF(OR($G33="blast", $G33="curved",  $G33= "debuff"), $L33, 0), Factor!$AN$5:$AN$51, -1), _xlpm.추가_색인번호)-IF(AND(OR($G33="blast", $G33="curved", $G33= "debuff"), MOD($L33,1)&lt;&gt;0),INDEX(Factor!$AN$5:$AV$51, _xlfn.XMATCH(IF(OR($G33="blast", $G33="curved", $G33= "debuff"), $L33, 0), Factor!$AN$5:$AN$51, -1), 2)*MOD($L33,1)*10,0),
_xlpm.상태이상보정치, VLOOKUP(IF($G33 = "debuff", $M33, "null"), Factor!$AX$5:$BE$51, _xlpm.기본_색인번호, 0),
_xlpm.지속시간보정치, INDEX(Factor!$BG$5:$BO$51, _xlfn.XMATCH(IF(OR($G33 ="debuff", $G33 = "shot", $G33 = "pierce"), $O33, 0), Factor!$BG$5:$BG$51, -1), _xlpm.추가_색인번호)-IF(AND(OR($G33 ="debuff", $G33 = "shot", $G33 = "pierce"), MOD($O33, 1)&lt;&gt;0), 10*MOD($O33, 1)*INDEX(Factor!$BG$5:$BO$51, _xlfn.XMATCH(IF(OR($G33 ="debuff", $G33 = "shot", $G33 = "pierce"), $O33, 0), Factor!$BG$5:$BG$51, -1), 2), 0),
_xlpm.탄환개수보정치, VLOOKUP(IF(OR($G33 = "curved", $G33 = "shot"), $Q33, 1), Factor!$BQ$5:$BX$51, _xlpm.기본_색인번호, 0),
_xlpm.상태이상탄환생성위치보정치, IF($G33 = "debuff", VLOOKUP($R33, Factor!$K$18:$R$19, _xlpm.기본_색인번호, 0),1),
_xlpm.상태이상탄환형태보정치, IF($G33 = "debuff", VLOOKUP($S33, Factor!$K$24:$R$25, _xlpm.기본_색인번호, 0),1),
_xlpm.가격보정치, INDEX(Factor!$AE$5:$AL$51, _xlfn.XMATCH($F33,Factor!$AE$5:$AE$51, -1), _xlpm.기본_색인번호),
_xlpm.구경보정치, VLOOKUP($D33,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H33"/>
      <c r="AI33"/>
      <c r="AJ33"/>
      <c r="AK33"/>
      <c r="AL33"/>
      <c r="AM33"/>
      <c r="AN33"/>
    </row>
    <row r="34" spans="1:40" ht="15.75" customHeight="1">
      <c r="A34" s="28" t="str">
        <f>"weapon_"&amp;G34&amp;"_"&amp;VLOOKUP(H34, Factor!$T$5:$AB$7, 9, 0)&amp;"_"&amp;IF(COUNTIFS($G$4:G33, G34, $H$4:H33, H34)+1&gt;=100, COUNTIFS($G$4:G33, G34, $H$4:H33, H34)+1,IF(COUNTIFS($G$4:G33, G34, $H$4:H33, H34)+1&gt;=10, "0"&amp;COUNTIFS($G$4:G33, G34, $H$4:H33, H34)+1, "00"&amp;COUNTIFS($G$4:G33, G34, $H$4:H33, H34)+1))</f>
        <v>weapon_single_Am_030</v>
      </c>
      <c r="B34" s="37" t="str">
        <f t="shared" si="0"/>
        <v>T5 20mm기관포</v>
      </c>
      <c r="C34" s="37" t="s">
        <v>251</v>
      </c>
      <c r="D34" s="37" t="s">
        <v>244</v>
      </c>
      <c r="E34" s="37" t="s">
        <v>151</v>
      </c>
      <c r="F34" s="29">
        <f>VLOOKUP(C34, Factor!$AD$5:$AE$15, 2, 0)</f>
        <v>5000</v>
      </c>
      <c r="G34" s="29" t="str">
        <f>VLOOKUP(E34, Factor!$CL$5:$CV$50, 2, 0)</f>
        <v>single</v>
      </c>
      <c r="H34" s="29" t="str">
        <f>VLOOKUP(E34, Factor!$CL$5:$CV$50, 3, 0)</f>
        <v>ammo</v>
      </c>
      <c r="I34" s="29" t="str">
        <f>VLOOKUP(E34, Factor!$CL$5:$CV$50, 4, 0)</f>
        <v>L</v>
      </c>
      <c r="J34" s="29" t="str">
        <f>VLOOKUP(E34, Factor!$CL$5:$CV$50, 5, 0)</f>
        <v>spread</v>
      </c>
      <c r="K34" s="29">
        <v>1</v>
      </c>
      <c r="L34" s="29">
        <f>VLOOKUP(E34, Factor!$CL$5:$CV$50, 6, 0)*K34*VLOOKUP(D34, Factor!$BZ$5:$CJ$49, 9, 0)</f>
        <v>0</v>
      </c>
      <c r="M34" s="29" t="str">
        <f>VLOOKUP(E34, Factor!$CL$5:$CV$50, 7, 0)</f>
        <v>null</v>
      </c>
      <c r="N34" s="29">
        <v>1</v>
      </c>
      <c r="O34" s="29">
        <f>VLOOKUP(E34, Factor!$CL$5:$CV$50, 8, 0)*N34*VLOOKUP(D34, Factor!$BZ$5:$CJ$49, 10, 0)</f>
        <v>0</v>
      </c>
      <c r="P34" s="29">
        <v>1</v>
      </c>
      <c r="Q34" s="29">
        <f>VLOOKUP(E34, Factor!$CL$5:$CV$50, 9, 0)*P34*VLOOKUP(D34, Factor!$BZ$5:$CJ$49, 11, 0)</f>
        <v>5</v>
      </c>
      <c r="R34" s="29" t="str">
        <f>VLOOKUP(E34, Factor!$CL$5:$CV$50, 10, 0)</f>
        <v>null</v>
      </c>
      <c r="S34" s="29" t="str">
        <f>VLOOKUP(E34, Factor!$CL$5:$CV$50, 11, 0)</f>
        <v>null</v>
      </c>
      <c r="T34" s="29">
        <v>1</v>
      </c>
      <c r="U34" s="29">
        <v>1</v>
      </c>
      <c r="V34" s="29">
        <v>1</v>
      </c>
      <c r="W34" s="29">
        <v>1</v>
      </c>
      <c r="X34" s="29">
        <v>1</v>
      </c>
      <c r="Y34" s="29">
        <v>1</v>
      </c>
      <c r="Z34" s="29">
        <v>1</v>
      </c>
      <c r="AA34" s="29" cm="1">
        <f t="array" ref="AA34">_xlfn.LET(_xlpm.기본_색인번호, 2,
_xlpm.추가_색인번호, 3,
_xlpm.개별보정치, T34,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34" s="29" cm="1">
        <f t="array" ref="AB34">_xlfn.LET(_xlpm.기본_색인번호, 3,
_xlpm.추가_색인번호, 4,
_xlpm.개별보정치, U34,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</v>
      </c>
      <c r="AC34" s="29" cm="1">
        <f t="array" ref="AC34">_xlfn.LET(_xlpm.기본_색인번호, 4,
_xlpm.추가_색인번호, 5,
_xlpm.개별보정치, V34,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4" s="29" cm="1">
        <f t="array" ref="AD34">_xlfn.LET(_xlpm.기본_색인번호, 5,
_xlpm.추가_색인번호, 6,
_xlpm.개별보정치, W34,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34" s="29" cm="1">
        <f t="array" ref="AE34">_xlfn.LET(_xlpm.기본_색인번호, 6,
_xlpm.추가_색인번호, 7,
_xlpm.개별보정치, X34,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34" s="29" cm="1">
        <f t="array" ref="AF34">_xlfn.LET(_xlpm.기본_색인번호, 7,
_xlpm.추가_색인번호, 8,
_xlpm.개별보정치, Y34,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4" s="30" cm="1">
        <f t="array" ref="AG34">_xlfn.LET(_xlpm.기본_색인번호, 8,
_xlpm.추가_색인번호, 9,
_xlpm.개별보정치, Z34,
_xlpm.패턴보정치, VLOOKUP($G34, Factor!$B$5:$I$51, _xlpm.기본_색인번호, 0),
_xlpm.소모탄환보정치, VLOOKUP($H34, Factor!$T$5:$AA$51, _xlpm.기본_색인번호, 0),
_xlpm.지형보정치, VLOOKUP($I34, Factor!$K$12:$R$13, _xlpm.기본_색인번호, 0),
_xlpm.공격속성보정치, VLOOKUP($J34, Factor!$K$5:$R$7, _xlpm.기본_색인번호, 0),
_xlpm.피해범위보정치, INDEX(Factor!$AN$5:$AV$51, _xlfn.XMATCH(IF(OR($G34="blast", $G34="curved",  $G34= "debuff"), $L34, 0), Factor!$AN$5:$AN$51, -1), _xlpm.추가_색인번호)-IF(AND(OR($G34="blast", $G34="curved", $G34= "debuff"), MOD($L34,1)&lt;&gt;0),INDEX(Factor!$AN$5:$AV$51, _xlfn.XMATCH(IF(OR($G34="blast", $G34="curved", $G34= "debuff"), $L34, 0), Factor!$AN$5:$AN$51, -1), 2)*MOD($L34,1)*10,0),
_xlpm.상태이상보정치, VLOOKUP(IF($G34 = "debuff", $M34, "null"), Factor!$AX$5:$BE$51, _xlpm.기본_색인번호, 0),
_xlpm.지속시간보정치, INDEX(Factor!$BG$5:$BO$51, _xlfn.XMATCH(IF(OR($G34 ="debuff", $G34 = "shot", $G34 = "pierce"), $O34, 0), Factor!$BG$5:$BG$51, -1), _xlpm.추가_색인번호)-IF(AND(OR($G34 ="debuff", $G34 = "shot", $G34 = "pierce"), MOD($O34, 1)&lt;&gt;0), 10*MOD($O34, 1)*INDEX(Factor!$BG$5:$BO$51, _xlfn.XMATCH(IF(OR($G34 ="debuff", $G34 = "shot", $G34 = "pierce"), $O34, 0), Factor!$BG$5:$BG$51, -1), 2), 0),
_xlpm.탄환개수보정치, VLOOKUP(IF(OR($G34 = "curved", $G34 = "shot"), $Q34, 1), Factor!$BQ$5:$BX$51, _xlpm.기본_색인번호, 0),
_xlpm.상태이상탄환생성위치보정치, IF($G34 = "debuff", VLOOKUP($R34, Factor!$K$18:$R$19, _xlpm.기본_색인번호, 0),1),
_xlpm.상태이상탄환형태보정치, IF($G34 = "debuff", VLOOKUP($S34, Factor!$K$24:$R$25, _xlpm.기본_색인번호, 0),1),
_xlpm.가격보정치, INDEX(Factor!$AE$5:$AL$51, _xlfn.XMATCH($F34,Factor!$AE$5:$AE$51, -1), _xlpm.기본_색인번호),
_xlpm.구경보정치, VLOOKUP($D34,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H34"/>
      <c r="AI34"/>
      <c r="AJ34"/>
      <c r="AK34"/>
      <c r="AL34"/>
      <c r="AM34"/>
      <c r="AN34"/>
    </row>
    <row r="35" spans="1:40" ht="15.75" customHeight="1">
      <c r="A35" s="24" t="str">
        <f>"weapon_"&amp;G35&amp;"_"&amp;VLOOKUP(H35, Factor!$T$5:$AB$7, 9, 0)&amp;"_"&amp;IF(COUNTIFS($G$4:G34, G35, $H$4:H34, H35)+1&gt;=100, COUNTIFS($G$4:G34, G35, $H$4:H34, H35)+1,IF(COUNTIFS($G$4:G34, G35, $H$4:H34, H35)+1&gt;=10, "0"&amp;COUNTIFS($G$4:G34, G35, $H$4:H34, H35)+1, "00"&amp;COUNTIFS($G$4:G34, G35, $H$4:H34, H35)+1))</f>
        <v>weapon_single_Am_031</v>
      </c>
      <c r="B35" s="36" t="str">
        <f t="shared" si="0"/>
        <v>T6 기관포</v>
      </c>
      <c r="C35" s="36" t="s">
        <v>253</v>
      </c>
      <c r="D35" s="36" t="s">
        <v>176</v>
      </c>
      <c r="E35" s="36" t="s">
        <v>151</v>
      </c>
      <c r="F35" s="25">
        <f>VLOOKUP(C35, Factor!$AD$5:$AE$15, 2, 0)</f>
        <v>6000</v>
      </c>
      <c r="G35" s="26" t="str">
        <f>VLOOKUP(E35, Factor!$CL$5:$CV$50, 2, 0)</f>
        <v>single</v>
      </c>
      <c r="H35" s="25" t="str">
        <f>VLOOKUP(E35, Factor!$CL$5:$CV$50, 3, 0)</f>
        <v>ammo</v>
      </c>
      <c r="I35" s="25" t="str">
        <f>VLOOKUP(E35, Factor!$CL$5:$CV$50, 4, 0)</f>
        <v>L</v>
      </c>
      <c r="J35" s="25" t="str">
        <f>VLOOKUP(E35, Factor!$CL$5:$CV$50, 5, 0)</f>
        <v>spread</v>
      </c>
      <c r="K35" s="25">
        <v>1</v>
      </c>
      <c r="L35" s="25">
        <f>VLOOKUP(E35, Factor!$CL$5:$CV$50, 6, 0)*K35*VLOOKUP(D35, Factor!$BZ$5:$CJ$49, 9, 0)</f>
        <v>0</v>
      </c>
      <c r="M35" s="25" t="str">
        <f>VLOOKUP(E35, Factor!$CL$5:$CV$50, 7, 0)</f>
        <v>null</v>
      </c>
      <c r="N35" s="25">
        <v>1</v>
      </c>
      <c r="O35" s="25">
        <f>VLOOKUP(E35, Factor!$CL$5:$CV$50, 8, 0)*N35*VLOOKUP(D35, Factor!$BZ$5:$CJ$49, 10, 0)</f>
        <v>0</v>
      </c>
      <c r="P35" s="25">
        <v>1</v>
      </c>
      <c r="Q35" s="25">
        <f>VLOOKUP(E35, Factor!$CL$5:$CV$50, 9, 0)*P35*VLOOKUP(D35, Factor!$BZ$5:$CJ$49, 11, 0)</f>
        <v>1</v>
      </c>
      <c r="R35" s="25" t="str">
        <f>VLOOKUP(E35, Factor!$CL$5:$CV$50, 10, 0)</f>
        <v>null</v>
      </c>
      <c r="S35" s="25" t="str">
        <f>VLOOKUP(E35, Factor!$CL$5:$CV$50, 11, 0)</f>
        <v>null</v>
      </c>
      <c r="T35" s="25">
        <v>1</v>
      </c>
      <c r="U35" s="25">
        <v>1</v>
      </c>
      <c r="V35" s="25">
        <v>1</v>
      </c>
      <c r="W35" s="25">
        <v>1</v>
      </c>
      <c r="X35" s="25">
        <v>1</v>
      </c>
      <c r="Y35" s="25">
        <v>1</v>
      </c>
      <c r="Z35" s="25">
        <v>1</v>
      </c>
      <c r="AA35" s="25" cm="1">
        <f t="array" ref="AA35">_xlfn.LET(_xlpm.기본_색인번호, 2,
_xlpm.추가_색인번호, 3,
_xlpm.개별보정치, T35,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B35" s="25" cm="1">
        <f t="array" ref="AB35">_xlfn.LET(_xlpm.기본_색인번호, 3,
_xlpm.추가_색인번호, 4,
_xlpm.개별보정치, U35,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35" s="25" cm="1">
        <f t="array" ref="AC35">_xlfn.LET(_xlpm.기본_색인번호, 4,
_xlpm.추가_색인번호, 5,
_xlpm.개별보정치, V35,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5" s="25" cm="1">
        <f t="array" ref="AD35">_xlfn.LET(_xlpm.기본_색인번호, 5,
_xlpm.추가_색인번호, 6,
_xlpm.개별보정치, W35,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E35" s="25" cm="1">
        <f t="array" ref="AE35">_xlfn.LET(_xlpm.기본_색인번호, 6,
_xlpm.추가_색인번호, 7,
_xlpm.개별보정치, X35,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F35" s="25" cm="1">
        <f t="array" ref="AF35">_xlfn.LET(_xlpm.기본_색인번호, 7,
_xlpm.추가_색인번호, 8,
_xlpm.개별보정치, Y35,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5" s="27" cm="1">
        <f t="array" ref="AG35">_xlfn.LET(_xlpm.기본_색인번호, 8,
_xlpm.추가_색인번호, 9,
_xlpm.개별보정치, Z35,
_xlpm.패턴보정치, VLOOKUP($G35, Factor!$B$5:$I$51, _xlpm.기본_색인번호, 0),
_xlpm.소모탄환보정치, VLOOKUP($H35, Factor!$T$5:$AA$51, _xlpm.기본_색인번호, 0),
_xlpm.지형보정치, VLOOKUP($I35, Factor!$K$12:$R$13, _xlpm.기본_색인번호, 0),
_xlpm.공격속성보정치, VLOOKUP($J35, Factor!$K$5:$R$7, _xlpm.기본_색인번호, 0),
_xlpm.피해범위보정치, INDEX(Factor!$AN$5:$AV$51, _xlfn.XMATCH(IF(OR($G35="blast", $G35="curved",  $G35= "debuff"), $L35, 0), Factor!$AN$5:$AN$51, -1), _xlpm.추가_색인번호)-IF(AND(OR($G35="blast", $G35="curved", $G35= "debuff"), MOD($L35,1)&lt;&gt;0),INDEX(Factor!$AN$5:$AV$51, _xlfn.XMATCH(IF(OR($G35="blast", $G35="curved", $G35= "debuff"), $L35, 0), Factor!$AN$5:$AN$51, -1), 2)*MOD($L35,1)*10,0),
_xlpm.상태이상보정치, VLOOKUP(IF($G35 = "debuff", $M35, "null"), Factor!$AX$5:$BE$51, _xlpm.기본_색인번호, 0),
_xlpm.지속시간보정치, INDEX(Factor!$BG$5:$BO$51, _xlfn.XMATCH(IF(OR($G35 ="debuff", $G35 = "shot", $G35 = "pierce"), $O35, 0), Factor!$BG$5:$BG$51, -1), _xlpm.추가_색인번호)-IF(AND(OR($G35 ="debuff", $G35 = "shot", $G35 = "pierce"), MOD($O35, 1)&lt;&gt;0), 10*MOD($O35, 1)*INDEX(Factor!$BG$5:$BO$51, _xlfn.XMATCH(IF(OR($G35 ="debuff", $G35 = "shot", $G35 = "pierce"), $O35, 0), Factor!$BG$5:$BG$51, -1), 2), 0),
_xlpm.탄환개수보정치, VLOOKUP(IF(OR($G35 = "curved", $G35 = "shot"), $Q35, 1), Factor!$BQ$5:$BX$51, _xlpm.기본_색인번호, 0),
_xlpm.상태이상탄환생성위치보정치, IF($G35 = "debuff", VLOOKUP($R35, Factor!$K$18:$R$19, _xlpm.기본_색인번호, 0),1),
_xlpm.상태이상탄환형태보정치, IF($G35 = "debuff", VLOOKUP($S35, Factor!$K$24:$R$25, _xlpm.기본_색인번호, 0),1),
_xlpm.가격보정치, INDEX(Factor!$AE$5:$AL$51, _xlfn.XMATCH($F35,Factor!$AE$5:$AE$51, -1), _xlpm.기본_색인번호),
_xlpm.구경보정치, VLOOKUP($D35,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H35"/>
      <c r="AI35"/>
      <c r="AJ35"/>
      <c r="AK35"/>
      <c r="AL35"/>
      <c r="AM35"/>
      <c r="AN35"/>
    </row>
    <row r="36" spans="1:40" ht="15.75" customHeight="1">
      <c r="A36" s="28" t="str">
        <f>"weapon_"&amp;G36&amp;"_"&amp;VLOOKUP(H36, Factor!$T$5:$AB$7, 9, 0)&amp;"_"&amp;IF(COUNTIFS($G$4:G35, G36, $H$4:H35, H36)+1&gt;=100, COUNTIFS($G$4:G35, G36, $H$4:H35, H36)+1,IF(COUNTIFS($G$4:G35, G36, $H$4:H35, H36)+1&gt;=10, "0"&amp;COUNTIFS($G$4:G35, G36, $H$4:H35, H36)+1, "00"&amp;COUNTIFS($G$4:G35, G36, $H$4:H35, H36)+1))</f>
        <v>weapon_single_Am_032</v>
      </c>
      <c r="B36" s="37" t="str">
        <f t="shared" si="0"/>
        <v>T6 5.56mm기관포</v>
      </c>
      <c r="C36" s="37" t="s">
        <v>253</v>
      </c>
      <c r="D36" s="37" t="s">
        <v>241</v>
      </c>
      <c r="E36" s="37" t="s">
        <v>151</v>
      </c>
      <c r="F36" s="29">
        <f>VLOOKUP(C36, Factor!$AD$5:$AE$15, 2, 0)</f>
        <v>6000</v>
      </c>
      <c r="G36" s="29" t="str">
        <f>VLOOKUP(E36, Factor!$CL$5:$CV$50, 2, 0)</f>
        <v>single</v>
      </c>
      <c r="H36" s="29" t="str">
        <f>VLOOKUP(E36, Factor!$CL$5:$CV$50, 3, 0)</f>
        <v>ammo</v>
      </c>
      <c r="I36" s="29" t="str">
        <f>VLOOKUP(E36, Factor!$CL$5:$CV$50, 4, 0)</f>
        <v>L</v>
      </c>
      <c r="J36" s="29" t="str">
        <f>VLOOKUP(E36, Factor!$CL$5:$CV$50, 5, 0)</f>
        <v>spread</v>
      </c>
      <c r="K36" s="29">
        <v>1</v>
      </c>
      <c r="L36" s="29">
        <f>VLOOKUP(E36, Factor!$CL$5:$CV$50, 6, 0)*K36*VLOOKUP(D36, Factor!$BZ$5:$CJ$49, 9, 0)</f>
        <v>0</v>
      </c>
      <c r="M36" s="29" t="str">
        <f>VLOOKUP(E36, Factor!$CL$5:$CV$50, 7, 0)</f>
        <v>null</v>
      </c>
      <c r="N36" s="29">
        <v>1</v>
      </c>
      <c r="O36" s="29">
        <f>VLOOKUP(E36, Factor!$CL$5:$CV$50, 8, 0)*N36*VLOOKUP(D36, Factor!$BZ$5:$CJ$49, 10, 0)</f>
        <v>0</v>
      </c>
      <c r="P36" s="29">
        <v>1</v>
      </c>
      <c r="Q36" s="29">
        <f>VLOOKUP(E36, Factor!$CL$5:$CV$50, 9, 0)*P36*VLOOKUP(D36, Factor!$BZ$5:$CJ$49, 11, 0)</f>
        <v>2</v>
      </c>
      <c r="R36" s="29" t="str">
        <f>VLOOKUP(E36, Factor!$CL$5:$CV$50, 10, 0)</f>
        <v>null</v>
      </c>
      <c r="S36" s="29" t="str">
        <f>VLOOKUP(E36, Factor!$CL$5:$CV$50, 11, 0)</f>
        <v>null</v>
      </c>
      <c r="T36" s="29">
        <v>1</v>
      </c>
      <c r="U36" s="29">
        <v>1</v>
      </c>
      <c r="V36" s="29">
        <v>1</v>
      </c>
      <c r="W36" s="29">
        <v>1</v>
      </c>
      <c r="X36" s="29">
        <v>1</v>
      </c>
      <c r="Y36" s="29">
        <v>1</v>
      </c>
      <c r="Z36" s="29">
        <v>1</v>
      </c>
      <c r="AA36" s="29" cm="1">
        <f t="array" ref="AA36">_xlfn.LET(_xlpm.기본_색인번호, 2,
_xlpm.추가_색인번호, 3,
_xlpm.개별보정치, T36,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B36" s="29" cm="1">
        <f t="array" ref="AB36">_xlfn.LET(_xlpm.기본_색인번호, 3,
_xlpm.추가_색인번호, 4,
_xlpm.개별보정치, U36,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36" s="29" cm="1">
        <f t="array" ref="AC36">_xlfn.LET(_xlpm.기본_색인번호, 4,
_xlpm.추가_색인번호, 5,
_xlpm.개별보정치, V36,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6" s="29" cm="1">
        <f t="array" ref="AD36">_xlfn.LET(_xlpm.기본_색인번호, 5,
_xlpm.추가_색인번호, 6,
_xlpm.개별보정치, W36,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E36" s="29" cm="1">
        <f t="array" ref="AE36">_xlfn.LET(_xlpm.기본_색인번호, 6,
_xlpm.추가_색인번호, 7,
_xlpm.개별보정치, X36,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F36" s="29" cm="1">
        <f t="array" ref="AF36">_xlfn.LET(_xlpm.기본_색인번호, 7,
_xlpm.추가_색인번호, 8,
_xlpm.개별보정치, Y36,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6" s="30" cm="1">
        <f t="array" ref="AG36">_xlfn.LET(_xlpm.기본_색인번호, 8,
_xlpm.추가_색인번호, 9,
_xlpm.개별보정치, Z36,
_xlpm.패턴보정치, VLOOKUP($G36, Factor!$B$5:$I$51, _xlpm.기본_색인번호, 0),
_xlpm.소모탄환보정치, VLOOKUP($H36, Factor!$T$5:$AA$51, _xlpm.기본_색인번호, 0),
_xlpm.지형보정치, VLOOKUP($I36, Factor!$K$12:$R$13, _xlpm.기본_색인번호, 0),
_xlpm.공격속성보정치, VLOOKUP($J36, Factor!$K$5:$R$7, _xlpm.기본_색인번호, 0),
_xlpm.피해범위보정치, INDEX(Factor!$AN$5:$AV$51, _xlfn.XMATCH(IF(OR($G36="blast", $G36="curved",  $G36= "debuff"), $L36, 0), Factor!$AN$5:$AN$51, -1), _xlpm.추가_색인번호)-IF(AND(OR($G36="blast", $G36="curved", $G36= "debuff"), MOD($L36,1)&lt;&gt;0),INDEX(Factor!$AN$5:$AV$51, _xlfn.XMATCH(IF(OR($G36="blast", $G36="curved", $G36= "debuff"), $L36, 0), Factor!$AN$5:$AN$51, -1), 2)*MOD($L36,1)*10,0),
_xlpm.상태이상보정치, VLOOKUP(IF($G36 = "debuff", $M36, "null"), Factor!$AX$5:$BE$51, _xlpm.기본_색인번호, 0),
_xlpm.지속시간보정치, INDEX(Factor!$BG$5:$BO$51, _xlfn.XMATCH(IF(OR($G36 ="debuff", $G36 = "shot", $G36 = "pierce"), $O36, 0), Factor!$BG$5:$BG$51, -1), _xlpm.추가_색인번호)-IF(AND(OR($G36 ="debuff", $G36 = "shot", $G36 = "pierce"), MOD($O36, 1)&lt;&gt;0), 10*MOD($O36, 1)*INDEX(Factor!$BG$5:$BO$51, _xlfn.XMATCH(IF(OR($G36 ="debuff", $G36 = "shot", $G36 = "pierce"), $O36, 0), Factor!$BG$5:$BG$51, -1), 2), 0),
_xlpm.탄환개수보정치, VLOOKUP(IF(OR($G36 = "curved", $G36 = "shot"), $Q36, 1), Factor!$BQ$5:$BX$51, _xlpm.기본_색인번호, 0),
_xlpm.상태이상탄환생성위치보정치, IF($G36 = "debuff", VLOOKUP($R36, Factor!$K$18:$R$19, _xlpm.기본_색인번호, 0),1),
_xlpm.상태이상탄환형태보정치, IF($G36 = "debuff", VLOOKUP($S36, Factor!$K$24:$R$25, _xlpm.기본_색인번호, 0),1),
_xlpm.가격보정치, INDEX(Factor!$AE$5:$AL$51, _xlfn.XMATCH($F36,Factor!$AE$5:$AE$51, -1), _xlpm.기본_색인번호),
_xlpm.구경보정치, VLOOKUP($D36,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H36"/>
      <c r="AI36"/>
      <c r="AJ36"/>
      <c r="AK36"/>
      <c r="AL36"/>
      <c r="AM36"/>
      <c r="AN36"/>
    </row>
    <row r="37" spans="1:40" ht="15.75" customHeight="1">
      <c r="A37" s="24" t="str">
        <f>"weapon_"&amp;G37&amp;"_"&amp;VLOOKUP(H37, Factor!$T$5:$AB$7, 9, 0)&amp;"_"&amp;IF(COUNTIFS($G$4:G36, G37, $H$4:H36, H37)+1&gt;=100, COUNTIFS($G$4:G36, G37, $H$4:H36, H37)+1,IF(COUNTIFS($G$4:G36, G37, $H$4:H36, H37)+1&gt;=10, "0"&amp;COUNTIFS($G$4:G36, G37, $H$4:H36, H37)+1, "00"&amp;COUNTIFS($G$4:G36, G37, $H$4:H36, H37)+1))</f>
        <v>weapon_single_Am_033</v>
      </c>
      <c r="B37" s="36" t="str">
        <f t="shared" si="0"/>
        <v>T6 7.62mm기관포</v>
      </c>
      <c r="C37" s="36" t="s">
        <v>253</v>
      </c>
      <c r="D37" s="36" t="s">
        <v>242</v>
      </c>
      <c r="E37" s="36" t="s">
        <v>151</v>
      </c>
      <c r="F37" s="25">
        <f>VLOOKUP(C37, Factor!$AD$5:$AE$15, 2, 0)</f>
        <v>6000</v>
      </c>
      <c r="G37" s="26" t="str">
        <f>VLOOKUP(E37, Factor!$CL$5:$CV$50, 2, 0)</f>
        <v>single</v>
      </c>
      <c r="H37" s="25" t="str">
        <f>VLOOKUP(E37, Factor!$CL$5:$CV$50, 3, 0)</f>
        <v>ammo</v>
      </c>
      <c r="I37" s="25" t="str">
        <f>VLOOKUP(E37, Factor!$CL$5:$CV$50, 4, 0)</f>
        <v>L</v>
      </c>
      <c r="J37" s="25" t="str">
        <f>VLOOKUP(E37, Factor!$CL$5:$CV$50, 5, 0)</f>
        <v>spread</v>
      </c>
      <c r="K37" s="25">
        <v>1</v>
      </c>
      <c r="L37" s="25">
        <f>VLOOKUP(E37, Factor!$CL$5:$CV$50, 6, 0)*K37*VLOOKUP(D37, Factor!$BZ$5:$CJ$49, 9, 0)</f>
        <v>0</v>
      </c>
      <c r="M37" s="25" t="str">
        <f>VLOOKUP(E37, Factor!$CL$5:$CV$50, 7, 0)</f>
        <v>null</v>
      </c>
      <c r="N37" s="25">
        <v>1</v>
      </c>
      <c r="O37" s="25">
        <f>VLOOKUP(E37, Factor!$CL$5:$CV$50, 8, 0)*N37*VLOOKUP(D37, Factor!$BZ$5:$CJ$49, 10, 0)</f>
        <v>0</v>
      </c>
      <c r="P37" s="25">
        <v>1</v>
      </c>
      <c r="Q37" s="25">
        <f>VLOOKUP(E37, Factor!$CL$5:$CV$50, 9, 0)*P37*VLOOKUP(D37, Factor!$BZ$5:$CJ$49, 11, 0)</f>
        <v>3</v>
      </c>
      <c r="R37" s="25" t="str">
        <f>VLOOKUP(E37, Factor!$CL$5:$CV$50, 10, 0)</f>
        <v>null</v>
      </c>
      <c r="S37" s="25" t="str">
        <f>VLOOKUP(E37, Factor!$CL$5:$CV$50, 11, 0)</f>
        <v>null</v>
      </c>
      <c r="T37" s="25">
        <v>1</v>
      </c>
      <c r="U37" s="25">
        <v>1</v>
      </c>
      <c r="V37" s="25">
        <v>1</v>
      </c>
      <c r="W37" s="25">
        <v>1</v>
      </c>
      <c r="X37" s="25">
        <v>1</v>
      </c>
      <c r="Y37" s="25">
        <v>1</v>
      </c>
      <c r="Z37" s="25">
        <v>1</v>
      </c>
      <c r="AA37" s="25" cm="1">
        <f t="array" ref="AA37">_xlfn.LET(_xlpm.기본_색인번호, 2,
_xlpm.추가_색인번호, 3,
_xlpm.개별보정치, T37,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B37" s="25" cm="1">
        <f t="array" ref="AB37">_xlfn.LET(_xlpm.기본_색인번호, 3,
_xlpm.추가_색인번호, 4,
_xlpm.개별보정치, U37,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37" s="25" cm="1">
        <f t="array" ref="AC37">_xlfn.LET(_xlpm.기본_색인번호, 4,
_xlpm.추가_색인번호, 5,
_xlpm.개별보정치, V37,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7" s="25" cm="1">
        <f t="array" ref="AD37">_xlfn.LET(_xlpm.기본_색인번호, 5,
_xlpm.추가_색인번호, 6,
_xlpm.개별보정치, W37,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E37" s="25" cm="1">
        <f t="array" ref="AE37">_xlfn.LET(_xlpm.기본_색인번호, 6,
_xlpm.추가_색인번호, 7,
_xlpm.개별보정치, X37,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F37" s="25" cm="1">
        <f t="array" ref="AF37">_xlfn.LET(_xlpm.기본_색인번호, 7,
_xlpm.추가_색인번호, 8,
_xlpm.개별보정치, Y37,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7" s="27" cm="1">
        <f t="array" ref="AG37">_xlfn.LET(_xlpm.기본_색인번호, 8,
_xlpm.추가_색인번호, 9,
_xlpm.개별보정치, Z37,
_xlpm.패턴보정치, VLOOKUP($G37, Factor!$B$5:$I$51, _xlpm.기본_색인번호, 0),
_xlpm.소모탄환보정치, VLOOKUP($H37, Factor!$T$5:$AA$51, _xlpm.기본_색인번호, 0),
_xlpm.지형보정치, VLOOKUP($I37, Factor!$K$12:$R$13, _xlpm.기본_색인번호, 0),
_xlpm.공격속성보정치, VLOOKUP($J37, Factor!$K$5:$R$7, _xlpm.기본_색인번호, 0),
_xlpm.피해범위보정치, INDEX(Factor!$AN$5:$AV$51, _xlfn.XMATCH(IF(OR($G37="blast", $G37="curved",  $G37= "debuff"), $L37, 0), Factor!$AN$5:$AN$51, -1), _xlpm.추가_색인번호)-IF(AND(OR($G37="blast", $G37="curved", $G37= "debuff"), MOD($L37,1)&lt;&gt;0),INDEX(Factor!$AN$5:$AV$51, _xlfn.XMATCH(IF(OR($G37="blast", $G37="curved", $G37= "debuff"), $L37, 0), Factor!$AN$5:$AN$51, -1), 2)*MOD($L37,1)*10,0),
_xlpm.상태이상보정치, VLOOKUP(IF($G37 = "debuff", $M37, "null"), Factor!$AX$5:$BE$51, _xlpm.기본_색인번호, 0),
_xlpm.지속시간보정치, INDEX(Factor!$BG$5:$BO$51, _xlfn.XMATCH(IF(OR($G37 ="debuff", $G37 = "shot", $G37 = "pierce"), $O37, 0), Factor!$BG$5:$BG$51, -1), _xlpm.추가_색인번호)-IF(AND(OR($G37 ="debuff", $G37 = "shot", $G37 = "pierce"), MOD($O37, 1)&lt;&gt;0), 10*MOD($O37, 1)*INDEX(Factor!$BG$5:$BO$51, _xlfn.XMATCH(IF(OR($G37 ="debuff", $G37 = "shot", $G37 = "pierce"), $O37, 0), Factor!$BG$5:$BG$51, -1), 2), 0),
_xlpm.탄환개수보정치, VLOOKUP(IF(OR($G37 = "curved", $G37 = "shot"), $Q37, 1), Factor!$BQ$5:$BX$51, _xlpm.기본_색인번호, 0),
_xlpm.상태이상탄환생성위치보정치, IF($G37 = "debuff", VLOOKUP($R37, Factor!$K$18:$R$19, _xlpm.기본_색인번호, 0),1),
_xlpm.상태이상탄환형태보정치, IF($G37 = "debuff", VLOOKUP($S37, Factor!$K$24:$R$25, _xlpm.기본_색인번호, 0),1),
_xlpm.가격보정치, INDEX(Factor!$AE$5:$AL$51, _xlfn.XMATCH($F37,Factor!$AE$5:$AE$51, -1), _xlpm.기본_색인번호),
_xlpm.구경보정치, VLOOKUP($D37,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H37"/>
      <c r="AI37"/>
      <c r="AJ37"/>
      <c r="AK37"/>
      <c r="AL37"/>
      <c r="AM37"/>
      <c r="AN37"/>
    </row>
    <row r="38" spans="1:40" ht="15.75" customHeight="1">
      <c r="A38" s="28" t="str">
        <f>"weapon_"&amp;G38&amp;"_"&amp;VLOOKUP(H38, Factor!$T$5:$AB$7, 9, 0)&amp;"_"&amp;IF(COUNTIFS($G$4:G37, G38, $H$4:H37, H38)+1&gt;=100, COUNTIFS($G$4:G37, G38, $H$4:H37, H38)+1,IF(COUNTIFS($G$4:G37, G38, $H$4:H37, H38)+1&gt;=10, "0"&amp;COUNTIFS($G$4:G37, G38, $H$4:H37, H38)+1, "00"&amp;COUNTIFS($G$4:G37, G38, $H$4:H37, H38)+1))</f>
        <v>weapon_single_Am_034</v>
      </c>
      <c r="B38" s="37" t="str">
        <f t="shared" si="0"/>
        <v>T6 12.7mm기관포</v>
      </c>
      <c r="C38" s="37" t="s">
        <v>253</v>
      </c>
      <c r="D38" s="37" t="s">
        <v>243</v>
      </c>
      <c r="E38" s="37" t="s">
        <v>151</v>
      </c>
      <c r="F38" s="29">
        <f>VLOOKUP(C38, Factor!$AD$5:$AE$15, 2, 0)</f>
        <v>6000</v>
      </c>
      <c r="G38" s="29" t="str">
        <f>VLOOKUP(E38, Factor!$CL$5:$CV$50, 2, 0)</f>
        <v>single</v>
      </c>
      <c r="H38" s="29" t="str">
        <f>VLOOKUP(E38, Factor!$CL$5:$CV$50, 3, 0)</f>
        <v>ammo</v>
      </c>
      <c r="I38" s="29" t="str">
        <f>VLOOKUP(E38, Factor!$CL$5:$CV$50, 4, 0)</f>
        <v>L</v>
      </c>
      <c r="J38" s="29" t="str">
        <f>VLOOKUP(E38, Factor!$CL$5:$CV$50, 5, 0)</f>
        <v>spread</v>
      </c>
      <c r="K38" s="29">
        <v>1</v>
      </c>
      <c r="L38" s="29">
        <f>VLOOKUP(E38, Factor!$CL$5:$CV$50, 6, 0)*K38*VLOOKUP(D38, Factor!$BZ$5:$CJ$49, 9, 0)</f>
        <v>0</v>
      </c>
      <c r="M38" s="29" t="str">
        <f>VLOOKUP(E38, Factor!$CL$5:$CV$50, 7, 0)</f>
        <v>null</v>
      </c>
      <c r="N38" s="29">
        <v>1</v>
      </c>
      <c r="O38" s="29">
        <f>VLOOKUP(E38, Factor!$CL$5:$CV$50, 8, 0)*N38*VLOOKUP(D38, Factor!$BZ$5:$CJ$49, 10, 0)</f>
        <v>0</v>
      </c>
      <c r="P38" s="29">
        <v>1</v>
      </c>
      <c r="Q38" s="29">
        <f>VLOOKUP(E38, Factor!$CL$5:$CV$50, 9, 0)*P38*VLOOKUP(D38, Factor!$BZ$5:$CJ$49, 11, 0)</f>
        <v>4</v>
      </c>
      <c r="R38" s="29" t="str">
        <f>VLOOKUP(E38, Factor!$CL$5:$CV$50, 10, 0)</f>
        <v>null</v>
      </c>
      <c r="S38" s="29" t="str">
        <f>VLOOKUP(E38, Factor!$CL$5:$CV$50, 11, 0)</f>
        <v>null</v>
      </c>
      <c r="T38" s="29">
        <v>1</v>
      </c>
      <c r="U38" s="29">
        <v>1</v>
      </c>
      <c r="V38" s="29">
        <v>1</v>
      </c>
      <c r="W38" s="29">
        <v>1</v>
      </c>
      <c r="X38" s="29">
        <v>1</v>
      </c>
      <c r="Y38" s="29">
        <v>1</v>
      </c>
      <c r="Z38" s="29">
        <v>1</v>
      </c>
      <c r="AA38" s="29" cm="1">
        <f t="array" ref="AA38">_xlfn.LET(_xlpm.기본_색인번호, 2,
_xlpm.추가_색인번호, 3,
_xlpm.개별보정치, T38,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B38" s="29" cm="1">
        <f t="array" ref="AB38">_xlfn.LET(_xlpm.기본_색인번호, 3,
_xlpm.추가_색인번호, 4,
_xlpm.개별보정치, U38,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38" s="29" cm="1">
        <f t="array" ref="AC38">_xlfn.LET(_xlpm.기본_색인번호, 4,
_xlpm.추가_색인번호, 5,
_xlpm.개별보정치, V38,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8" s="29" cm="1">
        <f t="array" ref="AD38">_xlfn.LET(_xlpm.기본_색인번호, 5,
_xlpm.추가_색인번호, 6,
_xlpm.개별보정치, W38,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E38" s="29" cm="1">
        <f t="array" ref="AE38">_xlfn.LET(_xlpm.기본_색인번호, 6,
_xlpm.추가_색인번호, 7,
_xlpm.개별보정치, X38,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F38" s="29" cm="1">
        <f t="array" ref="AF38">_xlfn.LET(_xlpm.기본_색인번호, 7,
_xlpm.추가_색인번호, 8,
_xlpm.개별보정치, Y38,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8" s="30" cm="1">
        <f t="array" ref="AG38">_xlfn.LET(_xlpm.기본_색인번호, 8,
_xlpm.추가_색인번호, 9,
_xlpm.개별보정치, Z38,
_xlpm.패턴보정치, VLOOKUP($G38, Factor!$B$5:$I$51, _xlpm.기본_색인번호, 0),
_xlpm.소모탄환보정치, VLOOKUP($H38, Factor!$T$5:$AA$51, _xlpm.기본_색인번호, 0),
_xlpm.지형보정치, VLOOKUP($I38, Factor!$K$12:$R$13, _xlpm.기본_색인번호, 0),
_xlpm.공격속성보정치, VLOOKUP($J38, Factor!$K$5:$R$7, _xlpm.기본_색인번호, 0),
_xlpm.피해범위보정치, INDEX(Factor!$AN$5:$AV$51, _xlfn.XMATCH(IF(OR($G38="blast", $G38="curved",  $G38= "debuff"), $L38, 0), Factor!$AN$5:$AN$51, -1), _xlpm.추가_색인번호)-IF(AND(OR($G38="blast", $G38="curved", $G38= "debuff"), MOD($L38,1)&lt;&gt;0),INDEX(Factor!$AN$5:$AV$51, _xlfn.XMATCH(IF(OR($G38="blast", $G38="curved", $G38= "debuff"), $L38, 0), Factor!$AN$5:$AN$51, -1), 2)*MOD($L38,1)*10,0),
_xlpm.상태이상보정치, VLOOKUP(IF($G38 = "debuff", $M38, "null"), Factor!$AX$5:$BE$51, _xlpm.기본_색인번호, 0),
_xlpm.지속시간보정치, INDEX(Factor!$BG$5:$BO$51, _xlfn.XMATCH(IF(OR($G38 ="debuff", $G38 = "shot", $G38 = "pierce"), $O38, 0), Factor!$BG$5:$BG$51, -1), _xlpm.추가_색인번호)-IF(AND(OR($G38 ="debuff", $G38 = "shot", $G38 = "pierce"), MOD($O38, 1)&lt;&gt;0), 10*MOD($O38, 1)*INDEX(Factor!$BG$5:$BO$51, _xlfn.XMATCH(IF(OR($G38 ="debuff", $G38 = "shot", $G38 = "pierce"), $O38, 0), Factor!$BG$5:$BG$51, -1), 2), 0),
_xlpm.탄환개수보정치, VLOOKUP(IF(OR($G38 = "curved", $G38 = "shot"), $Q38, 1), Factor!$BQ$5:$BX$51, _xlpm.기본_색인번호, 0),
_xlpm.상태이상탄환생성위치보정치, IF($G38 = "debuff", VLOOKUP($R38, Factor!$K$18:$R$19, _xlpm.기본_색인번호, 0),1),
_xlpm.상태이상탄환형태보정치, IF($G38 = "debuff", VLOOKUP($S38, Factor!$K$24:$R$25, _xlpm.기본_색인번호, 0),1),
_xlpm.가격보정치, INDEX(Factor!$AE$5:$AL$51, _xlfn.XMATCH($F38,Factor!$AE$5:$AE$51, -1), _xlpm.기본_색인번호),
_xlpm.구경보정치, VLOOKUP($D38,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H38"/>
      <c r="AI38"/>
      <c r="AJ38"/>
      <c r="AK38"/>
      <c r="AL38"/>
      <c r="AM38"/>
      <c r="AN38"/>
    </row>
    <row r="39" spans="1:40" ht="15.75" customHeight="1">
      <c r="A39" s="24" t="str">
        <f>"weapon_"&amp;G39&amp;"_"&amp;VLOOKUP(H39, Factor!$T$5:$AB$7, 9, 0)&amp;"_"&amp;IF(COUNTIFS($G$4:G38, G39, $H$4:H38, H39)+1&gt;=100, COUNTIFS($G$4:G38, G39, $H$4:H38, H39)+1,IF(COUNTIFS($G$4:G38, G39, $H$4:H38, H39)+1&gt;=10, "0"&amp;COUNTIFS($G$4:G38, G39, $H$4:H38, H39)+1, "00"&amp;COUNTIFS($G$4:G38, G39, $H$4:H38, H39)+1))</f>
        <v>weapon_single_Am_035</v>
      </c>
      <c r="B39" s="36" t="str">
        <f t="shared" si="0"/>
        <v>T6 20mm기관포</v>
      </c>
      <c r="C39" s="36" t="s">
        <v>253</v>
      </c>
      <c r="D39" s="36" t="s">
        <v>244</v>
      </c>
      <c r="E39" s="36" t="s">
        <v>151</v>
      </c>
      <c r="F39" s="25">
        <f>VLOOKUP(C39, Factor!$AD$5:$AE$15, 2, 0)</f>
        <v>6000</v>
      </c>
      <c r="G39" s="26" t="str">
        <f>VLOOKUP(E39, Factor!$CL$5:$CV$50, 2, 0)</f>
        <v>single</v>
      </c>
      <c r="H39" s="25" t="str">
        <f>VLOOKUP(E39, Factor!$CL$5:$CV$50, 3, 0)</f>
        <v>ammo</v>
      </c>
      <c r="I39" s="25" t="str">
        <f>VLOOKUP(E39, Factor!$CL$5:$CV$50, 4, 0)</f>
        <v>L</v>
      </c>
      <c r="J39" s="25" t="str">
        <f>VLOOKUP(E39, Factor!$CL$5:$CV$50, 5, 0)</f>
        <v>spread</v>
      </c>
      <c r="K39" s="25">
        <v>1</v>
      </c>
      <c r="L39" s="25">
        <f>VLOOKUP(E39, Factor!$CL$5:$CV$50, 6, 0)*K39*VLOOKUP(D39, Factor!$BZ$5:$CJ$49, 9, 0)</f>
        <v>0</v>
      </c>
      <c r="M39" s="25" t="str">
        <f>VLOOKUP(E39, Factor!$CL$5:$CV$50, 7, 0)</f>
        <v>null</v>
      </c>
      <c r="N39" s="25">
        <v>1</v>
      </c>
      <c r="O39" s="25">
        <f>VLOOKUP(E39, Factor!$CL$5:$CV$50, 8, 0)*N39*VLOOKUP(D39, Factor!$BZ$5:$CJ$49, 10, 0)</f>
        <v>0</v>
      </c>
      <c r="P39" s="25">
        <v>1</v>
      </c>
      <c r="Q39" s="25">
        <f>VLOOKUP(E39, Factor!$CL$5:$CV$50, 9, 0)*P39*VLOOKUP(D39, Factor!$BZ$5:$CJ$49, 11, 0)</f>
        <v>5</v>
      </c>
      <c r="R39" s="25" t="str">
        <f>VLOOKUP(E39, Factor!$CL$5:$CV$50, 10, 0)</f>
        <v>null</v>
      </c>
      <c r="S39" s="25" t="str">
        <f>VLOOKUP(E39, Factor!$CL$5:$CV$50, 11, 0)</f>
        <v>null</v>
      </c>
      <c r="T39" s="25">
        <v>1</v>
      </c>
      <c r="U39" s="25">
        <v>1</v>
      </c>
      <c r="V39" s="25">
        <v>1</v>
      </c>
      <c r="W39" s="25">
        <v>1</v>
      </c>
      <c r="X39" s="25">
        <v>1</v>
      </c>
      <c r="Y39" s="25">
        <v>1</v>
      </c>
      <c r="Z39" s="25">
        <v>1</v>
      </c>
      <c r="AA39" s="25" cm="1">
        <f t="array" ref="AA39">_xlfn.LET(_xlpm.기본_색인번호, 2,
_xlpm.추가_색인번호, 3,
_xlpm.개별보정치, T39,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B39" s="25" cm="1">
        <f t="array" ref="AB39">_xlfn.LET(_xlpm.기본_색인번호, 3,
_xlpm.추가_색인번호, 4,
_xlpm.개별보정치, U39,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39" s="25" cm="1">
        <f t="array" ref="AC39">_xlfn.LET(_xlpm.기본_색인번호, 4,
_xlpm.추가_색인번호, 5,
_xlpm.개별보정치, V39,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39" s="25" cm="1">
        <f t="array" ref="AD39">_xlfn.LET(_xlpm.기본_색인번호, 5,
_xlpm.추가_색인번호, 6,
_xlpm.개별보정치, W39,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E39" s="25" cm="1">
        <f t="array" ref="AE39">_xlfn.LET(_xlpm.기본_색인번호, 6,
_xlpm.추가_색인번호, 7,
_xlpm.개별보정치, X39,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F39" s="25" cm="1">
        <f t="array" ref="AF39">_xlfn.LET(_xlpm.기본_색인번호, 7,
_xlpm.추가_색인번호, 8,
_xlpm.개별보정치, Y39,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39" s="27" cm="1">
        <f t="array" ref="AG39">_xlfn.LET(_xlpm.기본_색인번호, 8,
_xlpm.추가_색인번호, 9,
_xlpm.개별보정치, Z39,
_xlpm.패턴보정치, VLOOKUP($G39, Factor!$B$5:$I$51, _xlpm.기본_색인번호, 0),
_xlpm.소모탄환보정치, VLOOKUP($H39, Factor!$T$5:$AA$51, _xlpm.기본_색인번호, 0),
_xlpm.지형보정치, VLOOKUP($I39, Factor!$K$12:$R$13, _xlpm.기본_색인번호, 0),
_xlpm.공격속성보정치, VLOOKUP($J39, Factor!$K$5:$R$7, _xlpm.기본_색인번호, 0),
_xlpm.피해범위보정치, INDEX(Factor!$AN$5:$AV$51, _xlfn.XMATCH(IF(OR($G39="blast", $G39="curved",  $G39= "debuff"), $L39, 0), Factor!$AN$5:$AN$51, -1), _xlpm.추가_색인번호)-IF(AND(OR($G39="blast", $G39="curved", $G39= "debuff"), MOD($L39,1)&lt;&gt;0),INDEX(Factor!$AN$5:$AV$51, _xlfn.XMATCH(IF(OR($G39="blast", $G39="curved", $G39= "debuff"), $L39, 0), Factor!$AN$5:$AN$51, -1), 2)*MOD($L39,1)*10,0),
_xlpm.상태이상보정치, VLOOKUP(IF($G39 = "debuff", $M39, "null"), Factor!$AX$5:$BE$51, _xlpm.기본_색인번호, 0),
_xlpm.지속시간보정치, INDEX(Factor!$BG$5:$BO$51, _xlfn.XMATCH(IF(OR($G39 ="debuff", $G39 = "shot", $G39 = "pierce"), $O39, 0), Factor!$BG$5:$BG$51, -1), _xlpm.추가_색인번호)-IF(AND(OR($G39 ="debuff", $G39 = "shot", $G39 = "pierce"), MOD($O39, 1)&lt;&gt;0), 10*MOD($O39, 1)*INDEX(Factor!$BG$5:$BO$51, _xlfn.XMATCH(IF(OR($G39 ="debuff", $G39 = "shot", $G39 = "pierce"), $O39, 0), Factor!$BG$5:$BG$51, -1), 2), 0),
_xlpm.탄환개수보정치, VLOOKUP(IF(OR($G39 = "curved", $G39 = "shot"), $Q39, 1), Factor!$BQ$5:$BX$51, _xlpm.기본_색인번호, 0),
_xlpm.상태이상탄환생성위치보정치, IF($G39 = "debuff", VLOOKUP($R39, Factor!$K$18:$R$19, _xlpm.기본_색인번호, 0),1),
_xlpm.상태이상탄환형태보정치, IF($G39 = "debuff", VLOOKUP($S39, Factor!$K$24:$R$25, _xlpm.기본_색인번호, 0),1),
_xlpm.가격보정치, INDEX(Factor!$AE$5:$AL$51, _xlfn.XMATCH($F39,Factor!$AE$5:$AE$51, -1), _xlpm.기본_색인번호),
_xlpm.구경보정치, VLOOKUP($D39,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H39"/>
      <c r="AI39"/>
      <c r="AJ39"/>
      <c r="AK39"/>
      <c r="AL39"/>
      <c r="AM39"/>
      <c r="AN39"/>
    </row>
    <row r="40" spans="1:40" ht="15.75" customHeight="1">
      <c r="A40" s="28" t="str">
        <f>"weapon_"&amp;G40&amp;"_"&amp;VLOOKUP(H40, Factor!$T$5:$AB$7, 9, 0)&amp;"_"&amp;IF(COUNTIFS($G$4:G39, G40, $H$4:H39, H40)+1&gt;=100, COUNTIFS($G$4:G39, G40, $H$4:H39, H40)+1,IF(COUNTIFS($G$4:G39, G40, $H$4:H39, H40)+1&gt;=10, "0"&amp;COUNTIFS($G$4:G39, G40, $H$4:H39, H40)+1, "00"&amp;COUNTIFS($G$4:G39, G40, $H$4:H39, H40)+1))</f>
        <v>weapon_single_Am_036</v>
      </c>
      <c r="B40" s="37" t="str">
        <f t="shared" si="0"/>
        <v>T7 기관포</v>
      </c>
      <c r="C40" s="37" t="s">
        <v>254</v>
      </c>
      <c r="D40" s="37" t="s">
        <v>257</v>
      </c>
      <c r="E40" s="37" t="s">
        <v>151</v>
      </c>
      <c r="F40" s="29">
        <f>VLOOKUP(C40, Factor!$AD$5:$AE$15, 2, 0)</f>
        <v>7000</v>
      </c>
      <c r="G40" s="29" t="str">
        <f>VLOOKUP(E40, Factor!$CL$5:$CV$50, 2, 0)</f>
        <v>single</v>
      </c>
      <c r="H40" s="29" t="str">
        <f>VLOOKUP(E40, Factor!$CL$5:$CV$50, 3, 0)</f>
        <v>ammo</v>
      </c>
      <c r="I40" s="29" t="str">
        <f>VLOOKUP(E40, Factor!$CL$5:$CV$50, 4, 0)</f>
        <v>L</v>
      </c>
      <c r="J40" s="29" t="str">
        <f>VLOOKUP(E40, Factor!$CL$5:$CV$50, 5, 0)</f>
        <v>spread</v>
      </c>
      <c r="K40" s="29">
        <v>1</v>
      </c>
      <c r="L40" s="29">
        <f>VLOOKUP(E40, Factor!$CL$5:$CV$50, 6, 0)*K40*VLOOKUP(D40, Factor!$BZ$5:$CJ$49, 9, 0)</f>
        <v>0</v>
      </c>
      <c r="M40" s="29" t="str">
        <f>VLOOKUP(E40, Factor!$CL$5:$CV$50, 7, 0)</f>
        <v>null</v>
      </c>
      <c r="N40" s="29">
        <v>1</v>
      </c>
      <c r="O40" s="29">
        <f>VLOOKUP(E40, Factor!$CL$5:$CV$50, 8, 0)*N40*VLOOKUP(D40, Factor!$BZ$5:$CJ$49, 10, 0)</f>
        <v>0</v>
      </c>
      <c r="P40" s="29">
        <v>1</v>
      </c>
      <c r="Q40" s="29">
        <f>VLOOKUP(E40, Factor!$CL$5:$CV$50, 9, 0)*P40*VLOOKUP(D40, Factor!$BZ$5:$CJ$49, 11, 0)</f>
        <v>1</v>
      </c>
      <c r="R40" s="29" t="str">
        <f>VLOOKUP(E40, Factor!$CL$5:$CV$50, 10, 0)</f>
        <v>null</v>
      </c>
      <c r="S40" s="29" t="str">
        <f>VLOOKUP(E40, Factor!$CL$5:$CV$50, 11, 0)</f>
        <v>null</v>
      </c>
      <c r="T40" s="29">
        <v>1</v>
      </c>
      <c r="U40" s="29">
        <v>1</v>
      </c>
      <c r="V40" s="29">
        <v>1</v>
      </c>
      <c r="W40" s="29">
        <v>1</v>
      </c>
      <c r="X40" s="29">
        <v>1</v>
      </c>
      <c r="Y40" s="29">
        <v>1</v>
      </c>
      <c r="Z40" s="29">
        <v>1</v>
      </c>
      <c r="AA40" s="29" cm="1">
        <f t="array" ref="AA40">_xlfn.LET(_xlpm.기본_색인번호, 2,
_xlpm.추가_색인번호, 3,
_xlpm.개별보정치, T40,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40" s="29" cm="1">
        <f t="array" ref="AB40">_xlfn.LET(_xlpm.기본_색인번호, 3,
_xlpm.추가_색인번호, 4,
_xlpm.개별보정치, U40,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0" s="29" cm="1">
        <f t="array" ref="AC40">_xlfn.LET(_xlpm.기본_색인번호, 4,
_xlpm.추가_색인번호, 5,
_xlpm.개별보정치, V40,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0" s="29" cm="1">
        <f t="array" ref="AD40">_xlfn.LET(_xlpm.기본_색인번호, 5,
_xlpm.추가_색인번호, 6,
_xlpm.개별보정치, W40,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40" s="29" cm="1">
        <f t="array" ref="AE40">_xlfn.LET(_xlpm.기본_색인번호, 6,
_xlpm.추가_색인번호, 7,
_xlpm.개별보정치, X40,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40" s="29" cm="1">
        <f t="array" ref="AF40">_xlfn.LET(_xlpm.기본_색인번호, 7,
_xlpm.추가_색인번호, 8,
_xlpm.개별보정치, Y40,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0" s="30" cm="1">
        <f t="array" ref="AG40">_xlfn.LET(_xlpm.기본_색인번호, 8,
_xlpm.추가_색인번호, 9,
_xlpm.개별보정치, Z40,
_xlpm.패턴보정치, VLOOKUP($G40, Factor!$B$5:$I$51, _xlpm.기본_색인번호, 0),
_xlpm.소모탄환보정치, VLOOKUP($H40, Factor!$T$5:$AA$51, _xlpm.기본_색인번호, 0),
_xlpm.지형보정치, VLOOKUP($I40, Factor!$K$12:$R$13, _xlpm.기본_색인번호, 0),
_xlpm.공격속성보정치, VLOOKUP($J40, Factor!$K$5:$R$7, _xlpm.기본_색인번호, 0),
_xlpm.피해범위보정치, INDEX(Factor!$AN$5:$AV$51, _xlfn.XMATCH(IF(OR($G40="blast", $G40="curved",  $G40= "debuff"), $L40, 0), Factor!$AN$5:$AN$51, -1), _xlpm.추가_색인번호)-IF(AND(OR($G40="blast", $G40="curved", $G40= "debuff"), MOD($L40,1)&lt;&gt;0),INDEX(Factor!$AN$5:$AV$51, _xlfn.XMATCH(IF(OR($G40="blast", $G40="curved", $G40= "debuff"), $L40, 0), Factor!$AN$5:$AN$51, -1), 2)*MOD($L40,1)*10,0),
_xlpm.상태이상보정치, VLOOKUP(IF($G40 = "debuff", $M40, "null"), Factor!$AX$5:$BE$51, _xlpm.기본_색인번호, 0),
_xlpm.지속시간보정치, INDEX(Factor!$BG$5:$BO$51, _xlfn.XMATCH(IF(OR($G40 ="debuff", $G40 = "shot", $G40 = "pierce"), $O40, 0), Factor!$BG$5:$BG$51, -1), _xlpm.추가_색인번호)-IF(AND(OR($G40 ="debuff", $G40 = "shot", $G40 = "pierce"), MOD($O40, 1)&lt;&gt;0), 10*MOD($O40, 1)*INDEX(Factor!$BG$5:$BO$51, _xlfn.XMATCH(IF(OR($G40 ="debuff", $G40 = "shot", $G40 = "pierce"), $O40, 0), Factor!$BG$5:$BG$51, -1), 2), 0),
_xlpm.탄환개수보정치, VLOOKUP(IF(OR($G40 = "curved", $G40 = "shot"), $Q40, 1), Factor!$BQ$5:$BX$51, _xlpm.기본_색인번호, 0),
_xlpm.상태이상탄환생성위치보정치, IF($G40 = "debuff", VLOOKUP($R40, Factor!$K$18:$R$19, _xlpm.기본_색인번호, 0),1),
_xlpm.상태이상탄환형태보정치, IF($G40 = "debuff", VLOOKUP($S40, Factor!$K$24:$R$25, _xlpm.기본_색인번호, 0),1),
_xlpm.가격보정치, INDEX(Factor!$AE$5:$AL$51, _xlfn.XMATCH($F40,Factor!$AE$5:$AE$51, -1), _xlpm.기본_색인번호),
_xlpm.구경보정치, VLOOKUP($D40,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H40"/>
      <c r="AI40"/>
      <c r="AJ40"/>
      <c r="AK40"/>
      <c r="AL40"/>
      <c r="AM40"/>
      <c r="AN40"/>
    </row>
    <row r="41" spans="1:40" ht="15.75" customHeight="1">
      <c r="A41" s="24" t="str">
        <f>"weapon_"&amp;G41&amp;"_"&amp;VLOOKUP(H41, Factor!$T$5:$AB$7, 9, 0)&amp;"_"&amp;IF(COUNTIFS($G$4:G40, G41, $H$4:H40, H41)+1&gt;=100, COUNTIFS($G$4:G40, G41, $H$4:H40, H41)+1,IF(COUNTIFS($G$4:G40, G41, $H$4:H40, H41)+1&gt;=10, "0"&amp;COUNTIFS($G$4:G40, G41, $H$4:H40, H41)+1, "00"&amp;COUNTIFS($G$4:G40, G41, $H$4:H40, H41)+1))</f>
        <v>weapon_single_Am_037</v>
      </c>
      <c r="B41" s="36" t="str">
        <f t="shared" si="0"/>
        <v>T7 5.56mm기관포</v>
      </c>
      <c r="C41" s="36" t="s">
        <v>254</v>
      </c>
      <c r="D41" s="36" t="s">
        <v>258</v>
      </c>
      <c r="E41" s="36" t="s">
        <v>151</v>
      </c>
      <c r="F41" s="25">
        <f>VLOOKUP(C41, Factor!$AD$5:$AE$15, 2, 0)</f>
        <v>7000</v>
      </c>
      <c r="G41" s="26" t="str">
        <f>VLOOKUP(E41, Factor!$CL$5:$CV$50, 2, 0)</f>
        <v>single</v>
      </c>
      <c r="H41" s="25" t="str">
        <f>VLOOKUP(E41, Factor!$CL$5:$CV$50, 3, 0)</f>
        <v>ammo</v>
      </c>
      <c r="I41" s="25" t="str">
        <f>VLOOKUP(E41, Factor!$CL$5:$CV$50, 4, 0)</f>
        <v>L</v>
      </c>
      <c r="J41" s="25" t="str">
        <f>VLOOKUP(E41, Factor!$CL$5:$CV$50, 5, 0)</f>
        <v>spread</v>
      </c>
      <c r="K41" s="25">
        <v>1</v>
      </c>
      <c r="L41" s="25">
        <f>VLOOKUP(E41, Factor!$CL$5:$CV$50, 6, 0)*K41*VLOOKUP(D41, Factor!$BZ$5:$CJ$49, 9, 0)</f>
        <v>0</v>
      </c>
      <c r="M41" s="25" t="str">
        <f>VLOOKUP(E41, Factor!$CL$5:$CV$50, 7, 0)</f>
        <v>null</v>
      </c>
      <c r="N41" s="25">
        <v>1</v>
      </c>
      <c r="O41" s="25">
        <f>VLOOKUP(E41, Factor!$CL$5:$CV$50, 8, 0)*N41*VLOOKUP(D41, Factor!$BZ$5:$CJ$49, 10, 0)</f>
        <v>0</v>
      </c>
      <c r="P41" s="25">
        <v>1</v>
      </c>
      <c r="Q41" s="25">
        <f>VLOOKUP(E41, Factor!$CL$5:$CV$50, 9, 0)*P41*VLOOKUP(D41, Factor!$BZ$5:$CJ$49, 11, 0)</f>
        <v>2</v>
      </c>
      <c r="R41" s="25" t="str">
        <f>VLOOKUP(E41, Factor!$CL$5:$CV$50, 10, 0)</f>
        <v>null</v>
      </c>
      <c r="S41" s="25" t="str">
        <f>VLOOKUP(E41, Factor!$CL$5:$CV$50, 11, 0)</f>
        <v>null</v>
      </c>
      <c r="T41" s="25">
        <v>1</v>
      </c>
      <c r="U41" s="25">
        <v>1</v>
      </c>
      <c r="V41" s="25">
        <v>1</v>
      </c>
      <c r="W41" s="25">
        <v>1</v>
      </c>
      <c r="X41" s="25">
        <v>1</v>
      </c>
      <c r="Y41" s="25">
        <v>1</v>
      </c>
      <c r="Z41" s="25">
        <v>1</v>
      </c>
      <c r="AA41" s="25" cm="1">
        <f t="array" ref="AA41">_xlfn.LET(_xlpm.기본_색인번호, 2,
_xlpm.추가_색인번호, 3,
_xlpm.개별보정치, T41,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41" s="25" cm="1">
        <f t="array" ref="AB41">_xlfn.LET(_xlpm.기본_색인번호, 3,
_xlpm.추가_색인번호, 4,
_xlpm.개별보정치, U41,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1" s="25" cm="1">
        <f t="array" ref="AC41">_xlfn.LET(_xlpm.기본_색인번호, 4,
_xlpm.추가_색인번호, 5,
_xlpm.개별보정치, V41,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1" s="25" cm="1">
        <f t="array" ref="AD41">_xlfn.LET(_xlpm.기본_색인번호, 5,
_xlpm.추가_색인번호, 6,
_xlpm.개별보정치, W41,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41" s="25" cm="1">
        <f t="array" ref="AE41">_xlfn.LET(_xlpm.기본_색인번호, 6,
_xlpm.추가_색인번호, 7,
_xlpm.개별보정치, X41,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41" s="25" cm="1">
        <f t="array" ref="AF41">_xlfn.LET(_xlpm.기본_색인번호, 7,
_xlpm.추가_색인번호, 8,
_xlpm.개별보정치, Y41,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1" s="27" cm="1">
        <f t="array" ref="AG41">_xlfn.LET(_xlpm.기본_색인번호, 8,
_xlpm.추가_색인번호, 9,
_xlpm.개별보정치, Z41,
_xlpm.패턴보정치, VLOOKUP($G41, Factor!$B$5:$I$51, _xlpm.기본_색인번호, 0),
_xlpm.소모탄환보정치, VLOOKUP($H41, Factor!$T$5:$AA$51, _xlpm.기본_색인번호, 0),
_xlpm.지형보정치, VLOOKUP($I41, Factor!$K$12:$R$13, _xlpm.기본_색인번호, 0),
_xlpm.공격속성보정치, VLOOKUP($J41, Factor!$K$5:$R$7, _xlpm.기본_색인번호, 0),
_xlpm.피해범위보정치, INDEX(Factor!$AN$5:$AV$51, _xlfn.XMATCH(IF(OR($G41="blast", $G41="curved",  $G41= "debuff"), $L41, 0), Factor!$AN$5:$AN$51, -1), _xlpm.추가_색인번호)-IF(AND(OR($G41="blast", $G41="curved", $G41= "debuff"), MOD($L41,1)&lt;&gt;0),INDEX(Factor!$AN$5:$AV$51, _xlfn.XMATCH(IF(OR($G41="blast", $G41="curved", $G41= "debuff"), $L41, 0), Factor!$AN$5:$AN$51, -1), 2)*MOD($L41,1)*10,0),
_xlpm.상태이상보정치, VLOOKUP(IF($G41 = "debuff", $M41, "null"), Factor!$AX$5:$BE$51, _xlpm.기본_색인번호, 0),
_xlpm.지속시간보정치, INDEX(Factor!$BG$5:$BO$51, _xlfn.XMATCH(IF(OR($G41 ="debuff", $G41 = "shot", $G41 = "pierce"), $O41, 0), Factor!$BG$5:$BG$51, -1), _xlpm.추가_색인번호)-IF(AND(OR($G41 ="debuff", $G41 = "shot", $G41 = "pierce"), MOD($O41, 1)&lt;&gt;0), 10*MOD($O41, 1)*INDEX(Factor!$BG$5:$BO$51, _xlfn.XMATCH(IF(OR($G41 ="debuff", $G41 = "shot", $G41 = "pierce"), $O41, 0), Factor!$BG$5:$BG$51, -1), 2), 0),
_xlpm.탄환개수보정치, VLOOKUP(IF(OR($G41 = "curved", $G41 = "shot"), $Q41, 1), Factor!$BQ$5:$BX$51, _xlpm.기본_색인번호, 0),
_xlpm.상태이상탄환생성위치보정치, IF($G41 = "debuff", VLOOKUP($R41, Factor!$K$18:$R$19, _xlpm.기본_색인번호, 0),1),
_xlpm.상태이상탄환형태보정치, IF($G41 = "debuff", VLOOKUP($S41, Factor!$K$24:$R$25, _xlpm.기본_색인번호, 0),1),
_xlpm.가격보정치, INDEX(Factor!$AE$5:$AL$51, _xlfn.XMATCH($F41,Factor!$AE$5:$AE$51, -1), _xlpm.기본_색인번호),
_xlpm.구경보정치, VLOOKUP($D41,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H41"/>
      <c r="AI41"/>
      <c r="AJ41"/>
      <c r="AK41"/>
      <c r="AL41"/>
      <c r="AM41"/>
      <c r="AN41"/>
    </row>
    <row r="42" spans="1:40" ht="15.75" customHeight="1">
      <c r="A42" s="28" t="str">
        <f>"weapon_"&amp;G42&amp;"_"&amp;VLOOKUP(H42, Factor!$T$5:$AB$7, 9, 0)&amp;"_"&amp;IF(COUNTIFS($G$4:G41, G42, $H$4:H41, H42)+1&gt;=100, COUNTIFS($G$4:G41, G42, $H$4:H41, H42)+1,IF(COUNTIFS($G$4:G41, G42, $H$4:H41, H42)+1&gt;=10, "0"&amp;COUNTIFS($G$4:G41, G42, $H$4:H41, H42)+1, "00"&amp;COUNTIFS($G$4:G41, G42, $H$4:H41, H42)+1))</f>
        <v>weapon_single_Am_038</v>
      </c>
      <c r="B42" s="37" t="str">
        <f t="shared" si="0"/>
        <v>T7 7.62mm기관포</v>
      </c>
      <c r="C42" s="37" t="s">
        <v>254</v>
      </c>
      <c r="D42" s="37" t="s">
        <v>259</v>
      </c>
      <c r="E42" s="37" t="s">
        <v>151</v>
      </c>
      <c r="F42" s="29">
        <f>VLOOKUP(C42, Factor!$AD$5:$AE$15, 2, 0)</f>
        <v>7000</v>
      </c>
      <c r="G42" s="29" t="str">
        <f>VLOOKUP(E42, Factor!$CL$5:$CV$50, 2, 0)</f>
        <v>single</v>
      </c>
      <c r="H42" s="29" t="str">
        <f>VLOOKUP(E42, Factor!$CL$5:$CV$50, 3, 0)</f>
        <v>ammo</v>
      </c>
      <c r="I42" s="29" t="str">
        <f>VLOOKUP(E42, Factor!$CL$5:$CV$50, 4, 0)</f>
        <v>L</v>
      </c>
      <c r="J42" s="29" t="str">
        <f>VLOOKUP(E42, Factor!$CL$5:$CV$50, 5, 0)</f>
        <v>spread</v>
      </c>
      <c r="K42" s="29">
        <v>1</v>
      </c>
      <c r="L42" s="29">
        <f>VLOOKUP(E42, Factor!$CL$5:$CV$50, 6, 0)*K42*VLOOKUP(D42, Factor!$BZ$5:$CJ$49, 9, 0)</f>
        <v>0</v>
      </c>
      <c r="M42" s="29" t="str">
        <f>VLOOKUP(E42, Factor!$CL$5:$CV$50, 7, 0)</f>
        <v>null</v>
      </c>
      <c r="N42" s="29">
        <v>1</v>
      </c>
      <c r="O42" s="29">
        <f>VLOOKUP(E42, Factor!$CL$5:$CV$50, 8, 0)*N42*VLOOKUP(D42, Factor!$BZ$5:$CJ$49, 10, 0)</f>
        <v>0</v>
      </c>
      <c r="P42" s="29">
        <v>1</v>
      </c>
      <c r="Q42" s="29">
        <f>VLOOKUP(E42, Factor!$CL$5:$CV$50, 9, 0)*P42*VLOOKUP(D42, Factor!$BZ$5:$CJ$49, 11, 0)</f>
        <v>3</v>
      </c>
      <c r="R42" s="29" t="str">
        <f>VLOOKUP(E42, Factor!$CL$5:$CV$50, 10, 0)</f>
        <v>null</v>
      </c>
      <c r="S42" s="29" t="str">
        <f>VLOOKUP(E42, Factor!$CL$5:$CV$50, 11, 0)</f>
        <v>null</v>
      </c>
      <c r="T42" s="29">
        <v>1</v>
      </c>
      <c r="U42" s="29">
        <v>1</v>
      </c>
      <c r="V42" s="29">
        <v>1</v>
      </c>
      <c r="W42" s="29">
        <v>1</v>
      </c>
      <c r="X42" s="29">
        <v>1</v>
      </c>
      <c r="Y42" s="29">
        <v>1</v>
      </c>
      <c r="Z42" s="29">
        <v>1</v>
      </c>
      <c r="AA42" s="29" cm="1">
        <f t="array" ref="AA42">_xlfn.LET(_xlpm.기본_색인번호, 2,
_xlpm.추가_색인번호, 3,
_xlpm.개별보정치, T42,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42" s="29" cm="1">
        <f t="array" ref="AB42">_xlfn.LET(_xlpm.기본_색인번호, 3,
_xlpm.추가_색인번호, 4,
_xlpm.개별보정치, U42,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2" s="29" cm="1">
        <f t="array" ref="AC42">_xlfn.LET(_xlpm.기본_색인번호, 4,
_xlpm.추가_색인번호, 5,
_xlpm.개별보정치, V42,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2" s="29" cm="1">
        <f t="array" ref="AD42">_xlfn.LET(_xlpm.기본_색인번호, 5,
_xlpm.추가_색인번호, 6,
_xlpm.개별보정치, W42,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42" s="29" cm="1">
        <f t="array" ref="AE42">_xlfn.LET(_xlpm.기본_색인번호, 6,
_xlpm.추가_색인번호, 7,
_xlpm.개별보정치, X42,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42" s="29" cm="1">
        <f t="array" ref="AF42">_xlfn.LET(_xlpm.기본_색인번호, 7,
_xlpm.추가_색인번호, 8,
_xlpm.개별보정치, Y42,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2" s="30" cm="1">
        <f t="array" ref="AG42">_xlfn.LET(_xlpm.기본_색인번호, 8,
_xlpm.추가_색인번호, 9,
_xlpm.개별보정치, Z42,
_xlpm.패턴보정치, VLOOKUP($G42, Factor!$B$5:$I$51, _xlpm.기본_색인번호, 0),
_xlpm.소모탄환보정치, VLOOKUP($H42, Factor!$T$5:$AA$51, _xlpm.기본_색인번호, 0),
_xlpm.지형보정치, VLOOKUP($I42, Factor!$K$12:$R$13, _xlpm.기본_색인번호, 0),
_xlpm.공격속성보정치, VLOOKUP($J42, Factor!$K$5:$R$7, _xlpm.기본_색인번호, 0),
_xlpm.피해범위보정치, INDEX(Factor!$AN$5:$AV$51, _xlfn.XMATCH(IF(OR($G42="blast", $G42="curved",  $G42= "debuff"), $L42, 0), Factor!$AN$5:$AN$51, -1), _xlpm.추가_색인번호)-IF(AND(OR($G42="blast", $G42="curved", $G42= "debuff"), MOD($L42,1)&lt;&gt;0),INDEX(Factor!$AN$5:$AV$51, _xlfn.XMATCH(IF(OR($G42="blast", $G42="curved", $G42= "debuff"), $L42, 0), Factor!$AN$5:$AN$51, -1), 2)*MOD($L42,1)*10,0),
_xlpm.상태이상보정치, VLOOKUP(IF($G42 = "debuff", $M42, "null"), Factor!$AX$5:$BE$51, _xlpm.기본_색인번호, 0),
_xlpm.지속시간보정치, INDEX(Factor!$BG$5:$BO$51, _xlfn.XMATCH(IF(OR($G42 ="debuff", $G42 = "shot", $G42 = "pierce"), $O42, 0), Factor!$BG$5:$BG$51, -1), _xlpm.추가_색인번호)-IF(AND(OR($G42 ="debuff", $G42 = "shot", $G42 = "pierce"), MOD($O42, 1)&lt;&gt;0), 10*MOD($O42, 1)*INDEX(Factor!$BG$5:$BO$51, _xlfn.XMATCH(IF(OR($G42 ="debuff", $G42 = "shot", $G42 = "pierce"), $O42, 0), Factor!$BG$5:$BG$51, -1), 2), 0),
_xlpm.탄환개수보정치, VLOOKUP(IF(OR($G42 = "curved", $G42 = "shot"), $Q42, 1), Factor!$BQ$5:$BX$51, _xlpm.기본_색인번호, 0),
_xlpm.상태이상탄환생성위치보정치, IF($G42 = "debuff", VLOOKUP($R42, Factor!$K$18:$R$19, _xlpm.기본_색인번호, 0),1),
_xlpm.상태이상탄환형태보정치, IF($G42 = "debuff", VLOOKUP($S42, Factor!$K$24:$R$25, _xlpm.기본_색인번호, 0),1),
_xlpm.가격보정치, INDEX(Factor!$AE$5:$AL$51, _xlfn.XMATCH($F42,Factor!$AE$5:$AE$51, -1), _xlpm.기본_색인번호),
_xlpm.구경보정치, VLOOKUP($D42,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H42"/>
      <c r="AI42"/>
      <c r="AJ42"/>
      <c r="AK42"/>
      <c r="AL42"/>
      <c r="AM42"/>
      <c r="AN42"/>
    </row>
    <row r="43" spans="1:40" ht="15.75" customHeight="1">
      <c r="A43" s="24" t="str">
        <f>"weapon_"&amp;G43&amp;"_"&amp;VLOOKUP(H43, Factor!$T$5:$AB$7, 9, 0)&amp;"_"&amp;IF(COUNTIFS($G$4:G42, G43, $H$4:H42, H43)+1&gt;=100, COUNTIFS($G$4:G42, G43, $H$4:H42, H43)+1,IF(COUNTIFS($G$4:G42, G43, $H$4:H42, H43)+1&gt;=10, "0"&amp;COUNTIFS($G$4:G42, G43, $H$4:H42, H43)+1, "00"&amp;COUNTIFS($G$4:G42, G43, $H$4:H42, H43)+1))</f>
        <v>weapon_single_Am_039</v>
      </c>
      <c r="B43" s="36" t="str">
        <f t="shared" si="0"/>
        <v>T7 12.7mm기관포</v>
      </c>
      <c r="C43" s="36" t="s">
        <v>254</v>
      </c>
      <c r="D43" s="36" t="s">
        <v>260</v>
      </c>
      <c r="E43" s="36" t="s">
        <v>151</v>
      </c>
      <c r="F43" s="25">
        <f>VLOOKUP(C43, Factor!$AD$5:$AE$15, 2, 0)</f>
        <v>7000</v>
      </c>
      <c r="G43" s="26" t="str">
        <f>VLOOKUP(E43, Factor!$CL$5:$CV$50, 2, 0)</f>
        <v>single</v>
      </c>
      <c r="H43" s="25" t="str">
        <f>VLOOKUP(E43, Factor!$CL$5:$CV$50, 3, 0)</f>
        <v>ammo</v>
      </c>
      <c r="I43" s="25" t="str">
        <f>VLOOKUP(E43, Factor!$CL$5:$CV$50, 4, 0)</f>
        <v>L</v>
      </c>
      <c r="J43" s="25" t="str">
        <f>VLOOKUP(E43, Factor!$CL$5:$CV$50, 5, 0)</f>
        <v>spread</v>
      </c>
      <c r="K43" s="25">
        <v>1</v>
      </c>
      <c r="L43" s="25">
        <f>VLOOKUP(E43, Factor!$CL$5:$CV$50, 6, 0)*K43*VLOOKUP(D43, Factor!$BZ$5:$CJ$49, 9, 0)</f>
        <v>0</v>
      </c>
      <c r="M43" s="25" t="str">
        <f>VLOOKUP(E43, Factor!$CL$5:$CV$50, 7, 0)</f>
        <v>null</v>
      </c>
      <c r="N43" s="25">
        <v>1</v>
      </c>
      <c r="O43" s="25">
        <f>VLOOKUP(E43, Factor!$CL$5:$CV$50, 8, 0)*N43*VLOOKUP(D43, Factor!$BZ$5:$CJ$49, 10, 0)</f>
        <v>0</v>
      </c>
      <c r="P43" s="25">
        <v>1</v>
      </c>
      <c r="Q43" s="25">
        <f>VLOOKUP(E43, Factor!$CL$5:$CV$50, 9, 0)*P43*VLOOKUP(D43, Factor!$BZ$5:$CJ$49, 11, 0)</f>
        <v>4</v>
      </c>
      <c r="R43" s="25" t="str">
        <f>VLOOKUP(E43, Factor!$CL$5:$CV$50, 10, 0)</f>
        <v>null</v>
      </c>
      <c r="S43" s="25" t="str">
        <f>VLOOKUP(E43, Factor!$CL$5:$CV$50, 11, 0)</f>
        <v>null</v>
      </c>
      <c r="T43" s="25">
        <v>1</v>
      </c>
      <c r="U43" s="25">
        <v>1</v>
      </c>
      <c r="V43" s="25">
        <v>1</v>
      </c>
      <c r="W43" s="25">
        <v>1</v>
      </c>
      <c r="X43" s="25">
        <v>1</v>
      </c>
      <c r="Y43" s="25">
        <v>1</v>
      </c>
      <c r="Z43" s="25">
        <v>1</v>
      </c>
      <c r="AA43" s="25" cm="1">
        <f t="array" ref="AA43">_xlfn.LET(_xlpm.기본_색인번호, 2,
_xlpm.추가_색인번호, 3,
_xlpm.개별보정치, T43,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43" s="25" cm="1">
        <f t="array" ref="AB43">_xlfn.LET(_xlpm.기본_색인번호, 3,
_xlpm.추가_색인번호, 4,
_xlpm.개별보정치, U43,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3" s="25" cm="1">
        <f t="array" ref="AC43">_xlfn.LET(_xlpm.기본_색인번호, 4,
_xlpm.추가_색인번호, 5,
_xlpm.개별보정치, V43,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3" s="25" cm="1">
        <f t="array" ref="AD43">_xlfn.LET(_xlpm.기본_색인번호, 5,
_xlpm.추가_색인번호, 6,
_xlpm.개별보정치, W43,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43" s="25" cm="1">
        <f t="array" ref="AE43">_xlfn.LET(_xlpm.기본_색인번호, 6,
_xlpm.추가_색인번호, 7,
_xlpm.개별보정치, X43,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43" s="25" cm="1">
        <f t="array" ref="AF43">_xlfn.LET(_xlpm.기본_색인번호, 7,
_xlpm.추가_색인번호, 8,
_xlpm.개별보정치, Y43,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3" s="27" cm="1">
        <f t="array" ref="AG43">_xlfn.LET(_xlpm.기본_색인번호, 8,
_xlpm.추가_색인번호, 9,
_xlpm.개별보정치, Z43,
_xlpm.패턴보정치, VLOOKUP($G43, Factor!$B$5:$I$51, _xlpm.기본_색인번호, 0),
_xlpm.소모탄환보정치, VLOOKUP($H43, Factor!$T$5:$AA$51, _xlpm.기본_색인번호, 0),
_xlpm.지형보정치, VLOOKUP($I43, Factor!$K$12:$R$13, _xlpm.기본_색인번호, 0),
_xlpm.공격속성보정치, VLOOKUP($J43, Factor!$K$5:$R$7, _xlpm.기본_색인번호, 0),
_xlpm.피해범위보정치, INDEX(Factor!$AN$5:$AV$51, _xlfn.XMATCH(IF(OR($G43="blast", $G43="curved",  $G43= "debuff"), $L43, 0), Factor!$AN$5:$AN$51, -1), _xlpm.추가_색인번호)-IF(AND(OR($G43="blast", $G43="curved", $G43= "debuff"), MOD($L43,1)&lt;&gt;0),INDEX(Factor!$AN$5:$AV$51, _xlfn.XMATCH(IF(OR($G43="blast", $G43="curved", $G43= "debuff"), $L43, 0), Factor!$AN$5:$AN$51, -1), 2)*MOD($L43,1)*10,0),
_xlpm.상태이상보정치, VLOOKUP(IF($G43 = "debuff", $M43, "null"), Factor!$AX$5:$BE$51, _xlpm.기본_색인번호, 0),
_xlpm.지속시간보정치, INDEX(Factor!$BG$5:$BO$51, _xlfn.XMATCH(IF(OR($G43 ="debuff", $G43 = "shot", $G43 = "pierce"), $O43, 0), Factor!$BG$5:$BG$51, -1), _xlpm.추가_색인번호)-IF(AND(OR($G43 ="debuff", $G43 = "shot", $G43 = "pierce"), MOD($O43, 1)&lt;&gt;0), 10*MOD($O43, 1)*INDEX(Factor!$BG$5:$BO$51, _xlfn.XMATCH(IF(OR($G43 ="debuff", $G43 = "shot", $G43 = "pierce"), $O43, 0), Factor!$BG$5:$BG$51, -1), 2), 0),
_xlpm.탄환개수보정치, VLOOKUP(IF(OR($G43 = "curved", $G43 = "shot"), $Q43, 1), Factor!$BQ$5:$BX$51, _xlpm.기본_색인번호, 0),
_xlpm.상태이상탄환생성위치보정치, IF($G43 = "debuff", VLOOKUP($R43, Factor!$K$18:$R$19, _xlpm.기본_색인번호, 0),1),
_xlpm.상태이상탄환형태보정치, IF($G43 = "debuff", VLOOKUP($S43, Factor!$K$24:$R$25, _xlpm.기본_색인번호, 0),1),
_xlpm.가격보정치, INDEX(Factor!$AE$5:$AL$51, _xlfn.XMATCH($F43,Factor!$AE$5:$AE$51, -1), _xlpm.기본_색인번호),
_xlpm.구경보정치, VLOOKUP($D43,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H43"/>
      <c r="AI43"/>
      <c r="AJ43"/>
      <c r="AK43"/>
      <c r="AL43"/>
      <c r="AM43"/>
      <c r="AN43"/>
    </row>
    <row r="44" spans="1:40" ht="15.75" customHeight="1">
      <c r="A44" s="28" t="str">
        <f>"weapon_"&amp;G44&amp;"_"&amp;VLOOKUP(H44, Factor!$T$5:$AB$7, 9, 0)&amp;"_"&amp;IF(COUNTIFS($G$4:G43, G44, $H$4:H43, H44)+1&gt;=100, COUNTIFS($G$4:G43, G44, $H$4:H43, H44)+1,IF(COUNTIFS($G$4:G43, G44, $H$4:H43, H44)+1&gt;=10, "0"&amp;COUNTIFS($G$4:G43, G44, $H$4:H43, H44)+1, "00"&amp;COUNTIFS($G$4:G43, G44, $H$4:H43, H44)+1))</f>
        <v>weapon_single_Am_040</v>
      </c>
      <c r="B44" s="37" t="str">
        <f t="shared" si="0"/>
        <v>T7 20mm기관포</v>
      </c>
      <c r="C44" s="37" t="s">
        <v>254</v>
      </c>
      <c r="D44" s="37" t="s">
        <v>261</v>
      </c>
      <c r="E44" s="37" t="s">
        <v>151</v>
      </c>
      <c r="F44" s="29">
        <f>VLOOKUP(C44, Factor!$AD$5:$AE$15, 2, 0)</f>
        <v>7000</v>
      </c>
      <c r="G44" s="29" t="str">
        <f>VLOOKUP(E44, Factor!$CL$5:$CV$50, 2, 0)</f>
        <v>single</v>
      </c>
      <c r="H44" s="29" t="str">
        <f>VLOOKUP(E44, Factor!$CL$5:$CV$50, 3, 0)</f>
        <v>ammo</v>
      </c>
      <c r="I44" s="29" t="str">
        <f>VLOOKUP(E44, Factor!$CL$5:$CV$50, 4, 0)</f>
        <v>L</v>
      </c>
      <c r="J44" s="29" t="str">
        <f>VLOOKUP(E44, Factor!$CL$5:$CV$50, 5, 0)</f>
        <v>spread</v>
      </c>
      <c r="K44" s="29">
        <v>1</v>
      </c>
      <c r="L44" s="29">
        <f>VLOOKUP(E44, Factor!$CL$5:$CV$50, 6, 0)*K44*VLOOKUP(D44, Factor!$BZ$5:$CJ$49, 9, 0)</f>
        <v>0</v>
      </c>
      <c r="M44" s="29" t="str">
        <f>VLOOKUP(E44, Factor!$CL$5:$CV$50, 7, 0)</f>
        <v>null</v>
      </c>
      <c r="N44" s="29">
        <v>1</v>
      </c>
      <c r="O44" s="29">
        <f>VLOOKUP(E44, Factor!$CL$5:$CV$50, 8, 0)*N44*VLOOKUP(D44, Factor!$BZ$5:$CJ$49, 10, 0)</f>
        <v>0</v>
      </c>
      <c r="P44" s="29">
        <v>1</v>
      </c>
      <c r="Q44" s="29">
        <f>VLOOKUP(E44, Factor!$CL$5:$CV$50, 9, 0)*P44*VLOOKUP(D44, Factor!$BZ$5:$CJ$49, 11, 0)</f>
        <v>5</v>
      </c>
      <c r="R44" s="29" t="str">
        <f>VLOOKUP(E44, Factor!$CL$5:$CV$50, 10, 0)</f>
        <v>null</v>
      </c>
      <c r="S44" s="29" t="str">
        <f>VLOOKUP(E44, Factor!$CL$5:$CV$50, 11, 0)</f>
        <v>null</v>
      </c>
      <c r="T44" s="29">
        <v>1</v>
      </c>
      <c r="U44" s="29">
        <v>1</v>
      </c>
      <c r="V44" s="29">
        <v>1</v>
      </c>
      <c r="W44" s="29">
        <v>1</v>
      </c>
      <c r="X44" s="29">
        <v>1</v>
      </c>
      <c r="Y44" s="29">
        <v>1</v>
      </c>
      <c r="Z44" s="29">
        <v>1</v>
      </c>
      <c r="AA44" s="29" cm="1">
        <f t="array" ref="AA44">_xlfn.LET(_xlpm.기본_색인번호, 2,
_xlpm.추가_색인번호, 3,
_xlpm.개별보정치, T44,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44" s="29" cm="1">
        <f t="array" ref="AB44">_xlfn.LET(_xlpm.기본_색인번호, 3,
_xlpm.추가_색인번호, 4,
_xlpm.개별보정치, U44,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4" s="29" cm="1">
        <f t="array" ref="AC44">_xlfn.LET(_xlpm.기본_색인번호, 4,
_xlpm.추가_색인번호, 5,
_xlpm.개별보정치, V44,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4" s="29" cm="1">
        <f t="array" ref="AD44">_xlfn.LET(_xlpm.기본_색인번호, 5,
_xlpm.추가_색인번호, 6,
_xlpm.개별보정치, W44,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44" s="29" cm="1">
        <f t="array" ref="AE44">_xlfn.LET(_xlpm.기본_색인번호, 6,
_xlpm.추가_색인번호, 7,
_xlpm.개별보정치, X44,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44" s="29" cm="1">
        <f t="array" ref="AF44">_xlfn.LET(_xlpm.기본_색인번호, 7,
_xlpm.추가_색인번호, 8,
_xlpm.개별보정치, Y44,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4" s="30" cm="1">
        <f t="array" ref="AG44">_xlfn.LET(_xlpm.기본_색인번호, 8,
_xlpm.추가_색인번호, 9,
_xlpm.개별보정치, Z44,
_xlpm.패턴보정치, VLOOKUP($G44, Factor!$B$5:$I$51, _xlpm.기본_색인번호, 0),
_xlpm.소모탄환보정치, VLOOKUP($H44, Factor!$T$5:$AA$51, _xlpm.기본_색인번호, 0),
_xlpm.지형보정치, VLOOKUP($I44, Factor!$K$12:$R$13, _xlpm.기본_색인번호, 0),
_xlpm.공격속성보정치, VLOOKUP($J44, Factor!$K$5:$R$7, _xlpm.기본_색인번호, 0),
_xlpm.피해범위보정치, INDEX(Factor!$AN$5:$AV$51, _xlfn.XMATCH(IF(OR($G44="blast", $G44="curved",  $G44= "debuff"), $L44, 0), Factor!$AN$5:$AN$51, -1), _xlpm.추가_색인번호)-IF(AND(OR($G44="blast", $G44="curved", $G44= "debuff"), MOD($L44,1)&lt;&gt;0),INDEX(Factor!$AN$5:$AV$51, _xlfn.XMATCH(IF(OR($G44="blast", $G44="curved", $G44= "debuff"), $L44, 0), Factor!$AN$5:$AN$51, -1), 2)*MOD($L44,1)*10,0),
_xlpm.상태이상보정치, VLOOKUP(IF($G44 = "debuff", $M44, "null"), Factor!$AX$5:$BE$51, _xlpm.기본_색인번호, 0),
_xlpm.지속시간보정치, INDEX(Factor!$BG$5:$BO$51, _xlfn.XMATCH(IF(OR($G44 ="debuff", $G44 = "shot", $G44 = "pierce"), $O44, 0), Factor!$BG$5:$BG$51, -1), _xlpm.추가_색인번호)-IF(AND(OR($G44 ="debuff", $G44 = "shot", $G44 = "pierce"), MOD($O44, 1)&lt;&gt;0), 10*MOD($O44, 1)*INDEX(Factor!$BG$5:$BO$51, _xlfn.XMATCH(IF(OR($G44 ="debuff", $G44 = "shot", $G44 = "pierce"), $O44, 0), Factor!$BG$5:$BG$51, -1), 2), 0),
_xlpm.탄환개수보정치, VLOOKUP(IF(OR($G44 = "curved", $G44 = "shot"), $Q44, 1), Factor!$BQ$5:$BX$51, _xlpm.기본_색인번호, 0),
_xlpm.상태이상탄환생성위치보정치, IF($G44 = "debuff", VLOOKUP($R44, Factor!$K$18:$R$19, _xlpm.기본_색인번호, 0),1),
_xlpm.상태이상탄환형태보정치, IF($G44 = "debuff", VLOOKUP($S44, Factor!$K$24:$R$25, _xlpm.기본_색인번호, 0),1),
_xlpm.가격보정치, INDEX(Factor!$AE$5:$AL$51, _xlfn.XMATCH($F44,Factor!$AE$5:$AE$51, -1), _xlpm.기본_색인번호),
_xlpm.구경보정치, VLOOKUP($D44,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H44"/>
      <c r="AI44"/>
      <c r="AJ44"/>
      <c r="AK44"/>
      <c r="AL44"/>
      <c r="AM44"/>
      <c r="AN44"/>
    </row>
    <row r="45" spans="1:40" ht="15.75" customHeight="1">
      <c r="A45" s="24" t="str">
        <f>"weapon_"&amp;G45&amp;"_"&amp;VLOOKUP(H45, Factor!$T$5:$AB$7, 9, 0)&amp;"_"&amp;IF(COUNTIFS($G$4:G44, G45, $H$4:H44, H45)+1&gt;=100, COUNTIFS($G$4:G44, G45, $H$4:H44, H45)+1,IF(COUNTIFS($G$4:G44, G45, $H$4:H44, H45)+1&gt;=10, "0"&amp;COUNTIFS($G$4:G44, G45, $H$4:H44, H45)+1, "00"&amp;COUNTIFS($G$4:G44, G45, $H$4:H44, H45)+1))</f>
        <v>weapon_single_Am_041</v>
      </c>
      <c r="B45" s="36" t="str">
        <f t="shared" si="0"/>
        <v>T8 기관포</v>
      </c>
      <c r="C45" s="36" t="s">
        <v>255</v>
      </c>
      <c r="D45" s="36" t="s">
        <v>257</v>
      </c>
      <c r="E45" s="36" t="s">
        <v>151</v>
      </c>
      <c r="F45" s="25">
        <f>VLOOKUP(C45, Factor!$AD$5:$AE$15, 2, 0)</f>
        <v>8000</v>
      </c>
      <c r="G45" s="26" t="str">
        <f>VLOOKUP(E45, Factor!$CL$5:$CV$50, 2, 0)</f>
        <v>single</v>
      </c>
      <c r="H45" s="25" t="str">
        <f>VLOOKUP(E45, Factor!$CL$5:$CV$50, 3, 0)</f>
        <v>ammo</v>
      </c>
      <c r="I45" s="25" t="str">
        <f>VLOOKUP(E45, Factor!$CL$5:$CV$50, 4, 0)</f>
        <v>L</v>
      </c>
      <c r="J45" s="25" t="str">
        <f>VLOOKUP(E45, Factor!$CL$5:$CV$50, 5, 0)</f>
        <v>spread</v>
      </c>
      <c r="K45" s="25">
        <v>1</v>
      </c>
      <c r="L45" s="25">
        <f>VLOOKUP(E45, Factor!$CL$5:$CV$50, 6, 0)*K45*VLOOKUP(D45, Factor!$BZ$5:$CJ$49, 9, 0)</f>
        <v>0</v>
      </c>
      <c r="M45" s="25" t="str">
        <f>VLOOKUP(E45, Factor!$CL$5:$CV$50, 7, 0)</f>
        <v>null</v>
      </c>
      <c r="N45" s="25">
        <v>1</v>
      </c>
      <c r="O45" s="25">
        <f>VLOOKUP(E45, Factor!$CL$5:$CV$50, 8, 0)*N45*VLOOKUP(D45, Factor!$BZ$5:$CJ$49, 10, 0)</f>
        <v>0</v>
      </c>
      <c r="P45" s="25">
        <v>1</v>
      </c>
      <c r="Q45" s="25">
        <f>VLOOKUP(E45, Factor!$CL$5:$CV$50, 9, 0)*P45*VLOOKUP(D45, Factor!$BZ$5:$CJ$49, 11, 0)</f>
        <v>1</v>
      </c>
      <c r="R45" s="25" t="str">
        <f>VLOOKUP(E45, Factor!$CL$5:$CV$50, 10, 0)</f>
        <v>null</v>
      </c>
      <c r="S45" s="25" t="str">
        <f>VLOOKUP(E45, Factor!$CL$5:$CV$50, 11, 0)</f>
        <v>null</v>
      </c>
      <c r="T45" s="25">
        <v>1</v>
      </c>
      <c r="U45" s="25">
        <v>1</v>
      </c>
      <c r="V45" s="25">
        <v>1</v>
      </c>
      <c r="W45" s="25">
        <v>1</v>
      </c>
      <c r="X45" s="25">
        <v>1</v>
      </c>
      <c r="Y45" s="25">
        <v>1</v>
      </c>
      <c r="Z45" s="25">
        <v>1</v>
      </c>
      <c r="AA45" s="25" cm="1">
        <f t="array" ref="AA45">_xlfn.LET(_xlpm.기본_색인번호, 2,
_xlpm.추가_색인번호, 3,
_xlpm.개별보정치, T45,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B45" s="25" cm="1">
        <f t="array" ref="AB45">_xlfn.LET(_xlpm.기본_색인번호, 3,
_xlpm.추가_색인번호, 4,
_xlpm.개별보정치, U45,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5" s="25" cm="1">
        <f t="array" ref="AC45">_xlfn.LET(_xlpm.기본_색인번호, 4,
_xlpm.추가_색인번호, 5,
_xlpm.개별보정치, V45,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5" s="25" cm="1">
        <f t="array" ref="AD45">_xlfn.LET(_xlpm.기본_색인번호, 5,
_xlpm.추가_색인번호, 6,
_xlpm.개별보정치, W45,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45" s="25" cm="1">
        <f t="array" ref="AE45">_xlfn.LET(_xlpm.기본_색인번호, 6,
_xlpm.추가_색인번호, 7,
_xlpm.개별보정치, X45,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45" s="25" cm="1">
        <f t="array" ref="AF45">_xlfn.LET(_xlpm.기본_색인번호, 7,
_xlpm.추가_색인번호, 8,
_xlpm.개별보정치, Y45,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5" s="27" cm="1">
        <f t="array" ref="AG45">_xlfn.LET(_xlpm.기본_색인번호, 8,
_xlpm.추가_색인번호, 9,
_xlpm.개별보정치, Z45,
_xlpm.패턴보정치, VLOOKUP($G45, Factor!$B$5:$I$51, _xlpm.기본_색인번호, 0),
_xlpm.소모탄환보정치, VLOOKUP($H45, Factor!$T$5:$AA$51, _xlpm.기본_색인번호, 0),
_xlpm.지형보정치, VLOOKUP($I45, Factor!$K$12:$R$13, _xlpm.기본_색인번호, 0),
_xlpm.공격속성보정치, VLOOKUP($J45, Factor!$K$5:$R$7, _xlpm.기본_색인번호, 0),
_xlpm.피해범위보정치, INDEX(Factor!$AN$5:$AV$51, _xlfn.XMATCH(IF(OR($G45="blast", $G45="curved",  $G45= "debuff"), $L45, 0), Factor!$AN$5:$AN$51, -1), _xlpm.추가_색인번호)-IF(AND(OR($G45="blast", $G45="curved", $G45= "debuff"), MOD($L45,1)&lt;&gt;0),INDEX(Factor!$AN$5:$AV$51, _xlfn.XMATCH(IF(OR($G45="blast", $G45="curved", $G45= "debuff"), $L45, 0), Factor!$AN$5:$AN$51, -1), 2)*MOD($L45,1)*10,0),
_xlpm.상태이상보정치, VLOOKUP(IF($G45 = "debuff", $M45, "null"), Factor!$AX$5:$BE$51, _xlpm.기본_색인번호, 0),
_xlpm.지속시간보정치, INDEX(Factor!$BG$5:$BO$51, _xlfn.XMATCH(IF(OR($G45 ="debuff", $G45 = "shot", $G45 = "pierce"), $O45, 0), Factor!$BG$5:$BG$51, -1), _xlpm.추가_색인번호)-IF(AND(OR($G45 ="debuff", $G45 = "shot", $G45 = "pierce"), MOD($O45, 1)&lt;&gt;0), 10*MOD($O45, 1)*INDEX(Factor!$BG$5:$BO$51, _xlfn.XMATCH(IF(OR($G45 ="debuff", $G45 = "shot", $G45 = "pierce"), $O45, 0), Factor!$BG$5:$BG$51, -1), 2), 0),
_xlpm.탄환개수보정치, VLOOKUP(IF(OR($G45 = "curved", $G45 = "shot"), $Q45, 1), Factor!$BQ$5:$BX$51, _xlpm.기본_색인번호, 0),
_xlpm.상태이상탄환생성위치보정치, IF($G45 = "debuff", VLOOKUP($R45, Factor!$K$18:$R$19, _xlpm.기본_색인번호, 0),1),
_xlpm.상태이상탄환형태보정치, IF($G45 = "debuff", VLOOKUP($S45, Factor!$K$24:$R$25, _xlpm.기본_색인번호, 0),1),
_xlpm.가격보정치, INDEX(Factor!$AE$5:$AL$51, _xlfn.XMATCH($F45,Factor!$AE$5:$AE$51, -1), _xlpm.기본_색인번호),
_xlpm.구경보정치, VLOOKUP($D45,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H45"/>
      <c r="AI45"/>
      <c r="AJ45"/>
      <c r="AK45"/>
      <c r="AL45"/>
      <c r="AM45"/>
      <c r="AN45"/>
    </row>
    <row r="46" spans="1:40" ht="15.75" customHeight="1">
      <c r="A46" s="28" t="str">
        <f>"weapon_"&amp;G46&amp;"_"&amp;VLOOKUP(H46, Factor!$T$5:$AB$7, 9, 0)&amp;"_"&amp;IF(COUNTIFS($G$4:G45, G46, $H$4:H45, H46)+1&gt;=100, COUNTIFS($G$4:G45, G46, $H$4:H45, H46)+1,IF(COUNTIFS($G$4:G45, G46, $H$4:H45, H46)+1&gt;=10, "0"&amp;COUNTIFS($G$4:G45, G46, $H$4:H45, H46)+1, "00"&amp;COUNTIFS($G$4:G45, G46, $H$4:H45, H46)+1))</f>
        <v>weapon_single_Am_042</v>
      </c>
      <c r="B46" s="37" t="str">
        <f t="shared" si="0"/>
        <v>T8 5.56mm기관포</v>
      </c>
      <c r="C46" s="37" t="s">
        <v>255</v>
      </c>
      <c r="D46" s="37" t="s">
        <v>258</v>
      </c>
      <c r="E46" s="37" t="s">
        <v>151</v>
      </c>
      <c r="F46" s="29">
        <f>VLOOKUP(C46, Factor!$AD$5:$AE$15, 2, 0)</f>
        <v>8000</v>
      </c>
      <c r="G46" s="29" t="str">
        <f>VLOOKUP(E46, Factor!$CL$5:$CV$50, 2, 0)</f>
        <v>single</v>
      </c>
      <c r="H46" s="29" t="str">
        <f>VLOOKUP(E46, Factor!$CL$5:$CV$50, 3, 0)</f>
        <v>ammo</v>
      </c>
      <c r="I46" s="29" t="str">
        <f>VLOOKUP(E46, Factor!$CL$5:$CV$50, 4, 0)</f>
        <v>L</v>
      </c>
      <c r="J46" s="29" t="str">
        <f>VLOOKUP(E46, Factor!$CL$5:$CV$50, 5, 0)</f>
        <v>spread</v>
      </c>
      <c r="K46" s="29">
        <v>1</v>
      </c>
      <c r="L46" s="29">
        <f>VLOOKUP(E46, Factor!$CL$5:$CV$50, 6, 0)*K46*VLOOKUP(D46, Factor!$BZ$5:$CJ$49, 9, 0)</f>
        <v>0</v>
      </c>
      <c r="M46" s="29" t="str">
        <f>VLOOKUP(E46, Factor!$CL$5:$CV$50, 7, 0)</f>
        <v>null</v>
      </c>
      <c r="N46" s="29">
        <v>1</v>
      </c>
      <c r="O46" s="29">
        <f>VLOOKUP(E46, Factor!$CL$5:$CV$50, 8, 0)*N46*VLOOKUP(D46, Factor!$BZ$5:$CJ$49, 10, 0)</f>
        <v>0</v>
      </c>
      <c r="P46" s="29">
        <v>1</v>
      </c>
      <c r="Q46" s="29">
        <f>VLOOKUP(E46, Factor!$CL$5:$CV$50, 9, 0)*P46*VLOOKUP(D46, Factor!$BZ$5:$CJ$49, 11, 0)</f>
        <v>2</v>
      </c>
      <c r="R46" s="29" t="str">
        <f>VLOOKUP(E46, Factor!$CL$5:$CV$50, 10, 0)</f>
        <v>null</v>
      </c>
      <c r="S46" s="29" t="str">
        <f>VLOOKUP(E46, Factor!$CL$5:$CV$50, 11, 0)</f>
        <v>null</v>
      </c>
      <c r="T46" s="29">
        <v>1</v>
      </c>
      <c r="U46" s="29">
        <v>1</v>
      </c>
      <c r="V46" s="29">
        <v>1</v>
      </c>
      <c r="W46" s="29">
        <v>1</v>
      </c>
      <c r="X46" s="29">
        <v>1</v>
      </c>
      <c r="Y46" s="29">
        <v>1</v>
      </c>
      <c r="Z46" s="29">
        <v>1</v>
      </c>
      <c r="AA46" s="29" cm="1">
        <f t="array" ref="AA46">_xlfn.LET(_xlpm.기본_색인번호, 2,
_xlpm.추가_색인번호, 3,
_xlpm.개별보정치, T46,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B46" s="29" cm="1">
        <f t="array" ref="AB46">_xlfn.LET(_xlpm.기본_색인번호, 3,
_xlpm.추가_색인번호, 4,
_xlpm.개별보정치, U46,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6" s="29" cm="1">
        <f t="array" ref="AC46">_xlfn.LET(_xlpm.기본_색인번호, 4,
_xlpm.추가_색인번호, 5,
_xlpm.개별보정치, V46,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6" s="29" cm="1">
        <f t="array" ref="AD46">_xlfn.LET(_xlpm.기본_색인번호, 5,
_xlpm.추가_색인번호, 6,
_xlpm.개별보정치, W46,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46" s="29" cm="1">
        <f t="array" ref="AE46">_xlfn.LET(_xlpm.기본_색인번호, 6,
_xlpm.추가_색인번호, 7,
_xlpm.개별보정치, X46,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46" s="29" cm="1">
        <f t="array" ref="AF46">_xlfn.LET(_xlpm.기본_색인번호, 7,
_xlpm.추가_색인번호, 8,
_xlpm.개별보정치, Y46,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6" s="30" cm="1">
        <f t="array" ref="AG46">_xlfn.LET(_xlpm.기본_색인번호, 8,
_xlpm.추가_색인번호, 9,
_xlpm.개별보정치, Z46,
_xlpm.패턴보정치, VLOOKUP($G46, Factor!$B$5:$I$51, _xlpm.기본_색인번호, 0),
_xlpm.소모탄환보정치, VLOOKUP($H46, Factor!$T$5:$AA$51, _xlpm.기본_색인번호, 0),
_xlpm.지형보정치, VLOOKUP($I46, Factor!$K$12:$R$13, _xlpm.기본_색인번호, 0),
_xlpm.공격속성보정치, VLOOKUP($J46, Factor!$K$5:$R$7, _xlpm.기본_색인번호, 0),
_xlpm.피해범위보정치, INDEX(Factor!$AN$5:$AV$51, _xlfn.XMATCH(IF(OR($G46="blast", $G46="curved",  $G46= "debuff"), $L46, 0), Factor!$AN$5:$AN$51, -1), _xlpm.추가_색인번호)-IF(AND(OR($G46="blast", $G46="curved", $G46= "debuff"), MOD($L46,1)&lt;&gt;0),INDEX(Factor!$AN$5:$AV$51, _xlfn.XMATCH(IF(OR($G46="blast", $G46="curved", $G46= "debuff"), $L46, 0), Factor!$AN$5:$AN$51, -1), 2)*MOD($L46,1)*10,0),
_xlpm.상태이상보정치, VLOOKUP(IF($G46 = "debuff", $M46, "null"), Factor!$AX$5:$BE$51, _xlpm.기본_색인번호, 0),
_xlpm.지속시간보정치, INDEX(Factor!$BG$5:$BO$51, _xlfn.XMATCH(IF(OR($G46 ="debuff", $G46 = "shot", $G46 = "pierce"), $O46, 0), Factor!$BG$5:$BG$51, -1), _xlpm.추가_색인번호)-IF(AND(OR($G46 ="debuff", $G46 = "shot", $G46 = "pierce"), MOD($O46, 1)&lt;&gt;0), 10*MOD($O46, 1)*INDEX(Factor!$BG$5:$BO$51, _xlfn.XMATCH(IF(OR($G46 ="debuff", $G46 = "shot", $G46 = "pierce"), $O46, 0), Factor!$BG$5:$BG$51, -1), 2), 0),
_xlpm.탄환개수보정치, VLOOKUP(IF(OR($G46 = "curved", $G46 = "shot"), $Q46, 1), Factor!$BQ$5:$BX$51, _xlpm.기본_색인번호, 0),
_xlpm.상태이상탄환생성위치보정치, IF($G46 = "debuff", VLOOKUP($R46, Factor!$K$18:$R$19, _xlpm.기본_색인번호, 0),1),
_xlpm.상태이상탄환형태보정치, IF($G46 = "debuff", VLOOKUP($S46, Factor!$K$24:$R$25, _xlpm.기본_색인번호, 0),1),
_xlpm.가격보정치, INDEX(Factor!$AE$5:$AL$51, _xlfn.XMATCH($F46,Factor!$AE$5:$AE$51, -1), _xlpm.기본_색인번호),
_xlpm.구경보정치, VLOOKUP($D46,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H46"/>
      <c r="AI46"/>
      <c r="AJ46"/>
      <c r="AK46"/>
      <c r="AL46"/>
      <c r="AM46"/>
      <c r="AN46"/>
    </row>
    <row r="47" spans="1:40" ht="15.75" customHeight="1">
      <c r="A47" s="24" t="str">
        <f>"weapon_"&amp;G47&amp;"_"&amp;VLOOKUP(H47, Factor!$T$5:$AB$7, 9, 0)&amp;"_"&amp;IF(COUNTIFS($G$4:G46, G47, $H$4:H46, H47)+1&gt;=100, COUNTIFS($G$4:G46, G47, $H$4:H46, H47)+1,IF(COUNTIFS($G$4:G46, G47, $H$4:H46, H47)+1&gt;=10, "0"&amp;COUNTIFS($G$4:G46, G47, $H$4:H46, H47)+1, "00"&amp;COUNTIFS($G$4:G46, G47, $H$4:H46, H47)+1))</f>
        <v>weapon_single_Am_043</v>
      </c>
      <c r="B47" s="36" t="str">
        <f t="shared" si="0"/>
        <v>T8 7.62mm기관포</v>
      </c>
      <c r="C47" s="36" t="s">
        <v>255</v>
      </c>
      <c r="D47" s="36" t="s">
        <v>259</v>
      </c>
      <c r="E47" s="36" t="s">
        <v>151</v>
      </c>
      <c r="F47" s="25">
        <f>VLOOKUP(C47, Factor!$AD$5:$AE$15, 2, 0)</f>
        <v>8000</v>
      </c>
      <c r="G47" s="26" t="str">
        <f>VLOOKUP(E47, Factor!$CL$5:$CV$50, 2, 0)</f>
        <v>single</v>
      </c>
      <c r="H47" s="25" t="str">
        <f>VLOOKUP(E47, Factor!$CL$5:$CV$50, 3, 0)</f>
        <v>ammo</v>
      </c>
      <c r="I47" s="25" t="str">
        <f>VLOOKUP(E47, Factor!$CL$5:$CV$50, 4, 0)</f>
        <v>L</v>
      </c>
      <c r="J47" s="25" t="str">
        <f>VLOOKUP(E47, Factor!$CL$5:$CV$50, 5, 0)</f>
        <v>spread</v>
      </c>
      <c r="K47" s="25">
        <v>1</v>
      </c>
      <c r="L47" s="25">
        <f>VLOOKUP(E47, Factor!$CL$5:$CV$50, 6, 0)*K47*VLOOKUP(D47, Factor!$BZ$5:$CJ$49, 9, 0)</f>
        <v>0</v>
      </c>
      <c r="M47" s="25" t="str">
        <f>VLOOKUP(E47, Factor!$CL$5:$CV$50, 7, 0)</f>
        <v>null</v>
      </c>
      <c r="N47" s="25">
        <v>1</v>
      </c>
      <c r="O47" s="25">
        <f>VLOOKUP(E47, Factor!$CL$5:$CV$50, 8, 0)*N47*VLOOKUP(D47, Factor!$BZ$5:$CJ$49, 10, 0)</f>
        <v>0</v>
      </c>
      <c r="P47" s="25">
        <v>1</v>
      </c>
      <c r="Q47" s="25">
        <f>VLOOKUP(E47, Factor!$CL$5:$CV$50, 9, 0)*P47*VLOOKUP(D47, Factor!$BZ$5:$CJ$49, 11, 0)</f>
        <v>3</v>
      </c>
      <c r="R47" s="25" t="str">
        <f>VLOOKUP(E47, Factor!$CL$5:$CV$50, 10, 0)</f>
        <v>null</v>
      </c>
      <c r="S47" s="25" t="str">
        <f>VLOOKUP(E47, Factor!$CL$5:$CV$50, 11, 0)</f>
        <v>null</v>
      </c>
      <c r="T47" s="25">
        <v>1</v>
      </c>
      <c r="U47" s="25">
        <v>1</v>
      </c>
      <c r="V47" s="25">
        <v>1</v>
      </c>
      <c r="W47" s="25">
        <v>1</v>
      </c>
      <c r="X47" s="25">
        <v>1</v>
      </c>
      <c r="Y47" s="25">
        <v>1</v>
      </c>
      <c r="Z47" s="25">
        <v>1</v>
      </c>
      <c r="AA47" s="25" cm="1">
        <f t="array" ref="AA47">_xlfn.LET(_xlpm.기본_색인번호, 2,
_xlpm.추가_색인번호, 3,
_xlpm.개별보정치, T47,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B47" s="25" cm="1">
        <f t="array" ref="AB47">_xlfn.LET(_xlpm.기본_색인번호, 3,
_xlpm.추가_색인번호, 4,
_xlpm.개별보정치, U47,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7" s="25" cm="1">
        <f t="array" ref="AC47">_xlfn.LET(_xlpm.기본_색인번호, 4,
_xlpm.추가_색인번호, 5,
_xlpm.개별보정치, V47,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7" s="25" cm="1">
        <f t="array" ref="AD47">_xlfn.LET(_xlpm.기본_색인번호, 5,
_xlpm.추가_색인번호, 6,
_xlpm.개별보정치, W47,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47" s="25" cm="1">
        <f t="array" ref="AE47">_xlfn.LET(_xlpm.기본_색인번호, 6,
_xlpm.추가_색인번호, 7,
_xlpm.개별보정치, X47,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47" s="25" cm="1">
        <f t="array" ref="AF47">_xlfn.LET(_xlpm.기본_색인번호, 7,
_xlpm.추가_색인번호, 8,
_xlpm.개별보정치, Y47,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7" s="27" cm="1">
        <f t="array" ref="AG47">_xlfn.LET(_xlpm.기본_색인번호, 8,
_xlpm.추가_색인번호, 9,
_xlpm.개별보정치, Z47,
_xlpm.패턴보정치, VLOOKUP($G47, Factor!$B$5:$I$51, _xlpm.기본_색인번호, 0),
_xlpm.소모탄환보정치, VLOOKUP($H47, Factor!$T$5:$AA$51, _xlpm.기본_색인번호, 0),
_xlpm.지형보정치, VLOOKUP($I47, Factor!$K$12:$R$13, _xlpm.기본_색인번호, 0),
_xlpm.공격속성보정치, VLOOKUP($J47, Factor!$K$5:$R$7, _xlpm.기본_색인번호, 0),
_xlpm.피해범위보정치, INDEX(Factor!$AN$5:$AV$51, _xlfn.XMATCH(IF(OR($G47="blast", $G47="curved",  $G47= "debuff"), $L47, 0), Factor!$AN$5:$AN$51, -1), _xlpm.추가_색인번호)-IF(AND(OR($G47="blast", $G47="curved", $G47= "debuff"), MOD($L47,1)&lt;&gt;0),INDEX(Factor!$AN$5:$AV$51, _xlfn.XMATCH(IF(OR($G47="blast", $G47="curved", $G47= "debuff"), $L47, 0), Factor!$AN$5:$AN$51, -1), 2)*MOD($L47,1)*10,0),
_xlpm.상태이상보정치, VLOOKUP(IF($G47 = "debuff", $M47, "null"), Factor!$AX$5:$BE$51, _xlpm.기본_색인번호, 0),
_xlpm.지속시간보정치, INDEX(Factor!$BG$5:$BO$51, _xlfn.XMATCH(IF(OR($G47 ="debuff", $G47 = "shot", $G47 = "pierce"), $O47, 0), Factor!$BG$5:$BG$51, -1), _xlpm.추가_색인번호)-IF(AND(OR($G47 ="debuff", $G47 = "shot", $G47 = "pierce"), MOD($O47, 1)&lt;&gt;0), 10*MOD($O47, 1)*INDEX(Factor!$BG$5:$BO$51, _xlfn.XMATCH(IF(OR($G47 ="debuff", $G47 = "shot", $G47 = "pierce"), $O47, 0), Factor!$BG$5:$BG$51, -1), 2), 0),
_xlpm.탄환개수보정치, VLOOKUP(IF(OR($G47 = "curved", $G47 = "shot"), $Q47, 1), Factor!$BQ$5:$BX$51, _xlpm.기본_색인번호, 0),
_xlpm.상태이상탄환생성위치보정치, IF($G47 = "debuff", VLOOKUP($R47, Factor!$K$18:$R$19, _xlpm.기본_색인번호, 0),1),
_xlpm.상태이상탄환형태보정치, IF($G47 = "debuff", VLOOKUP($S47, Factor!$K$24:$R$25, _xlpm.기본_색인번호, 0),1),
_xlpm.가격보정치, INDEX(Factor!$AE$5:$AL$51, _xlfn.XMATCH($F47,Factor!$AE$5:$AE$51, -1), _xlpm.기본_색인번호),
_xlpm.구경보정치, VLOOKUP($D47,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H47"/>
      <c r="AI47"/>
      <c r="AJ47"/>
      <c r="AK47"/>
      <c r="AL47"/>
      <c r="AM47"/>
      <c r="AN47"/>
    </row>
    <row r="48" spans="1:40" ht="15.75" customHeight="1">
      <c r="A48" s="28" t="str">
        <f>"weapon_"&amp;G48&amp;"_"&amp;VLOOKUP(H48, Factor!$T$5:$AB$7, 9, 0)&amp;"_"&amp;IF(COUNTIFS($G$4:G47, G48, $H$4:H47, H48)+1&gt;=100, COUNTIFS($G$4:G47, G48, $H$4:H47, H48)+1,IF(COUNTIFS($G$4:G47, G48, $H$4:H47, H48)+1&gt;=10, "0"&amp;COUNTIFS($G$4:G47, G48, $H$4:H47, H48)+1, "00"&amp;COUNTIFS($G$4:G47, G48, $H$4:H47, H48)+1))</f>
        <v>weapon_single_Am_044</v>
      </c>
      <c r="B48" s="37" t="str">
        <f t="shared" si="0"/>
        <v>T8 12.7mm기관포</v>
      </c>
      <c r="C48" s="37" t="s">
        <v>255</v>
      </c>
      <c r="D48" s="37" t="s">
        <v>260</v>
      </c>
      <c r="E48" s="37" t="s">
        <v>151</v>
      </c>
      <c r="F48" s="29">
        <f>VLOOKUP(C48, Factor!$AD$5:$AE$15, 2, 0)</f>
        <v>8000</v>
      </c>
      <c r="G48" s="29" t="str">
        <f>VLOOKUP(E48, Factor!$CL$5:$CV$50, 2, 0)</f>
        <v>single</v>
      </c>
      <c r="H48" s="29" t="str">
        <f>VLOOKUP(E48, Factor!$CL$5:$CV$50, 3, 0)</f>
        <v>ammo</v>
      </c>
      <c r="I48" s="29" t="str">
        <f>VLOOKUP(E48, Factor!$CL$5:$CV$50, 4, 0)</f>
        <v>L</v>
      </c>
      <c r="J48" s="29" t="str">
        <f>VLOOKUP(E48, Factor!$CL$5:$CV$50, 5, 0)</f>
        <v>spread</v>
      </c>
      <c r="K48" s="29">
        <v>1</v>
      </c>
      <c r="L48" s="29">
        <f>VLOOKUP(E48, Factor!$CL$5:$CV$50, 6, 0)*K48*VLOOKUP(D48, Factor!$BZ$5:$CJ$49, 9, 0)</f>
        <v>0</v>
      </c>
      <c r="M48" s="29" t="str">
        <f>VLOOKUP(E48, Factor!$CL$5:$CV$50, 7, 0)</f>
        <v>null</v>
      </c>
      <c r="N48" s="29">
        <v>1</v>
      </c>
      <c r="O48" s="29">
        <f>VLOOKUP(E48, Factor!$CL$5:$CV$50, 8, 0)*N48*VLOOKUP(D48, Factor!$BZ$5:$CJ$49, 10, 0)</f>
        <v>0</v>
      </c>
      <c r="P48" s="29">
        <v>1</v>
      </c>
      <c r="Q48" s="29">
        <f>VLOOKUP(E48, Factor!$CL$5:$CV$50, 9, 0)*P48*VLOOKUP(D48, Factor!$BZ$5:$CJ$49, 11, 0)</f>
        <v>4</v>
      </c>
      <c r="R48" s="29" t="str">
        <f>VLOOKUP(E48, Factor!$CL$5:$CV$50, 10, 0)</f>
        <v>null</v>
      </c>
      <c r="S48" s="29" t="str">
        <f>VLOOKUP(E48, Factor!$CL$5:$CV$50, 11, 0)</f>
        <v>null</v>
      </c>
      <c r="T48" s="29">
        <v>1</v>
      </c>
      <c r="U48" s="29">
        <v>1</v>
      </c>
      <c r="V48" s="29">
        <v>1</v>
      </c>
      <c r="W48" s="29">
        <v>1</v>
      </c>
      <c r="X48" s="29">
        <v>1</v>
      </c>
      <c r="Y48" s="29">
        <v>1</v>
      </c>
      <c r="Z48" s="29">
        <v>1</v>
      </c>
      <c r="AA48" s="29" cm="1">
        <f t="array" ref="AA48">_xlfn.LET(_xlpm.기본_색인번호, 2,
_xlpm.추가_색인번호, 3,
_xlpm.개별보정치, T48,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B48" s="29" cm="1">
        <f t="array" ref="AB48">_xlfn.LET(_xlpm.기본_색인번호, 3,
_xlpm.추가_색인번호, 4,
_xlpm.개별보정치, U48,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8" s="29" cm="1">
        <f t="array" ref="AC48">_xlfn.LET(_xlpm.기본_색인번호, 4,
_xlpm.추가_색인번호, 5,
_xlpm.개별보정치, V48,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8" s="29" cm="1">
        <f t="array" ref="AD48">_xlfn.LET(_xlpm.기본_색인번호, 5,
_xlpm.추가_색인번호, 6,
_xlpm.개별보정치, W48,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48" s="29" cm="1">
        <f t="array" ref="AE48">_xlfn.LET(_xlpm.기본_색인번호, 6,
_xlpm.추가_색인번호, 7,
_xlpm.개별보정치, X48,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48" s="29" cm="1">
        <f t="array" ref="AF48">_xlfn.LET(_xlpm.기본_색인번호, 7,
_xlpm.추가_색인번호, 8,
_xlpm.개별보정치, Y48,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8" s="30" cm="1">
        <f t="array" ref="AG48">_xlfn.LET(_xlpm.기본_색인번호, 8,
_xlpm.추가_색인번호, 9,
_xlpm.개별보정치, Z48,
_xlpm.패턴보정치, VLOOKUP($G48, Factor!$B$5:$I$51, _xlpm.기본_색인번호, 0),
_xlpm.소모탄환보정치, VLOOKUP($H48, Factor!$T$5:$AA$51, _xlpm.기본_색인번호, 0),
_xlpm.지형보정치, VLOOKUP($I48, Factor!$K$12:$R$13, _xlpm.기본_색인번호, 0),
_xlpm.공격속성보정치, VLOOKUP($J48, Factor!$K$5:$R$7, _xlpm.기본_색인번호, 0),
_xlpm.피해범위보정치, INDEX(Factor!$AN$5:$AV$51, _xlfn.XMATCH(IF(OR($G48="blast", $G48="curved",  $G48= "debuff"), $L48, 0), Factor!$AN$5:$AN$51, -1), _xlpm.추가_색인번호)-IF(AND(OR($G48="blast", $G48="curved", $G48= "debuff"), MOD($L48,1)&lt;&gt;0),INDEX(Factor!$AN$5:$AV$51, _xlfn.XMATCH(IF(OR($G48="blast", $G48="curved", $G48= "debuff"), $L48, 0), Factor!$AN$5:$AN$51, -1), 2)*MOD($L48,1)*10,0),
_xlpm.상태이상보정치, VLOOKUP(IF($G48 = "debuff", $M48, "null"), Factor!$AX$5:$BE$51, _xlpm.기본_색인번호, 0),
_xlpm.지속시간보정치, INDEX(Factor!$BG$5:$BO$51, _xlfn.XMATCH(IF(OR($G48 ="debuff", $G48 = "shot", $G48 = "pierce"), $O48, 0), Factor!$BG$5:$BG$51, -1), _xlpm.추가_색인번호)-IF(AND(OR($G48 ="debuff", $G48 = "shot", $G48 = "pierce"), MOD($O48, 1)&lt;&gt;0), 10*MOD($O48, 1)*INDEX(Factor!$BG$5:$BO$51, _xlfn.XMATCH(IF(OR($G48 ="debuff", $G48 = "shot", $G48 = "pierce"), $O48, 0), Factor!$BG$5:$BG$51, -1), 2), 0),
_xlpm.탄환개수보정치, VLOOKUP(IF(OR($G48 = "curved", $G48 = "shot"), $Q48, 1), Factor!$BQ$5:$BX$51, _xlpm.기본_색인번호, 0),
_xlpm.상태이상탄환생성위치보정치, IF($G48 = "debuff", VLOOKUP($R48, Factor!$K$18:$R$19, _xlpm.기본_색인번호, 0),1),
_xlpm.상태이상탄환형태보정치, IF($G48 = "debuff", VLOOKUP($S48, Factor!$K$24:$R$25, _xlpm.기본_색인번호, 0),1),
_xlpm.가격보정치, INDEX(Factor!$AE$5:$AL$51, _xlfn.XMATCH($F48,Factor!$AE$5:$AE$51, -1), _xlpm.기본_색인번호),
_xlpm.구경보정치, VLOOKUP($D48,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H48"/>
      <c r="AI48"/>
      <c r="AJ48"/>
      <c r="AK48"/>
      <c r="AL48"/>
      <c r="AM48"/>
      <c r="AN48"/>
    </row>
    <row r="49" spans="1:40" ht="15.75" customHeight="1">
      <c r="A49" s="24" t="str">
        <f>"weapon_"&amp;G49&amp;"_"&amp;VLOOKUP(H49, Factor!$T$5:$AB$7, 9, 0)&amp;"_"&amp;IF(COUNTIFS($G$4:G48, G49, $H$4:H48, H49)+1&gt;=100, COUNTIFS($G$4:G48, G49, $H$4:H48, H49)+1,IF(COUNTIFS($G$4:G48, G49, $H$4:H48, H49)+1&gt;=10, "0"&amp;COUNTIFS($G$4:G48, G49, $H$4:H48, H49)+1, "00"&amp;COUNTIFS($G$4:G48, G49, $H$4:H48, H49)+1))</f>
        <v>weapon_single_Am_045</v>
      </c>
      <c r="B49" s="36" t="str">
        <f t="shared" si="0"/>
        <v>T8 20mm기관포</v>
      </c>
      <c r="C49" s="36" t="s">
        <v>255</v>
      </c>
      <c r="D49" s="36" t="s">
        <v>261</v>
      </c>
      <c r="E49" s="36" t="s">
        <v>151</v>
      </c>
      <c r="F49" s="25">
        <f>VLOOKUP(C49, Factor!$AD$5:$AE$15, 2, 0)</f>
        <v>8000</v>
      </c>
      <c r="G49" s="26" t="str">
        <f>VLOOKUP(E49, Factor!$CL$5:$CV$50, 2, 0)</f>
        <v>single</v>
      </c>
      <c r="H49" s="25" t="str">
        <f>VLOOKUP(E49, Factor!$CL$5:$CV$50, 3, 0)</f>
        <v>ammo</v>
      </c>
      <c r="I49" s="25" t="str">
        <f>VLOOKUP(E49, Factor!$CL$5:$CV$50, 4, 0)</f>
        <v>L</v>
      </c>
      <c r="J49" s="25" t="str">
        <f>VLOOKUP(E49, Factor!$CL$5:$CV$50, 5, 0)</f>
        <v>spread</v>
      </c>
      <c r="K49" s="25">
        <v>1</v>
      </c>
      <c r="L49" s="25">
        <f>VLOOKUP(E49, Factor!$CL$5:$CV$50, 6, 0)*K49*VLOOKUP(D49, Factor!$BZ$5:$CJ$49, 9, 0)</f>
        <v>0</v>
      </c>
      <c r="M49" s="25" t="str">
        <f>VLOOKUP(E49, Factor!$CL$5:$CV$50, 7, 0)</f>
        <v>null</v>
      </c>
      <c r="N49" s="25">
        <v>1</v>
      </c>
      <c r="O49" s="25">
        <f>VLOOKUP(E49, Factor!$CL$5:$CV$50, 8, 0)*N49*VLOOKUP(D49, Factor!$BZ$5:$CJ$49, 10, 0)</f>
        <v>0</v>
      </c>
      <c r="P49" s="25">
        <v>1</v>
      </c>
      <c r="Q49" s="25">
        <f>VLOOKUP(E49, Factor!$CL$5:$CV$50, 9, 0)*P49*VLOOKUP(D49, Factor!$BZ$5:$CJ$49, 11, 0)</f>
        <v>5</v>
      </c>
      <c r="R49" s="25" t="str">
        <f>VLOOKUP(E49, Factor!$CL$5:$CV$50, 10, 0)</f>
        <v>null</v>
      </c>
      <c r="S49" s="25" t="str">
        <f>VLOOKUP(E49, Factor!$CL$5:$CV$50, 11, 0)</f>
        <v>null</v>
      </c>
      <c r="T49" s="25">
        <v>1</v>
      </c>
      <c r="U49" s="25">
        <v>1</v>
      </c>
      <c r="V49" s="25">
        <v>1</v>
      </c>
      <c r="W49" s="25">
        <v>1</v>
      </c>
      <c r="X49" s="25">
        <v>1</v>
      </c>
      <c r="Y49" s="25">
        <v>1</v>
      </c>
      <c r="Z49" s="25">
        <v>1</v>
      </c>
      <c r="AA49" s="25" cm="1">
        <f t="array" ref="AA49">_xlfn.LET(_xlpm.기본_색인번호, 2,
_xlpm.추가_색인번호, 3,
_xlpm.개별보정치, T49,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B49" s="25" cm="1">
        <f t="array" ref="AB49">_xlfn.LET(_xlpm.기본_색인번호, 3,
_xlpm.추가_색인번호, 4,
_xlpm.개별보정치, U49,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C49" s="25" cm="1">
        <f t="array" ref="AC49">_xlfn.LET(_xlpm.기본_색인번호, 4,
_xlpm.추가_색인번호, 5,
_xlpm.개별보정치, V49,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49" s="25" cm="1">
        <f t="array" ref="AD49">_xlfn.LET(_xlpm.기본_색인번호, 5,
_xlpm.추가_색인번호, 6,
_xlpm.개별보정치, W49,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49" s="25" cm="1">
        <f t="array" ref="AE49">_xlfn.LET(_xlpm.기본_색인번호, 6,
_xlpm.추가_색인번호, 7,
_xlpm.개별보정치, X49,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49" s="25" cm="1">
        <f t="array" ref="AF49">_xlfn.LET(_xlpm.기본_색인번호, 7,
_xlpm.추가_색인번호, 8,
_xlpm.개별보정치, Y49,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49" s="27" cm="1">
        <f t="array" ref="AG49">_xlfn.LET(_xlpm.기본_색인번호, 8,
_xlpm.추가_색인번호, 9,
_xlpm.개별보정치, Z49,
_xlpm.패턴보정치, VLOOKUP($G49, Factor!$B$5:$I$51, _xlpm.기본_색인번호, 0),
_xlpm.소모탄환보정치, VLOOKUP($H49, Factor!$T$5:$AA$51, _xlpm.기본_색인번호, 0),
_xlpm.지형보정치, VLOOKUP($I49, Factor!$K$12:$R$13, _xlpm.기본_색인번호, 0),
_xlpm.공격속성보정치, VLOOKUP($J49, Factor!$K$5:$R$7, _xlpm.기본_색인번호, 0),
_xlpm.피해범위보정치, INDEX(Factor!$AN$5:$AV$51, _xlfn.XMATCH(IF(OR($G49="blast", $G49="curved",  $G49= "debuff"), $L49, 0), Factor!$AN$5:$AN$51, -1), _xlpm.추가_색인번호)-IF(AND(OR($G49="blast", $G49="curved", $G49= "debuff"), MOD($L49,1)&lt;&gt;0),INDEX(Factor!$AN$5:$AV$51, _xlfn.XMATCH(IF(OR($G49="blast", $G49="curved", $G49= "debuff"), $L49, 0), Factor!$AN$5:$AN$51, -1), 2)*MOD($L49,1)*10,0),
_xlpm.상태이상보정치, VLOOKUP(IF($G49 = "debuff", $M49, "null"), Factor!$AX$5:$BE$51, _xlpm.기본_색인번호, 0),
_xlpm.지속시간보정치, INDEX(Factor!$BG$5:$BO$51, _xlfn.XMATCH(IF(OR($G49 ="debuff", $G49 = "shot", $G49 = "pierce"), $O49, 0), Factor!$BG$5:$BG$51, -1), _xlpm.추가_색인번호)-IF(AND(OR($G49 ="debuff", $G49 = "shot", $G49 = "pierce"), MOD($O49, 1)&lt;&gt;0), 10*MOD($O49, 1)*INDEX(Factor!$BG$5:$BO$51, _xlfn.XMATCH(IF(OR($G49 ="debuff", $G49 = "shot", $G49 = "pierce"), $O49, 0), Factor!$BG$5:$BG$51, -1), 2), 0),
_xlpm.탄환개수보정치, VLOOKUP(IF(OR($G49 = "curved", $G49 = "shot"), $Q49, 1), Factor!$BQ$5:$BX$51, _xlpm.기본_색인번호, 0),
_xlpm.상태이상탄환생성위치보정치, IF($G49 = "debuff", VLOOKUP($R49, Factor!$K$18:$R$19, _xlpm.기본_색인번호, 0),1),
_xlpm.상태이상탄환형태보정치, IF($G49 = "debuff", VLOOKUP($S49, Factor!$K$24:$R$25, _xlpm.기본_색인번호, 0),1),
_xlpm.가격보정치, INDEX(Factor!$AE$5:$AL$51, _xlfn.XMATCH($F49,Factor!$AE$5:$AE$51, -1), _xlpm.기본_색인번호),
_xlpm.구경보정치, VLOOKUP($D49,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H49"/>
      <c r="AI49"/>
      <c r="AJ49"/>
      <c r="AK49"/>
      <c r="AL49"/>
      <c r="AM49"/>
      <c r="AN49"/>
    </row>
    <row r="50" spans="1:40" ht="15.75" customHeight="1">
      <c r="A50" s="28" t="str">
        <f>"weapon_"&amp;G50&amp;"_"&amp;VLOOKUP(H50, Factor!$T$5:$AB$7, 9, 0)&amp;"_"&amp;IF(COUNTIFS($G$4:G49, G50, $H$4:H49, H50)+1&gt;=100, COUNTIFS($G$4:G49, G50, $H$4:H49, H50)+1,IF(COUNTIFS($G$4:G49, G50, $H$4:H49, H50)+1&gt;=10, "0"&amp;COUNTIFS($G$4:G49, G50, $H$4:H49, H50)+1, "00"&amp;COUNTIFS($G$4:G49, G50, $H$4:H49, H50)+1))</f>
        <v>weapon_single_Am_046</v>
      </c>
      <c r="B50" s="37" t="str">
        <f t="shared" si="0"/>
        <v>T9 기관포</v>
      </c>
      <c r="C50" s="37" t="s">
        <v>256</v>
      </c>
      <c r="D50" s="37" t="s">
        <v>257</v>
      </c>
      <c r="E50" s="37" t="s">
        <v>151</v>
      </c>
      <c r="F50" s="29">
        <f>VLOOKUP(C50, Factor!$AD$5:$AE$15, 2, 0)</f>
        <v>9000</v>
      </c>
      <c r="G50" s="29" t="str">
        <f>VLOOKUP(E50, Factor!$CL$5:$CV$50, 2, 0)</f>
        <v>single</v>
      </c>
      <c r="H50" s="29" t="str">
        <f>VLOOKUP(E50, Factor!$CL$5:$CV$50, 3, 0)</f>
        <v>ammo</v>
      </c>
      <c r="I50" s="29" t="str">
        <f>VLOOKUP(E50, Factor!$CL$5:$CV$50, 4, 0)</f>
        <v>L</v>
      </c>
      <c r="J50" s="29" t="str">
        <f>VLOOKUP(E50, Factor!$CL$5:$CV$50, 5, 0)</f>
        <v>spread</v>
      </c>
      <c r="K50" s="29">
        <v>1</v>
      </c>
      <c r="L50" s="29">
        <f>VLOOKUP(E50, Factor!$CL$5:$CV$50, 6, 0)*K50*VLOOKUP(D50, Factor!$BZ$5:$CJ$49, 9, 0)</f>
        <v>0</v>
      </c>
      <c r="M50" s="29" t="str">
        <f>VLOOKUP(E50, Factor!$CL$5:$CV$50, 7, 0)</f>
        <v>null</v>
      </c>
      <c r="N50" s="29">
        <v>1</v>
      </c>
      <c r="O50" s="29">
        <f>VLOOKUP(E50, Factor!$CL$5:$CV$50, 8, 0)*N50*VLOOKUP(D50, Factor!$BZ$5:$CJ$49, 10, 0)</f>
        <v>0</v>
      </c>
      <c r="P50" s="29">
        <v>1</v>
      </c>
      <c r="Q50" s="29">
        <f>VLOOKUP(E50, Factor!$CL$5:$CV$50, 9, 0)*P50*VLOOKUP(D50, Factor!$BZ$5:$CJ$49, 11, 0)</f>
        <v>1</v>
      </c>
      <c r="R50" s="29" t="str">
        <f>VLOOKUP(E50, Factor!$CL$5:$CV$50, 10, 0)</f>
        <v>null</v>
      </c>
      <c r="S50" s="29" t="str">
        <f>VLOOKUP(E50, Factor!$CL$5:$CV$50, 11, 0)</f>
        <v>null</v>
      </c>
      <c r="T50" s="29">
        <v>1</v>
      </c>
      <c r="U50" s="29">
        <v>1</v>
      </c>
      <c r="V50" s="29">
        <v>1</v>
      </c>
      <c r="W50" s="29">
        <v>1</v>
      </c>
      <c r="X50" s="29">
        <v>1</v>
      </c>
      <c r="Y50" s="29">
        <v>1</v>
      </c>
      <c r="Z50" s="29">
        <v>1</v>
      </c>
      <c r="AA50" s="29" cm="1">
        <f t="array" ref="AA50">_xlfn.LET(_xlpm.기본_색인번호, 2,
_xlpm.추가_색인번호, 3,
_xlpm.개별보정치, T50,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50" s="29" cm="1">
        <f t="array" ref="AB50">_xlfn.LET(_xlpm.기본_색인번호, 3,
_xlpm.추가_색인번호, 4,
_xlpm.개별보정치, U50,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0" s="29" cm="1">
        <f t="array" ref="AC50">_xlfn.LET(_xlpm.기본_색인번호, 4,
_xlpm.추가_색인번호, 5,
_xlpm.개별보정치, V50,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0" s="29" cm="1">
        <f t="array" ref="AD50">_xlfn.LET(_xlpm.기본_색인번호, 5,
_xlpm.추가_색인번호, 6,
_xlpm.개별보정치, W50,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50" s="29" cm="1">
        <f t="array" ref="AE50">_xlfn.LET(_xlpm.기본_색인번호, 6,
_xlpm.추가_색인번호, 7,
_xlpm.개별보정치, X50,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50" s="29" cm="1">
        <f t="array" ref="AF50">_xlfn.LET(_xlpm.기본_색인번호, 7,
_xlpm.추가_색인번호, 8,
_xlpm.개별보정치, Y50,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0" s="30" cm="1">
        <f t="array" ref="AG50">_xlfn.LET(_xlpm.기본_색인번호, 8,
_xlpm.추가_색인번호, 9,
_xlpm.개별보정치, Z50,
_xlpm.패턴보정치, VLOOKUP($G50, Factor!$B$5:$I$51, _xlpm.기본_색인번호, 0),
_xlpm.소모탄환보정치, VLOOKUP($H50, Factor!$T$5:$AA$51, _xlpm.기본_색인번호, 0),
_xlpm.지형보정치, VLOOKUP($I50, Factor!$K$12:$R$13, _xlpm.기본_색인번호, 0),
_xlpm.공격속성보정치, VLOOKUP($J50, Factor!$K$5:$R$7, _xlpm.기본_색인번호, 0),
_xlpm.피해범위보정치, INDEX(Factor!$AN$5:$AV$51, _xlfn.XMATCH(IF(OR($G50="blast", $G50="curved",  $G50= "debuff"), $L50, 0), Factor!$AN$5:$AN$51, -1), _xlpm.추가_색인번호)-IF(AND(OR($G50="blast", $G50="curved", $G50= "debuff"), MOD($L50,1)&lt;&gt;0),INDEX(Factor!$AN$5:$AV$51, _xlfn.XMATCH(IF(OR($G50="blast", $G50="curved", $G50= "debuff"), $L50, 0), Factor!$AN$5:$AN$51, -1), 2)*MOD($L50,1)*10,0),
_xlpm.상태이상보정치, VLOOKUP(IF($G50 = "debuff", $M50, "null"), Factor!$AX$5:$BE$51, _xlpm.기본_색인번호, 0),
_xlpm.지속시간보정치, INDEX(Factor!$BG$5:$BO$51, _xlfn.XMATCH(IF(OR($G50 ="debuff", $G50 = "shot", $G50 = "pierce"), $O50, 0), Factor!$BG$5:$BG$51, -1), _xlpm.추가_색인번호)-IF(AND(OR($G50 ="debuff", $G50 = "shot", $G50 = "pierce"), MOD($O50, 1)&lt;&gt;0), 10*MOD($O50, 1)*INDEX(Factor!$BG$5:$BO$51, _xlfn.XMATCH(IF(OR($G50 ="debuff", $G50 = "shot", $G50 = "pierce"), $O50, 0), Factor!$BG$5:$BG$51, -1), 2), 0),
_xlpm.탄환개수보정치, VLOOKUP(IF(OR($G50 = "curved", $G50 = "shot"), $Q50, 1), Factor!$BQ$5:$BX$51, _xlpm.기본_색인번호, 0),
_xlpm.상태이상탄환생성위치보정치, IF($G50 = "debuff", VLOOKUP($R50, Factor!$K$18:$R$19, _xlpm.기본_색인번호, 0),1),
_xlpm.상태이상탄환형태보정치, IF($G50 = "debuff", VLOOKUP($S50, Factor!$K$24:$R$25, _xlpm.기본_색인번호, 0),1),
_xlpm.가격보정치, INDEX(Factor!$AE$5:$AL$51, _xlfn.XMATCH($F50,Factor!$AE$5:$AE$51, -1), _xlpm.기본_색인번호),
_xlpm.구경보정치, VLOOKUP($D50,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H50"/>
      <c r="AI50"/>
      <c r="AJ50"/>
      <c r="AK50"/>
      <c r="AL50"/>
      <c r="AM50"/>
      <c r="AN50"/>
    </row>
    <row r="51" spans="1:40" ht="15.75" customHeight="1">
      <c r="A51" s="24" t="str">
        <f>"weapon_"&amp;G51&amp;"_"&amp;VLOOKUP(H51, Factor!$T$5:$AB$7, 9, 0)&amp;"_"&amp;IF(COUNTIFS($G$4:G50, G51, $H$4:H50, H51)+1&gt;=100, COUNTIFS($G$4:G50, G51, $H$4:H50, H51)+1,IF(COUNTIFS($G$4:G50, G51, $H$4:H50, H51)+1&gt;=10, "0"&amp;COUNTIFS($G$4:G50, G51, $H$4:H50, H51)+1, "00"&amp;COUNTIFS($G$4:G50, G51, $H$4:H50, H51)+1))</f>
        <v>weapon_single_Am_047</v>
      </c>
      <c r="B51" s="36" t="str">
        <f t="shared" si="0"/>
        <v>T9 5.56mm기관포</v>
      </c>
      <c r="C51" s="36" t="s">
        <v>256</v>
      </c>
      <c r="D51" s="36" t="s">
        <v>258</v>
      </c>
      <c r="E51" s="36" t="s">
        <v>151</v>
      </c>
      <c r="F51" s="25">
        <f>VLOOKUP(C51, Factor!$AD$5:$AE$15, 2, 0)</f>
        <v>9000</v>
      </c>
      <c r="G51" s="26" t="str">
        <f>VLOOKUP(E51, Factor!$CL$5:$CV$50, 2, 0)</f>
        <v>single</v>
      </c>
      <c r="H51" s="25" t="str">
        <f>VLOOKUP(E51, Factor!$CL$5:$CV$50, 3, 0)</f>
        <v>ammo</v>
      </c>
      <c r="I51" s="25" t="str">
        <f>VLOOKUP(E51, Factor!$CL$5:$CV$50, 4, 0)</f>
        <v>L</v>
      </c>
      <c r="J51" s="25" t="str">
        <f>VLOOKUP(E51, Factor!$CL$5:$CV$50, 5, 0)</f>
        <v>spread</v>
      </c>
      <c r="K51" s="25">
        <v>1</v>
      </c>
      <c r="L51" s="25">
        <f>VLOOKUP(E51, Factor!$CL$5:$CV$50, 6, 0)*K51*VLOOKUP(D51, Factor!$BZ$5:$CJ$49, 9, 0)</f>
        <v>0</v>
      </c>
      <c r="M51" s="25" t="str">
        <f>VLOOKUP(E51, Factor!$CL$5:$CV$50, 7, 0)</f>
        <v>null</v>
      </c>
      <c r="N51" s="25">
        <v>1</v>
      </c>
      <c r="O51" s="25">
        <f>VLOOKUP(E51, Factor!$CL$5:$CV$50, 8, 0)*N51*VLOOKUP(D51, Factor!$BZ$5:$CJ$49, 10, 0)</f>
        <v>0</v>
      </c>
      <c r="P51" s="25">
        <v>1</v>
      </c>
      <c r="Q51" s="25">
        <f>VLOOKUP(E51, Factor!$CL$5:$CV$50, 9, 0)*P51*VLOOKUP(D51, Factor!$BZ$5:$CJ$49, 11, 0)</f>
        <v>2</v>
      </c>
      <c r="R51" s="25" t="str">
        <f>VLOOKUP(E51, Factor!$CL$5:$CV$50, 10, 0)</f>
        <v>null</v>
      </c>
      <c r="S51" s="25" t="str">
        <f>VLOOKUP(E51, Factor!$CL$5:$CV$50, 11, 0)</f>
        <v>null</v>
      </c>
      <c r="T51" s="25">
        <v>1</v>
      </c>
      <c r="U51" s="25">
        <v>1</v>
      </c>
      <c r="V51" s="25">
        <v>1</v>
      </c>
      <c r="W51" s="25">
        <v>1</v>
      </c>
      <c r="X51" s="25">
        <v>1</v>
      </c>
      <c r="Y51" s="25">
        <v>1</v>
      </c>
      <c r="Z51" s="25">
        <v>1</v>
      </c>
      <c r="AA51" s="25" cm="1">
        <f t="array" ref="AA51">_xlfn.LET(_xlpm.기본_색인번호, 2,
_xlpm.추가_색인번호, 3,
_xlpm.개별보정치, T51,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51" s="25" cm="1">
        <f t="array" ref="AB51">_xlfn.LET(_xlpm.기본_색인번호, 3,
_xlpm.추가_색인번호, 4,
_xlpm.개별보정치, U51,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1" s="25" cm="1">
        <f t="array" ref="AC51">_xlfn.LET(_xlpm.기본_색인번호, 4,
_xlpm.추가_색인번호, 5,
_xlpm.개별보정치, V51,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1" s="25" cm="1">
        <f t="array" ref="AD51">_xlfn.LET(_xlpm.기본_색인번호, 5,
_xlpm.추가_색인번호, 6,
_xlpm.개별보정치, W51,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51" s="25" cm="1">
        <f t="array" ref="AE51">_xlfn.LET(_xlpm.기본_색인번호, 6,
_xlpm.추가_색인번호, 7,
_xlpm.개별보정치, X51,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51" s="25" cm="1">
        <f t="array" ref="AF51">_xlfn.LET(_xlpm.기본_색인번호, 7,
_xlpm.추가_색인번호, 8,
_xlpm.개별보정치, Y51,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1" s="27" cm="1">
        <f t="array" ref="AG51">_xlfn.LET(_xlpm.기본_색인번호, 8,
_xlpm.추가_색인번호, 9,
_xlpm.개별보정치, Z51,
_xlpm.패턴보정치, VLOOKUP($G51, Factor!$B$5:$I$51, _xlpm.기본_색인번호, 0),
_xlpm.소모탄환보정치, VLOOKUP($H51, Factor!$T$5:$AA$51, _xlpm.기본_색인번호, 0),
_xlpm.지형보정치, VLOOKUP($I51, Factor!$K$12:$R$13, _xlpm.기본_색인번호, 0),
_xlpm.공격속성보정치, VLOOKUP($J51, Factor!$K$5:$R$7, _xlpm.기본_색인번호, 0),
_xlpm.피해범위보정치, INDEX(Factor!$AN$5:$AV$51, _xlfn.XMATCH(IF(OR($G51="blast", $G51="curved",  $G51= "debuff"), $L51, 0), Factor!$AN$5:$AN$51, -1), _xlpm.추가_색인번호)-IF(AND(OR($G51="blast", $G51="curved", $G51= "debuff"), MOD($L51,1)&lt;&gt;0),INDEX(Factor!$AN$5:$AV$51, _xlfn.XMATCH(IF(OR($G51="blast", $G51="curved", $G51= "debuff"), $L51, 0), Factor!$AN$5:$AN$51, -1), 2)*MOD($L51,1)*10,0),
_xlpm.상태이상보정치, VLOOKUP(IF($G51 = "debuff", $M51, "null"), Factor!$AX$5:$BE$51, _xlpm.기본_색인번호, 0),
_xlpm.지속시간보정치, INDEX(Factor!$BG$5:$BO$51, _xlfn.XMATCH(IF(OR($G51 ="debuff", $G51 = "shot", $G51 = "pierce"), $O51, 0), Factor!$BG$5:$BG$51, -1), _xlpm.추가_색인번호)-IF(AND(OR($G51 ="debuff", $G51 = "shot", $G51 = "pierce"), MOD($O51, 1)&lt;&gt;0), 10*MOD($O51, 1)*INDEX(Factor!$BG$5:$BO$51, _xlfn.XMATCH(IF(OR($G51 ="debuff", $G51 = "shot", $G51 = "pierce"), $O51, 0), Factor!$BG$5:$BG$51, -1), 2), 0),
_xlpm.탄환개수보정치, VLOOKUP(IF(OR($G51 = "curved", $G51 = "shot"), $Q51, 1), Factor!$BQ$5:$BX$51, _xlpm.기본_색인번호, 0),
_xlpm.상태이상탄환생성위치보정치, IF($G51 = "debuff", VLOOKUP($R51, Factor!$K$18:$R$19, _xlpm.기본_색인번호, 0),1),
_xlpm.상태이상탄환형태보정치, IF($G51 = "debuff", VLOOKUP($S51, Factor!$K$24:$R$25, _xlpm.기본_색인번호, 0),1),
_xlpm.가격보정치, INDEX(Factor!$AE$5:$AL$51, _xlfn.XMATCH($F51,Factor!$AE$5:$AE$51, -1), _xlpm.기본_색인번호),
_xlpm.구경보정치, VLOOKUP($D51,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H51"/>
      <c r="AI51"/>
      <c r="AJ51"/>
      <c r="AK51"/>
      <c r="AL51"/>
      <c r="AM51"/>
      <c r="AN51"/>
    </row>
    <row r="52" spans="1:40" ht="15.75" customHeight="1">
      <c r="A52" s="28" t="str">
        <f>"weapon_"&amp;G52&amp;"_"&amp;VLOOKUP(H52, Factor!$T$5:$AB$7, 9, 0)&amp;"_"&amp;IF(COUNTIFS($G$4:G51, G52, $H$4:H51, H52)+1&gt;=100, COUNTIFS($G$4:G51, G52, $H$4:H51, H52)+1,IF(COUNTIFS($G$4:G51, G52, $H$4:H51, H52)+1&gt;=10, "0"&amp;COUNTIFS($G$4:G51, G52, $H$4:H51, H52)+1, "00"&amp;COUNTIFS($G$4:G51, G52, $H$4:H51, H52)+1))</f>
        <v>weapon_single_Am_048</v>
      </c>
      <c r="B52" s="37" t="str">
        <f t="shared" si="0"/>
        <v>T9 7.62mm기관포</v>
      </c>
      <c r="C52" s="37" t="s">
        <v>256</v>
      </c>
      <c r="D52" s="37" t="s">
        <v>259</v>
      </c>
      <c r="E52" s="37" t="s">
        <v>151</v>
      </c>
      <c r="F52" s="29">
        <f>VLOOKUP(C52, Factor!$AD$5:$AE$15, 2, 0)</f>
        <v>9000</v>
      </c>
      <c r="G52" s="29" t="str">
        <f>VLOOKUP(E52, Factor!$CL$5:$CV$50, 2, 0)</f>
        <v>single</v>
      </c>
      <c r="H52" s="29" t="str">
        <f>VLOOKUP(E52, Factor!$CL$5:$CV$50, 3, 0)</f>
        <v>ammo</v>
      </c>
      <c r="I52" s="29" t="str">
        <f>VLOOKUP(E52, Factor!$CL$5:$CV$50, 4, 0)</f>
        <v>L</v>
      </c>
      <c r="J52" s="29" t="str">
        <f>VLOOKUP(E52, Factor!$CL$5:$CV$50, 5, 0)</f>
        <v>spread</v>
      </c>
      <c r="K52" s="29">
        <v>1</v>
      </c>
      <c r="L52" s="29">
        <f>VLOOKUP(E52, Factor!$CL$5:$CV$50, 6, 0)*K52*VLOOKUP(D52, Factor!$BZ$5:$CJ$49, 9, 0)</f>
        <v>0</v>
      </c>
      <c r="M52" s="29" t="str">
        <f>VLOOKUP(E52, Factor!$CL$5:$CV$50, 7, 0)</f>
        <v>null</v>
      </c>
      <c r="N52" s="29">
        <v>1</v>
      </c>
      <c r="O52" s="29">
        <f>VLOOKUP(E52, Factor!$CL$5:$CV$50, 8, 0)*N52*VLOOKUP(D52, Factor!$BZ$5:$CJ$49, 10, 0)</f>
        <v>0</v>
      </c>
      <c r="P52" s="29">
        <v>1</v>
      </c>
      <c r="Q52" s="29">
        <f>VLOOKUP(E52, Factor!$CL$5:$CV$50, 9, 0)*P52*VLOOKUP(D52, Factor!$BZ$5:$CJ$49, 11, 0)</f>
        <v>3</v>
      </c>
      <c r="R52" s="29" t="str">
        <f>VLOOKUP(E52, Factor!$CL$5:$CV$50, 10, 0)</f>
        <v>null</v>
      </c>
      <c r="S52" s="29" t="str">
        <f>VLOOKUP(E52, Factor!$CL$5:$CV$50, 11, 0)</f>
        <v>null</v>
      </c>
      <c r="T52" s="29">
        <v>1</v>
      </c>
      <c r="U52" s="29">
        <v>1</v>
      </c>
      <c r="V52" s="29">
        <v>1</v>
      </c>
      <c r="W52" s="29">
        <v>1</v>
      </c>
      <c r="X52" s="29">
        <v>1</v>
      </c>
      <c r="Y52" s="29">
        <v>1</v>
      </c>
      <c r="Z52" s="29">
        <v>1</v>
      </c>
      <c r="AA52" s="29" cm="1">
        <f t="array" ref="AA52">_xlfn.LET(_xlpm.기본_색인번호, 2,
_xlpm.추가_색인번호, 3,
_xlpm.개별보정치, T52,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52" s="29" cm="1">
        <f t="array" ref="AB52">_xlfn.LET(_xlpm.기본_색인번호, 3,
_xlpm.추가_색인번호, 4,
_xlpm.개별보정치, U52,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2" s="29" cm="1">
        <f t="array" ref="AC52">_xlfn.LET(_xlpm.기본_색인번호, 4,
_xlpm.추가_색인번호, 5,
_xlpm.개별보정치, V52,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2" s="29" cm="1">
        <f t="array" ref="AD52">_xlfn.LET(_xlpm.기본_색인번호, 5,
_xlpm.추가_색인번호, 6,
_xlpm.개별보정치, W52,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52" s="29" cm="1">
        <f t="array" ref="AE52">_xlfn.LET(_xlpm.기본_색인번호, 6,
_xlpm.추가_색인번호, 7,
_xlpm.개별보정치, X52,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52" s="29" cm="1">
        <f t="array" ref="AF52">_xlfn.LET(_xlpm.기본_색인번호, 7,
_xlpm.추가_색인번호, 8,
_xlpm.개별보정치, Y52,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2" s="30" cm="1">
        <f t="array" ref="AG52">_xlfn.LET(_xlpm.기본_색인번호, 8,
_xlpm.추가_색인번호, 9,
_xlpm.개별보정치, Z52,
_xlpm.패턴보정치, VLOOKUP($G52, Factor!$B$5:$I$51, _xlpm.기본_색인번호, 0),
_xlpm.소모탄환보정치, VLOOKUP($H52, Factor!$T$5:$AA$51, _xlpm.기본_색인번호, 0),
_xlpm.지형보정치, VLOOKUP($I52, Factor!$K$12:$R$13, _xlpm.기본_색인번호, 0),
_xlpm.공격속성보정치, VLOOKUP($J52, Factor!$K$5:$R$7, _xlpm.기본_색인번호, 0),
_xlpm.피해범위보정치, INDEX(Factor!$AN$5:$AV$51, _xlfn.XMATCH(IF(OR($G52="blast", $G52="curved",  $G52= "debuff"), $L52, 0), Factor!$AN$5:$AN$51, -1), _xlpm.추가_색인번호)-IF(AND(OR($G52="blast", $G52="curved", $G52= "debuff"), MOD($L52,1)&lt;&gt;0),INDEX(Factor!$AN$5:$AV$51, _xlfn.XMATCH(IF(OR($G52="blast", $G52="curved", $G52= "debuff"), $L52, 0), Factor!$AN$5:$AN$51, -1), 2)*MOD($L52,1)*10,0),
_xlpm.상태이상보정치, VLOOKUP(IF($G52 = "debuff", $M52, "null"), Factor!$AX$5:$BE$51, _xlpm.기본_색인번호, 0),
_xlpm.지속시간보정치, INDEX(Factor!$BG$5:$BO$51, _xlfn.XMATCH(IF(OR($G52 ="debuff", $G52 = "shot", $G52 = "pierce"), $O52, 0), Factor!$BG$5:$BG$51, -1), _xlpm.추가_색인번호)-IF(AND(OR($G52 ="debuff", $G52 = "shot", $G52 = "pierce"), MOD($O52, 1)&lt;&gt;0), 10*MOD($O52, 1)*INDEX(Factor!$BG$5:$BO$51, _xlfn.XMATCH(IF(OR($G52 ="debuff", $G52 = "shot", $G52 = "pierce"), $O52, 0), Factor!$BG$5:$BG$51, -1), 2), 0),
_xlpm.탄환개수보정치, VLOOKUP(IF(OR($G52 = "curved", $G52 = "shot"), $Q52, 1), Factor!$BQ$5:$BX$51, _xlpm.기본_색인번호, 0),
_xlpm.상태이상탄환생성위치보정치, IF($G52 = "debuff", VLOOKUP($R52, Factor!$K$18:$R$19, _xlpm.기본_색인번호, 0),1),
_xlpm.상태이상탄환형태보정치, IF($G52 = "debuff", VLOOKUP($S52, Factor!$K$24:$R$25, _xlpm.기본_색인번호, 0),1),
_xlpm.가격보정치, INDEX(Factor!$AE$5:$AL$51, _xlfn.XMATCH($F52,Factor!$AE$5:$AE$51, -1), _xlpm.기본_색인번호),
_xlpm.구경보정치, VLOOKUP($D52,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H52"/>
      <c r="AI52"/>
      <c r="AJ52"/>
      <c r="AK52"/>
      <c r="AL52"/>
      <c r="AM52"/>
      <c r="AN52"/>
    </row>
    <row r="53" spans="1:40" ht="15.75" customHeight="1">
      <c r="A53" s="24" t="str">
        <f>"weapon_"&amp;G53&amp;"_"&amp;VLOOKUP(H53, Factor!$T$5:$AB$7, 9, 0)&amp;"_"&amp;IF(COUNTIFS($G$4:G52, G53, $H$4:H52, H53)+1&gt;=100, COUNTIFS($G$4:G52, G53, $H$4:H52, H53)+1,IF(COUNTIFS($G$4:G52, G53, $H$4:H52, H53)+1&gt;=10, "0"&amp;COUNTIFS($G$4:G52, G53, $H$4:H52, H53)+1, "00"&amp;COUNTIFS($G$4:G52, G53, $H$4:H52, H53)+1))</f>
        <v>weapon_single_Am_049</v>
      </c>
      <c r="B53" s="36" t="str">
        <f t="shared" si="0"/>
        <v>T9 12.7mm기관포</v>
      </c>
      <c r="C53" s="36" t="s">
        <v>256</v>
      </c>
      <c r="D53" s="36" t="s">
        <v>260</v>
      </c>
      <c r="E53" s="36" t="s">
        <v>151</v>
      </c>
      <c r="F53" s="25">
        <f>VLOOKUP(C53, Factor!$AD$5:$AE$15, 2, 0)</f>
        <v>9000</v>
      </c>
      <c r="G53" s="26" t="str">
        <f>VLOOKUP(E53, Factor!$CL$5:$CV$50, 2, 0)</f>
        <v>single</v>
      </c>
      <c r="H53" s="25" t="str">
        <f>VLOOKUP(E53, Factor!$CL$5:$CV$50, 3, 0)</f>
        <v>ammo</v>
      </c>
      <c r="I53" s="25" t="str">
        <f>VLOOKUP(E53, Factor!$CL$5:$CV$50, 4, 0)</f>
        <v>L</v>
      </c>
      <c r="J53" s="25" t="str">
        <f>VLOOKUP(E53, Factor!$CL$5:$CV$50, 5, 0)</f>
        <v>spread</v>
      </c>
      <c r="K53" s="25">
        <v>1</v>
      </c>
      <c r="L53" s="25">
        <f>VLOOKUP(E53, Factor!$CL$5:$CV$50, 6, 0)*K53*VLOOKUP(D53, Factor!$BZ$5:$CJ$49, 9, 0)</f>
        <v>0</v>
      </c>
      <c r="M53" s="25" t="str">
        <f>VLOOKUP(E53, Factor!$CL$5:$CV$50, 7, 0)</f>
        <v>null</v>
      </c>
      <c r="N53" s="25">
        <v>1</v>
      </c>
      <c r="O53" s="25">
        <f>VLOOKUP(E53, Factor!$CL$5:$CV$50, 8, 0)*N53*VLOOKUP(D53, Factor!$BZ$5:$CJ$49, 10, 0)</f>
        <v>0</v>
      </c>
      <c r="P53" s="25">
        <v>1</v>
      </c>
      <c r="Q53" s="25">
        <f>VLOOKUP(E53, Factor!$CL$5:$CV$50, 9, 0)*P53*VLOOKUP(D53, Factor!$BZ$5:$CJ$49, 11, 0)</f>
        <v>4</v>
      </c>
      <c r="R53" s="25" t="str">
        <f>VLOOKUP(E53, Factor!$CL$5:$CV$50, 10, 0)</f>
        <v>null</v>
      </c>
      <c r="S53" s="25" t="str">
        <f>VLOOKUP(E53, Factor!$CL$5:$CV$50, 11, 0)</f>
        <v>null</v>
      </c>
      <c r="T53" s="25">
        <v>1</v>
      </c>
      <c r="U53" s="25">
        <v>1</v>
      </c>
      <c r="V53" s="25">
        <v>1</v>
      </c>
      <c r="W53" s="25">
        <v>1</v>
      </c>
      <c r="X53" s="25">
        <v>1</v>
      </c>
      <c r="Y53" s="25">
        <v>1</v>
      </c>
      <c r="Z53" s="25">
        <v>1</v>
      </c>
      <c r="AA53" s="25" cm="1">
        <f t="array" ref="AA53">_xlfn.LET(_xlpm.기본_색인번호, 2,
_xlpm.추가_색인번호, 3,
_xlpm.개별보정치, T53,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53" s="25" cm="1">
        <f t="array" ref="AB53">_xlfn.LET(_xlpm.기본_색인번호, 3,
_xlpm.추가_색인번호, 4,
_xlpm.개별보정치, U53,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3" s="25" cm="1">
        <f t="array" ref="AC53">_xlfn.LET(_xlpm.기본_색인번호, 4,
_xlpm.추가_색인번호, 5,
_xlpm.개별보정치, V53,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3" s="25" cm="1">
        <f t="array" ref="AD53">_xlfn.LET(_xlpm.기본_색인번호, 5,
_xlpm.추가_색인번호, 6,
_xlpm.개별보정치, W53,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53" s="25" cm="1">
        <f t="array" ref="AE53">_xlfn.LET(_xlpm.기본_색인번호, 6,
_xlpm.추가_색인번호, 7,
_xlpm.개별보정치, X53,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53" s="25" cm="1">
        <f t="array" ref="AF53">_xlfn.LET(_xlpm.기본_색인번호, 7,
_xlpm.추가_색인번호, 8,
_xlpm.개별보정치, Y53,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3" s="27" cm="1">
        <f t="array" ref="AG53">_xlfn.LET(_xlpm.기본_색인번호, 8,
_xlpm.추가_색인번호, 9,
_xlpm.개별보정치, Z53,
_xlpm.패턴보정치, VLOOKUP($G53, Factor!$B$5:$I$51, _xlpm.기본_색인번호, 0),
_xlpm.소모탄환보정치, VLOOKUP($H53, Factor!$T$5:$AA$51, _xlpm.기본_색인번호, 0),
_xlpm.지형보정치, VLOOKUP($I53, Factor!$K$12:$R$13, _xlpm.기본_색인번호, 0),
_xlpm.공격속성보정치, VLOOKUP($J53, Factor!$K$5:$R$7, _xlpm.기본_색인번호, 0),
_xlpm.피해범위보정치, INDEX(Factor!$AN$5:$AV$51, _xlfn.XMATCH(IF(OR($G53="blast", $G53="curved",  $G53= "debuff"), $L53, 0), Factor!$AN$5:$AN$51, -1), _xlpm.추가_색인번호)-IF(AND(OR($G53="blast", $G53="curved", $G53= "debuff"), MOD($L53,1)&lt;&gt;0),INDEX(Factor!$AN$5:$AV$51, _xlfn.XMATCH(IF(OR($G53="blast", $G53="curved", $G53= "debuff"), $L53, 0), Factor!$AN$5:$AN$51, -1), 2)*MOD($L53,1)*10,0),
_xlpm.상태이상보정치, VLOOKUP(IF($G53 = "debuff", $M53, "null"), Factor!$AX$5:$BE$51, _xlpm.기본_색인번호, 0),
_xlpm.지속시간보정치, INDEX(Factor!$BG$5:$BO$51, _xlfn.XMATCH(IF(OR($G53 ="debuff", $G53 = "shot", $G53 = "pierce"), $O53, 0), Factor!$BG$5:$BG$51, -1), _xlpm.추가_색인번호)-IF(AND(OR($G53 ="debuff", $G53 = "shot", $G53 = "pierce"), MOD($O53, 1)&lt;&gt;0), 10*MOD($O53, 1)*INDEX(Factor!$BG$5:$BO$51, _xlfn.XMATCH(IF(OR($G53 ="debuff", $G53 = "shot", $G53 = "pierce"), $O53, 0), Factor!$BG$5:$BG$51, -1), 2), 0),
_xlpm.탄환개수보정치, VLOOKUP(IF(OR($G53 = "curved", $G53 = "shot"), $Q53, 1), Factor!$BQ$5:$BX$51, _xlpm.기본_색인번호, 0),
_xlpm.상태이상탄환생성위치보정치, IF($G53 = "debuff", VLOOKUP($R53, Factor!$K$18:$R$19, _xlpm.기본_색인번호, 0),1),
_xlpm.상태이상탄환형태보정치, IF($G53 = "debuff", VLOOKUP($S53, Factor!$K$24:$R$25, _xlpm.기본_색인번호, 0),1),
_xlpm.가격보정치, INDEX(Factor!$AE$5:$AL$51, _xlfn.XMATCH($F53,Factor!$AE$5:$AE$51, -1), _xlpm.기본_색인번호),
_xlpm.구경보정치, VLOOKUP($D53,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H53"/>
      <c r="AI53"/>
      <c r="AJ53"/>
      <c r="AK53"/>
      <c r="AL53"/>
      <c r="AM53"/>
      <c r="AN53"/>
    </row>
    <row r="54" spans="1:40" ht="15.75" customHeight="1">
      <c r="A54" s="28" t="str">
        <f>"weapon_"&amp;G54&amp;"_"&amp;VLOOKUP(H54, Factor!$T$5:$AB$7, 9, 0)&amp;"_"&amp;IF(COUNTIFS($G$4:G53, G54, $H$4:H53, H54)+1&gt;=100, COUNTIFS($G$4:G53, G54, $H$4:H53, H54)+1,IF(COUNTIFS($G$4:G53, G54, $H$4:H53, H54)+1&gt;=10, "0"&amp;COUNTIFS($G$4:G53, G54, $H$4:H53, H54)+1, "00"&amp;COUNTIFS($G$4:G53, G54, $H$4:H53, H54)+1))</f>
        <v>weapon_single_Am_050</v>
      </c>
      <c r="B54" s="37" t="str">
        <f t="shared" si="0"/>
        <v>T9 20mm기관포</v>
      </c>
      <c r="C54" s="37" t="s">
        <v>256</v>
      </c>
      <c r="D54" s="37" t="s">
        <v>261</v>
      </c>
      <c r="E54" s="37" t="s">
        <v>151</v>
      </c>
      <c r="F54" s="29">
        <f>VLOOKUP(C54, Factor!$AD$5:$AE$15, 2, 0)</f>
        <v>9000</v>
      </c>
      <c r="G54" s="29" t="str">
        <f>VLOOKUP(E54, Factor!$CL$5:$CV$50, 2, 0)</f>
        <v>single</v>
      </c>
      <c r="H54" s="29" t="str">
        <f>VLOOKUP(E54, Factor!$CL$5:$CV$50, 3, 0)</f>
        <v>ammo</v>
      </c>
      <c r="I54" s="29" t="str">
        <f>VLOOKUP(E54, Factor!$CL$5:$CV$50, 4, 0)</f>
        <v>L</v>
      </c>
      <c r="J54" s="29" t="str">
        <f>VLOOKUP(E54, Factor!$CL$5:$CV$50, 5, 0)</f>
        <v>spread</v>
      </c>
      <c r="K54" s="29">
        <v>1</v>
      </c>
      <c r="L54" s="29">
        <f>VLOOKUP(E54, Factor!$CL$5:$CV$50, 6, 0)*K54*VLOOKUP(D54, Factor!$BZ$5:$CJ$49, 9, 0)</f>
        <v>0</v>
      </c>
      <c r="M54" s="29" t="str">
        <f>VLOOKUP(E54, Factor!$CL$5:$CV$50, 7, 0)</f>
        <v>null</v>
      </c>
      <c r="N54" s="29">
        <v>1</v>
      </c>
      <c r="O54" s="29">
        <f>VLOOKUP(E54, Factor!$CL$5:$CV$50, 8, 0)*N54*VLOOKUP(D54, Factor!$BZ$5:$CJ$49, 10, 0)</f>
        <v>0</v>
      </c>
      <c r="P54" s="29">
        <v>1</v>
      </c>
      <c r="Q54" s="29">
        <f>VLOOKUP(E54, Factor!$CL$5:$CV$50, 9, 0)*P54*VLOOKUP(D54, Factor!$BZ$5:$CJ$49, 11, 0)</f>
        <v>5</v>
      </c>
      <c r="R54" s="29" t="str">
        <f>VLOOKUP(E54, Factor!$CL$5:$CV$50, 10, 0)</f>
        <v>null</v>
      </c>
      <c r="S54" s="29" t="str">
        <f>VLOOKUP(E54, Factor!$CL$5:$CV$50, 11, 0)</f>
        <v>null</v>
      </c>
      <c r="T54" s="29">
        <v>1</v>
      </c>
      <c r="U54" s="29">
        <v>1</v>
      </c>
      <c r="V54" s="29">
        <v>1</v>
      </c>
      <c r="W54" s="29">
        <v>1</v>
      </c>
      <c r="X54" s="29">
        <v>1</v>
      </c>
      <c r="Y54" s="29">
        <v>1</v>
      </c>
      <c r="Z54" s="29">
        <v>1</v>
      </c>
      <c r="AA54" s="29" cm="1">
        <f t="array" ref="AA54">_xlfn.LET(_xlpm.기본_색인번호, 2,
_xlpm.추가_색인번호, 3,
_xlpm.개별보정치, T54,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54" s="29" cm="1">
        <f t="array" ref="AB54">_xlfn.LET(_xlpm.기본_색인번호, 3,
_xlpm.추가_색인번호, 4,
_xlpm.개별보정치, U54,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4" s="29" cm="1">
        <f t="array" ref="AC54">_xlfn.LET(_xlpm.기본_색인번호, 4,
_xlpm.추가_색인번호, 5,
_xlpm.개별보정치, V54,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4" s="29" cm="1">
        <f t="array" ref="AD54">_xlfn.LET(_xlpm.기본_색인번호, 5,
_xlpm.추가_색인번호, 6,
_xlpm.개별보정치, W54,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54" s="29" cm="1">
        <f t="array" ref="AE54">_xlfn.LET(_xlpm.기본_색인번호, 6,
_xlpm.추가_색인번호, 7,
_xlpm.개별보정치, X54,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54" s="29" cm="1">
        <f t="array" ref="AF54">_xlfn.LET(_xlpm.기본_색인번호, 7,
_xlpm.추가_색인번호, 8,
_xlpm.개별보정치, Y54,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4" s="30" cm="1">
        <f t="array" ref="AG54">_xlfn.LET(_xlpm.기본_색인번호, 8,
_xlpm.추가_색인번호, 9,
_xlpm.개별보정치, Z54,
_xlpm.패턴보정치, VLOOKUP($G54, Factor!$B$5:$I$51, _xlpm.기본_색인번호, 0),
_xlpm.소모탄환보정치, VLOOKUP($H54, Factor!$T$5:$AA$51, _xlpm.기본_색인번호, 0),
_xlpm.지형보정치, VLOOKUP($I54, Factor!$K$12:$R$13, _xlpm.기본_색인번호, 0),
_xlpm.공격속성보정치, VLOOKUP($J54, Factor!$K$5:$R$7, _xlpm.기본_색인번호, 0),
_xlpm.피해범위보정치, INDEX(Factor!$AN$5:$AV$51, _xlfn.XMATCH(IF(OR($G54="blast", $G54="curved",  $G54= "debuff"), $L54, 0), Factor!$AN$5:$AN$51, -1), _xlpm.추가_색인번호)-IF(AND(OR($G54="blast", $G54="curved", $G54= "debuff"), MOD($L54,1)&lt;&gt;0),INDEX(Factor!$AN$5:$AV$51, _xlfn.XMATCH(IF(OR($G54="blast", $G54="curved", $G54= "debuff"), $L54, 0), Factor!$AN$5:$AN$51, -1), 2)*MOD($L54,1)*10,0),
_xlpm.상태이상보정치, VLOOKUP(IF($G54 = "debuff", $M54, "null"), Factor!$AX$5:$BE$51, _xlpm.기본_색인번호, 0),
_xlpm.지속시간보정치, INDEX(Factor!$BG$5:$BO$51, _xlfn.XMATCH(IF(OR($G54 ="debuff", $G54 = "shot", $G54 = "pierce"), $O54, 0), Factor!$BG$5:$BG$51, -1), _xlpm.추가_색인번호)-IF(AND(OR($G54 ="debuff", $G54 = "shot", $G54 = "pierce"), MOD($O54, 1)&lt;&gt;0), 10*MOD($O54, 1)*INDEX(Factor!$BG$5:$BO$51, _xlfn.XMATCH(IF(OR($G54 ="debuff", $G54 = "shot", $G54 = "pierce"), $O54, 0), Factor!$BG$5:$BG$51, -1), 2), 0),
_xlpm.탄환개수보정치, VLOOKUP(IF(OR($G54 = "curved", $G54 = "shot"), $Q54, 1), Factor!$BQ$5:$BX$51, _xlpm.기본_색인번호, 0),
_xlpm.상태이상탄환생성위치보정치, IF($G54 = "debuff", VLOOKUP($R54, Factor!$K$18:$R$19, _xlpm.기본_색인번호, 0),1),
_xlpm.상태이상탄환형태보정치, IF($G54 = "debuff", VLOOKUP($S54, Factor!$K$24:$R$25, _xlpm.기본_색인번호, 0),1),
_xlpm.가격보정치, INDEX(Factor!$AE$5:$AL$51, _xlfn.XMATCH($F54,Factor!$AE$5:$AE$51, -1), _xlpm.기본_색인번호),
_xlpm.구경보정치, VLOOKUP($D54,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H54"/>
      <c r="AI54"/>
      <c r="AJ54"/>
      <c r="AK54"/>
      <c r="AL54"/>
      <c r="AM54"/>
      <c r="AN54"/>
    </row>
    <row r="55" spans="1:40" ht="15.75" customHeight="1">
      <c r="A55" s="24" t="str">
        <f>"weapon_"&amp;G55&amp;"_"&amp;VLOOKUP(H55, Factor!$T$5:$AB$7, 9, 0)&amp;"_"&amp;IF(COUNTIFS($G$4:G54, G55, $H$4:H54, H55)+1&gt;=100, COUNTIFS($G$4:G54, G55, $H$4:H54, H55)+1,IF(COUNTIFS($G$4:G54, G55, $H$4:H54, H55)+1&gt;=10, "0"&amp;COUNTIFS($G$4:G54, G55, $H$4:H54, H55)+1, "00"&amp;COUNTIFS($G$4:G54, G55, $H$4:H54, H55)+1))</f>
        <v>weapon_single_Am_051</v>
      </c>
      <c r="B55" s="36" t="str">
        <f t="shared" ref="B55:B114" si="1">C55&amp;" "&amp;IF(D55 = "none","", D55)&amp;E55</f>
        <v>T10 기관포</v>
      </c>
      <c r="C55" s="36" t="s">
        <v>268</v>
      </c>
      <c r="D55" s="36" t="s">
        <v>257</v>
      </c>
      <c r="E55" s="36" t="s">
        <v>151</v>
      </c>
      <c r="F55" s="25">
        <f>VLOOKUP(C55, Factor!$AD$5:$AE$15, 2, 0)</f>
        <v>10000</v>
      </c>
      <c r="G55" s="26" t="str">
        <f>VLOOKUP(E55, Factor!$CL$5:$CV$50, 2, 0)</f>
        <v>single</v>
      </c>
      <c r="H55" s="25" t="str">
        <f>VLOOKUP(E55, Factor!$CL$5:$CV$50, 3, 0)</f>
        <v>ammo</v>
      </c>
      <c r="I55" s="25" t="str">
        <f>VLOOKUP(E55, Factor!$CL$5:$CV$50, 4, 0)</f>
        <v>L</v>
      </c>
      <c r="J55" s="25" t="str">
        <f>VLOOKUP(E55, Factor!$CL$5:$CV$50, 5, 0)</f>
        <v>spread</v>
      </c>
      <c r="K55" s="25">
        <v>1</v>
      </c>
      <c r="L55" s="25">
        <f>VLOOKUP(E55, Factor!$CL$5:$CV$50, 6, 0)*K55*VLOOKUP(D55, Factor!$BZ$5:$CJ$49, 9, 0)</f>
        <v>0</v>
      </c>
      <c r="M55" s="25" t="str">
        <f>VLOOKUP(E55, Factor!$CL$5:$CV$50, 7, 0)</f>
        <v>null</v>
      </c>
      <c r="N55" s="25">
        <v>1</v>
      </c>
      <c r="O55" s="25">
        <f>VLOOKUP(E55, Factor!$CL$5:$CV$50, 8, 0)*N55*VLOOKUP(D55, Factor!$BZ$5:$CJ$49, 10, 0)</f>
        <v>0</v>
      </c>
      <c r="P55" s="25">
        <v>1</v>
      </c>
      <c r="Q55" s="25">
        <f>VLOOKUP(E55, Factor!$CL$5:$CV$50, 9, 0)*P55*VLOOKUP(D55, Factor!$BZ$5:$CJ$49, 11, 0)</f>
        <v>1</v>
      </c>
      <c r="R55" s="25" t="str">
        <f>VLOOKUP(E55, Factor!$CL$5:$CV$50, 10, 0)</f>
        <v>null</v>
      </c>
      <c r="S55" s="25" t="str">
        <f>VLOOKUP(E55, Factor!$CL$5:$CV$50, 11, 0)</f>
        <v>null</v>
      </c>
      <c r="T55" s="25">
        <v>1</v>
      </c>
      <c r="U55" s="25">
        <v>1</v>
      </c>
      <c r="V55" s="25">
        <v>1</v>
      </c>
      <c r="W55" s="25">
        <v>1</v>
      </c>
      <c r="X55" s="25">
        <v>1</v>
      </c>
      <c r="Y55" s="25">
        <v>1</v>
      </c>
      <c r="Z55" s="25">
        <v>1</v>
      </c>
      <c r="AA55" s="25" cm="1">
        <f t="array" ref="AA55">_xlfn.LET(_xlpm.기본_색인번호, 2,
_xlpm.추가_색인번호, 3,
_xlpm.개별보정치, T55,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B55" s="25" cm="1">
        <f t="array" ref="AB55">_xlfn.LET(_xlpm.기본_색인번호, 3,
_xlpm.추가_색인번호, 4,
_xlpm.개별보정치, U55,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5" s="25" cm="1">
        <f t="array" ref="AC55">_xlfn.LET(_xlpm.기본_색인번호, 4,
_xlpm.추가_색인번호, 5,
_xlpm.개별보정치, V55,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5" s="25" cm="1">
        <f t="array" ref="AD55">_xlfn.LET(_xlpm.기본_색인번호, 5,
_xlpm.추가_색인번호, 6,
_xlpm.개별보정치, W55,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E55" s="25" cm="1">
        <f t="array" ref="AE55">_xlfn.LET(_xlpm.기본_색인번호, 6,
_xlpm.추가_색인번호, 7,
_xlpm.개별보정치, X55,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F55" s="25" cm="1">
        <f t="array" ref="AF55">_xlfn.LET(_xlpm.기본_색인번호, 7,
_xlpm.추가_색인번호, 8,
_xlpm.개별보정치, Y55,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5" s="27" cm="1">
        <f t="array" ref="AG55">_xlfn.LET(_xlpm.기본_색인번호, 8,
_xlpm.추가_색인번호, 9,
_xlpm.개별보정치, Z55,
_xlpm.패턴보정치, VLOOKUP($G55, Factor!$B$5:$I$51, _xlpm.기본_색인번호, 0),
_xlpm.소모탄환보정치, VLOOKUP($H55, Factor!$T$5:$AA$51, _xlpm.기본_색인번호, 0),
_xlpm.지형보정치, VLOOKUP($I55, Factor!$K$12:$R$13, _xlpm.기본_색인번호, 0),
_xlpm.공격속성보정치, VLOOKUP($J55, Factor!$K$5:$R$7, _xlpm.기본_색인번호, 0),
_xlpm.피해범위보정치, INDEX(Factor!$AN$5:$AV$51, _xlfn.XMATCH(IF(OR($G55="blast", $G55="curved",  $G55= "debuff"), $L55, 0), Factor!$AN$5:$AN$51, -1), _xlpm.추가_색인번호)-IF(AND(OR($G55="blast", $G55="curved", $G55= "debuff"), MOD($L55,1)&lt;&gt;0),INDEX(Factor!$AN$5:$AV$51, _xlfn.XMATCH(IF(OR($G55="blast", $G55="curved", $G55= "debuff"), $L55, 0), Factor!$AN$5:$AN$51, -1), 2)*MOD($L55,1)*10,0),
_xlpm.상태이상보정치, VLOOKUP(IF($G55 = "debuff", $M55, "null"), Factor!$AX$5:$BE$51, _xlpm.기본_색인번호, 0),
_xlpm.지속시간보정치, INDEX(Factor!$BG$5:$BO$51, _xlfn.XMATCH(IF(OR($G55 ="debuff", $G55 = "shot", $G55 = "pierce"), $O55, 0), Factor!$BG$5:$BG$51, -1), _xlpm.추가_색인번호)-IF(AND(OR($G55 ="debuff", $G55 = "shot", $G55 = "pierce"), MOD($O55, 1)&lt;&gt;0), 10*MOD($O55, 1)*INDEX(Factor!$BG$5:$BO$51, _xlfn.XMATCH(IF(OR($G55 ="debuff", $G55 = "shot", $G55 = "pierce"), $O55, 0), Factor!$BG$5:$BG$51, -1), 2), 0),
_xlpm.탄환개수보정치, VLOOKUP(IF(OR($G55 = "curved", $G55 = "shot"), $Q55, 1), Factor!$BQ$5:$BX$51, _xlpm.기본_색인번호, 0),
_xlpm.상태이상탄환생성위치보정치, IF($G55 = "debuff", VLOOKUP($R55, Factor!$K$18:$R$19, _xlpm.기본_색인번호, 0),1),
_xlpm.상태이상탄환형태보정치, IF($G55 = "debuff", VLOOKUP($S55, Factor!$K$24:$R$25, _xlpm.기본_색인번호, 0),1),
_xlpm.가격보정치, INDEX(Factor!$AE$5:$AL$51, _xlfn.XMATCH($F55,Factor!$AE$5:$AE$51, -1), _xlpm.기본_색인번호),
_xlpm.구경보정치, VLOOKUP($D55,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</row>
    <row r="56" spans="1:40" ht="15.75" customHeight="1">
      <c r="A56" s="28" t="str">
        <f>"weapon_"&amp;G56&amp;"_"&amp;VLOOKUP(H56, Factor!$T$5:$AB$7, 9, 0)&amp;"_"&amp;IF(COUNTIFS($G$4:G55, G56, $H$4:H55, H56)+1&gt;=100, COUNTIFS($G$4:G55, G56, $H$4:H55, H56)+1,IF(COUNTIFS($G$4:G55, G56, $H$4:H55, H56)+1&gt;=10, "0"&amp;COUNTIFS($G$4:G55, G56, $H$4:H55, H56)+1, "00"&amp;COUNTIFS($G$4:G55, G56, $H$4:H55, H56)+1))</f>
        <v>weapon_single_Am_052</v>
      </c>
      <c r="B56" s="37" t="str">
        <f t="shared" si="1"/>
        <v>T10 5.56mm기관포</v>
      </c>
      <c r="C56" s="37" t="s">
        <v>268</v>
      </c>
      <c r="D56" s="37" t="s">
        <v>258</v>
      </c>
      <c r="E56" s="37" t="s">
        <v>151</v>
      </c>
      <c r="F56" s="29">
        <f>VLOOKUP(C56, Factor!$AD$5:$AE$15, 2, 0)</f>
        <v>10000</v>
      </c>
      <c r="G56" s="29" t="str">
        <f>VLOOKUP(E56, Factor!$CL$5:$CV$50, 2, 0)</f>
        <v>single</v>
      </c>
      <c r="H56" s="29" t="str">
        <f>VLOOKUP(E56, Factor!$CL$5:$CV$50, 3, 0)</f>
        <v>ammo</v>
      </c>
      <c r="I56" s="29" t="str">
        <f>VLOOKUP(E56, Factor!$CL$5:$CV$50, 4, 0)</f>
        <v>L</v>
      </c>
      <c r="J56" s="29" t="str">
        <f>VLOOKUP(E56, Factor!$CL$5:$CV$50, 5, 0)</f>
        <v>spread</v>
      </c>
      <c r="K56" s="29">
        <v>1</v>
      </c>
      <c r="L56" s="29">
        <f>VLOOKUP(E56, Factor!$CL$5:$CV$50, 6, 0)*K56*VLOOKUP(D56, Factor!$BZ$5:$CJ$49, 9, 0)</f>
        <v>0</v>
      </c>
      <c r="M56" s="29" t="str">
        <f>VLOOKUP(E56, Factor!$CL$5:$CV$50, 7, 0)</f>
        <v>null</v>
      </c>
      <c r="N56" s="29">
        <v>1</v>
      </c>
      <c r="O56" s="29">
        <f>VLOOKUP(E56, Factor!$CL$5:$CV$50, 8, 0)*N56*VLOOKUP(D56, Factor!$BZ$5:$CJ$49, 10, 0)</f>
        <v>0</v>
      </c>
      <c r="P56" s="29">
        <v>1</v>
      </c>
      <c r="Q56" s="29">
        <f>VLOOKUP(E56, Factor!$CL$5:$CV$50, 9, 0)*P56*VLOOKUP(D56, Factor!$BZ$5:$CJ$49, 11, 0)</f>
        <v>2</v>
      </c>
      <c r="R56" s="29" t="str">
        <f>VLOOKUP(E56, Factor!$CL$5:$CV$50, 10, 0)</f>
        <v>null</v>
      </c>
      <c r="S56" s="29" t="str">
        <f>VLOOKUP(E56, Factor!$CL$5:$CV$50, 11, 0)</f>
        <v>null</v>
      </c>
      <c r="T56" s="29">
        <v>1</v>
      </c>
      <c r="U56" s="29">
        <v>1</v>
      </c>
      <c r="V56" s="29">
        <v>1</v>
      </c>
      <c r="W56" s="29">
        <v>1</v>
      </c>
      <c r="X56" s="29">
        <v>1</v>
      </c>
      <c r="Y56" s="29">
        <v>1</v>
      </c>
      <c r="Z56" s="29">
        <v>1</v>
      </c>
      <c r="AA56" s="29" cm="1">
        <f t="array" ref="AA56">_xlfn.LET(_xlpm.기본_색인번호, 2,
_xlpm.추가_색인번호, 3,
_xlpm.개별보정치, T56,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B56" s="29" cm="1">
        <f t="array" ref="AB56">_xlfn.LET(_xlpm.기본_색인번호, 3,
_xlpm.추가_색인번호, 4,
_xlpm.개별보정치, U56,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6" s="29" cm="1">
        <f t="array" ref="AC56">_xlfn.LET(_xlpm.기본_색인번호, 4,
_xlpm.추가_색인번호, 5,
_xlpm.개별보정치, V56,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6" s="29" cm="1">
        <f t="array" ref="AD56">_xlfn.LET(_xlpm.기본_색인번호, 5,
_xlpm.추가_색인번호, 6,
_xlpm.개별보정치, W56,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E56" s="29" cm="1">
        <f t="array" ref="AE56">_xlfn.LET(_xlpm.기본_색인번호, 6,
_xlpm.추가_색인번호, 7,
_xlpm.개별보정치, X56,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F56" s="29" cm="1">
        <f t="array" ref="AF56">_xlfn.LET(_xlpm.기본_색인번호, 7,
_xlpm.추가_색인번호, 8,
_xlpm.개별보정치, Y56,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6" s="30" cm="1">
        <f t="array" ref="AG56">_xlfn.LET(_xlpm.기본_색인번호, 8,
_xlpm.추가_색인번호, 9,
_xlpm.개별보정치, Z56,
_xlpm.패턴보정치, VLOOKUP($G56, Factor!$B$5:$I$51, _xlpm.기본_색인번호, 0),
_xlpm.소모탄환보정치, VLOOKUP($H56, Factor!$T$5:$AA$51, _xlpm.기본_색인번호, 0),
_xlpm.지형보정치, VLOOKUP($I56, Factor!$K$12:$R$13, _xlpm.기본_색인번호, 0),
_xlpm.공격속성보정치, VLOOKUP($J56, Factor!$K$5:$R$7, _xlpm.기본_색인번호, 0),
_xlpm.피해범위보정치, INDEX(Factor!$AN$5:$AV$51, _xlfn.XMATCH(IF(OR($G56="blast", $G56="curved",  $G56= "debuff"), $L56, 0), Factor!$AN$5:$AN$51, -1), _xlpm.추가_색인번호)-IF(AND(OR($G56="blast", $G56="curved", $G56= "debuff"), MOD($L56,1)&lt;&gt;0),INDEX(Factor!$AN$5:$AV$51, _xlfn.XMATCH(IF(OR($G56="blast", $G56="curved", $G56= "debuff"), $L56, 0), Factor!$AN$5:$AN$51, -1), 2)*MOD($L56,1)*10,0),
_xlpm.상태이상보정치, VLOOKUP(IF($G56 = "debuff", $M56, "null"), Factor!$AX$5:$BE$51, _xlpm.기본_색인번호, 0),
_xlpm.지속시간보정치, INDEX(Factor!$BG$5:$BO$51, _xlfn.XMATCH(IF(OR($G56 ="debuff", $G56 = "shot", $G56 = "pierce"), $O56, 0), Factor!$BG$5:$BG$51, -1), _xlpm.추가_색인번호)-IF(AND(OR($G56 ="debuff", $G56 = "shot", $G56 = "pierce"), MOD($O56, 1)&lt;&gt;0), 10*MOD($O56, 1)*INDEX(Factor!$BG$5:$BO$51, _xlfn.XMATCH(IF(OR($G56 ="debuff", $G56 = "shot", $G56 = "pierce"), $O56, 0), Factor!$BG$5:$BG$51, -1), 2), 0),
_xlpm.탄환개수보정치, VLOOKUP(IF(OR($G56 = "curved", $G56 = "shot"), $Q56, 1), Factor!$BQ$5:$BX$51, _xlpm.기본_색인번호, 0),
_xlpm.상태이상탄환생성위치보정치, IF($G56 = "debuff", VLOOKUP($R56, Factor!$K$18:$R$19, _xlpm.기본_색인번호, 0),1),
_xlpm.상태이상탄환형태보정치, IF($G56 = "debuff", VLOOKUP($S56, Factor!$K$24:$R$25, _xlpm.기본_색인번호, 0),1),
_xlpm.가격보정치, INDEX(Factor!$AE$5:$AL$51, _xlfn.XMATCH($F56,Factor!$AE$5:$AE$51, -1), _xlpm.기본_색인번호),
_xlpm.구경보정치, VLOOKUP($D56,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</row>
    <row r="57" spans="1:40" ht="15.75" customHeight="1">
      <c r="A57" s="24" t="str">
        <f>"weapon_"&amp;G57&amp;"_"&amp;VLOOKUP(H57, Factor!$T$5:$AB$7, 9, 0)&amp;"_"&amp;IF(COUNTIFS($G$4:G56, G57, $H$4:H56, H57)+1&gt;=100, COUNTIFS($G$4:G56, G57, $H$4:H56, H57)+1,IF(COUNTIFS($G$4:G56, G57, $H$4:H56, H57)+1&gt;=10, "0"&amp;COUNTIFS($G$4:G56, G57, $H$4:H56, H57)+1, "00"&amp;COUNTIFS($G$4:G56, G57, $H$4:H56, H57)+1))</f>
        <v>weapon_single_Am_053</v>
      </c>
      <c r="B57" s="36" t="str">
        <f t="shared" si="1"/>
        <v>T10 7.62mm기관포</v>
      </c>
      <c r="C57" s="36" t="s">
        <v>268</v>
      </c>
      <c r="D57" s="36" t="s">
        <v>259</v>
      </c>
      <c r="E57" s="36" t="s">
        <v>151</v>
      </c>
      <c r="F57" s="25">
        <f>VLOOKUP(C57, Factor!$AD$5:$AE$15, 2, 0)</f>
        <v>10000</v>
      </c>
      <c r="G57" s="26" t="str">
        <f>VLOOKUP(E57, Factor!$CL$5:$CV$50, 2, 0)</f>
        <v>single</v>
      </c>
      <c r="H57" s="25" t="str">
        <f>VLOOKUP(E57, Factor!$CL$5:$CV$50, 3, 0)</f>
        <v>ammo</v>
      </c>
      <c r="I57" s="25" t="str">
        <f>VLOOKUP(E57, Factor!$CL$5:$CV$50, 4, 0)</f>
        <v>L</v>
      </c>
      <c r="J57" s="25" t="str">
        <f>VLOOKUP(E57, Factor!$CL$5:$CV$50, 5, 0)</f>
        <v>spread</v>
      </c>
      <c r="K57" s="25">
        <v>1</v>
      </c>
      <c r="L57" s="25">
        <f>VLOOKUP(E57, Factor!$CL$5:$CV$50, 6, 0)*K57*VLOOKUP(D57, Factor!$BZ$5:$CJ$49, 9, 0)</f>
        <v>0</v>
      </c>
      <c r="M57" s="25" t="str">
        <f>VLOOKUP(E57, Factor!$CL$5:$CV$50, 7, 0)</f>
        <v>null</v>
      </c>
      <c r="N57" s="25">
        <v>1</v>
      </c>
      <c r="O57" s="25">
        <f>VLOOKUP(E57, Factor!$CL$5:$CV$50, 8, 0)*N57*VLOOKUP(D57, Factor!$BZ$5:$CJ$49, 10, 0)</f>
        <v>0</v>
      </c>
      <c r="P57" s="25">
        <v>1</v>
      </c>
      <c r="Q57" s="25">
        <f>VLOOKUP(E57, Factor!$CL$5:$CV$50, 9, 0)*P57*VLOOKUP(D57, Factor!$BZ$5:$CJ$49, 11, 0)</f>
        <v>3</v>
      </c>
      <c r="R57" s="25" t="str">
        <f>VLOOKUP(E57, Factor!$CL$5:$CV$50, 10, 0)</f>
        <v>null</v>
      </c>
      <c r="S57" s="25" t="str">
        <f>VLOOKUP(E57, Factor!$CL$5:$CV$50, 11, 0)</f>
        <v>null</v>
      </c>
      <c r="T57" s="25">
        <v>1</v>
      </c>
      <c r="U57" s="25">
        <v>1</v>
      </c>
      <c r="V57" s="25">
        <v>1</v>
      </c>
      <c r="W57" s="25">
        <v>1</v>
      </c>
      <c r="X57" s="25">
        <v>1</v>
      </c>
      <c r="Y57" s="25">
        <v>1</v>
      </c>
      <c r="Z57" s="25">
        <v>1</v>
      </c>
      <c r="AA57" s="25" cm="1">
        <f t="array" ref="AA57">_xlfn.LET(_xlpm.기본_색인번호, 2,
_xlpm.추가_색인번호, 3,
_xlpm.개별보정치, T57,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B57" s="25" cm="1">
        <f t="array" ref="AB57">_xlfn.LET(_xlpm.기본_색인번호, 3,
_xlpm.추가_색인번호, 4,
_xlpm.개별보정치, U57,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7" s="25" cm="1">
        <f t="array" ref="AC57">_xlfn.LET(_xlpm.기본_색인번호, 4,
_xlpm.추가_색인번호, 5,
_xlpm.개별보정치, V57,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7" s="25" cm="1">
        <f t="array" ref="AD57">_xlfn.LET(_xlpm.기본_색인번호, 5,
_xlpm.추가_색인번호, 6,
_xlpm.개별보정치, W57,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E57" s="25" cm="1">
        <f t="array" ref="AE57">_xlfn.LET(_xlpm.기본_색인번호, 6,
_xlpm.추가_색인번호, 7,
_xlpm.개별보정치, X57,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F57" s="25" cm="1">
        <f t="array" ref="AF57">_xlfn.LET(_xlpm.기본_색인번호, 7,
_xlpm.추가_색인번호, 8,
_xlpm.개별보정치, Y57,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7" s="27" cm="1">
        <f t="array" ref="AG57">_xlfn.LET(_xlpm.기본_색인번호, 8,
_xlpm.추가_색인번호, 9,
_xlpm.개별보정치, Z57,
_xlpm.패턴보정치, VLOOKUP($G57, Factor!$B$5:$I$51, _xlpm.기본_색인번호, 0),
_xlpm.소모탄환보정치, VLOOKUP($H57, Factor!$T$5:$AA$51, _xlpm.기본_색인번호, 0),
_xlpm.지형보정치, VLOOKUP($I57, Factor!$K$12:$R$13, _xlpm.기본_색인번호, 0),
_xlpm.공격속성보정치, VLOOKUP($J57, Factor!$K$5:$R$7, _xlpm.기본_색인번호, 0),
_xlpm.피해범위보정치, INDEX(Factor!$AN$5:$AV$51, _xlfn.XMATCH(IF(OR($G57="blast", $G57="curved",  $G57= "debuff"), $L57, 0), Factor!$AN$5:$AN$51, -1), _xlpm.추가_색인번호)-IF(AND(OR($G57="blast", $G57="curved", $G57= "debuff"), MOD($L57,1)&lt;&gt;0),INDEX(Factor!$AN$5:$AV$51, _xlfn.XMATCH(IF(OR($G57="blast", $G57="curved", $G57= "debuff"), $L57, 0), Factor!$AN$5:$AN$51, -1), 2)*MOD($L57,1)*10,0),
_xlpm.상태이상보정치, VLOOKUP(IF($G57 = "debuff", $M57, "null"), Factor!$AX$5:$BE$51, _xlpm.기본_색인번호, 0),
_xlpm.지속시간보정치, INDEX(Factor!$BG$5:$BO$51, _xlfn.XMATCH(IF(OR($G57 ="debuff", $G57 = "shot", $G57 = "pierce"), $O57, 0), Factor!$BG$5:$BG$51, -1), _xlpm.추가_색인번호)-IF(AND(OR($G57 ="debuff", $G57 = "shot", $G57 = "pierce"), MOD($O57, 1)&lt;&gt;0), 10*MOD($O57, 1)*INDEX(Factor!$BG$5:$BO$51, _xlfn.XMATCH(IF(OR($G57 ="debuff", $G57 = "shot", $G57 = "pierce"), $O57, 0), Factor!$BG$5:$BG$51, -1), 2), 0),
_xlpm.탄환개수보정치, VLOOKUP(IF(OR($G57 = "curved", $G57 = "shot"), $Q57, 1), Factor!$BQ$5:$BX$51, _xlpm.기본_색인번호, 0),
_xlpm.상태이상탄환생성위치보정치, IF($G57 = "debuff", VLOOKUP($R57, Factor!$K$18:$R$19, _xlpm.기본_색인번호, 0),1),
_xlpm.상태이상탄환형태보정치, IF($G57 = "debuff", VLOOKUP($S57, Factor!$K$24:$R$25, _xlpm.기본_색인번호, 0),1),
_xlpm.가격보정치, INDEX(Factor!$AE$5:$AL$51, _xlfn.XMATCH($F57,Factor!$AE$5:$AE$51, -1), _xlpm.기본_색인번호),
_xlpm.구경보정치, VLOOKUP($D57,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</row>
    <row r="58" spans="1:40" ht="15.75" customHeight="1">
      <c r="A58" s="28" t="str">
        <f>"weapon_"&amp;G58&amp;"_"&amp;VLOOKUP(H58, Factor!$T$5:$AB$7, 9, 0)&amp;"_"&amp;IF(COUNTIFS($G$4:G57, G58, $H$4:H57, H58)+1&gt;=100, COUNTIFS($G$4:G57, G58, $H$4:H57, H58)+1,IF(COUNTIFS($G$4:G57, G58, $H$4:H57, H58)+1&gt;=10, "0"&amp;COUNTIFS($G$4:G57, G58, $H$4:H57, H58)+1, "00"&amp;COUNTIFS($G$4:G57, G58, $H$4:H57, H58)+1))</f>
        <v>weapon_single_Am_054</v>
      </c>
      <c r="B58" s="37" t="str">
        <f t="shared" si="1"/>
        <v>T10 12.7mm기관포</v>
      </c>
      <c r="C58" s="37" t="s">
        <v>268</v>
      </c>
      <c r="D58" s="37" t="s">
        <v>260</v>
      </c>
      <c r="E58" s="37" t="s">
        <v>151</v>
      </c>
      <c r="F58" s="29">
        <f>VLOOKUP(C58, Factor!$AD$5:$AE$15, 2, 0)</f>
        <v>10000</v>
      </c>
      <c r="G58" s="29" t="str">
        <f>VLOOKUP(E58, Factor!$CL$5:$CV$50, 2, 0)</f>
        <v>single</v>
      </c>
      <c r="H58" s="29" t="str">
        <f>VLOOKUP(E58, Factor!$CL$5:$CV$50, 3, 0)</f>
        <v>ammo</v>
      </c>
      <c r="I58" s="29" t="str">
        <f>VLOOKUP(E58, Factor!$CL$5:$CV$50, 4, 0)</f>
        <v>L</v>
      </c>
      <c r="J58" s="29" t="str">
        <f>VLOOKUP(E58, Factor!$CL$5:$CV$50, 5, 0)</f>
        <v>spread</v>
      </c>
      <c r="K58" s="29">
        <v>1</v>
      </c>
      <c r="L58" s="29">
        <f>VLOOKUP(E58, Factor!$CL$5:$CV$50, 6, 0)*K58*VLOOKUP(D58, Factor!$BZ$5:$CJ$49, 9, 0)</f>
        <v>0</v>
      </c>
      <c r="M58" s="29" t="str">
        <f>VLOOKUP(E58, Factor!$CL$5:$CV$50, 7, 0)</f>
        <v>null</v>
      </c>
      <c r="N58" s="29">
        <v>1</v>
      </c>
      <c r="O58" s="29">
        <f>VLOOKUP(E58, Factor!$CL$5:$CV$50, 8, 0)*N58*VLOOKUP(D58, Factor!$BZ$5:$CJ$49, 10, 0)</f>
        <v>0</v>
      </c>
      <c r="P58" s="29">
        <v>1</v>
      </c>
      <c r="Q58" s="29">
        <f>VLOOKUP(E58, Factor!$CL$5:$CV$50, 9, 0)*P58*VLOOKUP(D58, Factor!$BZ$5:$CJ$49, 11, 0)</f>
        <v>4</v>
      </c>
      <c r="R58" s="29" t="str">
        <f>VLOOKUP(E58, Factor!$CL$5:$CV$50, 10, 0)</f>
        <v>null</v>
      </c>
      <c r="S58" s="29" t="str">
        <f>VLOOKUP(E58, Factor!$CL$5:$CV$50, 11, 0)</f>
        <v>null</v>
      </c>
      <c r="T58" s="29">
        <v>1</v>
      </c>
      <c r="U58" s="29">
        <v>1</v>
      </c>
      <c r="V58" s="29">
        <v>1</v>
      </c>
      <c r="W58" s="29">
        <v>1</v>
      </c>
      <c r="X58" s="29">
        <v>1</v>
      </c>
      <c r="Y58" s="29">
        <v>1</v>
      </c>
      <c r="Z58" s="29">
        <v>1</v>
      </c>
      <c r="AA58" s="29" cm="1">
        <f t="array" ref="AA58">_xlfn.LET(_xlpm.기본_색인번호, 2,
_xlpm.추가_색인번호, 3,
_xlpm.개별보정치, T58,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B58" s="29" cm="1">
        <f t="array" ref="AB58">_xlfn.LET(_xlpm.기본_색인번호, 3,
_xlpm.추가_색인번호, 4,
_xlpm.개별보정치, U58,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8" s="29" cm="1">
        <f t="array" ref="AC58">_xlfn.LET(_xlpm.기본_색인번호, 4,
_xlpm.추가_색인번호, 5,
_xlpm.개별보정치, V58,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8" s="29" cm="1">
        <f t="array" ref="AD58">_xlfn.LET(_xlpm.기본_색인번호, 5,
_xlpm.추가_색인번호, 6,
_xlpm.개별보정치, W58,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E58" s="29" cm="1">
        <f t="array" ref="AE58">_xlfn.LET(_xlpm.기본_색인번호, 6,
_xlpm.추가_색인번호, 7,
_xlpm.개별보정치, X58,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F58" s="29" cm="1">
        <f t="array" ref="AF58">_xlfn.LET(_xlpm.기본_색인번호, 7,
_xlpm.추가_색인번호, 8,
_xlpm.개별보정치, Y58,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8" s="30" cm="1">
        <f t="array" ref="AG58">_xlfn.LET(_xlpm.기본_색인번호, 8,
_xlpm.추가_색인번호, 9,
_xlpm.개별보정치, Z58,
_xlpm.패턴보정치, VLOOKUP($G58, Factor!$B$5:$I$51, _xlpm.기본_색인번호, 0),
_xlpm.소모탄환보정치, VLOOKUP($H58, Factor!$T$5:$AA$51, _xlpm.기본_색인번호, 0),
_xlpm.지형보정치, VLOOKUP($I58, Factor!$K$12:$R$13, _xlpm.기본_색인번호, 0),
_xlpm.공격속성보정치, VLOOKUP($J58, Factor!$K$5:$R$7, _xlpm.기본_색인번호, 0),
_xlpm.피해범위보정치, INDEX(Factor!$AN$5:$AV$51, _xlfn.XMATCH(IF(OR($G58="blast", $G58="curved",  $G58= "debuff"), $L58, 0), Factor!$AN$5:$AN$51, -1), _xlpm.추가_색인번호)-IF(AND(OR($G58="blast", $G58="curved", $G58= "debuff"), MOD($L58,1)&lt;&gt;0),INDEX(Factor!$AN$5:$AV$51, _xlfn.XMATCH(IF(OR($G58="blast", $G58="curved", $G58= "debuff"), $L58, 0), Factor!$AN$5:$AN$51, -1), 2)*MOD($L58,1)*10,0),
_xlpm.상태이상보정치, VLOOKUP(IF($G58 = "debuff", $M58, "null"), Factor!$AX$5:$BE$51, _xlpm.기본_색인번호, 0),
_xlpm.지속시간보정치, INDEX(Factor!$BG$5:$BO$51, _xlfn.XMATCH(IF(OR($G58 ="debuff", $G58 = "shot", $G58 = "pierce"), $O58, 0), Factor!$BG$5:$BG$51, -1), _xlpm.추가_색인번호)-IF(AND(OR($G58 ="debuff", $G58 = "shot", $G58 = "pierce"), MOD($O58, 1)&lt;&gt;0), 10*MOD($O58, 1)*INDEX(Factor!$BG$5:$BO$51, _xlfn.XMATCH(IF(OR($G58 ="debuff", $G58 = "shot", $G58 = "pierce"), $O58, 0), Factor!$BG$5:$BG$51, -1), 2), 0),
_xlpm.탄환개수보정치, VLOOKUP(IF(OR($G58 = "curved", $G58 = "shot"), $Q58, 1), Factor!$BQ$5:$BX$51, _xlpm.기본_색인번호, 0),
_xlpm.상태이상탄환생성위치보정치, IF($G58 = "debuff", VLOOKUP($R58, Factor!$K$18:$R$19, _xlpm.기본_색인번호, 0),1),
_xlpm.상태이상탄환형태보정치, IF($G58 = "debuff", VLOOKUP($S58, Factor!$K$24:$R$25, _xlpm.기본_색인번호, 0),1),
_xlpm.가격보정치, INDEX(Factor!$AE$5:$AL$51, _xlfn.XMATCH($F58,Factor!$AE$5:$AE$51, -1), _xlpm.기본_색인번호),
_xlpm.구경보정치, VLOOKUP($D58,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</row>
    <row r="59" spans="1:40" ht="15.75" customHeight="1">
      <c r="A59" s="24" t="str">
        <f>"weapon_"&amp;G59&amp;"_"&amp;VLOOKUP(H59, Factor!$T$5:$AB$7, 9, 0)&amp;"_"&amp;IF(COUNTIFS($G$4:G58, G59, $H$4:H58, H59)+1&gt;=100, COUNTIFS($G$4:G58, G59, $H$4:H58, H59)+1,IF(COUNTIFS($G$4:G58, G59, $H$4:H58, H59)+1&gt;=10, "0"&amp;COUNTIFS($G$4:G58, G59, $H$4:H58, H59)+1, "00"&amp;COUNTIFS($G$4:G58, G59, $H$4:H58, H59)+1))</f>
        <v>weapon_single_Am_055</v>
      </c>
      <c r="B59" s="36" t="str">
        <f t="shared" si="1"/>
        <v>T10 20mm기관포</v>
      </c>
      <c r="C59" s="36" t="s">
        <v>268</v>
      </c>
      <c r="D59" s="36" t="s">
        <v>261</v>
      </c>
      <c r="E59" s="36" t="s">
        <v>151</v>
      </c>
      <c r="F59" s="25">
        <f>VLOOKUP(C59, Factor!$AD$5:$AE$15, 2, 0)</f>
        <v>10000</v>
      </c>
      <c r="G59" s="26" t="str">
        <f>VLOOKUP(E59, Factor!$CL$5:$CV$50, 2, 0)</f>
        <v>single</v>
      </c>
      <c r="H59" s="25" t="str">
        <f>VLOOKUP(E59, Factor!$CL$5:$CV$50, 3, 0)</f>
        <v>ammo</v>
      </c>
      <c r="I59" s="25" t="str">
        <f>VLOOKUP(E59, Factor!$CL$5:$CV$50, 4, 0)</f>
        <v>L</v>
      </c>
      <c r="J59" s="25" t="str">
        <f>VLOOKUP(E59, Factor!$CL$5:$CV$50, 5, 0)</f>
        <v>spread</v>
      </c>
      <c r="K59" s="25">
        <v>1</v>
      </c>
      <c r="L59" s="25">
        <f>VLOOKUP(E59, Factor!$CL$5:$CV$50, 6, 0)*K59*VLOOKUP(D59, Factor!$BZ$5:$CJ$49, 9, 0)</f>
        <v>0</v>
      </c>
      <c r="M59" s="25" t="str">
        <f>VLOOKUP(E59, Factor!$CL$5:$CV$50, 7, 0)</f>
        <v>null</v>
      </c>
      <c r="N59" s="25">
        <v>1</v>
      </c>
      <c r="O59" s="25">
        <f>VLOOKUP(E59, Factor!$CL$5:$CV$50, 8, 0)*N59*VLOOKUP(D59, Factor!$BZ$5:$CJ$49, 10, 0)</f>
        <v>0</v>
      </c>
      <c r="P59" s="25">
        <v>1</v>
      </c>
      <c r="Q59" s="25">
        <f>VLOOKUP(E59, Factor!$CL$5:$CV$50, 9, 0)*P59*VLOOKUP(D59, Factor!$BZ$5:$CJ$49, 11, 0)</f>
        <v>5</v>
      </c>
      <c r="R59" s="25" t="str">
        <f>VLOOKUP(E59, Factor!$CL$5:$CV$50, 10, 0)</f>
        <v>null</v>
      </c>
      <c r="S59" s="25" t="str">
        <f>VLOOKUP(E59, Factor!$CL$5:$CV$50, 11, 0)</f>
        <v>null</v>
      </c>
      <c r="T59" s="25">
        <v>1</v>
      </c>
      <c r="U59" s="25">
        <v>1</v>
      </c>
      <c r="V59" s="25">
        <v>1</v>
      </c>
      <c r="W59" s="25">
        <v>1</v>
      </c>
      <c r="X59" s="25">
        <v>1</v>
      </c>
      <c r="Y59" s="25">
        <v>1</v>
      </c>
      <c r="Z59" s="25">
        <v>1</v>
      </c>
      <c r="AA59" s="25" cm="1">
        <f t="array" ref="AA59">_xlfn.LET(_xlpm.기본_색인번호, 2,
_xlpm.추가_색인번호, 3,
_xlpm.개별보정치, T59,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B59" s="25" cm="1">
        <f t="array" ref="AB59">_xlfn.LET(_xlpm.기본_색인번호, 3,
_xlpm.추가_색인번호, 4,
_xlpm.개별보정치, U59,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</v>
      </c>
      <c r="AC59" s="25" cm="1">
        <f t="array" ref="AC59">_xlfn.LET(_xlpm.기본_색인번호, 4,
_xlpm.추가_색인번호, 5,
_xlpm.개별보정치, V59,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</v>
      </c>
      <c r="AD59" s="25" cm="1">
        <f t="array" ref="AD59">_xlfn.LET(_xlpm.기본_색인번호, 5,
_xlpm.추가_색인번호, 6,
_xlpm.개별보정치, W59,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E59" s="25" cm="1">
        <f t="array" ref="AE59">_xlfn.LET(_xlpm.기본_색인번호, 6,
_xlpm.추가_색인번호, 7,
_xlpm.개별보정치, X59,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  <c r="AF59" s="25" cm="1">
        <f t="array" ref="AF59">_xlfn.LET(_xlpm.기본_색인번호, 7,
_xlpm.추가_색인번호, 8,
_xlpm.개별보정치, Y59,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G59" s="27" cm="1">
        <f t="array" ref="AG59">_xlfn.LET(_xlpm.기본_색인번호, 8,
_xlpm.추가_색인번호, 9,
_xlpm.개별보정치, Z59,
_xlpm.패턴보정치, VLOOKUP($G59, Factor!$B$5:$I$51, _xlpm.기본_색인번호, 0),
_xlpm.소모탄환보정치, VLOOKUP($H59, Factor!$T$5:$AA$51, _xlpm.기본_색인번호, 0),
_xlpm.지형보정치, VLOOKUP($I59, Factor!$K$12:$R$13, _xlpm.기본_색인번호, 0),
_xlpm.공격속성보정치, VLOOKUP($J59, Factor!$K$5:$R$7, _xlpm.기본_색인번호, 0),
_xlpm.피해범위보정치, INDEX(Factor!$AN$5:$AV$51, _xlfn.XMATCH(IF(OR($G59="blast", $G59="curved",  $G59= "debuff"), $L59, 0), Factor!$AN$5:$AN$51, -1), _xlpm.추가_색인번호)-IF(AND(OR($G59="blast", $G59="curved", $G59= "debuff"), MOD($L59,1)&lt;&gt;0),INDEX(Factor!$AN$5:$AV$51, _xlfn.XMATCH(IF(OR($G59="blast", $G59="curved", $G59= "debuff"), $L59, 0), Factor!$AN$5:$AN$51, -1), 2)*MOD($L59,1)*10,0),
_xlpm.상태이상보정치, VLOOKUP(IF($G59 = "debuff", $M59, "null"), Factor!$AX$5:$BE$51, _xlpm.기본_색인번호, 0),
_xlpm.지속시간보정치, INDEX(Factor!$BG$5:$BO$51, _xlfn.XMATCH(IF(OR($G59 ="debuff", $G59 = "shot", $G59 = "pierce"), $O59, 0), Factor!$BG$5:$BG$51, -1), _xlpm.추가_색인번호)-IF(AND(OR($G59 ="debuff", $G59 = "shot", $G59 = "pierce"), MOD($O59, 1)&lt;&gt;0), 10*MOD($O59, 1)*INDEX(Factor!$BG$5:$BO$51, _xlfn.XMATCH(IF(OR($G59 ="debuff", $G59 = "shot", $G59 = "pierce"), $O59, 0), Factor!$BG$5:$BG$51, -1), 2), 0),
_xlpm.탄환개수보정치, VLOOKUP(IF(OR($G59 = "curved", $G59 = "shot"), $Q59, 1), Factor!$BQ$5:$BX$51, _xlpm.기본_색인번호, 0),
_xlpm.상태이상탄환생성위치보정치, IF($G59 = "debuff", VLOOKUP($R59, Factor!$K$18:$R$19, _xlpm.기본_색인번호, 0),1),
_xlpm.상태이상탄환형태보정치, IF($G59 = "debuff", VLOOKUP($S59, Factor!$K$24:$R$25, _xlpm.기본_색인번호, 0),1),
_xlpm.가격보정치, INDEX(Factor!$AE$5:$AL$51, _xlfn.XMATCH($F59,Factor!$AE$5:$AE$51, -1), _xlpm.기본_색인번호),
_xlpm.구경보정치, VLOOKUP($D59,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</v>
      </c>
    </row>
    <row r="60" spans="1:40" ht="15.75" customHeight="1">
      <c r="A60" s="28" t="str">
        <f>"weapon_"&amp;G60&amp;"_"&amp;VLOOKUP(H60, Factor!$T$5:$AB$7, 9, 0)&amp;"_"&amp;IF(COUNTIFS($G$4:G59, G60, $H$4:H59, H60)+1&gt;=100, COUNTIFS($G$4:G59, G60, $H$4:H59, H60)+1,IF(COUNTIFS($G$4:G59, G60, $H$4:H59, H60)+1&gt;=10, "0"&amp;COUNTIFS($G$4:G59, G60, $H$4:H59, H60)+1, "00"&amp;COUNTIFS($G$4:G59, G60, $H$4:H59, H60)+1))</f>
        <v>weapon_single_Am_056</v>
      </c>
      <c r="B60" s="37" t="str">
        <f t="shared" si="1"/>
        <v>녹슨 대공포</v>
      </c>
      <c r="C60" s="37" t="s">
        <v>239</v>
      </c>
      <c r="D60" s="37" t="s">
        <v>275</v>
      </c>
      <c r="E60" s="37" t="s">
        <v>276</v>
      </c>
      <c r="F60" s="29">
        <f>VLOOKUP(C60, Factor!$AD$5:$AE$15, 2, 0)</f>
        <v>0</v>
      </c>
      <c r="G60" s="29" t="str">
        <f>VLOOKUP(E60, Factor!$CL$5:$CV$50, 2, 0)</f>
        <v>single</v>
      </c>
      <c r="H60" s="29" t="str">
        <f>VLOOKUP(E60, Factor!$CL$5:$CV$50, 3, 0)</f>
        <v>ammo</v>
      </c>
      <c r="I60" s="29" t="str">
        <f>VLOOKUP(E60, Factor!$CL$5:$CV$50, 4, 0)</f>
        <v>F</v>
      </c>
      <c r="J60" s="29" t="str">
        <f>VLOOKUP(E60, Factor!$CL$5:$CV$50, 5, 0)</f>
        <v>spread</v>
      </c>
      <c r="K60" s="29">
        <v>1</v>
      </c>
      <c r="L60" s="29">
        <f>VLOOKUP(E60, Factor!$CL$5:$CV$50, 6, 0)*K60*VLOOKUP(D60, Factor!$BZ$5:$CJ$49, 9, 0)</f>
        <v>0</v>
      </c>
      <c r="M60" s="29" t="str">
        <f>VLOOKUP(E60, Factor!$CL$5:$CV$50, 7, 0)</f>
        <v>null</v>
      </c>
      <c r="N60" s="29">
        <v>1</v>
      </c>
      <c r="O60" s="29">
        <f>VLOOKUP(E60, Factor!$CL$5:$CV$50, 8, 0)*N60*VLOOKUP(D60, Factor!$BZ$5:$CJ$49, 10, 0)</f>
        <v>0</v>
      </c>
      <c r="P60" s="29">
        <v>1</v>
      </c>
      <c r="Q60" s="29">
        <f>VLOOKUP(E60, Factor!$CL$5:$CV$50, 9, 0)*P60*VLOOKUP(D60, Factor!$BZ$5:$CJ$49, 11, 0)</f>
        <v>1</v>
      </c>
      <c r="R60" s="29" t="str">
        <f>VLOOKUP(E60, Factor!$CL$5:$CV$50, 10, 0)</f>
        <v>null</v>
      </c>
      <c r="S60" s="29" t="str">
        <f>VLOOKUP(E60, Factor!$CL$5:$CV$50, 11, 0)</f>
        <v>null</v>
      </c>
      <c r="T60" s="29">
        <v>1</v>
      </c>
      <c r="U60" s="29">
        <v>1</v>
      </c>
      <c r="V60" s="29">
        <v>1</v>
      </c>
      <c r="W60" s="29">
        <v>1</v>
      </c>
      <c r="X60" s="29">
        <v>1</v>
      </c>
      <c r="Y60" s="29">
        <v>1</v>
      </c>
      <c r="Z60" s="29">
        <v>1</v>
      </c>
      <c r="AA60" s="29" cm="1">
        <f t="array" ref="AA60">_xlfn.LET(_xlpm.기본_색인번호, 2,
_xlpm.추가_색인번호, 3,
_xlpm.개별보정치, T60,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60" s="29" cm="1">
        <f t="array" ref="AB60">_xlfn.LET(_xlpm.기본_색인번호, 3,
_xlpm.추가_색인번호, 4,
_xlpm.개별보정치, U60,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0" s="29" cm="1">
        <f t="array" ref="AC60">_xlfn.LET(_xlpm.기본_색인번호, 4,
_xlpm.추가_색인번호, 5,
_xlpm.개별보정치, V60,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0" s="29" cm="1">
        <f t="array" ref="AD60">_xlfn.LET(_xlpm.기본_색인번호, 5,
_xlpm.추가_색인번호, 6,
_xlpm.개별보정치, W60,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60" s="29" cm="1">
        <f t="array" ref="AE60">_xlfn.LET(_xlpm.기본_색인번호, 6,
_xlpm.추가_색인번호, 7,
_xlpm.개별보정치, X60,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60" s="29" cm="1">
        <f t="array" ref="AF60">_xlfn.LET(_xlpm.기본_색인번호, 7,
_xlpm.추가_색인번호, 8,
_xlpm.개별보정치, Y60,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0" s="30" cm="1">
        <f t="array" ref="AG60">_xlfn.LET(_xlpm.기본_색인번호, 8,
_xlpm.추가_색인번호, 9,
_xlpm.개별보정치, Z60,
_xlpm.패턴보정치, VLOOKUP($G60, Factor!$B$5:$I$51, _xlpm.기본_색인번호, 0),
_xlpm.소모탄환보정치, VLOOKUP($H60, Factor!$T$5:$AA$51, _xlpm.기본_색인번호, 0),
_xlpm.지형보정치, VLOOKUP($I60, Factor!$K$12:$R$13, _xlpm.기본_색인번호, 0),
_xlpm.공격속성보정치, VLOOKUP($J60, Factor!$K$5:$R$7, _xlpm.기본_색인번호, 0),
_xlpm.피해범위보정치, INDEX(Factor!$AN$5:$AV$51, _xlfn.XMATCH(IF(OR($G60="blast", $G60="curved",  $G60= "debuff"), $L60, 0), Factor!$AN$5:$AN$51, -1), _xlpm.추가_색인번호)-IF(AND(OR($G60="blast", $G60="curved", $G60= "debuff"), MOD($L60,1)&lt;&gt;0),INDEX(Factor!$AN$5:$AV$51, _xlfn.XMATCH(IF(OR($G60="blast", $G60="curved", $G60= "debuff"), $L60, 0), Factor!$AN$5:$AN$51, -1), 2)*MOD($L60,1)*10,0),
_xlpm.상태이상보정치, VLOOKUP(IF($G60 = "debuff", $M60, "null"), Factor!$AX$5:$BE$51, _xlpm.기본_색인번호, 0),
_xlpm.지속시간보정치, INDEX(Factor!$BG$5:$BO$51, _xlfn.XMATCH(IF(OR($G60 ="debuff", $G60 = "shot", $G60 = "pierce"), $O60, 0), Factor!$BG$5:$BG$51, -1), _xlpm.추가_색인번호)-IF(AND(OR($G60 ="debuff", $G60 = "shot", $G60 = "pierce"), MOD($O60, 1)&lt;&gt;0), 10*MOD($O60, 1)*INDEX(Factor!$BG$5:$BO$51, _xlfn.XMATCH(IF(OR($G60 ="debuff", $G60 = "shot", $G60 = "pierce"), $O60, 0), Factor!$BG$5:$BG$51, -1), 2), 0),
_xlpm.탄환개수보정치, VLOOKUP(IF(OR($G60 = "curved", $G60 = "shot"), $Q60, 1), Factor!$BQ$5:$BX$51, _xlpm.기본_색인번호, 0),
_xlpm.상태이상탄환생성위치보정치, IF($G60 = "debuff", VLOOKUP($R60, Factor!$K$18:$R$19, _xlpm.기본_색인번호, 0),1),
_xlpm.상태이상탄환형태보정치, IF($G60 = "debuff", VLOOKUP($S60, Factor!$K$24:$R$25, _xlpm.기본_색인번호, 0),1),
_xlpm.가격보정치, INDEX(Factor!$AE$5:$AL$51, _xlfn.XMATCH($F60,Factor!$AE$5:$AE$51, -1), _xlpm.기본_색인번호),
_xlpm.구경보정치, VLOOKUP($D60,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</row>
    <row r="61" spans="1:40" ht="15.75" customHeight="1">
      <c r="A61" s="24" t="str">
        <f>"weapon_"&amp;G61&amp;"_"&amp;VLOOKUP(H61, Factor!$T$5:$AB$7, 9, 0)&amp;"_"&amp;IF(COUNTIFS($G$4:G60, G61, $H$4:H60, H61)+1&gt;=100, COUNTIFS($G$4:G60, G61, $H$4:H60, H61)+1,IF(COUNTIFS($G$4:G60, G61, $H$4:H60, H61)+1&gt;=10, "0"&amp;COUNTIFS($G$4:G60, G61, $H$4:H60, H61)+1, "00"&amp;COUNTIFS($G$4:G60, G61, $H$4:H60, H61)+1))</f>
        <v>weapon_single_Am_057</v>
      </c>
      <c r="B61" s="36" t="str">
        <f t="shared" si="1"/>
        <v>녹슨 5.56mm대공포</v>
      </c>
      <c r="C61" s="36" t="s">
        <v>239</v>
      </c>
      <c r="D61" s="36" t="s">
        <v>241</v>
      </c>
      <c r="E61" s="36" t="s">
        <v>276</v>
      </c>
      <c r="F61" s="25">
        <f>VLOOKUP(C61, Factor!$AD$5:$AE$15, 2, 0)</f>
        <v>0</v>
      </c>
      <c r="G61" s="26" t="str">
        <f>VLOOKUP(E61, Factor!$CL$5:$CV$50, 2, 0)</f>
        <v>single</v>
      </c>
      <c r="H61" s="25" t="str">
        <f>VLOOKUP(E61, Factor!$CL$5:$CV$50, 3, 0)</f>
        <v>ammo</v>
      </c>
      <c r="I61" s="25" t="str">
        <f>VLOOKUP(E61, Factor!$CL$5:$CV$50, 4, 0)</f>
        <v>F</v>
      </c>
      <c r="J61" s="25" t="str">
        <f>VLOOKUP(E61, Factor!$CL$5:$CV$50, 5, 0)</f>
        <v>spread</v>
      </c>
      <c r="K61" s="25">
        <v>1</v>
      </c>
      <c r="L61" s="25">
        <f>VLOOKUP(E61, Factor!$CL$5:$CV$50, 6, 0)*K61*VLOOKUP(D61, Factor!$BZ$5:$CJ$49, 9, 0)</f>
        <v>0</v>
      </c>
      <c r="M61" s="25" t="str">
        <f>VLOOKUP(E61, Factor!$CL$5:$CV$50, 7, 0)</f>
        <v>null</v>
      </c>
      <c r="N61" s="25">
        <v>1</v>
      </c>
      <c r="O61" s="25">
        <f>VLOOKUP(E61, Factor!$CL$5:$CV$50, 8, 0)*N61*VLOOKUP(D61, Factor!$BZ$5:$CJ$49, 10, 0)</f>
        <v>0</v>
      </c>
      <c r="P61" s="25">
        <v>1</v>
      </c>
      <c r="Q61" s="25">
        <f>VLOOKUP(E61, Factor!$CL$5:$CV$50, 9, 0)*P61*VLOOKUP(D61, Factor!$BZ$5:$CJ$49, 11, 0)</f>
        <v>2</v>
      </c>
      <c r="R61" s="25" t="str">
        <f>VLOOKUP(E61, Factor!$CL$5:$CV$50, 10, 0)</f>
        <v>null</v>
      </c>
      <c r="S61" s="25" t="str">
        <f>VLOOKUP(E61, Factor!$CL$5:$CV$50, 11, 0)</f>
        <v>null</v>
      </c>
      <c r="T61" s="25">
        <v>1</v>
      </c>
      <c r="U61" s="25">
        <v>1</v>
      </c>
      <c r="V61" s="25">
        <v>1</v>
      </c>
      <c r="W61" s="25">
        <v>1</v>
      </c>
      <c r="X61" s="25">
        <v>1</v>
      </c>
      <c r="Y61" s="25">
        <v>1</v>
      </c>
      <c r="Z61" s="25">
        <v>1</v>
      </c>
      <c r="AA61" s="25" cm="1">
        <f t="array" ref="AA61">_xlfn.LET(_xlpm.기본_색인번호, 2,
_xlpm.추가_색인번호, 3,
_xlpm.개별보정치, T61,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61" s="25" cm="1">
        <f t="array" ref="AB61">_xlfn.LET(_xlpm.기본_색인번호, 3,
_xlpm.추가_색인번호, 4,
_xlpm.개별보정치, U61,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1" s="25" cm="1">
        <f t="array" ref="AC61">_xlfn.LET(_xlpm.기본_색인번호, 4,
_xlpm.추가_색인번호, 5,
_xlpm.개별보정치, V61,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1" s="25" cm="1">
        <f t="array" ref="AD61">_xlfn.LET(_xlpm.기본_색인번호, 5,
_xlpm.추가_색인번호, 6,
_xlpm.개별보정치, W61,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61" s="25" cm="1">
        <f t="array" ref="AE61">_xlfn.LET(_xlpm.기본_색인번호, 6,
_xlpm.추가_색인번호, 7,
_xlpm.개별보정치, X61,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61" s="25" cm="1">
        <f t="array" ref="AF61">_xlfn.LET(_xlpm.기본_색인번호, 7,
_xlpm.추가_색인번호, 8,
_xlpm.개별보정치, Y61,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1" s="27" cm="1">
        <f t="array" ref="AG61">_xlfn.LET(_xlpm.기본_색인번호, 8,
_xlpm.추가_색인번호, 9,
_xlpm.개별보정치, Z61,
_xlpm.패턴보정치, VLOOKUP($G61, Factor!$B$5:$I$51, _xlpm.기본_색인번호, 0),
_xlpm.소모탄환보정치, VLOOKUP($H61, Factor!$T$5:$AA$51, _xlpm.기본_색인번호, 0),
_xlpm.지형보정치, VLOOKUP($I61, Factor!$K$12:$R$13, _xlpm.기본_색인번호, 0),
_xlpm.공격속성보정치, VLOOKUP($J61, Factor!$K$5:$R$7, _xlpm.기본_색인번호, 0),
_xlpm.피해범위보정치, INDEX(Factor!$AN$5:$AV$51, _xlfn.XMATCH(IF(OR($G61="blast", $G61="curved",  $G61= "debuff"), $L61, 0), Factor!$AN$5:$AN$51, -1), _xlpm.추가_색인번호)-IF(AND(OR($G61="blast", $G61="curved", $G61= "debuff"), MOD($L61,1)&lt;&gt;0),INDEX(Factor!$AN$5:$AV$51, _xlfn.XMATCH(IF(OR($G61="blast", $G61="curved", $G61= "debuff"), $L61, 0), Factor!$AN$5:$AN$51, -1), 2)*MOD($L61,1)*10,0),
_xlpm.상태이상보정치, VLOOKUP(IF($G61 = "debuff", $M61, "null"), Factor!$AX$5:$BE$51, _xlpm.기본_색인번호, 0),
_xlpm.지속시간보정치, INDEX(Factor!$BG$5:$BO$51, _xlfn.XMATCH(IF(OR($G61 ="debuff", $G61 = "shot", $G61 = "pierce"), $O61, 0), Factor!$BG$5:$BG$51, -1), _xlpm.추가_색인번호)-IF(AND(OR($G61 ="debuff", $G61 = "shot", $G61 = "pierce"), MOD($O61, 1)&lt;&gt;0), 10*MOD($O61, 1)*INDEX(Factor!$BG$5:$BO$51, _xlfn.XMATCH(IF(OR($G61 ="debuff", $G61 = "shot", $G61 = "pierce"), $O61, 0), Factor!$BG$5:$BG$51, -1), 2), 0),
_xlpm.탄환개수보정치, VLOOKUP(IF(OR($G61 = "curved", $G61 = "shot"), $Q61, 1), Factor!$BQ$5:$BX$51, _xlpm.기본_색인번호, 0),
_xlpm.상태이상탄환생성위치보정치, IF($G61 = "debuff", VLOOKUP($R61, Factor!$K$18:$R$19, _xlpm.기본_색인번호, 0),1),
_xlpm.상태이상탄환형태보정치, IF($G61 = "debuff", VLOOKUP($S61, Factor!$K$24:$R$25, _xlpm.기본_색인번호, 0),1),
_xlpm.가격보정치, INDEX(Factor!$AE$5:$AL$51, _xlfn.XMATCH($F61,Factor!$AE$5:$AE$51, -1), _xlpm.기본_색인번호),
_xlpm.구경보정치, VLOOKUP($D61,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</row>
    <row r="62" spans="1:40" ht="15.75" customHeight="1">
      <c r="A62" s="28" t="str">
        <f>"weapon_"&amp;G62&amp;"_"&amp;VLOOKUP(H62, Factor!$T$5:$AB$7, 9, 0)&amp;"_"&amp;IF(COUNTIFS($G$4:G61, G62, $H$4:H61, H62)+1&gt;=100, COUNTIFS($G$4:G61, G62, $H$4:H61, H62)+1,IF(COUNTIFS($G$4:G61, G62, $H$4:H61, H62)+1&gt;=10, "0"&amp;COUNTIFS($G$4:G61, G62, $H$4:H61, H62)+1, "00"&amp;COUNTIFS($G$4:G61, G62, $H$4:H61, H62)+1))</f>
        <v>weapon_single_Am_058</v>
      </c>
      <c r="B62" s="37" t="str">
        <f t="shared" si="1"/>
        <v>녹슨 7.62mm대공포</v>
      </c>
      <c r="C62" s="37" t="s">
        <v>239</v>
      </c>
      <c r="D62" s="37" t="s">
        <v>242</v>
      </c>
      <c r="E62" s="37" t="s">
        <v>276</v>
      </c>
      <c r="F62" s="29">
        <f>VLOOKUP(C62, Factor!$AD$5:$AE$15, 2, 0)</f>
        <v>0</v>
      </c>
      <c r="G62" s="29" t="str">
        <f>VLOOKUP(E62, Factor!$CL$5:$CV$50, 2, 0)</f>
        <v>single</v>
      </c>
      <c r="H62" s="29" t="str">
        <f>VLOOKUP(E62, Factor!$CL$5:$CV$50, 3, 0)</f>
        <v>ammo</v>
      </c>
      <c r="I62" s="29" t="str">
        <f>VLOOKUP(E62, Factor!$CL$5:$CV$50, 4, 0)</f>
        <v>F</v>
      </c>
      <c r="J62" s="29" t="str">
        <f>VLOOKUP(E62, Factor!$CL$5:$CV$50, 5, 0)</f>
        <v>spread</v>
      </c>
      <c r="K62" s="29">
        <v>1</v>
      </c>
      <c r="L62" s="29">
        <f>VLOOKUP(E62, Factor!$CL$5:$CV$50, 6, 0)*K62*VLOOKUP(D62, Factor!$BZ$5:$CJ$49, 9, 0)</f>
        <v>0</v>
      </c>
      <c r="M62" s="29" t="str">
        <f>VLOOKUP(E62, Factor!$CL$5:$CV$50, 7, 0)</f>
        <v>null</v>
      </c>
      <c r="N62" s="29">
        <v>1</v>
      </c>
      <c r="O62" s="29">
        <f>VLOOKUP(E62, Factor!$CL$5:$CV$50, 8, 0)*N62*VLOOKUP(D62, Factor!$BZ$5:$CJ$49, 10, 0)</f>
        <v>0</v>
      </c>
      <c r="P62" s="29">
        <v>1</v>
      </c>
      <c r="Q62" s="29">
        <f>VLOOKUP(E62, Factor!$CL$5:$CV$50, 9, 0)*P62*VLOOKUP(D62, Factor!$BZ$5:$CJ$49, 11, 0)</f>
        <v>3</v>
      </c>
      <c r="R62" s="29" t="str">
        <f>VLOOKUP(E62, Factor!$CL$5:$CV$50, 10, 0)</f>
        <v>null</v>
      </c>
      <c r="S62" s="29" t="str">
        <f>VLOOKUP(E62, Factor!$CL$5:$CV$50, 11, 0)</f>
        <v>null</v>
      </c>
      <c r="T62" s="29">
        <v>1</v>
      </c>
      <c r="U62" s="29">
        <v>1</v>
      </c>
      <c r="V62" s="29">
        <v>1</v>
      </c>
      <c r="W62" s="29">
        <v>1</v>
      </c>
      <c r="X62" s="29">
        <v>1</v>
      </c>
      <c r="Y62" s="29">
        <v>1</v>
      </c>
      <c r="Z62" s="29">
        <v>1</v>
      </c>
      <c r="AA62" s="29" cm="1">
        <f t="array" ref="AA62">_xlfn.LET(_xlpm.기본_색인번호, 2,
_xlpm.추가_색인번호, 3,
_xlpm.개별보정치, T62,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62" s="29" cm="1">
        <f t="array" ref="AB62">_xlfn.LET(_xlpm.기본_색인번호, 3,
_xlpm.추가_색인번호, 4,
_xlpm.개별보정치, U62,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2" s="29" cm="1">
        <f t="array" ref="AC62">_xlfn.LET(_xlpm.기본_색인번호, 4,
_xlpm.추가_색인번호, 5,
_xlpm.개별보정치, V62,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2" s="29" cm="1">
        <f t="array" ref="AD62">_xlfn.LET(_xlpm.기본_색인번호, 5,
_xlpm.추가_색인번호, 6,
_xlpm.개별보정치, W62,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62" s="29" cm="1">
        <f t="array" ref="AE62">_xlfn.LET(_xlpm.기본_색인번호, 6,
_xlpm.추가_색인번호, 7,
_xlpm.개별보정치, X62,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62" s="29" cm="1">
        <f t="array" ref="AF62">_xlfn.LET(_xlpm.기본_색인번호, 7,
_xlpm.추가_색인번호, 8,
_xlpm.개별보정치, Y62,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2" s="30" cm="1">
        <f t="array" ref="AG62">_xlfn.LET(_xlpm.기본_색인번호, 8,
_xlpm.추가_색인번호, 9,
_xlpm.개별보정치, Z62,
_xlpm.패턴보정치, VLOOKUP($G62, Factor!$B$5:$I$51, _xlpm.기본_색인번호, 0),
_xlpm.소모탄환보정치, VLOOKUP($H62, Factor!$T$5:$AA$51, _xlpm.기본_색인번호, 0),
_xlpm.지형보정치, VLOOKUP($I62, Factor!$K$12:$R$13, _xlpm.기본_색인번호, 0),
_xlpm.공격속성보정치, VLOOKUP($J62, Factor!$K$5:$R$7, _xlpm.기본_색인번호, 0),
_xlpm.피해범위보정치, INDEX(Factor!$AN$5:$AV$51, _xlfn.XMATCH(IF(OR($G62="blast", $G62="curved",  $G62= "debuff"), $L62, 0), Factor!$AN$5:$AN$51, -1), _xlpm.추가_색인번호)-IF(AND(OR($G62="blast", $G62="curved", $G62= "debuff"), MOD($L62,1)&lt;&gt;0),INDEX(Factor!$AN$5:$AV$51, _xlfn.XMATCH(IF(OR($G62="blast", $G62="curved", $G62= "debuff"), $L62, 0), Factor!$AN$5:$AN$51, -1), 2)*MOD($L62,1)*10,0),
_xlpm.상태이상보정치, VLOOKUP(IF($G62 = "debuff", $M62, "null"), Factor!$AX$5:$BE$51, _xlpm.기본_색인번호, 0),
_xlpm.지속시간보정치, INDEX(Factor!$BG$5:$BO$51, _xlfn.XMATCH(IF(OR($G62 ="debuff", $G62 = "shot", $G62 = "pierce"), $O62, 0), Factor!$BG$5:$BG$51, -1), _xlpm.추가_색인번호)-IF(AND(OR($G62 ="debuff", $G62 = "shot", $G62 = "pierce"), MOD($O62, 1)&lt;&gt;0), 10*MOD($O62, 1)*INDEX(Factor!$BG$5:$BO$51, _xlfn.XMATCH(IF(OR($G62 ="debuff", $G62 = "shot", $G62 = "pierce"), $O62, 0), Factor!$BG$5:$BG$51, -1), 2), 0),
_xlpm.탄환개수보정치, VLOOKUP(IF(OR($G62 = "curved", $G62 = "shot"), $Q62, 1), Factor!$BQ$5:$BX$51, _xlpm.기본_색인번호, 0),
_xlpm.상태이상탄환생성위치보정치, IF($G62 = "debuff", VLOOKUP($R62, Factor!$K$18:$R$19, _xlpm.기본_색인번호, 0),1),
_xlpm.상태이상탄환형태보정치, IF($G62 = "debuff", VLOOKUP($S62, Factor!$K$24:$R$25, _xlpm.기본_색인번호, 0),1),
_xlpm.가격보정치, INDEX(Factor!$AE$5:$AL$51, _xlfn.XMATCH($F62,Factor!$AE$5:$AE$51, -1), _xlpm.기본_색인번호),
_xlpm.구경보정치, VLOOKUP($D62,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</row>
    <row r="63" spans="1:40" ht="15.75" customHeight="1">
      <c r="A63" s="24" t="str">
        <f>"weapon_"&amp;G63&amp;"_"&amp;VLOOKUP(H63, Factor!$T$5:$AB$7, 9, 0)&amp;"_"&amp;IF(COUNTIFS($G$4:G62, G63, $H$4:H62, H63)+1&gt;=100, COUNTIFS($G$4:G62, G63, $H$4:H62, H63)+1,IF(COUNTIFS($G$4:G62, G63, $H$4:H62, H63)+1&gt;=10, "0"&amp;COUNTIFS($G$4:G62, G63, $H$4:H62, H63)+1, "00"&amp;COUNTIFS($G$4:G62, G63, $H$4:H62, H63)+1))</f>
        <v>weapon_single_Am_059</v>
      </c>
      <c r="B63" s="36" t="str">
        <f t="shared" si="1"/>
        <v>녹슨 12.7mm대공포</v>
      </c>
      <c r="C63" s="36" t="s">
        <v>239</v>
      </c>
      <c r="D63" s="36" t="s">
        <v>243</v>
      </c>
      <c r="E63" s="36" t="s">
        <v>276</v>
      </c>
      <c r="F63" s="25">
        <f>VLOOKUP(C63, Factor!$AD$5:$AE$15, 2, 0)</f>
        <v>0</v>
      </c>
      <c r="G63" s="26" t="str">
        <f>VLOOKUP(E63, Factor!$CL$5:$CV$50, 2, 0)</f>
        <v>single</v>
      </c>
      <c r="H63" s="25" t="str">
        <f>VLOOKUP(E63, Factor!$CL$5:$CV$50, 3, 0)</f>
        <v>ammo</v>
      </c>
      <c r="I63" s="25" t="str">
        <f>VLOOKUP(E63, Factor!$CL$5:$CV$50, 4, 0)</f>
        <v>F</v>
      </c>
      <c r="J63" s="25" t="str">
        <f>VLOOKUP(E63, Factor!$CL$5:$CV$50, 5, 0)</f>
        <v>spread</v>
      </c>
      <c r="K63" s="25">
        <v>1</v>
      </c>
      <c r="L63" s="25">
        <f>VLOOKUP(E63, Factor!$CL$5:$CV$50, 6, 0)*K63*VLOOKUP(D63, Factor!$BZ$5:$CJ$49, 9, 0)</f>
        <v>0</v>
      </c>
      <c r="M63" s="25" t="str">
        <f>VLOOKUP(E63, Factor!$CL$5:$CV$50, 7, 0)</f>
        <v>null</v>
      </c>
      <c r="N63" s="25">
        <v>1</v>
      </c>
      <c r="O63" s="25">
        <f>VLOOKUP(E63, Factor!$CL$5:$CV$50, 8, 0)*N63*VLOOKUP(D63, Factor!$BZ$5:$CJ$49, 10, 0)</f>
        <v>0</v>
      </c>
      <c r="P63" s="25">
        <v>1</v>
      </c>
      <c r="Q63" s="25">
        <f>VLOOKUP(E63, Factor!$CL$5:$CV$50, 9, 0)*P63*VLOOKUP(D63, Factor!$BZ$5:$CJ$49, 11, 0)</f>
        <v>4</v>
      </c>
      <c r="R63" s="25" t="str">
        <f>VLOOKUP(E63, Factor!$CL$5:$CV$50, 10, 0)</f>
        <v>null</v>
      </c>
      <c r="S63" s="25" t="str">
        <f>VLOOKUP(E63, Factor!$CL$5:$CV$50, 11, 0)</f>
        <v>null</v>
      </c>
      <c r="T63" s="25">
        <v>1</v>
      </c>
      <c r="U63" s="25">
        <v>1</v>
      </c>
      <c r="V63" s="25">
        <v>1</v>
      </c>
      <c r="W63" s="25">
        <v>1</v>
      </c>
      <c r="X63" s="25">
        <v>1</v>
      </c>
      <c r="Y63" s="25">
        <v>1</v>
      </c>
      <c r="Z63" s="25">
        <v>1</v>
      </c>
      <c r="AA63" s="25" cm="1">
        <f t="array" ref="AA63">_xlfn.LET(_xlpm.기본_색인번호, 2,
_xlpm.추가_색인번호, 3,
_xlpm.개별보정치, T63,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63" s="25" cm="1">
        <f t="array" ref="AB63">_xlfn.LET(_xlpm.기본_색인번호, 3,
_xlpm.추가_색인번호, 4,
_xlpm.개별보정치, U63,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3" s="25" cm="1">
        <f t="array" ref="AC63">_xlfn.LET(_xlpm.기본_색인번호, 4,
_xlpm.추가_색인번호, 5,
_xlpm.개별보정치, V63,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3" s="25" cm="1">
        <f t="array" ref="AD63">_xlfn.LET(_xlpm.기본_색인번호, 5,
_xlpm.추가_색인번호, 6,
_xlpm.개별보정치, W63,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63" s="25" cm="1">
        <f t="array" ref="AE63">_xlfn.LET(_xlpm.기본_색인번호, 6,
_xlpm.추가_색인번호, 7,
_xlpm.개별보정치, X63,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63" s="25" cm="1">
        <f t="array" ref="AF63">_xlfn.LET(_xlpm.기본_색인번호, 7,
_xlpm.추가_색인번호, 8,
_xlpm.개별보정치, Y63,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3" s="27" cm="1">
        <f t="array" ref="AG63">_xlfn.LET(_xlpm.기본_색인번호, 8,
_xlpm.추가_색인번호, 9,
_xlpm.개별보정치, Z63,
_xlpm.패턴보정치, VLOOKUP($G63, Factor!$B$5:$I$51, _xlpm.기본_색인번호, 0),
_xlpm.소모탄환보정치, VLOOKUP($H63, Factor!$T$5:$AA$51, _xlpm.기본_색인번호, 0),
_xlpm.지형보정치, VLOOKUP($I63, Factor!$K$12:$R$13, _xlpm.기본_색인번호, 0),
_xlpm.공격속성보정치, VLOOKUP($J63, Factor!$K$5:$R$7, _xlpm.기본_색인번호, 0),
_xlpm.피해범위보정치, INDEX(Factor!$AN$5:$AV$51, _xlfn.XMATCH(IF(OR($G63="blast", $G63="curved",  $G63= "debuff"), $L63, 0), Factor!$AN$5:$AN$51, -1), _xlpm.추가_색인번호)-IF(AND(OR($G63="blast", $G63="curved", $G63= "debuff"), MOD($L63,1)&lt;&gt;0),INDEX(Factor!$AN$5:$AV$51, _xlfn.XMATCH(IF(OR($G63="blast", $G63="curved", $G63= "debuff"), $L63, 0), Factor!$AN$5:$AN$51, -1), 2)*MOD($L63,1)*10,0),
_xlpm.상태이상보정치, VLOOKUP(IF($G63 = "debuff", $M63, "null"), Factor!$AX$5:$BE$51, _xlpm.기본_색인번호, 0),
_xlpm.지속시간보정치, INDEX(Factor!$BG$5:$BO$51, _xlfn.XMATCH(IF(OR($G63 ="debuff", $G63 = "shot", $G63 = "pierce"), $O63, 0), Factor!$BG$5:$BG$51, -1), _xlpm.추가_색인번호)-IF(AND(OR($G63 ="debuff", $G63 = "shot", $G63 = "pierce"), MOD($O63, 1)&lt;&gt;0), 10*MOD($O63, 1)*INDEX(Factor!$BG$5:$BO$51, _xlfn.XMATCH(IF(OR($G63 ="debuff", $G63 = "shot", $G63 = "pierce"), $O63, 0), Factor!$BG$5:$BG$51, -1), 2), 0),
_xlpm.탄환개수보정치, VLOOKUP(IF(OR($G63 = "curved", $G63 = "shot"), $Q63, 1), Factor!$BQ$5:$BX$51, _xlpm.기본_색인번호, 0),
_xlpm.상태이상탄환생성위치보정치, IF($G63 = "debuff", VLOOKUP($R63, Factor!$K$18:$R$19, _xlpm.기본_색인번호, 0),1),
_xlpm.상태이상탄환형태보정치, IF($G63 = "debuff", VLOOKUP($S63, Factor!$K$24:$R$25, _xlpm.기본_색인번호, 0),1),
_xlpm.가격보정치, INDEX(Factor!$AE$5:$AL$51, _xlfn.XMATCH($F63,Factor!$AE$5:$AE$51, -1), _xlpm.기본_색인번호),
_xlpm.구경보정치, VLOOKUP($D63,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</row>
    <row r="64" spans="1:40" ht="15.75" customHeight="1">
      <c r="A64" s="28" t="str">
        <f>"weapon_"&amp;G64&amp;"_"&amp;VLOOKUP(H64, Factor!$T$5:$AB$7, 9, 0)&amp;"_"&amp;IF(COUNTIFS($G$4:G63, G64, $H$4:H63, H64)+1&gt;=100, COUNTIFS($G$4:G63, G64, $H$4:H63, H64)+1,IF(COUNTIFS($G$4:G63, G64, $H$4:H63, H64)+1&gt;=10, "0"&amp;COUNTIFS($G$4:G63, G64, $H$4:H63, H64)+1, "00"&amp;COUNTIFS($G$4:G63, G64, $H$4:H63, H64)+1))</f>
        <v>weapon_single_Am_060</v>
      </c>
      <c r="B64" s="37" t="str">
        <f t="shared" si="1"/>
        <v>녹슨 20mm대공포</v>
      </c>
      <c r="C64" s="37" t="s">
        <v>239</v>
      </c>
      <c r="D64" s="37" t="s">
        <v>244</v>
      </c>
      <c r="E64" s="37" t="s">
        <v>276</v>
      </c>
      <c r="F64" s="29">
        <f>VLOOKUP(C64, Factor!$AD$5:$AE$15, 2, 0)</f>
        <v>0</v>
      </c>
      <c r="G64" s="29" t="str">
        <f>VLOOKUP(E64, Factor!$CL$5:$CV$50, 2, 0)</f>
        <v>single</v>
      </c>
      <c r="H64" s="29" t="str">
        <f>VLOOKUP(E64, Factor!$CL$5:$CV$50, 3, 0)</f>
        <v>ammo</v>
      </c>
      <c r="I64" s="29" t="str">
        <f>VLOOKUP(E64, Factor!$CL$5:$CV$50, 4, 0)</f>
        <v>F</v>
      </c>
      <c r="J64" s="29" t="str">
        <f>VLOOKUP(E64, Factor!$CL$5:$CV$50, 5, 0)</f>
        <v>spread</v>
      </c>
      <c r="K64" s="29">
        <v>1</v>
      </c>
      <c r="L64" s="29">
        <f>VLOOKUP(E64, Factor!$CL$5:$CV$50, 6, 0)*K64*VLOOKUP(D64, Factor!$BZ$5:$CJ$49, 9, 0)</f>
        <v>0</v>
      </c>
      <c r="M64" s="29" t="str">
        <f>VLOOKUP(E64, Factor!$CL$5:$CV$50, 7, 0)</f>
        <v>null</v>
      </c>
      <c r="N64" s="29">
        <v>1</v>
      </c>
      <c r="O64" s="29">
        <f>VLOOKUP(E64, Factor!$CL$5:$CV$50, 8, 0)*N64*VLOOKUP(D64, Factor!$BZ$5:$CJ$49, 10, 0)</f>
        <v>0</v>
      </c>
      <c r="P64" s="29">
        <v>1</v>
      </c>
      <c r="Q64" s="29">
        <f>VLOOKUP(E64, Factor!$CL$5:$CV$50, 9, 0)*P64*VLOOKUP(D64, Factor!$BZ$5:$CJ$49, 11, 0)</f>
        <v>5</v>
      </c>
      <c r="R64" s="29" t="str">
        <f>VLOOKUP(E64, Factor!$CL$5:$CV$50, 10, 0)</f>
        <v>null</v>
      </c>
      <c r="S64" s="29" t="str">
        <f>VLOOKUP(E64, Factor!$CL$5:$CV$50, 11, 0)</f>
        <v>null</v>
      </c>
      <c r="T64" s="29">
        <v>1</v>
      </c>
      <c r="U64" s="29">
        <v>1</v>
      </c>
      <c r="V64" s="29">
        <v>1</v>
      </c>
      <c r="W64" s="29">
        <v>1</v>
      </c>
      <c r="X64" s="29">
        <v>1</v>
      </c>
      <c r="Y64" s="29">
        <v>1</v>
      </c>
      <c r="Z64" s="29">
        <v>1</v>
      </c>
      <c r="AA64" s="29" cm="1">
        <f t="array" ref="AA64">_xlfn.LET(_xlpm.기본_색인번호, 2,
_xlpm.추가_색인번호, 3,
_xlpm.개별보정치, T64,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B64" s="29" cm="1">
        <f t="array" ref="AB64">_xlfn.LET(_xlpm.기본_색인번호, 3,
_xlpm.추가_색인번호, 4,
_xlpm.개별보정치, U64,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4" s="29" cm="1">
        <f t="array" ref="AC64">_xlfn.LET(_xlpm.기본_색인번호, 4,
_xlpm.추가_색인번호, 5,
_xlpm.개별보정치, V64,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4" s="29" cm="1">
        <f t="array" ref="AD64">_xlfn.LET(_xlpm.기본_색인번호, 5,
_xlpm.추가_색인번호, 6,
_xlpm.개별보정치, W64,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E64" s="29" cm="1">
        <f t="array" ref="AE64">_xlfn.LET(_xlpm.기본_색인번호, 6,
_xlpm.추가_색인번호, 7,
_xlpm.개별보정치, X64,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F64" s="29" cm="1">
        <f t="array" ref="AF64">_xlfn.LET(_xlpm.기본_색인번호, 7,
_xlpm.추가_색인번호, 8,
_xlpm.개별보정치, Y64,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4" s="30" cm="1">
        <f t="array" ref="AG64">_xlfn.LET(_xlpm.기본_색인번호, 8,
_xlpm.추가_색인번호, 9,
_xlpm.개별보정치, Z64,
_xlpm.패턴보정치, VLOOKUP($G64, Factor!$B$5:$I$51, _xlpm.기본_색인번호, 0),
_xlpm.소모탄환보정치, VLOOKUP($H64, Factor!$T$5:$AA$51, _xlpm.기본_색인번호, 0),
_xlpm.지형보정치, VLOOKUP($I64, Factor!$K$12:$R$13, _xlpm.기본_색인번호, 0),
_xlpm.공격속성보정치, VLOOKUP($J64, Factor!$K$5:$R$7, _xlpm.기본_색인번호, 0),
_xlpm.피해범위보정치, INDEX(Factor!$AN$5:$AV$51, _xlfn.XMATCH(IF(OR($G64="blast", $G64="curved",  $G64= "debuff"), $L64, 0), Factor!$AN$5:$AN$51, -1), _xlpm.추가_색인번호)-IF(AND(OR($G64="blast", $G64="curved", $G64= "debuff"), MOD($L64,1)&lt;&gt;0),INDEX(Factor!$AN$5:$AV$51, _xlfn.XMATCH(IF(OR($G64="blast", $G64="curved", $G64= "debuff"), $L64, 0), Factor!$AN$5:$AN$51, -1), 2)*MOD($L64,1)*10,0),
_xlpm.상태이상보정치, VLOOKUP(IF($G64 = "debuff", $M64, "null"), Factor!$AX$5:$BE$51, _xlpm.기본_색인번호, 0),
_xlpm.지속시간보정치, INDEX(Factor!$BG$5:$BO$51, _xlfn.XMATCH(IF(OR($G64 ="debuff", $G64 = "shot", $G64 = "pierce"), $O64, 0), Factor!$BG$5:$BG$51, -1), _xlpm.추가_색인번호)-IF(AND(OR($G64 ="debuff", $G64 = "shot", $G64 = "pierce"), MOD($O64, 1)&lt;&gt;0), 10*MOD($O64, 1)*INDEX(Factor!$BG$5:$BO$51, _xlfn.XMATCH(IF(OR($G64 ="debuff", $G64 = "shot", $G64 = "pierce"), $O64, 0), Factor!$BG$5:$BG$51, -1), 2), 0),
_xlpm.탄환개수보정치, VLOOKUP(IF(OR($G64 = "curved", $G64 = "shot"), $Q64, 1), Factor!$BQ$5:$BX$51, _xlpm.기본_색인번호, 0),
_xlpm.상태이상탄환생성위치보정치, IF($G64 = "debuff", VLOOKUP($R64, Factor!$K$18:$R$19, _xlpm.기본_색인번호, 0),1),
_xlpm.상태이상탄환형태보정치, IF($G64 = "debuff", VLOOKUP($S64, Factor!$K$24:$R$25, _xlpm.기본_색인번호, 0),1),
_xlpm.가격보정치, INDEX(Factor!$AE$5:$AL$51, _xlfn.XMATCH($F64,Factor!$AE$5:$AE$51, -1), _xlpm.기본_색인번호),
_xlpm.구경보정치, VLOOKUP($D64,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</row>
    <row r="65" spans="1:33" ht="15.75" customHeight="1">
      <c r="A65" s="24" t="str">
        <f>"weapon_"&amp;G65&amp;"_"&amp;VLOOKUP(H65, Factor!$T$5:$AB$7, 9, 0)&amp;"_"&amp;IF(COUNTIFS($G$4:G64, G65, $H$4:H64, H65)+1&gt;=100, COUNTIFS($G$4:G64, G65, $H$4:H64, H65)+1,IF(COUNTIFS($G$4:G64, G65, $H$4:H64, H65)+1&gt;=10, "0"&amp;COUNTIFS($G$4:G64, G65, $H$4:H64, H65)+1, "00"&amp;COUNTIFS($G$4:G64, G65, $H$4:H64, H65)+1))</f>
        <v>weapon_single_Am_061</v>
      </c>
      <c r="B65" s="36" t="str">
        <f t="shared" si="1"/>
        <v>T1 대공포</v>
      </c>
      <c r="C65" s="36" t="s">
        <v>237</v>
      </c>
      <c r="D65" s="36" t="s">
        <v>275</v>
      </c>
      <c r="E65" s="36" t="s">
        <v>276</v>
      </c>
      <c r="F65" s="25">
        <f>VLOOKUP(C65, Factor!$AD$5:$AE$15, 2, 0)</f>
        <v>1000</v>
      </c>
      <c r="G65" s="26" t="str">
        <f>VLOOKUP(E65, Factor!$CL$5:$CV$50, 2, 0)</f>
        <v>single</v>
      </c>
      <c r="H65" s="25" t="str">
        <f>VLOOKUP(E65, Factor!$CL$5:$CV$50, 3, 0)</f>
        <v>ammo</v>
      </c>
      <c r="I65" s="25" t="str">
        <f>VLOOKUP(E65, Factor!$CL$5:$CV$50, 4, 0)</f>
        <v>F</v>
      </c>
      <c r="J65" s="25" t="str">
        <f>VLOOKUP(E65, Factor!$CL$5:$CV$50, 5, 0)</f>
        <v>spread</v>
      </c>
      <c r="K65" s="25">
        <v>1</v>
      </c>
      <c r="L65" s="25">
        <f>VLOOKUP(E65, Factor!$CL$5:$CV$50, 6, 0)*K65*VLOOKUP(D65, Factor!$BZ$5:$CJ$49, 9, 0)</f>
        <v>0</v>
      </c>
      <c r="M65" s="25" t="str">
        <f>VLOOKUP(E65, Factor!$CL$5:$CV$50, 7, 0)</f>
        <v>null</v>
      </c>
      <c r="N65" s="25">
        <v>1</v>
      </c>
      <c r="O65" s="25">
        <f>VLOOKUP(E65, Factor!$CL$5:$CV$50, 8, 0)*N65*VLOOKUP(D65, Factor!$BZ$5:$CJ$49, 10, 0)</f>
        <v>0</v>
      </c>
      <c r="P65" s="25">
        <v>1</v>
      </c>
      <c r="Q65" s="25">
        <f>VLOOKUP(E65, Factor!$CL$5:$CV$50, 9, 0)*P65*VLOOKUP(D65, Factor!$BZ$5:$CJ$49, 11, 0)</f>
        <v>1</v>
      </c>
      <c r="R65" s="25" t="str">
        <f>VLOOKUP(E65, Factor!$CL$5:$CV$50, 10, 0)</f>
        <v>null</v>
      </c>
      <c r="S65" s="25" t="str">
        <f>VLOOKUP(E65, Factor!$CL$5:$CV$50, 11, 0)</f>
        <v>null</v>
      </c>
      <c r="T65" s="25">
        <v>1</v>
      </c>
      <c r="U65" s="25">
        <v>1</v>
      </c>
      <c r="V65" s="25">
        <v>1</v>
      </c>
      <c r="W65" s="25">
        <v>1</v>
      </c>
      <c r="X65" s="25">
        <v>1</v>
      </c>
      <c r="Y65" s="25">
        <v>1</v>
      </c>
      <c r="Z65" s="25">
        <v>1</v>
      </c>
      <c r="AA65" s="25" cm="1">
        <f t="array" ref="AA65">_xlfn.LET(_xlpm.기본_색인번호, 2,
_xlpm.추가_색인번호, 3,
_xlpm.개별보정치, T65,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65" s="25" cm="1">
        <f t="array" ref="AB65">_xlfn.LET(_xlpm.기본_색인번호, 3,
_xlpm.추가_색인번호, 4,
_xlpm.개별보정치, U65,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5" s="25" cm="1">
        <f t="array" ref="AC65">_xlfn.LET(_xlpm.기본_색인번호, 4,
_xlpm.추가_색인번호, 5,
_xlpm.개별보정치, V65,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5" s="25" cm="1">
        <f t="array" ref="AD65">_xlfn.LET(_xlpm.기본_색인번호, 5,
_xlpm.추가_색인번호, 6,
_xlpm.개별보정치, W65,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65" s="25" cm="1">
        <f t="array" ref="AE65">_xlfn.LET(_xlpm.기본_색인번호, 6,
_xlpm.추가_색인번호, 7,
_xlpm.개별보정치, X65,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65" s="25" cm="1">
        <f t="array" ref="AF65">_xlfn.LET(_xlpm.기본_색인번호, 7,
_xlpm.추가_색인번호, 8,
_xlpm.개별보정치, Y65,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5" s="27" cm="1">
        <f t="array" ref="AG65">_xlfn.LET(_xlpm.기본_색인번호, 8,
_xlpm.추가_색인번호, 9,
_xlpm.개별보정치, Z65,
_xlpm.패턴보정치, VLOOKUP($G65, Factor!$B$5:$I$51, _xlpm.기본_색인번호, 0),
_xlpm.소모탄환보정치, VLOOKUP($H65, Factor!$T$5:$AA$51, _xlpm.기본_색인번호, 0),
_xlpm.지형보정치, VLOOKUP($I65, Factor!$K$12:$R$13, _xlpm.기본_색인번호, 0),
_xlpm.공격속성보정치, VLOOKUP($J65, Factor!$K$5:$R$7, _xlpm.기본_색인번호, 0),
_xlpm.피해범위보정치, INDEX(Factor!$AN$5:$AV$51, _xlfn.XMATCH(IF(OR($G65="blast", $G65="curved",  $G65= "debuff"), $L65, 0), Factor!$AN$5:$AN$51, -1), _xlpm.추가_색인번호)-IF(AND(OR($G65="blast", $G65="curved", $G65= "debuff"), MOD($L65,1)&lt;&gt;0),INDEX(Factor!$AN$5:$AV$51, _xlfn.XMATCH(IF(OR($G65="blast", $G65="curved", $G65= "debuff"), $L65, 0), Factor!$AN$5:$AN$51, -1), 2)*MOD($L65,1)*10,0),
_xlpm.상태이상보정치, VLOOKUP(IF($G65 = "debuff", $M65, "null"), Factor!$AX$5:$BE$51, _xlpm.기본_색인번호, 0),
_xlpm.지속시간보정치, INDEX(Factor!$BG$5:$BO$51, _xlfn.XMATCH(IF(OR($G65 ="debuff", $G65 = "shot", $G65 = "pierce"), $O65, 0), Factor!$BG$5:$BG$51, -1), _xlpm.추가_색인번호)-IF(AND(OR($G65 ="debuff", $G65 = "shot", $G65 = "pierce"), MOD($O65, 1)&lt;&gt;0), 10*MOD($O65, 1)*INDEX(Factor!$BG$5:$BO$51, _xlfn.XMATCH(IF(OR($G65 ="debuff", $G65 = "shot", $G65 = "pierce"), $O65, 0), Factor!$BG$5:$BG$51, -1), 2), 0),
_xlpm.탄환개수보정치, VLOOKUP(IF(OR($G65 = "curved", $G65 = "shot"), $Q65, 1), Factor!$BQ$5:$BX$51, _xlpm.기본_색인번호, 0),
_xlpm.상태이상탄환생성위치보정치, IF($G65 = "debuff", VLOOKUP($R65, Factor!$K$18:$R$19, _xlpm.기본_색인번호, 0),1),
_xlpm.상태이상탄환형태보정치, IF($G65 = "debuff", VLOOKUP($S65, Factor!$K$24:$R$25, _xlpm.기본_색인번호, 0),1),
_xlpm.가격보정치, INDEX(Factor!$AE$5:$AL$51, _xlfn.XMATCH($F65,Factor!$AE$5:$AE$51, -1), _xlpm.기본_색인번호),
_xlpm.구경보정치, VLOOKUP($D65,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</row>
    <row r="66" spans="1:33" ht="15.75" customHeight="1">
      <c r="A66" s="28" t="str">
        <f>"weapon_"&amp;G66&amp;"_"&amp;VLOOKUP(H66, Factor!$T$5:$AB$7, 9, 0)&amp;"_"&amp;IF(COUNTIFS($G$4:G65, G66, $H$4:H65, H66)+1&gt;=100, COUNTIFS($G$4:G65, G66, $H$4:H65, H66)+1,IF(COUNTIFS($G$4:G65, G66, $H$4:H65, H66)+1&gt;=10, "0"&amp;COUNTIFS($G$4:G65, G66, $H$4:H65, H66)+1, "00"&amp;COUNTIFS($G$4:G65, G66, $H$4:H65, H66)+1))</f>
        <v>weapon_single_Am_062</v>
      </c>
      <c r="B66" s="37" t="str">
        <f t="shared" si="1"/>
        <v>T1 5.56mm대공포</v>
      </c>
      <c r="C66" s="37" t="s">
        <v>237</v>
      </c>
      <c r="D66" s="37" t="s">
        <v>241</v>
      </c>
      <c r="E66" s="37" t="s">
        <v>276</v>
      </c>
      <c r="F66" s="29">
        <f>VLOOKUP(C66, Factor!$AD$5:$AE$15, 2, 0)</f>
        <v>1000</v>
      </c>
      <c r="G66" s="29" t="str">
        <f>VLOOKUP(E66, Factor!$CL$5:$CV$50, 2, 0)</f>
        <v>single</v>
      </c>
      <c r="H66" s="29" t="str">
        <f>VLOOKUP(E66, Factor!$CL$5:$CV$50, 3, 0)</f>
        <v>ammo</v>
      </c>
      <c r="I66" s="29" t="str">
        <f>VLOOKUP(E66, Factor!$CL$5:$CV$50, 4, 0)</f>
        <v>F</v>
      </c>
      <c r="J66" s="29" t="str">
        <f>VLOOKUP(E66, Factor!$CL$5:$CV$50, 5, 0)</f>
        <v>spread</v>
      </c>
      <c r="K66" s="29">
        <v>1</v>
      </c>
      <c r="L66" s="29">
        <f>VLOOKUP(E66, Factor!$CL$5:$CV$50, 6, 0)*K66*VLOOKUP(D66, Factor!$BZ$5:$CJ$49, 9, 0)</f>
        <v>0</v>
      </c>
      <c r="M66" s="29" t="str">
        <f>VLOOKUP(E66, Factor!$CL$5:$CV$50, 7, 0)</f>
        <v>null</v>
      </c>
      <c r="N66" s="29">
        <v>1</v>
      </c>
      <c r="O66" s="29">
        <f>VLOOKUP(E66, Factor!$CL$5:$CV$50, 8, 0)*N66*VLOOKUP(D66, Factor!$BZ$5:$CJ$49, 10, 0)</f>
        <v>0</v>
      </c>
      <c r="P66" s="29">
        <v>1</v>
      </c>
      <c r="Q66" s="29">
        <f>VLOOKUP(E66, Factor!$CL$5:$CV$50, 9, 0)*P66*VLOOKUP(D66, Factor!$BZ$5:$CJ$49, 11, 0)</f>
        <v>2</v>
      </c>
      <c r="R66" s="29" t="str">
        <f>VLOOKUP(E66, Factor!$CL$5:$CV$50, 10, 0)</f>
        <v>null</v>
      </c>
      <c r="S66" s="29" t="str">
        <f>VLOOKUP(E66, Factor!$CL$5:$CV$50, 11, 0)</f>
        <v>null</v>
      </c>
      <c r="T66" s="29">
        <v>1</v>
      </c>
      <c r="U66" s="29">
        <v>1</v>
      </c>
      <c r="V66" s="29">
        <v>1</v>
      </c>
      <c r="W66" s="29">
        <v>1</v>
      </c>
      <c r="X66" s="29">
        <v>1</v>
      </c>
      <c r="Y66" s="29">
        <v>1</v>
      </c>
      <c r="Z66" s="29">
        <v>1</v>
      </c>
      <c r="AA66" s="29" cm="1">
        <f t="array" ref="AA66">_xlfn.LET(_xlpm.기본_색인번호, 2,
_xlpm.추가_색인번호, 3,
_xlpm.개별보정치, T66,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66" s="29" cm="1">
        <f t="array" ref="AB66">_xlfn.LET(_xlpm.기본_색인번호, 3,
_xlpm.추가_색인번호, 4,
_xlpm.개별보정치, U66,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6" s="29" cm="1">
        <f t="array" ref="AC66">_xlfn.LET(_xlpm.기본_색인번호, 4,
_xlpm.추가_색인번호, 5,
_xlpm.개별보정치, V66,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6" s="29" cm="1">
        <f t="array" ref="AD66">_xlfn.LET(_xlpm.기본_색인번호, 5,
_xlpm.추가_색인번호, 6,
_xlpm.개별보정치, W66,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66" s="29" cm="1">
        <f t="array" ref="AE66">_xlfn.LET(_xlpm.기본_색인번호, 6,
_xlpm.추가_색인번호, 7,
_xlpm.개별보정치, X66,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66" s="29" cm="1">
        <f t="array" ref="AF66">_xlfn.LET(_xlpm.기본_색인번호, 7,
_xlpm.추가_색인번호, 8,
_xlpm.개별보정치, Y66,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6" s="30" cm="1">
        <f t="array" ref="AG66">_xlfn.LET(_xlpm.기본_색인번호, 8,
_xlpm.추가_색인번호, 9,
_xlpm.개별보정치, Z66,
_xlpm.패턴보정치, VLOOKUP($G66, Factor!$B$5:$I$51, _xlpm.기본_색인번호, 0),
_xlpm.소모탄환보정치, VLOOKUP($H66, Factor!$T$5:$AA$51, _xlpm.기본_색인번호, 0),
_xlpm.지형보정치, VLOOKUP($I66, Factor!$K$12:$R$13, _xlpm.기본_색인번호, 0),
_xlpm.공격속성보정치, VLOOKUP($J66, Factor!$K$5:$R$7, _xlpm.기본_색인번호, 0),
_xlpm.피해범위보정치, INDEX(Factor!$AN$5:$AV$51, _xlfn.XMATCH(IF(OR($G66="blast", $G66="curved",  $G66= "debuff"), $L66, 0), Factor!$AN$5:$AN$51, -1), _xlpm.추가_색인번호)-IF(AND(OR($G66="blast", $G66="curved", $G66= "debuff"), MOD($L66,1)&lt;&gt;0),INDEX(Factor!$AN$5:$AV$51, _xlfn.XMATCH(IF(OR($G66="blast", $G66="curved", $G66= "debuff"), $L66, 0), Factor!$AN$5:$AN$51, -1), 2)*MOD($L66,1)*10,0),
_xlpm.상태이상보정치, VLOOKUP(IF($G66 = "debuff", $M66, "null"), Factor!$AX$5:$BE$51, _xlpm.기본_색인번호, 0),
_xlpm.지속시간보정치, INDEX(Factor!$BG$5:$BO$51, _xlfn.XMATCH(IF(OR($G66 ="debuff", $G66 = "shot", $G66 = "pierce"), $O66, 0), Factor!$BG$5:$BG$51, -1), _xlpm.추가_색인번호)-IF(AND(OR($G66 ="debuff", $G66 = "shot", $G66 = "pierce"), MOD($O66, 1)&lt;&gt;0), 10*MOD($O66, 1)*INDEX(Factor!$BG$5:$BO$51, _xlfn.XMATCH(IF(OR($G66 ="debuff", $G66 = "shot", $G66 = "pierce"), $O66, 0), Factor!$BG$5:$BG$51, -1), 2), 0),
_xlpm.탄환개수보정치, VLOOKUP(IF(OR($G66 = "curved", $G66 = "shot"), $Q66, 1), Factor!$BQ$5:$BX$51, _xlpm.기본_색인번호, 0),
_xlpm.상태이상탄환생성위치보정치, IF($G66 = "debuff", VLOOKUP($R66, Factor!$K$18:$R$19, _xlpm.기본_색인번호, 0),1),
_xlpm.상태이상탄환형태보정치, IF($G66 = "debuff", VLOOKUP($S66, Factor!$K$24:$R$25, _xlpm.기본_색인번호, 0),1),
_xlpm.가격보정치, INDEX(Factor!$AE$5:$AL$51, _xlfn.XMATCH($F66,Factor!$AE$5:$AE$51, -1), _xlpm.기본_색인번호),
_xlpm.구경보정치, VLOOKUP($D66,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</row>
    <row r="67" spans="1:33" ht="15.75" customHeight="1">
      <c r="A67" s="24" t="str">
        <f>"weapon_"&amp;G67&amp;"_"&amp;VLOOKUP(H67, Factor!$T$5:$AB$7, 9, 0)&amp;"_"&amp;IF(COUNTIFS($G$4:G66, G67, $H$4:H66, H67)+1&gt;=100, COUNTIFS($G$4:G66, G67, $H$4:H66, H67)+1,IF(COUNTIFS($G$4:G66, G67, $H$4:H66, H67)+1&gt;=10, "0"&amp;COUNTIFS($G$4:G66, G67, $H$4:H66, H67)+1, "00"&amp;COUNTIFS($G$4:G66, G67, $H$4:H66, H67)+1))</f>
        <v>weapon_single_Am_063</v>
      </c>
      <c r="B67" s="36" t="str">
        <f t="shared" si="1"/>
        <v>T1 7.62mm대공포</v>
      </c>
      <c r="C67" s="36" t="s">
        <v>237</v>
      </c>
      <c r="D67" s="36" t="s">
        <v>242</v>
      </c>
      <c r="E67" s="36" t="s">
        <v>276</v>
      </c>
      <c r="F67" s="25">
        <f>VLOOKUP(C67, Factor!$AD$5:$AE$15, 2, 0)</f>
        <v>1000</v>
      </c>
      <c r="G67" s="26" t="str">
        <f>VLOOKUP(E67, Factor!$CL$5:$CV$50, 2, 0)</f>
        <v>single</v>
      </c>
      <c r="H67" s="25" t="str">
        <f>VLOOKUP(E67, Factor!$CL$5:$CV$50, 3, 0)</f>
        <v>ammo</v>
      </c>
      <c r="I67" s="25" t="str">
        <f>VLOOKUP(E67, Factor!$CL$5:$CV$50, 4, 0)</f>
        <v>F</v>
      </c>
      <c r="J67" s="25" t="str">
        <f>VLOOKUP(E67, Factor!$CL$5:$CV$50, 5, 0)</f>
        <v>spread</v>
      </c>
      <c r="K67" s="25">
        <v>1</v>
      </c>
      <c r="L67" s="25">
        <f>VLOOKUP(E67, Factor!$CL$5:$CV$50, 6, 0)*K67*VLOOKUP(D67, Factor!$BZ$5:$CJ$49, 9, 0)</f>
        <v>0</v>
      </c>
      <c r="M67" s="25" t="str">
        <f>VLOOKUP(E67, Factor!$CL$5:$CV$50, 7, 0)</f>
        <v>null</v>
      </c>
      <c r="N67" s="25">
        <v>1</v>
      </c>
      <c r="O67" s="25">
        <f>VLOOKUP(E67, Factor!$CL$5:$CV$50, 8, 0)*N67*VLOOKUP(D67, Factor!$BZ$5:$CJ$49, 10, 0)</f>
        <v>0</v>
      </c>
      <c r="P67" s="25">
        <v>1</v>
      </c>
      <c r="Q67" s="25">
        <f>VLOOKUP(E67, Factor!$CL$5:$CV$50, 9, 0)*P67*VLOOKUP(D67, Factor!$BZ$5:$CJ$49, 11, 0)</f>
        <v>3</v>
      </c>
      <c r="R67" s="25" t="str">
        <f>VLOOKUP(E67, Factor!$CL$5:$CV$50, 10, 0)</f>
        <v>null</v>
      </c>
      <c r="S67" s="25" t="str">
        <f>VLOOKUP(E67, Factor!$CL$5:$CV$50, 11, 0)</f>
        <v>null</v>
      </c>
      <c r="T67" s="25">
        <v>1</v>
      </c>
      <c r="U67" s="25">
        <v>1</v>
      </c>
      <c r="V67" s="25">
        <v>1</v>
      </c>
      <c r="W67" s="25">
        <v>1</v>
      </c>
      <c r="X67" s="25">
        <v>1</v>
      </c>
      <c r="Y67" s="25">
        <v>1</v>
      </c>
      <c r="Z67" s="25">
        <v>1</v>
      </c>
      <c r="AA67" s="25" cm="1">
        <f t="array" ref="AA67">_xlfn.LET(_xlpm.기본_색인번호, 2,
_xlpm.추가_색인번호, 3,
_xlpm.개별보정치, T67,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67" s="25" cm="1">
        <f t="array" ref="AB67">_xlfn.LET(_xlpm.기본_색인번호, 3,
_xlpm.추가_색인번호, 4,
_xlpm.개별보정치, U67,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7" s="25" cm="1">
        <f t="array" ref="AC67">_xlfn.LET(_xlpm.기본_색인번호, 4,
_xlpm.추가_색인번호, 5,
_xlpm.개별보정치, V67,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7" s="25" cm="1">
        <f t="array" ref="AD67">_xlfn.LET(_xlpm.기본_색인번호, 5,
_xlpm.추가_색인번호, 6,
_xlpm.개별보정치, W67,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67" s="25" cm="1">
        <f t="array" ref="AE67">_xlfn.LET(_xlpm.기본_색인번호, 6,
_xlpm.추가_색인번호, 7,
_xlpm.개별보정치, X67,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67" s="25" cm="1">
        <f t="array" ref="AF67">_xlfn.LET(_xlpm.기본_색인번호, 7,
_xlpm.추가_색인번호, 8,
_xlpm.개별보정치, Y67,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7" s="27" cm="1">
        <f t="array" ref="AG67">_xlfn.LET(_xlpm.기본_색인번호, 8,
_xlpm.추가_색인번호, 9,
_xlpm.개별보정치, Z67,
_xlpm.패턴보정치, VLOOKUP($G67, Factor!$B$5:$I$51, _xlpm.기본_색인번호, 0),
_xlpm.소모탄환보정치, VLOOKUP($H67, Factor!$T$5:$AA$51, _xlpm.기본_색인번호, 0),
_xlpm.지형보정치, VLOOKUP($I67, Factor!$K$12:$R$13, _xlpm.기본_색인번호, 0),
_xlpm.공격속성보정치, VLOOKUP($J67, Factor!$K$5:$R$7, _xlpm.기본_색인번호, 0),
_xlpm.피해범위보정치, INDEX(Factor!$AN$5:$AV$51, _xlfn.XMATCH(IF(OR($G67="blast", $G67="curved",  $G67= "debuff"), $L67, 0), Factor!$AN$5:$AN$51, -1), _xlpm.추가_색인번호)-IF(AND(OR($G67="blast", $G67="curved", $G67= "debuff"), MOD($L67,1)&lt;&gt;0),INDEX(Factor!$AN$5:$AV$51, _xlfn.XMATCH(IF(OR($G67="blast", $G67="curved", $G67= "debuff"), $L67, 0), Factor!$AN$5:$AN$51, -1), 2)*MOD($L67,1)*10,0),
_xlpm.상태이상보정치, VLOOKUP(IF($G67 = "debuff", $M67, "null"), Factor!$AX$5:$BE$51, _xlpm.기본_색인번호, 0),
_xlpm.지속시간보정치, INDEX(Factor!$BG$5:$BO$51, _xlfn.XMATCH(IF(OR($G67 ="debuff", $G67 = "shot", $G67 = "pierce"), $O67, 0), Factor!$BG$5:$BG$51, -1), _xlpm.추가_색인번호)-IF(AND(OR($G67 ="debuff", $G67 = "shot", $G67 = "pierce"), MOD($O67, 1)&lt;&gt;0), 10*MOD($O67, 1)*INDEX(Factor!$BG$5:$BO$51, _xlfn.XMATCH(IF(OR($G67 ="debuff", $G67 = "shot", $G67 = "pierce"), $O67, 0), Factor!$BG$5:$BG$51, -1), 2), 0),
_xlpm.탄환개수보정치, VLOOKUP(IF(OR($G67 = "curved", $G67 = "shot"), $Q67, 1), Factor!$BQ$5:$BX$51, _xlpm.기본_색인번호, 0),
_xlpm.상태이상탄환생성위치보정치, IF($G67 = "debuff", VLOOKUP($R67, Factor!$K$18:$R$19, _xlpm.기본_색인번호, 0),1),
_xlpm.상태이상탄환형태보정치, IF($G67 = "debuff", VLOOKUP($S67, Factor!$K$24:$R$25, _xlpm.기본_색인번호, 0),1),
_xlpm.가격보정치, INDEX(Factor!$AE$5:$AL$51, _xlfn.XMATCH($F67,Factor!$AE$5:$AE$51, -1), _xlpm.기본_색인번호),
_xlpm.구경보정치, VLOOKUP($D67,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</row>
    <row r="68" spans="1:33" ht="15.75" customHeight="1">
      <c r="A68" s="28" t="str">
        <f>"weapon_"&amp;G68&amp;"_"&amp;VLOOKUP(H68, Factor!$T$5:$AB$7, 9, 0)&amp;"_"&amp;IF(COUNTIFS($G$4:G67, G68, $H$4:H67, H68)+1&gt;=100, COUNTIFS($G$4:G67, G68, $H$4:H67, H68)+1,IF(COUNTIFS($G$4:G67, G68, $H$4:H67, H68)+1&gt;=10, "0"&amp;COUNTIFS($G$4:G67, G68, $H$4:H67, H68)+1, "00"&amp;COUNTIFS($G$4:G67, G68, $H$4:H67, H68)+1))</f>
        <v>weapon_single_Am_064</v>
      </c>
      <c r="B68" s="37" t="str">
        <f t="shared" si="1"/>
        <v>T1 12.7mm대공포</v>
      </c>
      <c r="C68" s="37" t="s">
        <v>237</v>
      </c>
      <c r="D68" s="37" t="s">
        <v>243</v>
      </c>
      <c r="E68" s="37" t="s">
        <v>276</v>
      </c>
      <c r="F68" s="29">
        <f>VLOOKUP(C68, Factor!$AD$5:$AE$15, 2, 0)</f>
        <v>1000</v>
      </c>
      <c r="G68" s="29" t="str">
        <f>VLOOKUP(E68, Factor!$CL$5:$CV$50, 2, 0)</f>
        <v>single</v>
      </c>
      <c r="H68" s="29" t="str">
        <f>VLOOKUP(E68, Factor!$CL$5:$CV$50, 3, 0)</f>
        <v>ammo</v>
      </c>
      <c r="I68" s="29" t="str">
        <f>VLOOKUP(E68, Factor!$CL$5:$CV$50, 4, 0)</f>
        <v>F</v>
      </c>
      <c r="J68" s="29" t="str">
        <f>VLOOKUP(E68, Factor!$CL$5:$CV$50, 5, 0)</f>
        <v>spread</v>
      </c>
      <c r="K68" s="29">
        <v>1</v>
      </c>
      <c r="L68" s="29">
        <f>VLOOKUP(E68, Factor!$CL$5:$CV$50, 6, 0)*K68*VLOOKUP(D68, Factor!$BZ$5:$CJ$49, 9, 0)</f>
        <v>0</v>
      </c>
      <c r="M68" s="29" t="str">
        <f>VLOOKUP(E68, Factor!$CL$5:$CV$50, 7, 0)</f>
        <v>null</v>
      </c>
      <c r="N68" s="29">
        <v>1</v>
      </c>
      <c r="O68" s="29">
        <f>VLOOKUP(E68, Factor!$CL$5:$CV$50, 8, 0)*N68*VLOOKUP(D68, Factor!$BZ$5:$CJ$49, 10, 0)</f>
        <v>0</v>
      </c>
      <c r="P68" s="29">
        <v>1</v>
      </c>
      <c r="Q68" s="29">
        <f>VLOOKUP(E68, Factor!$CL$5:$CV$50, 9, 0)*P68*VLOOKUP(D68, Factor!$BZ$5:$CJ$49, 11, 0)</f>
        <v>4</v>
      </c>
      <c r="R68" s="29" t="str">
        <f>VLOOKUP(E68, Factor!$CL$5:$CV$50, 10, 0)</f>
        <v>null</v>
      </c>
      <c r="S68" s="29" t="str">
        <f>VLOOKUP(E68, Factor!$CL$5:$CV$50, 11, 0)</f>
        <v>null</v>
      </c>
      <c r="T68" s="29">
        <v>1</v>
      </c>
      <c r="U68" s="29">
        <v>1</v>
      </c>
      <c r="V68" s="29">
        <v>1</v>
      </c>
      <c r="W68" s="29">
        <v>1</v>
      </c>
      <c r="X68" s="29">
        <v>1</v>
      </c>
      <c r="Y68" s="29">
        <v>1</v>
      </c>
      <c r="Z68" s="29">
        <v>1</v>
      </c>
      <c r="AA68" s="29" cm="1">
        <f t="array" ref="AA68">_xlfn.LET(_xlpm.기본_색인번호, 2,
_xlpm.추가_색인번호, 3,
_xlpm.개별보정치, T68,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68" s="29" cm="1">
        <f t="array" ref="AB68">_xlfn.LET(_xlpm.기본_색인번호, 3,
_xlpm.추가_색인번호, 4,
_xlpm.개별보정치, U68,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8" s="29" cm="1">
        <f t="array" ref="AC68">_xlfn.LET(_xlpm.기본_색인번호, 4,
_xlpm.추가_색인번호, 5,
_xlpm.개별보정치, V68,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8" s="29" cm="1">
        <f t="array" ref="AD68">_xlfn.LET(_xlpm.기본_색인번호, 5,
_xlpm.추가_색인번호, 6,
_xlpm.개별보정치, W68,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68" s="29" cm="1">
        <f t="array" ref="AE68">_xlfn.LET(_xlpm.기본_색인번호, 6,
_xlpm.추가_색인번호, 7,
_xlpm.개별보정치, X68,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68" s="29" cm="1">
        <f t="array" ref="AF68">_xlfn.LET(_xlpm.기본_색인번호, 7,
_xlpm.추가_색인번호, 8,
_xlpm.개별보정치, Y68,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8" s="30" cm="1">
        <f t="array" ref="AG68">_xlfn.LET(_xlpm.기본_색인번호, 8,
_xlpm.추가_색인번호, 9,
_xlpm.개별보정치, Z68,
_xlpm.패턴보정치, VLOOKUP($G68, Factor!$B$5:$I$51, _xlpm.기본_색인번호, 0),
_xlpm.소모탄환보정치, VLOOKUP($H68, Factor!$T$5:$AA$51, _xlpm.기본_색인번호, 0),
_xlpm.지형보정치, VLOOKUP($I68, Factor!$K$12:$R$13, _xlpm.기본_색인번호, 0),
_xlpm.공격속성보정치, VLOOKUP($J68, Factor!$K$5:$R$7, _xlpm.기본_색인번호, 0),
_xlpm.피해범위보정치, INDEX(Factor!$AN$5:$AV$51, _xlfn.XMATCH(IF(OR($G68="blast", $G68="curved",  $G68= "debuff"), $L68, 0), Factor!$AN$5:$AN$51, -1), _xlpm.추가_색인번호)-IF(AND(OR($G68="blast", $G68="curved", $G68= "debuff"), MOD($L68,1)&lt;&gt;0),INDEX(Factor!$AN$5:$AV$51, _xlfn.XMATCH(IF(OR($G68="blast", $G68="curved", $G68= "debuff"), $L68, 0), Factor!$AN$5:$AN$51, -1), 2)*MOD($L68,1)*10,0),
_xlpm.상태이상보정치, VLOOKUP(IF($G68 = "debuff", $M68, "null"), Factor!$AX$5:$BE$51, _xlpm.기본_색인번호, 0),
_xlpm.지속시간보정치, INDEX(Factor!$BG$5:$BO$51, _xlfn.XMATCH(IF(OR($G68 ="debuff", $G68 = "shot", $G68 = "pierce"), $O68, 0), Factor!$BG$5:$BG$51, -1), _xlpm.추가_색인번호)-IF(AND(OR($G68 ="debuff", $G68 = "shot", $G68 = "pierce"), MOD($O68, 1)&lt;&gt;0), 10*MOD($O68, 1)*INDEX(Factor!$BG$5:$BO$51, _xlfn.XMATCH(IF(OR($G68 ="debuff", $G68 = "shot", $G68 = "pierce"), $O68, 0), Factor!$BG$5:$BG$51, -1), 2), 0),
_xlpm.탄환개수보정치, VLOOKUP(IF(OR($G68 = "curved", $G68 = "shot"), $Q68, 1), Factor!$BQ$5:$BX$51, _xlpm.기본_색인번호, 0),
_xlpm.상태이상탄환생성위치보정치, IF($G68 = "debuff", VLOOKUP($R68, Factor!$K$18:$R$19, _xlpm.기본_색인번호, 0),1),
_xlpm.상태이상탄환형태보정치, IF($G68 = "debuff", VLOOKUP($S68, Factor!$K$24:$R$25, _xlpm.기본_색인번호, 0),1),
_xlpm.가격보정치, INDEX(Factor!$AE$5:$AL$51, _xlfn.XMATCH($F68,Factor!$AE$5:$AE$51, -1), _xlpm.기본_색인번호),
_xlpm.구경보정치, VLOOKUP($D68,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</row>
    <row r="69" spans="1:33" ht="15.75" customHeight="1">
      <c r="A69" s="24" t="str">
        <f>"weapon_"&amp;G69&amp;"_"&amp;VLOOKUP(H69, Factor!$T$5:$AB$7, 9, 0)&amp;"_"&amp;IF(COUNTIFS($G$4:G68, G69, $H$4:H68, H69)+1&gt;=100, COUNTIFS($G$4:G68, G69, $H$4:H68, H69)+1,IF(COUNTIFS($G$4:G68, G69, $H$4:H68, H69)+1&gt;=10, "0"&amp;COUNTIFS($G$4:G68, G69, $H$4:H68, H69)+1, "00"&amp;COUNTIFS($G$4:G68, G69, $H$4:H68, H69)+1))</f>
        <v>weapon_single_Am_065</v>
      </c>
      <c r="B69" s="36" t="str">
        <f t="shared" si="1"/>
        <v>T1 20mm대공포</v>
      </c>
      <c r="C69" s="36" t="s">
        <v>237</v>
      </c>
      <c r="D69" s="36" t="s">
        <v>244</v>
      </c>
      <c r="E69" s="36" t="s">
        <v>276</v>
      </c>
      <c r="F69" s="25">
        <f>VLOOKUP(C69, Factor!$AD$5:$AE$15, 2, 0)</f>
        <v>1000</v>
      </c>
      <c r="G69" s="26" t="str">
        <f>VLOOKUP(E69, Factor!$CL$5:$CV$50, 2, 0)</f>
        <v>single</v>
      </c>
      <c r="H69" s="25" t="str">
        <f>VLOOKUP(E69, Factor!$CL$5:$CV$50, 3, 0)</f>
        <v>ammo</v>
      </c>
      <c r="I69" s="25" t="str">
        <f>VLOOKUP(E69, Factor!$CL$5:$CV$50, 4, 0)</f>
        <v>F</v>
      </c>
      <c r="J69" s="25" t="str">
        <f>VLOOKUP(E69, Factor!$CL$5:$CV$50, 5, 0)</f>
        <v>spread</v>
      </c>
      <c r="K69" s="25">
        <v>1</v>
      </c>
      <c r="L69" s="25">
        <f>VLOOKUP(E69, Factor!$CL$5:$CV$50, 6, 0)*K69*VLOOKUP(D69, Factor!$BZ$5:$CJ$49, 9, 0)</f>
        <v>0</v>
      </c>
      <c r="M69" s="25" t="str">
        <f>VLOOKUP(E69, Factor!$CL$5:$CV$50, 7, 0)</f>
        <v>null</v>
      </c>
      <c r="N69" s="25">
        <v>1</v>
      </c>
      <c r="O69" s="25">
        <f>VLOOKUP(E69, Factor!$CL$5:$CV$50, 8, 0)*N69*VLOOKUP(D69, Factor!$BZ$5:$CJ$49, 10, 0)</f>
        <v>0</v>
      </c>
      <c r="P69" s="25">
        <v>1</v>
      </c>
      <c r="Q69" s="25">
        <f>VLOOKUP(E69, Factor!$CL$5:$CV$50, 9, 0)*P69*VLOOKUP(D69, Factor!$BZ$5:$CJ$49, 11, 0)</f>
        <v>5</v>
      </c>
      <c r="R69" s="25" t="str">
        <f>VLOOKUP(E69, Factor!$CL$5:$CV$50, 10, 0)</f>
        <v>null</v>
      </c>
      <c r="S69" s="25" t="str">
        <f>VLOOKUP(E69, Factor!$CL$5:$CV$50, 11, 0)</f>
        <v>null</v>
      </c>
      <c r="T69" s="25">
        <v>1</v>
      </c>
      <c r="U69" s="25">
        <v>1</v>
      </c>
      <c r="V69" s="25">
        <v>1</v>
      </c>
      <c r="W69" s="25">
        <v>1</v>
      </c>
      <c r="X69" s="25">
        <v>1</v>
      </c>
      <c r="Y69" s="25">
        <v>1</v>
      </c>
      <c r="Z69" s="25">
        <v>1</v>
      </c>
      <c r="AA69" s="25" cm="1">
        <f t="array" ref="AA69">_xlfn.LET(_xlpm.기본_색인번호, 2,
_xlpm.추가_색인번호, 3,
_xlpm.개별보정치, T69,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B69" s="25" cm="1">
        <f t="array" ref="AB69">_xlfn.LET(_xlpm.기본_색인번호, 3,
_xlpm.추가_색인번호, 4,
_xlpm.개별보정치, U69,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69" s="25" cm="1">
        <f t="array" ref="AC69">_xlfn.LET(_xlpm.기본_색인번호, 4,
_xlpm.추가_색인번호, 5,
_xlpm.개별보정치, V69,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69" s="25" cm="1">
        <f t="array" ref="AD69">_xlfn.LET(_xlpm.기본_색인번호, 5,
_xlpm.추가_색인번호, 6,
_xlpm.개별보정치, W69,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E69" s="25" cm="1">
        <f t="array" ref="AE69">_xlfn.LET(_xlpm.기본_색인번호, 6,
_xlpm.추가_색인번호, 7,
_xlpm.개별보정치, X69,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  <c r="AF69" s="25" cm="1">
        <f t="array" ref="AF69">_xlfn.LET(_xlpm.기본_색인번호, 7,
_xlpm.추가_색인번호, 8,
_xlpm.개별보정치, Y69,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69" s="27" cm="1">
        <f t="array" ref="AG69">_xlfn.LET(_xlpm.기본_색인번호, 8,
_xlpm.추가_색인번호, 9,
_xlpm.개별보정치, Z69,
_xlpm.패턴보정치, VLOOKUP($G69, Factor!$B$5:$I$51, _xlpm.기본_색인번호, 0),
_xlpm.소모탄환보정치, VLOOKUP($H69, Factor!$T$5:$AA$51, _xlpm.기본_색인번호, 0),
_xlpm.지형보정치, VLOOKUP($I69, Factor!$K$12:$R$13, _xlpm.기본_색인번호, 0),
_xlpm.공격속성보정치, VLOOKUP($J69, Factor!$K$5:$R$7, _xlpm.기본_색인번호, 0),
_xlpm.피해범위보정치, INDEX(Factor!$AN$5:$AV$51, _xlfn.XMATCH(IF(OR($G69="blast", $G69="curved",  $G69= "debuff"), $L69, 0), Factor!$AN$5:$AN$51, -1), _xlpm.추가_색인번호)-IF(AND(OR($G69="blast", $G69="curved", $G69= "debuff"), MOD($L69,1)&lt;&gt;0),INDEX(Factor!$AN$5:$AV$51, _xlfn.XMATCH(IF(OR($G69="blast", $G69="curved", $G69= "debuff"), $L69, 0), Factor!$AN$5:$AN$51, -1), 2)*MOD($L69,1)*10,0),
_xlpm.상태이상보정치, VLOOKUP(IF($G69 = "debuff", $M69, "null"), Factor!$AX$5:$BE$51, _xlpm.기본_색인번호, 0),
_xlpm.지속시간보정치, INDEX(Factor!$BG$5:$BO$51, _xlfn.XMATCH(IF(OR($G69 ="debuff", $G69 = "shot", $G69 = "pierce"), $O69, 0), Factor!$BG$5:$BG$51, -1), _xlpm.추가_색인번호)-IF(AND(OR($G69 ="debuff", $G69 = "shot", $G69 = "pierce"), MOD($O69, 1)&lt;&gt;0), 10*MOD($O69, 1)*INDEX(Factor!$BG$5:$BO$51, _xlfn.XMATCH(IF(OR($G69 ="debuff", $G69 = "shot", $G69 = "pierce"), $O69, 0), Factor!$BG$5:$BG$51, -1), 2), 0),
_xlpm.탄환개수보정치, VLOOKUP(IF(OR($G69 = "curved", $G69 = "shot"), $Q69, 1), Factor!$BQ$5:$BX$51, _xlpm.기본_색인번호, 0),
_xlpm.상태이상탄환생성위치보정치, IF($G69 = "debuff", VLOOKUP($R69, Factor!$K$18:$R$19, _xlpm.기본_색인번호, 0),1),
_xlpm.상태이상탄환형태보정치, IF($G69 = "debuff", VLOOKUP($S69, Factor!$K$24:$R$25, _xlpm.기본_색인번호, 0),1),
_xlpm.가격보정치, INDEX(Factor!$AE$5:$AL$51, _xlfn.XMATCH($F69,Factor!$AE$5:$AE$51, -1), _xlpm.기본_색인번호),
_xlpm.구경보정치, VLOOKUP($D69,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</v>
      </c>
    </row>
    <row r="70" spans="1:33" ht="15.75" customHeight="1">
      <c r="A70" s="28" t="str">
        <f>"weapon_"&amp;G70&amp;"_"&amp;VLOOKUP(H70, Factor!$T$5:$AB$7, 9, 0)&amp;"_"&amp;IF(COUNTIFS($G$4:G69, G70, $H$4:H69, H70)+1&gt;=100, COUNTIFS($G$4:G69, G70, $H$4:H69, H70)+1,IF(COUNTIFS($G$4:G69, G70, $H$4:H69, H70)+1&gt;=10, "0"&amp;COUNTIFS($G$4:G69, G70, $H$4:H69, H70)+1, "00"&amp;COUNTIFS($G$4:G69, G70, $H$4:H69, H70)+1))</f>
        <v>weapon_single_Am_066</v>
      </c>
      <c r="B70" s="37" t="str">
        <f t="shared" si="1"/>
        <v>T2 대공포</v>
      </c>
      <c r="C70" s="37" t="s">
        <v>155</v>
      </c>
      <c r="D70" s="37" t="s">
        <v>275</v>
      </c>
      <c r="E70" s="37" t="s">
        <v>276</v>
      </c>
      <c r="F70" s="29">
        <f>VLOOKUP(C70, Factor!$AD$5:$AE$15, 2, 0)</f>
        <v>2000</v>
      </c>
      <c r="G70" s="29" t="str">
        <f>VLOOKUP(E70, Factor!$CL$5:$CV$50, 2, 0)</f>
        <v>single</v>
      </c>
      <c r="H70" s="29" t="str">
        <f>VLOOKUP(E70, Factor!$CL$5:$CV$50, 3, 0)</f>
        <v>ammo</v>
      </c>
      <c r="I70" s="29" t="str">
        <f>VLOOKUP(E70, Factor!$CL$5:$CV$50, 4, 0)</f>
        <v>F</v>
      </c>
      <c r="J70" s="29" t="str">
        <f>VLOOKUP(E70, Factor!$CL$5:$CV$50, 5, 0)</f>
        <v>spread</v>
      </c>
      <c r="K70" s="29">
        <v>1</v>
      </c>
      <c r="L70" s="29">
        <f>VLOOKUP(E70, Factor!$CL$5:$CV$50, 6, 0)*K70*VLOOKUP(D70, Factor!$BZ$5:$CJ$49, 9, 0)</f>
        <v>0</v>
      </c>
      <c r="M70" s="29" t="str">
        <f>VLOOKUP(E70, Factor!$CL$5:$CV$50, 7, 0)</f>
        <v>null</v>
      </c>
      <c r="N70" s="29">
        <v>1</v>
      </c>
      <c r="O70" s="29">
        <f>VLOOKUP(E70, Factor!$CL$5:$CV$50, 8, 0)*N70*VLOOKUP(D70, Factor!$BZ$5:$CJ$49, 10, 0)</f>
        <v>0</v>
      </c>
      <c r="P70" s="29">
        <v>1</v>
      </c>
      <c r="Q70" s="29">
        <f>VLOOKUP(E70, Factor!$CL$5:$CV$50, 9, 0)*P70*VLOOKUP(D70, Factor!$BZ$5:$CJ$49, 11, 0)</f>
        <v>1</v>
      </c>
      <c r="R70" s="29" t="str">
        <f>VLOOKUP(E70, Factor!$CL$5:$CV$50, 10, 0)</f>
        <v>null</v>
      </c>
      <c r="S70" s="29" t="str">
        <f>VLOOKUP(E70, Factor!$CL$5:$CV$50, 11, 0)</f>
        <v>null</v>
      </c>
      <c r="T70" s="29">
        <v>1</v>
      </c>
      <c r="U70" s="29">
        <v>1</v>
      </c>
      <c r="V70" s="29">
        <v>1</v>
      </c>
      <c r="W70" s="29">
        <v>1</v>
      </c>
      <c r="X70" s="29">
        <v>1</v>
      </c>
      <c r="Y70" s="29">
        <v>1</v>
      </c>
      <c r="Z70" s="29">
        <v>1</v>
      </c>
      <c r="AA70" s="29" cm="1">
        <f t="array" ref="AA70">_xlfn.LET(_xlpm.기본_색인번호, 2,
_xlpm.추가_색인번호, 3,
_xlpm.개별보정치, T70,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70" s="29" cm="1">
        <f t="array" ref="AB70">_xlfn.LET(_xlpm.기본_색인번호, 3,
_xlpm.추가_색인번호, 4,
_xlpm.개별보정치, U70,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70" s="29" cm="1">
        <f t="array" ref="AC70">_xlfn.LET(_xlpm.기본_색인번호, 4,
_xlpm.추가_색인번호, 5,
_xlpm.개별보정치, V70,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0" s="29" cm="1">
        <f t="array" ref="AD70">_xlfn.LET(_xlpm.기본_색인번호, 5,
_xlpm.추가_색인번호, 6,
_xlpm.개별보정치, W70,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70" s="29" cm="1">
        <f t="array" ref="AE70">_xlfn.LET(_xlpm.기본_색인번호, 6,
_xlpm.추가_색인번호, 7,
_xlpm.개별보정치, X70,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70" s="29" cm="1">
        <f t="array" ref="AF70">_xlfn.LET(_xlpm.기본_색인번호, 7,
_xlpm.추가_색인번호, 8,
_xlpm.개별보정치, Y70,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0" s="30" cm="1">
        <f t="array" ref="AG70">_xlfn.LET(_xlpm.기본_색인번호, 8,
_xlpm.추가_색인번호, 9,
_xlpm.개별보정치, Z70,
_xlpm.패턴보정치, VLOOKUP($G70, Factor!$B$5:$I$51, _xlpm.기본_색인번호, 0),
_xlpm.소모탄환보정치, VLOOKUP($H70, Factor!$T$5:$AA$51, _xlpm.기본_색인번호, 0),
_xlpm.지형보정치, VLOOKUP($I70, Factor!$K$12:$R$13, _xlpm.기본_색인번호, 0),
_xlpm.공격속성보정치, VLOOKUP($J70, Factor!$K$5:$R$7, _xlpm.기본_색인번호, 0),
_xlpm.피해범위보정치, INDEX(Factor!$AN$5:$AV$51, _xlfn.XMATCH(IF(OR($G70="blast", $G70="curved",  $G70= "debuff"), $L70, 0), Factor!$AN$5:$AN$51, -1), _xlpm.추가_색인번호)-IF(AND(OR($G70="blast", $G70="curved", $G70= "debuff"), MOD($L70,1)&lt;&gt;0),INDEX(Factor!$AN$5:$AV$51, _xlfn.XMATCH(IF(OR($G70="blast", $G70="curved", $G70= "debuff"), $L70, 0), Factor!$AN$5:$AN$51, -1), 2)*MOD($L70,1)*10,0),
_xlpm.상태이상보정치, VLOOKUP(IF($G70 = "debuff", $M70, "null"), Factor!$AX$5:$BE$51, _xlpm.기본_색인번호, 0),
_xlpm.지속시간보정치, INDEX(Factor!$BG$5:$BO$51, _xlfn.XMATCH(IF(OR($G70 ="debuff", $G70 = "shot", $G70 = "pierce"), $O70, 0), Factor!$BG$5:$BG$51, -1), _xlpm.추가_색인번호)-IF(AND(OR($G70 ="debuff", $G70 = "shot", $G70 = "pierce"), MOD($O70, 1)&lt;&gt;0), 10*MOD($O70, 1)*INDEX(Factor!$BG$5:$BO$51, _xlfn.XMATCH(IF(OR($G70 ="debuff", $G70 = "shot", $G70 = "pierce"), $O70, 0), Factor!$BG$5:$BG$51, -1), 2), 0),
_xlpm.탄환개수보정치, VLOOKUP(IF(OR($G70 = "curved", $G70 = "shot"), $Q70, 1), Factor!$BQ$5:$BX$51, _xlpm.기본_색인번호, 0),
_xlpm.상태이상탄환생성위치보정치, IF($G70 = "debuff", VLOOKUP($R70, Factor!$K$18:$R$19, _xlpm.기본_색인번호, 0),1),
_xlpm.상태이상탄환형태보정치, IF($G70 = "debuff", VLOOKUP($S70, Factor!$K$24:$R$25, _xlpm.기본_색인번호, 0),1),
_xlpm.가격보정치, INDEX(Factor!$AE$5:$AL$51, _xlfn.XMATCH($F70,Factor!$AE$5:$AE$51, -1), _xlpm.기본_색인번호),
_xlpm.구경보정치, VLOOKUP($D70,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</row>
    <row r="71" spans="1:33" ht="15.75" customHeight="1">
      <c r="A71" s="24" t="str">
        <f>"weapon_"&amp;G71&amp;"_"&amp;VLOOKUP(H71, Factor!$T$5:$AB$7, 9, 0)&amp;"_"&amp;IF(COUNTIFS($G$4:G70, G71, $H$4:H70, H71)+1&gt;=100, COUNTIFS($G$4:G70, G71, $H$4:H70, H71)+1,IF(COUNTIFS($G$4:G70, G71, $H$4:H70, H71)+1&gt;=10, "0"&amp;COUNTIFS($G$4:G70, G71, $H$4:H70, H71)+1, "00"&amp;COUNTIFS($G$4:G70, G71, $H$4:H70, H71)+1))</f>
        <v>weapon_single_Am_067</v>
      </c>
      <c r="B71" s="36" t="str">
        <f t="shared" si="1"/>
        <v>T2 5.56mm대공포</v>
      </c>
      <c r="C71" s="36" t="s">
        <v>155</v>
      </c>
      <c r="D71" s="36" t="s">
        <v>241</v>
      </c>
      <c r="E71" s="36" t="s">
        <v>276</v>
      </c>
      <c r="F71" s="25">
        <f>VLOOKUP(C71, Factor!$AD$5:$AE$15, 2, 0)</f>
        <v>2000</v>
      </c>
      <c r="G71" s="26" t="str">
        <f>VLOOKUP(E71, Factor!$CL$5:$CV$50, 2, 0)</f>
        <v>single</v>
      </c>
      <c r="H71" s="25" t="str">
        <f>VLOOKUP(E71, Factor!$CL$5:$CV$50, 3, 0)</f>
        <v>ammo</v>
      </c>
      <c r="I71" s="25" t="str">
        <f>VLOOKUP(E71, Factor!$CL$5:$CV$50, 4, 0)</f>
        <v>F</v>
      </c>
      <c r="J71" s="25" t="str">
        <f>VLOOKUP(E71, Factor!$CL$5:$CV$50, 5, 0)</f>
        <v>spread</v>
      </c>
      <c r="K71" s="25">
        <v>1</v>
      </c>
      <c r="L71" s="25">
        <f>VLOOKUP(E71, Factor!$CL$5:$CV$50, 6, 0)*K71*VLOOKUP(D71, Factor!$BZ$5:$CJ$49, 9, 0)</f>
        <v>0</v>
      </c>
      <c r="M71" s="25" t="str">
        <f>VLOOKUP(E71, Factor!$CL$5:$CV$50, 7, 0)</f>
        <v>null</v>
      </c>
      <c r="N71" s="25">
        <v>1</v>
      </c>
      <c r="O71" s="25">
        <f>VLOOKUP(E71, Factor!$CL$5:$CV$50, 8, 0)*N71*VLOOKUP(D71, Factor!$BZ$5:$CJ$49, 10, 0)</f>
        <v>0</v>
      </c>
      <c r="P71" s="25">
        <v>1</v>
      </c>
      <c r="Q71" s="25">
        <f>VLOOKUP(E71, Factor!$CL$5:$CV$50, 9, 0)*P71*VLOOKUP(D71, Factor!$BZ$5:$CJ$49, 11, 0)</f>
        <v>2</v>
      </c>
      <c r="R71" s="25" t="str">
        <f>VLOOKUP(E71, Factor!$CL$5:$CV$50, 10, 0)</f>
        <v>null</v>
      </c>
      <c r="S71" s="25" t="str">
        <f>VLOOKUP(E71, Factor!$CL$5:$CV$50, 11, 0)</f>
        <v>null</v>
      </c>
      <c r="T71" s="25">
        <v>1</v>
      </c>
      <c r="U71" s="25">
        <v>1</v>
      </c>
      <c r="V71" s="25">
        <v>1</v>
      </c>
      <c r="W71" s="25">
        <v>1</v>
      </c>
      <c r="X71" s="25">
        <v>1</v>
      </c>
      <c r="Y71" s="25">
        <v>1</v>
      </c>
      <c r="Z71" s="25">
        <v>1</v>
      </c>
      <c r="AA71" s="25" cm="1">
        <f t="array" ref="AA71">_xlfn.LET(_xlpm.기본_색인번호, 2,
_xlpm.추가_색인번호, 3,
_xlpm.개별보정치, T71,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71" s="25" cm="1">
        <f t="array" ref="AB71">_xlfn.LET(_xlpm.기본_색인번호, 3,
_xlpm.추가_색인번호, 4,
_xlpm.개별보정치, U71,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71" s="25" cm="1">
        <f t="array" ref="AC71">_xlfn.LET(_xlpm.기본_색인번호, 4,
_xlpm.추가_색인번호, 5,
_xlpm.개별보정치, V71,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1" s="25" cm="1">
        <f t="array" ref="AD71">_xlfn.LET(_xlpm.기본_색인번호, 5,
_xlpm.추가_색인번호, 6,
_xlpm.개별보정치, W71,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71" s="25" cm="1">
        <f t="array" ref="AE71">_xlfn.LET(_xlpm.기본_색인번호, 6,
_xlpm.추가_색인번호, 7,
_xlpm.개별보정치, X71,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71" s="25" cm="1">
        <f t="array" ref="AF71">_xlfn.LET(_xlpm.기본_색인번호, 7,
_xlpm.추가_색인번호, 8,
_xlpm.개별보정치, Y71,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1" s="27" cm="1">
        <f t="array" ref="AG71">_xlfn.LET(_xlpm.기본_색인번호, 8,
_xlpm.추가_색인번호, 9,
_xlpm.개별보정치, Z71,
_xlpm.패턴보정치, VLOOKUP($G71, Factor!$B$5:$I$51, _xlpm.기본_색인번호, 0),
_xlpm.소모탄환보정치, VLOOKUP($H71, Factor!$T$5:$AA$51, _xlpm.기본_색인번호, 0),
_xlpm.지형보정치, VLOOKUP($I71, Factor!$K$12:$R$13, _xlpm.기본_색인번호, 0),
_xlpm.공격속성보정치, VLOOKUP($J71, Factor!$K$5:$R$7, _xlpm.기본_색인번호, 0),
_xlpm.피해범위보정치, INDEX(Factor!$AN$5:$AV$51, _xlfn.XMATCH(IF(OR($G71="blast", $G71="curved",  $G71= "debuff"), $L71, 0), Factor!$AN$5:$AN$51, -1), _xlpm.추가_색인번호)-IF(AND(OR($G71="blast", $G71="curved", $G71= "debuff"), MOD($L71,1)&lt;&gt;0),INDEX(Factor!$AN$5:$AV$51, _xlfn.XMATCH(IF(OR($G71="blast", $G71="curved", $G71= "debuff"), $L71, 0), Factor!$AN$5:$AN$51, -1), 2)*MOD($L71,1)*10,0),
_xlpm.상태이상보정치, VLOOKUP(IF($G71 = "debuff", $M71, "null"), Factor!$AX$5:$BE$51, _xlpm.기본_색인번호, 0),
_xlpm.지속시간보정치, INDEX(Factor!$BG$5:$BO$51, _xlfn.XMATCH(IF(OR($G71 ="debuff", $G71 = "shot", $G71 = "pierce"), $O71, 0), Factor!$BG$5:$BG$51, -1), _xlpm.추가_색인번호)-IF(AND(OR($G71 ="debuff", $G71 = "shot", $G71 = "pierce"), MOD($O71, 1)&lt;&gt;0), 10*MOD($O71, 1)*INDEX(Factor!$BG$5:$BO$51, _xlfn.XMATCH(IF(OR($G71 ="debuff", $G71 = "shot", $G71 = "pierce"), $O71, 0), Factor!$BG$5:$BG$51, -1), 2), 0),
_xlpm.탄환개수보정치, VLOOKUP(IF(OR($G71 = "curved", $G71 = "shot"), $Q71, 1), Factor!$BQ$5:$BX$51, _xlpm.기본_색인번호, 0),
_xlpm.상태이상탄환생성위치보정치, IF($G71 = "debuff", VLOOKUP($R71, Factor!$K$18:$R$19, _xlpm.기본_색인번호, 0),1),
_xlpm.상태이상탄환형태보정치, IF($G71 = "debuff", VLOOKUP($S71, Factor!$K$24:$R$25, _xlpm.기본_색인번호, 0),1),
_xlpm.가격보정치, INDEX(Factor!$AE$5:$AL$51, _xlfn.XMATCH($F71,Factor!$AE$5:$AE$51, -1), _xlpm.기본_색인번호),
_xlpm.구경보정치, VLOOKUP($D71,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</row>
    <row r="72" spans="1:33" ht="15.75" customHeight="1">
      <c r="A72" s="28" t="str">
        <f>"weapon_"&amp;G72&amp;"_"&amp;VLOOKUP(H72, Factor!$T$5:$AB$7, 9, 0)&amp;"_"&amp;IF(COUNTIFS($G$4:G71, G72, $H$4:H71, H72)+1&gt;=100, COUNTIFS($G$4:G71, G72, $H$4:H71, H72)+1,IF(COUNTIFS($G$4:G71, G72, $H$4:H71, H72)+1&gt;=10, "0"&amp;COUNTIFS($G$4:G71, G72, $H$4:H71, H72)+1, "00"&amp;COUNTIFS($G$4:G71, G72, $H$4:H71, H72)+1))</f>
        <v>weapon_single_Am_068</v>
      </c>
      <c r="B72" s="37" t="str">
        <f t="shared" si="1"/>
        <v>T2 7.62mm대공포</v>
      </c>
      <c r="C72" s="37" t="s">
        <v>155</v>
      </c>
      <c r="D72" s="37" t="s">
        <v>242</v>
      </c>
      <c r="E72" s="37" t="s">
        <v>276</v>
      </c>
      <c r="F72" s="29">
        <f>VLOOKUP(C72, Factor!$AD$5:$AE$15, 2, 0)</f>
        <v>2000</v>
      </c>
      <c r="G72" s="29" t="str">
        <f>VLOOKUP(E72, Factor!$CL$5:$CV$50, 2, 0)</f>
        <v>single</v>
      </c>
      <c r="H72" s="29" t="str">
        <f>VLOOKUP(E72, Factor!$CL$5:$CV$50, 3, 0)</f>
        <v>ammo</v>
      </c>
      <c r="I72" s="29" t="str">
        <f>VLOOKUP(E72, Factor!$CL$5:$CV$50, 4, 0)</f>
        <v>F</v>
      </c>
      <c r="J72" s="29" t="str">
        <f>VLOOKUP(E72, Factor!$CL$5:$CV$50, 5, 0)</f>
        <v>spread</v>
      </c>
      <c r="K72" s="29">
        <v>1</v>
      </c>
      <c r="L72" s="29">
        <f>VLOOKUP(E72, Factor!$CL$5:$CV$50, 6, 0)*K72*VLOOKUP(D72, Factor!$BZ$5:$CJ$49, 9, 0)</f>
        <v>0</v>
      </c>
      <c r="M72" s="29" t="str">
        <f>VLOOKUP(E72, Factor!$CL$5:$CV$50, 7, 0)</f>
        <v>null</v>
      </c>
      <c r="N72" s="29">
        <v>1</v>
      </c>
      <c r="O72" s="29">
        <f>VLOOKUP(E72, Factor!$CL$5:$CV$50, 8, 0)*N72*VLOOKUP(D72, Factor!$BZ$5:$CJ$49, 10, 0)</f>
        <v>0</v>
      </c>
      <c r="P72" s="29">
        <v>1</v>
      </c>
      <c r="Q72" s="29">
        <f>VLOOKUP(E72, Factor!$CL$5:$CV$50, 9, 0)*P72*VLOOKUP(D72, Factor!$BZ$5:$CJ$49, 11, 0)</f>
        <v>3</v>
      </c>
      <c r="R72" s="29" t="str">
        <f>VLOOKUP(E72, Factor!$CL$5:$CV$50, 10, 0)</f>
        <v>null</v>
      </c>
      <c r="S72" s="29" t="str">
        <f>VLOOKUP(E72, Factor!$CL$5:$CV$50, 11, 0)</f>
        <v>null</v>
      </c>
      <c r="T72" s="29">
        <v>1</v>
      </c>
      <c r="U72" s="29">
        <v>1</v>
      </c>
      <c r="V72" s="29">
        <v>1</v>
      </c>
      <c r="W72" s="29">
        <v>1</v>
      </c>
      <c r="X72" s="29">
        <v>1</v>
      </c>
      <c r="Y72" s="29">
        <v>1</v>
      </c>
      <c r="Z72" s="29">
        <v>1</v>
      </c>
      <c r="AA72" s="29" cm="1">
        <f t="array" ref="AA72">_xlfn.LET(_xlpm.기본_색인번호, 2,
_xlpm.추가_색인번호, 3,
_xlpm.개별보정치, T72,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72" s="29" cm="1">
        <f t="array" ref="AB72">_xlfn.LET(_xlpm.기본_색인번호, 3,
_xlpm.추가_색인번호, 4,
_xlpm.개별보정치, U72,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72" s="29" cm="1">
        <f t="array" ref="AC72">_xlfn.LET(_xlpm.기본_색인번호, 4,
_xlpm.추가_색인번호, 5,
_xlpm.개별보정치, V72,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2" s="29" cm="1">
        <f t="array" ref="AD72">_xlfn.LET(_xlpm.기본_색인번호, 5,
_xlpm.추가_색인번호, 6,
_xlpm.개별보정치, W72,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72" s="29" cm="1">
        <f t="array" ref="AE72">_xlfn.LET(_xlpm.기본_색인번호, 6,
_xlpm.추가_색인번호, 7,
_xlpm.개별보정치, X72,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72" s="29" cm="1">
        <f t="array" ref="AF72">_xlfn.LET(_xlpm.기본_색인번호, 7,
_xlpm.추가_색인번호, 8,
_xlpm.개별보정치, Y72,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2" s="30" cm="1">
        <f t="array" ref="AG72">_xlfn.LET(_xlpm.기본_색인번호, 8,
_xlpm.추가_색인번호, 9,
_xlpm.개별보정치, Z72,
_xlpm.패턴보정치, VLOOKUP($G72, Factor!$B$5:$I$51, _xlpm.기본_색인번호, 0),
_xlpm.소모탄환보정치, VLOOKUP($H72, Factor!$T$5:$AA$51, _xlpm.기본_색인번호, 0),
_xlpm.지형보정치, VLOOKUP($I72, Factor!$K$12:$R$13, _xlpm.기본_색인번호, 0),
_xlpm.공격속성보정치, VLOOKUP($J72, Factor!$K$5:$R$7, _xlpm.기본_색인번호, 0),
_xlpm.피해범위보정치, INDEX(Factor!$AN$5:$AV$51, _xlfn.XMATCH(IF(OR($G72="blast", $G72="curved",  $G72= "debuff"), $L72, 0), Factor!$AN$5:$AN$51, -1), _xlpm.추가_색인번호)-IF(AND(OR($G72="blast", $G72="curved", $G72= "debuff"), MOD($L72,1)&lt;&gt;0),INDEX(Factor!$AN$5:$AV$51, _xlfn.XMATCH(IF(OR($G72="blast", $G72="curved", $G72= "debuff"), $L72, 0), Factor!$AN$5:$AN$51, -1), 2)*MOD($L72,1)*10,0),
_xlpm.상태이상보정치, VLOOKUP(IF($G72 = "debuff", $M72, "null"), Factor!$AX$5:$BE$51, _xlpm.기본_색인번호, 0),
_xlpm.지속시간보정치, INDEX(Factor!$BG$5:$BO$51, _xlfn.XMATCH(IF(OR($G72 ="debuff", $G72 = "shot", $G72 = "pierce"), $O72, 0), Factor!$BG$5:$BG$51, -1), _xlpm.추가_색인번호)-IF(AND(OR($G72 ="debuff", $G72 = "shot", $G72 = "pierce"), MOD($O72, 1)&lt;&gt;0), 10*MOD($O72, 1)*INDEX(Factor!$BG$5:$BO$51, _xlfn.XMATCH(IF(OR($G72 ="debuff", $G72 = "shot", $G72 = "pierce"), $O72, 0), Factor!$BG$5:$BG$51, -1), 2), 0),
_xlpm.탄환개수보정치, VLOOKUP(IF(OR($G72 = "curved", $G72 = "shot"), $Q72, 1), Factor!$BQ$5:$BX$51, _xlpm.기본_색인번호, 0),
_xlpm.상태이상탄환생성위치보정치, IF($G72 = "debuff", VLOOKUP($R72, Factor!$K$18:$R$19, _xlpm.기본_색인번호, 0),1),
_xlpm.상태이상탄환형태보정치, IF($G72 = "debuff", VLOOKUP($S72, Factor!$K$24:$R$25, _xlpm.기본_색인번호, 0),1),
_xlpm.가격보정치, INDEX(Factor!$AE$5:$AL$51, _xlfn.XMATCH($F72,Factor!$AE$5:$AE$51, -1), _xlpm.기본_색인번호),
_xlpm.구경보정치, VLOOKUP($D72,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</row>
    <row r="73" spans="1:33" ht="15.75" customHeight="1">
      <c r="A73" s="24" t="str">
        <f>"weapon_"&amp;G73&amp;"_"&amp;VLOOKUP(H73, Factor!$T$5:$AB$7, 9, 0)&amp;"_"&amp;IF(COUNTIFS($G$4:G72, G73, $H$4:H72, H73)+1&gt;=100, COUNTIFS($G$4:G72, G73, $H$4:H72, H73)+1,IF(COUNTIFS($G$4:G72, G73, $H$4:H72, H73)+1&gt;=10, "0"&amp;COUNTIFS($G$4:G72, G73, $H$4:H72, H73)+1, "00"&amp;COUNTIFS($G$4:G72, G73, $H$4:H72, H73)+1))</f>
        <v>weapon_single_Am_069</v>
      </c>
      <c r="B73" s="36" t="str">
        <f t="shared" si="1"/>
        <v>T2 12.7mm대공포</v>
      </c>
      <c r="C73" s="36" t="s">
        <v>155</v>
      </c>
      <c r="D73" s="36" t="s">
        <v>243</v>
      </c>
      <c r="E73" s="36" t="s">
        <v>276</v>
      </c>
      <c r="F73" s="25">
        <f>VLOOKUP(C73, Factor!$AD$5:$AE$15, 2, 0)</f>
        <v>2000</v>
      </c>
      <c r="G73" s="26" t="str">
        <f>VLOOKUP(E73, Factor!$CL$5:$CV$50, 2, 0)</f>
        <v>single</v>
      </c>
      <c r="H73" s="25" t="str">
        <f>VLOOKUP(E73, Factor!$CL$5:$CV$50, 3, 0)</f>
        <v>ammo</v>
      </c>
      <c r="I73" s="25" t="str">
        <f>VLOOKUP(E73, Factor!$CL$5:$CV$50, 4, 0)</f>
        <v>F</v>
      </c>
      <c r="J73" s="25" t="str">
        <f>VLOOKUP(E73, Factor!$CL$5:$CV$50, 5, 0)</f>
        <v>spread</v>
      </c>
      <c r="K73" s="25">
        <v>1</v>
      </c>
      <c r="L73" s="25">
        <f>VLOOKUP(E73, Factor!$CL$5:$CV$50, 6, 0)*K73*VLOOKUP(D73, Factor!$BZ$5:$CJ$49, 9, 0)</f>
        <v>0</v>
      </c>
      <c r="M73" s="25" t="str">
        <f>VLOOKUP(E73, Factor!$CL$5:$CV$50, 7, 0)</f>
        <v>null</v>
      </c>
      <c r="N73" s="25">
        <v>1</v>
      </c>
      <c r="O73" s="25">
        <f>VLOOKUP(E73, Factor!$CL$5:$CV$50, 8, 0)*N73*VLOOKUP(D73, Factor!$BZ$5:$CJ$49, 10, 0)</f>
        <v>0</v>
      </c>
      <c r="P73" s="25">
        <v>1</v>
      </c>
      <c r="Q73" s="25">
        <f>VLOOKUP(E73, Factor!$CL$5:$CV$50, 9, 0)*P73*VLOOKUP(D73, Factor!$BZ$5:$CJ$49, 11, 0)</f>
        <v>4</v>
      </c>
      <c r="R73" s="25" t="str">
        <f>VLOOKUP(E73, Factor!$CL$5:$CV$50, 10, 0)</f>
        <v>null</v>
      </c>
      <c r="S73" s="25" t="str">
        <f>VLOOKUP(E73, Factor!$CL$5:$CV$50, 11, 0)</f>
        <v>null</v>
      </c>
      <c r="T73" s="25">
        <v>1</v>
      </c>
      <c r="U73" s="25">
        <v>1</v>
      </c>
      <c r="V73" s="25">
        <v>1</v>
      </c>
      <c r="W73" s="25">
        <v>1</v>
      </c>
      <c r="X73" s="25">
        <v>1</v>
      </c>
      <c r="Y73" s="25">
        <v>1</v>
      </c>
      <c r="Z73" s="25">
        <v>1</v>
      </c>
      <c r="AA73" s="25" cm="1">
        <f t="array" ref="AA73">_xlfn.LET(_xlpm.기본_색인번호, 2,
_xlpm.추가_색인번호, 3,
_xlpm.개별보정치, T73,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73" s="25" cm="1">
        <f t="array" ref="AB73">_xlfn.LET(_xlpm.기본_색인번호, 3,
_xlpm.추가_색인번호, 4,
_xlpm.개별보정치, U73,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73" s="25" cm="1">
        <f t="array" ref="AC73">_xlfn.LET(_xlpm.기본_색인번호, 4,
_xlpm.추가_색인번호, 5,
_xlpm.개별보정치, V73,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3" s="25" cm="1">
        <f t="array" ref="AD73">_xlfn.LET(_xlpm.기본_색인번호, 5,
_xlpm.추가_색인번호, 6,
_xlpm.개별보정치, W73,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73" s="25" cm="1">
        <f t="array" ref="AE73">_xlfn.LET(_xlpm.기본_색인번호, 6,
_xlpm.추가_색인번호, 7,
_xlpm.개별보정치, X73,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73" s="25" cm="1">
        <f t="array" ref="AF73">_xlfn.LET(_xlpm.기본_색인번호, 7,
_xlpm.추가_색인번호, 8,
_xlpm.개별보정치, Y73,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3" s="27" cm="1">
        <f t="array" ref="AG73">_xlfn.LET(_xlpm.기본_색인번호, 8,
_xlpm.추가_색인번호, 9,
_xlpm.개별보정치, Z73,
_xlpm.패턴보정치, VLOOKUP($G73, Factor!$B$5:$I$51, _xlpm.기본_색인번호, 0),
_xlpm.소모탄환보정치, VLOOKUP($H73, Factor!$T$5:$AA$51, _xlpm.기본_색인번호, 0),
_xlpm.지형보정치, VLOOKUP($I73, Factor!$K$12:$R$13, _xlpm.기본_색인번호, 0),
_xlpm.공격속성보정치, VLOOKUP($J73, Factor!$K$5:$R$7, _xlpm.기본_색인번호, 0),
_xlpm.피해범위보정치, INDEX(Factor!$AN$5:$AV$51, _xlfn.XMATCH(IF(OR($G73="blast", $G73="curved",  $G73= "debuff"), $L73, 0), Factor!$AN$5:$AN$51, -1), _xlpm.추가_색인번호)-IF(AND(OR($G73="blast", $G73="curved", $G73= "debuff"), MOD($L73,1)&lt;&gt;0),INDEX(Factor!$AN$5:$AV$51, _xlfn.XMATCH(IF(OR($G73="blast", $G73="curved", $G73= "debuff"), $L73, 0), Factor!$AN$5:$AN$51, -1), 2)*MOD($L73,1)*10,0),
_xlpm.상태이상보정치, VLOOKUP(IF($G73 = "debuff", $M73, "null"), Factor!$AX$5:$BE$51, _xlpm.기본_색인번호, 0),
_xlpm.지속시간보정치, INDEX(Factor!$BG$5:$BO$51, _xlfn.XMATCH(IF(OR($G73 ="debuff", $G73 = "shot", $G73 = "pierce"), $O73, 0), Factor!$BG$5:$BG$51, -1), _xlpm.추가_색인번호)-IF(AND(OR($G73 ="debuff", $G73 = "shot", $G73 = "pierce"), MOD($O73, 1)&lt;&gt;0), 10*MOD($O73, 1)*INDEX(Factor!$BG$5:$BO$51, _xlfn.XMATCH(IF(OR($G73 ="debuff", $G73 = "shot", $G73 = "pierce"), $O73, 0), Factor!$BG$5:$BG$51, -1), 2), 0),
_xlpm.탄환개수보정치, VLOOKUP(IF(OR($G73 = "curved", $G73 = "shot"), $Q73, 1), Factor!$BQ$5:$BX$51, _xlpm.기본_색인번호, 0),
_xlpm.상태이상탄환생성위치보정치, IF($G73 = "debuff", VLOOKUP($R73, Factor!$K$18:$R$19, _xlpm.기본_색인번호, 0),1),
_xlpm.상태이상탄환형태보정치, IF($G73 = "debuff", VLOOKUP($S73, Factor!$K$24:$R$25, _xlpm.기본_색인번호, 0),1),
_xlpm.가격보정치, INDEX(Factor!$AE$5:$AL$51, _xlfn.XMATCH($F73,Factor!$AE$5:$AE$51, -1), _xlpm.기본_색인번호),
_xlpm.구경보정치, VLOOKUP($D73,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</row>
    <row r="74" spans="1:33" ht="15.75" customHeight="1">
      <c r="A74" s="28" t="str">
        <f>"weapon_"&amp;G74&amp;"_"&amp;VLOOKUP(H74, Factor!$T$5:$AB$7, 9, 0)&amp;"_"&amp;IF(COUNTIFS($G$4:G73, G74, $H$4:H73, H74)+1&gt;=100, COUNTIFS($G$4:G73, G74, $H$4:H73, H74)+1,IF(COUNTIFS($G$4:G73, G74, $H$4:H73, H74)+1&gt;=10, "0"&amp;COUNTIFS($G$4:G73, G74, $H$4:H73, H74)+1, "00"&amp;COUNTIFS($G$4:G73, G74, $H$4:H73, H74)+1))</f>
        <v>weapon_single_Am_070</v>
      </c>
      <c r="B74" s="37" t="str">
        <f t="shared" si="1"/>
        <v>T2 20mm대공포</v>
      </c>
      <c r="C74" s="37" t="s">
        <v>155</v>
      </c>
      <c r="D74" s="37" t="s">
        <v>244</v>
      </c>
      <c r="E74" s="37" t="s">
        <v>276</v>
      </c>
      <c r="F74" s="29">
        <f>VLOOKUP(C74, Factor!$AD$5:$AE$15, 2, 0)</f>
        <v>2000</v>
      </c>
      <c r="G74" s="29" t="str">
        <f>VLOOKUP(E74, Factor!$CL$5:$CV$50, 2, 0)</f>
        <v>single</v>
      </c>
      <c r="H74" s="29" t="str">
        <f>VLOOKUP(E74, Factor!$CL$5:$CV$50, 3, 0)</f>
        <v>ammo</v>
      </c>
      <c r="I74" s="29" t="str">
        <f>VLOOKUP(E74, Factor!$CL$5:$CV$50, 4, 0)</f>
        <v>F</v>
      </c>
      <c r="J74" s="29" t="str">
        <f>VLOOKUP(E74, Factor!$CL$5:$CV$50, 5, 0)</f>
        <v>spread</v>
      </c>
      <c r="K74" s="29">
        <v>1</v>
      </c>
      <c r="L74" s="29">
        <f>VLOOKUP(E74, Factor!$CL$5:$CV$50, 6, 0)*K74*VLOOKUP(D74, Factor!$BZ$5:$CJ$49, 9, 0)</f>
        <v>0</v>
      </c>
      <c r="M74" s="29" t="str">
        <f>VLOOKUP(E74, Factor!$CL$5:$CV$50, 7, 0)</f>
        <v>null</v>
      </c>
      <c r="N74" s="29">
        <v>1</v>
      </c>
      <c r="O74" s="29">
        <f>VLOOKUP(E74, Factor!$CL$5:$CV$50, 8, 0)*N74*VLOOKUP(D74, Factor!$BZ$5:$CJ$49, 10, 0)</f>
        <v>0</v>
      </c>
      <c r="P74" s="29">
        <v>1</v>
      </c>
      <c r="Q74" s="29">
        <f>VLOOKUP(E74, Factor!$CL$5:$CV$50, 9, 0)*P74*VLOOKUP(D74, Factor!$BZ$5:$CJ$49, 11, 0)</f>
        <v>5</v>
      </c>
      <c r="R74" s="29" t="str">
        <f>VLOOKUP(E74, Factor!$CL$5:$CV$50, 10, 0)</f>
        <v>null</v>
      </c>
      <c r="S74" s="29" t="str">
        <f>VLOOKUP(E74, Factor!$CL$5:$CV$50, 11, 0)</f>
        <v>null</v>
      </c>
      <c r="T74" s="29">
        <v>1</v>
      </c>
      <c r="U74" s="29">
        <v>1</v>
      </c>
      <c r="V74" s="29">
        <v>1</v>
      </c>
      <c r="W74" s="29">
        <v>1</v>
      </c>
      <c r="X74" s="29">
        <v>1</v>
      </c>
      <c r="Y74" s="29">
        <v>1</v>
      </c>
      <c r="Z74" s="29">
        <v>1</v>
      </c>
      <c r="AA74" s="29" cm="1">
        <f t="array" ref="AA74">_xlfn.LET(_xlpm.기본_색인번호, 2,
_xlpm.추가_색인번호, 3,
_xlpm.개별보정치, T74,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B74" s="29" cm="1">
        <f t="array" ref="AB74">_xlfn.LET(_xlpm.기본_색인번호, 3,
_xlpm.추가_색인번호, 4,
_xlpm.개별보정치, U74,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C74" s="29" cm="1">
        <f t="array" ref="AC74">_xlfn.LET(_xlpm.기본_색인번호, 4,
_xlpm.추가_색인번호, 5,
_xlpm.개별보정치, V74,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4" s="29" cm="1">
        <f t="array" ref="AD74">_xlfn.LET(_xlpm.기본_색인번호, 5,
_xlpm.추가_색인번호, 6,
_xlpm.개별보정치, W74,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E74" s="29" cm="1">
        <f t="array" ref="AE74">_xlfn.LET(_xlpm.기본_색인번호, 6,
_xlpm.추가_색인번호, 7,
_xlpm.개별보정치, X74,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  <c r="AF74" s="29" cm="1">
        <f t="array" ref="AF74">_xlfn.LET(_xlpm.기본_색인번호, 7,
_xlpm.추가_색인번호, 8,
_xlpm.개별보정치, Y74,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4" s="30" cm="1">
        <f t="array" ref="AG74">_xlfn.LET(_xlpm.기본_색인번호, 8,
_xlpm.추가_색인번호, 9,
_xlpm.개별보정치, Z74,
_xlpm.패턴보정치, VLOOKUP($G74, Factor!$B$5:$I$51, _xlpm.기본_색인번호, 0),
_xlpm.소모탄환보정치, VLOOKUP($H74, Factor!$T$5:$AA$51, _xlpm.기본_색인번호, 0),
_xlpm.지형보정치, VLOOKUP($I74, Factor!$K$12:$R$13, _xlpm.기본_색인번호, 0),
_xlpm.공격속성보정치, VLOOKUP($J74, Factor!$K$5:$R$7, _xlpm.기본_색인번호, 0),
_xlpm.피해범위보정치, INDEX(Factor!$AN$5:$AV$51, _xlfn.XMATCH(IF(OR($G74="blast", $G74="curved",  $G74= "debuff"), $L74, 0), Factor!$AN$5:$AN$51, -1), _xlpm.추가_색인번호)-IF(AND(OR($G74="blast", $G74="curved", $G74= "debuff"), MOD($L74,1)&lt;&gt;0),INDEX(Factor!$AN$5:$AV$51, _xlfn.XMATCH(IF(OR($G74="blast", $G74="curved", $G74= "debuff"), $L74, 0), Factor!$AN$5:$AN$51, -1), 2)*MOD($L74,1)*10,0),
_xlpm.상태이상보정치, VLOOKUP(IF($G74 = "debuff", $M74, "null"), Factor!$AX$5:$BE$51, _xlpm.기본_색인번호, 0),
_xlpm.지속시간보정치, INDEX(Factor!$BG$5:$BO$51, _xlfn.XMATCH(IF(OR($G74 ="debuff", $G74 = "shot", $G74 = "pierce"), $O74, 0), Factor!$BG$5:$BG$51, -1), _xlpm.추가_색인번호)-IF(AND(OR($G74 ="debuff", $G74 = "shot", $G74 = "pierce"), MOD($O74, 1)&lt;&gt;0), 10*MOD($O74, 1)*INDEX(Factor!$BG$5:$BO$51, _xlfn.XMATCH(IF(OR($G74 ="debuff", $G74 = "shot", $G74 = "pierce"), $O74, 0), Factor!$BG$5:$BG$51, -1), 2), 0),
_xlpm.탄환개수보정치, VLOOKUP(IF(OR($G74 = "curved", $G74 = "shot"), $Q74, 1), Factor!$BQ$5:$BX$51, _xlpm.기본_색인번호, 0),
_xlpm.상태이상탄환생성위치보정치, IF($G74 = "debuff", VLOOKUP($R74, Factor!$K$18:$R$19, _xlpm.기본_색인번호, 0),1),
_xlpm.상태이상탄환형태보정치, IF($G74 = "debuff", VLOOKUP($S74, Factor!$K$24:$R$25, _xlpm.기본_색인번호, 0),1),
_xlpm.가격보정치, INDEX(Factor!$AE$5:$AL$51, _xlfn.XMATCH($F74,Factor!$AE$5:$AE$51, -1), _xlpm.기본_색인번호),
_xlpm.구경보정치, VLOOKUP($D74,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</v>
      </c>
    </row>
    <row r="75" spans="1:33" ht="15.75" customHeight="1">
      <c r="A75" s="24" t="str">
        <f>"weapon_"&amp;G75&amp;"_"&amp;VLOOKUP(H75, Factor!$T$5:$AB$7, 9, 0)&amp;"_"&amp;IF(COUNTIFS($G$4:G74, G75, $H$4:H74, H75)+1&gt;=100, COUNTIFS($G$4:G74, G75, $H$4:H74, H75)+1,IF(COUNTIFS($G$4:G74, G75, $H$4:H74, H75)+1&gt;=10, "0"&amp;COUNTIFS($G$4:G74, G75, $H$4:H74, H75)+1, "00"&amp;COUNTIFS($G$4:G74, G75, $H$4:H74, H75)+1))</f>
        <v>weapon_single_Am_071</v>
      </c>
      <c r="B75" s="36" t="str">
        <f t="shared" si="1"/>
        <v>T3 대공포</v>
      </c>
      <c r="C75" s="36" t="s">
        <v>156</v>
      </c>
      <c r="D75" s="36" t="s">
        <v>275</v>
      </c>
      <c r="E75" s="36" t="s">
        <v>276</v>
      </c>
      <c r="F75" s="25">
        <f>VLOOKUP(C75, Factor!$AD$5:$AE$15, 2, 0)</f>
        <v>3000</v>
      </c>
      <c r="G75" s="26" t="str">
        <f>VLOOKUP(E75, Factor!$CL$5:$CV$50, 2, 0)</f>
        <v>single</v>
      </c>
      <c r="H75" s="25" t="str">
        <f>VLOOKUP(E75, Factor!$CL$5:$CV$50, 3, 0)</f>
        <v>ammo</v>
      </c>
      <c r="I75" s="25" t="str">
        <f>VLOOKUP(E75, Factor!$CL$5:$CV$50, 4, 0)</f>
        <v>F</v>
      </c>
      <c r="J75" s="25" t="str">
        <f>VLOOKUP(E75, Factor!$CL$5:$CV$50, 5, 0)</f>
        <v>spread</v>
      </c>
      <c r="K75" s="25">
        <v>1</v>
      </c>
      <c r="L75" s="25">
        <f>VLOOKUP(E75, Factor!$CL$5:$CV$50, 6, 0)*K75*VLOOKUP(D75, Factor!$BZ$5:$CJ$49, 9, 0)</f>
        <v>0</v>
      </c>
      <c r="M75" s="25" t="str">
        <f>VLOOKUP(E75, Factor!$CL$5:$CV$50, 7, 0)</f>
        <v>null</v>
      </c>
      <c r="N75" s="25">
        <v>1</v>
      </c>
      <c r="O75" s="25">
        <f>VLOOKUP(E75, Factor!$CL$5:$CV$50, 8, 0)*N75*VLOOKUP(D75, Factor!$BZ$5:$CJ$49, 10, 0)</f>
        <v>0</v>
      </c>
      <c r="P75" s="25">
        <v>1</v>
      </c>
      <c r="Q75" s="25">
        <f>VLOOKUP(E75, Factor!$CL$5:$CV$50, 9, 0)*P75*VLOOKUP(D75, Factor!$BZ$5:$CJ$49, 11, 0)</f>
        <v>1</v>
      </c>
      <c r="R75" s="25" t="str">
        <f>VLOOKUP(E75, Factor!$CL$5:$CV$50, 10, 0)</f>
        <v>null</v>
      </c>
      <c r="S75" s="25" t="str">
        <f>VLOOKUP(E75, Factor!$CL$5:$CV$50, 11, 0)</f>
        <v>null</v>
      </c>
      <c r="T75" s="25">
        <v>1</v>
      </c>
      <c r="U75" s="25">
        <v>1</v>
      </c>
      <c r="V75" s="25">
        <v>1</v>
      </c>
      <c r="W75" s="25">
        <v>1</v>
      </c>
      <c r="X75" s="25">
        <v>1</v>
      </c>
      <c r="Y75" s="25">
        <v>1</v>
      </c>
      <c r="Z75" s="25">
        <v>1</v>
      </c>
      <c r="AA75" s="25" cm="1">
        <f t="array" ref="AA75">_xlfn.LET(_xlpm.기본_색인번호, 2,
_xlpm.추가_색인번호, 3,
_xlpm.개별보정치, T75,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75" s="25" cm="1">
        <f t="array" ref="AB75">_xlfn.LET(_xlpm.기본_색인번호, 3,
_xlpm.추가_색인번호, 4,
_xlpm.개별보정치, U75,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75" s="25" cm="1">
        <f t="array" ref="AC75">_xlfn.LET(_xlpm.기본_색인번호, 4,
_xlpm.추가_색인번호, 5,
_xlpm.개별보정치, V75,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5" s="25" cm="1">
        <f t="array" ref="AD75">_xlfn.LET(_xlpm.기본_색인번호, 5,
_xlpm.추가_색인번호, 6,
_xlpm.개별보정치, W75,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75" s="25" cm="1">
        <f t="array" ref="AE75">_xlfn.LET(_xlpm.기본_색인번호, 6,
_xlpm.추가_색인번호, 7,
_xlpm.개별보정치, X75,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75" s="25" cm="1">
        <f t="array" ref="AF75">_xlfn.LET(_xlpm.기본_색인번호, 7,
_xlpm.추가_색인번호, 8,
_xlpm.개별보정치, Y75,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5" s="27" cm="1">
        <f t="array" ref="AG75">_xlfn.LET(_xlpm.기본_색인번호, 8,
_xlpm.추가_색인번호, 9,
_xlpm.개별보정치, Z75,
_xlpm.패턴보정치, VLOOKUP($G75, Factor!$B$5:$I$51, _xlpm.기본_색인번호, 0),
_xlpm.소모탄환보정치, VLOOKUP($H75, Factor!$T$5:$AA$51, _xlpm.기본_색인번호, 0),
_xlpm.지형보정치, VLOOKUP($I75, Factor!$K$12:$R$13, _xlpm.기본_색인번호, 0),
_xlpm.공격속성보정치, VLOOKUP($J75, Factor!$K$5:$R$7, _xlpm.기본_색인번호, 0),
_xlpm.피해범위보정치, INDEX(Factor!$AN$5:$AV$51, _xlfn.XMATCH(IF(OR($G75="blast", $G75="curved",  $G75= "debuff"), $L75, 0), Factor!$AN$5:$AN$51, -1), _xlpm.추가_색인번호)-IF(AND(OR($G75="blast", $G75="curved", $G75= "debuff"), MOD($L75,1)&lt;&gt;0),INDEX(Factor!$AN$5:$AV$51, _xlfn.XMATCH(IF(OR($G75="blast", $G75="curved", $G75= "debuff"), $L75, 0), Factor!$AN$5:$AN$51, -1), 2)*MOD($L75,1)*10,0),
_xlpm.상태이상보정치, VLOOKUP(IF($G75 = "debuff", $M75, "null"), Factor!$AX$5:$BE$51, _xlpm.기본_색인번호, 0),
_xlpm.지속시간보정치, INDEX(Factor!$BG$5:$BO$51, _xlfn.XMATCH(IF(OR($G75 ="debuff", $G75 = "shot", $G75 = "pierce"), $O75, 0), Factor!$BG$5:$BG$51, -1), _xlpm.추가_색인번호)-IF(AND(OR($G75 ="debuff", $G75 = "shot", $G75 = "pierce"), MOD($O75, 1)&lt;&gt;0), 10*MOD($O75, 1)*INDEX(Factor!$BG$5:$BO$51, _xlfn.XMATCH(IF(OR($G75 ="debuff", $G75 = "shot", $G75 = "pierce"), $O75, 0), Factor!$BG$5:$BG$51, -1), 2), 0),
_xlpm.탄환개수보정치, VLOOKUP(IF(OR($G75 = "curved", $G75 = "shot"), $Q75, 1), Factor!$BQ$5:$BX$51, _xlpm.기본_색인번호, 0),
_xlpm.상태이상탄환생성위치보정치, IF($G75 = "debuff", VLOOKUP($R75, Factor!$K$18:$R$19, _xlpm.기본_색인번호, 0),1),
_xlpm.상태이상탄환형태보정치, IF($G75 = "debuff", VLOOKUP($S75, Factor!$K$24:$R$25, _xlpm.기본_색인번호, 0),1),
_xlpm.가격보정치, INDEX(Factor!$AE$5:$AL$51, _xlfn.XMATCH($F75,Factor!$AE$5:$AE$51, -1), _xlpm.기본_색인번호),
_xlpm.구경보정치, VLOOKUP($D75,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</row>
    <row r="76" spans="1:33" ht="15.75" customHeight="1">
      <c r="A76" s="28" t="str">
        <f>"weapon_"&amp;G76&amp;"_"&amp;VLOOKUP(H76, Factor!$T$5:$AB$7, 9, 0)&amp;"_"&amp;IF(COUNTIFS($G$4:G75, G76, $H$4:H75, H76)+1&gt;=100, COUNTIFS($G$4:G75, G76, $H$4:H75, H76)+1,IF(COUNTIFS($G$4:G75, G76, $H$4:H75, H76)+1&gt;=10, "0"&amp;COUNTIFS($G$4:G75, G76, $H$4:H75, H76)+1, "00"&amp;COUNTIFS($G$4:G75, G76, $H$4:H75, H76)+1))</f>
        <v>weapon_single_Am_072</v>
      </c>
      <c r="B76" s="37" t="str">
        <f t="shared" si="1"/>
        <v>T3 5.56mm대공포</v>
      </c>
      <c r="C76" s="37" t="s">
        <v>156</v>
      </c>
      <c r="D76" s="37" t="s">
        <v>241</v>
      </c>
      <c r="E76" s="37" t="s">
        <v>276</v>
      </c>
      <c r="F76" s="29">
        <f>VLOOKUP(C76, Factor!$AD$5:$AE$15, 2, 0)</f>
        <v>3000</v>
      </c>
      <c r="G76" s="29" t="str">
        <f>VLOOKUP(E76, Factor!$CL$5:$CV$50, 2, 0)</f>
        <v>single</v>
      </c>
      <c r="H76" s="29" t="str">
        <f>VLOOKUP(E76, Factor!$CL$5:$CV$50, 3, 0)</f>
        <v>ammo</v>
      </c>
      <c r="I76" s="29" t="str">
        <f>VLOOKUP(E76, Factor!$CL$5:$CV$50, 4, 0)</f>
        <v>F</v>
      </c>
      <c r="J76" s="29" t="str">
        <f>VLOOKUP(E76, Factor!$CL$5:$CV$50, 5, 0)</f>
        <v>spread</v>
      </c>
      <c r="K76" s="29">
        <v>1</v>
      </c>
      <c r="L76" s="29">
        <f>VLOOKUP(E76, Factor!$CL$5:$CV$50, 6, 0)*K76*VLOOKUP(D76, Factor!$BZ$5:$CJ$49, 9, 0)</f>
        <v>0</v>
      </c>
      <c r="M76" s="29" t="str">
        <f>VLOOKUP(E76, Factor!$CL$5:$CV$50, 7, 0)</f>
        <v>null</v>
      </c>
      <c r="N76" s="29">
        <v>1</v>
      </c>
      <c r="O76" s="29">
        <f>VLOOKUP(E76, Factor!$CL$5:$CV$50, 8, 0)*N76*VLOOKUP(D76, Factor!$BZ$5:$CJ$49, 10, 0)</f>
        <v>0</v>
      </c>
      <c r="P76" s="29">
        <v>1</v>
      </c>
      <c r="Q76" s="29">
        <f>VLOOKUP(E76, Factor!$CL$5:$CV$50, 9, 0)*P76*VLOOKUP(D76, Factor!$BZ$5:$CJ$49, 11, 0)</f>
        <v>2</v>
      </c>
      <c r="R76" s="29" t="str">
        <f>VLOOKUP(E76, Factor!$CL$5:$CV$50, 10, 0)</f>
        <v>null</v>
      </c>
      <c r="S76" s="29" t="str">
        <f>VLOOKUP(E76, Factor!$CL$5:$CV$50, 11, 0)</f>
        <v>null</v>
      </c>
      <c r="T76" s="29">
        <v>1</v>
      </c>
      <c r="U76" s="29">
        <v>1</v>
      </c>
      <c r="V76" s="29">
        <v>1</v>
      </c>
      <c r="W76" s="29">
        <v>1</v>
      </c>
      <c r="X76" s="29">
        <v>1</v>
      </c>
      <c r="Y76" s="29">
        <v>1</v>
      </c>
      <c r="Z76" s="29">
        <v>1</v>
      </c>
      <c r="AA76" s="29" cm="1">
        <f t="array" ref="AA76">_xlfn.LET(_xlpm.기본_색인번호, 2,
_xlpm.추가_색인번호, 3,
_xlpm.개별보정치, T76,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76" s="29" cm="1">
        <f t="array" ref="AB76">_xlfn.LET(_xlpm.기본_색인번호, 3,
_xlpm.추가_색인번호, 4,
_xlpm.개별보정치, U76,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76" s="29" cm="1">
        <f t="array" ref="AC76">_xlfn.LET(_xlpm.기본_색인번호, 4,
_xlpm.추가_색인번호, 5,
_xlpm.개별보정치, V76,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6" s="29" cm="1">
        <f t="array" ref="AD76">_xlfn.LET(_xlpm.기본_색인번호, 5,
_xlpm.추가_색인번호, 6,
_xlpm.개별보정치, W76,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76" s="29" cm="1">
        <f t="array" ref="AE76">_xlfn.LET(_xlpm.기본_색인번호, 6,
_xlpm.추가_색인번호, 7,
_xlpm.개별보정치, X76,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76" s="29" cm="1">
        <f t="array" ref="AF76">_xlfn.LET(_xlpm.기본_색인번호, 7,
_xlpm.추가_색인번호, 8,
_xlpm.개별보정치, Y76,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6" s="30" cm="1">
        <f t="array" ref="AG76">_xlfn.LET(_xlpm.기본_색인번호, 8,
_xlpm.추가_색인번호, 9,
_xlpm.개별보정치, Z76,
_xlpm.패턴보정치, VLOOKUP($G76, Factor!$B$5:$I$51, _xlpm.기본_색인번호, 0),
_xlpm.소모탄환보정치, VLOOKUP($H76, Factor!$T$5:$AA$51, _xlpm.기본_색인번호, 0),
_xlpm.지형보정치, VLOOKUP($I76, Factor!$K$12:$R$13, _xlpm.기본_색인번호, 0),
_xlpm.공격속성보정치, VLOOKUP($J76, Factor!$K$5:$R$7, _xlpm.기본_색인번호, 0),
_xlpm.피해범위보정치, INDEX(Factor!$AN$5:$AV$51, _xlfn.XMATCH(IF(OR($G76="blast", $G76="curved",  $G76= "debuff"), $L76, 0), Factor!$AN$5:$AN$51, -1), _xlpm.추가_색인번호)-IF(AND(OR($G76="blast", $G76="curved", $G76= "debuff"), MOD($L76,1)&lt;&gt;0),INDEX(Factor!$AN$5:$AV$51, _xlfn.XMATCH(IF(OR($G76="blast", $G76="curved", $G76= "debuff"), $L76, 0), Factor!$AN$5:$AN$51, -1), 2)*MOD($L76,1)*10,0),
_xlpm.상태이상보정치, VLOOKUP(IF($G76 = "debuff", $M76, "null"), Factor!$AX$5:$BE$51, _xlpm.기본_색인번호, 0),
_xlpm.지속시간보정치, INDEX(Factor!$BG$5:$BO$51, _xlfn.XMATCH(IF(OR($G76 ="debuff", $G76 = "shot", $G76 = "pierce"), $O76, 0), Factor!$BG$5:$BG$51, -1), _xlpm.추가_색인번호)-IF(AND(OR($G76 ="debuff", $G76 = "shot", $G76 = "pierce"), MOD($O76, 1)&lt;&gt;0), 10*MOD($O76, 1)*INDEX(Factor!$BG$5:$BO$51, _xlfn.XMATCH(IF(OR($G76 ="debuff", $G76 = "shot", $G76 = "pierce"), $O76, 0), Factor!$BG$5:$BG$51, -1), 2), 0),
_xlpm.탄환개수보정치, VLOOKUP(IF(OR($G76 = "curved", $G76 = "shot"), $Q76, 1), Factor!$BQ$5:$BX$51, _xlpm.기본_색인번호, 0),
_xlpm.상태이상탄환생성위치보정치, IF($G76 = "debuff", VLOOKUP($R76, Factor!$K$18:$R$19, _xlpm.기본_색인번호, 0),1),
_xlpm.상태이상탄환형태보정치, IF($G76 = "debuff", VLOOKUP($S76, Factor!$K$24:$R$25, _xlpm.기본_색인번호, 0),1),
_xlpm.가격보정치, INDEX(Factor!$AE$5:$AL$51, _xlfn.XMATCH($F76,Factor!$AE$5:$AE$51, -1), _xlpm.기본_색인번호),
_xlpm.구경보정치, VLOOKUP($D76,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</row>
    <row r="77" spans="1:33" ht="15.75" customHeight="1">
      <c r="A77" s="24" t="str">
        <f>"weapon_"&amp;G77&amp;"_"&amp;VLOOKUP(H77, Factor!$T$5:$AB$7, 9, 0)&amp;"_"&amp;IF(COUNTIFS($G$4:G76, G77, $H$4:H76, H77)+1&gt;=100, COUNTIFS($G$4:G76, G77, $H$4:H76, H77)+1,IF(COUNTIFS($G$4:G76, G77, $H$4:H76, H77)+1&gt;=10, "0"&amp;COUNTIFS($G$4:G76, G77, $H$4:H76, H77)+1, "00"&amp;COUNTIFS($G$4:G76, G77, $H$4:H76, H77)+1))</f>
        <v>weapon_single_Am_073</v>
      </c>
      <c r="B77" s="36" t="str">
        <f t="shared" si="1"/>
        <v>T3 7.62mm대공포</v>
      </c>
      <c r="C77" s="36" t="s">
        <v>156</v>
      </c>
      <c r="D77" s="36" t="s">
        <v>242</v>
      </c>
      <c r="E77" s="36" t="s">
        <v>276</v>
      </c>
      <c r="F77" s="25">
        <f>VLOOKUP(C77, Factor!$AD$5:$AE$15, 2, 0)</f>
        <v>3000</v>
      </c>
      <c r="G77" s="26" t="str">
        <f>VLOOKUP(E77, Factor!$CL$5:$CV$50, 2, 0)</f>
        <v>single</v>
      </c>
      <c r="H77" s="25" t="str">
        <f>VLOOKUP(E77, Factor!$CL$5:$CV$50, 3, 0)</f>
        <v>ammo</v>
      </c>
      <c r="I77" s="25" t="str">
        <f>VLOOKUP(E77, Factor!$CL$5:$CV$50, 4, 0)</f>
        <v>F</v>
      </c>
      <c r="J77" s="25" t="str">
        <f>VLOOKUP(E77, Factor!$CL$5:$CV$50, 5, 0)</f>
        <v>spread</v>
      </c>
      <c r="K77" s="25">
        <v>1</v>
      </c>
      <c r="L77" s="25">
        <f>VLOOKUP(E77, Factor!$CL$5:$CV$50, 6, 0)*K77*VLOOKUP(D77, Factor!$BZ$5:$CJ$49, 9, 0)</f>
        <v>0</v>
      </c>
      <c r="M77" s="25" t="str">
        <f>VLOOKUP(E77, Factor!$CL$5:$CV$50, 7, 0)</f>
        <v>null</v>
      </c>
      <c r="N77" s="25">
        <v>1</v>
      </c>
      <c r="O77" s="25">
        <f>VLOOKUP(E77, Factor!$CL$5:$CV$50, 8, 0)*N77*VLOOKUP(D77, Factor!$BZ$5:$CJ$49, 10, 0)</f>
        <v>0</v>
      </c>
      <c r="P77" s="25">
        <v>1</v>
      </c>
      <c r="Q77" s="25">
        <f>VLOOKUP(E77, Factor!$CL$5:$CV$50, 9, 0)*P77*VLOOKUP(D77, Factor!$BZ$5:$CJ$49, 11, 0)</f>
        <v>3</v>
      </c>
      <c r="R77" s="25" t="str">
        <f>VLOOKUP(E77, Factor!$CL$5:$CV$50, 10, 0)</f>
        <v>null</v>
      </c>
      <c r="S77" s="25" t="str">
        <f>VLOOKUP(E77, Factor!$CL$5:$CV$50, 11, 0)</f>
        <v>null</v>
      </c>
      <c r="T77" s="25">
        <v>1</v>
      </c>
      <c r="U77" s="25">
        <v>1</v>
      </c>
      <c r="V77" s="25">
        <v>1</v>
      </c>
      <c r="W77" s="25">
        <v>1</v>
      </c>
      <c r="X77" s="25">
        <v>1</v>
      </c>
      <c r="Y77" s="25">
        <v>1</v>
      </c>
      <c r="Z77" s="25">
        <v>1</v>
      </c>
      <c r="AA77" s="25" cm="1">
        <f t="array" ref="AA77">_xlfn.LET(_xlpm.기본_색인번호, 2,
_xlpm.추가_색인번호, 3,
_xlpm.개별보정치, T77,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77" s="25" cm="1">
        <f t="array" ref="AB77">_xlfn.LET(_xlpm.기본_색인번호, 3,
_xlpm.추가_색인번호, 4,
_xlpm.개별보정치, U77,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77" s="25" cm="1">
        <f t="array" ref="AC77">_xlfn.LET(_xlpm.기본_색인번호, 4,
_xlpm.추가_색인번호, 5,
_xlpm.개별보정치, V77,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7" s="25" cm="1">
        <f t="array" ref="AD77">_xlfn.LET(_xlpm.기본_색인번호, 5,
_xlpm.추가_색인번호, 6,
_xlpm.개별보정치, W77,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77" s="25" cm="1">
        <f t="array" ref="AE77">_xlfn.LET(_xlpm.기본_색인번호, 6,
_xlpm.추가_색인번호, 7,
_xlpm.개별보정치, X77,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77" s="25" cm="1">
        <f t="array" ref="AF77">_xlfn.LET(_xlpm.기본_색인번호, 7,
_xlpm.추가_색인번호, 8,
_xlpm.개별보정치, Y77,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7" s="27" cm="1">
        <f t="array" ref="AG77">_xlfn.LET(_xlpm.기본_색인번호, 8,
_xlpm.추가_색인번호, 9,
_xlpm.개별보정치, Z77,
_xlpm.패턴보정치, VLOOKUP($G77, Factor!$B$5:$I$51, _xlpm.기본_색인번호, 0),
_xlpm.소모탄환보정치, VLOOKUP($H77, Factor!$T$5:$AA$51, _xlpm.기본_색인번호, 0),
_xlpm.지형보정치, VLOOKUP($I77, Factor!$K$12:$R$13, _xlpm.기본_색인번호, 0),
_xlpm.공격속성보정치, VLOOKUP($J77, Factor!$K$5:$R$7, _xlpm.기본_색인번호, 0),
_xlpm.피해범위보정치, INDEX(Factor!$AN$5:$AV$51, _xlfn.XMATCH(IF(OR($G77="blast", $G77="curved",  $G77= "debuff"), $L77, 0), Factor!$AN$5:$AN$51, -1), _xlpm.추가_색인번호)-IF(AND(OR($G77="blast", $G77="curved", $G77= "debuff"), MOD($L77,1)&lt;&gt;0),INDEX(Factor!$AN$5:$AV$51, _xlfn.XMATCH(IF(OR($G77="blast", $G77="curved", $G77= "debuff"), $L77, 0), Factor!$AN$5:$AN$51, -1), 2)*MOD($L77,1)*10,0),
_xlpm.상태이상보정치, VLOOKUP(IF($G77 = "debuff", $M77, "null"), Factor!$AX$5:$BE$51, _xlpm.기본_색인번호, 0),
_xlpm.지속시간보정치, INDEX(Factor!$BG$5:$BO$51, _xlfn.XMATCH(IF(OR($G77 ="debuff", $G77 = "shot", $G77 = "pierce"), $O77, 0), Factor!$BG$5:$BG$51, -1), _xlpm.추가_색인번호)-IF(AND(OR($G77 ="debuff", $G77 = "shot", $G77 = "pierce"), MOD($O77, 1)&lt;&gt;0), 10*MOD($O77, 1)*INDEX(Factor!$BG$5:$BO$51, _xlfn.XMATCH(IF(OR($G77 ="debuff", $G77 = "shot", $G77 = "pierce"), $O77, 0), Factor!$BG$5:$BG$51, -1), 2), 0),
_xlpm.탄환개수보정치, VLOOKUP(IF(OR($G77 = "curved", $G77 = "shot"), $Q77, 1), Factor!$BQ$5:$BX$51, _xlpm.기본_색인번호, 0),
_xlpm.상태이상탄환생성위치보정치, IF($G77 = "debuff", VLOOKUP($R77, Factor!$K$18:$R$19, _xlpm.기본_색인번호, 0),1),
_xlpm.상태이상탄환형태보정치, IF($G77 = "debuff", VLOOKUP($S77, Factor!$K$24:$R$25, _xlpm.기본_색인번호, 0),1),
_xlpm.가격보정치, INDEX(Factor!$AE$5:$AL$51, _xlfn.XMATCH($F77,Factor!$AE$5:$AE$51, -1), _xlpm.기본_색인번호),
_xlpm.구경보정치, VLOOKUP($D77,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</row>
    <row r="78" spans="1:33" ht="15.75" customHeight="1">
      <c r="A78" s="28" t="str">
        <f>"weapon_"&amp;G78&amp;"_"&amp;VLOOKUP(H78, Factor!$T$5:$AB$7, 9, 0)&amp;"_"&amp;IF(COUNTIFS($G$4:G77, G78, $H$4:H77, H78)+1&gt;=100, COUNTIFS($G$4:G77, G78, $H$4:H77, H78)+1,IF(COUNTIFS($G$4:G77, G78, $H$4:H77, H78)+1&gt;=10, "0"&amp;COUNTIFS($G$4:G77, G78, $H$4:H77, H78)+1, "00"&amp;COUNTIFS($G$4:G77, G78, $H$4:H77, H78)+1))</f>
        <v>weapon_single_Am_074</v>
      </c>
      <c r="B78" s="37" t="str">
        <f t="shared" si="1"/>
        <v>T3 12.7mm대공포</v>
      </c>
      <c r="C78" s="37" t="s">
        <v>156</v>
      </c>
      <c r="D78" s="37" t="s">
        <v>243</v>
      </c>
      <c r="E78" s="37" t="s">
        <v>276</v>
      </c>
      <c r="F78" s="29">
        <f>VLOOKUP(C78, Factor!$AD$5:$AE$15, 2, 0)</f>
        <v>3000</v>
      </c>
      <c r="G78" s="29" t="str">
        <f>VLOOKUP(E78, Factor!$CL$5:$CV$50, 2, 0)</f>
        <v>single</v>
      </c>
      <c r="H78" s="29" t="str">
        <f>VLOOKUP(E78, Factor!$CL$5:$CV$50, 3, 0)</f>
        <v>ammo</v>
      </c>
      <c r="I78" s="29" t="str">
        <f>VLOOKUP(E78, Factor!$CL$5:$CV$50, 4, 0)</f>
        <v>F</v>
      </c>
      <c r="J78" s="29" t="str">
        <f>VLOOKUP(E78, Factor!$CL$5:$CV$50, 5, 0)</f>
        <v>spread</v>
      </c>
      <c r="K78" s="29">
        <v>1</v>
      </c>
      <c r="L78" s="29">
        <f>VLOOKUP(E78, Factor!$CL$5:$CV$50, 6, 0)*K78*VLOOKUP(D78, Factor!$BZ$5:$CJ$49, 9, 0)</f>
        <v>0</v>
      </c>
      <c r="M78" s="29" t="str">
        <f>VLOOKUP(E78, Factor!$CL$5:$CV$50, 7, 0)</f>
        <v>null</v>
      </c>
      <c r="N78" s="29">
        <v>1</v>
      </c>
      <c r="O78" s="29">
        <f>VLOOKUP(E78, Factor!$CL$5:$CV$50, 8, 0)*N78*VLOOKUP(D78, Factor!$BZ$5:$CJ$49, 10, 0)</f>
        <v>0</v>
      </c>
      <c r="P78" s="29">
        <v>1</v>
      </c>
      <c r="Q78" s="29">
        <f>VLOOKUP(E78, Factor!$CL$5:$CV$50, 9, 0)*P78*VLOOKUP(D78, Factor!$BZ$5:$CJ$49, 11, 0)</f>
        <v>4</v>
      </c>
      <c r="R78" s="29" t="str">
        <f>VLOOKUP(E78, Factor!$CL$5:$CV$50, 10, 0)</f>
        <v>null</v>
      </c>
      <c r="S78" s="29" t="str">
        <f>VLOOKUP(E78, Factor!$CL$5:$CV$50, 11, 0)</f>
        <v>null</v>
      </c>
      <c r="T78" s="29">
        <v>1</v>
      </c>
      <c r="U78" s="29">
        <v>1</v>
      </c>
      <c r="V78" s="29">
        <v>1</v>
      </c>
      <c r="W78" s="29">
        <v>1</v>
      </c>
      <c r="X78" s="29">
        <v>1</v>
      </c>
      <c r="Y78" s="29">
        <v>1</v>
      </c>
      <c r="Z78" s="29">
        <v>1</v>
      </c>
      <c r="AA78" s="29" cm="1">
        <f t="array" ref="AA78">_xlfn.LET(_xlpm.기본_색인번호, 2,
_xlpm.추가_색인번호, 3,
_xlpm.개별보정치, T78,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78" s="29" cm="1">
        <f t="array" ref="AB78">_xlfn.LET(_xlpm.기본_색인번호, 3,
_xlpm.추가_색인번호, 4,
_xlpm.개별보정치, U78,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78" s="29" cm="1">
        <f t="array" ref="AC78">_xlfn.LET(_xlpm.기본_색인번호, 4,
_xlpm.추가_색인번호, 5,
_xlpm.개별보정치, V78,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8" s="29" cm="1">
        <f t="array" ref="AD78">_xlfn.LET(_xlpm.기본_색인번호, 5,
_xlpm.추가_색인번호, 6,
_xlpm.개별보정치, W78,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78" s="29" cm="1">
        <f t="array" ref="AE78">_xlfn.LET(_xlpm.기본_색인번호, 6,
_xlpm.추가_색인번호, 7,
_xlpm.개별보정치, X78,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78" s="29" cm="1">
        <f t="array" ref="AF78">_xlfn.LET(_xlpm.기본_색인번호, 7,
_xlpm.추가_색인번호, 8,
_xlpm.개별보정치, Y78,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8" s="30" cm="1">
        <f t="array" ref="AG78">_xlfn.LET(_xlpm.기본_색인번호, 8,
_xlpm.추가_색인번호, 9,
_xlpm.개별보정치, Z78,
_xlpm.패턴보정치, VLOOKUP($G78, Factor!$B$5:$I$51, _xlpm.기본_색인번호, 0),
_xlpm.소모탄환보정치, VLOOKUP($H78, Factor!$T$5:$AA$51, _xlpm.기본_색인번호, 0),
_xlpm.지형보정치, VLOOKUP($I78, Factor!$K$12:$R$13, _xlpm.기본_색인번호, 0),
_xlpm.공격속성보정치, VLOOKUP($J78, Factor!$K$5:$R$7, _xlpm.기본_색인번호, 0),
_xlpm.피해범위보정치, INDEX(Factor!$AN$5:$AV$51, _xlfn.XMATCH(IF(OR($G78="blast", $G78="curved",  $G78= "debuff"), $L78, 0), Factor!$AN$5:$AN$51, -1), _xlpm.추가_색인번호)-IF(AND(OR($G78="blast", $G78="curved", $G78= "debuff"), MOD($L78,1)&lt;&gt;0),INDEX(Factor!$AN$5:$AV$51, _xlfn.XMATCH(IF(OR($G78="blast", $G78="curved", $G78= "debuff"), $L78, 0), Factor!$AN$5:$AN$51, -1), 2)*MOD($L78,1)*10,0),
_xlpm.상태이상보정치, VLOOKUP(IF($G78 = "debuff", $M78, "null"), Factor!$AX$5:$BE$51, _xlpm.기본_색인번호, 0),
_xlpm.지속시간보정치, INDEX(Factor!$BG$5:$BO$51, _xlfn.XMATCH(IF(OR($G78 ="debuff", $G78 = "shot", $G78 = "pierce"), $O78, 0), Factor!$BG$5:$BG$51, -1), _xlpm.추가_색인번호)-IF(AND(OR($G78 ="debuff", $G78 = "shot", $G78 = "pierce"), MOD($O78, 1)&lt;&gt;0), 10*MOD($O78, 1)*INDEX(Factor!$BG$5:$BO$51, _xlfn.XMATCH(IF(OR($G78 ="debuff", $G78 = "shot", $G78 = "pierce"), $O78, 0), Factor!$BG$5:$BG$51, -1), 2), 0),
_xlpm.탄환개수보정치, VLOOKUP(IF(OR($G78 = "curved", $G78 = "shot"), $Q78, 1), Factor!$BQ$5:$BX$51, _xlpm.기본_색인번호, 0),
_xlpm.상태이상탄환생성위치보정치, IF($G78 = "debuff", VLOOKUP($R78, Factor!$K$18:$R$19, _xlpm.기본_색인번호, 0),1),
_xlpm.상태이상탄환형태보정치, IF($G78 = "debuff", VLOOKUP($S78, Factor!$K$24:$R$25, _xlpm.기본_색인번호, 0),1),
_xlpm.가격보정치, INDEX(Factor!$AE$5:$AL$51, _xlfn.XMATCH($F78,Factor!$AE$5:$AE$51, -1), _xlpm.기본_색인번호),
_xlpm.구경보정치, VLOOKUP($D78,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</row>
    <row r="79" spans="1:33" ht="15.75" customHeight="1">
      <c r="A79" s="24" t="str">
        <f>"weapon_"&amp;G79&amp;"_"&amp;VLOOKUP(H79, Factor!$T$5:$AB$7, 9, 0)&amp;"_"&amp;IF(COUNTIFS($G$4:G78, G79, $H$4:H78, H79)+1&gt;=100, COUNTIFS($G$4:G78, G79, $H$4:H78, H79)+1,IF(COUNTIFS($G$4:G78, G79, $H$4:H78, H79)+1&gt;=10, "0"&amp;COUNTIFS($G$4:G78, G79, $H$4:H78, H79)+1, "00"&amp;COUNTIFS($G$4:G78, G79, $H$4:H78, H79)+1))</f>
        <v>weapon_single_Am_075</v>
      </c>
      <c r="B79" s="36" t="str">
        <f t="shared" si="1"/>
        <v>T3 20mm대공포</v>
      </c>
      <c r="C79" s="36" t="s">
        <v>156</v>
      </c>
      <c r="D79" s="36" t="s">
        <v>244</v>
      </c>
      <c r="E79" s="36" t="s">
        <v>276</v>
      </c>
      <c r="F79" s="25">
        <f>VLOOKUP(C79, Factor!$AD$5:$AE$15, 2, 0)</f>
        <v>3000</v>
      </c>
      <c r="G79" s="26" t="str">
        <f>VLOOKUP(E79, Factor!$CL$5:$CV$50, 2, 0)</f>
        <v>single</v>
      </c>
      <c r="H79" s="25" t="str">
        <f>VLOOKUP(E79, Factor!$CL$5:$CV$50, 3, 0)</f>
        <v>ammo</v>
      </c>
      <c r="I79" s="25" t="str">
        <f>VLOOKUP(E79, Factor!$CL$5:$CV$50, 4, 0)</f>
        <v>F</v>
      </c>
      <c r="J79" s="25" t="str">
        <f>VLOOKUP(E79, Factor!$CL$5:$CV$50, 5, 0)</f>
        <v>spread</v>
      </c>
      <c r="K79" s="25">
        <v>1</v>
      </c>
      <c r="L79" s="25">
        <f>VLOOKUP(E79, Factor!$CL$5:$CV$50, 6, 0)*K79*VLOOKUP(D79, Factor!$BZ$5:$CJ$49, 9, 0)</f>
        <v>0</v>
      </c>
      <c r="M79" s="25" t="str">
        <f>VLOOKUP(E79, Factor!$CL$5:$CV$50, 7, 0)</f>
        <v>null</v>
      </c>
      <c r="N79" s="25">
        <v>1</v>
      </c>
      <c r="O79" s="25">
        <f>VLOOKUP(E79, Factor!$CL$5:$CV$50, 8, 0)*N79*VLOOKUP(D79, Factor!$BZ$5:$CJ$49, 10, 0)</f>
        <v>0</v>
      </c>
      <c r="P79" s="25">
        <v>1</v>
      </c>
      <c r="Q79" s="25">
        <f>VLOOKUP(E79, Factor!$CL$5:$CV$50, 9, 0)*P79*VLOOKUP(D79, Factor!$BZ$5:$CJ$49, 11, 0)</f>
        <v>5</v>
      </c>
      <c r="R79" s="25" t="str">
        <f>VLOOKUP(E79, Factor!$CL$5:$CV$50, 10, 0)</f>
        <v>null</v>
      </c>
      <c r="S79" s="25" t="str">
        <f>VLOOKUP(E79, Factor!$CL$5:$CV$50, 11, 0)</f>
        <v>null</v>
      </c>
      <c r="T79" s="25">
        <v>1</v>
      </c>
      <c r="U79" s="25">
        <v>1</v>
      </c>
      <c r="V79" s="25">
        <v>1</v>
      </c>
      <c r="W79" s="25">
        <v>1</v>
      </c>
      <c r="X79" s="25">
        <v>1</v>
      </c>
      <c r="Y79" s="25">
        <v>1</v>
      </c>
      <c r="Z79" s="25">
        <v>1</v>
      </c>
      <c r="AA79" s="25" cm="1">
        <f t="array" ref="AA79">_xlfn.LET(_xlpm.기본_색인번호, 2,
_xlpm.추가_색인번호, 3,
_xlpm.개별보정치, T79,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B79" s="25" cm="1">
        <f t="array" ref="AB79">_xlfn.LET(_xlpm.기본_색인번호, 3,
_xlpm.추가_색인번호, 4,
_xlpm.개별보정치, U79,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79" s="25" cm="1">
        <f t="array" ref="AC79">_xlfn.LET(_xlpm.기본_색인번호, 4,
_xlpm.추가_색인번호, 5,
_xlpm.개별보정치, V79,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79" s="25" cm="1">
        <f t="array" ref="AD79">_xlfn.LET(_xlpm.기본_색인번호, 5,
_xlpm.추가_색인번호, 6,
_xlpm.개별보정치, W79,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E79" s="25" cm="1">
        <f t="array" ref="AE79">_xlfn.LET(_xlpm.기본_색인번호, 6,
_xlpm.추가_색인번호, 7,
_xlpm.개별보정치, X79,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  <c r="AF79" s="25" cm="1">
        <f t="array" ref="AF79">_xlfn.LET(_xlpm.기본_색인번호, 7,
_xlpm.추가_색인번호, 8,
_xlpm.개별보정치, Y79,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79" s="27" cm="1">
        <f t="array" ref="AG79">_xlfn.LET(_xlpm.기본_색인번호, 8,
_xlpm.추가_색인번호, 9,
_xlpm.개별보정치, Z79,
_xlpm.패턴보정치, VLOOKUP($G79, Factor!$B$5:$I$51, _xlpm.기본_색인번호, 0),
_xlpm.소모탄환보정치, VLOOKUP($H79, Factor!$T$5:$AA$51, _xlpm.기본_색인번호, 0),
_xlpm.지형보정치, VLOOKUP($I79, Factor!$K$12:$R$13, _xlpm.기본_색인번호, 0),
_xlpm.공격속성보정치, VLOOKUP($J79, Factor!$K$5:$R$7, _xlpm.기본_색인번호, 0),
_xlpm.피해범위보정치, INDEX(Factor!$AN$5:$AV$51, _xlfn.XMATCH(IF(OR($G79="blast", $G79="curved",  $G79= "debuff"), $L79, 0), Factor!$AN$5:$AN$51, -1), _xlpm.추가_색인번호)-IF(AND(OR($G79="blast", $G79="curved", $G79= "debuff"), MOD($L79,1)&lt;&gt;0),INDEX(Factor!$AN$5:$AV$51, _xlfn.XMATCH(IF(OR($G79="blast", $G79="curved", $G79= "debuff"), $L79, 0), Factor!$AN$5:$AN$51, -1), 2)*MOD($L79,1)*10,0),
_xlpm.상태이상보정치, VLOOKUP(IF($G79 = "debuff", $M79, "null"), Factor!$AX$5:$BE$51, _xlpm.기본_색인번호, 0),
_xlpm.지속시간보정치, INDEX(Factor!$BG$5:$BO$51, _xlfn.XMATCH(IF(OR($G79 ="debuff", $G79 = "shot", $G79 = "pierce"), $O79, 0), Factor!$BG$5:$BG$51, -1), _xlpm.추가_색인번호)-IF(AND(OR($G79 ="debuff", $G79 = "shot", $G79 = "pierce"), MOD($O79, 1)&lt;&gt;0), 10*MOD($O79, 1)*INDEX(Factor!$BG$5:$BO$51, _xlfn.XMATCH(IF(OR($G79 ="debuff", $G79 = "shot", $G79 = "pierce"), $O79, 0), Factor!$BG$5:$BG$51, -1), 2), 0),
_xlpm.탄환개수보정치, VLOOKUP(IF(OR($G79 = "curved", $G79 = "shot"), $Q79, 1), Factor!$BQ$5:$BX$51, _xlpm.기본_색인번호, 0),
_xlpm.상태이상탄환생성위치보정치, IF($G79 = "debuff", VLOOKUP($R79, Factor!$K$18:$R$19, _xlpm.기본_색인번호, 0),1),
_xlpm.상태이상탄환형태보정치, IF($G79 = "debuff", VLOOKUP($S79, Factor!$K$24:$R$25, _xlpm.기본_색인번호, 0),1),
_xlpm.가격보정치, INDEX(Factor!$AE$5:$AL$51, _xlfn.XMATCH($F79,Factor!$AE$5:$AE$51, -1), _xlpm.기본_색인번호),
_xlpm.구경보정치, VLOOKUP($D79,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</v>
      </c>
    </row>
    <row r="80" spans="1:33" ht="15.75" customHeight="1">
      <c r="A80" s="28" t="str">
        <f>"weapon_"&amp;G80&amp;"_"&amp;VLOOKUP(H80, Factor!$T$5:$AB$7, 9, 0)&amp;"_"&amp;IF(COUNTIFS($G$4:G79, G80, $H$4:H79, H80)+1&gt;=100, COUNTIFS($G$4:G79, G80, $H$4:H79, H80)+1,IF(COUNTIFS($G$4:G79, G80, $H$4:H79, H80)+1&gt;=10, "0"&amp;COUNTIFS($G$4:G79, G80, $H$4:H79, H80)+1, "00"&amp;COUNTIFS($G$4:G79, G80, $H$4:H79, H80)+1))</f>
        <v>weapon_single_Am_076</v>
      </c>
      <c r="B80" s="37" t="str">
        <f t="shared" si="1"/>
        <v>T4 대공포</v>
      </c>
      <c r="C80" s="37" t="s">
        <v>157</v>
      </c>
      <c r="D80" s="37" t="s">
        <v>275</v>
      </c>
      <c r="E80" s="37" t="s">
        <v>276</v>
      </c>
      <c r="F80" s="29">
        <f>VLOOKUP(C80, Factor!$AD$5:$AE$15, 2, 0)</f>
        <v>4000</v>
      </c>
      <c r="G80" s="29" t="str">
        <f>VLOOKUP(E80, Factor!$CL$5:$CV$50, 2, 0)</f>
        <v>single</v>
      </c>
      <c r="H80" s="29" t="str">
        <f>VLOOKUP(E80, Factor!$CL$5:$CV$50, 3, 0)</f>
        <v>ammo</v>
      </c>
      <c r="I80" s="29" t="str">
        <f>VLOOKUP(E80, Factor!$CL$5:$CV$50, 4, 0)</f>
        <v>F</v>
      </c>
      <c r="J80" s="29" t="str">
        <f>VLOOKUP(E80, Factor!$CL$5:$CV$50, 5, 0)</f>
        <v>spread</v>
      </c>
      <c r="K80" s="29">
        <v>1</v>
      </c>
      <c r="L80" s="29">
        <f>VLOOKUP(E80, Factor!$CL$5:$CV$50, 6, 0)*K80*VLOOKUP(D80, Factor!$BZ$5:$CJ$49, 9, 0)</f>
        <v>0</v>
      </c>
      <c r="M80" s="29" t="str">
        <f>VLOOKUP(E80, Factor!$CL$5:$CV$50, 7, 0)</f>
        <v>null</v>
      </c>
      <c r="N80" s="29">
        <v>1</v>
      </c>
      <c r="O80" s="29">
        <f>VLOOKUP(E80, Factor!$CL$5:$CV$50, 8, 0)*N80*VLOOKUP(D80, Factor!$BZ$5:$CJ$49, 10, 0)</f>
        <v>0</v>
      </c>
      <c r="P80" s="29">
        <v>1</v>
      </c>
      <c r="Q80" s="29">
        <f>VLOOKUP(E80, Factor!$CL$5:$CV$50, 9, 0)*P80*VLOOKUP(D80, Factor!$BZ$5:$CJ$49, 11, 0)</f>
        <v>1</v>
      </c>
      <c r="R80" s="29" t="str">
        <f>VLOOKUP(E80, Factor!$CL$5:$CV$50, 10, 0)</f>
        <v>null</v>
      </c>
      <c r="S80" s="29" t="str">
        <f>VLOOKUP(E80, Factor!$CL$5:$CV$50, 11, 0)</f>
        <v>null</v>
      </c>
      <c r="T80" s="29">
        <v>1</v>
      </c>
      <c r="U80" s="29">
        <v>1</v>
      </c>
      <c r="V80" s="29">
        <v>1</v>
      </c>
      <c r="W80" s="29">
        <v>1</v>
      </c>
      <c r="X80" s="29">
        <v>1</v>
      </c>
      <c r="Y80" s="29">
        <v>1</v>
      </c>
      <c r="Z80" s="29">
        <v>1</v>
      </c>
      <c r="AA80" s="29" cm="1">
        <f t="array" ref="AA80">_xlfn.LET(_xlpm.기본_색인번호, 2,
_xlpm.추가_색인번호, 3,
_xlpm.개별보정치, T80,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80" s="29" cm="1">
        <f t="array" ref="AB80">_xlfn.LET(_xlpm.기본_색인번호, 3,
_xlpm.추가_색인번호, 4,
_xlpm.개별보정치, U80,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0" s="29" cm="1">
        <f t="array" ref="AC80">_xlfn.LET(_xlpm.기본_색인번호, 4,
_xlpm.추가_색인번호, 5,
_xlpm.개별보정치, V80,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0" s="29" cm="1">
        <f t="array" ref="AD80">_xlfn.LET(_xlpm.기본_색인번호, 5,
_xlpm.추가_색인번호, 6,
_xlpm.개별보정치, W80,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80" s="29" cm="1">
        <f t="array" ref="AE80">_xlfn.LET(_xlpm.기본_색인번호, 6,
_xlpm.추가_색인번호, 7,
_xlpm.개별보정치, X80,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80" s="29" cm="1">
        <f t="array" ref="AF80">_xlfn.LET(_xlpm.기본_색인번호, 7,
_xlpm.추가_색인번호, 8,
_xlpm.개별보정치, Y80,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0" s="30" cm="1">
        <f t="array" ref="AG80">_xlfn.LET(_xlpm.기본_색인번호, 8,
_xlpm.추가_색인번호, 9,
_xlpm.개별보정치, Z80,
_xlpm.패턴보정치, VLOOKUP($G80, Factor!$B$5:$I$51, _xlpm.기본_색인번호, 0),
_xlpm.소모탄환보정치, VLOOKUP($H80, Factor!$T$5:$AA$51, _xlpm.기본_색인번호, 0),
_xlpm.지형보정치, VLOOKUP($I80, Factor!$K$12:$R$13, _xlpm.기본_색인번호, 0),
_xlpm.공격속성보정치, VLOOKUP($J80, Factor!$K$5:$R$7, _xlpm.기본_색인번호, 0),
_xlpm.피해범위보정치, INDEX(Factor!$AN$5:$AV$51, _xlfn.XMATCH(IF(OR($G80="blast", $G80="curved",  $G80= "debuff"), $L80, 0), Factor!$AN$5:$AN$51, -1), _xlpm.추가_색인번호)-IF(AND(OR($G80="blast", $G80="curved", $G80= "debuff"), MOD($L80,1)&lt;&gt;0),INDEX(Factor!$AN$5:$AV$51, _xlfn.XMATCH(IF(OR($G80="blast", $G80="curved", $G80= "debuff"), $L80, 0), Factor!$AN$5:$AN$51, -1), 2)*MOD($L80,1)*10,0),
_xlpm.상태이상보정치, VLOOKUP(IF($G80 = "debuff", $M80, "null"), Factor!$AX$5:$BE$51, _xlpm.기본_색인번호, 0),
_xlpm.지속시간보정치, INDEX(Factor!$BG$5:$BO$51, _xlfn.XMATCH(IF(OR($G80 ="debuff", $G80 = "shot", $G80 = "pierce"), $O80, 0), Factor!$BG$5:$BG$51, -1), _xlpm.추가_색인번호)-IF(AND(OR($G80 ="debuff", $G80 = "shot", $G80 = "pierce"), MOD($O80, 1)&lt;&gt;0), 10*MOD($O80, 1)*INDEX(Factor!$BG$5:$BO$51, _xlfn.XMATCH(IF(OR($G80 ="debuff", $G80 = "shot", $G80 = "pierce"), $O80, 0), Factor!$BG$5:$BG$51, -1), 2), 0),
_xlpm.탄환개수보정치, VLOOKUP(IF(OR($G80 = "curved", $G80 = "shot"), $Q80, 1), Factor!$BQ$5:$BX$51, _xlpm.기본_색인번호, 0),
_xlpm.상태이상탄환생성위치보정치, IF($G80 = "debuff", VLOOKUP($R80, Factor!$K$18:$R$19, _xlpm.기본_색인번호, 0),1),
_xlpm.상태이상탄환형태보정치, IF($G80 = "debuff", VLOOKUP($S80, Factor!$K$24:$R$25, _xlpm.기본_색인번호, 0),1),
_xlpm.가격보정치, INDEX(Factor!$AE$5:$AL$51, _xlfn.XMATCH($F80,Factor!$AE$5:$AE$51, -1), _xlpm.기본_색인번호),
_xlpm.구경보정치, VLOOKUP($D80,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81" spans="1:33" ht="15.75" customHeight="1">
      <c r="A81" s="24" t="str">
        <f>"weapon_"&amp;G81&amp;"_"&amp;VLOOKUP(H81, Factor!$T$5:$AB$7, 9, 0)&amp;"_"&amp;IF(COUNTIFS($G$4:G80, G81, $H$4:H80, H81)+1&gt;=100, COUNTIFS($G$4:G80, G81, $H$4:H80, H81)+1,IF(COUNTIFS($G$4:G80, G81, $H$4:H80, H81)+1&gt;=10, "0"&amp;COUNTIFS($G$4:G80, G81, $H$4:H80, H81)+1, "00"&amp;COUNTIFS($G$4:G80, G81, $H$4:H80, H81)+1))</f>
        <v>weapon_single_Am_077</v>
      </c>
      <c r="B81" s="36" t="str">
        <f t="shared" si="1"/>
        <v>T4 5.56mm대공포</v>
      </c>
      <c r="C81" s="36" t="s">
        <v>157</v>
      </c>
      <c r="D81" s="36" t="s">
        <v>241</v>
      </c>
      <c r="E81" s="36" t="s">
        <v>276</v>
      </c>
      <c r="F81" s="25">
        <f>VLOOKUP(C81, Factor!$AD$5:$AE$15, 2, 0)</f>
        <v>4000</v>
      </c>
      <c r="G81" s="26" t="str">
        <f>VLOOKUP(E81, Factor!$CL$5:$CV$50, 2, 0)</f>
        <v>single</v>
      </c>
      <c r="H81" s="25" t="str">
        <f>VLOOKUP(E81, Factor!$CL$5:$CV$50, 3, 0)</f>
        <v>ammo</v>
      </c>
      <c r="I81" s="25" t="str">
        <f>VLOOKUP(E81, Factor!$CL$5:$CV$50, 4, 0)</f>
        <v>F</v>
      </c>
      <c r="J81" s="25" t="str">
        <f>VLOOKUP(E81, Factor!$CL$5:$CV$50, 5, 0)</f>
        <v>spread</v>
      </c>
      <c r="K81" s="25">
        <v>1</v>
      </c>
      <c r="L81" s="25">
        <f>VLOOKUP(E81, Factor!$CL$5:$CV$50, 6, 0)*K81*VLOOKUP(D81, Factor!$BZ$5:$CJ$49, 9, 0)</f>
        <v>0</v>
      </c>
      <c r="M81" s="25" t="str">
        <f>VLOOKUP(E81, Factor!$CL$5:$CV$50, 7, 0)</f>
        <v>null</v>
      </c>
      <c r="N81" s="25">
        <v>1</v>
      </c>
      <c r="O81" s="25">
        <f>VLOOKUP(E81, Factor!$CL$5:$CV$50, 8, 0)*N81*VLOOKUP(D81, Factor!$BZ$5:$CJ$49, 10, 0)</f>
        <v>0</v>
      </c>
      <c r="P81" s="25">
        <v>1</v>
      </c>
      <c r="Q81" s="25">
        <f>VLOOKUP(E81, Factor!$CL$5:$CV$50, 9, 0)*P81*VLOOKUP(D81, Factor!$BZ$5:$CJ$49, 11, 0)</f>
        <v>2</v>
      </c>
      <c r="R81" s="25" t="str">
        <f>VLOOKUP(E81, Factor!$CL$5:$CV$50, 10, 0)</f>
        <v>null</v>
      </c>
      <c r="S81" s="25" t="str">
        <f>VLOOKUP(E81, Factor!$CL$5:$CV$50, 11, 0)</f>
        <v>null</v>
      </c>
      <c r="T81" s="25">
        <v>1</v>
      </c>
      <c r="U81" s="25">
        <v>1</v>
      </c>
      <c r="V81" s="25">
        <v>1</v>
      </c>
      <c r="W81" s="25">
        <v>1</v>
      </c>
      <c r="X81" s="25">
        <v>1</v>
      </c>
      <c r="Y81" s="25">
        <v>1</v>
      </c>
      <c r="Z81" s="25">
        <v>1</v>
      </c>
      <c r="AA81" s="25" cm="1">
        <f t="array" ref="AA81">_xlfn.LET(_xlpm.기본_색인번호, 2,
_xlpm.추가_색인번호, 3,
_xlpm.개별보정치, T81,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81" s="25" cm="1">
        <f t="array" ref="AB81">_xlfn.LET(_xlpm.기본_색인번호, 3,
_xlpm.추가_색인번호, 4,
_xlpm.개별보정치, U81,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1" s="25" cm="1">
        <f t="array" ref="AC81">_xlfn.LET(_xlpm.기본_색인번호, 4,
_xlpm.추가_색인번호, 5,
_xlpm.개별보정치, V81,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1" s="25" cm="1">
        <f t="array" ref="AD81">_xlfn.LET(_xlpm.기본_색인번호, 5,
_xlpm.추가_색인번호, 6,
_xlpm.개별보정치, W81,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81" s="25" cm="1">
        <f t="array" ref="AE81">_xlfn.LET(_xlpm.기본_색인번호, 6,
_xlpm.추가_색인번호, 7,
_xlpm.개별보정치, X81,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81" s="25" cm="1">
        <f t="array" ref="AF81">_xlfn.LET(_xlpm.기본_색인번호, 7,
_xlpm.추가_색인번호, 8,
_xlpm.개별보정치, Y81,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1" s="27" cm="1">
        <f t="array" ref="AG81">_xlfn.LET(_xlpm.기본_색인번호, 8,
_xlpm.추가_색인번호, 9,
_xlpm.개별보정치, Z81,
_xlpm.패턴보정치, VLOOKUP($G81, Factor!$B$5:$I$51, _xlpm.기본_색인번호, 0),
_xlpm.소모탄환보정치, VLOOKUP($H81, Factor!$T$5:$AA$51, _xlpm.기본_색인번호, 0),
_xlpm.지형보정치, VLOOKUP($I81, Factor!$K$12:$R$13, _xlpm.기본_색인번호, 0),
_xlpm.공격속성보정치, VLOOKUP($J81, Factor!$K$5:$R$7, _xlpm.기본_색인번호, 0),
_xlpm.피해범위보정치, INDEX(Factor!$AN$5:$AV$51, _xlfn.XMATCH(IF(OR($G81="blast", $G81="curved",  $G81= "debuff"), $L81, 0), Factor!$AN$5:$AN$51, -1), _xlpm.추가_색인번호)-IF(AND(OR($G81="blast", $G81="curved", $G81= "debuff"), MOD($L81,1)&lt;&gt;0),INDEX(Factor!$AN$5:$AV$51, _xlfn.XMATCH(IF(OR($G81="blast", $G81="curved", $G81= "debuff"), $L81, 0), Factor!$AN$5:$AN$51, -1), 2)*MOD($L81,1)*10,0),
_xlpm.상태이상보정치, VLOOKUP(IF($G81 = "debuff", $M81, "null"), Factor!$AX$5:$BE$51, _xlpm.기본_색인번호, 0),
_xlpm.지속시간보정치, INDEX(Factor!$BG$5:$BO$51, _xlfn.XMATCH(IF(OR($G81 ="debuff", $G81 = "shot", $G81 = "pierce"), $O81, 0), Factor!$BG$5:$BG$51, -1), _xlpm.추가_색인번호)-IF(AND(OR($G81 ="debuff", $G81 = "shot", $G81 = "pierce"), MOD($O81, 1)&lt;&gt;0), 10*MOD($O81, 1)*INDEX(Factor!$BG$5:$BO$51, _xlfn.XMATCH(IF(OR($G81 ="debuff", $G81 = "shot", $G81 = "pierce"), $O81, 0), Factor!$BG$5:$BG$51, -1), 2), 0),
_xlpm.탄환개수보정치, VLOOKUP(IF(OR($G81 = "curved", $G81 = "shot"), $Q81, 1), Factor!$BQ$5:$BX$51, _xlpm.기본_색인번호, 0),
_xlpm.상태이상탄환생성위치보정치, IF($G81 = "debuff", VLOOKUP($R81, Factor!$K$18:$R$19, _xlpm.기본_색인번호, 0),1),
_xlpm.상태이상탄환형태보정치, IF($G81 = "debuff", VLOOKUP($S81, Factor!$K$24:$R$25, _xlpm.기본_색인번호, 0),1),
_xlpm.가격보정치, INDEX(Factor!$AE$5:$AL$51, _xlfn.XMATCH($F81,Factor!$AE$5:$AE$51, -1), _xlpm.기본_색인번호),
_xlpm.구경보정치, VLOOKUP($D81,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82" spans="1:33" ht="15.75" customHeight="1">
      <c r="A82" s="28" t="str">
        <f>"weapon_"&amp;G82&amp;"_"&amp;VLOOKUP(H82, Factor!$T$5:$AB$7, 9, 0)&amp;"_"&amp;IF(COUNTIFS($G$4:G81, G82, $H$4:H81, H82)+1&gt;=100, COUNTIFS($G$4:G81, G82, $H$4:H81, H82)+1,IF(COUNTIFS($G$4:G81, G82, $H$4:H81, H82)+1&gt;=10, "0"&amp;COUNTIFS($G$4:G81, G82, $H$4:H81, H82)+1, "00"&amp;COUNTIFS($G$4:G81, G82, $H$4:H81, H82)+1))</f>
        <v>weapon_single_Am_078</v>
      </c>
      <c r="B82" s="37" t="str">
        <f t="shared" si="1"/>
        <v>T4 7.62mm대공포</v>
      </c>
      <c r="C82" s="37" t="s">
        <v>157</v>
      </c>
      <c r="D82" s="37" t="s">
        <v>242</v>
      </c>
      <c r="E82" s="37" t="s">
        <v>276</v>
      </c>
      <c r="F82" s="29">
        <f>VLOOKUP(C82, Factor!$AD$5:$AE$15, 2, 0)</f>
        <v>4000</v>
      </c>
      <c r="G82" s="29" t="str">
        <f>VLOOKUP(E82, Factor!$CL$5:$CV$50, 2, 0)</f>
        <v>single</v>
      </c>
      <c r="H82" s="29" t="str">
        <f>VLOOKUP(E82, Factor!$CL$5:$CV$50, 3, 0)</f>
        <v>ammo</v>
      </c>
      <c r="I82" s="29" t="str">
        <f>VLOOKUP(E82, Factor!$CL$5:$CV$50, 4, 0)</f>
        <v>F</v>
      </c>
      <c r="J82" s="29" t="str">
        <f>VLOOKUP(E82, Factor!$CL$5:$CV$50, 5, 0)</f>
        <v>spread</v>
      </c>
      <c r="K82" s="29">
        <v>1</v>
      </c>
      <c r="L82" s="29">
        <f>VLOOKUP(E82, Factor!$CL$5:$CV$50, 6, 0)*K82*VLOOKUP(D82, Factor!$BZ$5:$CJ$49, 9, 0)</f>
        <v>0</v>
      </c>
      <c r="M82" s="29" t="str">
        <f>VLOOKUP(E82, Factor!$CL$5:$CV$50, 7, 0)</f>
        <v>null</v>
      </c>
      <c r="N82" s="29">
        <v>1</v>
      </c>
      <c r="O82" s="29">
        <f>VLOOKUP(E82, Factor!$CL$5:$CV$50, 8, 0)*N82*VLOOKUP(D82, Factor!$BZ$5:$CJ$49, 10, 0)</f>
        <v>0</v>
      </c>
      <c r="P82" s="29">
        <v>1</v>
      </c>
      <c r="Q82" s="29">
        <f>VLOOKUP(E82, Factor!$CL$5:$CV$50, 9, 0)*P82*VLOOKUP(D82, Factor!$BZ$5:$CJ$49, 11, 0)</f>
        <v>3</v>
      </c>
      <c r="R82" s="29" t="str">
        <f>VLOOKUP(E82, Factor!$CL$5:$CV$50, 10, 0)</f>
        <v>null</v>
      </c>
      <c r="S82" s="29" t="str">
        <f>VLOOKUP(E82, Factor!$CL$5:$CV$50, 11, 0)</f>
        <v>null</v>
      </c>
      <c r="T82" s="29">
        <v>1</v>
      </c>
      <c r="U82" s="29">
        <v>1</v>
      </c>
      <c r="V82" s="29">
        <v>1</v>
      </c>
      <c r="W82" s="29">
        <v>1</v>
      </c>
      <c r="X82" s="29">
        <v>1</v>
      </c>
      <c r="Y82" s="29">
        <v>1</v>
      </c>
      <c r="Z82" s="29">
        <v>1</v>
      </c>
      <c r="AA82" s="29" cm="1">
        <f t="array" ref="AA82">_xlfn.LET(_xlpm.기본_색인번호, 2,
_xlpm.추가_색인번호, 3,
_xlpm.개별보정치, T82,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82" s="29" cm="1">
        <f t="array" ref="AB82">_xlfn.LET(_xlpm.기본_색인번호, 3,
_xlpm.추가_색인번호, 4,
_xlpm.개별보정치, U82,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2" s="29" cm="1">
        <f t="array" ref="AC82">_xlfn.LET(_xlpm.기본_색인번호, 4,
_xlpm.추가_색인번호, 5,
_xlpm.개별보정치, V82,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2" s="29" cm="1">
        <f t="array" ref="AD82">_xlfn.LET(_xlpm.기본_색인번호, 5,
_xlpm.추가_색인번호, 6,
_xlpm.개별보정치, W82,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82" s="29" cm="1">
        <f t="array" ref="AE82">_xlfn.LET(_xlpm.기본_색인번호, 6,
_xlpm.추가_색인번호, 7,
_xlpm.개별보정치, X82,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82" s="29" cm="1">
        <f t="array" ref="AF82">_xlfn.LET(_xlpm.기본_색인번호, 7,
_xlpm.추가_색인번호, 8,
_xlpm.개별보정치, Y82,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2" s="30" cm="1">
        <f t="array" ref="AG82">_xlfn.LET(_xlpm.기본_색인번호, 8,
_xlpm.추가_색인번호, 9,
_xlpm.개별보정치, Z82,
_xlpm.패턴보정치, VLOOKUP($G82, Factor!$B$5:$I$51, _xlpm.기본_색인번호, 0),
_xlpm.소모탄환보정치, VLOOKUP($H82, Factor!$T$5:$AA$51, _xlpm.기본_색인번호, 0),
_xlpm.지형보정치, VLOOKUP($I82, Factor!$K$12:$R$13, _xlpm.기본_색인번호, 0),
_xlpm.공격속성보정치, VLOOKUP($J82, Factor!$K$5:$R$7, _xlpm.기본_색인번호, 0),
_xlpm.피해범위보정치, INDEX(Factor!$AN$5:$AV$51, _xlfn.XMATCH(IF(OR($G82="blast", $G82="curved",  $G82= "debuff"), $L82, 0), Factor!$AN$5:$AN$51, -1), _xlpm.추가_색인번호)-IF(AND(OR($G82="blast", $G82="curved", $G82= "debuff"), MOD($L82,1)&lt;&gt;0),INDEX(Factor!$AN$5:$AV$51, _xlfn.XMATCH(IF(OR($G82="blast", $G82="curved", $G82= "debuff"), $L82, 0), Factor!$AN$5:$AN$51, -1), 2)*MOD($L82,1)*10,0),
_xlpm.상태이상보정치, VLOOKUP(IF($G82 = "debuff", $M82, "null"), Factor!$AX$5:$BE$51, _xlpm.기본_색인번호, 0),
_xlpm.지속시간보정치, INDEX(Factor!$BG$5:$BO$51, _xlfn.XMATCH(IF(OR($G82 ="debuff", $G82 = "shot", $G82 = "pierce"), $O82, 0), Factor!$BG$5:$BG$51, -1), _xlpm.추가_색인번호)-IF(AND(OR($G82 ="debuff", $G82 = "shot", $G82 = "pierce"), MOD($O82, 1)&lt;&gt;0), 10*MOD($O82, 1)*INDEX(Factor!$BG$5:$BO$51, _xlfn.XMATCH(IF(OR($G82 ="debuff", $G82 = "shot", $G82 = "pierce"), $O82, 0), Factor!$BG$5:$BG$51, -1), 2), 0),
_xlpm.탄환개수보정치, VLOOKUP(IF(OR($G82 = "curved", $G82 = "shot"), $Q82, 1), Factor!$BQ$5:$BX$51, _xlpm.기본_색인번호, 0),
_xlpm.상태이상탄환생성위치보정치, IF($G82 = "debuff", VLOOKUP($R82, Factor!$K$18:$R$19, _xlpm.기본_색인번호, 0),1),
_xlpm.상태이상탄환형태보정치, IF($G82 = "debuff", VLOOKUP($S82, Factor!$K$24:$R$25, _xlpm.기본_색인번호, 0),1),
_xlpm.가격보정치, INDEX(Factor!$AE$5:$AL$51, _xlfn.XMATCH($F82,Factor!$AE$5:$AE$51, -1), _xlpm.기본_색인번호),
_xlpm.구경보정치, VLOOKUP($D82,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83" spans="1:33" ht="15.75" customHeight="1">
      <c r="A83" s="24" t="str">
        <f>"weapon_"&amp;G83&amp;"_"&amp;VLOOKUP(H83, Factor!$T$5:$AB$7, 9, 0)&amp;"_"&amp;IF(COUNTIFS($G$4:G82, G83, $H$4:H82, H83)+1&gt;=100, COUNTIFS($G$4:G82, G83, $H$4:H82, H83)+1,IF(COUNTIFS($G$4:G82, G83, $H$4:H82, H83)+1&gt;=10, "0"&amp;COUNTIFS($G$4:G82, G83, $H$4:H82, H83)+1, "00"&amp;COUNTIFS($G$4:G82, G83, $H$4:H82, H83)+1))</f>
        <v>weapon_single_Am_079</v>
      </c>
      <c r="B83" s="36" t="str">
        <f t="shared" si="1"/>
        <v>T4 12.7mm대공포</v>
      </c>
      <c r="C83" s="36" t="s">
        <v>157</v>
      </c>
      <c r="D83" s="36" t="s">
        <v>243</v>
      </c>
      <c r="E83" s="36" t="s">
        <v>276</v>
      </c>
      <c r="F83" s="25">
        <f>VLOOKUP(C83, Factor!$AD$5:$AE$15, 2, 0)</f>
        <v>4000</v>
      </c>
      <c r="G83" s="26" t="str">
        <f>VLOOKUP(E83, Factor!$CL$5:$CV$50, 2, 0)</f>
        <v>single</v>
      </c>
      <c r="H83" s="25" t="str">
        <f>VLOOKUP(E83, Factor!$CL$5:$CV$50, 3, 0)</f>
        <v>ammo</v>
      </c>
      <c r="I83" s="25" t="str">
        <f>VLOOKUP(E83, Factor!$CL$5:$CV$50, 4, 0)</f>
        <v>F</v>
      </c>
      <c r="J83" s="25" t="str">
        <f>VLOOKUP(E83, Factor!$CL$5:$CV$50, 5, 0)</f>
        <v>spread</v>
      </c>
      <c r="K83" s="25">
        <v>1</v>
      </c>
      <c r="L83" s="25">
        <f>VLOOKUP(E83, Factor!$CL$5:$CV$50, 6, 0)*K83*VLOOKUP(D83, Factor!$BZ$5:$CJ$49, 9, 0)</f>
        <v>0</v>
      </c>
      <c r="M83" s="25" t="str">
        <f>VLOOKUP(E83, Factor!$CL$5:$CV$50, 7, 0)</f>
        <v>null</v>
      </c>
      <c r="N83" s="25">
        <v>1</v>
      </c>
      <c r="O83" s="25">
        <f>VLOOKUP(E83, Factor!$CL$5:$CV$50, 8, 0)*N83*VLOOKUP(D83, Factor!$BZ$5:$CJ$49, 10, 0)</f>
        <v>0</v>
      </c>
      <c r="P83" s="25">
        <v>1</v>
      </c>
      <c r="Q83" s="25">
        <f>VLOOKUP(E83, Factor!$CL$5:$CV$50, 9, 0)*P83*VLOOKUP(D83, Factor!$BZ$5:$CJ$49, 11, 0)</f>
        <v>4</v>
      </c>
      <c r="R83" s="25" t="str">
        <f>VLOOKUP(E83, Factor!$CL$5:$CV$50, 10, 0)</f>
        <v>null</v>
      </c>
      <c r="S83" s="25" t="str">
        <f>VLOOKUP(E83, Factor!$CL$5:$CV$50, 11, 0)</f>
        <v>null</v>
      </c>
      <c r="T83" s="25">
        <v>1</v>
      </c>
      <c r="U83" s="25">
        <v>1</v>
      </c>
      <c r="V83" s="25">
        <v>1</v>
      </c>
      <c r="W83" s="25">
        <v>1</v>
      </c>
      <c r="X83" s="25">
        <v>1</v>
      </c>
      <c r="Y83" s="25">
        <v>1</v>
      </c>
      <c r="Z83" s="25">
        <v>1</v>
      </c>
      <c r="AA83" s="25" cm="1">
        <f t="array" ref="AA83">_xlfn.LET(_xlpm.기본_색인번호, 2,
_xlpm.추가_색인번호, 3,
_xlpm.개별보정치, T83,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83" s="25" cm="1">
        <f t="array" ref="AB83">_xlfn.LET(_xlpm.기본_색인번호, 3,
_xlpm.추가_색인번호, 4,
_xlpm.개별보정치, U83,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3" s="25" cm="1">
        <f t="array" ref="AC83">_xlfn.LET(_xlpm.기본_색인번호, 4,
_xlpm.추가_색인번호, 5,
_xlpm.개별보정치, V83,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3" s="25" cm="1">
        <f t="array" ref="AD83">_xlfn.LET(_xlpm.기본_색인번호, 5,
_xlpm.추가_색인번호, 6,
_xlpm.개별보정치, W83,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83" s="25" cm="1">
        <f t="array" ref="AE83">_xlfn.LET(_xlpm.기본_색인번호, 6,
_xlpm.추가_색인번호, 7,
_xlpm.개별보정치, X83,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83" s="25" cm="1">
        <f t="array" ref="AF83">_xlfn.LET(_xlpm.기본_색인번호, 7,
_xlpm.추가_색인번호, 8,
_xlpm.개별보정치, Y83,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3" s="27" cm="1">
        <f t="array" ref="AG83">_xlfn.LET(_xlpm.기본_색인번호, 8,
_xlpm.추가_색인번호, 9,
_xlpm.개별보정치, Z83,
_xlpm.패턴보정치, VLOOKUP($G83, Factor!$B$5:$I$51, _xlpm.기본_색인번호, 0),
_xlpm.소모탄환보정치, VLOOKUP($H83, Factor!$T$5:$AA$51, _xlpm.기본_색인번호, 0),
_xlpm.지형보정치, VLOOKUP($I83, Factor!$K$12:$R$13, _xlpm.기본_색인번호, 0),
_xlpm.공격속성보정치, VLOOKUP($J83, Factor!$K$5:$R$7, _xlpm.기본_색인번호, 0),
_xlpm.피해범위보정치, INDEX(Factor!$AN$5:$AV$51, _xlfn.XMATCH(IF(OR($G83="blast", $G83="curved",  $G83= "debuff"), $L83, 0), Factor!$AN$5:$AN$51, -1), _xlpm.추가_색인번호)-IF(AND(OR($G83="blast", $G83="curved", $G83= "debuff"), MOD($L83,1)&lt;&gt;0),INDEX(Factor!$AN$5:$AV$51, _xlfn.XMATCH(IF(OR($G83="blast", $G83="curved", $G83= "debuff"), $L83, 0), Factor!$AN$5:$AN$51, -1), 2)*MOD($L83,1)*10,0),
_xlpm.상태이상보정치, VLOOKUP(IF($G83 = "debuff", $M83, "null"), Factor!$AX$5:$BE$51, _xlpm.기본_색인번호, 0),
_xlpm.지속시간보정치, INDEX(Factor!$BG$5:$BO$51, _xlfn.XMATCH(IF(OR($G83 ="debuff", $G83 = "shot", $G83 = "pierce"), $O83, 0), Factor!$BG$5:$BG$51, -1), _xlpm.추가_색인번호)-IF(AND(OR($G83 ="debuff", $G83 = "shot", $G83 = "pierce"), MOD($O83, 1)&lt;&gt;0), 10*MOD($O83, 1)*INDEX(Factor!$BG$5:$BO$51, _xlfn.XMATCH(IF(OR($G83 ="debuff", $G83 = "shot", $G83 = "pierce"), $O83, 0), Factor!$BG$5:$BG$51, -1), 2), 0),
_xlpm.탄환개수보정치, VLOOKUP(IF(OR($G83 = "curved", $G83 = "shot"), $Q83, 1), Factor!$BQ$5:$BX$51, _xlpm.기본_색인번호, 0),
_xlpm.상태이상탄환생성위치보정치, IF($G83 = "debuff", VLOOKUP($R83, Factor!$K$18:$R$19, _xlpm.기본_색인번호, 0),1),
_xlpm.상태이상탄환형태보정치, IF($G83 = "debuff", VLOOKUP($S83, Factor!$K$24:$R$25, _xlpm.기본_색인번호, 0),1),
_xlpm.가격보정치, INDEX(Factor!$AE$5:$AL$51, _xlfn.XMATCH($F83,Factor!$AE$5:$AE$51, -1), _xlpm.기본_색인번호),
_xlpm.구경보정치, VLOOKUP($D83,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84" spans="1:33" ht="15.75" customHeight="1">
      <c r="A84" s="28" t="str">
        <f>"weapon_"&amp;G84&amp;"_"&amp;VLOOKUP(H84, Factor!$T$5:$AB$7, 9, 0)&amp;"_"&amp;IF(COUNTIFS($G$4:G83, G84, $H$4:H83, H84)+1&gt;=100, COUNTIFS($G$4:G83, G84, $H$4:H83, H84)+1,IF(COUNTIFS($G$4:G83, G84, $H$4:H83, H84)+1&gt;=10, "0"&amp;COUNTIFS($G$4:G83, G84, $H$4:H83, H84)+1, "00"&amp;COUNTIFS($G$4:G83, G84, $H$4:H83, H84)+1))</f>
        <v>weapon_single_Am_080</v>
      </c>
      <c r="B84" s="37" t="str">
        <f t="shared" si="1"/>
        <v>T4 20mm대공포</v>
      </c>
      <c r="C84" s="37" t="s">
        <v>157</v>
      </c>
      <c r="D84" s="37" t="s">
        <v>244</v>
      </c>
      <c r="E84" s="37" t="s">
        <v>276</v>
      </c>
      <c r="F84" s="29">
        <f>VLOOKUP(C84, Factor!$AD$5:$AE$15, 2, 0)</f>
        <v>4000</v>
      </c>
      <c r="G84" s="29" t="str">
        <f>VLOOKUP(E84, Factor!$CL$5:$CV$50, 2, 0)</f>
        <v>single</v>
      </c>
      <c r="H84" s="29" t="str">
        <f>VLOOKUP(E84, Factor!$CL$5:$CV$50, 3, 0)</f>
        <v>ammo</v>
      </c>
      <c r="I84" s="29" t="str">
        <f>VLOOKUP(E84, Factor!$CL$5:$CV$50, 4, 0)</f>
        <v>F</v>
      </c>
      <c r="J84" s="29" t="str">
        <f>VLOOKUP(E84, Factor!$CL$5:$CV$50, 5, 0)</f>
        <v>spread</v>
      </c>
      <c r="K84" s="29">
        <v>1</v>
      </c>
      <c r="L84" s="29">
        <f>VLOOKUP(E84, Factor!$CL$5:$CV$50, 6, 0)*K84*VLOOKUP(D84, Factor!$BZ$5:$CJ$49, 9, 0)</f>
        <v>0</v>
      </c>
      <c r="M84" s="29" t="str">
        <f>VLOOKUP(E84, Factor!$CL$5:$CV$50, 7, 0)</f>
        <v>null</v>
      </c>
      <c r="N84" s="29">
        <v>1</v>
      </c>
      <c r="O84" s="29">
        <f>VLOOKUP(E84, Factor!$CL$5:$CV$50, 8, 0)*N84*VLOOKUP(D84, Factor!$BZ$5:$CJ$49, 10, 0)</f>
        <v>0</v>
      </c>
      <c r="P84" s="29">
        <v>1</v>
      </c>
      <c r="Q84" s="29">
        <f>VLOOKUP(E84, Factor!$CL$5:$CV$50, 9, 0)*P84*VLOOKUP(D84, Factor!$BZ$5:$CJ$49, 11, 0)</f>
        <v>5</v>
      </c>
      <c r="R84" s="29" t="str">
        <f>VLOOKUP(E84, Factor!$CL$5:$CV$50, 10, 0)</f>
        <v>null</v>
      </c>
      <c r="S84" s="29" t="str">
        <f>VLOOKUP(E84, Factor!$CL$5:$CV$50, 11, 0)</f>
        <v>null</v>
      </c>
      <c r="T84" s="29">
        <v>1</v>
      </c>
      <c r="U84" s="29">
        <v>1</v>
      </c>
      <c r="V84" s="29">
        <v>1</v>
      </c>
      <c r="W84" s="29">
        <v>1</v>
      </c>
      <c r="X84" s="29">
        <v>1</v>
      </c>
      <c r="Y84" s="29">
        <v>1</v>
      </c>
      <c r="Z84" s="29">
        <v>1</v>
      </c>
      <c r="AA84" s="29" cm="1">
        <f t="array" ref="AA84">_xlfn.LET(_xlpm.기본_색인번호, 2,
_xlpm.추가_색인번호, 3,
_xlpm.개별보정치, T84,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84" s="29" cm="1">
        <f t="array" ref="AB84">_xlfn.LET(_xlpm.기본_색인번호, 3,
_xlpm.추가_색인번호, 4,
_xlpm.개별보정치, U84,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4" s="29" cm="1">
        <f t="array" ref="AC84">_xlfn.LET(_xlpm.기본_색인번호, 4,
_xlpm.추가_색인번호, 5,
_xlpm.개별보정치, V84,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4" s="29" cm="1">
        <f t="array" ref="AD84">_xlfn.LET(_xlpm.기본_색인번호, 5,
_xlpm.추가_색인번호, 6,
_xlpm.개별보정치, W84,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84" s="29" cm="1">
        <f t="array" ref="AE84">_xlfn.LET(_xlpm.기본_색인번호, 6,
_xlpm.추가_색인번호, 7,
_xlpm.개별보정치, X84,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84" s="29" cm="1">
        <f t="array" ref="AF84">_xlfn.LET(_xlpm.기본_색인번호, 7,
_xlpm.추가_색인번호, 8,
_xlpm.개별보정치, Y84,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4" s="30" cm="1">
        <f t="array" ref="AG84">_xlfn.LET(_xlpm.기본_색인번호, 8,
_xlpm.추가_색인번호, 9,
_xlpm.개별보정치, Z84,
_xlpm.패턴보정치, VLOOKUP($G84, Factor!$B$5:$I$51, _xlpm.기본_색인번호, 0),
_xlpm.소모탄환보정치, VLOOKUP($H84, Factor!$T$5:$AA$51, _xlpm.기본_색인번호, 0),
_xlpm.지형보정치, VLOOKUP($I84, Factor!$K$12:$R$13, _xlpm.기본_색인번호, 0),
_xlpm.공격속성보정치, VLOOKUP($J84, Factor!$K$5:$R$7, _xlpm.기본_색인번호, 0),
_xlpm.피해범위보정치, INDEX(Factor!$AN$5:$AV$51, _xlfn.XMATCH(IF(OR($G84="blast", $G84="curved",  $G84= "debuff"), $L84, 0), Factor!$AN$5:$AN$51, -1), _xlpm.추가_색인번호)-IF(AND(OR($G84="blast", $G84="curved", $G84= "debuff"), MOD($L84,1)&lt;&gt;0),INDEX(Factor!$AN$5:$AV$51, _xlfn.XMATCH(IF(OR($G84="blast", $G84="curved", $G84= "debuff"), $L84, 0), Factor!$AN$5:$AN$51, -1), 2)*MOD($L84,1)*10,0),
_xlpm.상태이상보정치, VLOOKUP(IF($G84 = "debuff", $M84, "null"), Factor!$AX$5:$BE$51, _xlpm.기본_색인번호, 0),
_xlpm.지속시간보정치, INDEX(Factor!$BG$5:$BO$51, _xlfn.XMATCH(IF(OR($G84 ="debuff", $G84 = "shot", $G84 = "pierce"), $O84, 0), Factor!$BG$5:$BG$51, -1), _xlpm.추가_색인번호)-IF(AND(OR($G84 ="debuff", $G84 = "shot", $G84 = "pierce"), MOD($O84, 1)&lt;&gt;0), 10*MOD($O84, 1)*INDEX(Factor!$BG$5:$BO$51, _xlfn.XMATCH(IF(OR($G84 ="debuff", $G84 = "shot", $G84 = "pierce"), $O84, 0), Factor!$BG$5:$BG$51, -1), 2), 0),
_xlpm.탄환개수보정치, VLOOKUP(IF(OR($G84 = "curved", $G84 = "shot"), $Q84, 1), Factor!$BQ$5:$BX$51, _xlpm.기본_색인번호, 0),
_xlpm.상태이상탄환생성위치보정치, IF($G84 = "debuff", VLOOKUP($R84, Factor!$K$18:$R$19, _xlpm.기본_색인번호, 0),1),
_xlpm.상태이상탄환형태보정치, IF($G84 = "debuff", VLOOKUP($S84, Factor!$K$24:$R$25, _xlpm.기본_색인번호, 0),1),
_xlpm.가격보정치, INDEX(Factor!$AE$5:$AL$51, _xlfn.XMATCH($F84,Factor!$AE$5:$AE$51, -1), _xlpm.기본_색인번호),
_xlpm.구경보정치, VLOOKUP($D84,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85" spans="1:33" ht="15.75" customHeight="1">
      <c r="A85" s="24" t="str">
        <f>"weapon_"&amp;G85&amp;"_"&amp;VLOOKUP(H85, Factor!$T$5:$AB$7, 9, 0)&amp;"_"&amp;IF(COUNTIFS($G$4:G84, G85, $H$4:H84, H85)+1&gt;=100, COUNTIFS($G$4:G84, G85, $H$4:H84, H85)+1,IF(COUNTIFS($G$4:G84, G85, $H$4:H84, H85)+1&gt;=10, "0"&amp;COUNTIFS($G$4:G84, G85, $H$4:H84, H85)+1, "00"&amp;COUNTIFS($G$4:G84, G85, $H$4:H84, H85)+1))</f>
        <v>weapon_single_Am_081</v>
      </c>
      <c r="B85" s="36" t="str">
        <f t="shared" si="1"/>
        <v>T5 대공포</v>
      </c>
      <c r="C85" s="36" t="s">
        <v>158</v>
      </c>
      <c r="D85" s="36" t="s">
        <v>275</v>
      </c>
      <c r="E85" s="36" t="s">
        <v>276</v>
      </c>
      <c r="F85" s="25">
        <f>VLOOKUP(C85, Factor!$AD$5:$AE$15, 2, 0)</f>
        <v>5000</v>
      </c>
      <c r="G85" s="26" t="str">
        <f>VLOOKUP(E85, Factor!$CL$5:$CV$50, 2, 0)</f>
        <v>single</v>
      </c>
      <c r="H85" s="25" t="str">
        <f>VLOOKUP(E85, Factor!$CL$5:$CV$50, 3, 0)</f>
        <v>ammo</v>
      </c>
      <c r="I85" s="25" t="str">
        <f>VLOOKUP(E85, Factor!$CL$5:$CV$50, 4, 0)</f>
        <v>F</v>
      </c>
      <c r="J85" s="25" t="str">
        <f>VLOOKUP(E85, Factor!$CL$5:$CV$50, 5, 0)</f>
        <v>spread</v>
      </c>
      <c r="K85" s="25">
        <v>1</v>
      </c>
      <c r="L85" s="25">
        <f>VLOOKUP(E85, Factor!$CL$5:$CV$50, 6, 0)*K85*VLOOKUP(D85, Factor!$BZ$5:$CJ$49, 9, 0)</f>
        <v>0</v>
      </c>
      <c r="M85" s="25" t="str">
        <f>VLOOKUP(E85, Factor!$CL$5:$CV$50, 7, 0)</f>
        <v>null</v>
      </c>
      <c r="N85" s="25">
        <v>1</v>
      </c>
      <c r="O85" s="25">
        <f>VLOOKUP(E85, Factor!$CL$5:$CV$50, 8, 0)*N85*VLOOKUP(D85, Factor!$BZ$5:$CJ$49, 10, 0)</f>
        <v>0</v>
      </c>
      <c r="P85" s="25">
        <v>1</v>
      </c>
      <c r="Q85" s="25">
        <f>VLOOKUP(E85, Factor!$CL$5:$CV$50, 9, 0)*P85*VLOOKUP(D85, Factor!$BZ$5:$CJ$49, 11, 0)</f>
        <v>1</v>
      </c>
      <c r="R85" s="25" t="str">
        <f>VLOOKUP(E85, Factor!$CL$5:$CV$50, 10, 0)</f>
        <v>null</v>
      </c>
      <c r="S85" s="25" t="str">
        <f>VLOOKUP(E85, Factor!$CL$5:$CV$50, 11, 0)</f>
        <v>null</v>
      </c>
      <c r="T85" s="25">
        <v>1</v>
      </c>
      <c r="U85" s="25">
        <v>1</v>
      </c>
      <c r="V85" s="25">
        <v>1</v>
      </c>
      <c r="W85" s="25">
        <v>1</v>
      </c>
      <c r="X85" s="25">
        <v>1</v>
      </c>
      <c r="Y85" s="25">
        <v>1</v>
      </c>
      <c r="Z85" s="25">
        <v>1</v>
      </c>
      <c r="AA85" s="25" cm="1">
        <f t="array" ref="AA85">_xlfn.LET(_xlpm.기본_색인번호, 2,
_xlpm.추가_색인번호, 3,
_xlpm.개별보정치, T85,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85" s="25" cm="1">
        <f t="array" ref="AB85">_xlfn.LET(_xlpm.기본_색인번호, 3,
_xlpm.추가_색인번호, 4,
_xlpm.개별보정치, U85,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5" s="25" cm="1">
        <f t="array" ref="AC85">_xlfn.LET(_xlpm.기본_색인번호, 4,
_xlpm.추가_색인번호, 5,
_xlpm.개별보정치, V85,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5" s="25" cm="1">
        <f t="array" ref="AD85">_xlfn.LET(_xlpm.기본_색인번호, 5,
_xlpm.추가_색인번호, 6,
_xlpm.개별보정치, W85,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E85" s="25" cm="1">
        <f t="array" ref="AE85">_xlfn.LET(_xlpm.기본_색인번호, 6,
_xlpm.추가_색인번호, 7,
_xlpm.개별보정치, X85,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F85" s="25" cm="1">
        <f t="array" ref="AF85">_xlfn.LET(_xlpm.기본_색인번호, 7,
_xlpm.추가_색인번호, 8,
_xlpm.개별보정치, Y85,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5" s="27" cm="1">
        <f t="array" ref="AG85">_xlfn.LET(_xlpm.기본_색인번호, 8,
_xlpm.추가_색인번호, 9,
_xlpm.개별보정치, Z85,
_xlpm.패턴보정치, VLOOKUP($G85, Factor!$B$5:$I$51, _xlpm.기본_색인번호, 0),
_xlpm.소모탄환보정치, VLOOKUP($H85, Factor!$T$5:$AA$51, _xlpm.기본_색인번호, 0),
_xlpm.지형보정치, VLOOKUP($I85, Factor!$K$12:$R$13, _xlpm.기본_색인번호, 0),
_xlpm.공격속성보정치, VLOOKUP($J85, Factor!$K$5:$R$7, _xlpm.기본_색인번호, 0),
_xlpm.피해범위보정치, INDEX(Factor!$AN$5:$AV$51, _xlfn.XMATCH(IF(OR($G85="blast", $G85="curved",  $G85= "debuff"), $L85, 0), Factor!$AN$5:$AN$51, -1), _xlpm.추가_색인번호)-IF(AND(OR($G85="blast", $G85="curved", $G85= "debuff"), MOD($L85,1)&lt;&gt;0),INDEX(Factor!$AN$5:$AV$51, _xlfn.XMATCH(IF(OR($G85="blast", $G85="curved", $G85= "debuff"), $L85, 0), Factor!$AN$5:$AN$51, -1), 2)*MOD($L85,1)*10,0),
_xlpm.상태이상보정치, VLOOKUP(IF($G85 = "debuff", $M85, "null"), Factor!$AX$5:$BE$51, _xlpm.기본_색인번호, 0),
_xlpm.지속시간보정치, INDEX(Factor!$BG$5:$BO$51, _xlfn.XMATCH(IF(OR($G85 ="debuff", $G85 = "shot", $G85 = "pierce"), $O85, 0), Factor!$BG$5:$BG$51, -1), _xlpm.추가_색인번호)-IF(AND(OR($G85 ="debuff", $G85 = "shot", $G85 = "pierce"), MOD($O85, 1)&lt;&gt;0), 10*MOD($O85, 1)*INDEX(Factor!$BG$5:$BO$51, _xlfn.XMATCH(IF(OR($G85 ="debuff", $G85 = "shot", $G85 = "pierce"), $O85, 0), Factor!$BG$5:$BG$51, -1), 2), 0),
_xlpm.탄환개수보정치, VLOOKUP(IF(OR($G85 = "curved", $G85 = "shot"), $Q85, 1), Factor!$BQ$5:$BX$51, _xlpm.기본_색인번호, 0),
_xlpm.상태이상탄환생성위치보정치, IF($G85 = "debuff", VLOOKUP($R85, Factor!$K$18:$R$19, _xlpm.기본_색인번호, 0),1),
_xlpm.상태이상탄환형태보정치, IF($G85 = "debuff", VLOOKUP($S85, Factor!$K$24:$R$25, _xlpm.기본_색인번호, 0),1),
_xlpm.가격보정치, INDEX(Factor!$AE$5:$AL$51, _xlfn.XMATCH($F85,Factor!$AE$5:$AE$51, -1), _xlpm.기본_색인번호),
_xlpm.구경보정치, VLOOKUP($D85,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</row>
    <row r="86" spans="1:33" ht="15.75" customHeight="1">
      <c r="A86" s="28" t="str">
        <f>"weapon_"&amp;G86&amp;"_"&amp;VLOOKUP(H86, Factor!$T$5:$AB$7, 9, 0)&amp;"_"&amp;IF(COUNTIFS($G$4:G85, G86, $H$4:H85, H86)+1&gt;=100, COUNTIFS($G$4:G85, G86, $H$4:H85, H86)+1,IF(COUNTIFS($G$4:G85, G86, $H$4:H85, H86)+1&gt;=10, "0"&amp;COUNTIFS($G$4:G85, G86, $H$4:H85, H86)+1, "00"&amp;COUNTIFS($G$4:G85, G86, $H$4:H85, H86)+1))</f>
        <v>weapon_single_Am_082</v>
      </c>
      <c r="B86" s="37" t="str">
        <f t="shared" si="1"/>
        <v>T5 5.56mm대공포</v>
      </c>
      <c r="C86" s="37" t="s">
        <v>158</v>
      </c>
      <c r="D86" s="37" t="s">
        <v>241</v>
      </c>
      <c r="E86" s="37" t="s">
        <v>276</v>
      </c>
      <c r="F86" s="29">
        <f>VLOOKUP(C86, Factor!$AD$5:$AE$15, 2, 0)</f>
        <v>5000</v>
      </c>
      <c r="G86" s="29" t="str">
        <f>VLOOKUP(E86, Factor!$CL$5:$CV$50, 2, 0)</f>
        <v>single</v>
      </c>
      <c r="H86" s="29" t="str">
        <f>VLOOKUP(E86, Factor!$CL$5:$CV$50, 3, 0)</f>
        <v>ammo</v>
      </c>
      <c r="I86" s="29" t="str">
        <f>VLOOKUP(E86, Factor!$CL$5:$CV$50, 4, 0)</f>
        <v>F</v>
      </c>
      <c r="J86" s="29" t="str">
        <f>VLOOKUP(E86, Factor!$CL$5:$CV$50, 5, 0)</f>
        <v>spread</v>
      </c>
      <c r="K86" s="29">
        <v>1</v>
      </c>
      <c r="L86" s="29">
        <f>VLOOKUP(E86, Factor!$CL$5:$CV$50, 6, 0)*K86*VLOOKUP(D86, Factor!$BZ$5:$CJ$49, 9, 0)</f>
        <v>0</v>
      </c>
      <c r="M86" s="29" t="str">
        <f>VLOOKUP(E86, Factor!$CL$5:$CV$50, 7, 0)</f>
        <v>null</v>
      </c>
      <c r="N86" s="29">
        <v>1</v>
      </c>
      <c r="O86" s="29">
        <f>VLOOKUP(E86, Factor!$CL$5:$CV$50, 8, 0)*N86*VLOOKUP(D86, Factor!$BZ$5:$CJ$49, 10, 0)</f>
        <v>0</v>
      </c>
      <c r="P86" s="29">
        <v>1</v>
      </c>
      <c r="Q86" s="29">
        <f>VLOOKUP(E86, Factor!$CL$5:$CV$50, 9, 0)*P86*VLOOKUP(D86, Factor!$BZ$5:$CJ$49, 11, 0)</f>
        <v>2</v>
      </c>
      <c r="R86" s="29" t="str">
        <f>VLOOKUP(E86, Factor!$CL$5:$CV$50, 10, 0)</f>
        <v>null</v>
      </c>
      <c r="S86" s="29" t="str">
        <f>VLOOKUP(E86, Factor!$CL$5:$CV$50, 11, 0)</f>
        <v>null</v>
      </c>
      <c r="T86" s="29">
        <v>1</v>
      </c>
      <c r="U86" s="29">
        <v>1</v>
      </c>
      <c r="V86" s="29">
        <v>1</v>
      </c>
      <c r="W86" s="29">
        <v>1</v>
      </c>
      <c r="X86" s="29">
        <v>1</v>
      </c>
      <c r="Y86" s="29">
        <v>1</v>
      </c>
      <c r="Z86" s="29">
        <v>1</v>
      </c>
      <c r="AA86" s="29" cm="1">
        <f t="array" ref="AA86">_xlfn.LET(_xlpm.기본_색인번호, 2,
_xlpm.추가_색인번호, 3,
_xlpm.개별보정치, T86,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86" s="29" cm="1">
        <f t="array" ref="AB86">_xlfn.LET(_xlpm.기본_색인번호, 3,
_xlpm.추가_색인번호, 4,
_xlpm.개별보정치, U86,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6" s="29" cm="1">
        <f t="array" ref="AC86">_xlfn.LET(_xlpm.기본_색인번호, 4,
_xlpm.추가_색인번호, 5,
_xlpm.개별보정치, V86,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6" s="29" cm="1">
        <f t="array" ref="AD86">_xlfn.LET(_xlpm.기본_색인번호, 5,
_xlpm.추가_색인번호, 6,
_xlpm.개별보정치, W86,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E86" s="29" cm="1">
        <f t="array" ref="AE86">_xlfn.LET(_xlpm.기본_색인번호, 6,
_xlpm.추가_색인번호, 7,
_xlpm.개별보정치, X86,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F86" s="29" cm="1">
        <f t="array" ref="AF86">_xlfn.LET(_xlpm.기본_색인번호, 7,
_xlpm.추가_색인번호, 8,
_xlpm.개별보정치, Y86,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6" s="30" cm="1">
        <f t="array" ref="AG86">_xlfn.LET(_xlpm.기본_색인번호, 8,
_xlpm.추가_색인번호, 9,
_xlpm.개별보정치, Z86,
_xlpm.패턴보정치, VLOOKUP($G86, Factor!$B$5:$I$51, _xlpm.기본_색인번호, 0),
_xlpm.소모탄환보정치, VLOOKUP($H86, Factor!$T$5:$AA$51, _xlpm.기본_색인번호, 0),
_xlpm.지형보정치, VLOOKUP($I86, Factor!$K$12:$R$13, _xlpm.기본_색인번호, 0),
_xlpm.공격속성보정치, VLOOKUP($J86, Factor!$K$5:$R$7, _xlpm.기본_색인번호, 0),
_xlpm.피해범위보정치, INDEX(Factor!$AN$5:$AV$51, _xlfn.XMATCH(IF(OR($G86="blast", $G86="curved",  $G86= "debuff"), $L86, 0), Factor!$AN$5:$AN$51, -1), _xlpm.추가_색인번호)-IF(AND(OR($G86="blast", $G86="curved", $G86= "debuff"), MOD($L86,1)&lt;&gt;0),INDEX(Factor!$AN$5:$AV$51, _xlfn.XMATCH(IF(OR($G86="blast", $G86="curved", $G86= "debuff"), $L86, 0), Factor!$AN$5:$AN$51, -1), 2)*MOD($L86,1)*10,0),
_xlpm.상태이상보정치, VLOOKUP(IF($G86 = "debuff", $M86, "null"), Factor!$AX$5:$BE$51, _xlpm.기본_색인번호, 0),
_xlpm.지속시간보정치, INDEX(Factor!$BG$5:$BO$51, _xlfn.XMATCH(IF(OR($G86 ="debuff", $G86 = "shot", $G86 = "pierce"), $O86, 0), Factor!$BG$5:$BG$51, -1), _xlpm.추가_색인번호)-IF(AND(OR($G86 ="debuff", $G86 = "shot", $G86 = "pierce"), MOD($O86, 1)&lt;&gt;0), 10*MOD($O86, 1)*INDEX(Factor!$BG$5:$BO$51, _xlfn.XMATCH(IF(OR($G86 ="debuff", $G86 = "shot", $G86 = "pierce"), $O86, 0), Factor!$BG$5:$BG$51, -1), 2), 0),
_xlpm.탄환개수보정치, VLOOKUP(IF(OR($G86 = "curved", $G86 = "shot"), $Q86, 1), Factor!$BQ$5:$BX$51, _xlpm.기본_색인번호, 0),
_xlpm.상태이상탄환생성위치보정치, IF($G86 = "debuff", VLOOKUP($R86, Factor!$K$18:$R$19, _xlpm.기본_색인번호, 0),1),
_xlpm.상태이상탄환형태보정치, IF($G86 = "debuff", VLOOKUP($S86, Factor!$K$24:$R$25, _xlpm.기본_색인번호, 0),1),
_xlpm.가격보정치, INDEX(Factor!$AE$5:$AL$51, _xlfn.XMATCH($F86,Factor!$AE$5:$AE$51, -1), _xlpm.기본_색인번호),
_xlpm.구경보정치, VLOOKUP($D86,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</row>
    <row r="87" spans="1:33" ht="15.75" customHeight="1">
      <c r="A87" s="24" t="str">
        <f>"weapon_"&amp;G87&amp;"_"&amp;VLOOKUP(H87, Factor!$T$5:$AB$7, 9, 0)&amp;"_"&amp;IF(COUNTIFS($G$4:G86, G87, $H$4:H86, H87)+1&gt;=100, COUNTIFS($G$4:G86, G87, $H$4:H86, H87)+1,IF(COUNTIFS($G$4:G86, G87, $H$4:H86, H87)+1&gt;=10, "0"&amp;COUNTIFS($G$4:G86, G87, $H$4:H86, H87)+1, "00"&amp;COUNTIFS($G$4:G86, G87, $H$4:H86, H87)+1))</f>
        <v>weapon_single_Am_083</v>
      </c>
      <c r="B87" s="36" t="str">
        <f t="shared" si="1"/>
        <v>T5 7.62mm대공포</v>
      </c>
      <c r="C87" s="36" t="s">
        <v>158</v>
      </c>
      <c r="D87" s="36" t="s">
        <v>242</v>
      </c>
      <c r="E87" s="36" t="s">
        <v>276</v>
      </c>
      <c r="F87" s="25">
        <f>VLOOKUP(C87, Factor!$AD$5:$AE$15, 2, 0)</f>
        <v>5000</v>
      </c>
      <c r="G87" s="26" t="str">
        <f>VLOOKUP(E87, Factor!$CL$5:$CV$50, 2, 0)</f>
        <v>single</v>
      </c>
      <c r="H87" s="25" t="str">
        <f>VLOOKUP(E87, Factor!$CL$5:$CV$50, 3, 0)</f>
        <v>ammo</v>
      </c>
      <c r="I87" s="25" t="str">
        <f>VLOOKUP(E87, Factor!$CL$5:$CV$50, 4, 0)</f>
        <v>F</v>
      </c>
      <c r="J87" s="25" t="str">
        <f>VLOOKUP(E87, Factor!$CL$5:$CV$50, 5, 0)</f>
        <v>spread</v>
      </c>
      <c r="K87" s="25">
        <v>1</v>
      </c>
      <c r="L87" s="25">
        <f>VLOOKUP(E87, Factor!$CL$5:$CV$50, 6, 0)*K87*VLOOKUP(D87, Factor!$BZ$5:$CJ$49, 9, 0)</f>
        <v>0</v>
      </c>
      <c r="M87" s="25" t="str">
        <f>VLOOKUP(E87, Factor!$CL$5:$CV$50, 7, 0)</f>
        <v>null</v>
      </c>
      <c r="N87" s="25">
        <v>1</v>
      </c>
      <c r="O87" s="25">
        <f>VLOOKUP(E87, Factor!$CL$5:$CV$50, 8, 0)*N87*VLOOKUP(D87, Factor!$BZ$5:$CJ$49, 10, 0)</f>
        <v>0</v>
      </c>
      <c r="P87" s="25">
        <v>1</v>
      </c>
      <c r="Q87" s="25">
        <f>VLOOKUP(E87, Factor!$CL$5:$CV$50, 9, 0)*P87*VLOOKUP(D87, Factor!$BZ$5:$CJ$49, 11, 0)</f>
        <v>3</v>
      </c>
      <c r="R87" s="25" t="str">
        <f>VLOOKUP(E87, Factor!$CL$5:$CV$50, 10, 0)</f>
        <v>null</v>
      </c>
      <c r="S87" s="25" t="str">
        <f>VLOOKUP(E87, Factor!$CL$5:$CV$50, 11, 0)</f>
        <v>null</v>
      </c>
      <c r="T87" s="25">
        <v>1</v>
      </c>
      <c r="U87" s="25">
        <v>1</v>
      </c>
      <c r="V87" s="25">
        <v>1</v>
      </c>
      <c r="W87" s="25">
        <v>1</v>
      </c>
      <c r="X87" s="25">
        <v>1</v>
      </c>
      <c r="Y87" s="25">
        <v>1</v>
      </c>
      <c r="Z87" s="25">
        <v>1</v>
      </c>
      <c r="AA87" s="25" cm="1">
        <f t="array" ref="AA87">_xlfn.LET(_xlpm.기본_색인번호, 2,
_xlpm.추가_색인번호, 3,
_xlpm.개별보정치, T87,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87" s="25" cm="1">
        <f t="array" ref="AB87">_xlfn.LET(_xlpm.기본_색인번호, 3,
_xlpm.추가_색인번호, 4,
_xlpm.개별보정치, U87,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7" s="25" cm="1">
        <f t="array" ref="AC87">_xlfn.LET(_xlpm.기본_색인번호, 4,
_xlpm.추가_색인번호, 5,
_xlpm.개별보정치, V87,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7" s="25" cm="1">
        <f t="array" ref="AD87">_xlfn.LET(_xlpm.기본_색인번호, 5,
_xlpm.추가_색인번호, 6,
_xlpm.개별보정치, W87,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E87" s="25" cm="1">
        <f t="array" ref="AE87">_xlfn.LET(_xlpm.기본_색인번호, 6,
_xlpm.추가_색인번호, 7,
_xlpm.개별보정치, X87,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F87" s="25" cm="1">
        <f t="array" ref="AF87">_xlfn.LET(_xlpm.기본_색인번호, 7,
_xlpm.추가_색인번호, 8,
_xlpm.개별보정치, Y87,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7" s="27" cm="1">
        <f t="array" ref="AG87">_xlfn.LET(_xlpm.기본_색인번호, 8,
_xlpm.추가_색인번호, 9,
_xlpm.개별보정치, Z87,
_xlpm.패턴보정치, VLOOKUP($G87, Factor!$B$5:$I$51, _xlpm.기본_색인번호, 0),
_xlpm.소모탄환보정치, VLOOKUP($H87, Factor!$T$5:$AA$51, _xlpm.기본_색인번호, 0),
_xlpm.지형보정치, VLOOKUP($I87, Factor!$K$12:$R$13, _xlpm.기본_색인번호, 0),
_xlpm.공격속성보정치, VLOOKUP($J87, Factor!$K$5:$R$7, _xlpm.기본_색인번호, 0),
_xlpm.피해범위보정치, INDEX(Factor!$AN$5:$AV$51, _xlfn.XMATCH(IF(OR($G87="blast", $G87="curved",  $G87= "debuff"), $L87, 0), Factor!$AN$5:$AN$51, -1), _xlpm.추가_색인번호)-IF(AND(OR($G87="blast", $G87="curved", $G87= "debuff"), MOD($L87,1)&lt;&gt;0),INDEX(Factor!$AN$5:$AV$51, _xlfn.XMATCH(IF(OR($G87="blast", $G87="curved", $G87= "debuff"), $L87, 0), Factor!$AN$5:$AN$51, -1), 2)*MOD($L87,1)*10,0),
_xlpm.상태이상보정치, VLOOKUP(IF($G87 = "debuff", $M87, "null"), Factor!$AX$5:$BE$51, _xlpm.기본_색인번호, 0),
_xlpm.지속시간보정치, INDEX(Factor!$BG$5:$BO$51, _xlfn.XMATCH(IF(OR($G87 ="debuff", $G87 = "shot", $G87 = "pierce"), $O87, 0), Factor!$BG$5:$BG$51, -1), _xlpm.추가_색인번호)-IF(AND(OR($G87 ="debuff", $G87 = "shot", $G87 = "pierce"), MOD($O87, 1)&lt;&gt;0), 10*MOD($O87, 1)*INDEX(Factor!$BG$5:$BO$51, _xlfn.XMATCH(IF(OR($G87 ="debuff", $G87 = "shot", $G87 = "pierce"), $O87, 0), Factor!$BG$5:$BG$51, -1), 2), 0),
_xlpm.탄환개수보정치, VLOOKUP(IF(OR($G87 = "curved", $G87 = "shot"), $Q87, 1), Factor!$BQ$5:$BX$51, _xlpm.기본_색인번호, 0),
_xlpm.상태이상탄환생성위치보정치, IF($G87 = "debuff", VLOOKUP($R87, Factor!$K$18:$R$19, _xlpm.기본_색인번호, 0),1),
_xlpm.상태이상탄환형태보정치, IF($G87 = "debuff", VLOOKUP($S87, Factor!$K$24:$R$25, _xlpm.기본_색인번호, 0),1),
_xlpm.가격보정치, INDEX(Factor!$AE$5:$AL$51, _xlfn.XMATCH($F87,Factor!$AE$5:$AE$51, -1), _xlpm.기본_색인번호),
_xlpm.구경보정치, VLOOKUP($D87,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</row>
    <row r="88" spans="1:33" ht="15.75" customHeight="1">
      <c r="A88" s="28" t="str">
        <f>"weapon_"&amp;G88&amp;"_"&amp;VLOOKUP(H88, Factor!$T$5:$AB$7, 9, 0)&amp;"_"&amp;IF(COUNTIFS($G$4:G87, G88, $H$4:H87, H88)+1&gt;=100, COUNTIFS($G$4:G87, G88, $H$4:H87, H88)+1,IF(COUNTIFS($G$4:G87, G88, $H$4:H87, H88)+1&gt;=10, "0"&amp;COUNTIFS($G$4:G87, G88, $H$4:H87, H88)+1, "00"&amp;COUNTIFS($G$4:G87, G88, $H$4:H87, H88)+1))</f>
        <v>weapon_single_Am_084</v>
      </c>
      <c r="B88" s="37" t="str">
        <f t="shared" si="1"/>
        <v>T5 12.7mm대공포</v>
      </c>
      <c r="C88" s="37" t="s">
        <v>158</v>
      </c>
      <c r="D88" s="37" t="s">
        <v>243</v>
      </c>
      <c r="E88" s="37" t="s">
        <v>276</v>
      </c>
      <c r="F88" s="29">
        <f>VLOOKUP(C88, Factor!$AD$5:$AE$15, 2, 0)</f>
        <v>5000</v>
      </c>
      <c r="G88" s="29" t="str">
        <f>VLOOKUP(E88, Factor!$CL$5:$CV$50, 2, 0)</f>
        <v>single</v>
      </c>
      <c r="H88" s="29" t="str">
        <f>VLOOKUP(E88, Factor!$CL$5:$CV$50, 3, 0)</f>
        <v>ammo</v>
      </c>
      <c r="I88" s="29" t="str">
        <f>VLOOKUP(E88, Factor!$CL$5:$CV$50, 4, 0)</f>
        <v>F</v>
      </c>
      <c r="J88" s="29" t="str">
        <f>VLOOKUP(E88, Factor!$CL$5:$CV$50, 5, 0)</f>
        <v>spread</v>
      </c>
      <c r="K88" s="29">
        <v>1</v>
      </c>
      <c r="L88" s="29">
        <f>VLOOKUP(E88, Factor!$CL$5:$CV$50, 6, 0)*K88*VLOOKUP(D88, Factor!$BZ$5:$CJ$49, 9, 0)</f>
        <v>0</v>
      </c>
      <c r="M88" s="29" t="str">
        <f>VLOOKUP(E88, Factor!$CL$5:$CV$50, 7, 0)</f>
        <v>null</v>
      </c>
      <c r="N88" s="29">
        <v>1</v>
      </c>
      <c r="O88" s="29">
        <f>VLOOKUP(E88, Factor!$CL$5:$CV$50, 8, 0)*N88*VLOOKUP(D88, Factor!$BZ$5:$CJ$49, 10, 0)</f>
        <v>0</v>
      </c>
      <c r="P88" s="29">
        <v>1</v>
      </c>
      <c r="Q88" s="29">
        <f>VLOOKUP(E88, Factor!$CL$5:$CV$50, 9, 0)*P88*VLOOKUP(D88, Factor!$BZ$5:$CJ$49, 11, 0)</f>
        <v>4</v>
      </c>
      <c r="R88" s="29" t="str">
        <f>VLOOKUP(E88, Factor!$CL$5:$CV$50, 10, 0)</f>
        <v>null</v>
      </c>
      <c r="S88" s="29" t="str">
        <f>VLOOKUP(E88, Factor!$CL$5:$CV$50, 11, 0)</f>
        <v>null</v>
      </c>
      <c r="T88" s="29">
        <v>1</v>
      </c>
      <c r="U88" s="29">
        <v>1</v>
      </c>
      <c r="V88" s="29">
        <v>1</v>
      </c>
      <c r="W88" s="29">
        <v>1</v>
      </c>
      <c r="X88" s="29">
        <v>1</v>
      </c>
      <c r="Y88" s="29">
        <v>1</v>
      </c>
      <c r="Z88" s="29">
        <v>1</v>
      </c>
      <c r="AA88" s="29" cm="1">
        <f t="array" ref="AA88">_xlfn.LET(_xlpm.기본_색인번호, 2,
_xlpm.추가_색인번호, 3,
_xlpm.개별보정치, T88,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88" s="29" cm="1">
        <f t="array" ref="AB88">_xlfn.LET(_xlpm.기본_색인번호, 3,
_xlpm.추가_색인번호, 4,
_xlpm.개별보정치, U88,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8" s="29" cm="1">
        <f t="array" ref="AC88">_xlfn.LET(_xlpm.기본_색인번호, 4,
_xlpm.추가_색인번호, 5,
_xlpm.개별보정치, V88,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8" s="29" cm="1">
        <f t="array" ref="AD88">_xlfn.LET(_xlpm.기본_색인번호, 5,
_xlpm.추가_색인번호, 6,
_xlpm.개별보정치, W88,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E88" s="29" cm="1">
        <f t="array" ref="AE88">_xlfn.LET(_xlpm.기본_색인번호, 6,
_xlpm.추가_색인번호, 7,
_xlpm.개별보정치, X88,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F88" s="29" cm="1">
        <f t="array" ref="AF88">_xlfn.LET(_xlpm.기본_색인번호, 7,
_xlpm.추가_색인번호, 8,
_xlpm.개별보정치, Y88,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8" s="30" cm="1">
        <f t="array" ref="AG88">_xlfn.LET(_xlpm.기본_색인번호, 8,
_xlpm.추가_색인번호, 9,
_xlpm.개별보정치, Z88,
_xlpm.패턴보정치, VLOOKUP($G88, Factor!$B$5:$I$51, _xlpm.기본_색인번호, 0),
_xlpm.소모탄환보정치, VLOOKUP($H88, Factor!$T$5:$AA$51, _xlpm.기본_색인번호, 0),
_xlpm.지형보정치, VLOOKUP($I88, Factor!$K$12:$R$13, _xlpm.기본_색인번호, 0),
_xlpm.공격속성보정치, VLOOKUP($J88, Factor!$K$5:$R$7, _xlpm.기본_색인번호, 0),
_xlpm.피해범위보정치, INDEX(Factor!$AN$5:$AV$51, _xlfn.XMATCH(IF(OR($G88="blast", $G88="curved",  $G88= "debuff"), $L88, 0), Factor!$AN$5:$AN$51, -1), _xlpm.추가_색인번호)-IF(AND(OR($G88="blast", $G88="curved", $G88= "debuff"), MOD($L88,1)&lt;&gt;0),INDEX(Factor!$AN$5:$AV$51, _xlfn.XMATCH(IF(OR($G88="blast", $G88="curved", $G88= "debuff"), $L88, 0), Factor!$AN$5:$AN$51, -1), 2)*MOD($L88,1)*10,0),
_xlpm.상태이상보정치, VLOOKUP(IF($G88 = "debuff", $M88, "null"), Factor!$AX$5:$BE$51, _xlpm.기본_색인번호, 0),
_xlpm.지속시간보정치, INDEX(Factor!$BG$5:$BO$51, _xlfn.XMATCH(IF(OR($G88 ="debuff", $G88 = "shot", $G88 = "pierce"), $O88, 0), Factor!$BG$5:$BG$51, -1), _xlpm.추가_색인번호)-IF(AND(OR($G88 ="debuff", $G88 = "shot", $G88 = "pierce"), MOD($O88, 1)&lt;&gt;0), 10*MOD($O88, 1)*INDEX(Factor!$BG$5:$BO$51, _xlfn.XMATCH(IF(OR($G88 ="debuff", $G88 = "shot", $G88 = "pierce"), $O88, 0), Factor!$BG$5:$BG$51, -1), 2), 0),
_xlpm.탄환개수보정치, VLOOKUP(IF(OR($G88 = "curved", $G88 = "shot"), $Q88, 1), Factor!$BQ$5:$BX$51, _xlpm.기본_색인번호, 0),
_xlpm.상태이상탄환생성위치보정치, IF($G88 = "debuff", VLOOKUP($R88, Factor!$K$18:$R$19, _xlpm.기본_색인번호, 0),1),
_xlpm.상태이상탄환형태보정치, IF($G88 = "debuff", VLOOKUP($S88, Factor!$K$24:$R$25, _xlpm.기본_색인번호, 0),1),
_xlpm.가격보정치, INDEX(Factor!$AE$5:$AL$51, _xlfn.XMATCH($F88,Factor!$AE$5:$AE$51, -1), _xlpm.기본_색인번호),
_xlpm.구경보정치, VLOOKUP($D88,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</row>
    <row r="89" spans="1:33" ht="15.75" customHeight="1">
      <c r="A89" s="24" t="str">
        <f>"weapon_"&amp;G89&amp;"_"&amp;VLOOKUP(H89, Factor!$T$5:$AB$7, 9, 0)&amp;"_"&amp;IF(COUNTIFS($G$4:G88, G89, $H$4:H88, H89)+1&gt;=100, COUNTIFS($G$4:G88, G89, $H$4:H88, H89)+1,IF(COUNTIFS($G$4:G88, G89, $H$4:H88, H89)+1&gt;=10, "0"&amp;COUNTIFS($G$4:G88, G89, $H$4:H88, H89)+1, "00"&amp;COUNTIFS($G$4:G88, G89, $H$4:H88, H89)+1))</f>
        <v>weapon_single_Am_085</v>
      </c>
      <c r="B89" s="36" t="str">
        <f t="shared" si="1"/>
        <v>T5 20mm대공포</v>
      </c>
      <c r="C89" s="36" t="s">
        <v>158</v>
      </c>
      <c r="D89" s="36" t="s">
        <v>244</v>
      </c>
      <c r="E89" s="36" t="s">
        <v>276</v>
      </c>
      <c r="F89" s="25">
        <f>VLOOKUP(C89, Factor!$AD$5:$AE$15, 2, 0)</f>
        <v>5000</v>
      </c>
      <c r="G89" s="26" t="str">
        <f>VLOOKUP(E89, Factor!$CL$5:$CV$50, 2, 0)</f>
        <v>single</v>
      </c>
      <c r="H89" s="25" t="str">
        <f>VLOOKUP(E89, Factor!$CL$5:$CV$50, 3, 0)</f>
        <v>ammo</v>
      </c>
      <c r="I89" s="25" t="str">
        <f>VLOOKUP(E89, Factor!$CL$5:$CV$50, 4, 0)</f>
        <v>F</v>
      </c>
      <c r="J89" s="25" t="str">
        <f>VLOOKUP(E89, Factor!$CL$5:$CV$50, 5, 0)</f>
        <v>spread</v>
      </c>
      <c r="K89" s="25">
        <v>1</v>
      </c>
      <c r="L89" s="25">
        <f>VLOOKUP(E89, Factor!$CL$5:$CV$50, 6, 0)*K89*VLOOKUP(D89, Factor!$BZ$5:$CJ$49, 9, 0)</f>
        <v>0</v>
      </c>
      <c r="M89" s="25" t="str">
        <f>VLOOKUP(E89, Factor!$CL$5:$CV$50, 7, 0)</f>
        <v>null</v>
      </c>
      <c r="N89" s="25">
        <v>1</v>
      </c>
      <c r="O89" s="25">
        <f>VLOOKUP(E89, Factor!$CL$5:$CV$50, 8, 0)*N89*VLOOKUP(D89, Factor!$BZ$5:$CJ$49, 10, 0)</f>
        <v>0</v>
      </c>
      <c r="P89" s="25">
        <v>1</v>
      </c>
      <c r="Q89" s="25">
        <f>VLOOKUP(E89, Factor!$CL$5:$CV$50, 9, 0)*P89*VLOOKUP(D89, Factor!$BZ$5:$CJ$49, 11, 0)</f>
        <v>5</v>
      </c>
      <c r="R89" s="25" t="str">
        <f>VLOOKUP(E89, Factor!$CL$5:$CV$50, 10, 0)</f>
        <v>null</v>
      </c>
      <c r="S89" s="25" t="str">
        <f>VLOOKUP(E89, Factor!$CL$5:$CV$50, 11, 0)</f>
        <v>null</v>
      </c>
      <c r="T89" s="25">
        <v>1</v>
      </c>
      <c r="U89" s="25">
        <v>1</v>
      </c>
      <c r="V89" s="25">
        <v>1</v>
      </c>
      <c r="W89" s="25">
        <v>1</v>
      </c>
      <c r="X89" s="25">
        <v>1</v>
      </c>
      <c r="Y89" s="25">
        <v>1</v>
      </c>
      <c r="Z89" s="25">
        <v>1</v>
      </c>
      <c r="AA89" s="25" cm="1">
        <f t="array" ref="AA89">_xlfn.LET(_xlpm.기본_색인번호, 2,
_xlpm.추가_색인번호, 3,
_xlpm.개별보정치, T89,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89" s="25" cm="1">
        <f t="array" ref="AB89">_xlfn.LET(_xlpm.기본_색인번호, 3,
_xlpm.추가_색인번호, 4,
_xlpm.개별보정치, U89,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C89" s="25" cm="1">
        <f t="array" ref="AC89">_xlfn.LET(_xlpm.기본_색인번호, 4,
_xlpm.추가_색인번호, 5,
_xlpm.개별보정치, V89,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89" s="25" cm="1">
        <f t="array" ref="AD89">_xlfn.LET(_xlpm.기본_색인번호, 5,
_xlpm.추가_색인번호, 6,
_xlpm.개별보정치, W89,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E89" s="25" cm="1">
        <f t="array" ref="AE89">_xlfn.LET(_xlpm.기본_색인번호, 6,
_xlpm.추가_색인번호, 7,
_xlpm.개별보정치, X89,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F89" s="25" cm="1">
        <f t="array" ref="AF89">_xlfn.LET(_xlpm.기본_색인번호, 7,
_xlpm.추가_색인번호, 8,
_xlpm.개별보정치, Y89,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89" s="27" cm="1">
        <f t="array" ref="AG89">_xlfn.LET(_xlpm.기본_색인번호, 8,
_xlpm.추가_색인번호, 9,
_xlpm.개별보정치, Z89,
_xlpm.패턴보정치, VLOOKUP($G89, Factor!$B$5:$I$51, _xlpm.기본_색인번호, 0),
_xlpm.소모탄환보정치, VLOOKUP($H89, Factor!$T$5:$AA$51, _xlpm.기본_색인번호, 0),
_xlpm.지형보정치, VLOOKUP($I89, Factor!$K$12:$R$13, _xlpm.기본_색인번호, 0),
_xlpm.공격속성보정치, VLOOKUP($J89, Factor!$K$5:$R$7, _xlpm.기본_색인번호, 0),
_xlpm.피해범위보정치, INDEX(Factor!$AN$5:$AV$51, _xlfn.XMATCH(IF(OR($G89="blast", $G89="curved",  $G89= "debuff"), $L89, 0), Factor!$AN$5:$AN$51, -1), _xlpm.추가_색인번호)-IF(AND(OR($G89="blast", $G89="curved", $G89= "debuff"), MOD($L89,1)&lt;&gt;0),INDEX(Factor!$AN$5:$AV$51, _xlfn.XMATCH(IF(OR($G89="blast", $G89="curved", $G89= "debuff"), $L89, 0), Factor!$AN$5:$AN$51, -1), 2)*MOD($L89,1)*10,0),
_xlpm.상태이상보정치, VLOOKUP(IF($G89 = "debuff", $M89, "null"), Factor!$AX$5:$BE$51, _xlpm.기본_색인번호, 0),
_xlpm.지속시간보정치, INDEX(Factor!$BG$5:$BO$51, _xlfn.XMATCH(IF(OR($G89 ="debuff", $G89 = "shot", $G89 = "pierce"), $O89, 0), Factor!$BG$5:$BG$51, -1), _xlpm.추가_색인번호)-IF(AND(OR($G89 ="debuff", $G89 = "shot", $G89 = "pierce"), MOD($O89, 1)&lt;&gt;0), 10*MOD($O89, 1)*INDEX(Factor!$BG$5:$BO$51, _xlfn.XMATCH(IF(OR($G89 ="debuff", $G89 = "shot", $G89 = "pierce"), $O89, 0), Factor!$BG$5:$BG$51, -1), 2), 0),
_xlpm.탄환개수보정치, VLOOKUP(IF(OR($G89 = "curved", $G89 = "shot"), $Q89, 1), Factor!$BQ$5:$BX$51, _xlpm.기본_색인번호, 0),
_xlpm.상태이상탄환생성위치보정치, IF($G89 = "debuff", VLOOKUP($R89, Factor!$K$18:$R$19, _xlpm.기본_색인번호, 0),1),
_xlpm.상태이상탄환형태보정치, IF($G89 = "debuff", VLOOKUP($S89, Factor!$K$24:$R$25, _xlpm.기본_색인번호, 0),1),
_xlpm.가격보정치, INDEX(Factor!$AE$5:$AL$51, _xlfn.XMATCH($F89,Factor!$AE$5:$AE$51, -1), _xlpm.기본_색인번호),
_xlpm.구경보정치, VLOOKUP($D89,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</row>
    <row r="90" spans="1:33" ht="15.75" customHeight="1">
      <c r="A90" s="28" t="str">
        <f>"weapon_"&amp;G90&amp;"_"&amp;VLOOKUP(H90, Factor!$T$5:$AB$7, 9, 0)&amp;"_"&amp;IF(COUNTIFS($G$4:G89, G90, $H$4:H89, H90)+1&gt;=100, COUNTIFS($G$4:G89, G90, $H$4:H89, H90)+1,IF(COUNTIFS($G$4:G89, G90, $H$4:H89, H90)+1&gt;=10, "0"&amp;COUNTIFS($G$4:G89, G90, $H$4:H89, H90)+1, "00"&amp;COUNTIFS($G$4:G89, G90, $H$4:H89, H90)+1))</f>
        <v>weapon_single_Am_086</v>
      </c>
      <c r="B90" s="37" t="str">
        <f t="shared" si="1"/>
        <v>T6 대공포</v>
      </c>
      <c r="C90" s="37" t="s">
        <v>159</v>
      </c>
      <c r="D90" s="37" t="s">
        <v>275</v>
      </c>
      <c r="E90" s="37" t="s">
        <v>276</v>
      </c>
      <c r="F90" s="29">
        <f>VLOOKUP(C90, Factor!$AD$5:$AE$15, 2, 0)</f>
        <v>6000</v>
      </c>
      <c r="G90" s="29" t="str">
        <f>VLOOKUP(E90, Factor!$CL$5:$CV$50, 2, 0)</f>
        <v>single</v>
      </c>
      <c r="H90" s="29" t="str">
        <f>VLOOKUP(E90, Factor!$CL$5:$CV$50, 3, 0)</f>
        <v>ammo</v>
      </c>
      <c r="I90" s="29" t="str">
        <f>VLOOKUP(E90, Factor!$CL$5:$CV$50, 4, 0)</f>
        <v>F</v>
      </c>
      <c r="J90" s="29" t="str">
        <f>VLOOKUP(E90, Factor!$CL$5:$CV$50, 5, 0)</f>
        <v>spread</v>
      </c>
      <c r="K90" s="29">
        <v>1</v>
      </c>
      <c r="L90" s="29">
        <f>VLOOKUP(E90, Factor!$CL$5:$CV$50, 6, 0)*K90*VLOOKUP(D90, Factor!$BZ$5:$CJ$49, 9, 0)</f>
        <v>0</v>
      </c>
      <c r="M90" s="29" t="str">
        <f>VLOOKUP(E90, Factor!$CL$5:$CV$50, 7, 0)</f>
        <v>null</v>
      </c>
      <c r="N90" s="29">
        <v>1</v>
      </c>
      <c r="O90" s="29">
        <f>VLOOKUP(E90, Factor!$CL$5:$CV$50, 8, 0)*N90*VLOOKUP(D90, Factor!$BZ$5:$CJ$49, 10, 0)</f>
        <v>0</v>
      </c>
      <c r="P90" s="29">
        <v>1</v>
      </c>
      <c r="Q90" s="29">
        <f>VLOOKUP(E90, Factor!$CL$5:$CV$50, 9, 0)*P90*VLOOKUP(D90, Factor!$BZ$5:$CJ$49, 11, 0)</f>
        <v>1</v>
      </c>
      <c r="R90" s="29" t="str">
        <f>VLOOKUP(E90, Factor!$CL$5:$CV$50, 10, 0)</f>
        <v>null</v>
      </c>
      <c r="S90" s="29" t="str">
        <f>VLOOKUP(E90, Factor!$CL$5:$CV$50, 11, 0)</f>
        <v>null</v>
      </c>
      <c r="T90" s="29">
        <v>1</v>
      </c>
      <c r="U90" s="29">
        <v>1</v>
      </c>
      <c r="V90" s="29">
        <v>1</v>
      </c>
      <c r="W90" s="29">
        <v>1</v>
      </c>
      <c r="X90" s="29">
        <v>1</v>
      </c>
      <c r="Y90" s="29">
        <v>1</v>
      </c>
      <c r="Z90" s="29">
        <v>1</v>
      </c>
      <c r="AA90" s="29" cm="1">
        <f t="array" ref="AA90">_xlfn.LET(_xlpm.기본_색인번호, 2,
_xlpm.추가_색인번호, 3,
_xlpm.개별보정치, T90,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</v>
      </c>
      <c r="AB90" s="29" cm="1">
        <f t="array" ref="AB90">_xlfn.LET(_xlpm.기본_색인번호, 3,
_xlpm.추가_색인번호, 4,
_xlpm.개별보정치, U90,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0" s="29" cm="1">
        <f t="array" ref="AC90">_xlfn.LET(_xlpm.기본_색인번호, 4,
_xlpm.추가_색인번호, 5,
_xlpm.개별보정치, V90,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0" s="29" cm="1">
        <f t="array" ref="AD90">_xlfn.LET(_xlpm.기본_색인번호, 5,
_xlpm.추가_색인번호, 6,
_xlpm.개별보정치, W90,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E90" s="29" cm="1">
        <f t="array" ref="AE90">_xlfn.LET(_xlpm.기본_색인번호, 6,
_xlpm.추가_색인번호, 7,
_xlpm.개별보정치, X90,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F90" s="29" cm="1">
        <f t="array" ref="AF90">_xlfn.LET(_xlpm.기본_색인번호, 7,
_xlpm.추가_색인번호, 8,
_xlpm.개별보정치, Y90,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0" s="30" cm="1">
        <f t="array" ref="AG90">_xlfn.LET(_xlpm.기본_색인번호, 8,
_xlpm.추가_색인번호, 9,
_xlpm.개별보정치, Z90,
_xlpm.패턴보정치, VLOOKUP($G90, Factor!$B$5:$I$51, _xlpm.기본_색인번호, 0),
_xlpm.소모탄환보정치, VLOOKUP($H90, Factor!$T$5:$AA$51, _xlpm.기본_색인번호, 0),
_xlpm.지형보정치, VLOOKUP($I90, Factor!$K$12:$R$13, _xlpm.기본_색인번호, 0),
_xlpm.공격속성보정치, VLOOKUP($J90, Factor!$K$5:$R$7, _xlpm.기본_색인번호, 0),
_xlpm.피해범위보정치, INDEX(Factor!$AN$5:$AV$51, _xlfn.XMATCH(IF(OR($G90="blast", $G90="curved",  $G90= "debuff"), $L90, 0), Factor!$AN$5:$AN$51, -1), _xlpm.추가_색인번호)-IF(AND(OR($G90="blast", $G90="curved", $G90= "debuff"), MOD($L90,1)&lt;&gt;0),INDEX(Factor!$AN$5:$AV$51, _xlfn.XMATCH(IF(OR($G90="blast", $G90="curved", $G90= "debuff"), $L90, 0), Factor!$AN$5:$AN$51, -1), 2)*MOD($L90,1)*10,0),
_xlpm.상태이상보정치, VLOOKUP(IF($G90 = "debuff", $M90, "null"), Factor!$AX$5:$BE$51, _xlpm.기본_색인번호, 0),
_xlpm.지속시간보정치, INDEX(Factor!$BG$5:$BO$51, _xlfn.XMATCH(IF(OR($G90 ="debuff", $G90 = "shot", $G90 = "pierce"), $O90, 0), Factor!$BG$5:$BG$51, -1), _xlpm.추가_색인번호)-IF(AND(OR($G90 ="debuff", $G90 = "shot", $G90 = "pierce"), MOD($O90, 1)&lt;&gt;0), 10*MOD($O90, 1)*INDEX(Factor!$BG$5:$BO$51, _xlfn.XMATCH(IF(OR($G90 ="debuff", $G90 = "shot", $G90 = "pierce"), $O90, 0), Factor!$BG$5:$BG$51, -1), 2), 0),
_xlpm.탄환개수보정치, VLOOKUP(IF(OR($G90 = "curved", $G90 = "shot"), $Q90, 1), Factor!$BQ$5:$BX$51, _xlpm.기본_색인번호, 0),
_xlpm.상태이상탄환생성위치보정치, IF($G90 = "debuff", VLOOKUP($R90, Factor!$K$18:$R$19, _xlpm.기본_색인번호, 0),1),
_xlpm.상태이상탄환형태보정치, IF($G90 = "debuff", VLOOKUP($S90, Factor!$K$24:$R$25, _xlpm.기본_색인번호, 0),1),
_xlpm.가격보정치, INDEX(Factor!$AE$5:$AL$51, _xlfn.XMATCH($F90,Factor!$AE$5:$AE$51, -1), _xlpm.기본_색인번호),
_xlpm.구경보정치, VLOOKUP($D90,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</row>
    <row r="91" spans="1:33" ht="15.75" customHeight="1">
      <c r="A91" s="24" t="str">
        <f>"weapon_"&amp;G91&amp;"_"&amp;VLOOKUP(H91, Factor!$T$5:$AB$7, 9, 0)&amp;"_"&amp;IF(COUNTIFS($G$4:G90, G91, $H$4:H90, H91)+1&gt;=100, COUNTIFS($G$4:G90, G91, $H$4:H90, H91)+1,IF(COUNTIFS($G$4:G90, G91, $H$4:H90, H91)+1&gt;=10, "0"&amp;COUNTIFS($G$4:G90, G91, $H$4:H90, H91)+1, "00"&amp;COUNTIFS($G$4:G90, G91, $H$4:H90, H91)+1))</f>
        <v>weapon_single_Am_087</v>
      </c>
      <c r="B91" s="36" t="str">
        <f t="shared" si="1"/>
        <v>T6 5.56mm대공포</v>
      </c>
      <c r="C91" s="36" t="s">
        <v>159</v>
      </c>
      <c r="D91" s="36" t="s">
        <v>241</v>
      </c>
      <c r="E91" s="36" t="s">
        <v>276</v>
      </c>
      <c r="F91" s="25">
        <f>VLOOKUP(C91, Factor!$AD$5:$AE$15, 2, 0)</f>
        <v>6000</v>
      </c>
      <c r="G91" s="26" t="str">
        <f>VLOOKUP(E91, Factor!$CL$5:$CV$50, 2, 0)</f>
        <v>single</v>
      </c>
      <c r="H91" s="25" t="str">
        <f>VLOOKUP(E91, Factor!$CL$5:$CV$50, 3, 0)</f>
        <v>ammo</v>
      </c>
      <c r="I91" s="25" t="str">
        <f>VLOOKUP(E91, Factor!$CL$5:$CV$50, 4, 0)</f>
        <v>F</v>
      </c>
      <c r="J91" s="25" t="str">
        <f>VLOOKUP(E91, Factor!$CL$5:$CV$50, 5, 0)</f>
        <v>spread</v>
      </c>
      <c r="K91" s="25">
        <v>1</v>
      </c>
      <c r="L91" s="25">
        <f>VLOOKUP(E91, Factor!$CL$5:$CV$50, 6, 0)*K91*VLOOKUP(D91, Factor!$BZ$5:$CJ$49, 9, 0)</f>
        <v>0</v>
      </c>
      <c r="M91" s="25" t="str">
        <f>VLOOKUP(E91, Factor!$CL$5:$CV$50, 7, 0)</f>
        <v>null</v>
      </c>
      <c r="N91" s="25">
        <v>1</v>
      </c>
      <c r="O91" s="25">
        <f>VLOOKUP(E91, Factor!$CL$5:$CV$50, 8, 0)*N91*VLOOKUP(D91, Factor!$BZ$5:$CJ$49, 10, 0)</f>
        <v>0</v>
      </c>
      <c r="P91" s="25">
        <v>1</v>
      </c>
      <c r="Q91" s="25">
        <f>VLOOKUP(E91, Factor!$CL$5:$CV$50, 9, 0)*P91*VLOOKUP(D91, Factor!$BZ$5:$CJ$49, 11, 0)</f>
        <v>2</v>
      </c>
      <c r="R91" s="25" t="str">
        <f>VLOOKUP(E91, Factor!$CL$5:$CV$50, 10, 0)</f>
        <v>null</v>
      </c>
      <c r="S91" s="25" t="str">
        <f>VLOOKUP(E91, Factor!$CL$5:$CV$50, 11, 0)</f>
        <v>null</v>
      </c>
      <c r="T91" s="25">
        <v>1</v>
      </c>
      <c r="U91" s="25">
        <v>1</v>
      </c>
      <c r="V91" s="25">
        <v>1</v>
      </c>
      <c r="W91" s="25">
        <v>1</v>
      </c>
      <c r="X91" s="25">
        <v>1</v>
      </c>
      <c r="Y91" s="25">
        <v>1</v>
      </c>
      <c r="Z91" s="25">
        <v>1</v>
      </c>
      <c r="AA91" s="25" cm="1">
        <f t="array" ref="AA91">_xlfn.LET(_xlpm.기본_색인번호, 2,
_xlpm.추가_색인번호, 3,
_xlpm.개별보정치, T91,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</v>
      </c>
      <c r="AB91" s="25" cm="1">
        <f t="array" ref="AB91">_xlfn.LET(_xlpm.기본_색인번호, 3,
_xlpm.추가_색인번호, 4,
_xlpm.개별보정치, U91,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1" s="25" cm="1">
        <f t="array" ref="AC91">_xlfn.LET(_xlpm.기본_색인번호, 4,
_xlpm.추가_색인번호, 5,
_xlpm.개별보정치, V91,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1" s="25" cm="1">
        <f t="array" ref="AD91">_xlfn.LET(_xlpm.기본_색인번호, 5,
_xlpm.추가_색인번호, 6,
_xlpm.개별보정치, W91,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E91" s="25" cm="1">
        <f t="array" ref="AE91">_xlfn.LET(_xlpm.기본_색인번호, 6,
_xlpm.추가_색인번호, 7,
_xlpm.개별보정치, X91,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F91" s="25" cm="1">
        <f t="array" ref="AF91">_xlfn.LET(_xlpm.기본_색인번호, 7,
_xlpm.추가_색인번호, 8,
_xlpm.개별보정치, Y91,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1" s="27" cm="1">
        <f t="array" ref="AG91">_xlfn.LET(_xlpm.기본_색인번호, 8,
_xlpm.추가_색인번호, 9,
_xlpm.개별보정치, Z91,
_xlpm.패턴보정치, VLOOKUP($G91, Factor!$B$5:$I$51, _xlpm.기본_색인번호, 0),
_xlpm.소모탄환보정치, VLOOKUP($H91, Factor!$T$5:$AA$51, _xlpm.기본_색인번호, 0),
_xlpm.지형보정치, VLOOKUP($I91, Factor!$K$12:$R$13, _xlpm.기본_색인번호, 0),
_xlpm.공격속성보정치, VLOOKUP($J91, Factor!$K$5:$R$7, _xlpm.기본_색인번호, 0),
_xlpm.피해범위보정치, INDEX(Factor!$AN$5:$AV$51, _xlfn.XMATCH(IF(OR($G91="blast", $G91="curved",  $G91= "debuff"), $L91, 0), Factor!$AN$5:$AN$51, -1), _xlpm.추가_색인번호)-IF(AND(OR($G91="blast", $G91="curved", $G91= "debuff"), MOD($L91,1)&lt;&gt;0),INDEX(Factor!$AN$5:$AV$51, _xlfn.XMATCH(IF(OR($G91="blast", $G91="curved", $G91= "debuff"), $L91, 0), Factor!$AN$5:$AN$51, -1), 2)*MOD($L91,1)*10,0),
_xlpm.상태이상보정치, VLOOKUP(IF($G91 = "debuff", $M91, "null"), Factor!$AX$5:$BE$51, _xlpm.기본_색인번호, 0),
_xlpm.지속시간보정치, INDEX(Factor!$BG$5:$BO$51, _xlfn.XMATCH(IF(OR($G91 ="debuff", $G91 = "shot", $G91 = "pierce"), $O91, 0), Factor!$BG$5:$BG$51, -1), _xlpm.추가_색인번호)-IF(AND(OR($G91 ="debuff", $G91 = "shot", $G91 = "pierce"), MOD($O91, 1)&lt;&gt;0), 10*MOD($O91, 1)*INDEX(Factor!$BG$5:$BO$51, _xlfn.XMATCH(IF(OR($G91 ="debuff", $G91 = "shot", $G91 = "pierce"), $O91, 0), Factor!$BG$5:$BG$51, -1), 2), 0),
_xlpm.탄환개수보정치, VLOOKUP(IF(OR($G91 = "curved", $G91 = "shot"), $Q91, 1), Factor!$BQ$5:$BX$51, _xlpm.기본_색인번호, 0),
_xlpm.상태이상탄환생성위치보정치, IF($G91 = "debuff", VLOOKUP($R91, Factor!$K$18:$R$19, _xlpm.기본_색인번호, 0),1),
_xlpm.상태이상탄환형태보정치, IF($G91 = "debuff", VLOOKUP($S91, Factor!$K$24:$R$25, _xlpm.기본_색인번호, 0),1),
_xlpm.가격보정치, INDEX(Factor!$AE$5:$AL$51, _xlfn.XMATCH($F91,Factor!$AE$5:$AE$51, -1), _xlpm.기본_색인번호),
_xlpm.구경보정치, VLOOKUP($D91,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</row>
    <row r="92" spans="1:33" ht="15.75" customHeight="1">
      <c r="A92" s="28" t="str">
        <f>"weapon_"&amp;G92&amp;"_"&amp;VLOOKUP(H92, Factor!$T$5:$AB$7, 9, 0)&amp;"_"&amp;IF(COUNTIFS($G$4:G91, G92, $H$4:H91, H92)+1&gt;=100, COUNTIFS($G$4:G91, G92, $H$4:H91, H92)+1,IF(COUNTIFS($G$4:G91, G92, $H$4:H91, H92)+1&gt;=10, "0"&amp;COUNTIFS($G$4:G91, G92, $H$4:H91, H92)+1, "00"&amp;COUNTIFS($G$4:G91, G92, $H$4:H91, H92)+1))</f>
        <v>weapon_single_Am_088</v>
      </c>
      <c r="B92" s="37" t="str">
        <f t="shared" si="1"/>
        <v>T6 7.62mm대공포</v>
      </c>
      <c r="C92" s="37" t="s">
        <v>159</v>
      </c>
      <c r="D92" s="37" t="s">
        <v>242</v>
      </c>
      <c r="E92" s="37" t="s">
        <v>276</v>
      </c>
      <c r="F92" s="29">
        <f>VLOOKUP(C92, Factor!$AD$5:$AE$15, 2, 0)</f>
        <v>6000</v>
      </c>
      <c r="G92" s="29" t="str">
        <f>VLOOKUP(E92, Factor!$CL$5:$CV$50, 2, 0)</f>
        <v>single</v>
      </c>
      <c r="H92" s="29" t="str">
        <f>VLOOKUP(E92, Factor!$CL$5:$CV$50, 3, 0)</f>
        <v>ammo</v>
      </c>
      <c r="I92" s="29" t="str">
        <f>VLOOKUP(E92, Factor!$CL$5:$CV$50, 4, 0)</f>
        <v>F</v>
      </c>
      <c r="J92" s="29" t="str">
        <f>VLOOKUP(E92, Factor!$CL$5:$CV$50, 5, 0)</f>
        <v>spread</v>
      </c>
      <c r="K92" s="29">
        <v>1</v>
      </c>
      <c r="L92" s="29">
        <f>VLOOKUP(E92, Factor!$CL$5:$CV$50, 6, 0)*K92*VLOOKUP(D92, Factor!$BZ$5:$CJ$49, 9, 0)</f>
        <v>0</v>
      </c>
      <c r="M92" s="29" t="str">
        <f>VLOOKUP(E92, Factor!$CL$5:$CV$50, 7, 0)</f>
        <v>null</v>
      </c>
      <c r="N92" s="29">
        <v>1</v>
      </c>
      <c r="O92" s="29">
        <f>VLOOKUP(E92, Factor!$CL$5:$CV$50, 8, 0)*N92*VLOOKUP(D92, Factor!$BZ$5:$CJ$49, 10, 0)</f>
        <v>0</v>
      </c>
      <c r="P92" s="29">
        <v>1</v>
      </c>
      <c r="Q92" s="29">
        <f>VLOOKUP(E92, Factor!$CL$5:$CV$50, 9, 0)*P92*VLOOKUP(D92, Factor!$BZ$5:$CJ$49, 11, 0)</f>
        <v>3</v>
      </c>
      <c r="R92" s="29" t="str">
        <f>VLOOKUP(E92, Factor!$CL$5:$CV$50, 10, 0)</f>
        <v>null</v>
      </c>
      <c r="S92" s="29" t="str">
        <f>VLOOKUP(E92, Factor!$CL$5:$CV$50, 11, 0)</f>
        <v>null</v>
      </c>
      <c r="T92" s="29">
        <v>1</v>
      </c>
      <c r="U92" s="29">
        <v>1</v>
      </c>
      <c r="V92" s="29">
        <v>1</v>
      </c>
      <c r="W92" s="29">
        <v>1</v>
      </c>
      <c r="X92" s="29">
        <v>1</v>
      </c>
      <c r="Y92" s="29">
        <v>1</v>
      </c>
      <c r="Z92" s="29">
        <v>1</v>
      </c>
      <c r="AA92" s="29" cm="1">
        <f t="array" ref="AA92">_xlfn.LET(_xlpm.기본_색인번호, 2,
_xlpm.추가_색인번호, 3,
_xlpm.개별보정치, T92,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</v>
      </c>
      <c r="AB92" s="29" cm="1">
        <f t="array" ref="AB92">_xlfn.LET(_xlpm.기본_색인번호, 3,
_xlpm.추가_색인번호, 4,
_xlpm.개별보정치, U92,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2" s="29" cm="1">
        <f t="array" ref="AC92">_xlfn.LET(_xlpm.기본_색인번호, 4,
_xlpm.추가_색인번호, 5,
_xlpm.개별보정치, V92,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2" s="29" cm="1">
        <f t="array" ref="AD92">_xlfn.LET(_xlpm.기본_색인번호, 5,
_xlpm.추가_색인번호, 6,
_xlpm.개별보정치, W92,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E92" s="29" cm="1">
        <f t="array" ref="AE92">_xlfn.LET(_xlpm.기본_색인번호, 6,
_xlpm.추가_색인번호, 7,
_xlpm.개별보정치, X92,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F92" s="29" cm="1">
        <f t="array" ref="AF92">_xlfn.LET(_xlpm.기본_색인번호, 7,
_xlpm.추가_색인번호, 8,
_xlpm.개별보정치, Y92,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2" s="30" cm="1">
        <f t="array" ref="AG92">_xlfn.LET(_xlpm.기본_색인번호, 8,
_xlpm.추가_색인번호, 9,
_xlpm.개별보정치, Z92,
_xlpm.패턴보정치, VLOOKUP($G92, Factor!$B$5:$I$51, _xlpm.기본_색인번호, 0),
_xlpm.소모탄환보정치, VLOOKUP($H92, Factor!$T$5:$AA$51, _xlpm.기본_색인번호, 0),
_xlpm.지형보정치, VLOOKUP($I92, Factor!$K$12:$R$13, _xlpm.기본_색인번호, 0),
_xlpm.공격속성보정치, VLOOKUP($J92, Factor!$K$5:$R$7, _xlpm.기본_색인번호, 0),
_xlpm.피해범위보정치, INDEX(Factor!$AN$5:$AV$51, _xlfn.XMATCH(IF(OR($G92="blast", $G92="curved",  $G92= "debuff"), $L92, 0), Factor!$AN$5:$AN$51, -1), _xlpm.추가_색인번호)-IF(AND(OR($G92="blast", $G92="curved", $G92= "debuff"), MOD($L92,1)&lt;&gt;0),INDEX(Factor!$AN$5:$AV$51, _xlfn.XMATCH(IF(OR($G92="blast", $G92="curved", $G92= "debuff"), $L92, 0), Factor!$AN$5:$AN$51, -1), 2)*MOD($L92,1)*10,0),
_xlpm.상태이상보정치, VLOOKUP(IF($G92 = "debuff", $M92, "null"), Factor!$AX$5:$BE$51, _xlpm.기본_색인번호, 0),
_xlpm.지속시간보정치, INDEX(Factor!$BG$5:$BO$51, _xlfn.XMATCH(IF(OR($G92 ="debuff", $G92 = "shot", $G92 = "pierce"), $O92, 0), Factor!$BG$5:$BG$51, -1), _xlpm.추가_색인번호)-IF(AND(OR($G92 ="debuff", $G92 = "shot", $G92 = "pierce"), MOD($O92, 1)&lt;&gt;0), 10*MOD($O92, 1)*INDEX(Factor!$BG$5:$BO$51, _xlfn.XMATCH(IF(OR($G92 ="debuff", $G92 = "shot", $G92 = "pierce"), $O92, 0), Factor!$BG$5:$BG$51, -1), 2), 0),
_xlpm.탄환개수보정치, VLOOKUP(IF(OR($G92 = "curved", $G92 = "shot"), $Q92, 1), Factor!$BQ$5:$BX$51, _xlpm.기본_색인번호, 0),
_xlpm.상태이상탄환생성위치보정치, IF($G92 = "debuff", VLOOKUP($R92, Factor!$K$18:$R$19, _xlpm.기본_색인번호, 0),1),
_xlpm.상태이상탄환형태보정치, IF($G92 = "debuff", VLOOKUP($S92, Factor!$K$24:$R$25, _xlpm.기본_색인번호, 0),1),
_xlpm.가격보정치, INDEX(Factor!$AE$5:$AL$51, _xlfn.XMATCH($F92,Factor!$AE$5:$AE$51, -1), _xlpm.기본_색인번호),
_xlpm.구경보정치, VLOOKUP($D92,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</row>
    <row r="93" spans="1:33" ht="15.75" customHeight="1">
      <c r="A93" s="24" t="str">
        <f>"weapon_"&amp;G93&amp;"_"&amp;VLOOKUP(H93, Factor!$T$5:$AB$7, 9, 0)&amp;"_"&amp;IF(COUNTIFS($G$4:G92, G93, $H$4:H92, H93)+1&gt;=100, COUNTIFS($G$4:G92, G93, $H$4:H92, H93)+1,IF(COUNTIFS($G$4:G92, G93, $H$4:H92, H93)+1&gt;=10, "0"&amp;COUNTIFS($G$4:G92, G93, $H$4:H92, H93)+1, "00"&amp;COUNTIFS($G$4:G92, G93, $H$4:H92, H93)+1))</f>
        <v>weapon_single_Am_089</v>
      </c>
      <c r="B93" s="36" t="str">
        <f t="shared" si="1"/>
        <v>T6 12.7mm대공포</v>
      </c>
      <c r="C93" s="36" t="s">
        <v>159</v>
      </c>
      <c r="D93" s="36" t="s">
        <v>243</v>
      </c>
      <c r="E93" s="36" t="s">
        <v>276</v>
      </c>
      <c r="F93" s="25">
        <f>VLOOKUP(C93, Factor!$AD$5:$AE$15, 2, 0)</f>
        <v>6000</v>
      </c>
      <c r="G93" s="26" t="str">
        <f>VLOOKUP(E93, Factor!$CL$5:$CV$50, 2, 0)</f>
        <v>single</v>
      </c>
      <c r="H93" s="25" t="str">
        <f>VLOOKUP(E93, Factor!$CL$5:$CV$50, 3, 0)</f>
        <v>ammo</v>
      </c>
      <c r="I93" s="25" t="str">
        <f>VLOOKUP(E93, Factor!$CL$5:$CV$50, 4, 0)</f>
        <v>F</v>
      </c>
      <c r="J93" s="25" t="str">
        <f>VLOOKUP(E93, Factor!$CL$5:$CV$50, 5, 0)</f>
        <v>spread</v>
      </c>
      <c r="K93" s="25">
        <v>1</v>
      </c>
      <c r="L93" s="25">
        <f>VLOOKUP(E93, Factor!$CL$5:$CV$50, 6, 0)*K93*VLOOKUP(D93, Factor!$BZ$5:$CJ$49, 9, 0)</f>
        <v>0</v>
      </c>
      <c r="M93" s="25" t="str">
        <f>VLOOKUP(E93, Factor!$CL$5:$CV$50, 7, 0)</f>
        <v>null</v>
      </c>
      <c r="N93" s="25">
        <v>1</v>
      </c>
      <c r="O93" s="25">
        <f>VLOOKUP(E93, Factor!$CL$5:$CV$50, 8, 0)*N93*VLOOKUP(D93, Factor!$BZ$5:$CJ$49, 10, 0)</f>
        <v>0</v>
      </c>
      <c r="P93" s="25">
        <v>1</v>
      </c>
      <c r="Q93" s="25">
        <f>VLOOKUP(E93, Factor!$CL$5:$CV$50, 9, 0)*P93*VLOOKUP(D93, Factor!$BZ$5:$CJ$49, 11, 0)</f>
        <v>4</v>
      </c>
      <c r="R93" s="25" t="str">
        <f>VLOOKUP(E93, Factor!$CL$5:$CV$50, 10, 0)</f>
        <v>null</v>
      </c>
      <c r="S93" s="25" t="str">
        <f>VLOOKUP(E93, Factor!$CL$5:$CV$50, 11, 0)</f>
        <v>null</v>
      </c>
      <c r="T93" s="25">
        <v>1</v>
      </c>
      <c r="U93" s="25">
        <v>1</v>
      </c>
      <c r="V93" s="25">
        <v>1</v>
      </c>
      <c r="W93" s="25">
        <v>1</v>
      </c>
      <c r="X93" s="25">
        <v>1</v>
      </c>
      <c r="Y93" s="25">
        <v>1</v>
      </c>
      <c r="Z93" s="25">
        <v>1</v>
      </c>
      <c r="AA93" s="25" cm="1">
        <f t="array" ref="AA93">_xlfn.LET(_xlpm.기본_색인번호, 2,
_xlpm.추가_색인번호, 3,
_xlpm.개별보정치, T93,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</v>
      </c>
      <c r="AB93" s="25" cm="1">
        <f t="array" ref="AB93">_xlfn.LET(_xlpm.기본_색인번호, 3,
_xlpm.추가_색인번호, 4,
_xlpm.개별보정치, U93,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3" s="25" cm="1">
        <f t="array" ref="AC93">_xlfn.LET(_xlpm.기본_색인번호, 4,
_xlpm.추가_색인번호, 5,
_xlpm.개별보정치, V93,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3" s="25" cm="1">
        <f t="array" ref="AD93">_xlfn.LET(_xlpm.기본_색인번호, 5,
_xlpm.추가_색인번호, 6,
_xlpm.개별보정치, W93,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E93" s="25" cm="1">
        <f t="array" ref="AE93">_xlfn.LET(_xlpm.기본_색인번호, 6,
_xlpm.추가_색인번호, 7,
_xlpm.개별보정치, X93,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F93" s="25" cm="1">
        <f t="array" ref="AF93">_xlfn.LET(_xlpm.기본_색인번호, 7,
_xlpm.추가_색인번호, 8,
_xlpm.개별보정치, Y93,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3" s="27" cm="1">
        <f t="array" ref="AG93">_xlfn.LET(_xlpm.기본_색인번호, 8,
_xlpm.추가_색인번호, 9,
_xlpm.개별보정치, Z93,
_xlpm.패턴보정치, VLOOKUP($G93, Factor!$B$5:$I$51, _xlpm.기본_색인번호, 0),
_xlpm.소모탄환보정치, VLOOKUP($H93, Factor!$T$5:$AA$51, _xlpm.기본_색인번호, 0),
_xlpm.지형보정치, VLOOKUP($I93, Factor!$K$12:$R$13, _xlpm.기본_색인번호, 0),
_xlpm.공격속성보정치, VLOOKUP($J93, Factor!$K$5:$R$7, _xlpm.기본_색인번호, 0),
_xlpm.피해범위보정치, INDEX(Factor!$AN$5:$AV$51, _xlfn.XMATCH(IF(OR($G93="blast", $G93="curved",  $G93= "debuff"), $L93, 0), Factor!$AN$5:$AN$51, -1), _xlpm.추가_색인번호)-IF(AND(OR($G93="blast", $G93="curved", $G93= "debuff"), MOD($L93,1)&lt;&gt;0),INDEX(Factor!$AN$5:$AV$51, _xlfn.XMATCH(IF(OR($G93="blast", $G93="curved", $G93= "debuff"), $L93, 0), Factor!$AN$5:$AN$51, -1), 2)*MOD($L93,1)*10,0),
_xlpm.상태이상보정치, VLOOKUP(IF($G93 = "debuff", $M93, "null"), Factor!$AX$5:$BE$51, _xlpm.기본_색인번호, 0),
_xlpm.지속시간보정치, INDEX(Factor!$BG$5:$BO$51, _xlfn.XMATCH(IF(OR($G93 ="debuff", $G93 = "shot", $G93 = "pierce"), $O93, 0), Factor!$BG$5:$BG$51, -1), _xlpm.추가_색인번호)-IF(AND(OR($G93 ="debuff", $G93 = "shot", $G93 = "pierce"), MOD($O93, 1)&lt;&gt;0), 10*MOD($O93, 1)*INDEX(Factor!$BG$5:$BO$51, _xlfn.XMATCH(IF(OR($G93 ="debuff", $G93 = "shot", $G93 = "pierce"), $O93, 0), Factor!$BG$5:$BG$51, -1), 2), 0),
_xlpm.탄환개수보정치, VLOOKUP(IF(OR($G93 = "curved", $G93 = "shot"), $Q93, 1), Factor!$BQ$5:$BX$51, _xlpm.기본_색인번호, 0),
_xlpm.상태이상탄환생성위치보정치, IF($G93 = "debuff", VLOOKUP($R93, Factor!$K$18:$R$19, _xlpm.기본_색인번호, 0),1),
_xlpm.상태이상탄환형태보정치, IF($G93 = "debuff", VLOOKUP($S93, Factor!$K$24:$R$25, _xlpm.기본_색인번호, 0),1),
_xlpm.가격보정치, INDEX(Factor!$AE$5:$AL$51, _xlfn.XMATCH($F93,Factor!$AE$5:$AE$51, -1), _xlpm.기본_색인번호),
_xlpm.구경보정치, VLOOKUP($D93,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</row>
    <row r="94" spans="1:33" ht="15.75" customHeight="1">
      <c r="A94" s="28" t="str">
        <f>"weapon_"&amp;G94&amp;"_"&amp;VLOOKUP(H94, Factor!$T$5:$AB$7, 9, 0)&amp;"_"&amp;IF(COUNTIFS($G$4:G93, G94, $H$4:H93, H94)+1&gt;=100, COUNTIFS($G$4:G93, G94, $H$4:H93, H94)+1,IF(COUNTIFS($G$4:G93, G94, $H$4:H93, H94)+1&gt;=10, "0"&amp;COUNTIFS($G$4:G93, G94, $H$4:H93, H94)+1, "00"&amp;COUNTIFS($G$4:G93, G94, $H$4:H93, H94)+1))</f>
        <v>weapon_single_Am_090</v>
      </c>
      <c r="B94" s="37" t="str">
        <f t="shared" si="1"/>
        <v>T6 20mm대공포</v>
      </c>
      <c r="C94" s="37" t="s">
        <v>159</v>
      </c>
      <c r="D94" s="37" t="s">
        <v>244</v>
      </c>
      <c r="E94" s="37" t="s">
        <v>276</v>
      </c>
      <c r="F94" s="29">
        <f>VLOOKUP(C94, Factor!$AD$5:$AE$15, 2, 0)</f>
        <v>6000</v>
      </c>
      <c r="G94" s="29" t="str">
        <f>VLOOKUP(E94, Factor!$CL$5:$CV$50, 2, 0)</f>
        <v>single</v>
      </c>
      <c r="H94" s="29" t="str">
        <f>VLOOKUP(E94, Factor!$CL$5:$CV$50, 3, 0)</f>
        <v>ammo</v>
      </c>
      <c r="I94" s="29" t="str">
        <f>VLOOKUP(E94, Factor!$CL$5:$CV$50, 4, 0)</f>
        <v>F</v>
      </c>
      <c r="J94" s="29" t="str">
        <f>VLOOKUP(E94, Factor!$CL$5:$CV$50, 5, 0)</f>
        <v>spread</v>
      </c>
      <c r="K94" s="29">
        <v>1</v>
      </c>
      <c r="L94" s="29">
        <f>VLOOKUP(E94, Factor!$CL$5:$CV$50, 6, 0)*K94*VLOOKUP(D94, Factor!$BZ$5:$CJ$49, 9, 0)</f>
        <v>0</v>
      </c>
      <c r="M94" s="29" t="str">
        <f>VLOOKUP(E94, Factor!$CL$5:$CV$50, 7, 0)</f>
        <v>null</v>
      </c>
      <c r="N94" s="29">
        <v>1</v>
      </c>
      <c r="O94" s="29">
        <f>VLOOKUP(E94, Factor!$CL$5:$CV$50, 8, 0)*N94*VLOOKUP(D94, Factor!$BZ$5:$CJ$49, 10, 0)</f>
        <v>0</v>
      </c>
      <c r="P94" s="29">
        <v>1</v>
      </c>
      <c r="Q94" s="29">
        <f>VLOOKUP(E94, Factor!$CL$5:$CV$50, 9, 0)*P94*VLOOKUP(D94, Factor!$BZ$5:$CJ$49, 11, 0)</f>
        <v>5</v>
      </c>
      <c r="R94" s="29" t="str">
        <f>VLOOKUP(E94, Factor!$CL$5:$CV$50, 10, 0)</f>
        <v>null</v>
      </c>
      <c r="S94" s="29" t="str">
        <f>VLOOKUP(E94, Factor!$CL$5:$CV$50, 11, 0)</f>
        <v>null</v>
      </c>
      <c r="T94" s="29">
        <v>1</v>
      </c>
      <c r="U94" s="29">
        <v>1</v>
      </c>
      <c r="V94" s="29">
        <v>1</v>
      </c>
      <c r="W94" s="29">
        <v>1</v>
      </c>
      <c r="X94" s="29">
        <v>1</v>
      </c>
      <c r="Y94" s="29">
        <v>1</v>
      </c>
      <c r="Z94" s="29">
        <v>1</v>
      </c>
      <c r="AA94" s="29" cm="1">
        <f t="array" ref="AA94">_xlfn.LET(_xlpm.기본_색인번호, 2,
_xlpm.추가_색인번호, 3,
_xlpm.개별보정치, T94,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</v>
      </c>
      <c r="AB94" s="29" cm="1">
        <f t="array" ref="AB94">_xlfn.LET(_xlpm.기본_색인번호, 3,
_xlpm.추가_색인번호, 4,
_xlpm.개별보정치, U94,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4" s="29" cm="1">
        <f t="array" ref="AC94">_xlfn.LET(_xlpm.기본_색인번호, 4,
_xlpm.추가_색인번호, 5,
_xlpm.개별보정치, V94,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4" s="29" cm="1">
        <f t="array" ref="AD94">_xlfn.LET(_xlpm.기본_색인번호, 5,
_xlpm.추가_색인번호, 6,
_xlpm.개별보정치, W94,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E94" s="29" cm="1">
        <f t="array" ref="AE94">_xlfn.LET(_xlpm.기본_색인번호, 6,
_xlpm.추가_색인번호, 7,
_xlpm.개별보정치, X94,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F94" s="29" cm="1">
        <f t="array" ref="AF94">_xlfn.LET(_xlpm.기본_색인번호, 7,
_xlpm.추가_색인번호, 8,
_xlpm.개별보정치, Y94,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4" s="30" cm="1">
        <f t="array" ref="AG94">_xlfn.LET(_xlpm.기본_색인번호, 8,
_xlpm.추가_색인번호, 9,
_xlpm.개별보정치, Z94,
_xlpm.패턴보정치, VLOOKUP($G94, Factor!$B$5:$I$51, _xlpm.기본_색인번호, 0),
_xlpm.소모탄환보정치, VLOOKUP($H94, Factor!$T$5:$AA$51, _xlpm.기본_색인번호, 0),
_xlpm.지형보정치, VLOOKUP($I94, Factor!$K$12:$R$13, _xlpm.기본_색인번호, 0),
_xlpm.공격속성보정치, VLOOKUP($J94, Factor!$K$5:$R$7, _xlpm.기본_색인번호, 0),
_xlpm.피해범위보정치, INDEX(Factor!$AN$5:$AV$51, _xlfn.XMATCH(IF(OR($G94="blast", $G94="curved",  $G94= "debuff"), $L94, 0), Factor!$AN$5:$AN$51, -1), _xlpm.추가_색인번호)-IF(AND(OR($G94="blast", $G94="curved", $G94= "debuff"), MOD($L94,1)&lt;&gt;0),INDEX(Factor!$AN$5:$AV$51, _xlfn.XMATCH(IF(OR($G94="blast", $G94="curved", $G94= "debuff"), $L94, 0), Factor!$AN$5:$AN$51, -1), 2)*MOD($L94,1)*10,0),
_xlpm.상태이상보정치, VLOOKUP(IF($G94 = "debuff", $M94, "null"), Factor!$AX$5:$BE$51, _xlpm.기본_색인번호, 0),
_xlpm.지속시간보정치, INDEX(Factor!$BG$5:$BO$51, _xlfn.XMATCH(IF(OR($G94 ="debuff", $G94 = "shot", $G94 = "pierce"), $O94, 0), Factor!$BG$5:$BG$51, -1), _xlpm.추가_색인번호)-IF(AND(OR($G94 ="debuff", $G94 = "shot", $G94 = "pierce"), MOD($O94, 1)&lt;&gt;0), 10*MOD($O94, 1)*INDEX(Factor!$BG$5:$BO$51, _xlfn.XMATCH(IF(OR($G94 ="debuff", $G94 = "shot", $G94 = "pierce"), $O94, 0), Factor!$BG$5:$BG$51, -1), 2), 0),
_xlpm.탄환개수보정치, VLOOKUP(IF(OR($G94 = "curved", $G94 = "shot"), $Q94, 1), Factor!$BQ$5:$BX$51, _xlpm.기본_색인번호, 0),
_xlpm.상태이상탄환생성위치보정치, IF($G94 = "debuff", VLOOKUP($R94, Factor!$K$18:$R$19, _xlpm.기본_색인번호, 0),1),
_xlpm.상태이상탄환형태보정치, IF($G94 = "debuff", VLOOKUP($S94, Factor!$K$24:$R$25, _xlpm.기본_색인번호, 0),1),
_xlpm.가격보정치, INDEX(Factor!$AE$5:$AL$51, _xlfn.XMATCH($F94,Factor!$AE$5:$AE$51, -1), _xlpm.기본_색인번호),
_xlpm.구경보정치, VLOOKUP($D94,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</row>
    <row r="95" spans="1:33" ht="15.75" customHeight="1">
      <c r="A95" s="24" t="str">
        <f>"weapon_"&amp;G95&amp;"_"&amp;VLOOKUP(H95, Factor!$T$5:$AB$7, 9, 0)&amp;"_"&amp;IF(COUNTIFS($G$4:G94, G95, $H$4:H94, H95)+1&gt;=100, COUNTIFS($G$4:G94, G95, $H$4:H94, H95)+1,IF(COUNTIFS($G$4:G94, G95, $H$4:H94, H95)+1&gt;=10, "0"&amp;COUNTIFS($G$4:G94, G95, $H$4:H94, H95)+1, "00"&amp;COUNTIFS($G$4:G94, G95, $H$4:H94, H95)+1))</f>
        <v>weapon_single_Am_091</v>
      </c>
      <c r="B95" s="36" t="str">
        <f t="shared" si="1"/>
        <v>T7 대공포</v>
      </c>
      <c r="C95" s="36" t="s">
        <v>160</v>
      </c>
      <c r="D95" s="36" t="s">
        <v>275</v>
      </c>
      <c r="E95" s="36" t="s">
        <v>276</v>
      </c>
      <c r="F95" s="25">
        <f>VLOOKUP(C95, Factor!$AD$5:$AE$15, 2, 0)</f>
        <v>7000</v>
      </c>
      <c r="G95" s="26" t="str">
        <f>VLOOKUP(E95, Factor!$CL$5:$CV$50, 2, 0)</f>
        <v>single</v>
      </c>
      <c r="H95" s="25" t="str">
        <f>VLOOKUP(E95, Factor!$CL$5:$CV$50, 3, 0)</f>
        <v>ammo</v>
      </c>
      <c r="I95" s="25" t="str">
        <f>VLOOKUP(E95, Factor!$CL$5:$CV$50, 4, 0)</f>
        <v>F</v>
      </c>
      <c r="J95" s="25" t="str">
        <f>VLOOKUP(E95, Factor!$CL$5:$CV$50, 5, 0)</f>
        <v>spread</v>
      </c>
      <c r="K95" s="25">
        <v>1</v>
      </c>
      <c r="L95" s="25">
        <f>VLOOKUP(E95, Factor!$CL$5:$CV$50, 6, 0)*K95*VLOOKUP(D95, Factor!$BZ$5:$CJ$49, 9, 0)</f>
        <v>0</v>
      </c>
      <c r="M95" s="25" t="str">
        <f>VLOOKUP(E95, Factor!$CL$5:$CV$50, 7, 0)</f>
        <v>null</v>
      </c>
      <c r="N95" s="25">
        <v>1</v>
      </c>
      <c r="O95" s="25">
        <f>VLOOKUP(E95, Factor!$CL$5:$CV$50, 8, 0)*N95*VLOOKUP(D95, Factor!$BZ$5:$CJ$49, 10, 0)</f>
        <v>0</v>
      </c>
      <c r="P95" s="25">
        <v>1</v>
      </c>
      <c r="Q95" s="25">
        <f>VLOOKUP(E95, Factor!$CL$5:$CV$50, 9, 0)*P95*VLOOKUP(D95, Factor!$BZ$5:$CJ$49, 11, 0)</f>
        <v>1</v>
      </c>
      <c r="R95" s="25" t="str">
        <f>VLOOKUP(E95, Factor!$CL$5:$CV$50, 10, 0)</f>
        <v>null</v>
      </c>
      <c r="S95" s="25" t="str">
        <f>VLOOKUP(E95, Factor!$CL$5:$CV$50, 11, 0)</f>
        <v>null</v>
      </c>
      <c r="T95" s="25">
        <v>1</v>
      </c>
      <c r="U95" s="25">
        <v>1</v>
      </c>
      <c r="V95" s="25">
        <v>1</v>
      </c>
      <c r="W95" s="25">
        <v>1</v>
      </c>
      <c r="X95" s="25">
        <v>1</v>
      </c>
      <c r="Y95" s="25">
        <v>1</v>
      </c>
      <c r="Z95" s="25">
        <v>1</v>
      </c>
      <c r="AA95" s="25" cm="1">
        <f t="array" ref="AA95">_xlfn.LET(_xlpm.기본_색인번호, 2,
_xlpm.추가_색인번호, 3,
_xlpm.개별보정치, T95,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B95" s="25" cm="1">
        <f t="array" ref="AB95">_xlfn.LET(_xlpm.기본_색인번호, 3,
_xlpm.추가_색인번호, 4,
_xlpm.개별보정치, U95,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5" s="25" cm="1">
        <f t="array" ref="AC95">_xlfn.LET(_xlpm.기본_색인번호, 4,
_xlpm.추가_색인번호, 5,
_xlpm.개별보정치, V95,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5" s="25" cm="1">
        <f t="array" ref="AD95">_xlfn.LET(_xlpm.기본_색인번호, 5,
_xlpm.추가_색인번호, 6,
_xlpm.개별보정치, W95,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E95" s="25" cm="1">
        <f t="array" ref="AE95">_xlfn.LET(_xlpm.기본_색인번호, 6,
_xlpm.추가_색인번호, 7,
_xlpm.개별보정치, X95,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F95" s="25" cm="1">
        <f t="array" ref="AF95">_xlfn.LET(_xlpm.기본_색인번호, 7,
_xlpm.추가_색인번호, 8,
_xlpm.개별보정치, Y95,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5" s="27" cm="1">
        <f t="array" ref="AG95">_xlfn.LET(_xlpm.기본_색인번호, 8,
_xlpm.추가_색인번호, 9,
_xlpm.개별보정치, Z95,
_xlpm.패턴보정치, VLOOKUP($G95, Factor!$B$5:$I$51, _xlpm.기본_색인번호, 0),
_xlpm.소모탄환보정치, VLOOKUP($H95, Factor!$T$5:$AA$51, _xlpm.기본_색인번호, 0),
_xlpm.지형보정치, VLOOKUP($I95, Factor!$K$12:$R$13, _xlpm.기본_색인번호, 0),
_xlpm.공격속성보정치, VLOOKUP($J95, Factor!$K$5:$R$7, _xlpm.기본_색인번호, 0),
_xlpm.피해범위보정치, INDEX(Factor!$AN$5:$AV$51, _xlfn.XMATCH(IF(OR($G95="blast", $G95="curved",  $G95= "debuff"), $L95, 0), Factor!$AN$5:$AN$51, -1), _xlpm.추가_색인번호)-IF(AND(OR($G95="blast", $G95="curved", $G95= "debuff"), MOD($L95,1)&lt;&gt;0),INDEX(Factor!$AN$5:$AV$51, _xlfn.XMATCH(IF(OR($G95="blast", $G95="curved", $G95= "debuff"), $L95, 0), Factor!$AN$5:$AN$51, -1), 2)*MOD($L95,1)*10,0),
_xlpm.상태이상보정치, VLOOKUP(IF($G95 = "debuff", $M95, "null"), Factor!$AX$5:$BE$51, _xlpm.기본_색인번호, 0),
_xlpm.지속시간보정치, INDEX(Factor!$BG$5:$BO$51, _xlfn.XMATCH(IF(OR($G95 ="debuff", $G95 = "shot", $G95 = "pierce"), $O95, 0), Factor!$BG$5:$BG$51, -1), _xlpm.추가_색인번호)-IF(AND(OR($G95 ="debuff", $G95 = "shot", $G95 = "pierce"), MOD($O95, 1)&lt;&gt;0), 10*MOD($O95, 1)*INDEX(Factor!$BG$5:$BO$51, _xlfn.XMATCH(IF(OR($G95 ="debuff", $G95 = "shot", $G95 = "pierce"), $O95, 0), Factor!$BG$5:$BG$51, -1), 2), 0),
_xlpm.탄환개수보정치, VLOOKUP(IF(OR($G95 = "curved", $G95 = "shot"), $Q95, 1), Factor!$BQ$5:$BX$51, _xlpm.기본_색인번호, 0),
_xlpm.상태이상탄환생성위치보정치, IF($G95 = "debuff", VLOOKUP($R95, Factor!$K$18:$R$19, _xlpm.기본_색인번호, 0),1),
_xlpm.상태이상탄환형태보정치, IF($G95 = "debuff", VLOOKUP($S95, Factor!$K$24:$R$25, _xlpm.기본_색인번호, 0),1),
_xlpm.가격보정치, INDEX(Factor!$AE$5:$AL$51, _xlfn.XMATCH($F95,Factor!$AE$5:$AE$51, -1), _xlpm.기본_색인번호),
_xlpm.구경보정치, VLOOKUP($D95,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</row>
    <row r="96" spans="1:33" ht="15.75" customHeight="1">
      <c r="A96" s="28" t="str">
        <f>"weapon_"&amp;G96&amp;"_"&amp;VLOOKUP(H96, Factor!$T$5:$AB$7, 9, 0)&amp;"_"&amp;IF(COUNTIFS($G$4:G95, G96, $H$4:H95, H96)+1&gt;=100, COUNTIFS($G$4:G95, G96, $H$4:H95, H96)+1,IF(COUNTIFS($G$4:G95, G96, $H$4:H95, H96)+1&gt;=10, "0"&amp;COUNTIFS($G$4:G95, G96, $H$4:H95, H96)+1, "00"&amp;COUNTIFS($G$4:G95, G96, $H$4:H95, H96)+1))</f>
        <v>weapon_single_Am_092</v>
      </c>
      <c r="B96" s="37" t="str">
        <f t="shared" si="1"/>
        <v>T7 5.56mm대공포</v>
      </c>
      <c r="C96" s="37" t="s">
        <v>160</v>
      </c>
      <c r="D96" s="37" t="s">
        <v>241</v>
      </c>
      <c r="E96" s="37" t="s">
        <v>276</v>
      </c>
      <c r="F96" s="29">
        <f>VLOOKUP(C96, Factor!$AD$5:$AE$15, 2, 0)</f>
        <v>7000</v>
      </c>
      <c r="G96" s="29" t="str">
        <f>VLOOKUP(E96, Factor!$CL$5:$CV$50, 2, 0)</f>
        <v>single</v>
      </c>
      <c r="H96" s="29" t="str">
        <f>VLOOKUP(E96, Factor!$CL$5:$CV$50, 3, 0)</f>
        <v>ammo</v>
      </c>
      <c r="I96" s="29" t="str">
        <f>VLOOKUP(E96, Factor!$CL$5:$CV$50, 4, 0)</f>
        <v>F</v>
      </c>
      <c r="J96" s="29" t="str">
        <f>VLOOKUP(E96, Factor!$CL$5:$CV$50, 5, 0)</f>
        <v>spread</v>
      </c>
      <c r="K96" s="29">
        <v>1</v>
      </c>
      <c r="L96" s="29">
        <f>VLOOKUP(E96, Factor!$CL$5:$CV$50, 6, 0)*K96*VLOOKUP(D96, Factor!$BZ$5:$CJ$49, 9, 0)</f>
        <v>0</v>
      </c>
      <c r="M96" s="29" t="str">
        <f>VLOOKUP(E96, Factor!$CL$5:$CV$50, 7, 0)</f>
        <v>null</v>
      </c>
      <c r="N96" s="29">
        <v>1</v>
      </c>
      <c r="O96" s="29">
        <f>VLOOKUP(E96, Factor!$CL$5:$CV$50, 8, 0)*N96*VLOOKUP(D96, Factor!$BZ$5:$CJ$49, 10, 0)</f>
        <v>0</v>
      </c>
      <c r="P96" s="29">
        <v>1</v>
      </c>
      <c r="Q96" s="29">
        <f>VLOOKUP(E96, Factor!$CL$5:$CV$50, 9, 0)*P96*VLOOKUP(D96, Factor!$BZ$5:$CJ$49, 11, 0)</f>
        <v>2</v>
      </c>
      <c r="R96" s="29" t="str">
        <f>VLOOKUP(E96, Factor!$CL$5:$CV$50, 10, 0)</f>
        <v>null</v>
      </c>
      <c r="S96" s="29" t="str">
        <f>VLOOKUP(E96, Factor!$CL$5:$CV$50, 11, 0)</f>
        <v>null</v>
      </c>
      <c r="T96" s="29">
        <v>1</v>
      </c>
      <c r="U96" s="29">
        <v>1</v>
      </c>
      <c r="V96" s="29">
        <v>1</v>
      </c>
      <c r="W96" s="29">
        <v>1</v>
      </c>
      <c r="X96" s="29">
        <v>1</v>
      </c>
      <c r="Y96" s="29">
        <v>1</v>
      </c>
      <c r="Z96" s="29">
        <v>1</v>
      </c>
      <c r="AA96" s="29" cm="1">
        <f t="array" ref="AA96">_xlfn.LET(_xlpm.기본_색인번호, 2,
_xlpm.추가_색인번호, 3,
_xlpm.개별보정치, T96,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B96" s="29" cm="1">
        <f t="array" ref="AB96">_xlfn.LET(_xlpm.기본_색인번호, 3,
_xlpm.추가_색인번호, 4,
_xlpm.개별보정치, U96,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6" s="29" cm="1">
        <f t="array" ref="AC96">_xlfn.LET(_xlpm.기본_색인번호, 4,
_xlpm.추가_색인번호, 5,
_xlpm.개별보정치, V96,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6" s="29" cm="1">
        <f t="array" ref="AD96">_xlfn.LET(_xlpm.기본_색인번호, 5,
_xlpm.추가_색인번호, 6,
_xlpm.개별보정치, W96,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E96" s="29" cm="1">
        <f t="array" ref="AE96">_xlfn.LET(_xlpm.기본_색인번호, 6,
_xlpm.추가_색인번호, 7,
_xlpm.개별보정치, X96,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F96" s="29" cm="1">
        <f t="array" ref="AF96">_xlfn.LET(_xlpm.기본_색인번호, 7,
_xlpm.추가_색인번호, 8,
_xlpm.개별보정치, Y96,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6" s="30" cm="1">
        <f t="array" ref="AG96">_xlfn.LET(_xlpm.기본_색인번호, 8,
_xlpm.추가_색인번호, 9,
_xlpm.개별보정치, Z96,
_xlpm.패턴보정치, VLOOKUP($G96, Factor!$B$5:$I$51, _xlpm.기본_색인번호, 0),
_xlpm.소모탄환보정치, VLOOKUP($H96, Factor!$T$5:$AA$51, _xlpm.기본_색인번호, 0),
_xlpm.지형보정치, VLOOKUP($I96, Factor!$K$12:$R$13, _xlpm.기본_색인번호, 0),
_xlpm.공격속성보정치, VLOOKUP($J96, Factor!$K$5:$R$7, _xlpm.기본_색인번호, 0),
_xlpm.피해범위보정치, INDEX(Factor!$AN$5:$AV$51, _xlfn.XMATCH(IF(OR($G96="blast", $G96="curved",  $G96= "debuff"), $L96, 0), Factor!$AN$5:$AN$51, -1), _xlpm.추가_색인번호)-IF(AND(OR($G96="blast", $G96="curved", $G96= "debuff"), MOD($L96,1)&lt;&gt;0),INDEX(Factor!$AN$5:$AV$51, _xlfn.XMATCH(IF(OR($G96="blast", $G96="curved", $G96= "debuff"), $L96, 0), Factor!$AN$5:$AN$51, -1), 2)*MOD($L96,1)*10,0),
_xlpm.상태이상보정치, VLOOKUP(IF($G96 = "debuff", $M96, "null"), Factor!$AX$5:$BE$51, _xlpm.기본_색인번호, 0),
_xlpm.지속시간보정치, INDEX(Factor!$BG$5:$BO$51, _xlfn.XMATCH(IF(OR($G96 ="debuff", $G96 = "shot", $G96 = "pierce"), $O96, 0), Factor!$BG$5:$BG$51, -1), _xlpm.추가_색인번호)-IF(AND(OR($G96 ="debuff", $G96 = "shot", $G96 = "pierce"), MOD($O96, 1)&lt;&gt;0), 10*MOD($O96, 1)*INDEX(Factor!$BG$5:$BO$51, _xlfn.XMATCH(IF(OR($G96 ="debuff", $G96 = "shot", $G96 = "pierce"), $O96, 0), Factor!$BG$5:$BG$51, -1), 2), 0),
_xlpm.탄환개수보정치, VLOOKUP(IF(OR($G96 = "curved", $G96 = "shot"), $Q96, 1), Factor!$BQ$5:$BX$51, _xlpm.기본_색인번호, 0),
_xlpm.상태이상탄환생성위치보정치, IF($G96 = "debuff", VLOOKUP($R96, Factor!$K$18:$R$19, _xlpm.기본_색인번호, 0),1),
_xlpm.상태이상탄환형태보정치, IF($G96 = "debuff", VLOOKUP($S96, Factor!$K$24:$R$25, _xlpm.기본_색인번호, 0),1),
_xlpm.가격보정치, INDEX(Factor!$AE$5:$AL$51, _xlfn.XMATCH($F96,Factor!$AE$5:$AE$51, -1), _xlpm.기본_색인번호),
_xlpm.구경보정치, VLOOKUP($D96,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</row>
    <row r="97" spans="1:33" ht="15.75" customHeight="1">
      <c r="A97" s="24" t="str">
        <f>"weapon_"&amp;G97&amp;"_"&amp;VLOOKUP(H97, Factor!$T$5:$AB$7, 9, 0)&amp;"_"&amp;IF(COUNTIFS($G$4:G96, G97, $H$4:H96, H97)+1&gt;=100, COUNTIFS($G$4:G96, G97, $H$4:H96, H97)+1,IF(COUNTIFS($G$4:G96, G97, $H$4:H96, H97)+1&gt;=10, "0"&amp;COUNTIFS($G$4:G96, G97, $H$4:H96, H97)+1, "00"&amp;COUNTIFS($G$4:G96, G97, $H$4:H96, H97)+1))</f>
        <v>weapon_single_Am_093</v>
      </c>
      <c r="B97" s="36" t="str">
        <f t="shared" si="1"/>
        <v>T7 7.62mm대공포</v>
      </c>
      <c r="C97" s="36" t="s">
        <v>160</v>
      </c>
      <c r="D97" s="36" t="s">
        <v>242</v>
      </c>
      <c r="E97" s="36" t="s">
        <v>276</v>
      </c>
      <c r="F97" s="25">
        <f>VLOOKUP(C97, Factor!$AD$5:$AE$15, 2, 0)</f>
        <v>7000</v>
      </c>
      <c r="G97" s="26" t="str">
        <f>VLOOKUP(E97, Factor!$CL$5:$CV$50, 2, 0)</f>
        <v>single</v>
      </c>
      <c r="H97" s="25" t="str">
        <f>VLOOKUP(E97, Factor!$CL$5:$CV$50, 3, 0)</f>
        <v>ammo</v>
      </c>
      <c r="I97" s="25" t="str">
        <f>VLOOKUP(E97, Factor!$CL$5:$CV$50, 4, 0)</f>
        <v>F</v>
      </c>
      <c r="J97" s="25" t="str">
        <f>VLOOKUP(E97, Factor!$CL$5:$CV$50, 5, 0)</f>
        <v>spread</v>
      </c>
      <c r="K97" s="25">
        <v>1</v>
      </c>
      <c r="L97" s="25">
        <f>VLOOKUP(E97, Factor!$CL$5:$CV$50, 6, 0)*K97*VLOOKUP(D97, Factor!$BZ$5:$CJ$49, 9, 0)</f>
        <v>0</v>
      </c>
      <c r="M97" s="25" t="str">
        <f>VLOOKUP(E97, Factor!$CL$5:$CV$50, 7, 0)</f>
        <v>null</v>
      </c>
      <c r="N97" s="25">
        <v>1</v>
      </c>
      <c r="O97" s="25">
        <f>VLOOKUP(E97, Factor!$CL$5:$CV$50, 8, 0)*N97*VLOOKUP(D97, Factor!$BZ$5:$CJ$49, 10, 0)</f>
        <v>0</v>
      </c>
      <c r="P97" s="25">
        <v>1</v>
      </c>
      <c r="Q97" s="25">
        <f>VLOOKUP(E97, Factor!$CL$5:$CV$50, 9, 0)*P97*VLOOKUP(D97, Factor!$BZ$5:$CJ$49, 11, 0)</f>
        <v>3</v>
      </c>
      <c r="R97" s="25" t="str">
        <f>VLOOKUP(E97, Factor!$CL$5:$CV$50, 10, 0)</f>
        <v>null</v>
      </c>
      <c r="S97" s="25" t="str">
        <f>VLOOKUP(E97, Factor!$CL$5:$CV$50, 11, 0)</f>
        <v>null</v>
      </c>
      <c r="T97" s="25">
        <v>1</v>
      </c>
      <c r="U97" s="25">
        <v>1</v>
      </c>
      <c r="V97" s="25">
        <v>1</v>
      </c>
      <c r="W97" s="25">
        <v>1</v>
      </c>
      <c r="X97" s="25">
        <v>1</v>
      </c>
      <c r="Y97" s="25">
        <v>1</v>
      </c>
      <c r="Z97" s="25">
        <v>1</v>
      </c>
      <c r="AA97" s="25" cm="1">
        <f t="array" ref="AA97">_xlfn.LET(_xlpm.기본_색인번호, 2,
_xlpm.추가_색인번호, 3,
_xlpm.개별보정치, T97,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B97" s="25" cm="1">
        <f t="array" ref="AB97">_xlfn.LET(_xlpm.기본_색인번호, 3,
_xlpm.추가_색인번호, 4,
_xlpm.개별보정치, U97,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7" s="25" cm="1">
        <f t="array" ref="AC97">_xlfn.LET(_xlpm.기본_색인번호, 4,
_xlpm.추가_색인번호, 5,
_xlpm.개별보정치, V97,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7" s="25" cm="1">
        <f t="array" ref="AD97">_xlfn.LET(_xlpm.기본_색인번호, 5,
_xlpm.추가_색인번호, 6,
_xlpm.개별보정치, W97,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E97" s="25" cm="1">
        <f t="array" ref="AE97">_xlfn.LET(_xlpm.기본_색인번호, 6,
_xlpm.추가_색인번호, 7,
_xlpm.개별보정치, X97,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F97" s="25" cm="1">
        <f t="array" ref="AF97">_xlfn.LET(_xlpm.기본_색인번호, 7,
_xlpm.추가_색인번호, 8,
_xlpm.개별보정치, Y97,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7" s="27" cm="1">
        <f t="array" ref="AG97">_xlfn.LET(_xlpm.기본_색인번호, 8,
_xlpm.추가_색인번호, 9,
_xlpm.개별보정치, Z97,
_xlpm.패턴보정치, VLOOKUP($G97, Factor!$B$5:$I$51, _xlpm.기본_색인번호, 0),
_xlpm.소모탄환보정치, VLOOKUP($H97, Factor!$T$5:$AA$51, _xlpm.기본_색인번호, 0),
_xlpm.지형보정치, VLOOKUP($I97, Factor!$K$12:$R$13, _xlpm.기본_색인번호, 0),
_xlpm.공격속성보정치, VLOOKUP($J97, Factor!$K$5:$R$7, _xlpm.기본_색인번호, 0),
_xlpm.피해범위보정치, INDEX(Factor!$AN$5:$AV$51, _xlfn.XMATCH(IF(OR($G97="blast", $G97="curved",  $G97= "debuff"), $L97, 0), Factor!$AN$5:$AN$51, -1), _xlpm.추가_색인번호)-IF(AND(OR($G97="blast", $G97="curved", $G97= "debuff"), MOD($L97,1)&lt;&gt;0),INDEX(Factor!$AN$5:$AV$51, _xlfn.XMATCH(IF(OR($G97="blast", $G97="curved", $G97= "debuff"), $L97, 0), Factor!$AN$5:$AN$51, -1), 2)*MOD($L97,1)*10,0),
_xlpm.상태이상보정치, VLOOKUP(IF($G97 = "debuff", $M97, "null"), Factor!$AX$5:$BE$51, _xlpm.기본_색인번호, 0),
_xlpm.지속시간보정치, INDEX(Factor!$BG$5:$BO$51, _xlfn.XMATCH(IF(OR($G97 ="debuff", $G97 = "shot", $G97 = "pierce"), $O97, 0), Factor!$BG$5:$BG$51, -1), _xlpm.추가_색인번호)-IF(AND(OR($G97 ="debuff", $G97 = "shot", $G97 = "pierce"), MOD($O97, 1)&lt;&gt;0), 10*MOD($O97, 1)*INDEX(Factor!$BG$5:$BO$51, _xlfn.XMATCH(IF(OR($G97 ="debuff", $G97 = "shot", $G97 = "pierce"), $O97, 0), Factor!$BG$5:$BG$51, -1), 2), 0),
_xlpm.탄환개수보정치, VLOOKUP(IF(OR($G97 = "curved", $G97 = "shot"), $Q97, 1), Factor!$BQ$5:$BX$51, _xlpm.기본_색인번호, 0),
_xlpm.상태이상탄환생성위치보정치, IF($G97 = "debuff", VLOOKUP($R97, Factor!$K$18:$R$19, _xlpm.기본_색인번호, 0),1),
_xlpm.상태이상탄환형태보정치, IF($G97 = "debuff", VLOOKUP($S97, Factor!$K$24:$R$25, _xlpm.기본_색인번호, 0),1),
_xlpm.가격보정치, INDEX(Factor!$AE$5:$AL$51, _xlfn.XMATCH($F97,Factor!$AE$5:$AE$51, -1), _xlpm.기본_색인번호),
_xlpm.구경보정치, VLOOKUP($D97,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</row>
    <row r="98" spans="1:33" ht="15.75" customHeight="1">
      <c r="A98" s="28" t="str">
        <f>"weapon_"&amp;G98&amp;"_"&amp;VLOOKUP(H98, Factor!$T$5:$AB$7, 9, 0)&amp;"_"&amp;IF(COUNTIFS($G$4:G97, G98, $H$4:H97, H98)+1&gt;=100, COUNTIFS($G$4:G97, G98, $H$4:H97, H98)+1,IF(COUNTIFS($G$4:G97, G98, $H$4:H97, H98)+1&gt;=10, "0"&amp;COUNTIFS($G$4:G97, G98, $H$4:H97, H98)+1, "00"&amp;COUNTIFS($G$4:G97, G98, $H$4:H97, H98)+1))</f>
        <v>weapon_single_Am_094</v>
      </c>
      <c r="B98" s="37" t="str">
        <f t="shared" si="1"/>
        <v>T7 12.7mm대공포</v>
      </c>
      <c r="C98" s="37" t="s">
        <v>160</v>
      </c>
      <c r="D98" s="37" t="s">
        <v>243</v>
      </c>
      <c r="E98" s="37" t="s">
        <v>276</v>
      </c>
      <c r="F98" s="29">
        <f>VLOOKUP(C98, Factor!$AD$5:$AE$15, 2, 0)</f>
        <v>7000</v>
      </c>
      <c r="G98" s="29" t="str">
        <f>VLOOKUP(E98, Factor!$CL$5:$CV$50, 2, 0)</f>
        <v>single</v>
      </c>
      <c r="H98" s="29" t="str">
        <f>VLOOKUP(E98, Factor!$CL$5:$CV$50, 3, 0)</f>
        <v>ammo</v>
      </c>
      <c r="I98" s="29" t="str">
        <f>VLOOKUP(E98, Factor!$CL$5:$CV$50, 4, 0)</f>
        <v>F</v>
      </c>
      <c r="J98" s="29" t="str">
        <f>VLOOKUP(E98, Factor!$CL$5:$CV$50, 5, 0)</f>
        <v>spread</v>
      </c>
      <c r="K98" s="29">
        <v>1</v>
      </c>
      <c r="L98" s="29">
        <f>VLOOKUP(E98, Factor!$CL$5:$CV$50, 6, 0)*K98*VLOOKUP(D98, Factor!$BZ$5:$CJ$49, 9, 0)</f>
        <v>0</v>
      </c>
      <c r="M98" s="29" t="str">
        <f>VLOOKUP(E98, Factor!$CL$5:$CV$50, 7, 0)</f>
        <v>null</v>
      </c>
      <c r="N98" s="29">
        <v>1</v>
      </c>
      <c r="O98" s="29">
        <f>VLOOKUP(E98, Factor!$CL$5:$CV$50, 8, 0)*N98*VLOOKUP(D98, Factor!$BZ$5:$CJ$49, 10, 0)</f>
        <v>0</v>
      </c>
      <c r="P98" s="29">
        <v>1</v>
      </c>
      <c r="Q98" s="29">
        <f>VLOOKUP(E98, Factor!$CL$5:$CV$50, 9, 0)*P98*VLOOKUP(D98, Factor!$BZ$5:$CJ$49, 11, 0)</f>
        <v>4</v>
      </c>
      <c r="R98" s="29" t="str">
        <f>VLOOKUP(E98, Factor!$CL$5:$CV$50, 10, 0)</f>
        <v>null</v>
      </c>
      <c r="S98" s="29" t="str">
        <f>VLOOKUP(E98, Factor!$CL$5:$CV$50, 11, 0)</f>
        <v>null</v>
      </c>
      <c r="T98" s="29">
        <v>1</v>
      </c>
      <c r="U98" s="29">
        <v>1</v>
      </c>
      <c r="V98" s="29">
        <v>1</v>
      </c>
      <c r="W98" s="29">
        <v>1</v>
      </c>
      <c r="X98" s="29">
        <v>1</v>
      </c>
      <c r="Y98" s="29">
        <v>1</v>
      </c>
      <c r="Z98" s="29">
        <v>1</v>
      </c>
      <c r="AA98" s="29" cm="1">
        <f t="array" ref="AA98">_xlfn.LET(_xlpm.기본_색인번호, 2,
_xlpm.추가_색인번호, 3,
_xlpm.개별보정치, T98,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B98" s="29" cm="1">
        <f t="array" ref="AB98">_xlfn.LET(_xlpm.기본_색인번호, 3,
_xlpm.추가_색인번호, 4,
_xlpm.개별보정치, U98,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8" s="29" cm="1">
        <f t="array" ref="AC98">_xlfn.LET(_xlpm.기본_색인번호, 4,
_xlpm.추가_색인번호, 5,
_xlpm.개별보정치, V98,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8" s="29" cm="1">
        <f t="array" ref="AD98">_xlfn.LET(_xlpm.기본_색인번호, 5,
_xlpm.추가_색인번호, 6,
_xlpm.개별보정치, W98,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E98" s="29" cm="1">
        <f t="array" ref="AE98">_xlfn.LET(_xlpm.기본_색인번호, 6,
_xlpm.추가_색인번호, 7,
_xlpm.개별보정치, X98,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F98" s="29" cm="1">
        <f t="array" ref="AF98">_xlfn.LET(_xlpm.기본_색인번호, 7,
_xlpm.추가_색인번호, 8,
_xlpm.개별보정치, Y98,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8" s="30" cm="1">
        <f t="array" ref="AG98">_xlfn.LET(_xlpm.기본_색인번호, 8,
_xlpm.추가_색인번호, 9,
_xlpm.개별보정치, Z98,
_xlpm.패턴보정치, VLOOKUP($G98, Factor!$B$5:$I$51, _xlpm.기본_색인번호, 0),
_xlpm.소모탄환보정치, VLOOKUP($H98, Factor!$T$5:$AA$51, _xlpm.기본_색인번호, 0),
_xlpm.지형보정치, VLOOKUP($I98, Factor!$K$12:$R$13, _xlpm.기본_색인번호, 0),
_xlpm.공격속성보정치, VLOOKUP($J98, Factor!$K$5:$R$7, _xlpm.기본_색인번호, 0),
_xlpm.피해범위보정치, INDEX(Factor!$AN$5:$AV$51, _xlfn.XMATCH(IF(OR($G98="blast", $G98="curved",  $G98= "debuff"), $L98, 0), Factor!$AN$5:$AN$51, -1), _xlpm.추가_색인번호)-IF(AND(OR($G98="blast", $G98="curved", $G98= "debuff"), MOD($L98,1)&lt;&gt;0),INDEX(Factor!$AN$5:$AV$51, _xlfn.XMATCH(IF(OR($G98="blast", $G98="curved", $G98= "debuff"), $L98, 0), Factor!$AN$5:$AN$51, -1), 2)*MOD($L98,1)*10,0),
_xlpm.상태이상보정치, VLOOKUP(IF($G98 = "debuff", $M98, "null"), Factor!$AX$5:$BE$51, _xlpm.기본_색인번호, 0),
_xlpm.지속시간보정치, INDEX(Factor!$BG$5:$BO$51, _xlfn.XMATCH(IF(OR($G98 ="debuff", $G98 = "shot", $G98 = "pierce"), $O98, 0), Factor!$BG$5:$BG$51, -1), _xlpm.추가_색인번호)-IF(AND(OR($G98 ="debuff", $G98 = "shot", $G98 = "pierce"), MOD($O98, 1)&lt;&gt;0), 10*MOD($O98, 1)*INDEX(Factor!$BG$5:$BO$51, _xlfn.XMATCH(IF(OR($G98 ="debuff", $G98 = "shot", $G98 = "pierce"), $O98, 0), Factor!$BG$5:$BG$51, -1), 2), 0),
_xlpm.탄환개수보정치, VLOOKUP(IF(OR($G98 = "curved", $G98 = "shot"), $Q98, 1), Factor!$BQ$5:$BX$51, _xlpm.기본_색인번호, 0),
_xlpm.상태이상탄환생성위치보정치, IF($G98 = "debuff", VLOOKUP($R98, Factor!$K$18:$R$19, _xlpm.기본_색인번호, 0),1),
_xlpm.상태이상탄환형태보정치, IF($G98 = "debuff", VLOOKUP($S98, Factor!$K$24:$R$25, _xlpm.기본_색인번호, 0),1),
_xlpm.가격보정치, INDEX(Factor!$AE$5:$AL$51, _xlfn.XMATCH($F98,Factor!$AE$5:$AE$51, -1), _xlpm.기본_색인번호),
_xlpm.구경보정치, VLOOKUP($D98,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</row>
    <row r="99" spans="1:33" ht="15.75" customHeight="1">
      <c r="A99" s="24" t="str">
        <f>"weapon_"&amp;G99&amp;"_"&amp;VLOOKUP(H99, Factor!$T$5:$AB$7, 9, 0)&amp;"_"&amp;IF(COUNTIFS($G$4:G98, G99, $H$4:H98, H99)+1&gt;=100, COUNTIFS($G$4:G98, G99, $H$4:H98, H99)+1,IF(COUNTIFS($G$4:G98, G99, $H$4:H98, H99)+1&gt;=10, "0"&amp;COUNTIFS($G$4:G98, G99, $H$4:H98, H99)+1, "00"&amp;COUNTIFS($G$4:G98, G99, $H$4:H98, H99)+1))</f>
        <v>weapon_single_Am_095</v>
      </c>
      <c r="B99" s="36" t="str">
        <f t="shared" si="1"/>
        <v>T7 20mm대공포</v>
      </c>
      <c r="C99" s="36" t="s">
        <v>160</v>
      </c>
      <c r="D99" s="36" t="s">
        <v>244</v>
      </c>
      <c r="E99" s="36" t="s">
        <v>276</v>
      </c>
      <c r="F99" s="25">
        <f>VLOOKUP(C99, Factor!$AD$5:$AE$15, 2, 0)</f>
        <v>7000</v>
      </c>
      <c r="G99" s="26" t="str">
        <f>VLOOKUP(E99, Factor!$CL$5:$CV$50, 2, 0)</f>
        <v>single</v>
      </c>
      <c r="H99" s="25" t="str">
        <f>VLOOKUP(E99, Factor!$CL$5:$CV$50, 3, 0)</f>
        <v>ammo</v>
      </c>
      <c r="I99" s="25" t="str">
        <f>VLOOKUP(E99, Factor!$CL$5:$CV$50, 4, 0)</f>
        <v>F</v>
      </c>
      <c r="J99" s="25" t="str">
        <f>VLOOKUP(E99, Factor!$CL$5:$CV$50, 5, 0)</f>
        <v>spread</v>
      </c>
      <c r="K99" s="25">
        <v>1</v>
      </c>
      <c r="L99" s="25">
        <f>VLOOKUP(E99, Factor!$CL$5:$CV$50, 6, 0)*K99*VLOOKUP(D99, Factor!$BZ$5:$CJ$49, 9, 0)</f>
        <v>0</v>
      </c>
      <c r="M99" s="25" t="str">
        <f>VLOOKUP(E99, Factor!$CL$5:$CV$50, 7, 0)</f>
        <v>null</v>
      </c>
      <c r="N99" s="25">
        <v>1</v>
      </c>
      <c r="O99" s="25">
        <f>VLOOKUP(E99, Factor!$CL$5:$CV$50, 8, 0)*N99*VLOOKUP(D99, Factor!$BZ$5:$CJ$49, 10, 0)</f>
        <v>0</v>
      </c>
      <c r="P99" s="25">
        <v>1</v>
      </c>
      <c r="Q99" s="25">
        <f>VLOOKUP(E99, Factor!$CL$5:$CV$50, 9, 0)*P99*VLOOKUP(D99, Factor!$BZ$5:$CJ$49, 11, 0)</f>
        <v>5</v>
      </c>
      <c r="R99" s="25" t="str">
        <f>VLOOKUP(E99, Factor!$CL$5:$CV$50, 10, 0)</f>
        <v>null</v>
      </c>
      <c r="S99" s="25" t="str">
        <f>VLOOKUP(E99, Factor!$CL$5:$CV$50, 11, 0)</f>
        <v>null</v>
      </c>
      <c r="T99" s="25">
        <v>1</v>
      </c>
      <c r="U99" s="25">
        <v>1</v>
      </c>
      <c r="V99" s="25">
        <v>1</v>
      </c>
      <c r="W99" s="25">
        <v>1</v>
      </c>
      <c r="X99" s="25">
        <v>1</v>
      </c>
      <c r="Y99" s="25">
        <v>1</v>
      </c>
      <c r="Z99" s="25">
        <v>1</v>
      </c>
      <c r="AA99" s="25" cm="1">
        <f t="array" ref="AA99">_xlfn.LET(_xlpm.기본_색인번호, 2,
_xlpm.추가_색인번호, 3,
_xlpm.개별보정치, T99,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B99" s="25" cm="1">
        <f t="array" ref="AB99">_xlfn.LET(_xlpm.기본_색인번호, 3,
_xlpm.추가_색인번호, 4,
_xlpm.개별보정치, U99,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99" s="25" cm="1">
        <f t="array" ref="AC99">_xlfn.LET(_xlpm.기본_색인번호, 4,
_xlpm.추가_색인번호, 5,
_xlpm.개별보정치, V99,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99" s="25" cm="1">
        <f t="array" ref="AD99">_xlfn.LET(_xlpm.기본_색인번호, 5,
_xlpm.추가_색인번호, 6,
_xlpm.개별보정치, W99,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E99" s="25" cm="1">
        <f t="array" ref="AE99">_xlfn.LET(_xlpm.기본_색인번호, 6,
_xlpm.추가_색인번호, 7,
_xlpm.개별보정치, X99,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  <c r="AF99" s="25" cm="1">
        <f t="array" ref="AF99">_xlfn.LET(_xlpm.기본_색인번호, 7,
_xlpm.추가_색인번호, 8,
_xlpm.개별보정치, Y99,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99" s="27" cm="1">
        <f t="array" ref="AG99">_xlfn.LET(_xlpm.기본_색인번호, 8,
_xlpm.추가_색인번호, 9,
_xlpm.개별보정치, Z99,
_xlpm.패턴보정치, VLOOKUP($G99, Factor!$B$5:$I$51, _xlpm.기본_색인번호, 0),
_xlpm.소모탄환보정치, VLOOKUP($H99, Factor!$T$5:$AA$51, _xlpm.기본_색인번호, 0),
_xlpm.지형보정치, VLOOKUP($I99, Factor!$K$12:$R$13, _xlpm.기본_색인번호, 0),
_xlpm.공격속성보정치, VLOOKUP($J99, Factor!$K$5:$R$7, _xlpm.기본_색인번호, 0),
_xlpm.피해범위보정치, INDEX(Factor!$AN$5:$AV$51, _xlfn.XMATCH(IF(OR($G99="blast", $G99="curved",  $G99= "debuff"), $L99, 0), Factor!$AN$5:$AN$51, -1), _xlpm.추가_색인번호)-IF(AND(OR($G99="blast", $G99="curved", $G99= "debuff"), MOD($L99,1)&lt;&gt;0),INDEX(Factor!$AN$5:$AV$51, _xlfn.XMATCH(IF(OR($G99="blast", $G99="curved", $G99= "debuff"), $L99, 0), Factor!$AN$5:$AN$51, -1), 2)*MOD($L99,1)*10,0),
_xlpm.상태이상보정치, VLOOKUP(IF($G99 = "debuff", $M99, "null"), Factor!$AX$5:$BE$51, _xlpm.기본_색인번호, 0),
_xlpm.지속시간보정치, INDEX(Factor!$BG$5:$BO$51, _xlfn.XMATCH(IF(OR($G99 ="debuff", $G99 = "shot", $G99 = "pierce"), $O99, 0), Factor!$BG$5:$BG$51, -1), _xlpm.추가_색인번호)-IF(AND(OR($G99 ="debuff", $G99 = "shot", $G99 = "pierce"), MOD($O99, 1)&lt;&gt;0), 10*MOD($O99, 1)*INDEX(Factor!$BG$5:$BO$51, _xlfn.XMATCH(IF(OR($G99 ="debuff", $G99 = "shot", $G99 = "pierce"), $O99, 0), Factor!$BG$5:$BG$51, -1), 2), 0),
_xlpm.탄환개수보정치, VLOOKUP(IF(OR($G99 = "curved", $G99 = "shot"), $Q99, 1), Factor!$BQ$5:$BX$51, _xlpm.기본_색인번호, 0),
_xlpm.상태이상탄환생성위치보정치, IF($G99 = "debuff", VLOOKUP($R99, Factor!$K$18:$R$19, _xlpm.기본_색인번호, 0),1),
_xlpm.상태이상탄환형태보정치, IF($G99 = "debuff", VLOOKUP($S99, Factor!$K$24:$R$25, _xlpm.기본_색인번호, 0),1),
_xlpm.가격보정치, INDEX(Factor!$AE$5:$AL$51, _xlfn.XMATCH($F99,Factor!$AE$5:$AE$51, -1), _xlpm.기본_색인번호),
_xlpm.구경보정치, VLOOKUP($D99,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</v>
      </c>
    </row>
    <row r="100" spans="1:33" ht="15.75" customHeight="1">
      <c r="A100" s="28" t="str">
        <f>"weapon_"&amp;G100&amp;"_"&amp;VLOOKUP(H100, Factor!$T$5:$AB$7, 9, 0)&amp;"_"&amp;IF(COUNTIFS($G$4:G99, G100, $H$4:H99, H100)+1&gt;=100, COUNTIFS($G$4:G99, G100, $H$4:H99, H100)+1,IF(COUNTIFS($G$4:G99, G100, $H$4:H99, H100)+1&gt;=10, "0"&amp;COUNTIFS($G$4:G99, G100, $H$4:H99, H100)+1, "00"&amp;COUNTIFS($G$4:G99, G100, $H$4:H99, H100)+1))</f>
        <v>weapon_single_Am_096</v>
      </c>
      <c r="B100" s="37" t="str">
        <f t="shared" si="1"/>
        <v>T8 대공포</v>
      </c>
      <c r="C100" s="37" t="s">
        <v>161</v>
      </c>
      <c r="D100" s="37" t="s">
        <v>275</v>
      </c>
      <c r="E100" s="37" t="s">
        <v>276</v>
      </c>
      <c r="F100" s="29">
        <f>VLOOKUP(C100, Factor!$AD$5:$AE$15, 2, 0)</f>
        <v>8000</v>
      </c>
      <c r="G100" s="29" t="str">
        <f>VLOOKUP(E100, Factor!$CL$5:$CV$50, 2, 0)</f>
        <v>single</v>
      </c>
      <c r="H100" s="29" t="str">
        <f>VLOOKUP(E100, Factor!$CL$5:$CV$50, 3, 0)</f>
        <v>ammo</v>
      </c>
      <c r="I100" s="29" t="str">
        <f>VLOOKUP(E100, Factor!$CL$5:$CV$50, 4, 0)</f>
        <v>F</v>
      </c>
      <c r="J100" s="29" t="str">
        <f>VLOOKUP(E100, Factor!$CL$5:$CV$50, 5, 0)</f>
        <v>spread</v>
      </c>
      <c r="K100" s="29">
        <v>1</v>
      </c>
      <c r="L100" s="29">
        <f>VLOOKUP(E100, Factor!$CL$5:$CV$50, 6, 0)*K100*VLOOKUP(D100, Factor!$BZ$5:$CJ$49, 9, 0)</f>
        <v>0</v>
      </c>
      <c r="M100" s="29" t="str">
        <f>VLOOKUP(E100, Factor!$CL$5:$CV$50, 7, 0)</f>
        <v>null</v>
      </c>
      <c r="N100" s="29">
        <v>1</v>
      </c>
      <c r="O100" s="29">
        <f>VLOOKUP(E100, Factor!$CL$5:$CV$50, 8, 0)*N100*VLOOKUP(D100, Factor!$BZ$5:$CJ$49, 10, 0)</f>
        <v>0</v>
      </c>
      <c r="P100" s="29">
        <v>1</v>
      </c>
      <c r="Q100" s="29">
        <f>VLOOKUP(E100, Factor!$CL$5:$CV$50, 9, 0)*P100*VLOOKUP(D100, Factor!$BZ$5:$CJ$49, 11, 0)</f>
        <v>1</v>
      </c>
      <c r="R100" s="29" t="str">
        <f>VLOOKUP(E100, Factor!$CL$5:$CV$50, 10, 0)</f>
        <v>null</v>
      </c>
      <c r="S100" s="29" t="str">
        <f>VLOOKUP(E100, Factor!$CL$5:$CV$50, 11, 0)</f>
        <v>null</v>
      </c>
      <c r="T100" s="29">
        <v>1</v>
      </c>
      <c r="U100" s="29">
        <v>1</v>
      </c>
      <c r="V100" s="29">
        <v>1</v>
      </c>
      <c r="W100" s="29">
        <v>1</v>
      </c>
      <c r="X100" s="29">
        <v>1</v>
      </c>
      <c r="Y100" s="29">
        <v>1</v>
      </c>
      <c r="Z100" s="29">
        <v>1</v>
      </c>
      <c r="AA100" s="29" cm="1">
        <f t="array" ref="AA100">_xlfn.LET(_xlpm.기본_색인번호, 2,
_xlpm.추가_색인번호, 3,
_xlpm.개별보정치, T100,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B100" s="29" cm="1">
        <f t="array" ref="AB100">_xlfn.LET(_xlpm.기본_색인번호, 3,
_xlpm.추가_색인번호, 4,
_xlpm.개별보정치, U100,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100" s="29" cm="1">
        <f t="array" ref="AC100">_xlfn.LET(_xlpm.기본_색인번호, 4,
_xlpm.추가_색인번호, 5,
_xlpm.개별보정치, V100,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0" s="29" cm="1">
        <f t="array" ref="AD100">_xlfn.LET(_xlpm.기본_색인번호, 5,
_xlpm.추가_색인번호, 6,
_xlpm.개별보정치, W100,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00" s="29" cm="1">
        <f t="array" ref="AE100">_xlfn.LET(_xlpm.기본_색인번호, 6,
_xlpm.추가_색인번호, 7,
_xlpm.개별보정치, X100,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00" s="29" cm="1">
        <f t="array" ref="AF100">_xlfn.LET(_xlpm.기본_색인번호, 7,
_xlpm.추가_색인번호, 8,
_xlpm.개별보정치, Y100,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0" s="30" cm="1">
        <f t="array" ref="AG100">_xlfn.LET(_xlpm.기본_색인번호, 8,
_xlpm.추가_색인번호, 9,
_xlpm.개별보정치, Z100,
_xlpm.패턴보정치, VLOOKUP($G100, Factor!$B$5:$I$51, _xlpm.기본_색인번호, 0),
_xlpm.소모탄환보정치, VLOOKUP($H100, Factor!$T$5:$AA$51, _xlpm.기본_색인번호, 0),
_xlpm.지형보정치, VLOOKUP($I100, Factor!$K$12:$R$13, _xlpm.기본_색인번호, 0),
_xlpm.공격속성보정치, VLOOKUP($J100, Factor!$K$5:$R$7, _xlpm.기본_색인번호, 0),
_xlpm.피해범위보정치, INDEX(Factor!$AN$5:$AV$51, _xlfn.XMATCH(IF(OR($G100="blast", $G100="curved",  $G100= "debuff"), $L100, 0), Factor!$AN$5:$AN$51, -1), _xlpm.추가_색인번호)-IF(AND(OR($G100="blast", $G100="curved", $G100= "debuff"), MOD($L100,1)&lt;&gt;0),INDEX(Factor!$AN$5:$AV$51, _xlfn.XMATCH(IF(OR($G100="blast", $G100="curved", $G100= "debuff"), $L100, 0), Factor!$AN$5:$AN$51, -1), 2)*MOD($L100,1)*10,0),
_xlpm.상태이상보정치, VLOOKUP(IF($G100 = "debuff", $M100, "null"), Factor!$AX$5:$BE$51, _xlpm.기본_색인번호, 0),
_xlpm.지속시간보정치, INDEX(Factor!$BG$5:$BO$51, _xlfn.XMATCH(IF(OR($G100 ="debuff", $G100 = "shot", $G100 = "pierce"), $O100, 0), Factor!$BG$5:$BG$51, -1), _xlpm.추가_색인번호)-IF(AND(OR($G100 ="debuff", $G100 = "shot", $G100 = "pierce"), MOD($O100, 1)&lt;&gt;0), 10*MOD($O100, 1)*INDEX(Factor!$BG$5:$BO$51, _xlfn.XMATCH(IF(OR($G100 ="debuff", $G100 = "shot", $G100 = "pierce"), $O100, 0), Factor!$BG$5:$BG$51, -1), 2), 0),
_xlpm.탄환개수보정치, VLOOKUP(IF(OR($G100 = "curved", $G100 = "shot"), $Q100, 1), Factor!$BQ$5:$BX$51, _xlpm.기본_색인번호, 0),
_xlpm.상태이상탄환생성위치보정치, IF($G100 = "debuff", VLOOKUP($R100, Factor!$K$18:$R$19, _xlpm.기본_색인번호, 0),1),
_xlpm.상태이상탄환형태보정치, IF($G100 = "debuff", VLOOKUP($S100, Factor!$K$24:$R$25, _xlpm.기본_색인번호, 0),1),
_xlpm.가격보정치, INDEX(Factor!$AE$5:$AL$51, _xlfn.XMATCH($F100,Factor!$AE$5:$AE$51, -1), _xlpm.기본_색인번호),
_xlpm.구경보정치, VLOOKUP($D100,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01" spans="1:33" ht="15.75" customHeight="1">
      <c r="A101" s="24" t="str">
        <f>"weapon_"&amp;G101&amp;"_"&amp;VLOOKUP(H101, Factor!$T$5:$AB$7, 9, 0)&amp;"_"&amp;IF(COUNTIFS($G$4:G100, G101, $H$4:H100, H101)+1&gt;=100, COUNTIFS($G$4:G100, G101, $H$4:H100, H101)+1,IF(COUNTIFS($G$4:G100, G101, $H$4:H100, H101)+1&gt;=10, "0"&amp;COUNTIFS($G$4:G100, G101, $H$4:H100, H101)+1, "00"&amp;COUNTIFS($G$4:G100, G101, $H$4:H100, H101)+1))</f>
        <v>weapon_single_Am_097</v>
      </c>
      <c r="B101" s="36" t="str">
        <f t="shared" si="1"/>
        <v>T8 5.56mm대공포</v>
      </c>
      <c r="C101" s="36" t="s">
        <v>161</v>
      </c>
      <c r="D101" s="36" t="s">
        <v>241</v>
      </c>
      <c r="E101" s="36" t="s">
        <v>276</v>
      </c>
      <c r="F101" s="25">
        <f>VLOOKUP(C101, Factor!$AD$5:$AE$15, 2, 0)</f>
        <v>8000</v>
      </c>
      <c r="G101" s="26" t="str">
        <f>VLOOKUP(E101, Factor!$CL$5:$CV$50, 2, 0)</f>
        <v>single</v>
      </c>
      <c r="H101" s="25" t="str">
        <f>VLOOKUP(E101, Factor!$CL$5:$CV$50, 3, 0)</f>
        <v>ammo</v>
      </c>
      <c r="I101" s="25" t="str">
        <f>VLOOKUP(E101, Factor!$CL$5:$CV$50, 4, 0)</f>
        <v>F</v>
      </c>
      <c r="J101" s="25" t="str">
        <f>VLOOKUP(E101, Factor!$CL$5:$CV$50, 5, 0)</f>
        <v>spread</v>
      </c>
      <c r="K101" s="25">
        <v>1</v>
      </c>
      <c r="L101" s="25">
        <f>VLOOKUP(E101, Factor!$CL$5:$CV$50, 6, 0)*K101*VLOOKUP(D101, Factor!$BZ$5:$CJ$49, 9, 0)</f>
        <v>0</v>
      </c>
      <c r="M101" s="25" t="str">
        <f>VLOOKUP(E101, Factor!$CL$5:$CV$50, 7, 0)</f>
        <v>null</v>
      </c>
      <c r="N101" s="25">
        <v>1</v>
      </c>
      <c r="O101" s="25">
        <f>VLOOKUP(E101, Factor!$CL$5:$CV$50, 8, 0)*N101*VLOOKUP(D101, Factor!$BZ$5:$CJ$49, 10, 0)</f>
        <v>0</v>
      </c>
      <c r="P101" s="25">
        <v>1</v>
      </c>
      <c r="Q101" s="25">
        <f>VLOOKUP(E101, Factor!$CL$5:$CV$50, 9, 0)*P101*VLOOKUP(D101, Factor!$BZ$5:$CJ$49, 11, 0)</f>
        <v>2</v>
      </c>
      <c r="R101" s="25" t="str">
        <f>VLOOKUP(E101, Factor!$CL$5:$CV$50, 10, 0)</f>
        <v>null</v>
      </c>
      <c r="S101" s="25" t="str">
        <f>VLOOKUP(E101, Factor!$CL$5:$CV$50, 11, 0)</f>
        <v>null</v>
      </c>
      <c r="T101" s="25">
        <v>1</v>
      </c>
      <c r="U101" s="25">
        <v>1</v>
      </c>
      <c r="V101" s="25">
        <v>1</v>
      </c>
      <c r="W101" s="25">
        <v>1</v>
      </c>
      <c r="X101" s="25">
        <v>1</v>
      </c>
      <c r="Y101" s="25">
        <v>1</v>
      </c>
      <c r="Z101" s="25">
        <v>1</v>
      </c>
      <c r="AA101" s="25" cm="1">
        <f t="array" ref="AA101">_xlfn.LET(_xlpm.기본_색인번호, 2,
_xlpm.추가_색인번호, 3,
_xlpm.개별보정치, T101,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B101" s="25" cm="1">
        <f t="array" ref="AB101">_xlfn.LET(_xlpm.기본_색인번호, 3,
_xlpm.추가_색인번호, 4,
_xlpm.개별보정치, U101,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101" s="25" cm="1">
        <f t="array" ref="AC101">_xlfn.LET(_xlpm.기본_색인번호, 4,
_xlpm.추가_색인번호, 5,
_xlpm.개별보정치, V101,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1" s="25" cm="1">
        <f t="array" ref="AD101">_xlfn.LET(_xlpm.기본_색인번호, 5,
_xlpm.추가_색인번호, 6,
_xlpm.개별보정치, W101,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01" s="25" cm="1">
        <f t="array" ref="AE101">_xlfn.LET(_xlpm.기본_색인번호, 6,
_xlpm.추가_색인번호, 7,
_xlpm.개별보정치, X101,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01" s="25" cm="1">
        <f t="array" ref="AF101">_xlfn.LET(_xlpm.기본_색인번호, 7,
_xlpm.추가_색인번호, 8,
_xlpm.개별보정치, Y101,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1" s="27" cm="1">
        <f t="array" ref="AG101">_xlfn.LET(_xlpm.기본_색인번호, 8,
_xlpm.추가_색인번호, 9,
_xlpm.개별보정치, Z101,
_xlpm.패턴보정치, VLOOKUP($G101, Factor!$B$5:$I$51, _xlpm.기본_색인번호, 0),
_xlpm.소모탄환보정치, VLOOKUP($H101, Factor!$T$5:$AA$51, _xlpm.기본_색인번호, 0),
_xlpm.지형보정치, VLOOKUP($I101, Factor!$K$12:$R$13, _xlpm.기본_색인번호, 0),
_xlpm.공격속성보정치, VLOOKUP($J101, Factor!$K$5:$R$7, _xlpm.기본_색인번호, 0),
_xlpm.피해범위보정치, INDEX(Factor!$AN$5:$AV$51, _xlfn.XMATCH(IF(OR($G101="blast", $G101="curved",  $G101= "debuff"), $L101, 0), Factor!$AN$5:$AN$51, -1), _xlpm.추가_색인번호)-IF(AND(OR($G101="blast", $G101="curved", $G101= "debuff"), MOD($L101,1)&lt;&gt;0),INDEX(Factor!$AN$5:$AV$51, _xlfn.XMATCH(IF(OR($G101="blast", $G101="curved", $G101= "debuff"), $L101, 0), Factor!$AN$5:$AN$51, -1), 2)*MOD($L101,1)*10,0),
_xlpm.상태이상보정치, VLOOKUP(IF($G101 = "debuff", $M101, "null"), Factor!$AX$5:$BE$51, _xlpm.기본_색인번호, 0),
_xlpm.지속시간보정치, INDEX(Factor!$BG$5:$BO$51, _xlfn.XMATCH(IF(OR($G101 ="debuff", $G101 = "shot", $G101 = "pierce"), $O101, 0), Factor!$BG$5:$BG$51, -1), _xlpm.추가_색인번호)-IF(AND(OR($G101 ="debuff", $G101 = "shot", $G101 = "pierce"), MOD($O101, 1)&lt;&gt;0), 10*MOD($O101, 1)*INDEX(Factor!$BG$5:$BO$51, _xlfn.XMATCH(IF(OR($G101 ="debuff", $G101 = "shot", $G101 = "pierce"), $O101, 0), Factor!$BG$5:$BG$51, -1), 2), 0),
_xlpm.탄환개수보정치, VLOOKUP(IF(OR($G101 = "curved", $G101 = "shot"), $Q101, 1), Factor!$BQ$5:$BX$51, _xlpm.기본_색인번호, 0),
_xlpm.상태이상탄환생성위치보정치, IF($G101 = "debuff", VLOOKUP($R101, Factor!$K$18:$R$19, _xlpm.기본_색인번호, 0),1),
_xlpm.상태이상탄환형태보정치, IF($G101 = "debuff", VLOOKUP($S101, Factor!$K$24:$R$25, _xlpm.기본_색인번호, 0),1),
_xlpm.가격보정치, INDEX(Factor!$AE$5:$AL$51, _xlfn.XMATCH($F101,Factor!$AE$5:$AE$51, -1), _xlpm.기본_색인번호),
_xlpm.구경보정치, VLOOKUP($D101,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02" spans="1:33" ht="15.75" customHeight="1">
      <c r="A102" s="28" t="str">
        <f>"weapon_"&amp;G102&amp;"_"&amp;VLOOKUP(H102, Factor!$T$5:$AB$7, 9, 0)&amp;"_"&amp;IF(COUNTIFS($G$4:G101, G102, $H$4:H101, H102)+1&gt;=100, COUNTIFS($G$4:G101, G102, $H$4:H101, H102)+1,IF(COUNTIFS($G$4:G101, G102, $H$4:H101, H102)+1&gt;=10, "0"&amp;COUNTIFS($G$4:G101, G102, $H$4:H101, H102)+1, "00"&amp;COUNTIFS($G$4:G101, G102, $H$4:H101, H102)+1))</f>
        <v>weapon_single_Am_098</v>
      </c>
      <c r="B102" s="37" t="str">
        <f t="shared" si="1"/>
        <v>T8 7.62mm대공포</v>
      </c>
      <c r="C102" s="37" t="s">
        <v>161</v>
      </c>
      <c r="D102" s="37" t="s">
        <v>242</v>
      </c>
      <c r="E102" s="37" t="s">
        <v>276</v>
      </c>
      <c r="F102" s="29">
        <f>VLOOKUP(C102, Factor!$AD$5:$AE$15, 2, 0)</f>
        <v>8000</v>
      </c>
      <c r="G102" s="29" t="str">
        <f>VLOOKUP(E102, Factor!$CL$5:$CV$50, 2, 0)</f>
        <v>single</v>
      </c>
      <c r="H102" s="29" t="str">
        <f>VLOOKUP(E102, Factor!$CL$5:$CV$50, 3, 0)</f>
        <v>ammo</v>
      </c>
      <c r="I102" s="29" t="str">
        <f>VLOOKUP(E102, Factor!$CL$5:$CV$50, 4, 0)</f>
        <v>F</v>
      </c>
      <c r="J102" s="29" t="str">
        <f>VLOOKUP(E102, Factor!$CL$5:$CV$50, 5, 0)</f>
        <v>spread</v>
      </c>
      <c r="K102" s="29">
        <v>1</v>
      </c>
      <c r="L102" s="29">
        <f>VLOOKUP(E102, Factor!$CL$5:$CV$50, 6, 0)*K102*VLOOKUP(D102, Factor!$BZ$5:$CJ$49, 9, 0)</f>
        <v>0</v>
      </c>
      <c r="M102" s="29" t="str">
        <f>VLOOKUP(E102, Factor!$CL$5:$CV$50, 7, 0)</f>
        <v>null</v>
      </c>
      <c r="N102" s="29">
        <v>1</v>
      </c>
      <c r="O102" s="29">
        <f>VLOOKUP(E102, Factor!$CL$5:$CV$50, 8, 0)*N102*VLOOKUP(D102, Factor!$BZ$5:$CJ$49, 10, 0)</f>
        <v>0</v>
      </c>
      <c r="P102" s="29">
        <v>1</v>
      </c>
      <c r="Q102" s="29">
        <f>VLOOKUP(E102, Factor!$CL$5:$CV$50, 9, 0)*P102*VLOOKUP(D102, Factor!$BZ$5:$CJ$49, 11, 0)</f>
        <v>3</v>
      </c>
      <c r="R102" s="29" t="str">
        <f>VLOOKUP(E102, Factor!$CL$5:$CV$50, 10, 0)</f>
        <v>null</v>
      </c>
      <c r="S102" s="29" t="str">
        <f>VLOOKUP(E102, Factor!$CL$5:$CV$50, 11, 0)</f>
        <v>null</v>
      </c>
      <c r="T102" s="29">
        <v>1</v>
      </c>
      <c r="U102" s="29">
        <v>1</v>
      </c>
      <c r="V102" s="29">
        <v>1</v>
      </c>
      <c r="W102" s="29">
        <v>1</v>
      </c>
      <c r="X102" s="29">
        <v>1</v>
      </c>
      <c r="Y102" s="29">
        <v>1</v>
      </c>
      <c r="Z102" s="29">
        <v>1</v>
      </c>
      <c r="AA102" s="29" cm="1">
        <f t="array" ref="AA102">_xlfn.LET(_xlpm.기본_색인번호, 2,
_xlpm.추가_색인번호, 3,
_xlpm.개별보정치, T102,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B102" s="29" cm="1">
        <f t="array" ref="AB102">_xlfn.LET(_xlpm.기본_색인번호, 3,
_xlpm.추가_색인번호, 4,
_xlpm.개별보정치, U102,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102" s="29" cm="1">
        <f t="array" ref="AC102">_xlfn.LET(_xlpm.기본_색인번호, 4,
_xlpm.추가_색인번호, 5,
_xlpm.개별보정치, V102,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2" s="29" cm="1">
        <f t="array" ref="AD102">_xlfn.LET(_xlpm.기본_색인번호, 5,
_xlpm.추가_색인번호, 6,
_xlpm.개별보정치, W102,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02" s="29" cm="1">
        <f t="array" ref="AE102">_xlfn.LET(_xlpm.기본_색인번호, 6,
_xlpm.추가_색인번호, 7,
_xlpm.개별보정치, X102,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02" s="29" cm="1">
        <f t="array" ref="AF102">_xlfn.LET(_xlpm.기본_색인번호, 7,
_xlpm.추가_색인번호, 8,
_xlpm.개별보정치, Y102,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2" s="30" cm="1">
        <f t="array" ref="AG102">_xlfn.LET(_xlpm.기본_색인번호, 8,
_xlpm.추가_색인번호, 9,
_xlpm.개별보정치, Z102,
_xlpm.패턴보정치, VLOOKUP($G102, Factor!$B$5:$I$51, _xlpm.기본_색인번호, 0),
_xlpm.소모탄환보정치, VLOOKUP($H102, Factor!$T$5:$AA$51, _xlpm.기본_색인번호, 0),
_xlpm.지형보정치, VLOOKUP($I102, Factor!$K$12:$R$13, _xlpm.기본_색인번호, 0),
_xlpm.공격속성보정치, VLOOKUP($J102, Factor!$K$5:$R$7, _xlpm.기본_색인번호, 0),
_xlpm.피해범위보정치, INDEX(Factor!$AN$5:$AV$51, _xlfn.XMATCH(IF(OR($G102="blast", $G102="curved",  $G102= "debuff"), $L102, 0), Factor!$AN$5:$AN$51, -1), _xlpm.추가_색인번호)-IF(AND(OR($G102="blast", $G102="curved", $G102= "debuff"), MOD($L102,1)&lt;&gt;0),INDEX(Factor!$AN$5:$AV$51, _xlfn.XMATCH(IF(OR($G102="blast", $G102="curved", $G102= "debuff"), $L102, 0), Factor!$AN$5:$AN$51, -1), 2)*MOD($L102,1)*10,0),
_xlpm.상태이상보정치, VLOOKUP(IF($G102 = "debuff", $M102, "null"), Factor!$AX$5:$BE$51, _xlpm.기본_색인번호, 0),
_xlpm.지속시간보정치, INDEX(Factor!$BG$5:$BO$51, _xlfn.XMATCH(IF(OR($G102 ="debuff", $G102 = "shot", $G102 = "pierce"), $O102, 0), Factor!$BG$5:$BG$51, -1), _xlpm.추가_색인번호)-IF(AND(OR($G102 ="debuff", $G102 = "shot", $G102 = "pierce"), MOD($O102, 1)&lt;&gt;0), 10*MOD($O102, 1)*INDEX(Factor!$BG$5:$BO$51, _xlfn.XMATCH(IF(OR($G102 ="debuff", $G102 = "shot", $G102 = "pierce"), $O102, 0), Factor!$BG$5:$BG$51, -1), 2), 0),
_xlpm.탄환개수보정치, VLOOKUP(IF(OR($G102 = "curved", $G102 = "shot"), $Q102, 1), Factor!$BQ$5:$BX$51, _xlpm.기본_색인번호, 0),
_xlpm.상태이상탄환생성위치보정치, IF($G102 = "debuff", VLOOKUP($R102, Factor!$K$18:$R$19, _xlpm.기본_색인번호, 0),1),
_xlpm.상태이상탄환형태보정치, IF($G102 = "debuff", VLOOKUP($S102, Factor!$K$24:$R$25, _xlpm.기본_색인번호, 0),1),
_xlpm.가격보정치, INDEX(Factor!$AE$5:$AL$51, _xlfn.XMATCH($F102,Factor!$AE$5:$AE$51, -1), _xlpm.기본_색인번호),
_xlpm.구경보정치, VLOOKUP($D102,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03" spans="1:33" ht="15.75" customHeight="1">
      <c r="A103" s="24" t="str">
        <f>"weapon_"&amp;G103&amp;"_"&amp;VLOOKUP(H103, Factor!$T$5:$AB$7, 9, 0)&amp;"_"&amp;IF(COUNTIFS($G$4:G102, G103, $H$4:H102, H103)+1&gt;=100, COUNTIFS($G$4:G102, G103, $H$4:H102, H103)+1,IF(COUNTIFS($G$4:G102, G103, $H$4:H102, H103)+1&gt;=10, "0"&amp;COUNTIFS($G$4:G102, G103, $H$4:H102, H103)+1, "00"&amp;COUNTIFS($G$4:G102, G103, $H$4:H102, H103)+1))</f>
        <v>weapon_single_Am_099</v>
      </c>
      <c r="B103" s="36" t="str">
        <f t="shared" si="1"/>
        <v>T8 12.7mm대공포</v>
      </c>
      <c r="C103" s="36" t="s">
        <v>161</v>
      </c>
      <c r="D103" s="36" t="s">
        <v>243</v>
      </c>
      <c r="E103" s="36" t="s">
        <v>276</v>
      </c>
      <c r="F103" s="25">
        <f>VLOOKUP(C103, Factor!$AD$5:$AE$15, 2, 0)</f>
        <v>8000</v>
      </c>
      <c r="G103" s="26" t="str">
        <f>VLOOKUP(E103, Factor!$CL$5:$CV$50, 2, 0)</f>
        <v>single</v>
      </c>
      <c r="H103" s="25" t="str">
        <f>VLOOKUP(E103, Factor!$CL$5:$CV$50, 3, 0)</f>
        <v>ammo</v>
      </c>
      <c r="I103" s="25" t="str">
        <f>VLOOKUP(E103, Factor!$CL$5:$CV$50, 4, 0)</f>
        <v>F</v>
      </c>
      <c r="J103" s="25" t="str">
        <f>VLOOKUP(E103, Factor!$CL$5:$CV$50, 5, 0)</f>
        <v>spread</v>
      </c>
      <c r="K103" s="25">
        <v>1</v>
      </c>
      <c r="L103" s="25">
        <f>VLOOKUP(E103, Factor!$CL$5:$CV$50, 6, 0)*K103*VLOOKUP(D103, Factor!$BZ$5:$CJ$49, 9, 0)</f>
        <v>0</v>
      </c>
      <c r="M103" s="25" t="str">
        <f>VLOOKUP(E103, Factor!$CL$5:$CV$50, 7, 0)</f>
        <v>null</v>
      </c>
      <c r="N103" s="25">
        <v>1</v>
      </c>
      <c r="O103" s="25">
        <f>VLOOKUP(E103, Factor!$CL$5:$CV$50, 8, 0)*N103*VLOOKUP(D103, Factor!$BZ$5:$CJ$49, 10, 0)</f>
        <v>0</v>
      </c>
      <c r="P103" s="25">
        <v>1</v>
      </c>
      <c r="Q103" s="25">
        <f>VLOOKUP(E103, Factor!$CL$5:$CV$50, 9, 0)*P103*VLOOKUP(D103, Factor!$BZ$5:$CJ$49, 11, 0)</f>
        <v>4</v>
      </c>
      <c r="R103" s="25" t="str">
        <f>VLOOKUP(E103, Factor!$CL$5:$CV$50, 10, 0)</f>
        <v>null</v>
      </c>
      <c r="S103" s="25" t="str">
        <f>VLOOKUP(E103, Factor!$CL$5:$CV$50, 11, 0)</f>
        <v>null</v>
      </c>
      <c r="T103" s="25">
        <v>1</v>
      </c>
      <c r="U103" s="25">
        <v>1</v>
      </c>
      <c r="V103" s="25">
        <v>1</v>
      </c>
      <c r="W103" s="25">
        <v>1</v>
      </c>
      <c r="X103" s="25">
        <v>1</v>
      </c>
      <c r="Y103" s="25">
        <v>1</v>
      </c>
      <c r="Z103" s="25">
        <v>1</v>
      </c>
      <c r="AA103" s="25" cm="1">
        <f t="array" ref="AA103">_xlfn.LET(_xlpm.기본_색인번호, 2,
_xlpm.추가_색인번호, 3,
_xlpm.개별보정치, T103,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B103" s="25" cm="1">
        <f t="array" ref="AB103">_xlfn.LET(_xlpm.기본_색인번호, 3,
_xlpm.추가_색인번호, 4,
_xlpm.개별보정치, U103,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103" s="25" cm="1">
        <f t="array" ref="AC103">_xlfn.LET(_xlpm.기본_색인번호, 4,
_xlpm.추가_색인번호, 5,
_xlpm.개별보정치, V103,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3" s="25" cm="1">
        <f t="array" ref="AD103">_xlfn.LET(_xlpm.기본_색인번호, 5,
_xlpm.추가_색인번호, 6,
_xlpm.개별보정치, W103,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03" s="25" cm="1">
        <f t="array" ref="AE103">_xlfn.LET(_xlpm.기본_색인번호, 6,
_xlpm.추가_색인번호, 7,
_xlpm.개별보정치, X103,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03" s="25" cm="1">
        <f t="array" ref="AF103">_xlfn.LET(_xlpm.기본_색인번호, 7,
_xlpm.추가_색인번호, 8,
_xlpm.개별보정치, Y103,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3" s="27" cm="1">
        <f t="array" ref="AG103">_xlfn.LET(_xlpm.기본_색인번호, 8,
_xlpm.추가_색인번호, 9,
_xlpm.개별보정치, Z103,
_xlpm.패턴보정치, VLOOKUP($G103, Factor!$B$5:$I$51, _xlpm.기본_색인번호, 0),
_xlpm.소모탄환보정치, VLOOKUP($H103, Factor!$T$5:$AA$51, _xlpm.기본_색인번호, 0),
_xlpm.지형보정치, VLOOKUP($I103, Factor!$K$12:$R$13, _xlpm.기본_색인번호, 0),
_xlpm.공격속성보정치, VLOOKUP($J103, Factor!$K$5:$R$7, _xlpm.기본_색인번호, 0),
_xlpm.피해범위보정치, INDEX(Factor!$AN$5:$AV$51, _xlfn.XMATCH(IF(OR($G103="blast", $G103="curved",  $G103= "debuff"), $L103, 0), Factor!$AN$5:$AN$51, -1), _xlpm.추가_색인번호)-IF(AND(OR($G103="blast", $G103="curved", $G103= "debuff"), MOD($L103,1)&lt;&gt;0),INDEX(Factor!$AN$5:$AV$51, _xlfn.XMATCH(IF(OR($G103="blast", $G103="curved", $G103= "debuff"), $L103, 0), Factor!$AN$5:$AN$51, -1), 2)*MOD($L103,1)*10,0),
_xlpm.상태이상보정치, VLOOKUP(IF($G103 = "debuff", $M103, "null"), Factor!$AX$5:$BE$51, _xlpm.기본_색인번호, 0),
_xlpm.지속시간보정치, INDEX(Factor!$BG$5:$BO$51, _xlfn.XMATCH(IF(OR($G103 ="debuff", $G103 = "shot", $G103 = "pierce"), $O103, 0), Factor!$BG$5:$BG$51, -1), _xlpm.추가_색인번호)-IF(AND(OR($G103 ="debuff", $G103 = "shot", $G103 = "pierce"), MOD($O103, 1)&lt;&gt;0), 10*MOD($O103, 1)*INDEX(Factor!$BG$5:$BO$51, _xlfn.XMATCH(IF(OR($G103 ="debuff", $G103 = "shot", $G103 = "pierce"), $O103, 0), Factor!$BG$5:$BG$51, -1), 2), 0),
_xlpm.탄환개수보정치, VLOOKUP(IF(OR($G103 = "curved", $G103 = "shot"), $Q103, 1), Factor!$BQ$5:$BX$51, _xlpm.기본_색인번호, 0),
_xlpm.상태이상탄환생성위치보정치, IF($G103 = "debuff", VLOOKUP($R103, Factor!$K$18:$R$19, _xlpm.기본_색인번호, 0),1),
_xlpm.상태이상탄환형태보정치, IF($G103 = "debuff", VLOOKUP($S103, Factor!$K$24:$R$25, _xlpm.기본_색인번호, 0),1),
_xlpm.가격보정치, INDEX(Factor!$AE$5:$AL$51, _xlfn.XMATCH($F103,Factor!$AE$5:$AE$51, -1), _xlpm.기본_색인번호),
_xlpm.구경보정치, VLOOKUP($D103,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04" spans="1:33" ht="15.75" customHeight="1">
      <c r="A104" s="28" t="str">
        <f>"weapon_"&amp;G104&amp;"_"&amp;VLOOKUP(H104, Factor!$T$5:$AB$7, 9, 0)&amp;"_"&amp;IF(COUNTIFS($G$4:G103, G104, $H$4:H103, H104)+1&gt;=100, COUNTIFS($G$4:G103, G104, $H$4:H103, H104)+1,IF(COUNTIFS($G$4:G103, G104, $H$4:H103, H104)+1&gt;=10, "0"&amp;COUNTIFS($G$4:G103, G104, $H$4:H103, H104)+1, "00"&amp;COUNTIFS($G$4:G103, G104, $H$4:H103, H104)+1))</f>
        <v>weapon_single_Am_100</v>
      </c>
      <c r="B104" s="37" t="str">
        <f t="shared" si="1"/>
        <v>T8 20mm대공포</v>
      </c>
      <c r="C104" s="37" t="s">
        <v>161</v>
      </c>
      <c r="D104" s="37" t="s">
        <v>244</v>
      </c>
      <c r="E104" s="37" t="s">
        <v>276</v>
      </c>
      <c r="F104" s="29">
        <f>VLOOKUP(C104, Factor!$AD$5:$AE$15, 2, 0)</f>
        <v>8000</v>
      </c>
      <c r="G104" s="29" t="str">
        <f>VLOOKUP(E104, Factor!$CL$5:$CV$50, 2, 0)</f>
        <v>single</v>
      </c>
      <c r="H104" s="29" t="str">
        <f>VLOOKUP(E104, Factor!$CL$5:$CV$50, 3, 0)</f>
        <v>ammo</v>
      </c>
      <c r="I104" s="29" t="str">
        <f>VLOOKUP(E104, Factor!$CL$5:$CV$50, 4, 0)</f>
        <v>F</v>
      </c>
      <c r="J104" s="29" t="str">
        <f>VLOOKUP(E104, Factor!$CL$5:$CV$50, 5, 0)</f>
        <v>spread</v>
      </c>
      <c r="K104" s="29">
        <v>1</v>
      </c>
      <c r="L104" s="29">
        <f>VLOOKUP(E104, Factor!$CL$5:$CV$50, 6, 0)*K104*VLOOKUP(D104, Factor!$BZ$5:$CJ$49, 9, 0)</f>
        <v>0</v>
      </c>
      <c r="M104" s="29" t="str">
        <f>VLOOKUP(E104, Factor!$CL$5:$CV$50, 7, 0)</f>
        <v>null</v>
      </c>
      <c r="N104" s="29">
        <v>1</v>
      </c>
      <c r="O104" s="29">
        <f>VLOOKUP(E104, Factor!$CL$5:$CV$50, 8, 0)*N104*VLOOKUP(D104, Factor!$BZ$5:$CJ$49, 10, 0)</f>
        <v>0</v>
      </c>
      <c r="P104" s="29">
        <v>1</v>
      </c>
      <c r="Q104" s="29">
        <f>VLOOKUP(E104, Factor!$CL$5:$CV$50, 9, 0)*P104*VLOOKUP(D104, Factor!$BZ$5:$CJ$49, 11, 0)</f>
        <v>5</v>
      </c>
      <c r="R104" s="29" t="str">
        <f>VLOOKUP(E104, Factor!$CL$5:$CV$50, 10, 0)</f>
        <v>null</v>
      </c>
      <c r="S104" s="29" t="str">
        <f>VLOOKUP(E104, Factor!$CL$5:$CV$50, 11, 0)</f>
        <v>null</v>
      </c>
      <c r="T104" s="29">
        <v>1</v>
      </c>
      <c r="U104" s="29">
        <v>1</v>
      </c>
      <c r="V104" s="29">
        <v>1</v>
      </c>
      <c r="W104" s="29">
        <v>1</v>
      </c>
      <c r="X104" s="29">
        <v>1</v>
      </c>
      <c r="Y104" s="29">
        <v>1</v>
      </c>
      <c r="Z104" s="29">
        <v>1</v>
      </c>
      <c r="AA104" s="29" cm="1">
        <f t="array" ref="AA104">_xlfn.LET(_xlpm.기본_색인번호, 2,
_xlpm.추가_색인번호, 3,
_xlpm.개별보정치, T104,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B104" s="29" cm="1">
        <f t="array" ref="AB104">_xlfn.LET(_xlpm.기본_색인번호, 3,
_xlpm.추가_색인번호, 4,
_xlpm.개별보정치, U104,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</v>
      </c>
      <c r="AC104" s="29" cm="1">
        <f t="array" ref="AC104">_xlfn.LET(_xlpm.기본_색인번호, 4,
_xlpm.추가_색인번호, 5,
_xlpm.개별보정치, V104,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4" s="29" cm="1">
        <f t="array" ref="AD104">_xlfn.LET(_xlpm.기본_색인번호, 5,
_xlpm.추가_색인번호, 6,
_xlpm.개별보정치, W104,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04" s="29" cm="1">
        <f t="array" ref="AE104">_xlfn.LET(_xlpm.기본_색인번호, 6,
_xlpm.추가_색인번호, 7,
_xlpm.개별보정치, X104,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04" s="29" cm="1">
        <f t="array" ref="AF104">_xlfn.LET(_xlpm.기본_색인번호, 7,
_xlpm.추가_색인번호, 8,
_xlpm.개별보정치, Y104,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4" s="30" cm="1">
        <f t="array" ref="AG104">_xlfn.LET(_xlpm.기본_색인번호, 8,
_xlpm.추가_색인번호, 9,
_xlpm.개별보정치, Z104,
_xlpm.패턴보정치, VLOOKUP($G104, Factor!$B$5:$I$51, _xlpm.기본_색인번호, 0),
_xlpm.소모탄환보정치, VLOOKUP($H104, Factor!$T$5:$AA$51, _xlpm.기본_색인번호, 0),
_xlpm.지형보정치, VLOOKUP($I104, Factor!$K$12:$R$13, _xlpm.기본_색인번호, 0),
_xlpm.공격속성보정치, VLOOKUP($J104, Factor!$K$5:$R$7, _xlpm.기본_색인번호, 0),
_xlpm.피해범위보정치, INDEX(Factor!$AN$5:$AV$51, _xlfn.XMATCH(IF(OR($G104="blast", $G104="curved",  $G104= "debuff"), $L104, 0), Factor!$AN$5:$AN$51, -1), _xlpm.추가_색인번호)-IF(AND(OR($G104="blast", $G104="curved", $G104= "debuff"), MOD($L104,1)&lt;&gt;0),INDEX(Factor!$AN$5:$AV$51, _xlfn.XMATCH(IF(OR($G104="blast", $G104="curved", $G104= "debuff"), $L104, 0), Factor!$AN$5:$AN$51, -1), 2)*MOD($L104,1)*10,0),
_xlpm.상태이상보정치, VLOOKUP(IF($G104 = "debuff", $M104, "null"), Factor!$AX$5:$BE$51, _xlpm.기본_색인번호, 0),
_xlpm.지속시간보정치, INDEX(Factor!$BG$5:$BO$51, _xlfn.XMATCH(IF(OR($G104 ="debuff", $G104 = "shot", $G104 = "pierce"), $O104, 0), Factor!$BG$5:$BG$51, -1), _xlpm.추가_색인번호)-IF(AND(OR($G104 ="debuff", $G104 = "shot", $G104 = "pierce"), MOD($O104, 1)&lt;&gt;0), 10*MOD($O104, 1)*INDEX(Factor!$BG$5:$BO$51, _xlfn.XMATCH(IF(OR($G104 ="debuff", $G104 = "shot", $G104 = "pierce"), $O104, 0), Factor!$BG$5:$BG$51, -1), 2), 0),
_xlpm.탄환개수보정치, VLOOKUP(IF(OR($G104 = "curved", $G104 = "shot"), $Q104, 1), Factor!$BQ$5:$BX$51, _xlpm.기본_색인번호, 0),
_xlpm.상태이상탄환생성위치보정치, IF($G104 = "debuff", VLOOKUP($R104, Factor!$K$18:$R$19, _xlpm.기본_색인번호, 0),1),
_xlpm.상태이상탄환형태보정치, IF($G104 = "debuff", VLOOKUP($S104, Factor!$K$24:$R$25, _xlpm.기본_색인번호, 0),1),
_xlpm.가격보정치, INDEX(Factor!$AE$5:$AL$51, _xlfn.XMATCH($F104,Factor!$AE$5:$AE$51, -1), _xlpm.기본_색인번호),
_xlpm.구경보정치, VLOOKUP($D104,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05" spans="1:33" ht="15.75" customHeight="1">
      <c r="A105" s="24" t="str">
        <f>"weapon_"&amp;G105&amp;"_"&amp;VLOOKUP(H105, Factor!$T$5:$AB$7, 9, 0)&amp;"_"&amp;IF(COUNTIFS($G$4:G104, G105, $H$4:H104, H105)+1&gt;=100, COUNTIFS($G$4:G104, G105, $H$4:H104, H105)+1,IF(COUNTIFS($G$4:G104, G105, $H$4:H104, H105)+1&gt;=10, "0"&amp;COUNTIFS($G$4:G104, G105, $H$4:H104, H105)+1, "00"&amp;COUNTIFS($G$4:G104, G105, $H$4:H104, H105)+1))</f>
        <v>weapon_single_Am_101</v>
      </c>
      <c r="B105" s="36" t="str">
        <f t="shared" si="1"/>
        <v>T9 대공포</v>
      </c>
      <c r="C105" s="36" t="s">
        <v>162</v>
      </c>
      <c r="D105" s="36" t="s">
        <v>275</v>
      </c>
      <c r="E105" s="36" t="s">
        <v>276</v>
      </c>
      <c r="F105" s="25">
        <f>VLOOKUP(C105, Factor!$AD$5:$AE$15, 2, 0)</f>
        <v>9000</v>
      </c>
      <c r="G105" s="26" t="str">
        <f>VLOOKUP(E105, Factor!$CL$5:$CV$50, 2, 0)</f>
        <v>single</v>
      </c>
      <c r="H105" s="25" t="str">
        <f>VLOOKUP(E105, Factor!$CL$5:$CV$50, 3, 0)</f>
        <v>ammo</v>
      </c>
      <c r="I105" s="25" t="str">
        <f>VLOOKUP(E105, Factor!$CL$5:$CV$50, 4, 0)</f>
        <v>F</v>
      </c>
      <c r="J105" s="25" t="str">
        <f>VLOOKUP(E105, Factor!$CL$5:$CV$50, 5, 0)</f>
        <v>spread</v>
      </c>
      <c r="K105" s="25">
        <v>1</v>
      </c>
      <c r="L105" s="25">
        <f>VLOOKUP(E105, Factor!$CL$5:$CV$50, 6, 0)*K105*VLOOKUP(D105, Factor!$BZ$5:$CJ$49, 9, 0)</f>
        <v>0</v>
      </c>
      <c r="M105" s="25" t="str">
        <f>VLOOKUP(E105, Factor!$CL$5:$CV$50, 7, 0)</f>
        <v>null</v>
      </c>
      <c r="N105" s="25">
        <v>1</v>
      </c>
      <c r="O105" s="25">
        <f>VLOOKUP(E105, Factor!$CL$5:$CV$50, 8, 0)*N105*VLOOKUP(D105, Factor!$BZ$5:$CJ$49, 10, 0)</f>
        <v>0</v>
      </c>
      <c r="P105" s="25">
        <v>1</v>
      </c>
      <c r="Q105" s="25">
        <f>VLOOKUP(E105, Factor!$CL$5:$CV$50, 9, 0)*P105*VLOOKUP(D105, Factor!$BZ$5:$CJ$49, 11, 0)</f>
        <v>1</v>
      </c>
      <c r="R105" s="25" t="str">
        <f>VLOOKUP(E105, Factor!$CL$5:$CV$50, 10, 0)</f>
        <v>null</v>
      </c>
      <c r="S105" s="25" t="str">
        <f>VLOOKUP(E105, Factor!$CL$5:$CV$50, 11, 0)</f>
        <v>null</v>
      </c>
      <c r="T105" s="25">
        <v>1</v>
      </c>
      <c r="U105" s="25">
        <v>1</v>
      </c>
      <c r="V105" s="25">
        <v>1</v>
      </c>
      <c r="W105" s="25">
        <v>1</v>
      </c>
      <c r="X105" s="25">
        <v>1</v>
      </c>
      <c r="Y105" s="25">
        <v>1</v>
      </c>
      <c r="Z105" s="25">
        <v>1</v>
      </c>
      <c r="AA105" s="25" cm="1">
        <f t="array" ref="AA105">_xlfn.LET(_xlpm.기본_색인번호, 2,
_xlpm.추가_색인번호, 3,
_xlpm.개별보정치, T105,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05" s="25" cm="1">
        <f t="array" ref="AB105">_xlfn.LET(_xlpm.기본_색인번호, 3,
_xlpm.추가_색인번호, 4,
_xlpm.개별보정치, U105,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05" s="25" cm="1">
        <f t="array" ref="AC105">_xlfn.LET(_xlpm.기본_색인번호, 4,
_xlpm.추가_색인번호, 5,
_xlpm.개별보정치, V105,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5" s="25" cm="1">
        <f t="array" ref="AD105">_xlfn.LET(_xlpm.기본_색인번호, 5,
_xlpm.추가_색인번호, 6,
_xlpm.개별보정치, W105,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105" s="25" cm="1">
        <f t="array" ref="AE105">_xlfn.LET(_xlpm.기본_색인번호, 6,
_xlpm.추가_색인번호, 7,
_xlpm.개별보정치, X105,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105" s="25" cm="1">
        <f t="array" ref="AF105">_xlfn.LET(_xlpm.기본_색인번호, 7,
_xlpm.추가_색인번호, 8,
_xlpm.개별보정치, Y105,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5" s="27" cm="1">
        <f t="array" ref="AG105">_xlfn.LET(_xlpm.기본_색인번호, 8,
_xlpm.추가_색인번호, 9,
_xlpm.개별보정치, Z105,
_xlpm.패턴보정치, VLOOKUP($G105, Factor!$B$5:$I$51, _xlpm.기본_색인번호, 0),
_xlpm.소모탄환보정치, VLOOKUP($H105, Factor!$T$5:$AA$51, _xlpm.기본_색인번호, 0),
_xlpm.지형보정치, VLOOKUP($I105, Factor!$K$12:$R$13, _xlpm.기본_색인번호, 0),
_xlpm.공격속성보정치, VLOOKUP($J105, Factor!$K$5:$R$7, _xlpm.기본_색인번호, 0),
_xlpm.피해범위보정치, INDEX(Factor!$AN$5:$AV$51, _xlfn.XMATCH(IF(OR($G105="blast", $G105="curved",  $G105= "debuff"), $L105, 0), Factor!$AN$5:$AN$51, -1), _xlpm.추가_색인번호)-IF(AND(OR($G105="blast", $G105="curved", $G105= "debuff"), MOD($L105,1)&lt;&gt;0),INDEX(Factor!$AN$5:$AV$51, _xlfn.XMATCH(IF(OR($G105="blast", $G105="curved", $G105= "debuff"), $L105, 0), Factor!$AN$5:$AN$51, -1), 2)*MOD($L105,1)*10,0),
_xlpm.상태이상보정치, VLOOKUP(IF($G105 = "debuff", $M105, "null"), Factor!$AX$5:$BE$51, _xlpm.기본_색인번호, 0),
_xlpm.지속시간보정치, INDEX(Factor!$BG$5:$BO$51, _xlfn.XMATCH(IF(OR($G105 ="debuff", $G105 = "shot", $G105 = "pierce"), $O105, 0), Factor!$BG$5:$BG$51, -1), _xlpm.추가_색인번호)-IF(AND(OR($G105 ="debuff", $G105 = "shot", $G105 = "pierce"), MOD($O105, 1)&lt;&gt;0), 10*MOD($O105, 1)*INDEX(Factor!$BG$5:$BO$51, _xlfn.XMATCH(IF(OR($G105 ="debuff", $G105 = "shot", $G105 = "pierce"), $O105, 0), Factor!$BG$5:$BG$51, -1), 2), 0),
_xlpm.탄환개수보정치, VLOOKUP(IF(OR($G105 = "curved", $G105 = "shot"), $Q105, 1), Factor!$BQ$5:$BX$51, _xlpm.기본_색인번호, 0),
_xlpm.상태이상탄환생성위치보정치, IF($G105 = "debuff", VLOOKUP($R105, Factor!$K$18:$R$19, _xlpm.기본_색인번호, 0),1),
_xlpm.상태이상탄환형태보정치, IF($G105 = "debuff", VLOOKUP($S105, Factor!$K$24:$R$25, _xlpm.기본_색인번호, 0),1),
_xlpm.가격보정치, INDEX(Factor!$AE$5:$AL$51, _xlfn.XMATCH($F105,Factor!$AE$5:$AE$51, -1), _xlpm.기본_색인번호),
_xlpm.구경보정치, VLOOKUP($D105,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106" spans="1:33" ht="15.75" customHeight="1">
      <c r="A106" s="28" t="str">
        <f>"weapon_"&amp;G106&amp;"_"&amp;VLOOKUP(H106, Factor!$T$5:$AB$7, 9, 0)&amp;"_"&amp;IF(COUNTIFS($G$4:G105, G106, $H$4:H105, H106)+1&gt;=100, COUNTIFS($G$4:G105, G106, $H$4:H105, H106)+1,IF(COUNTIFS($G$4:G105, G106, $H$4:H105, H106)+1&gt;=10, "0"&amp;COUNTIFS($G$4:G105, G106, $H$4:H105, H106)+1, "00"&amp;COUNTIFS($G$4:G105, G106, $H$4:H105, H106)+1))</f>
        <v>weapon_single_Am_102</v>
      </c>
      <c r="B106" s="37" t="str">
        <f t="shared" si="1"/>
        <v>T9 5.56mm대공포</v>
      </c>
      <c r="C106" s="37" t="s">
        <v>162</v>
      </c>
      <c r="D106" s="37" t="s">
        <v>241</v>
      </c>
      <c r="E106" s="37" t="s">
        <v>276</v>
      </c>
      <c r="F106" s="29">
        <f>VLOOKUP(C106, Factor!$AD$5:$AE$15, 2, 0)</f>
        <v>9000</v>
      </c>
      <c r="G106" s="29" t="str">
        <f>VLOOKUP(E106, Factor!$CL$5:$CV$50, 2, 0)</f>
        <v>single</v>
      </c>
      <c r="H106" s="29" t="str">
        <f>VLOOKUP(E106, Factor!$CL$5:$CV$50, 3, 0)</f>
        <v>ammo</v>
      </c>
      <c r="I106" s="29" t="str">
        <f>VLOOKUP(E106, Factor!$CL$5:$CV$50, 4, 0)</f>
        <v>F</v>
      </c>
      <c r="J106" s="29" t="str">
        <f>VLOOKUP(E106, Factor!$CL$5:$CV$50, 5, 0)</f>
        <v>spread</v>
      </c>
      <c r="K106" s="29">
        <v>1</v>
      </c>
      <c r="L106" s="29">
        <f>VLOOKUP(E106, Factor!$CL$5:$CV$50, 6, 0)*K106*VLOOKUP(D106, Factor!$BZ$5:$CJ$49, 9, 0)</f>
        <v>0</v>
      </c>
      <c r="M106" s="29" t="str">
        <f>VLOOKUP(E106, Factor!$CL$5:$CV$50, 7, 0)</f>
        <v>null</v>
      </c>
      <c r="N106" s="29">
        <v>1</v>
      </c>
      <c r="O106" s="29">
        <f>VLOOKUP(E106, Factor!$CL$5:$CV$50, 8, 0)*N106*VLOOKUP(D106, Factor!$BZ$5:$CJ$49, 10, 0)</f>
        <v>0</v>
      </c>
      <c r="P106" s="29">
        <v>1</v>
      </c>
      <c r="Q106" s="29">
        <f>VLOOKUP(E106, Factor!$CL$5:$CV$50, 9, 0)*P106*VLOOKUP(D106, Factor!$BZ$5:$CJ$49, 11, 0)</f>
        <v>2</v>
      </c>
      <c r="R106" s="29" t="str">
        <f>VLOOKUP(E106, Factor!$CL$5:$CV$50, 10, 0)</f>
        <v>null</v>
      </c>
      <c r="S106" s="29" t="str">
        <f>VLOOKUP(E106, Factor!$CL$5:$CV$50, 11, 0)</f>
        <v>null</v>
      </c>
      <c r="T106" s="29">
        <v>1</v>
      </c>
      <c r="U106" s="29">
        <v>1</v>
      </c>
      <c r="V106" s="29">
        <v>1</v>
      </c>
      <c r="W106" s="29">
        <v>1</v>
      </c>
      <c r="X106" s="29">
        <v>1</v>
      </c>
      <c r="Y106" s="29">
        <v>1</v>
      </c>
      <c r="Z106" s="29">
        <v>1</v>
      </c>
      <c r="AA106" s="29" cm="1">
        <f t="array" ref="AA106">_xlfn.LET(_xlpm.기본_색인번호, 2,
_xlpm.추가_색인번호, 3,
_xlpm.개별보정치, T106,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06" s="29" cm="1">
        <f t="array" ref="AB106">_xlfn.LET(_xlpm.기본_색인번호, 3,
_xlpm.추가_색인번호, 4,
_xlpm.개별보정치, U106,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06" s="29" cm="1">
        <f t="array" ref="AC106">_xlfn.LET(_xlpm.기본_색인번호, 4,
_xlpm.추가_색인번호, 5,
_xlpm.개별보정치, V106,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6" s="29" cm="1">
        <f t="array" ref="AD106">_xlfn.LET(_xlpm.기본_색인번호, 5,
_xlpm.추가_색인번호, 6,
_xlpm.개별보정치, W106,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106" s="29" cm="1">
        <f t="array" ref="AE106">_xlfn.LET(_xlpm.기본_색인번호, 6,
_xlpm.추가_색인번호, 7,
_xlpm.개별보정치, X106,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106" s="29" cm="1">
        <f t="array" ref="AF106">_xlfn.LET(_xlpm.기본_색인번호, 7,
_xlpm.추가_색인번호, 8,
_xlpm.개별보정치, Y106,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6" s="30" cm="1">
        <f t="array" ref="AG106">_xlfn.LET(_xlpm.기본_색인번호, 8,
_xlpm.추가_색인번호, 9,
_xlpm.개별보정치, Z106,
_xlpm.패턴보정치, VLOOKUP($G106, Factor!$B$5:$I$51, _xlpm.기본_색인번호, 0),
_xlpm.소모탄환보정치, VLOOKUP($H106, Factor!$T$5:$AA$51, _xlpm.기본_색인번호, 0),
_xlpm.지형보정치, VLOOKUP($I106, Factor!$K$12:$R$13, _xlpm.기본_색인번호, 0),
_xlpm.공격속성보정치, VLOOKUP($J106, Factor!$K$5:$R$7, _xlpm.기본_색인번호, 0),
_xlpm.피해범위보정치, INDEX(Factor!$AN$5:$AV$51, _xlfn.XMATCH(IF(OR($G106="blast", $G106="curved",  $G106= "debuff"), $L106, 0), Factor!$AN$5:$AN$51, -1), _xlpm.추가_색인번호)-IF(AND(OR($G106="blast", $G106="curved", $G106= "debuff"), MOD($L106,1)&lt;&gt;0),INDEX(Factor!$AN$5:$AV$51, _xlfn.XMATCH(IF(OR($G106="blast", $G106="curved", $G106= "debuff"), $L106, 0), Factor!$AN$5:$AN$51, -1), 2)*MOD($L106,1)*10,0),
_xlpm.상태이상보정치, VLOOKUP(IF($G106 = "debuff", $M106, "null"), Factor!$AX$5:$BE$51, _xlpm.기본_색인번호, 0),
_xlpm.지속시간보정치, INDEX(Factor!$BG$5:$BO$51, _xlfn.XMATCH(IF(OR($G106 ="debuff", $G106 = "shot", $G106 = "pierce"), $O106, 0), Factor!$BG$5:$BG$51, -1), _xlpm.추가_색인번호)-IF(AND(OR($G106 ="debuff", $G106 = "shot", $G106 = "pierce"), MOD($O106, 1)&lt;&gt;0), 10*MOD($O106, 1)*INDEX(Factor!$BG$5:$BO$51, _xlfn.XMATCH(IF(OR($G106 ="debuff", $G106 = "shot", $G106 = "pierce"), $O106, 0), Factor!$BG$5:$BG$51, -1), 2), 0),
_xlpm.탄환개수보정치, VLOOKUP(IF(OR($G106 = "curved", $G106 = "shot"), $Q106, 1), Factor!$BQ$5:$BX$51, _xlpm.기본_색인번호, 0),
_xlpm.상태이상탄환생성위치보정치, IF($G106 = "debuff", VLOOKUP($R106, Factor!$K$18:$R$19, _xlpm.기본_색인번호, 0),1),
_xlpm.상태이상탄환형태보정치, IF($G106 = "debuff", VLOOKUP($S106, Factor!$K$24:$R$25, _xlpm.기본_색인번호, 0),1),
_xlpm.가격보정치, INDEX(Factor!$AE$5:$AL$51, _xlfn.XMATCH($F106,Factor!$AE$5:$AE$51, -1), _xlpm.기본_색인번호),
_xlpm.구경보정치, VLOOKUP($D106,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107" spans="1:33" ht="15.75" customHeight="1">
      <c r="A107" s="24" t="str">
        <f>"weapon_"&amp;G107&amp;"_"&amp;VLOOKUP(H107, Factor!$T$5:$AB$7, 9, 0)&amp;"_"&amp;IF(COUNTIFS($G$4:G106, G107, $H$4:H106, H107)+1&gt;=100, COUNTIFS($G$4:G106, G107, $H$4:H106, H107)+1,IF(COUNTIFS($G$4:G106, G107, $H$4:H106, H107)+1&gt;=10, "0"&amp;COUNTIFS($G$4:G106, G107, $H$4:H106, H107)+1, "00"&amp;COUNTIFS($G$4:G106, G107, $H$4:H106, H107)+1))</f>
        <v>weapon_single_Am_103</v>
      </c>
      <c r="B107" s="36" t="str">
        <f t="shared" si="1"/>
        <v>T9 7.62mm대공포</v>
      </c>
      <c r="C107" s="36" t="s">
        <v>162</v>
      </c>
      <c r="D107" s="36" t="s">
        <v>242</v>
      </c>
      <c r="E107" s="36" t="s">
        <v>276</v>
      </c>
      <c r="F107" s="25">
        <f>VLOOKUP(C107, Factor!$AD$5:$AE$15, 2, 0)</f>
        <v>9000</v>
      </c>
      <c r="G107" s="26" t="str">
        <f>VLOOKUP(E107, Factor!$CL$5:$CV$50, 2, 0)</f>
        <v>single</v>
      </c>
      <c r="H107" s="25" t="str">
        <f>VLOOKUP(E107, Factor!$CL$5:$CV$50, 3, 0)</f>
        <v>ammo</v>
      </c>
      <c r="I107" s="25" t="str">
        <f>VLOOKUP(E107, Factor!$CL$5:$CV$50, 4, 0)</f>
        <v>F</v>
      </c>
      <c r="J107" s="25" t="str">
        <f>VLOOKUP(E107, Factor!$CL$5:$CV$50, 5, 0)</f>
        <v>spread</v>
      </c>
      <c r="K107" s="25">
        <v>1</v>
      </c>
      <c r="L107" s="25">
        <f>VLOOKUP(E107, Factor!$CL$5:$CV$50, 6, 0)*K107*VLOOKUP(D107, Factor!$BZ$5:$CJ$49, 9, 0)</f>
        <v>0</v>
      </c>
      <c r="M107" s="25" t="str">
        <f>VLOOKUP(E107, Factor!$CL$5:$CV$50, 7, 0)</f>
        <v>null</v>
      </c>
      <c r="N107" s="25">
        <v>1</v>
      </c>
      <c r="O107" s="25">
        <f>VLOOKUP(E107, Factor!$CL$5:$CV$50, 8, 0)*N107*VLOOKUP(D107, Factor!$BZ$5:$CJ$49, 10, 0)</f>
        <v>0</v>
      </c>
      <c r="P107" s="25">
        <v>1</v>
      </c>
      <c r="Q107" s="25">
        <f>VLOOKUP(E107, Factor!$CL$5:$CV$50, 9, 0)*P107*VLOOKUP(D107, Factor!$BZ$5:$CJ$49, 11, 0)</f>
        <v>3</v>
      </c>
      <c r="R107" s="25" t="str">
        <f>VLOOKUP(E107, Factor!$CL$5:$CV$50, 10, 0)</f>
        <v>null</v>
      </c>
      <c r="S107" s="25" t="str">
        <f>VLOOKUP(E107, Factor!$CL$5:$CV$50, 11, 0)</f>
        <v>null</v>
      </c>
      <c r="T107" s="25">
        <v>1</v>
      </c>
      <c r="U107" s="25">
        <v>1</v>
      </c>
      <c r="V107" s="25">
        <v>1</v>
      </c>
      <c r="W107" s="25">
        <v>1</v>
      </c>
      <c r="X107" s="25">
        <v>1</v>
      </c>
      <c r="Y107" s="25">
        <v>1</v>
      </c>
      <c r="Z107" s="25">
        <v>1</v>
      </c>
      <c r="AA107" s="25" cm="1">
        <f t="array" ref="AA107">_xlfn.LET(_xlpm.기본_색인번호, 2,
_xlpm.추가_색인번호, 3,
_xlpm.개별보정치, T107,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07" s="25" cm="1">
        <f t="array" ref="AB107">_xlfn.LET(_xlpm.기본_색인번호, 3,
_xlpm.추가_색인번호, 4,
_xlpm.개별보정치, U107,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07" s="25" cm="1">
        <f t="array" ref="AC107">_xlfn.LET(_xlpm.기본_색인번호, 4,
_xlpm.추가_색인번호, 5,
_xlpm.개별보정치, V107,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7" s="25" cm="1">
        <f t="array" ref="AD107">_xlfn.LET(_xlpm.기본_색인번호, 5,
_xlpm.추가_색인번호, 6,
_xlpm.개별보정치, W107,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107" s="25" cm="1">
        <f t="array" ref="AE107">_xlfn.LET(_xlpm.기본_색인번호, 6,
_xlpm.추가_색인번호, 7,
_xlpm.개별보정치, X107,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107" s="25" cm="1">
        <f t="array" ref="AF107">_xlfn.LET(_xlpm.기본_색인번호, 7,
_xlpm.추가_색인번호, 8,
_xlpm.개별보정치, Y107,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7" s="27" cm="1">
        <f t="array" ref="AG107">_xlfn.LET(_xlpm.기본_색인번호, 8,
_xlpm.추가_색인번호, 9,
_xlpm.개별보정치, Z107,
_xlpm.패턴보정치, VLOOKUP($G107, Factor!$B$5:$I$51, _xlpm.기본_색인번호, 0),
_xlpm.소모탄환보정치, VLOOKUP($H107, Factor!$T$5:$AA$51, _xlpm.기본_색인번호, 0),
_xlpm.지형보정치, VLOOKUP($I107, Factor!$K$12:$R$13, _xlpm.기본_색인번호, 0),
_xlpm.공격속성보정치, VLOOKUP($J107, Factor!$K$5:$R$7, _xlpm.기본_색인번호, 0),
_xlpm.피해범위보정치, INDEX(Factor!$AN$5:$AV$51, _xlfn.XMATCH(IF(OR($G107="blast", $G107="curved",  $G107= "debuff"), $L107, 0), Factor!$AN$5:$AN$51, -1), _xlpm.추가_색인번호)-IF(AND(OR($G107="blast", $G107="curved", $G107= "debuff"), MOD($L107,1)&lt;&gt;0),INDEX(Factor!$AN$5:$AV$51, _xlfn.XMATCH(IF(OR($G107="blast", $G107="curved", $G107= "debuff"), $L107, 0), Factor!$AN$5:$AN$51, -1), 2)*MOD($L107,1)*10,0),
_xlpm.상태이상보정치, VLOOKUP(IF($G107 = "debuff", $M107, "null"), Factor!$AX$5:$BE$51, _xlpm.기본_색인번호, 0),
_xlpm.지속시간보정치, INDEX(Factor!$BG$5:$BO$51, _xlfn.XMATCH(IF(OR($G107 ="debuff", $G107 = "shot", $G107 = "pierce"), $O107, 0), Factor!$BG$5:$BG$51, -1), _xlpm.추가_색인번호)-IF(AND(OR($G107 ="debuff", $G107 = "shot", $G107 = "pierce"), MOD($O107, 1)&lt;&gt;0), 10*MOD($O107, 1)*INDEX(Factor!$BG$5:$BO$51, _xlfn.XMATCH(IF(OR($G107 ="debuff", $G107 = "shot", $G107 = "pierce"), $O107, 0), Factor!$BG$5:$BG$51, -1), 2), 0),
_xlpm.탄환개수보정치, VLOOKUP(IF(OR($G107 = "curved", $G107 = "shot"), $Q107, 1), Factor!$BQ$5:$BX$51, _xlpm.기본_색인번호, 0),
_xlpm.상태이상탄환생성위치보정치, IF($G107 = "debuff", VLOOKUP($R107, Factor!$K$18:$R$19, _xlpm.기본_색인번호, 0),1),
_xlpm.상태이상탄환형태보정치, IF($G107 = "debuff", VLOOKUP($S107, Factor!$K$24:$R$25, _xlpm.기본_색인번호, 0),1),
_xlpm.가격보정치, INDEX(Factor!$AE$5:$AL$51, _xlfn.XMATCH($F107,Factor!$AE$5:$AE$51, -1), _xlpm.기본_색인번호),
_xlpm.구경보정치, VLOOKUP($D107,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108" spans="1:33" ht="15.75" customHeight="1">
      <c r="A108" s="28" t="str">
        <f>"weapon_"&amp;G108&amp;"_"&amp;VLOOKUP(H108, Factor!$T$5:$AB$7, 9, 0)&amp;"_"&amp;IF(COUNTIFS($G$4:G107, G108, $H$4:H107, H108)+1&gt;=100, COUNTIFS($G$4:G107, G108, $H$4:H107, H108)+1,IF(COUNTIFS($G$4:G107, G108, $H$4:H107, H108)+1&gt;=10, "0"&amp;COUNTIFS($G$4:G107, G108, $H$4:H107, H108)+1, "00"&amp;COUNTIFS($G$4:G107, G108, $H$4:H107, H108)+1))</f>
        <v>weapon_single_Am_104</v>
      </c>
      <c r="B108" s="37" t="str">
        <f t="shared" si="1"/>
        <v>T9 12.7mm대공포</v>
      </c>
      <c r="C108" s="37" t="s">
        <v>162</v>
      </c>
      <c r="D108" s="37" t="s">
        <v>243</v>
      </c>
      <c r="E108" s="37" t="s">
        <v>276</v>
      </c>
      <c r="F108" s="29">
        <f>VLOOKUP(C108, Factor!$AD$5:$AE$15, 2, 0)</f>
        <v>9000</v>
      </c>
      <c r="G108" s="29" t="str">
        <f>VLOOKUP(E108, Factor!$CL$5:$CV$50, 2, 0)</f>
        <v>single</v>
      </c>
      <c r="H108" s="29" t="str">
        <f>VLOOKUP(E108, Factor!$CL$5:$CV$50, 3, 0)</f>
        <v>ammo</v>
      </c>
      <c r="I108" s="29" t="str">
        <f>VLOOKUP(E108, Factor!$CL$5:$CV$50, 4, 0)</f>
        <v>F</v>
      </c>
      <c r="J108" s="29" t="str">
        <f>VLOOKUP(E108, Factor!$CL$5:$CV$50, 5, 0)</f>
        <v>spread</v>
      </c>
      <c r="K108" s="29">
        <v>1</v>
      </c>
      <c r="L108" s="29">
        <f>VLOOKUP(E108, Factor!$CL$5:$CV$50, 6, 0)*K108*VLOOKUP(D108, Factor!$BZ$5:$CJ$49, 9, 0)</f>
        <v>0</v>
      </c>
      <c r="M108" s="29" t="str">
        <f>VLOOKUP(E108, Factor!$CL$5:$CV$50, 7, 0)</f>
        <v>null</v>
      </c>
      <c r="N108" s="29">
        <v>1</v>
      </c>
      <c r="O108" s="29">
        <f>VLOOKUP(E108, Factor!$CL$5:$CV$50, 8, 0)*N108*VLOOKUP(D108, Factor!$BZ$5:$CJ$49, 10, 0)</f>
        <v>0</v>
      </c>
      <c r="P108" s="29">
        <v>1</v>
      </c>
      <c r="Q108" s="29">
        <f>VLOOKUP(E108, Factor!$CL$5:$CV$50, 9, 0)*P108*VLOOKUP(D108, Factor!$BZ$5:$CJ$49, 11, 0)</f>
        <v>4</v>
      </c>
      <c r="R108" s="29" t="str">
        <f>VLOOKUP(E108, Factor!$CL$5:$CV$50, 10, 0)</f>
        <v>null</v>
      </c>
      <c r="S108" s="29" t="str">
        <f>VLOOKUP(E108, Factor!$CL$5:$CV$50, 11, 0)</f>
        <v>null</v>
      </c>
      <c r="T108" s="29">
        <v>1</v>
      </c>
      <c r="U108" s="29">
        <v>1</v>
      </c>
      <c r="V108" s="29">
        <v>1</v>
      </c>
      <c r="W108" s="29">
        <v>1</v>
      </c>
      <c r="X108" s="29">
        <v>1</v>
      </c>
      <c r="Y108" s="29">
        <v>1</v>
      </c>
      <c r="Z108" s="29">
        <v>1</v>
      </c>
      <c r="AA108" s="29" cm="1">
        <f t="array" ref="AA108">_xlfn.LET(_xlpm.기본_색인번호, 2,
_xlpm.추가_색인번호, 3,
_xlpm.개별보정치, T108,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08" s="29" cm="1">
        <f t="array" ref="AB108">_xlfn.LET(_xlpm.기본_색인번호, 3,
_xlpm.추가_색인번호, 4,
_xlpm.개별보정치, U108,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08" s="29" cm="1">
        <f t="array" ref="AC108">_xlfn.LET(_xlpm.기본_색인번호, 4,
_xlpm.추가_색인번호, 5,
_xlpm.개별보정치, V108,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8" s="29" cm="1">
        <f t="array" ref="AD108">_xlfn.LET(_xlpm.기본_색인번호, 5,
_xlpm.추가_색인번호, 6,
_xlpm.개별보정치, W108,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108" s="29" cm="1">
        <f t="array" ref="AE108">_xlfn.LET(_xlpm.기본_색인번호, 6,
_xlpm.추가_색인번호, 7,
_xlpm.개별보정치, X108,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108" s="29" cm="1">
        <f t="array" ref="AF108">_xlfn.LET(_xlpm.기본_색인번호, 7,
_xlpm.추가_색인번호, 8,
_xlpm.개별보정치, Y108,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8" s="30" cm="1">
        <f t="array" ref="AG108">_xlfn.LET(_xlpm.기본_색인번호, 8,
_xlpm.추가_색인번호, 9,
_xlpm.개별보정치, Z108,
_xlpm.패턴보정치, VLOOKUP($G108, Factor!$B$5:$I$51, _xlpm.기본_색인번호, 0),
_xlpm.소모탄환보정치, VLOOKUP($H108, Factor!$T$5:$AA$51, _xlpm.기본_색인번호, 0),
_xlpm.지형보정치, VLOOKUP($I108, Factor!$K$12:$R$13, _xlpm.기본_색인번호, 0),
_xlpm.공격속성보정치, VLOOKUP($J108, Factor!$K$5:$R$7, _xlpm.기본_색인번호, 0),
_xlpm.피해범위보정치, INDEX(Factor!$AN$5:$AV$51, _xlfn.XMATCH(IF(OR($G108="blast", $G108="curved",  $G108= "debuff"), $L108, 0), Factor!$AN$5:$AN$51, -1), _xlpm.추가_색인번호)-IF(AND(OR($G108="blast", $G108="curved", $G108= "debuff"), MOD($L108,1)&lt;&gt;0),INDEX(Factor!$AN$5:$AV$51, _xlfn.XMATCH(IF(OR($G108="blast", $G108="curved", $G108= "debuff"), $L108, 0), Factor!$AN$5:$AN$51, -1), 2)*MOD($L108,1)*10,0),
_xlpm.상태이상보정치, VLOOKUP(IF($G108 = "debuff", $M108, "null"), Factor!$AX$5:$BE$51, _xlpm.기본_색인번호, 0),
_xlpm.지속시간보정치, INDEX(Factor!$BG$5:$BO$51, _xlfn.XMATCH(IF(OR($G108 ="debuff", $G108 = "shot", $G108 = "pierce"), $O108, 0), Factor!$BG$5:$BG$51, -1), _xlpm.추가_색인번호)-IF(AND(OR($G108 ="debuff", $G108 = "shot", $G108 = "pierce"), MOD($O108, 1)&lt;&gt;0), 10*MOD($O108, 1)*INDEX(Factor!$BG$5:$BO$51, _xlfn.XMATCH(IF(OR($G108 ="debuff", $G108 = "shot", $G108 = "pierce"), $O108, 0), Factor!$BG$5:$BG$51, -1), 2), 0),
_xlpm.탄환개수보정치, VLOOKUP(IF(OR($G108 = "curved", $G108 = "shot"), $Q108, 1), Factor!$BQ$5:$BX$51, _xlpm.기본_색인번호, 0),
_xlpm.상태이상탄환생성위치보정치, IF($G108 = "debuff", VLOOKUP($R108, Factor!$K$18:$R$19, _xlpm.기본_색인번호, 0),1),
_xlpm.상태이상탄환형태보정치, IF($G108 = "debuff", VLOOKUP($S108, Factor!$K$24:$R$25, _xlpm.기본_색인번호, 0),1),
_xlpm.가격보정치, INDEX(Factor!$AE$5:$AL$51, _xlfn.XMATCH($F108,Factor!$AE$5:$AE$51, -1), _xlpm.기본_색인번호),
_xlpm.구경보정치, VLOOKUP($D108,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109" spans="1:33" ht="15.75" customHeight="1">
      <c r="A109" s="24" t="str">
        <f>"weapon_"&amp;G109&amp;"_"&amp;VLOOKUP(H109, Factor!$T$5:$AB$7, 9, 0)&amp;"_"&amp;IF(COUNTIFS($G$4:G108, G109, $H$4:H108, H109)+1&gt;=100, COUNTIFS($G$4:G108, G109, $H$4:H108, H109)+1,IF(COUNTIFS($G$4:G108, G109, $H$4:H108, H109)+1&gt;=10, "0"&amp;COUNTIFS($G$4:G108, G109, $H$4:H108, H109)+1, "00"&amp;COUNTIFS($G$4:G108, G109, $H$4:H108, H109)+1))</f>
        <v>weapon_single_Am_105</v>
      </c>
      <c r="B109" s="36" t="str">
        <f t="shared" si="1"/>
        <v>T9 20mm대공포</v>
      </c>
      <c r="C109" s="36" t="s">
        <v>162</v>
      </c>
      <c r="D109" s="36" t="s">
        <v>244</v>
      </c>
      <c r="E109" s="36" t="s">
        <v>276</v>
      </c>
      <c r="F109" s="25">
        <f>VLOOKUP(C109, Factor!$AD$5:$AE$15, 2, 0)</f>
        <v>9000</v>
      </c>
      <c r="G109" s="26" t="str">
        <f>VLOOKUP(E109, Factor!$CL$5:$CV$50, 2, 0)</f>
        <v>single</v>
      </c>
      <c r="H109" s="25" t="str">
        <f>VLOOKUP(E109, Factor!$CL$5:$CV$50, 3, 0)</f>
        <v>ammo</v>
      </c>
      <c r="I109" s="25" t="str">
        <f>VLOOKUP(E109, Factor!$CL$5:$CV$50, 4, 0)</f>
        <v>F</v>
      </c>
      <c r="J109" s="25" t="str">
        <f>VLOOKUP(E109, Factor!$CL$5:$CV$50, 5, 0)</f>
        <v>spread</v>
      </c>
      <c r="K109" s="25">
        <v>1</v>
      </c>
      <c r="L109" s="25">
        <f>VLOOKUP(E109, Factor!$CL$5:$CV$50, 6, 0)*K109*VLOOKUP(D109, Factor!$BZ$5:$CJ$49, 9, 0)</f>
        <v>0</v>
      </c>
      <c r="M109" s="25" t="str">
        <f>VLOOKUP(E109, Factor!$CL$5:$CV$50, 7, 0)</f>
        <v>null</v>
      </c>
      <c r="N109" s="25">
        <v>1</v>
      </c>
      <c r="O109" s="25">
        <f>VLOOKUP(E109, Factor!$CL$5:$CV$50, 8, 0)*N109*VLOOKUP(D109, Factor!$BZ$5:$CJ$49, 10, 0)</f>
        <v>0</v>
      </c>
      <c r="P109" s="25">
        <v>1</v>
      </c>
      <c r="Q109" s="25">
        <f>VLOOKUP(E109, Factor!$CL$5:$CV$50, 9, 0)*P109*VLOOKUP(D109, Factor!$BZ$5:$CJ$49, 11, 0)</f>
        <v>5</v>
      </c>
      <c r="R109" s="25" t="str">
        <f>VLOOKUP(E109, Factor!$CL$5:$CV$50, 10, 0)</f>
        <v>null</v>
      </c>
      <c r="S109" s="25" t="str">
        <f>VLOOKUP(E109, Factor!$CL$5:$CV$50, 11, 0)</f>
        <v>null</v>
      </c>
      <c r="T109" s="25">
        <v>1</v>
      </c>
      <c r="U109" s="25">
        <v>1</v>
      </c>
      <c r="V109" s="25">
        <v>1</v>
      </c>
      <c r="W109" s="25">
        <v>1</v>
      </c>
      <c r="X109" s="25">
        <v>1</v>
      </c>
      <c r="Y109" s="25">
        <v>1</v>
      </c>
      <c r="Z109" s="25">
        <v>1</v>
      </c>
      <c r="AA109" s="25" cm="1">
        <f t="array" ref="AA109">_xlfn.LET(_xlpm.기본_색인번호, 2,
_xlpm.추가_색인번호, 3,
_xlpm.개별보정치, T109,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09" s="25" cm="1">
        <f t="array" ref="AB109">_xlfn.LET(_xlpm.기본_색인번호, 3,
_xlpm.추가_색인번호, 4,
_xlpm.개별보정치, U109,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09" s="25" cm="1">
        <f t="array" ref="AC109">_xlfn.LET(_xlpm.기본_색인번호, 4,
_xlpm.추가_색인번호, 5,
_xlpm.개별보정치, V109,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09" s="25" cm="1">
        <f t="array" ref="AD109">_xlfn.LET(_xlpm.기본_색인번호, 5,
_xlpm.추가_색인번호, 6,
_xlpm.개별보정치, W109,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109" s="25" cm="1">
        <f t="array" ref="AE109">_xlfn.LET(_xlpm.기본_색인번호, 6,
_xlpm.추가_색인번호, 7,
_xlpm.개별보정치, X109,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109" s="25" cm="1">
        <f t="array" ref="AF109">_xlfn.LET(_xlpm.기본_색인번호, 7,
_xlpm.추가_색인번호, 8,
_xlpm.개별보정치, Y109,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09" s="27" cm="1">
        <f t="array" ref="AG109">_xlfn.LET(_xlpm.기본_색인번호, 8,
_xlpm.추가_색인번호, 9,
_xlpm.개별보정치, Z109,
_xlpm.패턴보정치, VLOOKUP($G109, Factor!$B$5:$I$51, _xlpm.기본_색인번호, 0),
_xlpm.소모탄환보정치, VLOOKUP($H109, Factor!$T$5:$AA$51, _xlpm.기본_색인번호, 0),
_xlpm.지형보정치, VLOOKUP($I109, Factor!$K$12:$R$13, _xlpm.기본_색인번호, 0),
_xlpm.공격속성보정치, VLOOKUP($J109, Factor!$K$5:$R$7, _xlpm.기본_색인번호, 0),
_xlpm.피해범위보정치, INDEX(Factor!$AN$5:$AV$51, _xlfn.XMATCH(IF(OR($G109="blast", $G109="curved",  $G109= "debuff"), $L109, 0), Factor!$AN$5:$AN$51, -1), _xlpm.추가_색인번호)-IF(AND(OR($G109="blast", $G109="curved", $G109= "debuff"), MOD($L109,1)&lt;&gt;0),INDEX(Factor!$AN$5:$AV$51, _xlfn.XMATCH(IF(OR($G109="blast", $G109="curved", $G109= "debuff"), $L109, 0), Factor!$AN$5:$AN$51, -1), 2)*MOD($L109,1)*10,0),
_xlpm.상태이상보정치, VLOOKUP(IF($G109 = "debuff", $M109, "null"), Factor!$AX$5:$BE$51, _xlpm.기본_색인번호, 0),
_xlpm.지속시간보정치, INDEX(Factor!$BG$5:$BO$51, _xlfn.XMATCH(IF(OR($G109 ="debuff", $G109 = "shot", $G109 = "pierce"), $O109, 0), Factor!$BG$5:$BG$51, -1), _xlpm.추가_색인번호)-IF(AND(OR($G109 ="debuff", $G109 = "shot", $G109 = "pierce"), MOD($O109, 1)&lt;&gt;0), 10*MOD($O109, 1)*INDEX(Factor!$BG$5:$BO$51, _xlfn.XMATCH(IF(OR($G109 ="debuff", $G109 = "shot", $G109 = "pierce"), $O109, 0), Factor!$BG$5:$BG$51, -1), 2), 0),
_xlpm.탄환개수보정치, VLOOKUP(IF(OR($G109 = "curved", $G109 = "shot"), $Q109, 1), Factor!$BQ$5:$BX$51, _xlpm.기본_색인번호, 0),
_xlpm.상태이상탄환생성위치보정치, IF($G109 = "debuff", VLOOKUP($R109, Factor!$K$18:$R$19, _xlpm.기본_색인번호, 0),1),
_xlpm.상태이상탄환형태보정치, IF($G109 = "debuff", VLOOKUP($S109, Factor!$K$24:$R$25, _xlpm.기본_색인번호, 0),1),
_xlpm.가격보정치, INDEX(Factor!$AE$5:$AL$51, _xlfn.XMATCH($F109,Factor!$AE$5:$AE$51, -1), _xlpm.기본_색인번호),
_xlpm.구경보정치, VLOOKUP($D109,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110" spans="1:33" ht="15.75" customHeight="1">
      <c r="A110" s="28" t="str">
        <f>"weapon_"&amp;G110&amp;"_"&amp;VLOOKUP(H110, Factor!$T$5:$AB$7, 9, 0)&amp;"_"&amp;IF(COUNTIFS($G$4:G109, G110, $H$4:H109, H110)+1&gt;=100, COUNTIFS($G$4:G109, G110, $H$4:H109, H110)+1,IF(COUNTIFS($G$4:G109, G110, $H$4:H109, H110)+1&gt;=10, "0"&amp;COUNTIFS($G$4:G109, G110, $H$4:H109, H110)+1, "00"&amp;COUNTIFS($G$4:G109, G110, $H$4:H109, H110)+1))</f>
        <v>weapon_single_Am_106</v>
      </c>
      <c r="B110" s="37" t="str">
        <f t="shared" si="1"/>
        <v>T10 대공포</v>
      </c>
      <c r="C110" s="37" t="s">
        <v>163</v>
      </c>
      <c r="D110" s="37" t="s">
        <v>275</v>
      </c>
      <c r="E110" s="37" t="s">
        <v>276</v>
      </c>
      <c r="F110" s="29">
        <f>VLOOKUP(C110, Factor!$AD$5:$AE$15, 2, 0)</f>
        <v>10000</v>
      </c>
      <c r="G110" s="29" t="str">
        <f>VLOOKUP(E110, Factor!$CL$5:$CV$50, 2, 0)</f>
        <v>single</v>
      </c>
      <c r="H110" s="29" t="str">
        <f>VLOOKUP(E110, Factor!$CL$5:$CV$50, 3, 0)</f>
        <v>ammo</v>
      </c>
      <c r="I110" s="29" t="str">
        <f>VLOOKUP(E110, Factor!$CL$5:$CV$50, 4, 0)</f>
        <v>F</v>
      </c>
      <c r="J110" s="29" t="str">
        <f>VLOOKUP(E110, Factor!$CL$5:$CV$50, 5, 0)</f>
        <v>spread</v>
      </c>
      <c r="K110" s="29">
        <v>1</v>
      </c>
      <c r="L110" s="29">
        <f>VLOOKUP(E110, Factor!$CL$5:$CV$50, 6, 0)*K110*VLOOKUP(D110, Factor!$BZ$5:$CJ$49, 9, 0)</f>
        <v>0</v>
      </c>
      <c r="M110" s="29" t="str">
        <f>VLOOKUP(E110, Factor!$CL$5:$CV$50, 7, 0)</f>
        <v>null</v>
      </c>
      <c r="N110" s="29">
        <v>1</v>
      </c>
      <c r="O110" s="29">
        <f>VLOOKUP(E110, Factor!$CL$5:$CV$50, 8, 0)*N110*VLOOKUP(D110, Factor!$BZ$5:$CJ$49, 10, 0)</f>
        <v>0</v>
      </c>
      <c r="P110" s="29">
        <v>1</v>
      </c>
      <c r="Q110" s="29">
        <f>VLOOKUP(E110, Factor!$CL$5:$CV$50, 9, 0)*P110*VLOOKUP(D110, Factor!$BZ$5:$CJ$49, 11, 0)</f>
        <v>1</v>
      </c>
      <c r="R110" s="29" t="str">
        <f>VLOOKUP(E110, Factor!$CL$5:$CV$50, 10, 0)</f>
        <v>null</v>
      </c>
      <c r="S110" s="29" t="str">
        <f>VLOOKUP(E110, Factor!$CL$5:$CV$50, 11, 0)</f>
        <v>null</v>
      </c>
      <c r="T110" s="29">
        <v>1</v>
      </c>
      <c r="U110" s="29">
        <v>1</v>
      </c>
      <c r="V110" s="29">
        <v>1</v>
      </c>
      <c r="W110" s="29">
        <v>1</v>
      </c>
      <c r="X110" s="29">
        <v>1</v>
      </c>
      <c r="Y110" s="29">
        <v>1</v>
      </c>
      <c r="Z110" s="29">
        <v>1</v>
      </c>
      <c r="AA110" s="29" cm="1">
        <f t="array" ref="AA110">_xlfn.LET(_xlpm.기본_색인번호, 2,
_xlpm.추가_색인번호, 3,
_xlpm.개별보정치, T110,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</v>
      </c>
      <c r="AB110" s="29" cm="1">
        <f t="array" ref="AB110">_xlfn.LET(_xlpm.기본_색인번호, 3,
_xlpm.추가_색인번호, 4,
_xlpm.개별보정치, U110,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10" s="29" cm="1">
        <f t="array" ref="AC110">_xlfn.LET(_xlpm.기본_색인번호, 4,
_xlpm.추가_색인번호, 5,
_xlpm.개별보정치, V110,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10" s="29" cm="1">
        <f t="array" ref="AD110">_xlfn.LET(_xlpm.기본_색인번호, 5,
_xlpm.추가_색인번호, 6,
_xlpm.개별보정치, W110,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E110" s="29" cm="1">
        <f t="array" ref="AE110">_xlfn.LET(_xlpm.기본_색인번호, 6,
_xlpm.추가_색인번호, 7,
_xlpm.개별보정치, X110,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F110" s="29" cm="1">
        <f t="array" ref="AF110">_xlfn.LET(_xlpm.기본_색인번호, 7,
_xlpm.추가_색인번호, 8,
_xlpm.개별보정치, Y110,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10" s="30" cm="1">
        <f t="array" ref="AG110">_xlfn.LET(_xlpm.기본_색인번호, 8,
_xlpm.추가_색인번호, 9,
_xlpm.개별보정치, Z110,
_xlpm.패턴보정치, VLOOKUP($G110, Factor!$B$5:$I$51, _xlpm.기본_색인번호, 0),
_xlpm.소모탄환보정치, VLOOKUP($H110, Factor!$T$5:$AA$51, _xlpm.기본_색인번호, 0),
_xlpm.지형보정치, VLOOKUP($I110, Factor!$K$12:$R$13, _xlpm.기본_색인번호, 0),
_xlpm.공격속성보정치, VLOOKUP($J110, Factor!$K$5:$R$7, _xlpm.기본_색인번호, 0),
_xlpm.피해범위보정치, INDEX(Factor!$AN$5:$AV$51, _xlfn.XMATCH(IF(OR($G110="blast", $G110="curved",  $G110= "debuff"), $L110, 0), Factor!$AN$5:$AN$51, -1), _xlpm.추가_색인번호)-IF(AND(OR($G110="blast", $G110="curved", $G110= "debuff"), MOD($L110,1)&lt;&gt;0),INDEX(Factor!$AN$5:$AV$51, _xlfn.XMATCH(IF(OR($G110="blast", $G110="curved", $G110= "debuff"), $L110, 0), Factor!$AN$5:$AN$51, -1), 2)*MOD($L110,1)*10,0),
_xlpm.상태이상보정치, VLOOKUP(IF($G110 = "debuff", $M110, "null"), Factor!$AX$5:$BE$51, _xlpm.기본_색인번호, 0),
_xlpm.지속시간보정치, INDEX(Factor!$BG$5:$BO$51, _xlfn.XMATCH(IF(OR($G110 ="debuff", $G110 = "shot", $G110 = "pierce"), $O110, 0), Factor!$BG$5:$BG$51, -1), _xlpm.추가_색인번호)-IF(AND(OR($G110 ="debuff", $G110 = "shot", $G110 = "pierce"), MOD($O110, 1)&lt;&gt;0), 10*MOD($O110, 1)*INDEX(Factor!$BG$5:$BO$51, _xlfn.XMATCH(IF(OR($G110 ="debuff", $G110 = "shot", $G110 = "pierce"), $O110, 0), Factor!$BG$5:$BG$51, -1), 2), 0),
_xlpm.탄환개수보정치, VLOOKUP(IF(OR($G110 = "curved", $G110 = "shot"), $Q110, 1), Factor!$BQ$5:$BX$51, _xlpm.기본_색인번호, 0),
_xlpm.상태이상탄환생성위치보정치, IF($G110 = "debuff", VLOOKUP($R110, Factor!$K$18:$R$19, _xlpm.기본_색인번호, 0),1),
_xlpm.상태이상탄환형태보정치, IF($G110 = "debuff", VLOOKUP($S110, Factor!$K$24:$R$25, _xlpm.기본_색인번호, 0),1),
_xlpm.가격보정치, INDEX(Factor!$AE$5:$AL$51, _xlfn.XMATCH($F110,Factor!$AE$5:$AE$51, -1), _xlpm.기본_색인번호),
_xlpm.구경보정치, VLOOKUP($D110,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</row>
    <row r="111" spans="1:33" ht="15.75" customHeight="1">
      <c r="A111" s="24" t="str">
        <f>"weapon_"&amp;G111&amp;"_"&amp;VLOOKUP(H111, Factor!$T$5:$AB$7, 9, 0)&amp;"_"&amp;IF(COUNTIFS($G$4:G110, G111, $H$4:H110, H111)+1&gt;=100, COUNTIFS($G$4:G110, G111, $H$4:H110, H111)+1,IF(COUNTIFS($G$4:G110, G111, $H$4:H110, H111)+1&gt;=10, "0"&amp;COUNTIFS($G$4:G110, G111, $H$4:H110, H111)+1, "00"&amp;COUNTIFS($G$4:G110, G111, $H$4:H110, H111)+1))</f>
        <v>weapon_single_Am_107</v>
      </c>
      <c r="B111" s="36" t="str">
        <f t="shared" si="1"/>
        <v>T10 5.56mm대공포</v>
      </c>
      <c r="C111" s="36" t="s">
        <v>163</v>
      </c>
      <c r="D111" s="36" t="s">
        <v>241</v>
      </c>
      <c r="E111" s="36" t="s">
        <v>276</v>
      </c>
      <c r="F111" s="25">
        <f>VLOOKUP(C111, Factor!$AD$5:$AE$15, 2, 0)</f>
        <v>10000</v>
      </c>
      <c r="G111" s="26" t="str">
        <f>VLOOKUP(E111, Factor!$CL$5:$CV$50, 2, 0)</f>
        <v>single</v>
      </c>
      <c r="H111" s="25" t="str">
        <f>VLOOKUP(E111, Factor!$CL$5:$CV$50, 3, 0)</f>
        <v>ammo</v>
      </c>
      <c r="I111" s="25" t="str">
        <f>VLOOKUP(E111, Factor!$CL$5:$CV$50, 4, 0)</f>
        <v>F</v>
      </c>
      <c r="J111" s="25" t="str">
        <f>VLOOKUP(E111, Factor!$CL$5:$CV$50, 5, 0)</f>
        <v>spread</v>
      </c>
      <c r="K111" s="25">
        <v>1</v>
      </c>
      <c r="L111" s="25">
        <f>VLOOKUP(E111, Factor!$CL$5:$CV$50, 6, 0)*K111*VLOOKUP(D111, Factor!$BZ$5:$CJ$49, 9, 0)</f>
        <v>0</v>
      </c>
      <c r="M111" s="25" t="str">
        <f>VLOOKUP(E111, Factor!$CL$5:$CV$50, 7, 0)</f>
        <v>null</v>
      </c>
      <c r="N111" s="25">
        <v>1</v>
      </c>
      <c r="O111" s="25">
        <f>VLOOKUP(E111, Factor!$CL$5:$CV$50, 8, 0)*N111*VLOOKUP(D111, Factor!$BZ$5:$CJ$49, 10, 0)</f>
        <v>0</v>
      </c>
      <c r="P111" s="25">
        <v>1</v>
      </c>
      <c r="Q111" s="25">
        <f>VLOOKUP(E111, Factor!$CL$5:$CV$50, 9, 0)*P111*VLOOKUP(D111, Factor!$BZ$5:$CJ$49, 11, 0)</f>
        <v>2</v>
      </c>
      <c r="R111" s="25" t="str">
        <f>VLOOKUP(E111, Factor!$CL$5:$CV$50, 10, 0)</f>
        <v>null</v>
      </c>
      <c r="S111" s="25" t="str">
        <f>VLOOKUP(E111, Factor!$CL$5:$CV$50, 11, 0)</f>
        <v>null</v>
      </c>
      <c r="T111" s="25">
        <v>1</v>
      </c>
      <c r="U111" s="25">
        <v>1</v>
      </c>
      <c r="V111" s="25">
        <v>1</v>
      </c>
      <c r="W111" s="25">
        <v>1</v>
      </c>
      <c r="X111" s="25">
        <v>1</v>
      </c>
      <c r="Y111" s="25">
        <v>1</v>
      </c>
      <c r="Z111" s="25">
        <v>1</v>
      </c>
      <c r="AA111" s="25" cm="1">
        <f t="array" ref="AA111">_xlfn.LET(_xlpm.기본_색인번호, 2,
_xlpm.추가_색인번호, 3,
_xlpm.개별보정치, T111,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</v>
      </c>
      <c r="AB111" s="25" cm="1">
        <f t="array" ref="AB111">_xlfn.LET(_xlpm.기본_색인번호, 3,
_xlpm.추가_색인번호, 4,
_xlpm.개별보정치, U111,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11" s="25" cm="1">
        <f t="array" ref="AC111">_xlfn.LET(_xlpm.기본_색인번호, 4,
_xlpm.추가_색인번호, 5,
_xlpm.개별보정치, V111,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11" s="25" cm="1">
        <f t="array" ref="AD111">_xlfn.LET(_xlpm.기본_색인번호, 5,
_xlpm.추가_색인번호, 6,
_xlpm.개별보정치, W111,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E111" s="25" cm="1">
        <f t="array" ref="AE111">_xlfn.LET(_xlpm.기본_색인번호, 6,
_xlpm.추가_색인번호, 7,
_xlpm.개별보정치, X111,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F111" s="25" cm="1">
        <f t="array" ref="AF111">_xlfn.LET(_xlpm.기본_색인번호, 7,
_xlpm.추가_색인번호, 8,
_xlpm.개별보정치, Y111,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11" s="27" cm="1">
        <f t="array" ref="AG111">_xlfn.LET(_xlpm.기본_색인번호, 8,
_xlpm.추가_색인번호, 9,
_xlpm.개별보정치, Z111,
_xlpm.패턴보정치, VLOOKUP($G111, Factor!$B$5:$I$51, _xlpm.기본_색인번호, 0),
_xlpm.소모탄환보정치, VLOOKUP($H111, Factor!$T$5:$AA$51, _xlpm.기본_색인번호, 0),
_xlpm.지형보정치, VLOOKUP($I111, Factor!$K$12:$R$13, _xlpm.기본_색인번호, 0),
_xlpm.공격속성보정치, VLOOKUP($J111, Factor!$K$5:$R$7, _xlpm.기본_색인번호, 0),
_xlpm.피해범위보정치, INDEX(Factor!$AN$5:$AV$51, _xlfn.XMATCH(IF(OR($G111="blast", $G111="curved",  $G111= "debuff"), $L111, 0), Factor!$AN$5:$AN$51, -1), _xlpm.추가_색인번호)-IF(AND(OR($G111="blast", $G111="curved", $G111= "debuff"), MOD($L111,1)&lt;&gt;0),INDEX(Factor!$AN$5:$AV$51, _xlfn.XMATCH(IF(OR($G111="blast", $G111="curved", $G111= "debuff"), $L111, 0), Factor!$AN$5:$AN$51, -1), 2)*MOD($L111,1)*10,0),
_xlpm.상태이상보정치, VLOOKUP(IF($G111 = "debuff", $M111, "null"), Factor!$AX$5:$BE$51, _xlpm.기본_색인번호, 0),
_xlpm.지속시간보정치, INDEX(Factor!$BG$5:$BO$51, _xlfn.XMATCH(IF(OR($G111 ="debuff", $G111 = "shot", $G111 = "pierce"), $O111, 0), Factor!$BG$5:$BG$51, -1), _xlpm.추가_색인번호)-IF(AND(OR($G111 ="debuff", $G111 = "shot", $G111 = "pierce"), MOD($O111, 1)&lt;&gt;0), 10*MOD($O111, 1)*INDEX(Factor!$BG$5:$BO$51, _xlfn.XMATCH(IF(OR($G111 ="debuff", $G111 = "shot", $G111 = "pierce"), $O111, 0), Factor!$BG$5:$BG$51, -1), 2), 0),
_xlpm.탄환개수보정치, VLOOKUP(IF(OR($G111 = "curved", $G111 = "shot"), $Q111, 1), Factor!$BQ$5:$BX$51, _xlpm.기본_색인번호, 0),
_xlpm.상태이상탄환생성위치보정치, IF($G111 = "debuff", VLOOKUP($R111, Factor!$K$18:$R$19, _xlpm.기본_색인번호, 0),1),
_xlpm.상태이상탄환형태보정치, IF($G111 = "debuff", VLOOKUP($S111, Factor!$K$24:$R$25, _xlpm.기본_색인번호, 0),1),
_xlpm.가격보정치, INDEX(Factor!$AE$5:$AL$51, _xlfn.XMATCH($F111,Factor!$AE$5:$AE$51, -1), _xlpm.기본_색인번호),
_xlpm.구경보정치, VLOOKUP($D111,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</row>
    <row r="112" spans="1:33" ht="15.75" customHeight="1">
      <c r="A112" s="28" t="str">
        <f>"weapon_"&amp;G112&amp;"_"&amp;VLOOKUP(H112, Factor!$T$5:$AB$7, 9, 0)&amp;"_"&amp;IF(COUNTIFS($G$4:G111, G112, $H$4:H111, H112)+1&gt;=100, COUNTIFS($G$4:G111, G112, $H$4:H111, H112)+1,IF(COUNTIFS($G$4:G111, G112, $H$4:H111, H112)+1&gt;=10, "0"&amp;COUNTIFS($G$4:G111, G112, $H$4:H111, H112)+1, "00"&amp;COUNTIFS($G$4:G111, G112, $H$4:H111, H112)+1))</f>
        <v>weapon_single_Am_108</v>
      </c>
      <c r="B112" s="37" t="str">
        <f t="shared" si="1"/>
        <v>T10 7.62mm대공포</v>
      </c>
      <c r="C112" s="37" t="s">
        <v>163</v>
      </c>
      <c r="D112" s="37" t="s">
        <v>242</v>
      </c>
      <c r="E112" s="37" t="s">
        <v>276</v>
      </c>
      <c r="F112" s="29">
        <f>VLOOKUP(C112, Factor!$AD$5:$AE$15, 2, 0)</f>
        <v>10000</v>
      </c>
      <c r="G112" s="29" t="str">
        <f>VLOOKUP(E112, Factor!$CL$5:$CV$50, 2, 0)</f>
        <v>single</v>
      </c>
      <c r="H112" s="29" t="str">
        <f>VLOOKUP(E112, Factor!$CL$5:$CV$50, 3, 0)</f>
        <v>ammo</v>
      </c>
      <c r="I112" s="29" t="str">
        <f>VLOOKUP(E112, Factor!$CL$5:$CV$50, 4, 0)</f>
        <v>F</v>
      </c>
      <c r="J112" s="29" t="str">
        <f>VLOOKUP(E112, Factor!$CL$5:$CV$50, 5, 0)</f>
        <v>spread</v>
      </c>
      <c r="K112" s="29">
        <v>1</v>
      </c>
      <c r="L112" s="29">
        <f>VLOOKUP(E112, Factor!$CL$5:$CV$50, 6, 0)*K112*VLOOKUP(D112, Factor!$BZ$5:$CJ$49, 9, 0)</f>
        <v>0</v>
      </c>
      <c r="M112" s="29" t="str">
        <f>VLOOKUP(E112, Factor!$CL$5:$CV$50, 7, 0)</f>
        <v>null</v>
      </c>
      <c r="N112" s="29">
        <v>1</v>
      </c>
      <c r="O112" s="29">
        <f>VLOOKUP(E112, Factor!$CL$5:$CV$50, 8, 0)*N112*VLOOKUP(D112, Factor!$BZ$5:$CJ$49, 10, 0)</f>
        <v>0</v>
      </c>
      <c r="P112" s="29">
        <v>1</v>
      </c>
      <c r="Q112" s="29">
        <f>VLOOKUP(E112, Factor!$CL$5:$CV$50, 9, 0)*P112*VLOOKUP(D112, Factor!$BZ$5:$CJ$49, 11, 0)</f>
        <v>3</v>
      </c>
      <c r="R112" s="29" t="str">
        <f>VLOOKUP(E112, Factor!$CL$5:$CV$50, 10, 0)</f>
        <v>null</v>
      </c>
      <c r="S112" s="29" t="str">
        <f>VLOOKUP(E112, Factor!$CL$5:$CV$50, 11, 0)</f>
        <v>null</v>
      </c>
      <c r="T112" s="29">
        <v>1</v>
      </c>
      <c r="U112" s="29">
        <v>1</v>
      </c>
      <c r="V112" s="29">
        <v>1</v>
      </c>
      <c r="W112" s="29">
        <v>1</v>
      </c>
      <c r="X112" s="29">
        <v>1</v>
      </c>
      <c r="Y112" s="29">
        <v>1</v>
      </c>
      <c r="Z112" s="29">
        <v>1</v>
      </c>
      <c r="AA112" s="29" cm="1">
        <f t="array" ref="AA112">_xlfn.LET(_xlpm.기본_색인번호, 2,
_xlpm.추가_색인번호, 3,
_xlpm.개별보정치, T112,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</v>
      </c>
      <c r="AB112" s="29" cm="1">
        <f t="array" ref="AB112">_xlfn.LET(_xlpm.기본_색인번호, 3,
_xlpm.추가_색인번호, 4,
_xlpm.개별보정치, U112,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12" s="29" cm="1">
        <f t="array" ref="AC112">_xlfn.LET(_xlpm.기본_색인번호, 4,
_xlpm.추가_색인번호, 5,
_xlpm.개별보정치, V112,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12" s="29" cm="1">
        <f t="array" ref="AD112">_xlfn.LET(_xlpm.기본_색인번호, 5,
_xlpm.추가_색인번호, 6,
_xlpm.개별보정치, W112,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E112" s="29" cm="1">
        <f t="array" ref="AE112">_xlfn.LET(_xlpm.기본_색인번호, 6,
_xlpm.추가_색인번호, 7,
_xlpm.개별보정치, X112,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F112" s="29" cm="1">
        <f t="array" ref="AF112">_xlfn.LET(_xlpm.기본_색인번호, 7,
_xlpm.추가_색인번호, 8,
_xlpm.개별보정치, Y112,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12" s="30" cm="1">
        <f t="array" ref="AG112">_xlfn.LET(_xlpm.기본_색인번호, 8,
_xlpm.추가_색인번호, 9,
_xlpm.개별보정치, Z112,
_xlpm.패턴보정치, VLOOKUP($G112, Factor!$B$5:$I$51, _xlpm.기본_색인번호, 0),
_xlpm.소모탄환보정치, VLOOKUP($H112, Factor!$T$5:$AA$51, _xlpm.기본_색인번호, 0),
_xlpm.지형보정치, VLOOKUP($I112, Factor!$K$12:$R$13, _xlpm.기본_색인번호, 0),
_xlpm.공격속성보정치, VLOOKUP($J112, Factor!$K$5:$R$7, _xlpm.기본_색인번호, 0),
_xlpm.피해범위보정치, INDEX(Factor!$AN$5:$AV$51, _xlfn.XMATCH(IF(OR($G112="blast", $G112="curved",  $G112= "debuff"), $L112, 0), Factor!$AN$5:$AN$51, -1), _xlpm.추가_색인번호)-IF(AND(OR($G112="blast", $G112="curved", $G112= "debuff"), MOD($L112,1)&lt;&gt;0),INDEX(Factor!$AN$5:$AV$51, _xlfn.XMATCH(IF(OR($G112="blast", $G112="curved", $G112= "debuff"), $L112, 0), Factor!$AN$5:$AN$51, -1), 2)*MOD($L112,1)*10,0),
_xlpm.상태이상보정치, VLOOKUP(IF($G112 = "debuff", $M112, "null"), Factor!$AX$5:$BE$51, _xlpm.기본_색인번호, 0),
_xlpm.지속시간보정치, INDEX(Factor!$BG$5:$BO$51, _xlfn.XMATCH(IF(OR($G112 ="debuff", $G112 = "shot", $G112 = "pierce"), $O112, 0), Factor!$BG$5:$BG$51, -1), _xlpm.추가_색인번호)-IF(AND(OR($G112 ="debuff", $G112 = "shot", $G112 = "pierce"), MOD($O112, 1)&lt;&gt;0), 10*MOD($O112, 1)*INDEX(Factor!$BG$5:$BO$51, _xlfn.XMATCH(IF(OR($G112 ="debuff", $G112 = "shot", $G112 = "pierce"), $O112, 0), Factor!$BG$5:$BG$51, -1), 2), 0),
_xlpm.탄환개수보정치, VLOOKUP(IF(OR($G112 = "curved", $G112 = "shot"), $Q112, 1), Factor!$BQ$5:$BX$51, _xlpm.기본_색인번호, 0),
_xlpm.상태이상탄환생성위치보정치, IF($G112 = "debuff", VLOOKUP($R112, Factor!$K$18:$R$19, _xlpm.기본_색인번호, 0),1),
_xlpm.상태이상탄환형태보정치, IF($G112 = "debuff", VLOOKUP($S112, Factor!$K$24:$R$25, _xlpm.기본_색인번호, 0),1),
_xlpm.가격보정치, INDEX(Factor!$AE$5:$AL$51, _xlfn.XMATCH($F112,Factor!$AE$5:$AE$51, -1), _xlpm.기본_색인번호),
_xlpm.구경보정치, VLOOKUP($D112,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</row>
    <row r="113" spans="1:33" ht="15.75" customHeight="1">
      <c r="A113" s="24" t="str">
        <f>"weapon_"&amp;G113&amp;"_"&amp;VLOOKUP(H113, Factor!$T$5:$AB$7, 9, 0)&amp;"_"&amp;IF(COUNTIFS($G$4:G112, G113, $H$4:H112, H113)+1&gt;=100, COUNTIFS($G$4:G112, G113, $H$4:H112, H113)+1,IF(COUNTIFS($G$4:G112, G113, $H$4:H112, H113)+1&gt;=10, "0"&amp;COUNTIFS($G$4:G112, G113, $H$4:H112, H113)+1, "00"&amp;COUNTIFS($G$4:G112, G113, $H$4:H112, H113)+1))</f>
        <v>weapon_single_Am_109</v>
      </c>
      <c r="B113" s="36" t="str">
        <f t="shared" si="1"/>
        <v>T10 12.7mm대공포</v>
      </c>
      <c r="C113" s="36" t="s">
        <v>163</v>
      </c>
      <c r="D113" s="36" t="s">
        <v>243</v>
      </c>
      <c r="E113" s="36" t="s">
        <v>276</v>
      </c>
      <c r="F113" s="25">
        <f>VLOOKUP(C113, Factor!$AD$5:$AE$15, 2, 0)</f>
        <v>10000</v>
      </c>
      <c r="G113" s="26" t="str">
        <f>VLOOKUP(E113, Factor!$CL$5:$CV$50, 2, 0)</f>
        <v>single</v>
      </c>
      <c r="H113" s="25" t="str">
        <f>VLOOKUP(E113, Factor!$CL$5:$CV$50, 3, 0)</f>
        <v>ammo</v>
      </c>
      <c r="I113" s="25" t="str">
        <f>VLOOKUP(E113, Factor!$CL$5:$CV$50, 4, 0)</f>
        <v>F</v>
      </c>
      <c r="J113" s="25" t="str">
        <f>VLOOKUP(E113, Factor!$CL$5:$CV$50, 5, 0)</f>
        <v>spread</v>
      </c>
      <c r="K113" s="25">
        <v>1</v>
      </c>
      <c r="L113" s="25">
        <f>VLOOKUP(E113, Factor!$CL$5:$CV$50, 6, 0)*K113*VLOOKUP(D113, Factor!$BZ$5:$CJ$49, 9, 0)</f>
        <v>0</v>
      </c>
      <c r="M113" s="25" t="str">
        <f>VLOOKUP(E113, Factor!$CL$5:$CV$50, 7, 0)</f>
        <v>null</v>
      </c>
      <c r="N113" s="25">
        <v>1</v>
      </c>
      <c r="O113" s="25">
        <f>VLOOKUP(E113, Factor!$CL$5:$CV$50, 8, 0)*N113*VLOOKUP(D113, Factor!$BZ$5:$CJ$49, 10, 0)</f>
        <v>0</v>
      </c>
      <c r="P113" s="25">
        <v>1</v>
      </c>
      <c r="Q113" s="25">
        <f>VLOOKUP(E113, Factor!$CL$5:$CV$50, 9, 0)*P113*VLOOKUP(D113, Factor!$BZ$5:$CJ$49, 11, 0)</f>
        <v>4</v>
      </c>
      <c r="R113" s="25" t="str">
        <f>VLOOKUP(E113, Factor!$CL$5:$CV$50, 10, 0)</f>
        <v>null</v>
      </c>
      <c r="S113" s="25" t="str">
        <f>VLOOKUP(E113, Factor!$CL$5:$CV$50, 11, 0)</f>
        <v>null</v>
      </c>
      <c r="T113" s="25">
        <v>1</v>
      </c>
      <c r="U113" s="25">
        <v>1</v>
      </c>
      <c r="V113" s="25">
        <v>1</v>
      </c>
      <c r="W113" s="25">
        <v>1</v>
      </c>
      <c r="X113" s="25">
        <v>1</v>
      </c>
      <c r="Y113" s="25">
        <v>1</v>
      </c>
      <c r="Z113" s="25">
        <v>1</v>
      </c>
      <c r="AA113" s="25" cm="1">
        <f t="array" ref="AA113">_xlfn.LET(_xlpm.기본_색인번호, 2,
_xlpm.추가_색인번호, 3,
_xlpm.개별보정치, T113,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</v>
      </c>
      <c r="AB113" s="25" cm="1">
        <f t="array" ref="AB113">_xlfn.LET(_xlpm.기본_색인번호, 3,
_xlpm.추가_색인번호, 4,
_xlpm.개별보정치, U113,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13" s="25" cm="1">
        <f t="array" ref="AC113">_xlfn.LET(_xlpm.기본_색인번호, 4,
_xlpm.추가_색인번호, 5,
_xlpm.개별보정치, V113,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13" s="25" cm="1">
        <f t="array" ref="AD113">_xlfn.LET(_xlpm.기본_색인번호, 5,
_xlpm.추가_색인번호, 6,
_xlpm.개별보정치, W113,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E113" s="25" cm="1">
        <f t="array" ref="AE113">_xlfn.LET(_xlpm.기본_색인번호, 6,
_xlpm.추가_색인번호, 7,
_xlpm.개별보정치, X113,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F113" s="25" cm="1">
        <f t="array" ref="AF113">_xlfn.LET(_xlpm.기본_색인번호, 7,
_xlpm.추가_색인번호, 8,
_xlpm.개별보정치, Y113,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13" s="27" cm="1">
        <f t="array" ref="AG113">_xlfn.LET(_xlpm.기본_색인번호, 8,
_xlpm.추가_색인번호, 9,
_xlpm.개별보정치, Z113,
_xlpm.패턴보정치, VLOOKUP($G113, Factor!$B$5:$I$51, _xlpm.기본_색인번호, 0),
_xlpm.소모탄환보정치, VLOOKUP($H113, Factor!$T$5:$AA$51, _xlpm.기본_색인번호, 0),
_xlpm.지형보정치, VLOOKUP($I113, Factor!$K$12:$R$13, _xlpm.기본_색인번호, 0),
_xlpm.공격속성보정치, VLOOKUP($J113, Factor!$K$5:$R$7, _xlpm.기본_색인번호, 0),
_xlpm.피해범위보정치, INDEX(Factor!$AN$5:$AV$51, _xlfn.XMATCH(IF(OR($G113="blast", $G113="curved",  $G113= "debuff"), $L113, 0), Factor!$AN$5:$AN$51, -1), _xlpm.추가_색인번호)-IF(AND(OR($G113="blast", $G113="curved", $G113= "debuff"), MOD($L113,1)&lt;&gt;0),INDEX(Factor!$AN$5:$AV$51, _xlfn.XMATCH(IF(OR($G113="blast", $G113="curved", $G113= "debuff"), $L113, 0), Factor!$AN$5:$AN$51, -1), 2)*MOD($L113,1)*10,0),
_xlpm.상태이상보정치, VLOOKUP(IF($G113 = "debuff", $M113, "null"), Factor!$AX$5:$BE$51, _xlpm.기본_색인번호, 0),
_xlpm.지속시간보정치, INDEX(Factor!$BG$5:$BO$51, _xlfn.XMATCH(IF(OR($G113 ="debuff", $G113 = "shot", $G113 = "pierce"), $O113, 0), Factor!$BG$5:$BG$51, -1), _xlpm.추가_색인번호)-IF(AND(OR($G113 ="debuff", $G113 = "shot", $G113 = "pierce"), MOD($O113, 1)&lt;&gt;0), 10*MOD($O113, 1)*INDEX(Factor!$BG$5:$BO$51, _xlfn.XMATCH(IF(OR($G113 ="debuff", $G113 = "shot", $G113 = "pierce"), $O113, 0), Factor!$BG$5:$BG$51, -1), 2), 0),
_xlpm.탄환개수보정치, VLOOKUP(IF(OR($G113 = "curved", $G113 = "shot"), $Q113, 1), Factor!$BQ$5:$BX$51, _xlpm.기본_색인번호, 0),
_xlpm.상태이상탄환생성위치보정치, IF($G113 = "debuff", VLOOKUP($R113, Factor!$K$18:$R$19, _xlpm.기본_색인번호, 0),1),
_xlpm.상태이상탄환형태보정치, IF($G113 = "debuff", VLOOKUP($S113, Factor!$K$24:$R$25, _xlpm.기본_색인번호, 0),1),
_xlpm.가격보정치, INDEX(Factor!$AE$5:$AL$51, _xlfn.XMATCH($F113,Factor!$AE$5:$AE$51, -1), _xlpm.기본_색인번호),
_xlpm.구경보정치, VLOOKUP($D113,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</row>
    <row r="114" spans="1:33" ht="15.75" customHeight="1">
      <c r="A114" s="28" t="str">
        <f>"weapon_"&amp;G114&amp;"_"&amp;VLOOKUP(H114, Factor!$T$5:$AB$7, 9, 0)&amp;"_"&amp;IF(COUNTIFS($G$4:G113, G114, $H$4:H113, H114)+1&gt;=100, COUNTIFS($G$4:G113, G114, $H$4:H113, H114)+1,IF(COUNTIFS($G$4:G113, G114, $H$4:H113, H114)+1&gt;=10, "0"&amp;COUNTIFS($G$4:G113, G114, $H$4:H113, H114)+1, "00"&amp;COUNTIFS($G$4:G113, G114, $H$4:H113, H114)+1))</f>
        <v>weapon_single_Am_110</v>
      </c>
      <c r="B114" s="37" t="str">
        <f t="shared" si="1"/>
        <v>T10 20mm대공포</v>
      </c>
      <c r="C114" s="37" t="s">
        <v>163</v>
      </c>
      <c r="D114" s="37" t="s">
        <v>244</v>
      </c>
      <c r="E114" s="37" t="s">
        <v>276</v>
      </c>
      <c r="F114" s="29">
        <f>VLOOKUP(C114, Factor!$AD$5:$AE$15, 2, 0)</f>
        <v>10000</v>
      </c>
      <c r="G114" s="29" t="str">
        <f>VLOOKUP(E114, Factor!$CL$5:$CV$50, 2, 0)</f>
        <v>single</v>
      </c>
      <c r="H114" s="29" t="str">
        <f>VLOOKUP(E114, Factor!$CL$5:$CV$50, 3, 0)</f>
        <v>ammo</v>
      </c>
      <c r="I114" s="29" t="str">
        <f>VLOOKUP(E114, Factor!$CL$5:$CV$50, 4, 0)</f>
        <v>F</v>
      </c>
      <c r="J114" s="29" t="str">
        <f>VLOOKUP(E114, Factor!$CL$5:$CV$50, 5, 0)</f>
        <v>spread</v>
      </c>
      <c r="K114" s="29">
        <v>1</v>
      </c>
      <c r="L114" s="29">
        <f>VLOOKUP(E114, Factor!$CL$5:$CV$50, 6, 0)*K114*VLOOKUP(D114, Factor!$BZ$5:$CJ$49, 9, 0)</f>
        <v>0</v>
      </c>
      <c r="M114" s="29" t="str">
        <f>VLOOKUP(E114, Factor!$CL$5:$CV$50, 7, 0)</f>
        <v>null</v>
      </c>
      <c r="N114" s="29">
        <v>1</v>
      </c>
      <c r="O114" s="29">
        <f>VLOOKUP(E114, Factor!$CL$5:$CV$50, 8, 0)*N114*VLOOKUP(D114, Factor!$BZ$5:$CJ$49, 10, 0)</f>
        <v>0</v>
      </c>
      <c r="P114" s="29">
        <v>1</v>
      </c>
      <c r="Q114" s="29">
        <f>VLOOKUP(E114, Factor!$CL$5:$CV$50, 9, 0)*P114*VLOOKUP(D114, Factor!$BZ$5:$CJ$49, 11, 0)</f>
        <v>5</v>
      </c>
      <c r="R114" s="29" t="str">
        <f>VLOOKUP(E114, Factor!$CL$5:$CV$50, 10, 0)</f>
        <v>null</v>
      </c>
      <c r="S114" s="29" t="str">
        <f>VLOOKUP(E114, Factor!$CL$5:$CV$50, 11, 0)</f>
        <v>null</v>
      </c>
      <c r="T114" s="29">
        <v>1</v>
      </c>
      <c r="U114" s="29">
        <v>1</v>
      </c>
      <c r="V114" s="29">
        <v>1</v>
      </c>
      <c r="W114" s="29">
        <v>1</v>
      </c>
      <c r="X114" s="29">
        <v>1</v>
      </c>
      <c r="Y114" s="29">
        <v>1</v>
      </c>
      <c r="Z114" s="29">
        <v>1</v>
      </c>
      <c r="AA114" s="29" cm="1">
        <f t="array" ref="AA114">_xlfn.LET(_xlpm.기본_색인번호, 2,
_xlpm.추가_색인번호, 3,
_xlpm.개별보정치, T114,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</v>
      </c>
      <c r="AB114" s="29" cm="1">
        <f t="array" ref="AB114">_xlfn.LET(_xlpm.기본_색인번호, 3,
_xlpm.추가_색인번호, 4,
_xlpm.개별보정치, U114,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</v>
      </c>
      <c r="AC114" s="29" cm="1">
        <f t="array" ref="AC114">_xlfn.LET(_xlpm.기본_색인번호, 4,
_xlpm.추가_색인번호, 5,
_xlpm.개별보정치, V114,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</v>
      </c>
      <c r="AD114" s="29" cm="1">
        <f t="array" ref="AD114">_xlfn.LET(_xlpm.기본_색인번호, 5,
_xlpm.추가_색인번호, 6,
_xlpm.개별보정치, W114,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E114" s="29" cm="1">
        <f t="array" ref="AE114">_xlfn.LET(_xlpm.기본_색인번호, 6,
_xlpm.추가_색인번호, 7,
_xlpm.개별보정치, X114,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  <c r="AF114" s="29" cm="1">
        <f t="array" ref="AF114">_xlfn.LET(_xlpm.기본_색인번호, 7,
_xlpm.추가_색인번호, 8,
_xlpm.개별보정치, Y114,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G114" s="30" cm="1">
        <f t="array" ref="AG114">_xlfn.LET(_xlpm.기본_색인번호, 8,
_xlpm.추가_색인번호, 9,
_xlpm.개별보정치, Z114,
_xlpm.패턴보정치, VLOOKUP($G114, Factor!$B$5:$I$51, _xlpm.기본_색인번호, 0),
_xlpm.소모탄환보정치, VLOOKUP($H114, Factor!$T$5:$AA$51, _xlpm.기본_색인번호, 0),
_xlpm.지형보정치, VLOOKUP($I114, Factor!$K$12:$R$13, _xlpm.기본_색인번호, 0),
_xlpm.공격속성보정치, VLOOKUP($J114, Factor!$K$5:$R$7, _xlpm.기본_색인번호, 0),
_xlpm.피해범위보정치, INDEX(Factor!$AN$5:$AV$51, _xlfn.XMATCH(IF(OR($G114="blast", $G114="curved",  $G114= "debuff"), $L114, 0), Factor!$AN$5:$AN$51, -1), _xlpm.추가_색인번호)-IF(AND(OR($G114="blast", $G114="curved", $G114= "debuff"), MOD($L114,1)&lt;&gt;0),INDEX(Factor!$AN$5:$AV$51, _xlfn.XMATCH(IF(OR($G114="blast", $G114="curved", $G114= "debuff"), $L114, 0), Factor!$AN$5:$AN$51, -1), 2)*MOD($L114,1)*10,0),
_xlpm.상태이상보정치, VLOOKUP(IF($G114 = "debuff", $M114, "null"), Factor!$AX$5:$BE$51, _xlpm.기본_색인번호, 0),
_xlpm.지속시간보정치, INDEX(Factor!$BG$5:$BO$51, _xlfn.XMATCH(IF(OR($G114 ="debuff", $G114 = "shot", $G114 = "pierce"), $O114, 0), Factor!$BG$5:$BG$51, -1), _xlpm.추가_색인번호)-IF(AND(OR($G114 ="debuff", $G114 = "shot", $G114 = "pierce"), MOD($O114, 1)&lt;&gt;0), 10*MOD($O114, 1)*INDEX(Factor!$BG$5:$BO$51, _xlfn.XMATCH(IF(OR($G114 ="debuff", $G114 = "shot", $G114 = "pierce"), $O114, 0), Factor!$BG$5:$BG$51, -1), 2), 0),
_xlpm.탄환개수보정치, VLOOKUP(IF(OR($G114 = "curved", $G114 = "shot"), $Q114, 1), Factor!$BQ$5:$BX$51, _xlpm.기본_색인번호, 0),
_xlpm.상태이상탄환생성위치보정치, IF($G114 = "debuff", VLOOKUP($R114, Factor!$K$18:$R$19, _xlpm.기본_색인번호, 0),1),
_xlpm.상태이상탄환형태보정치, IF($G114 = "debuff", VLOOKUP($S114, Factor!$K$24:$R$25, _xlpm.기본_색인번호, 0),1),
_xlpm.가격보정치, INDEX(Factor!$AE$5:$AL$51, _xlfn.XMATCH($F114,Factor!$AE$5:$AE$51, -1), _xlpm.기본_색인번호),
_xlpm.구경보정치, VLOOKUP($D114,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</v>
      </c>
    </row>
    <row r="115" spans="1:33" ht="15.75" customHeight="1">
      <c r="A115" s="24" t="str">
        <f>"weapon_"&amp;G115&amp;"_"&amp;VLOOKUP(H115, Factor!$T$5:$AB$7, 9, 0)&amp;"_"&amp;IF(COUNTIFS($G$4:G114, G115, $H$4:H114, H115)+1&gt;=100, COUNTIFS($G$4:G114, G115, $H$4:H114, H115)+1,IF(COUNTIFS($G$4:G114, G115, $H$4:H114, H115)+1&gt;=10, "0"&amp;COUNTIFS($G$4:G114, G115, $H$4:H114, H115)+1, "00"&amp;COUNTIFS($G$4:G114, G115, $H$4:H114, H115)+1))</f>
        <v>weapon_blast_Am_001</v>
      </c>
      <c r="B115" s="36" t="str">
        <f>C115&amp;" "&amp;IF(D115 = "none","", D115)&amp;E115</f>
        <v>녹슨 20mm유탄 포탑</v>
      </c>
      <c r="C115" s="36" t="s">
        <v>240</v>
      </c>
      <c r="D115" s="36" t="s">
        <v>261</v>
      </c>
      <c r="E115" s="36" t="s">
        <v>277</v>
      </c>
      <c r="F115" s="25">
        <f>VLOOKUP(C115, Factor!$AD$5:$AE$15, 2, 0)</f>
        <v>0</v>
      </c>
      <c r="G115" s="26" t="str">
        <f>VLOOKUP(E115, Factor!$CL$5:$CV$50, 2, 0)</f>
        <v>blast</v>
      </c>
      <c r="H115" s="25" t="str">
        <f>VLOOKUP(E115, Factor!$CL$5:$CV$50, 3, 0)</f>
        <v>ammo</v>
      </c>
      <c r="I115" s="25" t="str">
        <f>VLOOKUP(E115, Factor!$CL$5:$CV$50, 4, 0)</f>
        <v>L</v>
      </c>
      <c r="J115" s="25" t="str">
        <f>VLOOKUP(E115, Factor!$CL$5:$CV$50, 5, 0)</f>
        <v>spread</v>
      </c>
      <c r="K115" s="25">
        <v>1</v>
      </c>
      <c r="L115" s="25">
        <f>VLOOKUP(E115, Factor!$CL$5:$CV$50, 6, 0)*K115*VLOOKUP(D115, Factor!$BZ$5:$CJ$49, 9, 0)</f>
        <v>5</v>
      </c>
      <c r="M115" s="25" t="str">
        <f>VLOOKUP(E115, Factor!$CL$5:$CV$50, 7, 0)</f>
        <v>null</v>
      </c>
      <c r="N115" s="25">
        <v>1</v>
      </c>
      <c r="O115" s="25">
        <f>VLOOKUP(E115, Factor!$CL$5:$CV$50, 8, 0)*N115*VLOOKUP(D115, Factor!$BZ$5:$CJ$49, 10, 0)</f>
        <v>0</v>
      </c>
      <c r="P115" s="25">
        <v>1</v>
      </c>
      <c r="Q115" s="25">
        <f>VLOOKUP(E115, Factor!$CL$5:$CV$50, 9, 0)*P115*VLOOKUP(D115, Factor!$BZ$5:$CJ$49, 11, 0)</f>
        <v>5</v>
      </c>
      <c r="R115" s="25" t="str">
        <f>VLOOKUP(E115, Factor!$CL$5:$CV$50, 10, 0)</f>
        <v>null</v>
      </c>
      <c r="S115" s="25" t="str">
        <f>VLOOKUP(E115, Factor!$CL$5:$CV$50, 11, 0)</f>
        <v>null</v>
      </c>
      <c r="T115" s="25">
        <v>1</v>
      </c>
      <c r="U115" s="25">
        <v>1</v>
      </c>
      <c r="V115" s="25">
        <v>1</v>
      </c>
      <c r="W115" s="25">
        <v>1</v>
      </c>
      <c r="X115" s="25">
        <v>1</v>
      </c>
      <c r="Y115" s="25">
        <v>1</v>
      </c>
      <c r="Z115" s="25">
        <v>1</v>
      </c>
      <c r="AA115" s="25" cm="1">
        <f t="array" ref="AA115">_xlfn.LET(_xlpm.기본_색인번호, 2,
_xlpm.추가_색인번호, 3,
_xlpm.개별보정치, T115,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115" s="25" cm="1">
        <f t="array" ref="AB115">_xlfn.LET(_xlpm.기본_색인번호, 3,
_xlpm.추가_색인번호, 4,
_xlpm.개별보정치, U115,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15" s="25" cm="1">
        <f t="array" ref="AC115">_xlfn.LET(_xlpm.기본_색인번호, 4,
_xlpm.추가_색인번호, 5,
_xlpm.개별보정치, V115,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15" s="25" cm="1">
        <f t="array" ref="AD115">_xlfn.LET(_xlpm.기본_색인번호, 5,
_xlpm.추가_색인번호, 6,
_xlpm.개별보정치, W115,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E115" s="25" cm="1">
        <f t="array" ref="AE115">_xlfn.LET(_xlpm.기본_색인번호, 6,
_xlpm.추가_색인번호, 7,
_xlpm.개별보정치, X115,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F115" s="25" cm="1">
        <f t="array" ref="AF115">_xlfn.LET(_xlpm.기본_색인번호, 7,
_xlpm.추가_색인번호, 8,
_xlpm.개별보정치, Y115,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15" s="27" cm="1">
        <f t="array" ref="AG115">_xlfn.LET(_xlpm.기본_색인번호, 8,
_xlpm.추가_색인번호, 9,
_xlpm.개별보정치, Z115,
_xlpm.패턴보정치, VLOOKUP($G115, Factor!$B$5:$I$51, _xlpm.기본_색인번호, 0),
_xlpm.소모탄환보정치, VLOOKUP($H115, Factor!$T$5:$AA$51, _xlpm.기본_색인번호, 0),
_xlpm.지형보정치, VLOOKUP($I115, Factor!$K$12:$R$13, _xlpm.기본_색인번호, 0),
_xlpm.공격속성보정치, VLOOKUP($J115, Factor!$K$5:$R$7, _xlpm.기본_색인번호, 0),
_xlpm.피해범위보정치, INDEX(Factor!$AN$5:$AV$51, _xlfn.XMATCH(IF(OR($G115="blast", $G115="curved",  $G115= "debuff"), $L115, 0), Factor!$AN$5:$AN$51, -1), _xlpm.추가_색인번호)-IF(AND(OR($G115="blast", $G115="curved", $G115= "debuff"), MOD($L115,1)&lt;&gt;0),INDEX(Factor!$AN$5:$AV$51, _xlfn.XMATCH(IF(OR($G115="blast", $G115="curved", $G115= "debuff"), $L115, 0), Factor!$AN$5:$AN$51, -1), 2)*MOD($L115,1)*10,0),
_xlpm.상태이상보정치, VLOOKUP(IF($G115 = "debuff", $M115, "null"), Factor!$AX$5:$BE$51, _xlpm.기본_색인번호, 0),
_xlpm.지속시간보정치, INDEX(Factor!$BG$5:$BO$51, _xlfn.XMATCH(IF(OR($G115 ="debuff", $G115 = "shot", $G115 = "pierce"), $O115, 0), Factor!$BG$5:$BG$51, -1), _xlpm.추가_색인번호)-IF(AND(OR($G115 ="debuff", $G115 = "shot", $G115 = "pierce"), MOD($O115, 1)&lt;&gt;0), 10*MOD($O115, 1)*INDEX(Factor!$BG$5:$BO$51, _xlfn.XMATCH(IF(OR($G115 ="debuff", $G115 = "shot", $G115 = "pierce"), $O115, 0), Factor!$BG$5:$BG$51, -1), 2), 0),
_xlpm.탄환개수보정치, VLOOKUP(IF(OR($G115 = "curved", $G115 = "shot"), $Q115, 1), Factor!$BQ$5:$BX$51, _xlpm.기본_색인번호, 0),
_xlpm.상태이상탄환생성위치보정치, IF($G115 = "debuff", VLOOKUP($R115, Factor!$K$18:$R$19, _xlpm.기본_색인번호, 0),1),
_xlpm.상태이상탄환형태보정치, IF($G115 = "debuff", VLOOKUP($S115, Factor!$K$24:$R$25, _xlpm.기본_색인번호, 0),1),
_xlpm.가격보정치, INDEX(Factor!$AE$5:$AL$51, _xlfn.XMATCH($F115,Factor!$AE$5:$AE$51, -1), _xlpm.기본_색인번호),
_xlpm.구경보정치, VLOOKUP($D115,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</row>
    <row r="116" spans="1:33" ht="15.75" customHeight="1">
      <c r="A116" s="28" t="str">
        <f>"weapon_"&amp;G116&amp;"_"&amp;VLOOKUP(H116, Factor!$T$5:$AB$7, 9, 0)&amp;"_"&amp;IF(COUNTIFS($G$4:G115, G116, $H$4:H115, H116)+1&gt;=100, COUNTIFS($G$4:G115, G116, $H$4:H115, H116)+1,IF(COUNTIFS($G$4:G115, G116, $H$4:H115, H116)+1&gt;=10, "0"&amp;COUNTIFS($G$4:G115, G116, $H$4:H115, H116)+1, "00"&amp;COUNTIFS($G$4:G115, G116, $H$4:H115, H116)+1))</f>
        <v>weapon_blast_Am_002</v>
      </c>
      <c r="B116" s="37" t="str">
        <f>C116&amp;" "&amp;IF(D116 = "none","", D116)&amp;E116</f>
        <v>녹슨 40mm유탄 포탑</v>
      </c>
      <c r="C116" s="37" t="s">
        <v>240</v>
      </c>
      <c r="D116" s="37" t="s">
        <v>269</v>
      </c>
      <c r="E116" s="37" t="s">
        <v>277</v>
      </c>
      <c r="F116" s="29">
        <f>VLOOKUP(C116, Factor!$AD$5:$AE$15, 2, 0)</f>
        <v>0</v>
      </c>
      <c r="G116" s="29" t="str">
        <f>VLOOKUP(E116, Factor!$CL$5:$CV$50, 2, 0)</f>
        <v>blast</v>
      </c>
      <c r="H116" s="29" t="str">
        <f>VLOOKUP(E116, Factor!$CL$5:$CV$50, 3, 0)</f>
        <v>ammo</v>
      </c>
      <c r="I116" s="29" t="str">
        <f>VLOOKUP(E116, Factor!$CL$5:$CV$50, 4, 0)</f>
        <v>L</v>
      </c>
      <c r="J116" s="29" t="str">
        <f>VLOOKUP(E116, Factor!$CL$5:$CV$50, 5, 0)</f>
        <v>spread</v>
      </c>
      <c r="K116" s="29">
        <v>1</v>
      </c>
      <c r="L116" s="29">
        <f>VLOOKUP(E116, Factor!$CL$5:$CV$50, 6, 0)*K116*VLOOKUP(D116, Factor!$BZ$5:$CJ$49, 9, 0)</f>
        <v>6</v>
      </c>
      <c r="M116" s="29" t="str">
        <f>VLOOKUP(E116, Factor!$CL$5:$CV$50, 7, 0)</f>
        <v>null</v>
      </c>
      <c r="N116" s="29">
        <v>1</v>
      </c>
      <c r="O116" s="29">
        <f>VLOOKUP(E116, Factor!$CL$5:$CV$50, 8, 0)*N116*VLOOKUP(D116, Factor!$BZ$5:$CJ$49, 10, 0)</f>
        <v>0</v>
      </c>
      <c r="P116" s="29">
        <v>1</v>
      </c>
      <c r="Q116" s="29">
        <f>VLOOKUP(E116, Factor!$CL$5:$CV$50, 9, 0)*P116*VLOOKUP(D116, Factor!$BZ$5:$CJ$49, 11, 0)</f>
        <v>6</v>
      </c>
      <c r="R116" s="29" t="str">
        <f>VLOOKUP(E116, Factor!$CL$5:$CV$50, 10, 0)</f>
        <v>null</v>
      </c>
      <c r="S116" s="29" t="str">
        <f>VLOOKUP(E116, Factor!$CL$5:$CV$50, 11, 0)</f>
        <v>null</v>
      </c>
      <c r="T116" s="29">
        <v>1</v>
      </c>
      <c r="U116" s="29">
        <v>1</v>
      </c>
      <c r="V116" s="29">
        <v>1</v>
      </c>
      <c r="W116" s="29">
        <v>1</v>
      </c>
      <c r="X116" s="29">
        <v>1</v>
      </c>
      <c r="Y116" s="29">
        <v>1</v>
      </c>
      <c r="Z116" s="29">
        <v>1</v>
      </c>
      <c r="AA116" s="29" cm="1">
        <f t="array" ref="AA116">_xlfn.LET(_xlpm.기본_색인번호, 2,
_xlpm.추가_색인번호, 3,
_xlpm.개별보정치, T116,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B116" s="29" cm="1">
        <f t="array" ref="AB116">_xlfn.LET(_xlpm.기본_색인번호, 3,
_xlpm.추가_색인번호, 4,
_xlpm.개별보정치, U116,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16" s="29" cm="1">
        <f t="array" ref="AC116">_xlfn.LET(_xlpm.기본_색인번호, 4,
_xlpm.추가_색인번호, 5,
_xlpm.개별보정치, V116,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16" s="29" cm="1">
        <f t="array" ref="AD116">_xlfn.LET(_xlpm.기본_색인번호, 5,
_xlpm.추가_색인번호, 6,
_xlpm.개별보정치, W116,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E116" s="29" cm="1">
        <f t="array" ref="AE116">_xlfn.LET(_xlpm.기본_색인번호, 6,
_xlpm.추가_색인번호, 7,
_xlpm.개별보정치, X116,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F116" s="29" cm="1">
        <f t="array" ref="AF116">_xlfn.LET(_xlpm.기본_색인번호, 7,
_xlpm.추가_색인번호, 8,
_xlpm.개별보정치, Y116,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16" s="30" cm="1">
        <f t="array" ref="AG116">_xlfn.LET(_xlpm.기본_색인번호, 8,
_xlpm.추가_색인번호, 9,
_xlpm.개별보정치, Z116,
_xlpm.패턴보정치, VLOOKUP($G116, Factor!$B$5:$I$51, _xlpm.기본_색인번호, 0),
_xlpm.소모탄환보정치, VLOOKUP($H116, Factor!$T$5:$AA$51, _xlpm.기본_색인번호, 0),
_xlpm.지형보정치, VLOOKUP($I116, Factor!$K$12:$R$13, _xlpm.기본_색인번호, 0),
_xlpm.공격속성보정치, VLOOKUP($J116, Factor!$K$5:$R$7, _xlpm.기본_색인번호, 0),
_xlpm.피해범위보정치, INDEX(Factor!$AN$5:$AV$51, _xlfn.XMATCH(IF(OR($G116="blast", $G116="curved",  $G116= "debuff"), $L116, 0), Factor!$AN$5:$AN$51, -1), _xlpm.추가_색인번호)-IF(AND(OR($G116="blast", $G116="curved", $G116= "debuff"), MOD($L116,1)&lt;&gt;0),INDEX(Factor!$AN$5:$AV$51, _xlfn.XMATCH(IF(OR($G116="blast", $G116="curved", $G116= "debuff"), $L116, 0), Factor!$AN$5:$AN$51, -1), 2)*MOD($L116,1)*10,0),
_xlpm.상태이상보정치, VLOOKUP(IF($G116 = "debuff", $M116, "null"), Factor!$AX$5:$BE$51, _xlpm.기본_색인번호, 0),
_xlpm.지속시간보정치, INDEX(Factor!$BG$5:$BO$51, _xlfn.XMATCH(IF(OR($G116 ="debuff", $G116 = "shot", $G116 = "pierce"), $O116, 0), Factor!$BG$5:$BG$51, -1), _xlpm.추가_색인번호)-IF(AND(OR($G116 ="debuff", $G116 = "shot", $G116 = "pierce"), MOD($O116, 1)&lt;&gt;0), 10*MOD($O116, 1)*INDEX(Factor!$BG$5:$BO$51, _xlfn.XMATCH(IF(OR($G116 ="debuff", $G116 = "shot", $G116 = "pierce"), $O116, 0), Factor!$BG$5:$BG$51, -1), 2), 0),
_xlpm.탄환개수보정치, VLOOKUP(IF(OR($G116 = "curved", $G116 = "shot"), $Q116, 1), Factor!$BQ$5:$BX$51, _xlpm.기본_색인번호, 0),
_xlpm.상태이상탄환생성위치보정치, IF($G116 = "debuff", VLOOKUP($R116, Factor!$K$18:$R$19, _xlpm.기본_색인번호, 0),1),
_xlpm.상태이상탄환형태보정치, IF($G116 = "debuff", VLOOKUP($S116, Factor!$K$24:$R$25, _xlpm.기본_색인번호, 0),1),
_xlpm.가격보정치, INDEX(Factor!$AE$5:$AL$51, _xlfn.XMATCH($F116,Factor!$AE$5:$AE$51, -1), _xlpm.기본_색인번호),
_xlpm.구경보정치, VLOOKUP($D116,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</row>
    <row r="117" spans="1:33" ht="15.75" customHeight="1">
      <c r="A117" s="24" t="str">
        <f>"weapon_"&amp;G117&amp;"_"&amp;VLOOKUP(H117, Factor!$T$5:$AB$7, 9, 0)&amp;"_"&amp;IF(COUNTIFS($G$4:G116, G117, $H$4:H116, H117)+1&gt;=100, COUNTIFS($G$4:G116, G117, $H$4:H116, H117)+1,IF(COUNTIFS($G$4:G116, G117, $H$4:H116, H117)+1&gt;=10, "0"&amp;COUNTIFS($G$4:G116, G117, $H$4:H116, H117)+1, "00"&amp;COUNTIFS($G$4:G116, G117, $H$4:H116, H117)+1))</f>
        <v>weapon_blast_Am_003</v>
      </c>
      <c r="B117" s="36" t="str">
        <f>C117&amp;" "&amp;IF(D117 = "none","", D117)&amp;E117</f>
        <v>T1 20mm유탄 포탑</v>
      </c>
      <c r="C117" s="36" t="s">
        <v>238</v>
      </c>
      <c r="D117" s="36" t="s">
        <v>261</v>
      </c>
      <c r="E117" s="36" t="s">
        <v>277</v>
      </c>
      <c r="F117" s="25">
        <f>VLOOKUP(C117, Factor!$AD$5:$AE$15, 2, 0)</f>
        <v>1000</v>
      </c>
      <c r="G117" s="26" t="str">
        <f>VLOOKUP(E117, Factor!$CL$5:$CV$50, 2, 0)</f>
        <v>blast</v>
      </c>
      <c r="H117" s="25" t="str">
        <f>VLOOKUP(E117, Factor!$CL$5:$CV$50, 3, 0)</f>
        <v>ammo</v>
      </c>
      <c r="I117" s="25" t="str">
        <f>VLOOKUP(E117, Factor!$CL$5:$CV$50, 4, 0)</f>
        <v>L</v>
      </c>
      <c r="J117" s="25" t="str">
        <f>VLOOKUP(E117, Factor!$CL$5:$CV$50, 5, 0)</f>
        <v>spread</v>
      </c>
      <c r="K117" s="25">
        <v>1</v>
      </c>
      <c r="L117" s="25">
        <f>VLOOKUP(E117, Factor!$CL$5:$CV$50, 6, 0)*K117*VLOOKUP(D117, Factor!$BZ$5:$CJ$49, 9, 0)</f>
        <v>5</v>
      </c>
      <c r="M117" s="25" t="str">
        <f>VLOOKUP(E117, Factor!$CL$5:$CV$50, 7, 0)</f>
        <v>null</v>
      </c>
      <c r="N117" s="25">
        <v>1</v>
      </c>
      <c r="O117" s="25">
        <f>VLOOKUP(E117, Factor!$CL$5:$CV$50, 8, 0)*N117*VLOOKUP(D117, Factor!$BZ$5:$CJ$49, 10, 0)</f>
        <v>0</v>
      </c>
      <c r="P117" s="25">
        <v>1</v>
      </c>
      <c r="Q117" s="25">
        <f>VLOOKUP(E117, Factor!$CL$5:$CV$50, 9, 0)*P117*VLOOKUP(D117, Factor!$BZ$5:$CJ$49, 11, 0)</f>
        <v>5</v>
      </c>
      <c r="R117" s="25" t="str">
        <f>VLOOKUP(E117, Factor!$CL$5:$CV$50, 10, 0)</f>
        <v>null</v>
      </c>
      <c r="S117" s="25" t="str">
        <f>VLOOKUP(E117, Factor!$CL$5:$CV$50, 11, 0)</f>
        <v>null</v>
      </c>
      <c r="T117" s="25">
        <v>1</v>
      </c>
      <c r="U117" s="25">
        <v>1</v>
      </c>
      <c r="V117" s="25">
        <v>1</v>
      </c>
      <c r="W117" s="25">
        <v>1</v>
      </c>
      <c r="X117" s="25">
        <v>1</v>
      </c>
      <c r="Y117" s="25">
        <v>1</v>
      </c>
      <c r="Z117" s="25">
        <v>1</v>
      </c>
      <c r="AA117" s="25" cm="1">
        <f t="array" ref="AA117">_xlfn.LET(_xlpm.기본_색인번호, 2,
_xlpm.추가_색인번호, 3,
_xlpm.개별보정치, T117,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117" s="25" cm="1">
        <f t="array" ref="AB117">_xlfn.LET(_xlpm.기본_색인번호, 3,
_xlpm.추가_색인번호, 4,
_xlpm.개별보정치, U117,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17" s="25" cm="1">
        <f t="array" ref="AC117">_xlfn.LET(_xlpm.기본_색인번호, 4,
_xlpm.추가_색인번호, 5,
_xlpm.개별보정치, V117,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17" s="25" cm="1">
        <f t="array" ref="AD117">_xlfn.LET(_xlpm.기본_색인번호, 5,
_xlpm.추가_색인번호, 6,
_xlpm.개별보정치, W117,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117" s="25" cm="1">
        <f t="array" ref="AE117">_xlfn.LET(_xlpm.기본_색인번호, 6,
_xlpm.추가_색인번호, 7,
_xlpm.개별보정치, X117,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117" s="25" cm="1">
        <f t="array" ref="AF117">_xlfn.LET(_xlpm.기본_색인번호, 7,
_xlpm.추가_색인번호, 8,
_xlpm.개별보정치, Y117,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17" s="27" cm="1">
        <f t="array" ref="AG117">_xlfn.LET(_xlpm.기본_색인번호, 8,
_xlpm.추가_색인번호, 9,
_xlpm.개별보정치, Z117,
_xlpm.패턴보정치, VLOOKUP($G117, Factor!$B$5:$I$51, _xlpm.기본_색인번호, 0),
_xlpm.소모탄환보정치, VLOOKUP($H117, Factor!$T$5:$AA$51, _xlpm.기본_색인번호, 0),
_xlpm.지형보정치, VLOOKUP($I117, Factor!$K$12:$R$13, _xlpm.기본_색인번호, 0),
_xlpm.공격속성보정치, VLOOKUP($J117, Factor!$K$5:$R$7, _xlpm.기본_색인번호, 0),
_xlpm.피해범위보정치, INDEX(Factor!$AN$5:$AV$51, _xlfn.XMATCH(IF(OR($G117="blast", $G117="curved",  $G117= "debuff"), $L117, 0), Factor!$AN$5:$AN$51, -1), _xlpm.추가_색인번호)-IF(AND(OR($G117="blast", $G117="curved", $G117= "debuff"), MOD($L117,1)&lt;&gt;0),INDEX(Factor!$AN$5:$AV$51, _xlfn.XMATCH(IF(OR($G117="blast", $G117="curved", $G117= "debuff"), $L117, 0), Factor!$AN$5:$AN$51, -1), 2)*MOD($L117,1)*10,0),
_xlpm.상태이상보정치, VLOOKUP(IF($G117 = "debuff", $M117, "null"), Factor!$AX$5:$BE$51, _xlpm.기본_색인번호, 0),
_xlpm.지속시간보정치, INDEX(Factor!$BG$5:$BO$51, _xlfn.XMATCH(IF(OR($G117 ="debuff", $G117 = "shot", $G117 = "pierce"), $O117, 0), Factor!$BG$5:$BG$51, -1), _xlpm.추가_색인번호)-IF(AND(OR($G117 ="debuff", $G117 = "shot", $G117 = "pierce"), MOD($O117, 1)&lt;&gt;0), 10*MOD($O117, 1)*INDEX(Factor!$BG$5:$BO$51, _xlfn.XMATCH(IF(OR($G117 ="debuff", $G117 = "shot", $G117 = "pierce"), $O117, 0), Factor!$BG$5:$BG$51, -1), 2), 0),
_xlpm.탄환개수보정치, VLOOKUP(IF(OR($G117 = "curved", $G117 = "shot"), $Q117, 1), Factor!$BQ$5:$BX$51, _xlpm.기본_색인번호, 0),
_xlpm.상태이상탄환생성위치보정치, IF($G117 = "debuff", VLOOKUP($R117, Factor!$K$18:$R$19, _xlpm.기본_색인번호, 0),1),
_xlpm.상태이상탄환형태보정치, IF($G117 = "debuff", VLOOKUP($S117, Factor!$K$24:$R$25, _xlpm.기본_색인번호, 0),1),
_xlpm.가격보정치, INDEX(Factor!$AE$5:$AL$51, _xlfn.XMATCH($F117,Factor!$AE$5:$AE$51, -1), _xlpm.기본_색인번호),
_xlpm.구경보정치, VLOOKUP($D117,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</row>
    <row r="118" spans="1:33" ht="15.75" customHeight="1">
      <c r="A118" s="28" t="str">
        <f>"weapon_"&amp;G118&amp;"_"&amp;VLOOKUP(H118, Factor!$T$5:$AB$7, 9, 0)&amp;"_"&amp;IF(COUNTIFS($G$4:G117, G118, $H$4:H117, H118)+1&gt;=100, COUNTIFS($G$4:G117, G118, $H$4:H117, H118)+1,IF(COUNTIFS($G$4:G117, G118, $H$4:H117, H118)+1&gt;=10, "0"&amp;COUNTIFS($G$4:G117, G118, $H$4:H117, H118)+1, "00"&amp;COUNTIFS($G$4:G117, G118, $H$4:H117, H118)+1))</f>
        <v>weapon_blast_Am_004</v>
      </c>
      <c r="B118" s="37" t="str">
        <f>C118&amp;" "&amp;IF(D118 = "none","", D118)&amp;E118</f>
        <v>T1 40mm유탄 포탑</v>
      </c>
      <c r="C118" s="37" t="s">
        <v>238</v>
      </c>
      <c r="D118" s="37" t="s">
        <v>269</v>
      </c>
      <c r="E118" s="37" t="s">
        <v>277</v>
      </c>
      <c r="F118" s="29">
        <f>VLOOKUP(C118, Factor!$AD$5:$AE$15, 2, 0)</f>
        <v>1000</v>
      </c>
      <c r="G118" s="29" t="str">
        <f>VLOOKUP(E118, Factor!$CL$5:$CV$50, 2, 0)</f>
        <v>blast</v>
      </c>
      <c r="H118" s="29" t="str">
        <f>VLOOKUP(E118, Factor!$CL$5:$CV$50, 3, 0)</f>
        <v>ammo</v>
      </c>
      <c r="I118" s="29" t="str">
        <f>VLOOKUP(E118, Factor!$CL$5:$CV$50, 4, 0)</f>
        <v>L</v>
      </c>
      <c r="J118" s="29" t="str">
        <f>VLOOKUP(E118, Factor!$CL$5:$CV$50, 5, 0)</f>
        <v>spread</v>
      </c>
      <c r="K118" s="29">
        <v>1</v>
      </c>
      <c r="L118" s="29">
        <f>VLOOKUP(E118, Factor!$CL$5:$CV$50, 6, 0)*K118*VLOOKUP(D118, Factor!$BZ$5:$CJ$49, 9, 0)</f>
        <v>6</v>
      </c>
      <c r="M118" s="29" t="str">
        <f>VLOOKUP(E118, Factor!$CL$5:$CV$50, 7, 0)</f>
        <v>null</v>
      </c>
      <c r="N118" s="29">
        <v>1</v>
      </c>
      <c r="O118" s="29">
        <f>VLOOKUP(E118, Factor!$CL$5:$CV$50, 8, 0)*N118*VLOOKUP(D118, Factor!$BZ$5:$CJ$49, 10, 0)</f>
        <v>0</v>
      </c>
      <c r="P118" s="29">
        <v>1</v>
      </c>
      <c r="Q118" s="29">
        <f>VLOOKUP(E118, Factor!$CL$5:$CV$50, 9, 0)*P118*VLOOKUP(D118, Factor!$BZ$5:$CJ$49, 11, 0)</f>
        <v>6</v>
      </c>
      <c r="R118" s="29" t="str">
        <f>VLOOKUP(E118, Factor!$CL$5:$CV$50, 10, 0)</f>
        <v>null</v>
      </c>
      <c r="S118" s="29" t="str">
        <f>VLOOKUP(E118, Factor!$CL$5:$CV$50, 11, 0)</f>
        <v>null</v>
      </c>
      <c r="T118" s="29">
        <v>1</v>
      </c>
      <c r="U118" s="29">
        <v>1</v>
      </c>
      <c r="V118" s="29">
        <v>1</v>
      </c>
      <c r="W118" s="29">
        <v>1</v>
      </c>
      <c r="X118" s="29">
        <v>1</v>
      </c>
      <c r="Y118" s="29">
        <v>1</v>
      </c>
      <c r="Z118" s="29">
        <v>1</v>
      </c>
      <c r="AA118" s="29" cm="1">
        <f t="array" ref="AA118">_xlfn.LET(_xlpm.기본_색인번호, 2,
_xlpm.추가_색인번호, 3,
_xlpm.개별보정치, T118,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B118" s="29" cm="1">
        <f t="array" ref="AB118">_xlfn.LET(_xlpm.기본_색인번호, 3,
_xlpm.추가_색인번호, 4,
_xlpm.개별보정치, U118,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18" s="29" cm="1">
        <f t="array" ref="AC118">_xlfn.LET(_xlpm.기본_색인번호, 4,
_xlpm.추가_색인번호, 5,
_xlpm.개별보정치, V118,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18" s="29" cm="1">
        <f t="array" ref="AD118">_xlfn.LET(_xlpm.기본_색인번호, 5,
_xlpm.추가_색인번호, 6,
_xlpm.개별보정치, W118,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118" s="29" cm="1">
        <f t="array" ref="AE118">_xlfn.LET(_xlpm.기본_색인번호, 6,
_xlpm.추가_색인번호, 7,
_xlpm.개별보정치, X118,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118" s="29" cm="1">
        <f t="array" ref="AF118">_xlfn.LET(_xlpm.기본_색인번호, 7,
_xlpm.추가_색인번호, 8,
_xlpm.개별보정치, Y118,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18" s="30" cm="1">
        <f t="array" ref="AG118">_xlfn.LET(_xlpm.기본_색인번호, 8,
_xlpm.추가_색인번호, 9,
_xlpm.개별보정치, Z118,
_xlpm.패턴보정치, VLOOKUP($G118, Factor!$B$5:$I$51, _xlpm.기본_색인번호, 0),
_xlpm.소모탄환보정치, VLOOKUP($H118, Factor!$T$5:$AA$51, _xlpm.기본_색인번호, 0),
_xlpm.지형보정치, VLOOKUP($I118, Factor!$K$12:$R$13, _xlpm.기본_색인번호, 0),
_xlpm.공격속성보정치, VLOOKUP($J118, Factor!$K$5:$R$7, _xlpm.기본_색인번호, 0),
_xlpm.피해범위보정치, INDEX(Factor!$AN$5:$AV$51, _xlfn.XMATCH(IF(OR($G118="blast", $G118="curved",  $G118= "debuff"), $L118, 0), Factor!$AN$5:$AN$51, -1), _xlpm.추가_색인번호)-IF(AND(OR($G118="blast", $G118="curved", $G118= "debuff"), MOD($L118,1)&lt;&gt;0),INDEX(Factor!$AN$5:$AV$51, _xlfn.XMATCH(IF(OR($G118="blast", $G118="curved", $G118= "debuff"), $L118, 0), Factor!$AN$5:$AN$51, -1), 2)*MOD($L118,1)*10,0),
_xlpm.상태이상보정치, VLOOKUP(IF($G118 = "debuff", $M118, "null"), Factor!$AX$5:$BE$51, _xlpm.기본_색인번호, 0),
_xlpm.지속시간보정치, INDEX(Factor!$BG$5:$BO$51, _xlfn.XMATCH(IF(OR($G118 ="debuff", $G118 = "shot", $G118 = "pierce"), $O118, 0), Factor!$BG$5:$BG$51, -1), _xlpm.추가_색인번호)-IF(AND(OR($G118 ="debuff", $G118 = "shot", $G118 = "pierce"), MOD($O118, 1)&lt;&gt;0), 10*MOD($O118, 1)*INDEX(Factor!$BG$5:$BO$51, _xlfn.XMATCH(IF(OR($G118 ="debuff", $G118 = "shot", $G118 = "pierce"), $O118, 0), Factor!$BG$5:$BG$51, -1), 2), 0),
_xlpm.탄환개수보정치, VLOOKUP(IF(OR($G118 = "curved", $G118 = "shot"), $Q118, 1), Factor!$BQ$5:$BX$51, _xlpm.기본_색인번호, 0),
_xlpm.상태이상탄환생성위치보정치, IF($G118 = "debuff", VLOOKUP($R118, Factor!$K$18:$R$19, _xlpm.기본_색인번호, 0),1),
_xlpm.상태이상탄환형태보정치, IF($G118 = "debuff", VLOOKUP($S118, Factor!$K$24:$R$25, _xlpm.기본_색인번호, 0),1),
_xlpm.가격보정치, INDEX(Factor!$AE$5:$AL$51, _xlfn.XMATCH($F118,Factor!$AE$5:$AE$51, -1), _xlpm.기본_색인번호),
_xlpm.구경보정치, VLOOKUP($D118,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</row>
    <row r="119" spans="1:33" ht="15.75" customHeight="1">
      <c r="A119" s="24" t="str">
        <f>"weapon_"&amp;G119&amp;"_"&amp;VLOOKUP(H119, Factor!$T$5:$AB$7, 9, 0)&amp;"_"&amp;IF(COUNTIFS($G$4:G118, G119, $H$4:H118, H119)+1&gt;=100, COUNTIFS($G$4:G118, G119, $H$4:H118, H119)+1,IF(COUNTIFS($G$4:G118, G119, $H$4:H118, H119)+1&gt;=10, "0"&amp;COUNTIFS($G$4:G118, G119, $H$4:H118, H119)+1, "00"&amp;COUNTIFS($G$4:G118, G119, $H$4:H118, H119)+1))</f>
        <v>weapon_blast_Am_005</v>
      </c>
      <c r="B119" s="36" t="str">
        <f>C119&amp;" "&amp;IF(D119 = "none","", D119)&amp;E119</f>
        <v>T2 20mm유탄 포탑</v>
      </c>
      <c r="C119" s="36" t="s">
        <v>246</v>
      </c>
      <c r="D119" s="36" t="s">
        <v>261</v>
      </c>
      <c r="E119" s="36" t="s">
        <v>277</v>
      </c>
      <c r="F119" s="25">
        <f>VLOOKUP(C119, Factor!$AD$5:$AE$15, 2, 0)</f>
        <v>2000</v>
      </c>
      <c r="G119" s="26" t="str">
        <f>VLOOKUP(E119, Factor!$CL$5:$CV$50, 2, 0)</f>
        <v>blast</v>
      </c>
      <c r="H119" s="25" t="str">
        <f>VLOOKUP(E119, Factor!$CL$5:$CV$50, 3, 0)</f>
        <v>ammo</v>
      </c>
      <c r="I119" s="25" t="str">
        <f>VLOOKUP(E119, Factor!$CL$5:$CV$50, 4, 0)</f>
        <v>L</v>
      </c>
      <c r="J119" s="25" t="str">
        <f>VLOOKUP(E119, Factor!$CL$5:$CV$50, 5, 0)</f>
        <v>spread</v>
      </c>
      <c r="K119" s="25">
        <v>1</v>
      </c>
      <c r="L119" s="25">
        <f>VLOOKUP(E119, Factor!$CL$5:$CV$50, 6, 0)*K119*VLOOKUP(D119, Factor!$BZ$5:$CJ$49, 9, 0)</f>
        <v>5</v>
      </c>
      <c r="M119" s="25" t="str">
        <f>VLOOKUP(E119, Factor!$CL$5:$CV$50, 7, 0)</f>
        <v>null</v>
      </c>
      <c r="N119" s="25">
        <v>1</v>
      </c>
      <c r="O119" s="25">
        <f>VLOOKUP(E119, Factor!$CL$5:$CV$50, 8, 0)*N119*VLOOKUP(D119, Factor!$BZ$5:$CJ$49, 10, 0)</f>
        <v>0</v>
      </c>
      <c r="P119" s="25">
        <v>1</v>
      </c>
      <c r="Q119" s="25">
        <f>VLOOKUP(E119, Factor!$CL$5:$CV$50, 9, 0)*P119*VLOOKUP(D119, Factor!$BZ$5:$CJ$49, 11, 0)</f>
        <v>5</v>
      </c>
      <c r="R119" s="25" t="str">
        <f>VLOOKUP(E119, Factor!$CL$5:$CV$50, 10, 0)</f>
        <v>null</v>
      </c>
      <c r="S119" s="25" t="str">
        <f>VLOOKUP(E119, Factor!$CL$5:$CV$50, 11, 0)</f>
        <v>null</v>
      </c>
      <c r="T119" s="25">
        <v>1</v>
      </c>
      <c r="U119" s="25">
        <v>1</v>
      </c>
      <c r="V119" s="25">
        <v>1</v>
      </c>
      <c r="W119" s="25">
        <v>1</v>
      </c>
      <c r="X119" s="25">
        <v>1</v>
      </c>
      <c r="Y119" s="25">
        <v>1</v>
      </c>
      <c r="Z119" s="25">
        <v>1</v>
      </c>
      <c r="AA119" s="25" cm="1">
        <f t="array" ref="AA119">_xlfn.LET(_xlpm.기본_색인번호, 2,
_xlpm.추가_색인번호, 3,
_xlpm.개별보정치, T119,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B119" s="25" cm="1">
        <f t="array" ref="AB119">_xlfn.LET(_xlpm.기본_색인번호, 3,
_xlpm.추가_색인번호, 4,
_xlpm.개별보정치, U119,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19" s="25" cm="1">
        <f t="array" ref="AC119">_xlfn.LET(_xlpm.기본_색인번호, 4,
_xlpm.추가_색인번호, 5,
_xlpm.개별보정치, V119,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19" s="25" cm="1">
        <f t="array" ref="AD119">_xlfn.LET(_xlpm.기본_색인번호, 5,
_xlpm.추가_색인번호, 6,
_xlpm.개별보정치, W119,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  <c r="AE119" s="25" cm="1">
        <f t="array" ref="AE119">_xlfn.LET(_xlpm.기본_색인번호, 6,
_xlpm.추가_색인번호, 7,
_xlpm.개별보정치, X119,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  <c r="AF119" s="25" cm="1">
        <f t="array" ref="AF119">_xlfn.LET(_xlpm.기본_색인번호, 7,
_xlpm.추가_색인번호, 8,
_xlpm.개별보정치, Y119,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19" s="27" cm="1">
        <f t="array" ref="AG119">_xlfn.LET(_xlpm.기본_색인번호, 8,
_xlpm.추가_색인번호, 9,
_xlpm.개별보정치, Z119,
_xlpm.패턴보정치, VLOOKUP($G119, Factor!$B$5:$I$51, _xlpm.기본_색인번호, 0),
_xlpm.소모탄환보정치, VLOOKUP($H119, Factor!$T$5:$AA$51, _xlpm.기본_색인번호, 0),
_xlpm.지형보정치, VLOOKUP($I119, Factor!$K$12:$R$13, _xlpm.기본_색인번호, 0),
_xlpm.공격속성보정치, VLOOKUP($J119, Factor!$K$5:$R$7, _xlpm.기본_색인번호, 0),
_xlpm.피해범위보정치, INDEX(Factor!$AN$5:$AV$51, _xlfn.XMATCH(IF(OR($G119="blast", $G119="curved",  $G119= "debuff"), $L119, 0), Factor!$AN$5:$AN$51, -1), _xlpm.추가_색인번호)-IF(AND(OR($G119="blast", $G119="curved", $G119= "debuff"), MOD($L119,1)&lt;&gt;0),INDEX(Factor!$AN$5:$AV$51, _xlfn.XMATCH(IF(OR($G119="blast", $G119="curved", $G119= "debuff"), $L119, 0), Factor!$AN$5:$AN$51, -1), 2)*MOD($L119,1)*10,0),
_xlpm.상태이상보정치, VLOOKUP(IF($G119 = "debuff", $M119, "null"), Factor!$AX$5:$BE$51, _xlpm.기본_색인번호, 0),
_xlpm.지속시간보정치, INDEX(Factor!$BG$5:$BO$51, _xlfn.XMATCH(IF(OR($G119 ="debuff", $G119 = "shot", $G119 = "pierce"), $O119, 0), Factor!$BG$5:$BG$51, -1), _xlpm.추가_색인번호)-IF(AND(OR($G119 ="debuff", $G119 = "shot", $G119 = "pierce"), MOD($O119, 1)&lt;&gt;0), 10*MOD($O119, 1)*INDEX(Factor!$BG$5:$BO$51, _xlfn.XMATCH(IF(OR($G119 ="debuff", $G119 = "shot", $G119 = "pierce"), $O119, 0), Factor!$BG$5:$BG$51, -1), 2), 0),
_xlpm.탄환개수보정치, VLOOKUP(IF(OR($G119 = "curved", $G119 = "shot"), $Q119, 1), Factor!$BQ$5:$BX$51, _xlpm.기본_색인번호, 0),
_xlpm.상태이상탄환생성위치보정치, IF($G119 = "debuff", VLOOKUP($R119, Factor!$K$18:$R$19, _xlpm.기본_색인번호, 0),1),
_xlpm.상태이상탄환형태보정치, IF($G119 = "debuff", VLOOKUP($S119, Factor!$K$24:$R$25, _xlpm.기본_색인번호, 0),1),
_xlpm.가격보정치, INDEX(Factor!$AE$5:$AL$51, _xlfn.XMATCH($F119,Factor!$AE$5:$AE$51, -1), _xlpm.기본_색인번호),
_xlpm.구경보정치, VLOOKUP($D119,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</row>
    <row r="120" spans="1:33" ht="15.75" customHeight="1">
      <c r="A120" s="28" t="str">
        <f>"weapon_"&amp;G120&amp;"_"&amp;VLOOKUP(H120, Factor!$T$5:$AB$7, 9, 0)&amp;"_"&amp;IF(COUNTIFS($G$4:G119, G120, $H$4:H119, H120)+1&gt;=100, COUNTIFS($G$4:G119, G120, $H$4:H119, H120)+1,IF(COUNTIFS($G$4:G119, G120, $H$4:H119, H120)+1&gt;=10, "0"&amp;COUNTIFS($G$4:G119, G120, $H$4:H119, H120)+1, "00"&amp;COUNTIFS($G$4:G119, G120, $H$4:H119, H120)+1))</f>
        <v>weapon_blast_Am_006</v>
      </c>
      <c r="B120" s="37" t="str">
        <f>C120&amp;" "&amp;IF(D120 = "none","", D120)&amp;E120</f>
        <v>T2 40mm유탄 포탑</v>
      </c>
      <c r="C120" s="37" t="s">
        <v>246</v>
      </c>
      <c r="D120" s="37" t="s">
        <v>269</v>
      </c>
      <c r="E120" s="37" t="s">
        <v>277</v>
      </c>
      <c r="F120" s="29">
        <f>VLOOKUP(C120, Factor!$AD$5:$AE$15, 2, 0)</f>
        <v>2000</v>
      </c>
      <c r="G120" s="29" t="str">
        <f>VLOOKUP(E120, Factor!$CL$5:$CV$50, 2, 0)</f>
        <v>blast</v>
      </c>
      <c r="H120" s="29" t="str">
        <f>VLOOKUP(E120, Factor!$CL$5:$CV$50, 3, 0)</f>
        <v>ammo</v>
      </c>
      <c r="I120" s="29" t="str">
        <f>VLOOKUP(E120, Factor!$CL$5:$CV$50, 4, 0)</f>
        <v>L</v>
      </c>
      <c r="J120" s="29" t="str">
        <f>VLOOKUP(E120, Factor!$CL$5:$CV$50, 5, 0)</f>
        <v>spread</v>
      </c>
      <c r="K120" s="29">
        <v>1</v>
      </c>
      <c r="L120" s="29">
        <f>VLOOKUP(E120, Factor!$CL$5:$CV$50, 6, 0)*K120*VLOOKUP(D120, Factor!$BZ$5:$CJ$49, 9, 0)</f>
        <v>6</v>
      </c>
      <c r="M120" s="29" t="str">
        <f>VLOOKUP(E120, Factor!$CL$5:$CV$50, 7, 0)</f>
        <v>null</v>
      </c>
      <c r="N120" s="29">
        <v>1</v>
      </c>
      <c r="O120" s="29">
        <f>VLOOKUP(E120, Factor!$CL$5:$CV$50, 8, 0)*N120*VLOOKUP(D120, Factor!$BZ$5:$CJ$49, 10, 0)</f>
        <v>0</v>
      </c>
      <c r="P120" s="29">
        <v>1</v>
      </c>
      <c r="Q120" s="29">
        <f>VLOOKUP(E120, Factor!$CL$5:$CV$50, 9, 0)*P120*VLOOKUP(D120, Factor!$BZ$5:$CJ$49, 11, 0)</f>
        <v>6</v>
      </c>
      <c r="R120" s="29" t="str">
        <f>VLOOKUP(E120, Factor!$CL$5:$CV$50, 10, 0)</f>
        <v>null</v>
      </c>
      <c r="S120" s="29" t="str">
        <f>VLOOKUP(E120, Factor!$CL$5:$CV$50, 11, 0)</f>
        <v>null</v>
      </c>
      <c r="T120" s="29">
        <v>1</v>
      </c>
      <c r="U120" s="29">
        <v>1</v>
      </c>
      <c r="V120" s="29">
        <v>1</v>
      </c>
      <c r="W120" s="29">
        <v>1</v>
      </c>
      <c r="X120" s="29">
        <v>1</v>
      </c>
      <c r="Y120" s="29">
        <v>1</v>
      </c>
      <c r="Z120" s="29">
        <v>1</v>
      </c>
      <c r="AA120" s="29" cm="1">
        <f t="array" ref="AA120">_xlfn.LET(_xlpm.기본_색인번호, 2,
_xlpm.추가_색인번호, 3,
_xlpm.개별보정치, T120,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B120" s="29" cm="1">
        <f t="array" ref="AB120">_xlfn.LET(_xlpm.기본_색인번호, 3,
_xlpm.추가_색인번호, 4,
_xlpm.개별보정치, U120,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C120" s="29" cm="1">
        <f t="array" ref="AC120">_xlfn.LET(_xlpm.기본_색인번호, 4,
_xlpm.추가_색인번호, 5,
_xlpm.개별보정치, V120,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0" s="29" cm="1">
        <f t="array" ref="AD120">_xlfn.LET(_xlpm.기본_색인번호, 5,
_xlpm.추가_색인번호, 6,
_xlpm.개별보정치, W120,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  <c r="AE120" s="29" cm="1">
        <f t="array" ref="AE120">_xlfn.LET(_xlpm.기본_색인번호, 6,
_xlpm.추가_색인번호, 7,
_xlpm.개별보정치, X120,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  <c r="AF120" s="29" cm="1">
        <f t="array" ref="AF120">_xlfn.LET(_xlpm.기본_색인번호, 7,
_xlpm.추가_색인번호, 8,
_xlpm.개별보정치, Y120,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0" s="30" cm="1">
        <f t="array" ref="AG120">_xlfn.LET(_xlpm.기본_색인번호, 8,
_xlpm.추가_색인번호, 9,
_xlpm.개별보정치, Z120,
_xlpm.패턴보정치, VLOOKUP($G120, Factor!$B$5:$I$51, _xlpm.기본_색인번호, 0),
_xlpm.소모탄환보정치, VLOOKUP($H120, Factor!$T$5:$AA$51, _xlpm.기본_색인번호, 0),
_xlpm.지형보정치, VLOOKUP($I120, Factor!$K$12:$R$13, _xlpm.기본_색인번호, 0),
_xlpm.공격속성보정치, VLOOKUP($J120, Factor!$K$5:$R$7, _xlpm.기본_색인번호, 0),
_xlpm.피해범위보정치, INDEX(Factor!$AN$5:$AV$51, _xlfn.XMATCH(IF(OR($G120="blast", $G120="curved",  $G120= "debuff"), $L120, 0), Factor!$AN$5:$AN$51, -1), _xlpm.추가_색인번호)-IF(AND(OR($G120="blast", $G120="curved", $G120= "debuff"), MOD($L120,1)&lt;&gt;0),INDEX(Factor!$AN$5:$AV$51, _xlfn.XMATCH(IF(OR($G120="blast", $G120="curved", $G120= "debuff"), $L120, 0), Factor!$AN$5:$AN$51, -1), 2)*MOD($L120,1)*10,0),
_xlpm.상태이상보정치, VLOOKUP(IF($G120 = "debuff", $M120, "null"), Factor!$AX$5:$BE$51, _xlpm.기본_색인번호, 0),
_xlpm.지속시간보정치, INDEX(Factor!$BG$5:$BO$51, _xlfn.XMATCH(IF(OR($G120 ="debuff", $G120 = "shot", $G120 = "pierce"), $O120, 0), Factor!$BG$5:$BG$51, -1), _xlpm.추가_색인번호)-IF(AND(OR($G120 ="debuff", $G120 = "shot", $G120 = "pierce"), MOD($O120, 1)&lt;&gt;0), 10*MOD($O120, 1)*INDEX(Factor!$BG$5:$BO$51, _xlfn.XMATCH(IF(OR($G120 ="debuff", $G120 = "shot", $G120 = "pierce"), $O120, 0), Factor!$BG$5:$BG$51, -1), 2), 0),
_xlpm.탄환개수보정치, VLOOKUP(IF(OR($G120 = "curved", $G120 = "shot"), $Q120, 1), Factor!$BQ$5:$BX$51, _xlpm.기본_색인번호, 0),
_xlpm.상태이상탄환생성위치보정치, IF($G120 = "debuff", VLOOKUP($R120, Factor!$K$18:$R$19, _xlpm.기본_색인번호, 0),1),
_xlpm.상태이상탄환형태보정치, IF($G120 = "debuff", VLOOKUP($S120, Factor!$K$24:$R$25, _xlpm.기본_색인번호, 0),1),
_xlpm.가격보정치, INDEX(Factor!$AE$5:$AL$51, _xlfn.XMATCH($F120,Factor!$AE$5:$AE$51, -1), _xlpm.기본_색인번호),
_xlpm.구경보정치, VLOOKUP($D120,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13.5</v>
      </c>
    </row>
    <row r="121" spans="1:33" ht="15.75" customHeight="1">
      <c r="A121" s="24" t="str">
        <f>"weapon_"&amp;G121&amp;"_"&amp;VLOOKUP(H121, Factor!$T$5:$AB$7, 9, 0)&amp;"_"&amp;IF(COUNTIFS($G$4:G120, G121, $H$4:H120, H121)+1&gt;=100, COUNTIFS($G$4:G120, G121, $H$4:H120, H121)+1,IF(COUNTIFS($G$4:G120, G121, $H$4:H120, H121)+1&gt;=10, "0"&amp;COUNTIFS($G$4:G120, G121, $H$4:H120, H121)+1, "00"&amp;COUNTIFS($G$4:G120, G121, $H$4:H120, H121)+1))</f>
        <v>weapon_blast_Am_007</v>
      </c>
      <c r="B121" s="36" t="str">
        <f>C121&amp;" "&amp;IF(D121 = "none","", D121)&amp;E121</f>
        <v>T3 20mm유탄 포탑</v>
      </c>
      <c r="C121" s="36" t="s">
        <v>247</v>
      </c>
      <c r="D121" s="36" t="s">
        <v>261</v>
      </c>
      <c r="E121" s="36" t="s">
        <v>277</v>
      </c>
      <c r="F121" s="25">
        <f>VLOOKUP(C121, Factor!$AD$5:$AE$15, 2, 0)</f>
        <v>3000</v>
      </c>
      <c r="G121" s="26" t="str">
        <f>VLOOKUP(E121, Factor!$CL$5:$CV$50, 2, 0)</f>
        <v>blast</v>
      </c>
      <c r="H121" s="25" t="str">
        <f>VLOOKUP(E121, Factor!$CL$5:$CV$50, 3, 0)</f>
        <v>ammo</v>
      </c>
      <c r="I121" s="25" t="str">
        <f>VLOOKUP(E121, Factor!$CL$5:$CV$50, 4, 0)</f>
        <v>L</v>
      </c>
      <c r="J121" s="25" t="str">
        <f>VLOOKUP(E121, Factor!$CL$5:$CV$50, 5, 0)</f>
        <v>spread</v>
      </c>
      <c r="K121" s="25">
        <v>1</v>
      </c>
      <c r="L121" s="25">
        <f>VLOOKUP(E121, Factor!$CL$5:$CV$50, 6, 0)*K121*VLOOKUP(D121, Factor!$BZ$5:$CJ$49, 9, 0)</f>
        <v>5</v>
      </c>
      <c r="M121" s="25" t="str">
        <f>VLOOKUP(E121, Factor!$CL$5:$CV$50, 7, 0)</f>
        <v>null</v>
      </c>
      <c r="N121" s="25">
        <v>1</v>
      </c>
      <c r="O121" s="25">
        <f>VLOOKUP(E121, Factor!$CL$5:$CV$50, 8, 0)*N121*VLOOKUP(D121, Factor!$BZ$5:$CJ$49, 10, 0)</f>
        <v>0</v>
      </c>
      <c r="P121" s="25">
        <v>1</v>
      </c>
      <c r="Q121" s="25">
        <f>VLOOKUP(E121, Factor!$CL$5:$CV$50, 9, 0)*P121*VLOOKUP(D121, Factor!$BZ$5:$CJ$49, 11, 0)</f>
        <v>5</v>
      </c>
      <c r="R121" s="25" t="str">
        <f>VLOOKUP(E121, Factor!$CL$5:$CV$50, 10, 0)</f>
        <v>null</v>
      </c>
      <c r="S121" s="25" t="str">
        <f>VLOOKUP(E121, Factor!$CL$5:$CV$50, 11, 0)</f>
        <v>null</v>
      </c>
      <c r="T121" s="25">
        <v>1</v>
      </c>
      <c r="U121" s="25">
        <v>1</v>
      </c>
      <c r="V121" s="25">
        <v>1</v>
      </c>
      <c r="W121" s="25">
        <v>1</v>
      </c>
      <c r="X121" s="25">
        <v>1</v>
      </c>
      <c r="Y121" s="25">
        <v>1</v>
      </c>
      <c r="Z121" s="25">
        <v>1</v>
      </c>
      <c r="AA121" s="25" cm="1">
        <f t="array" ref="AA121">_xlfn.LET(_xlpm.기본_색인번호, 2,
_xlpm.추가_색인번호, 3,
_xlpm.개별보정치, T121,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21" s="25" cm="1">
        <f t="array" ref="AB121">_xlfn.LET(_xlpm.기본_색인번호, 3,
_xlpm.추가_색인번호, 4,
_xlpm.개별보정치, U121,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1" s="25" cm="1">
        <f t="array" ref="AC121">_xlfn.LET(_xlpm.기본_색인번호, 4,
_xlpm.추가_색인번호, 5,
_xlpm.개별보정치, V121,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1" s="25" cm="1">
        <f t="array" ref="AD121">_xlfn.LET(_xlpm.기본_색인번호, 5,
_xlpm.추가_색인번호, 6,
_xlpm.개별보정치, W121,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21" s="25" cm="1">
        <f t="array" ref="AE121">_xlfn.LET(_xlpm.기본_색인번호, 6,
_xlpm.추가_색인번호, 7,
_xlpm.개별보정치, X121,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21" s="25" cm="1">
        <f t="array" ref="AF121">_xlfn.LET(_xlpm.기본_색인번호, 7,
_xlpm.추가_색인번호, 8,
_xlpm.개별보정치, Y121,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1" s="27" cm="1">
        <f t="array" ref="AG121">_xlfn.LET(_xlpm.기본_색인번호, 8,
_xlpm.추가_색인번호, 9,
_xlpm.개별보정치, Z121,
_xlpm.패턴보정치, VLOOKUP($G121, Factor!$B$5:$I$51, _xlpm.기본_색인번호, 0),
_xlpm.소모탄환보정치, VLOOKUP($H121, Factor!$T$5:$AA$51, _xlpm.기본_색인번호, 0),
_xlpm.지형보정치, VLOOKUP($I121, Factor!$K$12:$R$13, _xlpm.기본_색인번호, 0),
_xlpm.공격속성보정치, VLOOKUP($J121, Factor!$K$5:$R$7, _xlpm.기본_색인번호, 0),
_xlpm.피해범위보정치, INDEX(Factor!$AN$5:$AV$51, _xlfn.XMATCH(IF(OR($G121="blast", $G121="curved",  $G121= "debuff"), $L121, 0), Factor!$AN$5:$AN$51, -1), _xlpm.추가_색인번호)-IF(AND(OR($G121="blast", $G121="curved", $G121= "debuff"), MOD($L121,1)&lt;&gt;0),INDEX(Factor!$AN$5:$AV$51, _xlfn.XMATCH(IF(OR($G121="blast", $G121="curved", $G121= "debuff"), $L121, 0), Factor!$AN$5:$AN$51, -1), 2)*MOD($L121,1)*10,0),
_xlpm.상태이상보정치, VLOOKUP(IF($G121 = "debuff", $M121, "null"), Factor!$AX$5:$BE$51, _xlpm.기본_색인번호, 0),
_xlpm.지속시간보정치, INDEX(Factor!$BG$5:$BO$51, _xlfn.XMATCH(IF(OR($G121 ="debuff", $G121 = "shot", $G121 = "pierce"), $O121, 0), Factor!$BG$5:$BG$51, -1), _xlpm.추가_색인번호)-IF(AND(OR($G121 ="debuff", $G121 = "shot", $G121 = "pierce"), MOD($O121, 1)&lt;&gt;0), 10*MOD($O121, 1)*INDEX(Factor!$BG$5:$BO$51, _xlfn.XMATCH(IF(OR($G121 ="debuff", $G121 = "shot", $G121 = "pierce"), $O121, 0), Factor!$BG$5:$BG$51, -1), 2), 0),
_xlpm.탄환개수보정치, VLOOKUP(IF(OR($G121 = "curved", $G121 = "shot"), $Q121, 1), Factor!$BQ$5:$BX$51, _xlpm.기본_색인번호, 0),
_xlpm.상태이상탄환생성위치보정치, IF($G121 = "debuff", VLOOKUP($R121, Factor!$K$18:$R$19, _xlpm.기본_색인번호, 0),1),
_xlpm.상태이상탄환형태보정치, IF($G121 = "debuff", VLOOKUP($S121, Factor!$K$24:$R$25, _xlpm.기본_색인번호, 0),1),
_xlpm.가격보정치, INDEX(Factor!$AE$5:$AL$51, _xlfn.XMATCH($F121,Factor!$AE$5:$AE$51, -1), _xlpm.기본_색인번호),
_xlpm.구경보정치, VLOOKUP($D121,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22" spans="1:33" ht="15.75" customHeight="1">
      <c r="A122" s="28" t="str">
        <f>"weapon_"&amp;G122&amp;"_"&amp;VLOOKUP(H122, Factor!$T$5:$AB$7, 9, 0)&amp;"_"&amp;IF(COUNTIFS($G$4:G121, G122, $H$4:H121, H122)+1&gt;=100, COUNTIFS($G$4:G121, G122, $H$4:H121, H122)+1,IF(COUNTIFS($G$4:G121, G122, $H$4:H121, H122)+1&gt;=10, "0"&amp;COUNTIFS($G$4:G121, G122, $H$4:H121, H122)+1, "00"&amp;COUNTIFS($G$4:G121, G122, $H$4:H121, H122)+1))</f>
        <v>weapon_blast_Am_008</v>
      </c>
      <c r="B122" s="37" t="str">
        <f>C122&amp;" "&amp;IF(D122 = "none","", D122)&amp;E122</f>
        <v>T3 40mm유탄 포탑</v>
      </c>
      <c r="C122" s="37" t="s">
        <v>247</v>
      </c>
      <c r="D122" s="37" t="s">
        <v>269</v>
      </c>
      <c r="E122" s="37" t="s">
        <v>277</v>
      </c>
      <c r="F122" s="29">
        <f>VLOOKUP(C122, Factor!$AD$5:$AE$15, 2, 0)</f>
        <v>3000</v>
      </c>
      <c r="G122" s="29" t="str">
        <f>VLOOKUP(E122, Factor!$CL$5:$CV$50, 2, 0)</f>
        <v>blast</v>
      </c>
      <c r="H122" s="29" t="str">
        <f>VLOOKUP(E122, Factor!$CL$5:$CV$50, 3, 0)</f>
        <v>ammo</v>
      </c>
      <c r="I122" s="29" t="str">
        <f>VLOOKUP(E122, Factor!$CL$5:$CV$50, 4, 0)</f>
        <v>L</v>
      </c>
      <c r="J122" s="29" t="str">
        <f>VLOOKUP(E122, Factor!$CL$5:$CV$50, 5, 0)</f>
        <v>spread</v>
      </c>
      <c r="K122" s="29">
        <v>1</v>
      </c>
      <c r="L122" s="29">
        <f>VLOOKUP(E122, Factor!$CL$5:$CV$50, 6, 0)*K122*VLOOKUP(D122, Factor!$BZ$5:$CJ$49, 9, 0)</f>
        <v>6</v>
      </c>
      <c r="M122" s="29" t="str">
        <f>VLOOKUP(E122, Factor!$CL$5:$CV$50, 7, 0)</f>
        <v>null</v>
      </c>
      <c r="N122" s="29">
        <v>1</v>
      </c>
      <c r="O122" s="29">
        <f>VLOOKUP(E122, Factor!$CL$5:$CV$50, 8, 0)*N122*VLOOKUP(D122, Factor!$BZ$5:$CJ$49, 10, 0)</f>
        <v>0</v>
      </c>
      <c r="P122" s="29">
        <v>1</v>
      </c>
      <c r="Q122" s="29">
        <f>VLOOKUP(E122, Factor!$CL$5:$CV$50, 9, 0)*P122*VLOOKUP(D122, Factor!$BZ$5:$CJ$49, 11, 0)</f>
        <v>6</v>
      </c>
      <c r="R122" s="29" t="str">
        <f>VLOOKUP(E122, Factor!$CL$5:$CV$50, 10, 0)</f>
        <v>null</v>
      </c>
      <c r="S122" s="29" t="str">
        <f>VLOOKUP(E122, Factor!$CL$5:$CV$50, 11, 0)</f>
        <v>null</v>
      </c>
      <c r="T122" s="29">
        <v>1</v>
      </c>
      <c r="U122" s="29">
        <v>1</v>
      </c>
      <c r="V122" s="29">
        <v>1</v>
      </c>
      <c r="W122" s="29">
        <v>1</v>
      </c>
      <c r="X122" s="29">
        <v>1</v>
      </c>
      <c r="Y122" s="29">
        <v>1</v>
      </c>
      <c r="Z122" s="29">
        <v>1</v>
      </c>
      <c r="AA122" s="29" cm="1">
        <f t="array" ref="AA122">_xlfn.LET(_xlpm.기본_색인번호, 2,
_xlpm.추가_색인번호, 3,
_xlpm.개별보정치, T122,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122" s="29" cm="1">
        <f t="array" ref="AB122">_xlfn.LET(_xlpm.기본_색인번호, 3,
_xlpm.추가_색인번호, 4,
_xlpm.개별보정치, U122,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2" s="29" cm="1">
        <f t="array" ref="AC122">_xlfn.LET(_xlpm.기본_색인번호, 4,
_xlpm.추가_색인번호, 5,
_xlpm.개별보정치, V122,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2" s="29" cm="1">
        <f t="array" ref="AD122">_xlfn.LET(_xlpm.기본_색인번호, 5,
_xlpm.추가_색인번호, 6,
_xlpm.개별보정치, W122,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122" s="29" cm="1">
        <f t="array" ref="AE122">_xlfn.LET(_xlpm.기본_색인번호, 6,
_xlpm.추가_색인번호, 7,
_xlpm.개별보정치, X122,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122" s="29" cm="1">
        <f t="array" ref="AF122">_xlfn.LET(_xlpm.기본_색인번호, 7,
_xlpm.추가_색인번호, 8,
_xlpm.개별보정치, Y122,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2" s="30" cm="1">
        <f t="array" ref="AG122">_xlfn.LET(_xlpm.기본_색인번호, 8,
_xlpm.추가_색인번호, 9,
_xlpm.개별보정치, Z122,
_xlpm.패턴보정치, VLOOKUP($G122, Factor!$B$5:$I$51, _xlpm.기본_색인번호, 0),
_xlpm.소모탄환보정치, VLOOKUP($H122, Factor!$T$5:$AA$51, _xlpm.기본_색인번호, 0),
_xlpm.지형보정치, VLOOKUP($I122, Factor!$K$12:$R$13, _xlpm.기본_색인번호, 0),
_xlpm.공격속성보정치, VLOOKUP($J122, Factor!$K$5:$R$7, _xlpm.기본_색인번호, 0),
_xlpm.피해범위보정치, INDEX(Factor!$AN$5:$AV$51, _xlfn.XMATCH(IF(OR($G122="blast", $G122="curved",  $G122= "debuff"), $L122, 0), Factor!$AN$5:$AN$51, -1), _xlpm.추가_색인번호)-IF(AND(OR($G122="blast", $G122="curved", $G122= "debuff"), MOD($L122,1)&lt;&gt;0),INDEX(Factor!$AN$5:$AV$51, _xlfn.XMATCH(IF(OR($G122="blast", $G122="curved", $G122= "debuff"), $L122, 0), Factor!$AN$5:$AN$51, -1), 2)*MOD($L122,1)*10,0),
_xlpm.상태이상보정치, VLOOKUP(IF($G122 = "debuff", $M122, "null"), Factor!$AX$5:$BE$51, _xlpm.기본_색인번호, 0),
_xlpm.지속시간보정치, INDEX(Factor!$BG$5:$BO$51, _xlfn.XMATCH(IF(OR($G122 ="debuff", $G122 = "shot", $G122 = "pierce"), $O122, 0), Factor!$BG$5:$BG$51, -1), _xlpm.추가_색인번호)-IF(AND(OR($G122 ="debuff", $G122 = "shot", $G122 = "pierce"), MOD($O122, 1)&lt;&gt;0), 10*MOD($O122, 1)*INDEX(Factor!$BG$5:$BO$51, _xlfn.XMATCH(IF(OR($G122 ="debuff", $G122 = "shot", $G122 = "pierce"), $O122, 0), Factor!$BG$5:$BG$51, -1), 2), 0),
_xlpm.탄환개수보정치, VLOOKUP(IF(OR($G122 = "curved", $G122 = "shot"), $Q122, 1), Factor!$BQ$5:$BX$51, _xlpm.기본_색인번호, 0),
_xlpm.상태이상탄환생성위치보정치, IF($G122 = "debuff", VLOOKUP($R122, Factor!$K$18:$R$19, _xlpm.기본_색인번호, 0),1),
_xlpm.상태이상탄환형태보정치, IF($G122 = "debuff", VLOOKUP($S122, Factor!$K$24:$R$25, _xlpm.기본_색인번호, 0),1),
_xlpm.가격보정치, INDEX(Factor!$AE$5:$AL$51, _xlfn.XMATCH($F122,Factor!$AE$5:$AE$51, -1), _xlpm.기본_색인번호),
_xlpm.구경보정치, VLOOKUP($D122,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123" spans="1:33" ht="15.75" customHeight="1">
      <c r="A123" s="24" t="str">
        <f>"weapon_"&amp;G123&amp;"_"&amp;VLOOKUP(H123, Factor!$T$5:$AB$7, 9, 0)&amp;"_"&amp;IF(COUNTIFS($G$4:G122, G123, $H$4:H122, H123)+1&gt;=100, COUNTIFS($G$4:G122, G123, $H$4:H122, H123)+1,IF(COUNTIFS($G$4:G122, G123, $H$4:H122, H123)+1&gt;=10, "0"&amp;COUNTIFS($G$4:G122, G123, $H$4:H122, H123)+1, "00"&amp;COUNTIFS($G$4:G122, G123, $H$4:H122, H123)+1))</f>
        <v>weapon_blast_Am_009</v>
      </c>
      <c r="B123" s="36" t="str">
        <f>C123&amp;" "&amp;IF(D123 = "none","", D123)&amp;E123</f>
        <v>T4 20mm유탄 포탑</v>
      </c>
      <c r="C123" s="36" t="s">
        <v>249</v>
      </c>
      <c r="D123" s="36" t="s">
        <v>261</v>
      </c>
      <c r="E123" s="36" t="s">
        <v>277</v>
      </c>
      <c r="F123" s="25">
        <f>VLOOKUP(C123, Factor!$AD$5:$AE$15, 2, 0)</f>
        <v>4000</v>
      </c>
      <c r="G123" s="26" t="str">
        <f>VLOOKUP(E123, Factor!$CL$5:$CV$50, 2, 0)</f>
        <v>blast</v>
      </c>
      <c r="H123" s="25" t="str">
        <f>VLOOKUP(E123, Factor!$CL$5:$CV$50, 3, 0)</f>
        <v>ammo</v>
      </c>
      <c r="I123" s="25" t="str">
        <f>VLOOKUP(E123, Factor!$CL$5:$CV$50, 4, 0)</f>
        <v>L</v>
      </c>
      <c r="J123" s="25" t="str">
        <f>VLOOKUP(E123, Factor!$CL$5:$CV$50, 5, 0)</f>
        <v>spread</v>
      </c>
      <c r="K123" s="25">
        <v>1</v>
      </c>
      <c r="L123" s="25">
        <f>VLOOKUP(E123, Factor!$CL$5:$CV$50, 6, 0)*K123*VLOOKUP(D123, Factor!$BZ$5:$CJ$49, 9, 0)</f>
        <v>5</v>
      </c>
      <c r="M123" s="25" t="str">
        <f>VLOOKUP(E123, Factor!$CL$5:$CV$50, 7, 0)</f>
        <v>null</v>
      </c>
      <c r="N123" s="25">
        <v>1</v>
      </c>
      <c r="O123" s="25">
        <f>VLOOKUP(E123, Factor!$CL$5:$CV$50, 8, 0)*N123*VLOOKUP(D123, Factor!$BZ$5:$CJ$49, 10, 0)</f>
        <v>0</v>
      </c>
      <c r="P123" s="25">
        <v>1</v>
      </c>
      <c r="Q123" s="25">
        <f>VLOOKUP(E123, Factor!$CL$5:$CV$50, 9, 0)*P123*VLOOKUP(D123, Factor!$BZ$5:$CJ$49, 11, 0)</f>
        <v>5</v>
      </c>
      <c r="R123" s="25" t="str">
        <f>VLOOKUP(E123, Factor!$CL$5:$CV$50, 10, 0)</f>
        <v>null</v>
      </c>
      <c r="S123" s="25" t="str">
        <f>VLOOKUP(E123, Factor!$CL$5:$CV$50, 11, 0)</f>
        <v>null</v>
      </c>
      <c r="T123" s="25">
        <v>1</v>
      </c>
      <c r="U123" s="25">
        <v>1</v>
      </c>
      <c r="V123" s="25">
        <v>1</v>
      </c>
      <c r="W123" s="25">
        <v>1</v>
      </c>
      <c r="X123" s="25">
        <v>1</v>
      </c>
      <c r="Y123" s="25">
        <v>1</v>
      </c>
      <c r="Z123" s="25">
        <v>1</v>
      </c>
      <c r="AA123" s="25" cm="1">
        <f t="array" ref="AA123">_xlfn.LET(_xlpm.기본_색인번호, 2,
_xlpm.추가_색인번호, 3,
_xlpm.개별보정치, T123,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250</v>
      </c>
      <c r="AB123" s="25" cm="1">
        <f t="array" ref="AB123">_xlfn.LET(_xlpm.기본_색인번호, 3,
_xlpm.추가_색인번호, 4,
_xlpm.개별보정치, U123,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3" s="25" cm="1">
        <f t="array" ref="AC123">_xlfn.LET(_xlpm.기본_색인번호, 4,
_xlpm.추가_색인번호, 5,
_xlpm.개별보정치, V123,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3" s="25" cm="1">
        <f t="array" ref="AD123">_xlfn.LET(_xlpm.기본_색인번호, 5,
_xlpm.추가_색인번호, 6,
_xlpm.개별보정치, W123,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E123" s="25" cm="1">
        <f t="array" ref="AE123">_xlfn.LET(_xlpm.기본_색인번호, 6,
_xlpm.추가_색인번호, 7,
_xlpm.개별보정치, X123,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F123" s="25" cm="1">
        <f t="array" ref="AF123">_xlfn.LET(_xlpm.기본_색인번호, 7,
_xlpm.추가_색인번호, 8,
_xlpm.개별보정치, Y123,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3" s="27" cm="1">
        <f t="array" ref="AG123">_xlfn.LET(_xlpm.기본_색인번호, 8,
_xlpm.추가_색인번호, 9,
_xlpm.개별보정치, Z123,
_xlpm.패턴보정치, VLOOKUP($G123, Factor!$B$5:$I$51, _xlpm.기본_색인번호, 0),
_xlpm.소모탄환보정치, VLOOKUP($H123, Factor!$T$5:$AA$51, _xlpm.기본_색인번호, 0),
_xlpm.지형보정치, VLOOKUP($I123, Factor!$K$12:$R$13, _xlpm.기본_색인번호, 0),
_xlpm.공격속성보정치, VLOOKUP($J123, Factor!$K$5:$R$7, _xlpm.기본_색인번호, 0),
_xlpm.피해범위보정치, INDEX(Factor!$AN$5:$AV$51, _xlfn.XMATCH(IF(OR($G123="blast", $G123="curved",  $G123= "debuff"), $L123, 0), Factor!$AN$5:$AN$51, -1), _xlpm.추가_색인번호)-IF(AND(OR($G123="blast", $G123="curved", $G123= "debuff"), MOD($L123,1)&lt;&gt;0),INDEX(Factor!$AN$5:$AV$51, _xlfn.XMATCH(IF(OR($G123="blast", $G123="curved", $G123= "debuff"), $L123, 0), Factor!$AN$5:$AN$51, -1), 2)*MOD($L123,1)*10,0),
_xlpm.상태이상보정치, VLOOKUP(IF($G123 = "debuff", $M123, "null"), Factor!$AX$5:$BE$51, _xlpm.기본_색인번호, 0),
_xlpm.지속시간보정치, INDEX(Factor!$BG$5:$BO$51, _xlfn.XMATCH(IF(OR($G123 ="debuff", $G123 = "shot", $G123 = "pierce"), $O123, 0), Factor!$BG$5:$BG$51, -1), _xlpm.추가_색인번호)-IF(AND(OR($G123 ="debuff", $G123 = "shot", $G123 = "pierce"), MOD($O123, 1)&lt;&gt;0), 10*MOD($O123, 1)*INDEX(Factor!$BG$5:$BO$51, _xlfn.XMATCH(IF(OR($G123 ="debuff", $G123 = "shot", $G123 = "pierce"), $O123, 0), Factor!$BG$5:$BG$51, -1), 2), 0),
_xlpm.탄환개수보정치, VLOOKUP(IF(OR($G123 = "curved", $G123 = "shot"), $Q123, 1), Factor!$BQ$5:$BX$51, _xlpm.기본_색인번호, 0),
_xlpm.상태이상탄환생성위치보정치, IF($G123 = "debuff", VLOOKUP($R123, Factor!$K$18:$R$19, _xlpm.기본_색인번호, 0),1),
_xlpm.상태이상탄환형태보정치, IF($G123 = "debuff", VLOOKUP($S123, Factor!$K$24:$R$25, _xlpm.기본_색인번호, 0),1),
_xlpm.가격보정치, INDEX(Factor!$AE$5:$AL$51, _xlfn.XMATCH($F123,Factor!$AE$5:$AE$51, -1), _xlpm.기본_색인번호),
_xlpm.구경보정치, VLOOKUP($D123,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</row>
    <row r="124" spans="1:33" ht="15.75" customHeight="1">
      <c r="A124" s="28" t="str">
        <f>"weapon_"&amp;G124&amp;"_"&amp;VLOOKUP(H124, Factor!$T$5:$AB$7, 9, 0)&amp;"_"&amp;IF(COUNTIFS($G$4:G123, G124, $H$4:H123, H124)+1&gt;=100, COUNTIFS($G$4:G123, G124, $H$4:H123, H124)+1,IF(COUNTIFS($G$4:G123, G124, $H$4:H123, H124)+1&gt;=10, "0"&amp;COUNTIFS($G$4:G123, G124, $H$4:H123, H124)+1, "00"&amp;COUNTIFS($G$4:G123, G124, $H$4:H123, H124)+1))</f>
        <v>weapon_blast_Am_010</v>
      </c>
      <c r="B124" s="37" t="str">
        <f>C124&amp;" "&amp;IF(D124 = "none","", D124)&amp;E124</f>
        <v>T4 40mm유탄 포탑</v>
      </c>
      <c r="C124" s="37" t="s">
        <v>249</v>
      </c>
      <c r="D124" s="37" t="s">
        <v>269</v>
      </c>
      <c r="E124" s="37" t="s">
        <v>277</v>
      </c>
      <c r="F124" s="29">
        <f>VLOOKUP(C124, Factor!$AD$5:$AE$15, 2, 0)</f>
        <v>4000</v>
      </c>
      <c r="G124" s="29" t="str">
        <f>VLOOKUP(E124, Factor!$CL$5:$CV$50, 2, 0)</f>
        <v>blast</v>
      </c>
      <c r="H124" s="29" t="str">
        <f>VLOOKUP(E124, Factor!$CL$5:$CV$50, 3, 0)</f>
        <v>ammo</v>
      </c>
      <c r="I124" s="29" t="str">
        <f>VLOOKUP(E124, Factor!$CL$5:$CV$50, 4, 0)</f>
        <v>L</v>
      </c>
      <c r="J124" s="29" t="str">
        <f>VLOOKUP(E124, Factor!$CL$5:$CV$50, 5, 0)</f>
        <v>spread</v>
      </c>
      <c r="K124" s="29">
        <v>1</v>
      </c>
      <c r="L124" s="29">
        <f>VLOOKUP(E124, Factor!$CL$5:$CV$50, 6, 0)*K124*VLOOKUP(D124, Factor!$BZ$5:$CJ$49, 9, 0)</f>
        <v>6</v>
      </c>
      <c r="M124" s="29" t="str">
        <f>VLOOKUP(E124, Factor!$CL$5:$CV$50, 7, 0)</f>
        <v>null</v>
      </c>
      <c r="N124" s="29">
        <v>1</v>
      </c>
      <c r="O124" s="29">
        <f>VLOOKUP(E124, Factor!$CL$5:$CV$50, 8, 0)*N124*VLOOKUP(D124, Factor!$BZ$5:$CJ$49, 10, 0)</f>
        <v>0</v>
      </c>
      <c r="P124" s="29">
        <v>1</v>
      </c>
      <c r="Q124" s="29">
        <f>VLOOKUP(E124, Factor!$CL$5:$CV$50, 9, 0)*P124*VLOOKUP(D124, Factor!$BZ$5:$CJ$49, 11, 0)</f>
        <v>6</v>
      </c>
      <c r="R124" s="29" t="str">
        <f>VLOOKUP(E124, Factor!$CL$5:$CV$50, 10, 0)</f>
        <v>null</v>
      </c>
      <c r="S124" s="29" t="str">
        <f>VLOOKUP(E124, Factor!$CL$5:$CV$50, 11, 0)</f>
        <v>null</v>
      </c>
      <c r="T124" s="29">
        <v>1</v>
      </c>
      <c r="U124" s="29">
        <v>1</v>
      </c>
      <c r="V124" s="29">
        <v>1</v>
      </c>
      <c r="W124" s="29">
        <v>1</v>
      </c>
      <c r="X124" s="29">
        <v>1</v>
      </c>
      <c r="Y124" s="29">
        <v>1</v>
      </c>
      <c r="Z124" s="29">
        <v>1</v>
      </c>
      <c r="AA124" s="29" cm="1">
        <f t="array" ref="AA124">_xlfn.LET(_xlpm.기본_색인번호, 2,
_xlpm.추가_색인번호, 3,
_xlpm.개별보정치, T124,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250</v>
      </c>
      <c r="AB124" s="29" cm="1">
        <f t="array" ref="AB124">_xlfn.LET(_xlpm.기본_색인번호, 3,
_xlpm.추가_색인번호, 4,
_xlpm.개별보정치, U124,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4" s="29" cm="1">
        <f t="array" ref="AC124">_xlfn.LET(_xlpm.기본_색인번호, 4,
_xlpm.추가_색인번호, 5,
_xlpm.개별보정치, V124,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4" s="29" cm="1">
        <f t="array" ref="AD124">_xlfn.LET(_xlpm.기본_색인번호, 5,
_xlpm.추가_색인번호, 6,
_xlpm.개별보정치, W124,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E124" s="29" cm="1">
        <f t="array" ref="AE124">_xlfn.LET(_xlpm.기본_색인번호, 6,
_xlpm.추가_색인번호, 7,
_xlpm.개별보정치, X124,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F124" s="29" cm="1">
        <f t="array" ref="AF124">_xlfn.LET(_xlpm.기본_색인번호, 7,
_xlpm.추가_색인번호, 8,
_xlpm.개별보정치, Y124,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4" s="30" cm="1">
        <f t="array" ref="AG124">_xlfn.LET(_xlpm.기본_색인번호, 8,
_xlpm.추가_색인번호, 9,
_xlpm.개별보정치, Z124,
_xlpm.패턴보정치, VLOOKUP($G124, Factor!$B$5:$I$51, _xlpm.기본_색인번호, 0),
_xlpm.소모탄환보정치, VLOOKUP($H124, Factor!$T$5:$AA$51, _xlpm.기본_색인번호, 0),
_xlpm.지형보정치, VLOOKUP($I124, Factor!$K$12:$R$13, _xlpm.기본_색인번호, 0),
_xlpm.공격속성보정치, VLOOKUP($J124, Factor!$K$5:$R$7, _xlpm.기본_색인번호, 0),
_xlpm.피해범위보정치, INDEX(Factor!$AN$5:$AV$51, _xlfn.XMATCH(IF(OR($G124="blast", $G124="curved",  $G124= "debuff"), $L124, 0), Factor!$AN$5:$AN$51, -1), _xlpm.추가_색인번호)-IF(AND(OR($G124="blast", $G124="curved", $G124= "debuff"), MOD($L124,1)&lt;&gt;0),INDEX(Factor!$AN$5:$AV$51, _xlfn.XMATCH(IF(OR($G124="blast", $G124="curved", $G124= "debuff"), $L124, 0), Factor!$AN$5:$AN$51, -1), 2)*MOD($L124,1)*10,0),
_xlpm.상태이상보정치, VLOOKUP(IF($G124 = "debuff", $M124, "null"), Factor!$AX$5:$BE$51, _xlpm.기본_색인번호, 0),
_xlpm.지속시간보정치, INDEX(Factor!$BG$5:$BO$51, _xlfn.XMATCH(IF(OR($G124 ="debuff", $G124 = "shot", $G124 = "pierce"), $O124, 0), Factor!$BG$5:$BG$51, -1), _xlpm.추가_색인번호)-IF(AND(OR($G124 ="debuff", $G124 = "shot", $G124 = "pierce"), MOD($O124, 1)&lt;&gt;0), 10*MOD($O124, 1)*INDEX(Factor!$BG$5:$BO$51, _xlfn.XMATCH(IF(OR($G124 ="debuff", $G124 = "shot", $G124 = "pierce"), $O124, 0), Factor!$BG$5:$BG$51, -1), 2), 0),
_xlpm.탄환개수보정치, VLOOKUP(IF(OR($G124 = "curved", $G124 = "shot"), $Q124, 1), Factor!$BQ$5:$BX$51, _xlpm.기본_색인번호, 0),
_xlpm.상태이상탄환생성위치보정치, IF($G124 = "debuff", VLOOKUP($R124, Factor!$K$18:$R$19, _xlpm.기본_색인번호, 0),1),
_xlpm.상태이상탄환형태보정치, IF($G124 = "debuff", VLOOKUP($S124, Factor!$K$24:$R$25, _xlpm.기본_색인번호, 0),1),
_xlpm.가격보정치, INDEX(Factor!$AE$5:$AL$51, _xlfn.XMATCH($F124,Factor!$AE$5:$AE$51, -1), _xlpm.기본_색인번호),
_xlpm.구경보정치, VLOOKUP($D124,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</row>
    <row r="125" spans="1:33" ht="15.75" customHeight="1">
      <c r="A125" s="24" t="str">
        <f>"weapon_"&amp;G125&amp;"_"&amp;VLOOKUP(H125, Factor!$T$5:$AB$7, 9, 0)&amp;"_"&amp;IF(COUNTIFS($G$4:G124, G125, $H$4:H124, H125)+1&gt;=100, COUNTIFS($G$4:G124, G125, $H$4:H124, H125)+1,IF(COUNTIFS($G$4:G124, G125, $H$4:H124, H125)+1&gt;=10, "0"&amp;COUNTIFS($G$4:G124, G125, $H$4:H124, H125)+1, "00"&amp;COUNTIFS($G$4:G124, G125, $H$4:H124, H125)+1))</f>
        <v>weapon_blast_Am_011</v>
      </c>
      <c r="B125" s="36" t="str">
        <f>C125&amp;" "&amp;IF(D125 = "none","", D125)&amp;E125</f>
        <v>T5 20mm유탄 포탑</v>
      </c>
      <c r="C125" s="36" t="s">
        <v>251</v>
      </c>
      <c r="D125" s="36" t="s">
        <v>261</v>
      </c>
      <c r="E125" s="36" t="s">
        <v>277</v>
      </c>
      <c r="F125" s="25">
        <f>VLOOKUP(C125, Factor!$AD$5:$AE$15, 2, 0)</f>
        <v>5000</v>
      </c>
      <c r="G125" s="26" t="str">
        <f>VLOOKUP(E125, Factor!$CL$5:$CV$50, 2, 0)</f>
        <v>blast</v>
      </c>
      <c r="H125" s="25" t="str">
        <f>VLOOKUP(E125, Factor!$CL$5:$CV$50, 3, 0)</f>
        <v>ammo</v>
      </c>
      <c r="I125" s="25" t="str">
        <f>VLOOKUP(E125, Factor!$CL$5:$CV$50, 4, 0)</f>
        <v>L</v>
      </c>
      <c r="J125" s="25" t="str">
        <f>VLOOKUP(E125, Factor!$CL$5:$CV$50, 5, 0)</f>
        <v>spread</v>
      </c>
      <c r="K125" s="25">
        <v>1</v>
      </c>
      <c r="L125" s="25">
        <f>VLOOKUP(E125, Factor!$CL$5:$CV$50, 6, 0)*K125*VLOOKUP(D125, Factor!$BZ$5:$CJ$49, 9, 0)</f>
        <v>5</v>
      </c>
      <c r="M125" s="25" t="str">
        <f>VLOOKUP(E125, Factor!$CL$5:$CV$50, 7, 0)</f>
        <v>null</v>
      </c>
      <c r="N125" s="25">
        <v>1</v>
      </c>
      <c r="O125" s="25">
        <f>VLOOKUP(E125, Factor!$CL$5:$CV$50, 8, 0)*N125*VLOOKUP(D125, Factor!$BZ$5:$CJ$49, 10, 0)</f>
        <v>0</v>
      </c>
      <c r="P125" s="25">
        <v>1</v>
      </c>
      <c r="Q125" s="25">
        <f>VLOOKUP(E125, Factor!$CL$5:$CV$50, 9, 0)*P125*VLOOKUP(D125, Factor!$BZ$5:$CJ$49, 11, 0)</f>
        <v>5</v>
      </c>
      <c r="R125" s="25" t="str">
        <f>VLOOKUP(E125, Factor!$CL$5:$CV$50, 10, 0)</f>
        <v>null</v>
      </c>
      <c r="S125" s="25" t="str">
        <f>VLOOKUP(E125, Factor!$CL$5:$CV$50, 11, 0)</f>
        <v>null</v>
      </c>
      <c r="T125" s="25">
        <v>1</v>
      </c>
      <c r="U125" s="25">
        <v>1</v>
      </c>
      <c r="V125" s="25">
        <v>1</v>
      </c>
      <c r="W125" s="25">
        <v>1</v>
      </c>
      <c r="X125" s="25">
        <v>1</v>
      </c>
      <c r="Y125" s="25">
        <v>1</v>
      </c>
      <c r="Z125" s="25">
        <v>1</v>
      </c>
      <c r="AA125" s="25" cm="1">
        <f t="array" ref="AA125">_xlfn.LET(_xlpm.기본_색인번호, 2,
_xlpm.추가_색인번호, 3,
_xlpm.개별보정치, T125,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B125" s="25" cm="1">
        <f t="array" ref="AB125">_xlfn.LET(_xlpm.기본_색인번호, 3,
_xlpm.추가_색인번호, 4,
_xlpm.개별보정치, U125,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5" s="25" cm="1">
        <f t="array" ref="AC125">_xlfn.LET(_xlpm.기본_색인번호, 4,
_xlpm.추가_색인번호, 5,
_xlpm.개별보정치, V125,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5" s="25" cm="1">
        <f t="array" ref="AD125">_xlfn.LET(_xlpm.기본_색인번호, 5,
_xlpm.추가_색인번호, 6,
_xlpm.개별보정치, W125,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E125" s="25" cm="1">
        <f t="array" ref="AE125">_xlfn.LET(_xlpm.기본_색인번호, 6,
_xlpm.추가_색인번호, 7,
_xlpm.개별보정치, X125,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F125" s="25" cm="1">
        <f t="array" ref="AF125">_xlfn.LET(_xlpm.기본_색인번호, 7,
_xlpm.추가_색인번호, 8,
_xlpm.개별보정치, Y125,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5" s="27" cm="1">
        <f t="array" ref="AG125">_xlfn.LET(_xlpm.기본_색인번호, 8,
_xlpm.추가_색인번호, 9,
_xlpm.개별보정치, Z125,
_xlpm.패턴보정치, VLOOKUP($G125, Factor!$B$5:$I$51, _xlpm.기본_색인번호, 0),
_xlpm.소모탄환보정치, VLOOKUP($H125, Factor!$T$5:$AA$51, _xlpm.기본_색인번호, 0),
_xlpm.지형보정치, VLOOKUP($I125, Factor!$K$12:$R$13, _xlpm.기본_색인번호, 0),
_xlpm.공격속성보정치, VLOOKUP($J125, Factor!$K$5:$R$7, _xlpm.기본_색인번호, 0),
_xlpm.피해범위보정치, INDEX(Factor!$AN$5:$AV$51, _xlfn.XMATCH(IF(OR($G125="blast", $G125="curved",  $G125= "debuff"), $L125, 0), Factor!$AN$5:$AN$51, -1), _xlpm.추가_색인번호)-IF(AND(OR($G125="blast", $G125="curved", $G125= "debuff"), MOD($L125,1)&lt;&gt;0),INDEX(Factor!$AN$5:$AV$51, _xlfn.XMATCH(IF(OR($G125="blast", $G125="curved", $G125= "debuff"), $L125, 0), Factor!$AN$5:$AN$51, -1), 2)*MOD($L125,1)*10,0),
_xlpm.상태이상보정치, VLOOKUP(IF($G125 = "debuff", $M125, "null"), Factor!$AX$5:$BE$51, _xlpm.기본_색인번호, 0),
_xlpm.지속시간보정치, INDEX(Factor!$BG$5:$BO$51, _xlfn.XMATCH(IF(OR($G125 ="debuff", $G125 = "shot", $G125 = "pierce"), $O125, 0), Factor!$BG$5:$BG$51, -1), _xlpm.추가_색인번호)-IF(AND(OR($G125 ="debuff", $G125 = "shot", $G125 = "pierce"), MOD($O125, 1)&lt;&gt;0), 10*MOD($O125, 1)*INDEX(Factor!$BG$5:$BO$51, _xlfn.XMATCH(IF(OR($G125 ="debuff", $G125 = "shot", $G125 = "pierce"), $O125, 0), Factor!$BG$5:$BG$51, -1), 2), 0),
_xlpm.탄환개수보정치, VLOOKUP(IF(OR($G125 = "curved", $G125 = "shot"), $Q125, 1), Factor!$BQ$5:$BX$51, _xlpm.기본_색인번호, 0),
_xlpm.상태이상탄환생성위치보정치, IF($G125 = "debuff", VLOOKUP($R125, Factor!$K$18:$R$19, _xlpm.기본_색인번호, 0),1),
_xlpm.상태이상탄환형태보정치, IF($G125 = "debuff", VLOOKUP($S125, Factor!$K$24:$R$25, _xlpm.기본_색인번호, 0),1),
_xlpm.가격보정치, INDEX(Factor!$AE$5:$AL$51, _xlfn.XMATCH($F125,Factor!$AE$5:$AE$51, -1), _xlpm.기본_색인번호),
_xlpm.구경보정치, VLOOKUP($D125,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</row>
    <row r="126" spans="1:33" ht="15.75" customHeight="1">
      <c r="A126" s="28" t="str">
        <f>"weapon_"&amp;G126&amp;"_"&amp;VLOOKUP(H126, Factor!$T$5:$AB$7, 9, 0)&amp;"_"&amp;IF(COUNTIFS($G$4:G125, G126, $H$4:H125, H126)+1&gt;=100, COUNTIFS($G$4:G125, G126, $H$4:H125, H126)+1,IF(COUNTIFS($G$4:G125, G126, $H$4:H125, H126)+1&gt;=10, "0"&amp;COUNTIFS($G$4:G125, G126, $H$4:H125, H126)+1, "00"&amp;COUNTIFS($G$4:G125, G126, $H$4:H125, H126)+1))</f>
        <v>weapon_blast_Am_012</v>
      </c>
      <c r="B126" s="37" t="str">
        <f>C126&amp;" "&amp;IF(D126 = "none","", D126)&amp;E126</f>
        <v>T5 40mm유탄 포탑</v>
      </c>
      <c r="C126" s="37" t="s">
        <v>251</v>
      </c>
      <c r="D126" s="37" t="s">
        <v>269</v>
      </c>
      <c r="E126" s="37" t="s">
        <v>277</v>
      </c>
      <c r="F126" s="29">
        <f>VLOOKUP(C126, Factor!$AD$5:$AE$15, 2, 0)</f>
        <v>5000</v>
      </c>
      <c r="G126" s="29" t="str">
        <f>VLOOKUP(E126, Factor!$CL$5:$CV$50, 2, 0)</f>
        <v>blast</v>
      </c>
      <c r="H126" s="29" t="str">
        <f>VLOOKUP(E126, Factor!$CL$5:$CV$50, 3, 0)</f>
        <v>ammo</v>
      </c>
      <c r="I126" s="29" t="str">
        <f>VLOOKUP(E126, Factor!$CL$5:$CV$50, 4, 0)</f>
        <v>L</v>
      </c>
      <c r="J126" s="29" t="str">
        <f>VLOOKUP(E126, Factor!$CL$5:$CV$50, 5, 0)</f>
        <v>spread</v>
      </c>
      <c r="K126" s="29">
        <v>1</v>
      </c>
      <c r="L126" s="29">
        <f>VLOOKUP(E126, Factor!$CL$5:$CV$50, 6, 0)*K126*VLOOKUP(D126, Factor!$BZ$5:$CJ$49, 9, 0)</f>
        <v>6</v>
      </c>
      <c r="M126" s="29" t="str">
        <f>VLOOKUP(E126, Factor!$CL$5:$CV$50, 7, 0)</f>
        <v>null</v>
      </c>
      <c r="N126" s="29">
        <v>1</v>
      </c>
      <c r="O126" s="29">
        <f>VLOOKUP(E126, Factor!$CL$5:$CV$50, 8, 0)*N126*VLOOKUP(D126, Factor!$BZ$5:$CJ$49, 10, 0)</f>
        <v>0</v>
      </c>
      <c r="P126" s="29">
        <v>1</v>
      </c>
      <c r="Q126" s="29">
        <f>VLOOKUP(E126, Factor!$CL$5:$CV$50, 9, 0)*P126*VLOOKUP(D126, Factor!$BZ$5:$CJ$49, 11, 0)</f>
        <v>6</v>
      </c>
      <c r="R126" s="29" t="str">
        <f>VLOOKUP(E126, Factor!$CL$5:$CV$50, 10, 0)</f>
        <v>null</v>
      </c>
      <c r="S126" s="29" t="str">
        <f>VLOOKUP(E126, Factor!$CL$5:$CV$50, 11, 0)</f>
        <v>null</v>
      </c>
      <c r="T126" s="29">
        <v>1</v>
      </c>
      <c r="U126" s="29">
        <v>1</v>
      </c>
      <c r="V126" s="29">
        <v>1</v>
      </c>
      <c r="W126" s="29">
        <v>1</v>
      </c>
      <c r="X126" s="29">
        <v>1</v>
      </c>
      <c r="Y126" s="29">
        <v>1</v>
      </c>
      <c r="Z126" s="29">
        <v>1</v>
      </c>
      <c r="AA126" s="29" cm="1">
        <f t="array" ref="AA126">_xlfn.LET(_xlpm.기본_색인번호, 2,
_xlpm.추가_색인번호, 3,
_xlpm.개별보정치, T126,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B126" s="29" cm="1">
        <f t="array" ref="AB126">_xlfn.LET(_xlpm.기본_색인번호, 3,
_xlpm.추가_색인번호, 4,
_xlpm.개별보정치, U126,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22.5</v>
      </c>
      <c r="AC126" s="29" cm="1">
        <f t="array" ref="AC126">_xlfn.LET(_xlpm.기본_색인번호, 4,
_xlpm.추가_색인번호, 5,
_xlpm.개별보정치, V126,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6" s="29" cm="1">
        <f t="array" ref="AD126">_xlfn.LET(_xlpm.기본_색인번호, 5,
_xlpm.추가_색인번호, 6,
_xlpm.개별보정치, W126,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E126" s="29" cm="1">
        <f t="array" ref="AE126">_xlfn.LET(_xlpm.기본_색인번호, 6,
_xlpm.추가_색인번호, 7,
_xlpm.개별보정치, X126,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F126" s="29" cm="1">
        <f t="array" ref="AF126">_xlfn.LET(_xlpm.기본_색인번호, 7,
_xlpm.추가_색인번호, 8,
_xlpm.개별보정치, Y126,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6" s="30" cm="1">
        <f t="array" ref="AG126">_xlfn.LET(_xlpm.기본_색인번호, 8,
_xlpm.추가_색인번호, 9,
_xlpm.개별보정치, Z126,
_xlpm.패턴보정치, VLOOKUP($G126, Factor!$B$5:$I$51, _xlpm.기본_색인번호, 0),
_xlpm.소모탄환보정치, VLOOKUP($H126, Factor!$T$5:$AA$51, _xlpm.기본_색인번호, 0),
_xlpm.지형보정치, VLOOKUP($I126, Factor!$K$12:$R$13, _xlpm.기본_색인번호, 0),
_xlpm.공격속성보정치, VLOOKUP($J126, Factor!$K$5:$R$7, _xlpm.기본_색인번호, 0),
_xlpm.피해범위보정치, INDEX(Factor!$AN$5:$AV$51, _xlfn.XMATCH(IF(OR($G126="blast", $G126="curved",  $G126= "debuff"), $L126, 0), Factor!$AN$5:$AN$51, -1), _xlpm.추가_색인번호)-IF(AND(OR($G126="blast", $G126="curved", $G126= "debuff"), MOD($L126,1)&lt;&gt;0),INDEX(Factor!$AN$5:$AV$51, _xlfn.XMATCH(IF(OR($G126="blast", $G126="curved", $G126= "debuff"), $L126, 0), Factor!$AN$5:$AN$51, -1), 2)*MOD($L126,1)*10,0),
_xlpm.상태이상보정치, VLOOKUP(IF($G126 = "debuff", $M126, "null"), Factor!$AX$5:$BE$51, _xlpm.기본_색인번호, 0),
_xlpm.지속시간보정치, INDEX(Factor!$BG$5:$BO$51, _xlfn.XMATCH(IF(OR($G126 ="debuff", $G126 = "shot", $G126 = "pierce"), $O126, 0), Factor!$BG$5:$BG$51, -1), _xlpm.추가_색인번호)-IF(AND(OR($G126 ="debuff", $G126 = "shot", $G126 = "pierce"), MOD($O126, 1)&lt;&gt;0), 10*MOD($O126, 1)*INDEX(Factor!$BG$5:$BO$51, _xlfn.XMATCH(IF(OR($G126 ="debuff", $G126 = "shot", $G126 = "pierce"), $O126, 0), Factor!$BG$5:$BG$51, -1), 2), 0),
_xlpm.탄환개수보정치, VLOOKUP(IF(OR($G126 = "curved", $G126 = "shot"), $Q126, 1), Factor!$BQ$5:$BX$51, _xlpm.기본_색인번호, 0),
_xlpm.상태이상탄환생성위치보정치, IF($G126 = "debuff", VLOOKUP($R126, Factor!$K$18:$R$19, _xlpm.기본_색인번호, 0),1),
_xlpm.상태이상탄환형태보정치, IF($G126 = "debuff", VLOOKUP($S126, Factor!$K$24:$R$25, _xlpm.기본_색인번호, 0),1),
_xlpm.가격보정치, INDEX(Factor!$AE$5:$AL$51, _xlfn.XMATCH($F126,Factor!$AE$5:$AE$51, -1), _xlpm.기본_색인번호),
_xlpm.구경보정치, VLOOKUP($D126,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</row>
    <row r="127" spans="1:33" ht="15.75" customHeight="1">
      <c r="A127" s="24" t="str">
        <f>"weapon_"&amp;G127&amp;"_"&amp;VLOOKUP(H127, Factor!$T$5:$AB$7, 9, 0)&amp;"_"&amp;IF(COUNTIFS($G$4:G126, G127, $H$4:H126, H127)+1&gt;=100, COUNTIFS($G$4:G126, G127, $H$4:H126, H127)+1,IF(COUNTIFS($G$4:G126, G127, $H$4:H126, H127)+1&gt;=10, "0"&amp;COUNTIFS($G$4:G126, G127, $H$4:H126, H127)+1, "00"&amp;COUNTIFS($G$4:G126, G127, $H$4:H126, H127)+1))</f>
        <v>weapon_blast_Am_013</v>
      </c>
      <c r="B127" s="36" t="str">
        <f>C127&amp;" "&amp;IF(D127 = "none","", D127)&amp;E127</f>
        <v>T6 20mm유탄 포탑</v>
      </c>
      <c r="C127" s="36" t="s">
        <v>253</v>
      </c>
      <c r="D127" s="36" t="s">
        <v>261</v>
      </c>
      <c r="E127" s="36" t="s">
        <v>277</v>
      </c>
      <c r="F127" s="25">
        <f>VLOOKUP(C127, Factor!$AD$5:$AE$15, 2, 0)</f>
        <v>6000</v>
      </c>
      <c r="G127" s="26" t="str">
        <f>VLOOKUP(E127, Factor!$CL$5:$CV$50, 2, 0)</f>
        <v>blast</v>
      </c>
      <c r="H127" s="25" t="str">
        <f>VLOOKUP(E127, Factor!$CL$5:$CV$50, 3, 0)</f>
        <v>ammo</v>
      </c>
      <c r="I127" s="25" t="str">
        <f>VLOOKUP(E127, Factor!$CL$5:$CV$50, 4, 0)</f>
        <v>L</v>
      </c>
      <c r="J127" s="25" t="str">
        <f>VLOOKUP(E127, Factor!$CL$5:$CV$50, 5, 0)</f>
        <v>spread</v>
      </c>
      <c r="K127" s="25">
        <v>1</v>
      </c>
      <c r="L127" s="25">
        <f>VLOOKUP(E127, Factor!$CL$5:$CV$50, 6, 0)*K127*VLOOKUP(D127, Factor!$BZ$5:$CJ$49, 9, 0)</f>
        <v>5</v>
      </c>
      <c r="M127" s="25" t="str">
        <f>VLOOKUP(E127, Factor!$CL$5:$CV$50, 7, 0)</f>
        <v>null</v>
      </c>
      <c r="N127" s="25">
        <v>1</v>
      </c>
      <c r="O127" s="25">
        <f>VLOOKUP(E127, Factor!$CL$5:$CV$50, 8, 0)*N127*VLOOKUP(D127, Factor!$BZ$5:$CJ$49, 10, 0)</f>
        <v>0</v>
      </c>
      <c r="P127" s="25">
        <v>1</v>
      </c>
      <c r="Q127" s="25">
        <f>VLOOKUP(E127, Factor!$CL$5:$CV$50, 9, 0)*P127*VLOOKUP(D127, Factor!$BZ$5:$CJ$49, 11, 0)</f>
        <v>5</v>
      </c>
      <c r="R127" s="25" t="str">
        <f>VLOOKUP(E127, Factor!$CL$5:$CV$50, 10, 0)</f>
        <v>null</v>
      </c>
      <c r="S127" s="25" t="str">
        <f>VLOOKUP(E127, Factor!$CL$5:$CV$50, 11, 0)</f>
        <v>null</v>
      </c>
      <c r="T127" s="25">
        <v>1</v>
      </c>
      <c r="U127" s="25">
        <v>1</v>
      </c>
      <c r="V127" s="25">
        <v>1</v>
      </c>
      <c r="W127" s="25">
        <v>1</v>
      </c>
      <c r="X127" s="25">
        <v>1</v>
      </c>
      <c r="Y127" s="25">
        <v>1</v>
      </c>
      <c r="Z127" s="25">
        <v>1</v>
      </c>
      <c r="AA127" s="25" cm="1">
        <f t="array" ref="AA127">_xlfn.LET(_xlpm.기본_색인번호, 2,
_xlpm.추가_색인번호, 3,
_xlpm.개별보정치, T127,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350</v>
      </c>
      <c r="AB127" s="25" cm="1">
        <f t="array" ref="AB127">_xlfn.LET(_xlpm.기본_색인번호, 3,
_xlpm.추가_색인번호, 4,
_xlpm.개별보정치, U127,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27" s="25" cm="1">
        <f t="array" ref="AC127">_xlfn.LET(_xlpm.기본_색인번호, 4,
_xlpm.추가_색인번호, 5,
_xlpm.개별보정치, V127,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7" s="25" cm="1">
        <f t="array" ref="AD127">_xlfn.LET(_xlpm.기본_색인번호, 5,
_xlpm.추가_색인번호, 6,
_xlpm.개별보정치, W127,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E127" s="25" cm="1">
        <f t="array" ref="AE127">_xlfn.LET(_xlpm.기본_색인번호, 6,
_xlpm.추가_색인번호, 7,
_xlpm.개별보정치, X127,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F127" s="25" cm="1">
        <f t="array" ref="AF127">_xlfn.LET(_xlpm.기본_색인번호, 7,
_xlpm.추가_색인번호, 8,
_xlpm.개별보정치, Y127,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7" s="27" cm="1">
        <f t="array" ref="AG127">_xlfn.LET(_xlpm.기본_색인번호, 8,
_xlpm.추가_색인번호, 9,
_xlpm.개별보정치, Z127,
_xlpm.패턴보정치, VLOOKUP($G127, Factor!$B$5:$I$51, _xlpm.기본_색인번호, 0),
_xlpm.소모탄환보정치, VLOOKUP($H127, Factor!$T$5:$AA$51, _xlpm.기본_색인번호, 0),
_xlpm.지형보정치, VLOOKUP($I127, Factor!$K$12:$R$13, _xlpm.기본_색인번호, 0),
_xlpm.공격속성보정치, VLOOKUP($J127, Factor!$K$5:$R$7, _xlpm.기본_색인번호, 0),
_xlpm.피해범위보정치, INDEX(Factor!$AN$5:$AV$51, _xlfn.XMATCH(IF(OR($G127="blast", $G127="curved",  $G127= "debuff"), $L127, 0), Factor!$AN$5:$AN$51, -1), _xlpm.추가_색인번호)-IF(AND(OR($G127="blast", $G127="curved", $G127= "debuff"), MOD($L127,1)&lt;&gt;0),INDEX(Factor!$AN$5:$AV$51, _xlfn.XMATCH(IF(OR($G127="blast", $G127="curved", $G127= "debuff"), $L127, 0), Factor!$AN$5:$AN$51, -1), 2)*MOD($L127,1)*10,0),
_xlpm.상태이상보정치, VLOOKUP(IF($G127 = "debuff", $M127, "null"), Factor!$AX$5:$BE$51, _xlpm.기본_색인번호, 0),
_xlpm.지속시간보정치, INDEX(Factor!$BG$5:$BO$51, _xlfn.XMATCH(IF(OR($G127 ="debuff", $G127 = "shot", $G127 = "pierce"), $O127, 0), Factor!$BG$5:$BG$51, -1), _xlpm.추가_색인번호)-IF(AND(OR($G127 ="debuff", $G127 = "shot", $G127 = "pierce"), MOD($O127, 1)&lt;&gt;0), 10*MOD($O127, 1)*INDEX(Factor!$BG$5:$BO$51, _xlfn.XMATCH(IF(OR($G127 ="debuff", $G127 = "shot", $G127 = "pierce"), $O127, 0), Factor!$BG$5:$BG$51, -1), 2), 0),
_xlpm.탄환개수보정치, VLOOKUP(IF(OR($G127 = "curved", $G127 = "shot"), $Q127, 1), Factor!$BQ$5:$BX$51, _xlpm.기본_색인번호, 0),
_xlpm.상태이상탄환생성위치보정치, IF($G127 = "debuff", VLOOKUP($R127, Factor!$K$18:$R$19, _xlpm.기본_색인번호, 0),1),
_xlpm.상태이상탄환형태보정치, IF($G127 = "debuff", VLOOKUP($S127, Factor!$K$24:$R$25, _xlpm.기본_색인번호, 0),1),
_xlpm.가격보정치, INDEX(Factor!$AE$5:$AL$51, _xlfn.XMATCH($F127,Factor!$AE$5:$AE$51, -1), _xlpm.기본_색인번호),
_xlpm.구경보정치, VLOOKUP($D127,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</row>
    <row r="128" spans="1:33" ht="15.75" customHeight="1">
      <c r="A128" s="28" t="str">
        <f>"weapon_"&amp;G128&amp;"_"&amp;VLOOKUP(H128, Factor!$T$5:$AB$7, 9, 0)&amp;"_"&amp;IF(COUNTIFS($G$4:G127, G128, $H$4:H127, H128)+1&gt;=100, COUNTIFS($G$4:G127, G128, $H$4:H127, H128)+1,IF(COUNTIFS($G$4:G127, G128, $H$4:H127, H128)+1&gt;=10, "0"&amp;COUNTIFS($G$4:G127, G128, $H$4:H127, H128)+1, "00"&amp;COUNTIFS($G$4:G127, G128, $H$4:H127, H128)+1))</f>
        <v>weapon_blast_Am_014</v>
      </c>
      <c r="B128" s="37" t="str">
        <f>C128&amp;" "&amp;IF(D128 = "none","", D128)&amp;E128</f>
        <v>T6 40mm유탄 포탑</v>
      </c>
      <c r="C128" s="37" t="s">
        <v>253</v>
      </c>
      <c r="D128" s="37" t="s">
        <v>269</v>
      </c>
      <c r="E128" s="37" t="s">
        <v>277</v>
      </c>
      <c r="F128" s="29">
        <f>VLOOKUP(C128, Factor!$AD$5:$AE$15, 2, 0)</f>
        <v>6000</v>
      </c>
      <c r="G128" s="29" t="str">
        <f>VLOOKUP(E128, Factor!$CL$5:$CV$50, 2, 0)</f>
        <v>blast</v>
      </c>
      <c r="H128" s="29" t="str">
        <f>VLOOKUP(E128, Factor!$CL$5:$CV$50, 3, 0)</f>
        <v>ammo</v>
      </c>
      <c r="I128" s="29" t="str">
        <f>VLOOKUP(E128, Factor!$CL$5:$CV$50, 4, 0)</f>
        <v>L</v>
      </c>
      <c r="J128" s="29" t="str">
        <f>VLOOKUP(E128, Factor!$CL$5:$CV$50, 5, 0)</f>
        <v>spread</v>
      </c>
      <c r="K128" s="29">
        <v>1</v>
      </c>
      <c r="L128" s="29">
        <f>VLOOKUP(E128, Factor!$CL$5:$CV$50, 6, 0)*K128*VLOOKUP(D128, Factor!$BZ$5:$CJ$49, 9, 0)</f>
        <v>6</v>
      </c>
      <c r="M128" s="29" t="str">
        <f>VLOOKUP(E128, Factor!$CL$5:$CV$50, 7, 0)</f>
        <v>null</v>
      </c>
      <c r="N128" s="29">
        <v>1</v>
      </c>
      <c r="O128" s="29">
        <f>VLOOKUP(E128, Factor!$CL$5:$CV$50, 8, 0)*N128*VLOOKUP(D128, Factor!$BZ$5:$CJ$49, 10, 0)</f>
        <v>0</v>
      </c>
      <c r="P128" s="29">
        <v>1</v>
      </c>
      <c r="Q128" s="29">
        <f>VLOOKUP(E128, Factor!$CL$5:$CV$50, 9, 0)*P128*VLOOKUP(D128, Factor!$BZ$5:$CJ$49, 11, 0)</f>
        <v>6</v>
      </c>
      <c r="R128" s="29" t="str">
        <f>VLOOKUP(E128, Factor!$CL$5:$CV$50, 10, 0)</f>
        <v>null</v>
      </c>
      <c r="S128" s="29" t="str">
        <f>VLOOKUP(E128, Factor!$CL$5:$CV$50, 11, 0)</f>
        <v>null</v>
      </c>
      <c r="T128" s="29">
        <v>1</v>
      </c>
      <c r="U128" s="29">
        <v>1</v>
      </c>
      <c r="V128" s="29">
        <v>1</v>
      </c>
      <c r="W128" s="29">
        <v>1</v>
      </c>
      <c r="X128" s="29">
        <v>1</v>
      </c>
      <c r="Y128" s="29">
        <v>1</v>
      </c>
      <c r="Z128" s="29">
        <v>1</v>
      </c>
      <c r="AA128" s="29" cm="1">
        <f t="array" ref="AA128">_xlfn.LET(_xlpm.기본_색인번호, 2,
_xlpm.추가_색인번호, 3,
_xlpm.개별보정치, T128,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350</v>
      </c>
      <c r="AB128" s="29" cm="1">
        <f t="array" ref="AB128">_xlfn.LET(_xlpm.기본_색인번호, 3,
_xlpm.추가_색인번호, 4,
_xlpm.개별보정치, U128,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28" s="29" cm="1">
        <f t="array" ref="AC128">_xlfn.LET(_xlpm.기본_색인번호, 4,
_xlpm.추가_색인번호, 5,
_xlpm.개별보정치, V128,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8" s="29" cm="1">
        <f t="array" ref="AD128">_xlfn.LET(_xlpm.기본_색인번호, 5,
_xlpm.추가_색인번호, 6,
_xlpm.개별보정치, W128,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E128" s="29" cm="1">
        <f t="array" ref="AE128">_xlfn.LET(_xlpm.기본_색인번호, 6,
_xlpm.추가_색인번호, 7,
_xlpm.개별보정치, X128,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F128" s="29" cm="1">
        <f t="array" ref="AF128">_xlfn.LET(_xlpm.기본_색인번호, 7,
_xlpm.추가_색인번호, 8,
_xlpm.개별보정치, Y128,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8" s="30" cm="1">
        <f t="array" ref="AG128">_xlfn.LET(_xlpm.기본_색인번호, 8,
_xlpm.추가_색인번호, 9,
_xlpm.개별보정치, Z128,
_xlpm.패턴보정치, VLOOKUP($G128, Factor!$B$5:$I$51, _xlpm.기본_색인번호, 0),
_xlpm.소모탄환보정치, VLOOKUP($H128, Factor!$T$5:$AA$51, _xlpm.기본_색인번호, 0),
_xlpm.지형보정치, VLOOKUP($I128, Factor!$K$12:$R$13, _xlpm.기본_색인번호, 0),
_xlpm.공격속성보정치, VLOOKUP($J128, Factor!$K$5:$R$7, _xlpm.기본_색인번호, 0),
_xlpm.피해범위보정치, INDEX(Factor!$AN$5:$AV$51, _xlfn.XMATCH(IF(OR($G128="blast", $G128="curved",  $G128= "debuff"), $L128, 0), Factor!$AN$5:$AN$51, -1), _xlpm.추가_색인번호)-IF(AND(OR($G128="blast", $G128="curved", $G128= "debuff"), MOD($L128,1)&lt;&gt;0),INDEX(Factor!$AN$5:$AV$51, _xlfn.XMATCH(IF(OR($G128="blast", $G128="curved", $G128= "debuff"), $L128, 0), Factor!$AN$5:$AN$51, -1), 2)*MOD($L128,1)*10,0),
_xlpm.상태이상보정치, VLOOKUP(IF($G128 = "debuff", $M128, "null"), Factor!$AX$5:$BE$51, _xlpm.기본_색인번호, 0),
_xlpm.지속시간보정치, INDEX(Factor!$BG$5:$BO$51, _xlfn.XMATCH(IF(OR($G128 ="debuff", $G128 = "shot", $G128 = "pierce"), $O128, 0), Factor!$BG$5:$BG$51, -1), _xlpm.추가_색인번호)-IF(AND(OR($G128 ="debuff", $G128 = "shot", $G128 = "pierce"), MOD($O128, 1)&lt;&gt;0), 10*MOD($O128, 1)*INDEX(Factor!$BG$5:$BO$51, _xlfn.XMATCH(IF(OR($G128 ="debuff", $G128 = "shot", $G128 = "pierce"), $O128, 0), Factor!$BG$5:$BG$51, -1), 2), 0),
_xlpm.탄환개수보정치, VLOOKUP(IF(OR($G128 = "curved", $G128 = "shot"), $Q128, 1), Factor!$BQ$5:$BX$51, _xlpm.기본_색인번호, 0),
_xlpm.상태이상탄환생성위치보정치, IF($G128 = "debuff", VLOOKUP($R128, Factor!$K$18:$R$19, _xlpm.기본_색인번호, 0),1),
_xlpm.상태이상탄환형태보정치, IF($G128 = "debuff", VLOOKUP($S128, Factor!$K$24:$R$25, _xlpm.기본_색인번호, 0),1),
_xlpm.가격보정치, INDEX(Factor!$AE$5:$AL$51, _xlfn.XMATCH($F128,Factor!$AE$5:$AE$51, -1), _xlpm.기본_색인번호),
_xlpm.구경보정치, VLOOKUP($D128,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</row>
    <row r="129" spans="1:33" ht="15.75" customHeight="1">
      <c r="A129" s="24" t="str">
        <f>"weapon_"&amp;G129&amp;"_"&amp;VLOOKUP(H129, Factor!$T$5:$AB$7, 9, 0)&amp;"_"&amp;IF(COUNTIFS($G$4:G128, G129, $H$4:H128, H129)+1&gt;=100, COUNTIFS($G$4:G128, G129, $H$4:H128, H129)+1,IF(COUNTIFS($G$4:G128, G129, $H$4:H128, H129)+1&gt;=10, "0"&amp;COUNTIFS($G$4:G128, G129, $H$4:H128, H129)+1, "00"&amp;COUNTIFS($G$4:G128, G129, $H$4:H128, H129)+1))</f>
        <v>weapon_blast_Am_015</v>
      </c>
      <c r="B129" s="36" t="str">
        <f>C129&amp;" "&amp;IF(D129 = "none","", D129)&amp;E129</f>
        <v>T7 20mm유탄 포탑</v>
      </c>
      <c r="C129" s="36" t="s">
        <v>254</v>
      </c>
      <c r="D129" s="36" t="s">
        <v>261</v>
      </c>
      <c r="E129" s="36" t="s">
        <v>277</v>
      </c>
      <c r="F129" s="25">
        <f>VLOOKUP(C129, Factor!$AD$5:$AE$15, 2, 0)</f>
        <v>7000</v>
      </c>
      <c r="G129" s="26" t="str">
        <f>VLOOKUP(E129, Factor!$CL$5:$CV$50, 2, 0)</f>
        <v>blast</v>
      </c>
      <c r="H129" s="25" t="str">
        <f>VLOOKUP(E129, Factor!$CL$5:$CV$50, 3, 0)</f>
        <v>ammo</v>
      </c>
      <c r="I129" s="25" t="str">
        <f>VLOOKUP(E129, Factor!$CL$5:$CV$50, 4, 0)</f>
        <v>L</v>
      </c>
      <c r="J129" s="25" t="str">
        <f>VLOOKUP(E129, Factor!$CL$5:$CV$50, 5, 0)</f>
        <v>spread</v>
      </c>
      <c r="K129" s="25">
        <v>1</v>
      </c>
      <c r="L129" s="25">
        <f>VLOOKUP(E129, Factor!$CL$5:$CV$50, 6, 0)*K129*VLOOKUP(D129, Factor!$BZ$5:$CJ$49, 9, 0)</f>
        <v>5</v>
      </c>
      <c r="M129" s="25" t="str">
        <f>VLOOKUP(E129, Factor!$CL$5:$CV$50, 7, 0)</f>
        <v>null</v>
      </c>
      <c r="N129" s="25">
        <v>1</v>
      </c>
      <c r="O129" s="25">
        <f>VLOOKUP(E129, Factor!$CL$5:$CV$50, 8, 0)*N129*VLOOKUP(D129, Factor!$BZ$5:$CJ$49, 10, 0)</f>
        <v>0</v>
      </c>
      <c r="P129" s="25">
        <v>1</v>
      </c>
      <c r="Q129" s="25">
        <f>VLOOKUP(E129, Factor!$CL$5:$CV$50, 9, 0)*P129*VLOOKUP(D129, Factor!$BZ$5:$CJ$49, 11, 0)</f>
        <v>5</v>
      </c>
      <c r="R129" s="25" t="str">
        <f>VLOOKUP(E129, Factor!$CL$5:$CV$50, 10, 0)</f>
        <v>null</v>
      </c>
      <c r="S129" s="25" t="str">
        <f>VLOOKUP(E129, Factor!$CL$5:$CV$50, 11, 0)</f>
        <v>null</v>
      </c>
      <c r="T129" s="25">
        <v>1</v>
      </c>
      <c r="U129" s="25">
        <v>1</v>
      </c>
      <c r="V129" s="25">
        <v>1</v>
      </c>
      <c r="W129" s="25">
        <v>1</v>
      </c>
      <c r="X129" s="25">
        <v>1</v>
      </c>
      <c r="Y129" s="25">
        <v>1</v>
      </c>
      <c r="Z129" s="25">
        <v>1</v>
      </c>
      <c r="AA129" s="25" cm="1">
        <f t="array" ref="AA129">_xlfn.LET(_xlpm.기본_색인번호, 2,
_xlpm.추가_색인번호, 3,
_xlpm.개별보정치, T129,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129" s="25" cm="1">
        <f t="array" ref="AB129">_xlfn.LET(_xlpm.기본_색인번호, 3,
_xlpm.추가_색인번호, 4,
_xlpm.개별보정치, U129,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29" s="25" cm="1">
        <f t="array" ref="AC129">_xlfn.LET(_xlpm.기본_색인번호, 4,
_xlpm.추가_색인번호, 5,
_xlpm.개별보정치, V129,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29" s="25" cm="1">
        <f t="array" ref="AD129">_xlfn.LET(_xlpm.기본_색인번호, 5,
_xlpm.추가_색인번호, 6,
_xlpm.개별보정치, W129,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E129" s="25" cm="1">
        <f t="array" ref="AE129">_xlfn.LET(_xlpm.기본_색인번호, 6,
_xlpm.추가_색인번호, 7,
_xlpm.개별보정치, X129,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F129" s="25" cm="1">
        <f t="array" ref="AF129">_xlfn.LET(_xlpm.기본_색인번호, 7,
_xlpm.추가_색인번호, 8,
_xlpm.개별보정치, Y129,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29" s="27" cm="1">
        <f t="array" ref="AG129">_xlfn.LET(_xlpm.기본_색인번호, 8,
_xlpm.추가_색인번호, 9,
_xlpm.개별보정치, Z129,
_xlpm.패턴보정치, VLOOKUP($G129, Factor!$B$5:$I$51, _xlpm.기본_색인번호, 0),
_xlpm.소모탄환보정치, VLOOKUP($H129, Factor!$T$5:$AA$51, _xlpm.기본_색인번호, 0),
_xlpm.지형보정치, VLOOKUP($I129, Factor!$K$12:$R$13, _xlpm.기본_색인번호, 0),
_xlpm.공격속성보정치, VLOOKUP($J129, Factor!$K$5:$R$7, _xlpm.기본_색인번호, 0),
_xlpm.피해범위보정치, INDEX(Factor!$AN$5:$AV$51, _xlfn.XMATCH(IF(OR($G129="blast", $G129="curved",  $G129= "debuff"), $L129, 0), Factor!$AN$5:$AN$51, -1), _xlpm.추가_색인번호)-IF(AND(OR($G129="blast", $G129="curved", $G129= "debuff"), MOD($L129,1)&lt;&gt;0),INDEX(Factor!$AN$5:$AV$51, _xlfn.XMATCH(IF(OR($G129="blast", $G129="curved", $G129= "debuff"), $L129, 0), Factor!$AN$5:$AN$51, -1), 2)*MOD($L129,1)*10,0),
_xlpm.상태이상보정치, VLOOKUP(IF($G129 = "debuff", $M129, "null"), Factor!$AX$5:$BE$51, _xlpm.기본_색인번호, 0),
_xlpm.지속시간보정치, INDEX(Factor!$BG$5:$BO$51, _xlfn.XMATCH(IF(OR($G129 ="debuff", $G129 = "shot", $G129 = "pierce"), $O129, 0), Factor!$BG$5:$BG$51, -1), _xlpm.추가_색인번호)-IF(AND(OR($G129 ="debuff", $G129 = "shot", $G129 = "pierce"), MOD($O129, 1)&lt;&gt;0), 10*MOD($O129, 1)*INDEX(Factor!$BG$5:$BO$51, _xlfn.XMATCH(IF(OR($G129 ="debuff", $G129 = "shot", $G129 = "pierce"), $O129, 0), Factor!$BG$5:$BG$51, -1), 2), 0),
_xlpm.탄환개수보정치, VLOOKUP(IF(OR($G129 = "curved", $G129 = "shot"), $Q129, 1), Factor!$BQ$5:$BX$51, _xlpm.기본_색인번호, 0),
_xlpm.상태이상탄환생성위치보정치, IF($G129 = "debuff", VLOOKUP($R129, Factor!$K$18:$R$19, _xlpm.기본_색인번호, 0),1),
_xlpm.상태이상탄환형태보정치, IF($G129 = "debuff", VLOOKUP($S129, Factor!$K$24:$R$25, _xlpm.기본_색인번호, 0),1),
_xlpm.가격보정치, INDEX(Factor!$AE$5:$AL$51, _xlfn.XMATCH($F129,Factor!$AE$5:$AE$51, -1), _xlpm.기본_색인번호),
_xlpm.구경보정치, VLOOKUP($D129,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</row>
    <row r="130" spans="1:33" ht="15.75" customHeight="1">
      <c r="A130" s="28" t="str">
        <f>"weapon_"&amp;G130&amp;"_"&amp;VLOOKUP(H130, Factor!$T$5:$AB$7, 9, 0)&amp;"_"&amp;IF(COUNTIFS($G$4:G129, G130, $H$4:H129, H130)+1&gt;=100, COUNTIFS($G$4:G129, G130, $H$4:H129, H130)+1,IF(COUNTIFS($G$4:G129, G130, $H$4:H129, H130)+1&gt;=10, "0"&amp;COUNTIFS($G$4:G129, G130, $H$4:H129, H130)+1, "00"&amp;COUNTIFS($G$4:G129, G130, $H$4:H129, H130)+1))</f>
        <v>weapon_blast_Am_016</v>
      </c>
      <c r="B130" s="37" t="str">
        <f>C130&amp;" "&amp;IF(D130 = "none","", D130)&amp;E130</f>
        <v>T7 40mm유탄 포탑</v>
      </c>
      <c r="C130" s="37" t="s">
        <v>254</v>
      </c>
      <c r="D130" s="37" t="s">
        <v>269</v>
      </c>
      <c r="E130" s="37" t="s">
        <v>277</v>
      </c>
      <c r="F130" s="29">
        <f>VLOOKUP(C130, Factor!$AD$5:$AE$15, 2, 0)</f>
        <v>7000</v>
      </c>
      <c r="G130" s="29" t="str">
        <f>VLOOKUP(E130, Factor!$CL$5:$CV$50, 2, 0)</f>
        <v>blast</v>
      </c>
      <c r="H130" s="29" t="str">
        <f>VLOOKUP(E130, Factor!$CL$5:$CV$50, 3, 0)</f>
        <v>ammo</v>
      </c>
      <c r="I130" s="29" t="str">
        <f>VLOOKUP(E130, Factor!$CL$5:$CV$50, 4, 0)</f>
        <v>L</v>
      </c>
      <c r="J130" s="29" t="str">
        <f>VLOOKUP(E130, Factor!$CL$5:$CV$50, 5, 0)</f>
        <v>spread</v>
      </c>
      <c r="K130" s="29">
        <v>1</v>
      </c>
      <c r="L130" s="29">
        <f>VLOOKUP(E130, Factor!$CL$5:$CV$50, 6, 0)*K130*VLOOKUP(D130, Factor!$BZ$5:$CJ$49, 9, 0)</f>
        <v>6</v>
      </c>
      <c r="M130" s="29" t="str">
        <f>VLOOKUP(E130, Factor!$CL$5:$CV$50, 7, 0)</f>
        <v>null</v>
      </c>
      <c r="N130" s="29">
        <v>1</v>
      </c>
      <c r="O130" s="29">
        <f>VLOOKUP(E130, Factor!$CL$5:$CV$50, 8, 0)*N130*VLOOKUP(D130, Factor!$BZ$5:$CJ$49, 10, 0)</f>
        <v>0</v>
      </c>
      <c r="P130" s="29">
        <v>1</v>
      </c>
      <c r="Q130" s="29">
        <f>VLOOKUP(E130, Factor!$CL$5:$CV$50, 9, 0)*P130*VLOOKUP(D130, Factor!$BZ$5:$CJ$49, 11, 0)</f>
        <v>6</v>
      </c>
      <c r="R130" s="29" t="str">
        <f>VLOOKUP(E130, Factor!$CL$5:$CV$50, 10, 0)</f>
        <v>null</v>
      </c>
      <c r="S130" s="29" t="str">
        <f>VLOOKUP(E130, Factor!$CL$5:$CV$50, 11, 0)</f>
        <v>null</v>
      </c>
      <c r="T130" s="29">
        <v>1</v>
      </c>
      <c r="U130" s="29">
        <v>1</v>
      </c>
      <c r="V130" s="29">
        <v>1</v>
      </c>
      <c r="W130" s="29">
        <v>1</v>
      </c>
      <c r="X130" s="29">
        <v>1</v>
      </c>
      <c r="Y130" s="29">
        <v>1</v>
      </c>
      <c r="Z130" s="29">
        <v>1</v>
      </c>
      <c r="AA130" s="29" cm="1">
        <f t="array" ref="AA130">_xlfn.LET(_xlpm.기본_색인번호, 2,
_xlpm.추가_색인번호, 3,
_xlpm.개별보정치, T130,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130" s="29" cm="1">
        <f t="array" ref="AB130">_xlfn.LET(_xlpm.기본_색인번호, 3,
_xlpm.추가_색인번호, 4,
_xlpm.개별보정치, U130,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30" s="29" cm="1">
        <f t="array" ref="AC130">_xlfn.LET(_xlpm.기본_색인번호, 4,
_xlpm.추가_색인번호, 5,
_xlpm.개별보정치, V130,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0" s="29" cm="1">
        <f t="array" ref="AD130">_xlfn.LET(_xlpm.기본_색인번호, 5,
_xlpm.추가_색인번호, 6,
_xlpm.개별보정치, W130,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E130" s="29" cm="1">
        <f t="array" ref="AE130">_xlfn.LET(_xlpm.기본_색인번호, 6,
_xlpm.추가_색인번호, 7,
_xlpm.개별보정치, X130,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F130" s="29" cm="1">
        <f t="array" ref="AF130">_xlfn.LET(_xlpm.기본_색인번호, 7,
_xlpm.추가_색인번호, 8,
_xlpm.개별보정치, Y130,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0" s="30" cm="1">
        <f t="array" ref="AG130">_xlfn.LET(_xlpm.기본_색인번호, 8,
_xlpm.추가_색인번호, 9,
_xlpm.개별보정치, Z130,
_xlpm.패턴보정치, VLOOKUP($G130, Factor!$B$5:$I$51, _xlpm.기본_색인번호, 0),
_xlpm.소모탄환보정치, VLOOKUP($H130, Factor!$T$5:$AA$51, _xlpm.기본_색인번호, 0),
_xlpm.지형보정치, VLOOKUP($I130, Factor!$K$12:$R$13, _xlpm.기본_색인번호, 0),
_xlpm.공격속성보정치, VLOOKUP($J130, Factor!$K$5:$R$7, _xlpm.기본_색인번호, 0),
_xlpm.피해범위보정치, INDEX(Factor!$AN$5:$AV$51, _xlfn.XMATCH(IF(OR($G130="blast", $G130="curved",  $G130= "debuff"), $L130, 0), Factor!$AN$5:$AN$51, -1), _xlpm.추가_색인번호)-IF(AND(OR($G130="blast", $G130="curved", $G130= "debuff"), MOD($L130,1)&lt;&gt;0),INDEX(Factor!$AN$5:$AV$51, _xlfn.XMATCH(IF(OR($G130="blast", $G130="curved", $G130= "debuff"), $L130, 0), Factor!$AN$5:$AN$51, -1), 2)*MOD($L130,1)*10,0),
_xlpm.상태이상보정치, VLOOKUP(IF($G130 = "debuff", $M130, "null"), Factor!$AX$5:$BE$51, _xlpm.기본_색인번호, 0),
_xlpm.지속시간보정치, INDEX(Factor!$BG$5:$BO$51, _xlfn.XMATCH(IF(OR($G130 ="debuff", $G130 = "shot", $G130 = "pierce"), $O130, 0), Factor!$BG$5:$BG$51, -1), _xlpm.추가_색인번호)-IF(AND(OR($G130 ="debuff", $G130 = "shot", $G130 = "pierce"), MOD($O130, 1)&lt;&gt;0), 10*MOD($O130, 1)*INDEX(Factor!$BG$5:$BO$51, _xlfn.XMATCH(IF(OR($G130 ="debuff", $G130 = "shot", $G130 = "pierce"), $O130, 0), Factor!$BG$5:$BG$51, -1), 2), 0),
_xlpm.탄환개수보정치, VLOOKUP(IF(OR($G130 = "curved", $G130 = "shot"), $Q130, 1), Factor!$BQ$5:$BX$51, _xlpm.기본_색인번호, 0),
_xlpm.상태이상탄환생성위치보정치, IF($G130 = "debuff", VLOOKUP($R130, Factor!$K$18:$R$19, _xlpm.기본_색인번호, 0),1),
_xlpm.상태이상탄환형태보정치, IF($G130 = "debuff", VLOOKUP($S130, Factor!$K$24:$R$25, _xlpm.기본_색인번호, 0),1),
_xlpm.가격보정치, INDEX(Factor!$AE$5:$AL$51, _xlfn.XMATCH($F130,Factor!$AE$5:$AE$51, -1), _xlpm.기본_색인번호),
_xlpm.구경보정치, VLOOKUP($D130,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</row>
    <row r="131" spans="1:33" ht="15.75" customHeight="1">
      <c r="A131" s="24" t="str">
        <f>"weapon_"&amp;G131&amp;"_"&amp;VLOOKUP(H131, Factor!$T$5:$AB$7, 9, 0)&amp;"_"&amp;IF(COUNTIFS($G$4:G130, G131, $H$4:H130, H131)+1&gt;=100, COUNTIFS($G$4:G130, G131, $H$4:H130, H131)+1,IF(COUNTIFS($G$4:G130, G131, $H$4:H130, H131)+1&gt;=10, "0"&amp;COUNTIFS($G$4:G130, G131, $H$4:H130, H131)+1, "00"&amp;COUNTIFS($G$4:G130, G131, $H$4:H130, H131)+1))</f>
        <v>weapon_blast_Am_017</v>
      </c>
      <c r="B131" s="36" t="str">
        <f>C131&amp;" "&amp;IF(D131 = "none","", D131)&amp;E131</f>
        <v>T8 20mm유탄 포탑</v>
      </c>
      <c r="C131" s="36" t="s">
        <v>255</v>
      </c>
      <c r="D131" s="36" t="s">
        <v>261</v>
      </c>
      <c r="E131" s="36" t="s">
        <v>277</v>
      </c>
      <c r="F131" s="25">
        <f>VLOOKUP(C131, Factor!$AD$5:$AE$15, 2, 0)</f>
        <v>8000</v>
      </c>
      <c r="G131" s="26" t="str">
        <f>VLOOKUP(E131, Factor!$CL$5:$CV$50, 2, 0)</f>
        <v>blast</v>
      </c>
      <c r="H131" s="25" t="str">
        <f>VLOOKUP(E131, Factor!$CL$5:$CV$50, 3, 0)</f>
        <v>ammo</v>
      </c>
      <c r="I131" s="25" t="str">
        <f>VLOOKUP(E131, Factor!$CL$5:$CV$50, 4, 0)</f>
        <v>L</v>
      </c>
      <c r="J131" s="25" t="str">
        <f>VLOOKUP(E131, Factor!$CL$5:$CV$50, 5, 0)</f>
        <v>spread</v>
      </c>
      <c r="K131" s="25">
        <v>1</v>
      </c>
      <c r="L131" s="25">
        <f>VLOOKUP(E131, Factor!$CL$5:$CV$50, 6, 0)*K131*VLOOKUP(D131, Factor!$BZ$5:$CJ$49, 9, 0)</f>
        <v>5</v>
      </c>
      <c r="M131" s="25" t="str">
        <f>VLOOKUP(E131, Factor!$CL$5:$CV$50, 7, 0)</f>
        <v>null</v>
      </c>
      <c r="N131" s="25">
        <v>1</v>
      </c>
      <c r="O131" s="25">
        <f>VLOOKUP(E131, Factor!$CL$5:$CV$50, 8, 0)*N131*VLOOKUP(D131, Factor!$BZ$5:$CJ$49, 10, 0)</f>
        <v>0</v>
      </c>
      <c r="P131" s="25">
        <v>1</v>
      </c>
      <c r="Q131" s="25">
        <f>VLOOKUP(E131, Factor!$CL$5:$CV$50, 9, 0)*P131*VLOOKUP(D131, Factor!$BZ$5:$CJ$49, 11, 0)</f>
        <v>5</v>
      </c>
      <c r="R131" s="25" t="str">
        <f>VLOOKUP(E131, Factor!$CL$5:$CV$50, 10, 0)</f>
        <v>null</v>
      </c>
      <c r="S131" s="25" t="str">
        <f>VLOOKUP(E131, Factor!$CL$5:$CV$50, 11, 0)</f>
        <v>null</v>
      </c>
      <c r="T131" s="25">
        <v>1</v>
      </c>
      <c r="U131" s="25">
        <v>1</v>
      </c>
      <c r="V131" s="25">
        <v>1</v>
      </c>
      <c r="W131" s="25">
        <v>1</v>
      </c>
      <c r="X131" s="25">
        <v>1</v>
      </c>
      <c r="Y131" s="25">
        <v>1</v>
      </c>
      <c r="Z131" s="25">
        <v>1</v>
      </c>
      <c r="AA131" s="25" cm="1">
        <f t="array" ref="AA131">_xlfn.LET(_xlpm.기본_색인번호, 2,
_xlpm.추가_색인번호, 3,
_xlpm.개별보정치, T131,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B131" s="25" cm="1">
        <f t="array" ref="AB131">_xlfn.LET(_xlpm.기본_색인번호, 3,
_xlpm.추가_색인번호, 4,
_xlpm.개별보정치, U131,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31" s="25" cm="1">
        <f t="array" ref="AC131">_xlfn.LET(_xlpm.기본_색인번호, 4,
_xlpm.추가_색인번호, 5,
_xlpm.개별보정치, V131,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1" s="25" cm="1">
        <f t="array" ref="AD131">_xlfn.LET(_xlpm.기본_색인번호, 5,
_xlpm.추가_색인번호, 6,
_xlpm.개별보정치, W131,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  <c r="AE131" s="25" cm="1">
        <f t="array" ref="AE131">_xlfn.LET(_xlpm.기본_색인번호, 6,
_xlpm.추가_색인번호, 7,
_xlpm.개별보정치, X131,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  <c r="AF131" s="25" cm="1">
        <f t="array" ref="AF131">_xlfn.LET(_xlpm.기본_색인번호, 7,
_xlpm.추가_색인번호, 8,
_xlpm.개별보정치, Y131,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1" s="27" cm="1">
        <f t="array" ref="AG131">_xlfn.LET(_xlpm.기본_색인번호, 8,
_xlpm.추가_색인번호, 9,
_xlpm.개별보정치, Z131,
_xlpm.패턴보정치, VLOOKUP($G131, Factor!$B$5:$I$51, _xlpm.기본_색인번호, 0),
_xlpm.소모탄환보정치, VLOOKUP($H131, Factor!$T$5:$AA$51, _xlpm.기본_색인번호, 0),
_xlpm.지형보정치, VLOOKUP($I131, Factor!$K$12:$R$13, _xlpm.기본_색인번호, 0),
_xlpm.공격속성보정치, VLOOKUP($J131, Factor!$K$5:$R$7, _xlpm.기본_색인번호, 0),
_xlpm.피해범위보정치, INDEX(Factor!$AN$5:$AV$51, _xlfn.XMATCH(IF(OR($G131="blast", $G131="curved",  $G131= "debuff"), $L131, 0), Factor!$AN$5:$AN$51, -1), _xlpm.추가_색인번호)-IF(AND(OR($G131="blast", $G131="curved", $G131= "debuff"), MOD($L131,1)&lt;&gt;0),INDEX(Factor!$AN$5:$AV$51, _xlfn.XMATCH(IF(OR($G131="blast", $G131="curved", $G131= "debuff"), $L131, 0), Factor!$AN$5:$AN$51, -1), 2)*MOD($L131,1)*10,0),
_xlpm.상태이상보정치, VLOOKUP(IF($G131 = "debuff", $M131, "null"), Factor!$AX$5:$BE$51, _xlpm.기본_색인번호, 0),
_xlpm.지속시간보정치, INDEX(Factor!$BG$5:$BO$51, _xlfn.XMATCH(IF(OR($G131 ="debuff", $G131 = "shot", $G131 = "pierce"), $O131, 0), Factor!$BG$5:$BG$51, -1), _xlpm.추가_색인번호)-IF(AND(OR($G131 ="debuff", $G131 = "shot", $G131 = "pierce"), MOD($O131, 1)&lt;&gt;0), 10*MOD($O131, 1)*INDEX(Factor!$BG$5:$BO$51, _xlfn.XMATCH(IF(OR($G131 ="debuff", $G131 = "shot", $G131 = "pierce"), $O131, 0), Factor!$BG$5:$BG$51, -1), 2), 0),
_xlpm.탄환개수보정치, VLOOKUP(IF(OR($G131 = "curved", $G131 = "shot"), $Q131, 1), Factor!$BQ$5:$BX$51, _xlpm.기본_색인번호, 0),
_xlpm.상태이상탄환생성위치보정치, IF($G131 = "debuff", VLOOKUP($R131, Factor!$K$18:$R$19, _xlpm.기본_색인번호, 0),1),
_xlpm.상태이상탄환형태보정치, IF($G131 = "debuff", VLOOKUP($S131, Factor!$K$24:$R$25, _xlpm.기본_색인번호, 0),1),
_xlpm.가격보정치, INDEX(Factor!$AE$5:$AL$51, _xlfn.XMATCH($F131,Factor!$AE$5:$AE$51, -1), _xlpm.기본_색인번호),
_xlpm.구경보정치, VLOOKUP($D131,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</row>
    <row r="132" spans="1:33" ht="15.75" customHeight="1">
      <c r="A132" s="28" t="str">
        <f>"weapon_"&amp;G132&amp;"_"&amp;VLOOKUP(H132, Factor!$T$5:$AB$7, 9, 0)&amp;"_"&amp;IF(COUNTIFS($G$4:G131, G132, $H$4:H131, H132)+1&gt;=100, COUNTIFS($G$4:G131, G132, $H$4:H131, H132)+1,IF(COUNTIFS($G$4:G131, G132, $H$4:H131, H132)+1&gt;=10, "0"&amp;COUNTIFS($G$4:G131, G132, $H$4:H131, H132)+1, "00"&amp;COUNTIFS($G$4:G131, G132, $H$4:H131, H132)+1))</f>
        <v>weapon_blast_Am_018</v>
      </c>
      <c r="B132" s="37" t="str">
        <f>C132&amp;" "&amp;IF(D132 = "none","", D132)&amp;E132</f>
        <v>T8 40mm유탄 포탑</v>
      </c>
      <c r="C132" s="37" t="s">
        <v>255</v>
      </c>
      <c r="D132" s="37" t="s">
        <v>269</v>
      </c>
      <c r="E132" s="37" t="s">
        <v>277</v>
      </c>
      <c r="F132" s="29">
        <f>VLOOKUP(C132, Factor!$AD$5:$AE$15, 2, 0)</f>
        <v>8000</v>
      </c>
      <c r="G132" s="29" t="str">
        <f>VLOOKUP(E132, Factor!$CL$5:$CV$50, 2, 0)</f>
        <v>blast</v>
      </c>
      <c r="H132" s="29" t="str">
        <f>VLOOKUP(E132, Factor!$CL$5:$CV$50, 3, 0)</f>
        <v>ammo</v>
      </c>
      <c r="I132" s="29" t="str">
        <f>VLOOKUP(E132, Factor!$CL$5:$CV$50, 4, 0)</f>
        <v>L</v>
      </c>
      <c r="J132" s="29" t="str">
        <f>VLOOKUP(E132, Factor!$CL$5:$CV$50, 5, 0)</f>
        <v>spread</v>
      </c>
      <c r="K132" s="29">
        <v>1</v>
      </c>
      <c r="L132" s="29">
        <f>VLOOKUP(E132, Factor!$CL$5:$CV$50, 6, 0)*K132*VLOOKUP(D132, Factor!$BZ$5:$CJ$49, 9, 0)</f>
        <v>6</v>
      </c>
      <c r="M132" s="29" t="str">
        <f>VLOOKUP(E132, Factor!$CL$5:$CV$50, 7, 0)</f>
        <v>null</v>
      </c>
      <c r="N132" s="29">
        <v>1</v>
      </c>
      <c r="O132" s="29">
        <f>VLOOKUP(E132, Factor!$CL$5:$CV$50, 8, 0)*N132*VLOOKUP(D132, Factor!$BZ$5:$CJ$49, 10, 0)</f>
        <v>0</v>
      </c>
      <c r="P132" s="29">
        <v>1</v>
      </c>
      <c r="Q132" s="29">
        <f>VLOOKUP(E132, Factor!$CL$5:$CV$50, 9, 0)*P132*VLOOKUP(D132, Factor!$BZ$5:$CJ$49, 11, 0)</f>
        <v>6</v>
      </c>
      <c r="R132" s="29" t="str">
        <f>VLOOKUP(E132, Factor!$CL$5:$CV$50, 10, 0)</f>
        <v>null</v>
      </c>
      <c r="S132" s="29" t="str">
        <f>VLOOKUP(E132, Factor!$CL$5:$CV$50, 11, 0)</f>
        <v>null</v>
      </c>
      <c r="T132" s="29">
        <v>1</v>
      </c>
      <c r="U132" s="29">
        <v>1</v>
      </c>
      <c r="V132" s="29">
        <v>1</v>
      </c>
      <c r="W132" s="29">
        <v>1</v>
      </c>
      <c r="X132" s="29">
        <v>1</v>
      </c>
      <c r="Y132" s="29">
        <v>1</v>
      </c>
      <c r="Z132" s="29">
        <v>1</v>
      </c>
      <c r="AA132" s="29" cm="1">
        <f t="array" ref="AA132">_xlfn.LET(_xlpm.기본_색인번호, 2,
_xlpm.추가_색인번호, 3,
_xlpm.개별보정치, T132,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B132" s="29" cm="1">
        <f t="array" ref="AB132">_xlfn.LET(_xlpm.기본_색인번호, 3,
_xlpm.추가_색인번호, 4,
_xlpm.개별보정치, U132,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C132" s="29" cm="1">
        <f t="array" ref="AC132">_xlfn.LET(_xlpm.기본_색인번호, 4,
_xlpm.추가_색인번호, 5,
_xlpm.개별보정치, V132,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2" s="29" cm="1">
        <f t="array" ref="AD132">_xlfn.LET(_xlpm.기본_색인번호, 5,
_xlpm.추가_색인번호, 6,
_xlpm.개별보정치, W132,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  <c r="AE132" s="29" cm="1">
        <f t="array" ref="AE132">_xlfn.LET(_xlpm.기본_색인번호, 6,
_xlpm.추가_색인번호, 7,
_xlpm.개별보정치, X132,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  <c r="AF132" s="29" cm="1">
        <f t="array" ref="AF132">_xlfn.LET(_xlpm.기본_색인번호, 7,
_xlpm.추가_색인번호, 8,
_xlpm.개별보정치, Y132,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2" s="30" cm="1">
        <f t="array" ref="AG132">_xlfn.LET(_xlpm.기본_색인번호, 8,
_xlpm.추가_색인번호, 9,
_xlpm.개별보정치, Z132,
_xlpm.패턴보정치, VLOOKUP($G132, Factor!$B$5:$I$51, _xlpm.기본_색인번호, 0),
_xlpm.소모탄환보정치, VLOOKUP($H132, Factor!$T$5:$AA$51, _xlpm.기본_색인번호, 0),
_xlpm.지형보정치, VLOOKUP($I132, Factor!$K$12:$R$13, _xlpm.기본_색인번호, 0),
_xlpm.공격속성보정치, VLOOKUP($J132, Factor!$K$5:$R$7, _xlpm.기본_색인번호, 0),
_xlpm.피해범위보정치, INDEX(Factor!$AN$5:$AV$51, _xlfn.XMATCH(IF(OR($G132="blast", $G132="curved",  $G132= "debuff"), $L132, 0), Factor!$AN$5:$AN$51, -1), _xlpm.추가_색인번호)-IF(AND(OR($G132="blast", $G132="curved", $G132= "debuff"), MOD($L132,1)&lt;&gt;0),INDEX(Factor!$AN$5:$AV$51, _xlfn.XMATCH(IF(OR($G132="blast", $G132="curved", $G132= "debuff"), $L132, 0), Factor!$AN$5:$AN$51, -1), 2)*MOD($L132,1)*10,0),
_xlpm.상태이상보정치, VLOOKUP(IF($G132 = "debuff", $M132, "null"), Factor!$AX$5:$BE$51, _xlpm.기본_색인번호, 0),
_xlpm.지속시간보정치, INDEX(Factor!$BG$5:$BO$51, _xlfn.XMATCH(IF(OR($G132 ="debuff", $G132 = "shot", $G132 = "pierce"), $O132, 0), Factor!$BG$5:$BG$51, -1), _xlpm.추가_색인번호)-IF(AND(OR($G132 ="debuff", $G132 = "shot", $G132 = "pierce"), MOD($O132, 1)&lt;&gt;0), 10*MOD($O132, 1)*INDEX(Factor!$BG$5:$BO$51, _xlfn.XMATCH(IF(OR($G132 ="debuff", $G132 = "shot", $G132 = "pierce"), $O132, 0), Factor!$BG$5:$BG$51, -1), 2), 0),
_xlpm.탄환개수보정치, VLOOKUP(IF(OR($G132 = "curved", $G132 = "shot"), $Q132, 1), Factor!$BQ$5:$BX$51, _xlpm.기본_색인번호, 0),
_xlpm.상태이상탄환생성위치보정치, IF($G132 = "debuff", VLOOKUP($R132, Factor!$K$18:$R$19, _xlpm.기본_색인번호, 0),1),
_xlpm.상태이상탄환형태보정치, IF($G132 = "debuff", VLOOKUP($S132, Factor!$K$24:$R$25, _xlpm.기본_색인번호, 0),1),
_xlpm.가격보정치, INDEX(Factor!$AE$5:$AL$51, _xlfn.XMATCH($F132,Factor!$AE$5:$AE$51, -1), _xlpm.기본_색인번호),
_xlpm.구경보정치, VLOOKUP($D132,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40.5</v>
      </c>
    </row>
    <row r="133" spans="1:33" ht="15.75" customHeight="1">
      <c r="A133" s="24" t="str">
        <f>"weapon_"&amp;G133&amp;"_"&amp;VLOOKUP(H133, Factor!$T$5:$AB$7, 9, 0)&amp;"_"&amp;IF(COUNTIFS($G$4:G132, G133, $H$4:H132, H133)+1&gt;=100, COUNTIFS($G$4:G132, G133, $H$4:H132, H133)+1,IF(COUNTIFS($G$4:G132, G133, $H$4:H132, H133)+1&gt;=10, "0"&amp;COUNTIFS($G$4:G132, G133, $H$4:H132, H133)+1, "00"&amp;COUNTIFS($G$4:G132, G133, $H$4:H132, H133)+1))</f>
        <v>weapon_blast_Am_019</v>
      </c>
      <c r="B133" s="36" t="str">
        <f>C133&amp;" "&amp;IF(D133 = "none","", D133)&amp;E133</f>
        <v>T9 20mm유탄 포탑</v>
      </c>
      <c r="C133" s="36" t="s">
        <v>256</v>
      </c>
      <c r="D133" s="36" t="s">
        <v>261</v>
      </c>
      <c r="E133" s="36" t="s">
        <v>277</v>
      </c>
      <c r="F133" s="25">
        <f>VLOOKUP(C133, Factor!$AD$5:$AE$15, 2, 0)</f>
        <v>9000</v>
      </c>
      <c r="G133" s="26" t="str">
        <f>VLOOKUP(E133, Factor!$CL$5:$CV$50, 2, 0)</f>
        <v>blast</v>
      </c>
      <c r="H133" s="25" t="str">
        <f>VLOOKUP(E133, Factor!$CL$5:$CV$50, 3, 0)</f>
        <v>ammo</v>
      </c>
      <c r="I133" s="25" t="str">
        <f>VLOOKUP(E133, Factor!$CL$5:$CV$50, 4, 0)</f>
        <v>L</v>
      </c>
      <c r="J133" s="25" t="str">
        <f>VLOOKUP(E133, Factor!$CL$5:$CV$50, 5, 0)</f>
        <v>spread</v>
      </c>
      <c r="K133" s="25">
        <v>1</v>
      </c>
      <c r="L133" s="25">
        <f>VLOOKUP(E133, Factor!$CL$5:$CV$50, 6, 0)*K133*VLOOKUP(D133, Factor!$BZ$5:$CJ$49, 9, 0)</f>
        <v>5</v>
      </c>
      <c r="M133" s="25" t="str">
        <f>VLOOKUP(E133, Factor!$CL$5:$CV$50, 7, 0)</f>
        <v>null</v>
      </c>
      <c r="N133" s="25">
        <v>1</v>
      </c>
      <c r="O133" s="25">
        <f>VLOOKUP(E133, Factor!$CL$5:$CV$50, 8, 0)*N133*VLOOKUP(D133, Factor!$BZ$5:$CJ$49, 10, 0)</f>
        <v>0</v>
      </c>
      <c r="P133" s="25">
        <v>1</v>
      </c>
      <c r="Q133" s="25">
        <f>VLOOKUP(E133, Factor!$CL$5:$CV$50, 9, 0)*P133*VLOOKUP(D133, Factor!$BZ$5:$CJ$49, 11, 0)</f>
        <v>5</v>
      </c>
      <c r="R133" s="25" t="str">
        <f>VLOOKUP(E133, Factor!$CL$5:$CV$50, 10, 0)</f>
        <v>null</v>
      </c>
      <c r="S133" s="25" t="str">
        <f>VLOOKUP(E133, Factor!$CL$5:$CV$50, 11, 0)</f>
        <v>null</v>
      </c>
      <c r="T133" s="25">
        <v>1</v>
      </c>
      <c r="U133" s="25">
        <v>1</v>
      </c>
      <c r="V133" s="25">
        <v>1</v>
      </c>
      <c r="W133" s="25">
        <v>1</v>
      </c>
      <c r="X133" s="25">
        <v>1</v>
      </c>
      <c r="Y133" s="25">
        <v>1</v>
      </c>
      <c r="Z133" s="25">
        <v>1</v>
      </c>
      <c r="AA133" s="25" cm="1">
        <f t="array" ref="AA133">_xlfn.LET(_xlpm.기본_색인번호, 2,
_xlpm.추가_색인번호, 3,
_xlpm.개별보정치, T133,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500</v>
      </c>
      <c r="AB133" s="25" cm="1">
        <f t="array" ref="AB133">_xlfn.LET(_xlpm.기본_색인번호, 3,
_xlpm.추가_색인번호, 4,
_xlpm.개별보정치, U133,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C133" s="25" cm="1">
        <f t="array" ref="AC133">_xlfn.LET(_xlpm.기본_색인번호, 4,
_xlpm.추가_색인번호, 5,
_xlpm.개별보정치, V133,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3" s="25" cm="1">
        <f t="array" ref="AD133">_xlfn.LET(_xlpm.기본_색인번호, 5,
_xlpm.추가_색인번호, 6,
_xlpm.개별보정치, W133,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E133" s="25" cm="1">
        <f t="array" ref="AE133">_xlfn.LET(_xlpm.기본_색인번호, 6,
_xlpm.추가_색인번호, 7,
_xlpm.개별보정치, X133,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F133" s="25" cm="1">
        <f t="array" ref="AF133">_xlfn.LET(_xlpm.기본_색인번호, 7,
_xlpm.추가_색인번호, 8,
_xlpm.개별보정치, Y133,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3" s="27" cm="1">
        <f t="array" ref="AG133">_xlfn.LET(_xlpm.기본_색인번호, 8,
_xlpm.추가_색인번호, 9,
_xlpm.개별보정치, Z133,
_xlpm.패턴보정치, VLOOKUP($G133, Factor!$B$5:$I$51, _xlpm.기본_색인번호, 0),
_xlpm.소모탄환보정치, VLOOKUP($H133, Factor!$T$5:$AA$51, _xlpm.기본_색인번호, 0),
_xlpm.지형보정치, VLOOKUP($I133, Factor!$K$12:$R$13, _xlpm.기본_색인번호, 0),
_xlpm.공격속성보정치, VLOOKUP($J133, Factor!$K$5:$R$7, _xlpm.기본_색인번호, 0),
_xlpm.피해범위보정치, INDEX(Factor!$AN$5:$AV$51, _xlfn.XMATCH(IF(OR($G133="blast", $G133="curved",  $G133= "debuff"), $L133, 0), Factor!$AN$5:$AN$51, -1), _xlpm.추가_색인번호)-IF(AND(OR($G133="blast", $G133="curved", $G133= "debuff"), MOD($L133,1)&lt;&gt;0),INDEX(Factor!$AN$5:$AV$51, _xlfn.XMATCH(IF(OR($G133="blast", $G133="curved", $G133= "debuff"), $L133, 0), Factor!$AN$5:$AN$51, -1), 2)*MOD($L133,1)*10,0),
_xlpm.상태이상보정치, VLOOKUP(IF($G133 = "debuff", $M133, "null"), Factor!$AX$5:$BE$51, _xlpm.기본_색인번호, 0),
_xlpm.지속시간보정치, INDEX(Factor!$BG$5:$BO$51, _xlfn.XMATCH(IF(OR($G133 ="debuff", $G133 = "shot", $G133 = "pierce"), $O133, 0), Factor!$BG$5:$BG$51, -1), _xlpm.추가_색인번호)-IF(AND(OR($G133 ="debuff", $G133 = "shot", $G133 = "pierce"), MOD($O133, 1)&lt;&gt;0), 10*MOD($O133, 1)*INDEX(Factor!$BG$5:$BO$51, _xlfn.XMATCH(IF(OR($G133 ="debuff", $G133 = "shot", $G133 = "pierce"), $O133, 0), Factor!$BG$5:$BG$51, -1), 2), 0),
_xlpm.탄환개수보정치, VLOOKUP(IF(OR($G133 = "curved", $G133 = "shot"), $Q133, 1), Factor!$BQ$5:$BX$51, _xlpm.기본_색인번호, 0),
_xlpm.상태이상탄환생성위치보정치, IF($G133 = "debuff", VLOOKUP($R133, Factor!$K$18:$R$19, _xlpm.기본_색인번호, 0),1),
_xlpm.상태이상탄환형태보정치, IF($G133 = "debuff", VLOOKUP($S133, Factor!$K$24:$R$25, _xlpm.기본_색인번호, 0),1),
_xlpm.가격보정치, INDEX(Factor!$AE$5:$AL$51, _xlfn.XMATCH($F133,Factor!$AE$5:$AE$51, -1), _xlpm.기본_색인번호),
_xlpm.구경보정치, VLOOKUP($D133,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</row>
    <row r="134" spans="1:33" ht="15.75" customHeight="1">
      <c r="A134" s="28" t="str">
        <f>"weapon_"&amp;G134&amp;"_"&amp;VLOOKUP(H134, Factor!$T$5:$AB$7, 9, 0)&amp;"_"&amp;IF(COUNTIFS($G$4:G133, G134, $H$4:H133, H134)+1&gt;=100, COUNTIFS($G$4:G133, G134, $H$4:H133, H134)+1,IF(COUNTIFS($G$4:G133, G134, $H$4:H133, H134)+1&gt;=10, "0"&amp;COUNTIFS($G$4:G133, G134, $H$4:H133, H134)+1, "00"&amp;COUNTIFS($G$4:G133, G134, $H$4:H133, H134)+1))</f>
        <v>weapon_blast_Am_020</v>
      </c>
      <c r="B134" s="37" t="str">
        <f>C134&amp;" "&amp;IF(D134 = "none","", D134)&amp;E134</f>
        <v>T9 40mm유탄 포탑</v>
      </c>
      <c r="C134" s="37" t="s">
        <v>256</v>
      </c>
      <c r="D134" s="37" t="s">
        <v>269</v>
      </c>
      <c r="E134" s="37" t="s">
        <v>277</v>
      </c>
      <c r="F134" s="29">
        <f>VLOOKUP(C134, Factor!$AD$5:$AE$15, 2, 0)</f>
        <v>9000</v>
      </c>
      <c r="G134" s="29" t="str">
        <f>VLOOKUP(E134, Factor!$CL$5:$CV$50, 2, 0)</f>
        <v>blast</v>
      </c>
      <c r="H134" s="29" t="str">
        <f>VLOOKUP(E134, Factor!$CL$5:$CV$50, 3, 0)</f>
        <v>ammo</v>
      </c>
      <c r="I134" s="29" t="str">
        <f>VLOOKUP(E134, Factor!$CL$5:$CV$50, 4, 0)</f>
        <v>L</v>
      </c>
      <c r="J134" s="29" t="str">
        <f>VLOOKUP(E134, Factor!$CL$5:$CV$50, 5, 0)</f>
        <v>spread</v>
      </c>
      <c r="K134" s="29">
        <v>1</v>
      </c>
      <c r="L134" s="29">
        <f>VLOOKUP(E134, Factor!$CL$5:$CV$50, 6, 0)*K134*VLOOKUP(D134, Factor!$BZ$5:$CJ$49, 9, 0)</f>
        <v>6</v>
      </c>
      <c r="M134" s="29" t="str">
        <f>VLOOKUP(E134, Factor!$CL$5:$CV$50, 7, 0)</f>
        <v>null</v>
      </c>
      <c r="N134" s="29">
        <v>1</v>
      </c>
      <c r="O134" s="29">
        <f>VLOOKUP(E134, Factor!$CL$5:$CV$50, 8, 0)*N134*VLOOKUP(D134, Factor!$BZ$5:$CJ$49, 10, 0)</f>
        <v>0</v>
      </c>
      <c r="P134" s="29">
        <v>1</v>
      </c>
      <c r="Q134" s="29">
        <f>VLOOKUP(E134, Factor!$CL$5:$CV$50, 9, 0)*P134*VLOOKUP(D134, Factor!$BZ$5:$CJ$49, 11, 0)</f>
        <v>6</v>
      </c>
      <c r="R134" s="29" t="str">
        <f>VLOOKUP(E134, Factor!$CL$5:$CV$50, 10, 0)</f>
        <v>null</v>
      </c>
      <c r="S134" s="29" t="str">
        <f>VLOOKUP(E134, Factor!$CL$5:$CV$50, 11, 0)</f>
        <v>null</v>
      </c>
      <c r="T134" s="29">
        <v>1</v>
      </c>
      <c r="U134" s="29">
        <v>1</v>
      </c>
      <c r="V134" s="29">
        <v>1</v>
      </c>
      <c r="W134" s="29">
        <v>1</v>
      </c>
      <c r="X134" s="29">
        <v>1</v>
      </c>
      <c r="Y134" s="29">
        <v>1</v>
      </c>
      <c r="Z134" s="29">
        <v>1</v>
      </c>
      <c r="AA134" s="29" cm="1">
        <f t="array" ref="AA134">_xlfn.LET(_xlpm.기본_색인번호, 2,
_xlpm.추가_색인번호, 3,
_xlpm.개별보정치, T134,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500</v>
      </c>
      <c r="AB134" s="29" cm="1">
        <f t="array" ref="AB134">_xlfn.LET(_xlpm.기본_색인번호, 3,
_xlpm.추가_색인번호, 4,
_xlpm.개별보정치, U134,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C134" s="29" cm="1">
        <f t="array" ref="AC134">_xlfn.LET(_xlpm.기본_색인번호, 4,
_xlpm.추가_색인번호, 5,
_xlpm.개별보정치, V134,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4" s="29" cm="1">
        <f t="array" ref="AD134">_xlfn.LET(_xlpm.기본_색인번호, 5,
_xlpm.추가_색인번호, 6,
_xlpm.개별보정치, W134,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E134" s="29" cm="1">
        <f t="array" ref="AE134">_xlfn.LET(_xlpm.기본_색인번호, 6,
_xlpm.추가_색인번호, 7,
_xlpm.개별보정치, X134,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F134" s="29" cm="1">
        <f t="array" ref="AF134">_xlfn.LET(_xlpm.기본_색인번호, 7,
_xlpm.추가_색인번호, 8,
_xlpm.개별보정치, Y134,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4" s="30" cm="1">
        <f t="array" ref="AG134">_xlfn.LET(_xlpm.기본_색인번호, 8,
_xlpm.추가_색인번호, 9,
_xlpm.개별보정치, Z134,
_xlpm.패턴보정치, VLOOKUP($G134, Factor!$B$5:$I$51, _xlpm.기본_색인번호, 0),
_xlpm.소모탄환보정치, VLOOKUP($H134, Factor!$T$5:$AA$51, _xlpm.기본_색인번호, 0),
_xlpm.지형보정치, VLOOKUP($I134, Factor!$K$12:$R$13, _xlpm.기본_색인번호, 0),
_xlpm.공격속성보정치, VLOOKUP($J134, Factor!$K$5:$R$7, _xlpm.기본_색인번호, 0),
_xlpm.피해범위보정치, INDEX(Factor!$AN$5:$AV$51, _xlfn.XMATCH(IF(OR($G134="blast", $G134="curved",  $G134= "debuff"), $L134, 0), Factor!$AN$5:$AN$51, -1), _xlpm.추가_색인번호)-IF(AND(OR($G134="blast", $G134="curved", $G134= "debuff"), MOD($L134,1)&lt;&gt;0),INDEX(Factor!$AN$5:$AV$51, _xlfn.XMATCH(IF(OR($G134="blast", $G134="curved", $G134= "debuff"), $L134, 0), Factor!$AN$5:$AN$51, -1), 2)*MOD($L134,1)*10,0),
_xlpm.상태이상보정치, VLOOKUP(IF($G134 = "debuff", $M134, "null"), Factor!$AX$5:$BE$51, _xlpm.기본_색인번호, 0),
_xlpm.지속시간보정치, INDEX(Factor!$BG$5:$BO$51, _xlfn.XMATCH(IF(OR($G134 ="debuff", $G134 = "shot", $G134 = "pierce"), $O134, 0), Factor!$BG$5:$BG$51, -1), _xlpm.추가_색인번호)-IF(AND(OR($G134 ="debuff", $G134 = "shot", $G134 = "pierce"), MOD($O134, 1)&lt;&gt;0), 10*MOD($O134, 1)*INDEX(Factor!$BG$5:$BO$51, _xlfn.XMATCH(IF(OR($G134 ="debuff", $G134 = "shot", $G134 = "pierce"), $O134, 0), Factor!$BG$5:$BG$51, -1), 2), 0),
_xlpm.탄환개수보정치, VLOOKUP(IF(OR($G134 = "curved", $G134 = "shot"), $Q134, 1), Factor!$BQ$5:$BX$51, _xlpm.기본_색인번호, 0),
_xlpm.상태이상탄환생성위치보정치, IF($G134 = "debuff", VLOOKUP($R134, Factor!$K$18:$R$19, _xlpm.기본_색인번호, 0),1),
_xlpm.상태이상탄환형태보정치, IF($G134 = "debuff", VLOOKUP($S134, Factor!$K$24:$R$25, _xlpm.기본_색인번호, 0),1),
_xlpm.가격보정치, INDEX(Factor!$AE$5:$AL$51, _xlfn.XMATCH($F134,Factor!$AE$5:$AE$51, -1), _xlpm.기본_색인번호),
_xlpm.구경보정치, VLOOKUP($D134,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</row>
    <row r="135" spans="1:33" ht="15.75" customHeight="1">
      <c r="A135" s="24" t="str">
        <f>"weapon_"&amp;G135&amp;"_"&amp;VLOOKUP(H135, Factor!$T$5:$AB$7, 9, 0)&amp;"_"&amp;IF(COUNTIFS($G$4:G134, G135, $H$4:H134, H135)+1&gt;=100, COUNTIFS($G$4:G134, G135, $H$4:H134, H135)+1,IF(COUNTIFS($G$4:G134, G135, $H$4:H134, H135)+1&gt;=10, "0"&amp;COUNTIFS($G$4:G134, G135, $H$4:H134, H135)+1, "00"&amp;COUNTIFS($G$4:G134, G135, $H$4:H134, H135)+1))</f>
        <v>weapon_blast_Am_021</v>
      </c>
      <c r="B135" s="36" t="str">
        <f>C135&amp;" "&amp;IF(D135 = "none","", D135)&amp;E135</f>
        <v>T10 20mm유탄 포탑</v>
      </c>
      <c r="C135" s="36" t="s">
        <v>268</v>
      </c>
      <c r="D135" s="36" t="s">
        <v>261</v>
      </c>
      <c r="E135" s="36" t="s">
        <v>277</v>
      </c>
      <c r="F135" s="25">
        <f>VLOOKUP(C135, Factor!$AD$5:$AE$15, 2, 0)</f>
        <v>10000</v>
      </c>
      <c r="G135" s="26" t="str">
        <f>VLOOKUP(E135, Factor!$CL$5:$CV$50, 2, 0)</f>
        <v>blast</v>
      </c>
      <c r="H135" s="25" t="str">
        <f>VLOOKUP(E135, Factor!$CL$5:$CV$50, 3, 0)</f>
        <v>ammo</v>
      </c>
      <c r="I135" s="25" t="str">
        <f>VLOOKUP(E135, Factor!$CL$5:$CV$50, 4, 0)</f>
        <v>L</v>
      </c>
      <c r="J135" s="25" t="str">
        <f>VLOOKUP(E135, Factor!$CL$5:$CV$50, 5, 0)</f>
        <v>spread</v>
      </c>
      <c r="K135" s="25">
        <v>1</v>
      </c>
      <c r="L135" s="25">
        <f>VLOOKUP(E135, Factor!$CL$5:$CV$50, 6, 0)*K135*VLOOKUP(D135, Factor!$BZ$5:$CJ$49, 9, 0)</f>
        <v>5</v>
      </c>
      <c r="M135" s="25" t="str">
        <f>VLOOKUP(E135, Factor!$CL$5:$CV$50, 7, 0)</f>
        <v>null</v>
      </c>
      <c r="N135" s="25">
        <v>1</v>
      </c>
      <c r="O135" s="25">
        <f>VLOOKUP(E135, Factor!$CL$5:$CV$50, 8, 0)*N135*VLOOKUP(D135, Factor!$BZ$5:$CJ$49, 10, 0)</f>
        <v>0</v>
      </c>
      <c r="P135" s="25">
        <v>1</v>
      </c>
      <c r="Q135" s="25">
        <f>VLOOKUP(E135, Factor!$CL$5:$CV$50, 9, 0)*P135*VLOOKUP(D135, Factor!$BZ$5:$CJ$49, 11, 0)</f>
        <v>5</v>
      </c>
      <c r="R135" s="25" t="str">
        <f>VLOOKUP(E135, Factor!$CL$5:$CV$50, 10, 0)</f>
        <v>null</v>
      </c>
      <c r="S135" s="25" t="str">
        <f>VLOOKUP(E135, Factor!$CL$5:$CV$50, 11, 0)</f>
        <v>null</v>
      </c>
      <c r="T135" s="25">
        <v>1</v>
      </c>
      <c r="U135" s="25">
        <v>1</v>
      </c>
      <c r="V135" s="25">
        <v>1</v>
      </c>
      <c r="W135" s="25">
        <v>1</v>
      </c>
      <c r="X135" s="25">
        <v>1</v>
      </c>
      <c r="Y135" s="25">
        <v>1</v>
      </c>
      <c r="Z135" s="25">
        <v>1</v>
      </c>
      <c r="AA135" s="25" cm="1">
        <f t="array" ref="AA135">_xlfn.LET(_xlpm.기본_색인번호, 2,
_xlpm.추가_색인번호, 3,
_xlpm.개별보정치, T135,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550</v>
      </c>
      <c r="AB135" s="25" cm="1">
        <f t="array" ref="AB135">_xlfn.LET(_xlpm.기본_색인번호, 3,
_xlpm.추가_색인번호, 4,
_xlpm.개별보정치, U135,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C135" s="25" cm="1">
        <f t="array" ref="AC135">_xlfn.LET(_xlpm.기본_색인번호, 4,
_xlpm.추가_색인번호, 5,
_xlpm.개별보정치, V135,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5" s="25" cm="1">
        <f t="array" ref="AD135">_xlfn.LET(_xlpm.기본_색인번호, 5,
_xlpm.추가_색인번호, 6,
_xlpm.개별보정치, W135,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  <c r="AE135" s="25" cm="1">
        <f t="array" ref="AE135">_xlfn.LET(_xlpm.기본_색인번호, 6,
_xlpm.추가_색인번호, 7,
_xlpm.개별보정치, X135,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  <c r="AF135" s="25" cm="1">
        <f t="array" ref="AF135">_xlfn.LET(_xlpm.기본_색인번호, 7,
_xlpm.추가_색인번호, 8,
_xlpm.개별보정치, Y135,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5" s="27" cm="1">
        <f t="array" ref="AG135">_xlfn.LET(_xlpm.기본_색인번호, 8,
_xlpm.추가_색인번호, 9,
_xlpm.개별보정치, Z135,
_xlpm.패턴보정치, VLOOKUP($G135, Factor!$B$5:$I$51, _xlpm.기본_색인번호, 0),
_xlpm.소모탄환보정치, VLOOKUP($H135, Factor!$T$5:$AA$51, _xlpm.기본_색인번호, 0),
_xlpm.지형보정치, VLOOKUP($I135, Factor!$K$12:$R$13, _xlpm.기본_색인번호, 0),
_xlpm.공격속성보정치, VLOOKUP($J135, Factor!$K$5:$R$7, _xlpm.기본_색인번호, 0),
_xlpm.피해범위보정치, INDEX(Factor!$AN$5:$AV$51, _xlfn.XMATCH(IF(OR($G135="blast", $G135="curved",  $G135= "debuff"), $L135, 0), Factor!$AN$5:$AN$51, -1), _xlpm.추가_색인번호)-IF(AND(OR($G135="blast", $G135="curved", $G135= "debuff"), MOD($L135,1)&lt;&gt;0),INDEX(Factor!$AN$5:$AV$51, _xlfn.XMATCH(IF(OR($G135="blast", $G135="curved", $G135= "debuff"), $L135, 0), Factor!$AN$5:$AN$51, -1), 2)*MOD($L135,1)*10,0),
_xlpm.상태이상보정치, VLOOKUP(IF($G135 = "debuff", $M135, "null"), Factor!$AX$5:$BE$51, _xlpm.기본_색인번호, 0),
_xlpm.지속시간보정치, INDEX(Factor!$BG$5:$BO$51, _xlfn.XMATCH(IF(OR($G135 ="debuff", $G135 = "shot", $G135 = "pierce"), $O135, 0), Factor!$BG$5:$BG$51, -1), _xlpm.추가_색인번호)-IF(AND(OR($G135 ="debuff", $G135 = "shot", $G135 = "pierce"), MOD($O135, 1)&lt;&gt;0), 10*MOD($O135, 1)*INDEX(Factor!$BG$5:$BO$51, _xlfn.XMATCH(IF(OR($G135 ="debuff", $G135 = "shot", $G135 = "pierce"), $O135, 0), Factor!$BG$5:$BG$51, -1), 2), 0),
_xlpm.탄환개수보정치, VLOOKUP(IF(OR($G135 = "curved", $G135 = "shot"), $Q135, 1), Factor!$BQ$5:$BX$51, _xlpm.기본_색인번호, 0),
_xlpm.상태이상탄환생성위치보정치, IF($G135 = "debuff", VLOOKUP($R135, Factor!$K$18:$R$19, _xlpm.기본_색인번호, 0),1),
_xlpm.상태이상탄환형태보정치, IF($G135 = "debuff", VLOOKUP($S135, Factor!$K$24:$R$25, _xlpm.기본_색인번호, 0),1),
_xlpm.가격보정치, INDEX(Factor!$AE$5:$AL$51, _xlfn.XMATCH($F135,Factor!$AE$5:$AE$51, -1), _xlpm.기본_색인번호),
_xlpm.구경보정치, VLOOKUP($D135,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</row>
    <row r="136" spans="1:33" ht="15.75" customHeight="1">
      <c r="A136" s="28" t="str">
        <f>"weapon_"&amp;G136&amp;"_"&amp;VLOOKUP(H136, Factor!$T$5:$AB$7, 9, 0)&amp;"_"&amp;IF(COUNTIFS($G$4:G135, G136, $H$4:H135, H136)+1&gt;=100, COUNTIFS($G$4:G135, G136, $H$4:H135, H136)+1,IF(COUNTIFS($G$4:G135, G136, $H$4:H135, H136)+1&gt;=10, "0"&amp;COUNTIFS($G$4:G135, G136, $H$4:H135, H136)+1, "00"&amp;COUNTIFS($G$4:G135, G136, $H$4:H135, H136)+1))</f>
        <v>weapon_blast_Am_022</v>
      </c>
      <c r="B136" s="37" t="str">
        <f>C136&amp;" "&amp;IF(D136 = "none","", D136)&amp;E136</f>
        <v>T10 40mm유탄 포탑</v>
      </c>
      <c r="C136" s="37" t="s">
        <v>268</v>
      </c>
      <c r="D136" s="37" t="s">
        <v>269</v>
      </c>
      <c r="E136" s="37" t="s">
        <v>277</v>
      </c>
      <c r="F136" s="29">
        <f>VLOOKUP(C136, Factor!$AD$5:$AE$15, 2, 0)</f>
        <v>10000</v>
      </c>
      <c r="G136" s="29" t="str">
        <f>VLOOKUP(E136, Factor!$CL$5:$CV$50, 2, 0)</f>
        <v>blast</v>
      </c>
      <c r="H136" s="29" t="str">
        <f>VLOOKUP(E136, Factor!$CL$5:$CV$50, 3, 0)</f>
        <v>ammo</v>
      </c>
      <c r="I136" s="29" t="str">
        <f>VLOOKUP(E136, Factor!$CL$5:$CV$50, 4, 0)</f>
        <v>L</v>
      </c>
      <c r="J136" s="29" t="str">
        <f>VLOOKUP(E136, Factor!$CL$5:$CV$50, 5, 0)</f>
        <v>spread</v>
      </c>
      <c r="K136" s="29">
        <v>1</v>
      </c>
      <c r="L136" s="29">
        <f>VLOOKUP(E136, Factor!$CL$5:$CV$50, 6, 0)*K136*VLOOKUP(D136, Factor!$BZ$5:$CJ$49, 9, 0)</f>
        <v>6</v>
      </c>
      <c r="M136" s="29" t="str">
        <f>VLOOKUP(E136, Factor!$CL$5:$CV$50, 7, 0)</f>
        <v>null</v>
      </c>
      <c r="N136" s="29">
        <v>1</v>
      </c>
      <c r="O136" s="29">
        <f>VLOOKUP(E136, Factor!$CL$5:$CV$50, 8, 0)*N136*VLOOKUP(D136, Factor!$BZ$5:$CJ$49, 10, 0)</f>
        <v>0</v>
      </c>
      <c r="P136" s="29">
        <v>1</v>
      </c>
      <c r="Q136" s="29">
        <f>VLOOKUP(E136, Factor!$CL$5:$CV$50, 9, 0)*P136*VLOOKUP(D136, Factor!$BZ$5:$CJ$49, 11, 0)</f>
        <v>6</v>
      </c>
      <c r="R136" s="29" t="str">
        <f>VLOOKUP(E136, Factor!$CL$5:$CV$50, 10, 0)</f>
        <v>null</v>
      </c>
      <c r="S136" s="29" t="str">
        <f>VLOOKUP(E136, Factor!$CL$5:$CV$50, 11, 0)</f>
        <v>null</v>
      </c>
      <c r="T136" s="29">
        <v>1</v>
      </c>
      <c r="U136" s="29">
        <v>1</v>
      </c>
      <c r="V136" s="29">
        <v>1</v>
      </c>
      <c r="W136" s="29">
        <v>1</v>
      </c>
      <c r="X136" s="29">
        <v>1</v>
      </c>
      <c r="Y136" s="29">
        <v>1</v>
      </c>
      <c r="Z136" s="29">
        <v>1</v>
      </c>
      <c r="AA136" s="29" cm="1">
        <f t="array" ref="AA136">_xlfn.LET(_xlpm.기본_색인번호, 2,
_xlpm.추가_색인번호, 3,
_xlpm.개별보정치, T136,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550</v>
      </c>
      <c r="AB136" s="29" cm="1">
        <f t="array" ref="AB136">_xlfn.LET(_xlpm.기본_색인번호, 3,
_xlpm.추가_색인번호, 4,
_xlpm.개별보정치, U136,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31.5</v>
      </c>
      <c r="AC136" s="29" cm="1">
        <f t="array" ref="AC136">_xlfn.LET(_xlpm.기본_색인번호, 4,
_xlpm.추가_색인번호, 5,
_xlpm.개별보정치, V136,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4.5</v>
      </c>
      <c r="AD136" s="29" cm="1">
        <f t="array" ref="AD136">_xlfn.LET(_xlpm.기본_색인번호, 5,
_xlpm.추가_색인번호, 6,
_xlpm.개별보정치, W136,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  <c r="AE136" s="29" cm="1">
        <f t="array" ref="AE136">_xlfn.LET(_xlpm.기본_색인번호, 6,
_xlpm.추가_색인번호, 7,
_xlpm.개별보정치, X136,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  <c r="AF136" s="29" cm="1">
        <f t="array" ref="AF136">_xlfn.LET(_xlpm.기본_색인번호, 7,
_xlpm.추가_색인번호, 8,
_xlpm.개별보정치, Y136,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G136" s="30" cm="1">
        <f t="array" ref="AG136">_xlfn.LET(_xlpm.기본_색인번호, 8,
_xlpm.추가_색인번호, 9,
_xlpm.개별보정치, Z136,
_xlpm.패턴보정치, VLOOKUP($G136, Factor!$B$5:$I$51, _xlpm.기본_색인번호, 0),
_xlpm.소모탄환보정치, VLOOKUP($H136, Factor!$T$5:$AA$51, _xlpm.기본_색인번호, 0),
_xlpm.지형보정치, VLOOKUP($I136, Factor!$K$12:$R$13, _xlpm.기본_색인번호, 0),
_xlpm.공격속성보정치, VLOOKUP($J136, Factor!$K$5:$R$7, _xlpm.기본_색인번호, 0),
_xlpm.피해범위보정치, INDEX(Factor!$AN$5:$AV$51, _xlfn.XMATCH(IF(OR($G136="blast", $G136="curved",  $G136= "debuff"), $L136, 0), Factor!$AN$5:$AN$51, -1), _xlpm.추가_색인번호)-IF(AND(OR($G136="blast", $G136="curved", $G136= "debuff"), MOD($L136,1)&lt;&gt;0),INDEX(Factor!$AN$5:$AV$51, _xlfn.XMATCH(IF(OR($G136="blast", $G136="curved", $G136= "debuff"), $L136, 0), Factor!$AN$5:$AN$51, -1), 2)*MOD($L136,1)*10,0),
_xlpm.상태이상보정치, VLOOKUP(IF($G136 = "debuff", $M136, "null"), Factor!$AX$5:$BE$51, _xlpm.기본_색인번호, 0),
_xlpm.지속시간보정치, INDEX(Factor!$BG$5:$BO$51, _xlfn.XMATCH(IF(OR($G136 ="debuff", $G136 = "shot", $G136 = "pierce"), $O136, 0), Factor!$BG$5:$BG$51, -1), _xlpm.추가_색인번호)-IF(AND(OR($G136 ="debuff", $G136 = "shot", $G136 = "pierce"), MOD($O136, 1)&lt;&gt;0), 10*MOD($O136, 1)*INDEX(Factor!$BG$5:$BO$51, _xlfn.XMATCH(IF(OR($G136 ="debuff", $G136 = "shot", $G136 = "pierce"), $O136, 0), Factor!$BG$5:$BG$51, -1), 2), 0),
_xlpm.탄환개수보정치, VLOOKUP(IF(OR($G136 = "curved", $G136 = "shot"), $Q136, 1), Factor!$BQ$5:$BX$51, _xlpm.기본_색인번호, 0),
_xlpm.상태이상탄환생성위치보정치, IF($G136 = "debuff", VLOOKUP($R136, Factor!$K$18:$R$19, _xlpm.기본_색인번호, 0),1),
_xlpm.상태이상탄환형태보정치, IF($G136 = "debuff", VLOOKUP($S136, Factor!$K$24:$R$25, _xlpm.기본_색인번호, 0),1),
_xlpm.가격보정치, INDEX(Factor!$AE$5:$AL$51, _xlfn.XMATCH($F136,Factor!$AE$5:$AE$51, -1), _xlpm.기본_색인번호),
_xlpm.구경보정치, VLOOKUP($D136,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49.5</v>
      </c>
    </row>
    <row r="137" spans="1:33" ht="15.75" customHeight="1">
      <c r="A137" s="24" t="str">
        <f>"weapon_"&amp;G137&amp;"_"&amp;VLOOKUP(H137, Factor!$T$5:$AB$7, 9, 0)&amp;"_"&amp;IF(COUNTIFS($G$4:G136, G137, $H$4:H136, H137)+1&gt;=100, COUNTIFS($G$4:G136, G137, $H$4:H136, H137)+1,IF(COUNTIFS($G$4:G136, G137, $H$4:H136, H137)+1&gt;=10, "0"&amp;COUNTIFS($G$4:G136, G137, $H$4:H136, H137)+1, "00"&amp;COUNTIFS($G$4:G136, G137, $H$4:H136, H137)+1))</f>
        <v>weapon_pierce_Sh_001</v>
      </c>
      <c r="B137" s="36" t="str">
        <f>C137&amp;" "&amp;IF(D137 = "none","", D137)&amp;E137</f>
        <v>녹슨 55mm직사포</v>
      </c>
      <c r="C137" s="36" t="s">
        <v>240</v>
      </c>
      <c r="D137" s="36" t="s">
        <v>270</v>
      </c>
      <c r="E137" s="36" t="s">
        <v>278</v>
      </c>
      <c r="F137" s="25">
        <f>VLOOKUP(C137, Factor!$AD$5:$AE$15, 2, 0)</f>
        <v>0</v>
      </c>
      <c r="G137" s="26" t="str">
        <f>VLOOKUP(E137, Factor!$CL$5:$CV$50, 2, 0)</f>
        <v>pierce</v>
      </c>
      <c r="H137" s="25" t="str">
        <f>VLOOKUP(E137, Factor!$CL$5:$CV$50, 3, 0)</f>
        <v>shell</v>
      </c>
      <c r="I137" s="25" t="str">
        <f>VLOOKUP(E137, Factor!$CL$5:$CV$50, 4, 0)</f>
        <v>L</v>
      </c>
      <c r="J137" s="25" t="str">
        <f>VLOOKUP(E137, Factor!$CL$5:$CV$50, 5, 0)</f>
        <v>normal</v>
      </c>
      <c r="K137" s="25">
        <v>1</v>
      </c>
      <c r="L137" s="25">
        <f>VLOOKUP(E137, Factor!$CL$5:$CV$50, 6, 0)*K137*VLOOKUP(D137, Factor!$BZ$5:$CJ$49, 9, 0)</f>
        <v>0</v>
      </c>
      <c r="M137" s="25" t="str">
        <f>VLOOKUP(E137, Factor!$CL$5:$CV$50, 7, 0)</f>
        <v>null</v>
      </c>
      <c r="N137" s="25">
        <v>1</v>
      </c>
      <c r="O137" s="25">
        <f>VLOOKUP(E137, Factor!$CL$5:$CV$50, 8, 0)*N137*VLOOKUP(D137, Factor!$BZ$5:$CJ$49, 10, 0)</f>
        <v>21</v>
      </c>
      <c r="P137" s="25">
        <v>1</v>
      </c>
      <c r="Q137" s="25">
        <f>VLOOKUP(E137, Factor!$CL$5:$CV$50, 9, 0)*P137*VLOOKUP(D137, Factor!$BZ$5:$CJ$49, 11, 0)</f>
        <v>7</v>
      </c>
      <c r="R137" s="25" t="str">
        <f>VLOOKUP(E137, Factor!$CL$5:$CV$50, 10, 0)</f>
        <v>null</v>
      </c>
      <c r="S137" s="25" t="str">
        <f>VLOOKUP(E137, Factor!$CL$5:$CV$50, 11, 0)</f>
        <v>null</v>
      </c>
      <c r="T137" s="25">
        <v>1</v>
      </c>
      <c r="U137" s="25">
        <v>1</v>
      </c>
      <c r="V137" s="25">
        <v>1</v>
      </c>
      <c r="W137" s="25">
        <v>1</v>
      </c>
      <c r="X137" s="25">
        <v>1</v>
      </c>
      <c r="Y137" s="25">
        <v>1</v>
      </c>
      <c r="Z137" s="25">
        <v>1</v>
      </c>
      <c r="AA137" s="25" cm="1">
        <f t="array" ref="AA137">_xlfn.LET(_xlpm.기본_색인번호, 2,
_xlpm.추가_색인번호, 3,
_xlpm.개별보정치, T137,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137" s="25" cm="1">
        <f t="array" ref="AB137">_xlfn.LET(_xlpm.기본_색인번호, 3,
_xlpm.추가_색인번호, 4,
_xlpm.개별보정치, U137,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37" s="25" cm="1">
        <f t="array" ref="AC137">_xlfn.LET(_xlpm.기본_색인번호, 4,
_xlpm.추가_색인번호, 5,
_xlpm.개별보정치, V137,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37" s="25" cm="1">
        <f t="array" ref="AD137">_xlfn.LET(_xlpm.기본_색인번호, 5,
_xlpm.추가_색인번호, 6,
_xlpm.개별보정치, W137,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E137" s="25" cm="1">
        <f t="array" ref="AE137">_xlfn.LET(_xlpm.기본_색인번호, 6,
_xlpm.추가_색인번호, 7,
_xlpm.개별보정치, X137,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F137" s="25" cm="1">
        <f t="array" ref="AF137">_xlfn.LET(_xlpm.기본_색인번호, 7,
_xlpm.추가_색인번호, 8,
_xlpm.개별보정치, Y137,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37" s="27" cm="1">
        <f t="array" ref="AG137">_xlfn.LET(_xlpm.기본_색인번호, 8,
_xlpm.추가_색인번호, 9,
_xlpm.개별보정치, Z137,
_xlpm.패턴보정치, VLOOKUP($G137, Factor!$B$5:$I$51, _xlpm.기본_색인번호, 0),
_xlpm.소모탄환보정치, VLOOKUP($H137, Factor!$T$5:$AA$51, _xlpm.기본_색인번호, 0),
_xlpm.지형보정치, VLOOKUP($I137, Factor!$K$12:$R$13, _xlpm.기본_색인번호, 0),
_xlpm.공격속성보정치, VLOOKUP($J137, Factor!$K$5:$R$7, _xlpm.기본_색인번호, 0),
_xlpm.피해범위보정치, INDEX(Factor!$AN$5:$AV$51, _xlfn.XMATCH(IF(OR($G137="blast", $G137="curved",  $G137= "debuff"), $L137, 0), Factor!$AN$5:$AN$51, -1), _xlpm.추가_색인번호)-IF(AND(OR($G137="blast", $G137="curved", $G137= "debuff"), MOD($L137,1)&lt;&gt;0),INDEX(Factor!$AN$5:$AV$51, _xlfn.XMATCH(IF(OR($G137="blast", $G137="curved", $G137= "debuff"), $L137, 0), Factor!$AN$5:$AN$51, -1), 2)*MOD($L137,1)*10,0),
_xlpm.상태이상보정치, VLOOKUP(IF($G137 = "debuff", $M137, "null"), Factor!$AX$5:$BE$51, _xlpm.기본_색인번호, 0),
_xlpm.지속시간보정치, INDEX(Factor!$BG$5:$BO$51, _xlfn.XMATCH(IF(OR($G137 ="debuff", $G137 = "shot", $G137 = "pierce"), $O137, 0), Factor!$BG$5:$BG$51, -1), _xlpm.추가_색인번호)-IF(AND(OR($G137 ="debuff", $G137 = "shot", $G137 = "pierce"), MOD($O137, 1)&lt;&gt;0), 10*MOD($O137, 1)*INDEX(Factor!$BG$5:$BO$51, _xlfn.XMATCH(IF(OR($G137 ="debuff", $G137 = "shot", $G137 = "pierce"), $O137, 0), Factor!$BG$5:$BG$51, -1), 2), 0),
_xlpm.탄환개수보정치, VLOOKUP(IF(OR($G137 = "curved", $G137 = "shot"), $Q137, 1), Factor!$BQ$5:$BX$51, _xlpm.기본_색인번호, 0),
_xlpm.상태이상탄환생성위치보정치, IF($G137 = "debuff", VLOOKUP($R137, Factor!$K$18:$R$19, _xlpm.기본_색인번호, 0),1),
_xlpm.상태이상탄환형태보정치, IF($G137 = "debuff", VLOOKUP($S137, Factor!$K$24:$R$25, _xlpm.기본_색인번호, 0),1),
_xlpm.가격보정치, INDEX(Factor!$AE$5:$AL$51, _xlfn.XMATCH($F137,Factor!$AE$5:$AE$51, -1), _xlpm.기본_색인번호),
_xlpm.구경보정치, VLOOKUP($D137,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</row>
    <row r="138" spans="1:33" ht="15.75" customHeight="1">
      <c r="A138" s="28" t="str">
        <f>"weapon_"&amp;G138&amp;"_"&amp;VLOOKUP(H138, Factor!$T$5:$AB$7, 9, 0)&amp;"_"&amp;IF(COUNTIFS($G$4:G137, G138, $H$4:H137, H138)+1&gt;=100, COUNTIFS($G$4:G137, G138, $H$4:H137, H138)+1,IF(COUNTIFS($G$4:G137, G138, $H$4:H137, H138)+1&gt;=10, "0"&amp;COUNTIFS($G$4:G137, G138, $H$4:H137, H138)+1, "00"&amp;COUNTIFS($G$4:G137, G138, $H$4:H137, H138)+1))</f>
        <v>weapon_pierce_Sh_002</v>
      </c>
      <c r="B138" s="37" t="str">
        <f>C138&amp;" "&amp;IF(D138 = "none","", D138)&amp;E138</f>
        <v>녹슨 105mm직사포</v>
      </c>
      <c r="C138" s="37" t="s">
        <v>240</v>
      </c>
      <c r="D138" s="37" t="s">
        <v>272</v>
      </c>
      <c r="E138" s="37" t="s">
        <v>278</v>
      </c>
      <c r="F138" s="29">
        <f>VLOOKUP(C138, Factor!$AD$5:$AE$15, 2, 0)</f>
        <v>0</v>
      </c>
      <c r="G138" s="29" t="str">
        <f>VLOOKUP(E138, Factor!$CL$5:$CV$50, 2, 0)</f>
        <v>pierce</v>
      </c>
      <c r="H138" s="29" t="str">
        <f>VLOOKUP(E138, Factor!$CL$5:$CV$50, 3, 0)</f>
        <v>shell</v>
      </c>
      <c r="I138" s="29" t="str">
        <f>VLOOKUP(E138, Factor!$CL$5:$CV$50, 4, 0)</f>
        <v>L</v>
      </c>
      <c r="J138" s="29" t="str">
        <f>VLOOKUP(E138, Factor!$CL$5:$CV$50, 5, 0)</f>
        <v>normal</v>
      </c>
      <c r="K138" s="29">
        <v>1</v>
      </c>
      <c r="L138" s="29">
        <f>VLOOKUP(E138, Factor!$CL$5:$CV$50, 6, 0)*K138*VLOOKUP(D138, Factor!$BZ$5:$CJ$49, 9, 0)</f>
        <v>0</v>
      </c>
      <c r="M138" s="29" t="str">
        <f>VLOOKUP(E138, Factor!$CL$5:$CV$50, 7, 0)</f>
        <v>null</v>
      </c>
      <c r="N138" s="29">
        <v>1</v>
      </c>
      <c r="O138" s="29">
        <f>VLOOKUP(E138, Factor!$CL$5:$CV$50, 8, 0)*N138*VLOOKUP(D138, Factor!$BZ$5:$CJ$49, 10, 0)</f>
        <v>24</v>
      </c>
      <c r="P138" s="29">
        <v>1</v>
      </c>
      <c r="Q138" s="29">
        <f>VLOOKUP(E138, Factor!$CL$5:$CV$50, 9, 0)*P138*VLOOKUP(D138, Factor!$BZ$5:$CJ$49, 11, 0)</f>
        <v>8</v>
      </c>
      <c r="R138" s="29" t="str">
        <f>VLOOKUP(E138, Factor!$CL$5:$CV$50, 10, 0)</f>
        <v>null</v>
      </c>
      <c r="S138" s="29" t="str">
        <f>VLOOKUP(E138, Factor!$CL$5:$CV$50, 11, 0)</f>
        <v>null</v>
      </c>
      <c r="T138" s="29">
        <v>1</v>
      </c>
      <c r="U138" s="29">
        <v>1</v>
      </c>
      <c r="V138" s="29">
        <v>1</v>
      </c>
      <c r="W138" s="29">
        <v>1</v>
      </c>
      <c r="X138" s="29">
        <v>1</v>
      </c>
      <c r="Y138" s="29">
        <v>1</v>
      </c>
      <c r="Z138" s="29">
        <v>1</v>
      </c>
      <c r="AA138" s="29" cm="1">
        <f t="array" ref="AA138">_xlfn.LET(_xlpm.기본_색인번호, 2,
_xlpm.추가_색인번호, 3,
_xlpm.개별보정치, T138,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138" s="29" cm="1">
        <f t="array" ref="AB138">_xlfn.LET(_xlpm.기본_색인번호, 3,
_xlpm.추가_색인번호, 4,
_xlpm.개별보정치, U138,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38" s="29" cm="1">
        <f t="array" ref="AC138">_xlfn.LET(_xlpm.기본_색인번호, 4,
_xlpm.추가_색인번호, 5,
_xlpm.개별보정치, V138,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38" s="29" cm="1">
        <f t="array" ref="AD138">_xlfn.LET(_xlpm.기본_색인번호, 5,
_xlpm.추가_색인번호, 6,
_xlpm.개별보정치, W138,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E138" s="29" cm="1">
        <f t="array" ref="AE138">_xlfn.LET(_xlpm.기본_색인번호, 6,
_xlpm.추가_색인번호, 7,
_xlpm.개별보정치, X138,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F138" s="29" cm="1">
        <f t="array" ref="AF138">_xlfn.LET(_xlpm.기본_색인번호, 7,
_xlpm.추가_색인번호, 8,
_xlpm.개별보정치, Y138,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38" s="30" cm="1">
        <f t="array" ref="AG138">_xlfn.LET(_xlpm.기본_색인번호, 8,
_xlpm.추가_색인번호, 9,
_xlpm.개별보정치, Z138,
_xlpm.패턴보정치, VLOOKUP($G138, Factor!$B$5:$I$51, _xlpm.기본_색인번호, 0),
_xlpm.소모탄환보정치, VLOOKUP($H138, Factor!$T$5:$AA$51, _xlpm.기본_색인번호, 0),
_xlpm.지형보정치, VLOOKUP($I138, Factor!$K$12:$R$13, _xlpm.기본_색인번호, 0),
_xlpm.공격속성보정치, VLOOKUP($J138, Factor!$K$5:$R$7, _xlpm.기본_색인번호, 0),
_xlpm.피해범위보정치, INDEX(Factor!$AN$5:$AV$51, _xlfn.XMATCH(IF(OR($G138="blast", $G138="curved",  $G138= "debuff"), $L138, 0), Factor!$AN$5:$AN$51, -1), _xlpm.추가_색인번호)-IF(AND(OR($G138="blast", $G138="curved", $G138= "debuff"), MOD($L138,1)&lt;&gt;0),INDEX(Factor!$AN$5:$AV$51, _xlfn.XMATCH(IF(OR($G138="blast", $G138="curved", $G138= "debuff"), $L138, 0), Factor!$AN$5:$AN$51, -1), 2)*MOD($L138,1)*10,0),
_xlpm.상태이상보정치, VLOOKUP(IF($G138 = "debuff", $M138, "null"), Factor!$AX$5:$BE$51, _xlpm.기본_색인번호, 0),
_xlpm.지속시간보정치, INDEX(Factor!$BG$5:$BO$51, _xlfn.XMATCH(IF(OR($G138 ="debuff", $G138 = "shot", $G138 = "pierce"), $O138, 0), Factor!$BG$5:$BG$51, -1), _xlpm.추가_색인번호)-IF(AND(OR($G138 ="debuff", $G138 = "shot", $G138 = "pierce"), MOD($O138, 1)&lt;&gt;0), 10*MOD($O138, 1)*INDEX(Factor!$BG$5:$BO$51, _xlfn.XMATCH(IF(OR($G138 ="debuff", $G138 = "shot", $G138 = "pierce"), $O138, 0), Factor!$BG$5:$BG$51, -1), 2), 0),
_xlpm.탄환개수보정치, VLOOKUP(IF(OR($G138 = "curved", $G138 = "shot"), $Q138, 1), Factor!$BQ$5:$BX$51, _xlpm.기본_색인번호, 0),
_xlpm.상태이상탄환생성위치보정치, IF($G138 = "debuff", VLOOKUP($R138, Factor!$K$18:$R$19, _xlpm.기본_색인번호, 0),1),
_xlpm.상태이상탄환형태보정치, IF($G138 = "debuff", VLOOKUP($S138, Factor!$K$24:$R$25, _xlpm.기본_색인번호, 0),1),
_xlpm.가격보정치, INDEX(Factor!$AE$5:$AL$51, _xlfn.XMATCH($F138,Factor!$AE$5:$AE$51, -1), _xlpm.기본_색인번호),
_xlpm.구경보정치, VLOOKUP($D138,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</row>
    <row r="139" spans="1:33" ht="15.75" customHeight="1">
      <c r="A139" s="24" t="str">
        <f>"weapon_"&amp;G139&amp;"_"&amp;VLOOKUP(H139, Factor!$T$5:$AB$7, 9, 0)&amp;"_"&amp;IF(COUNTIFS($G$4:G138, G139, $H$4:H138, H139)+1&gt;=100, COUNTIFS($G$4:G138, G139, $H$4:H138, H139)+1,IF(COUNTIFS($G$4:G138, G139, $H$4:H138, H139)+1&gt;=10, "0"&amp;COUNTIFS($G$4:G138, G139, $H$4:H138, H139)+1, "00"&amp;COUNTIFS($G$4:G138, G139, $H$4:H138, H139)+1))</f>
        <v>weapon_pierce_Sh_003</v>
      </c>
      <c r="B139" s="36" t="str">
        <f t="shared" ref="B139:B182" si="2">C139&amp;" "&amp;IF(D139 = "none","", D139)&amp;E139</f>
        <v>T1 55mm직사포</v>
      </c>
      <c r="C139" s="36" t="s">
        <v>238</v>
      </c>
      <c r="D139" s="36" t="s">
        <v>270</v>
      </c>
      <c r="E139" s="36" t="s">
        <v>278</v>
      </c>
      <c r="F139" s="25">
        <f>VLOOKUP(C139, Factor!$AD$5:$AE$15, 2, 0)</f>
        <v>1000</v>
      </c>
      <c r="G139" s="26" t="str">
        <f>VLOOKUP(E139, Factor!$CL$5:$CV$50, 2, 0)</f>
        <v>pierce</v>
      </c>
      <c r="H139" s="25" t="str">
        <f>VLOOKUP(E139, Factor!$CL$5:$CV$50, 3, 0)</f>
        <v>shell</v>
      </c>
      <c r="I139" s="25" t="str">
        <f>VLOOKUP(E139, Factor!$CL$5:$CV$50, 4, 0)</f>
        <v>L</v>
      </c>
      <c r="J139" s="25" t="str">
        <f>VLOOKUP(E139, Factor!$CL$5:$CV$50, 5, 0)</f>
        <v>normal</v>
      </c>
      <c r="K139" s="25">
        <v>1</v>
      </c>
      <c r="L139" s="25">
        <f>VLOOKUP(E139, Factor!$CL$5:$CV$50, 6, 0)*K139*VLOOKUP(D139, Factor!$BZ$5:$CJ$49, 9, 0)</f>
        <v>0</v>
      </c>
      <c r="M139" s="25" t="str">
        <f>VLOOKUP(E139, Factor!$CL$5:$CV$50, 7, 0)</f>
        <v>null</v>
      </c>
      <c r="N139" s="25">
        <v>1</v>
      </c>
      <c r="O139" s="25">
        <f>VLOOKUP(E139, Factor!$CL$5:$CV$50, 8, 0)*N139*VLOOKUP(D139, Factor!$BZ$5:$CJ$49, 10, 0)</f>
        <v>21</v>
      </c>
      <c r="P139" s="25">
        <v>1</v>
      </c>
      <c r="Q139" s="25">
        <f>VLOOKUP(E139, Factor!$CL$5:$CV$50, 9, 0)*P139*VLOOKUP(D139, Factor!$BZ$5:$CJ$49, 11, 0)</f>
        <v>7</v>
      </c>
      <c r="R139" s="25" t="str">
        <f>VLOOKUP(E139, Factor!$CL$5:$CV$50, 10, 0)</f>
        <v>null</v>
      </c>
      <c r="S139" s="25" t="str">
        <f>VLOOKUP(E139, Factor!$CL$5:$CV$50, 11, 0)</f>
        <v>null</v>
      </c>
      <c r="T139" s="25">
        <v>1</v>
      </c>
      <c r="U139" s="25">
        <v>1</v>
      </c>
      <c r="V139" s="25">
        <v>1</v>
      </c>
      <c r="W139" s="25">
        <v>1</v>
      </c>
      <c r="X139" s="25">
        <v>1</v>
      </c>
      <c r="Y139" s="25">
        <v>1</v>
      </c>
      <c r="Z139" s="25">
        <v>1</v>
      </c>
      <c r="AA139" s="25" cm="1">
        <f t="array" ref="AA139">_xlfn.LET(_xlpm.기본_색인번호, 2,
_xlpm.추가_색인번호, 3,
_xlpm.개별보정치, T139,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139" s="25" cm="1">
        <f t="array" ref="AB139">_xlfn.LET(_xlpm.기본_색인번호, 3,
_xlpm.추가_색인번호, 4,
_xlpm.개별보정치, U139,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39" s="25" cm="1">
        <f t="array" ref="AC139">_xlfn.LET(_xlpm.기본_색인번호, 4,
_xlpm.추가_색인번호, 5,
_xlpm.개별보정치, V139,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39" s="25" cm="1">
        <f t="array" ref="AD139">_xlfn.LET(_xlpm.기본_색인번호, 5,
_xlpm.추가_색인번호, 6,
_xlpm.개별보정치, W139,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E139" s="25" cm="1">
        <f t="array" ref="AE139">_xlfn.LET(_xlpm.기본_색인번호, 6,
_xlpm.추가_색인번호, 7,
_xlpm.개별보정치, X139,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F139" s="25" cm="1">
        <f t="array" ref="AF139">_xlfn.LET(_xlpm.기본_색인번호, 7,
_xlpm.추가_색인번호, 8,
_xlpm.개별보정치, Y139,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39" s="27" cm="1">
        <f t="array" ref="AG139">_xlfn.LET(_xlpm.기본_색인번호, 8,
_xlpm.추가_색인번호, 9,
_xlpm.개별보정치, Z139,
_xlpm.패턴보정치, VLOOKUP($G139, Factor!$B$5:$I$51, _xlpm.기본_색인번호, 0),
_xlpm.소모탄환보정치, VLOOKUP($H139, Factor!$T$5:$AA$51, _xlpm.기본_색인번호, 0),
_xlpm.지형보정치, VLOOKUP($I139, Factor!$K$12:$R$13, _xlpm.기본_색인번호, 0),
_xlpm.공격속성보정치, VLOOKUP($J139, Factor!$K$5:$R$7, _xlpm.기본_색인번호, 0),
_xlpm.피해범위보정치, INDEX(Factor!$AN$5:$AV$51, _xlfn.XMATCH(IF(OR($G139="blast", $G139="curved",  $G139= "debuff"), $L139, 0), Factor!$AN$5:$AN$51, -1), _xlpm.추가_색인번호)-IF(AND(OR($G139="blast", $G139="curved", $G139= "debuff"), MOD($L139,1)&lt;&gt;0),INDEX(Factor!$AN$5:$AV$51, _xlfn.XMATCH(IF(OR($G139="blast", $G139="curved", $G139= "debuff"), $L139, 0), Factor!$AN$5:$AN$51, -1), 2)*MOD($L139,1)*10,0),
_xlpm.상태이상보정치, VLOOKUP(IF($G139 = "debuff", $M139, "null"), Factor!$AX$5:$BE$51, _xlpm.기본_색인번호, 0),
_xlpm.지속시간보정치, INDEX(Factor!$BG$5:$BO$51, _xlfn.XMATCH(IF(OR($G139 ="debuff", $G139 = "shot", $G139 = "pierce"), $O139, 0), Factor!$BG$5:$BG$51, -1), _xlpm.추가_색인번호)-IF(AND(OR($G139 ="debuff", $G139 = "shot", $G139 = "pierce"), MOD($O139, 1)&lt;&gt;0), 10*MOD($O139, 1)*INDEX(Factor!$BG$5:$BO$51, _xlfn.XMATCH(IF(OR($G139 ="debuff", $G139 = "shot", $G139 = "pierce"), $O139, 0), Factor!$BG$5:$BG$51, -1), 2), 0),
_xlpm.탄환개수보정치, VLOOKUP(IF(OR($G139 = "curved", $G139 = "shot"), $Q139, 1), Factor!$BQ$5:$BX$51, _xlpm.기본_색인번호, 0),
_xlpm.상태이상탄환생성위치보정치, IF($G139 = "debuff", VLOOKUP($R139, Factor!$K$18:$R$19, _xlpm.기본_색인번호, 0),1),
_xlpm.상태이상탄환형태보정치, IF($G139 = "debuff", VLOOKUP($S139, Factor!$K$24:$R$25, _xlpm.기본_색인번호, 0),1),
_xlpm.가격보정치, INDEX(Factor!$AE$5:$AL$51, _xlfn.XMATCH($F139,Factor!$AE$5:$AE$51, -1), _xlpm.기본_색인번호),
_xlpm.구경보정치, VLOOKUP($D139,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</row>
    <row r="140" spans="1:33" ht="15.75" customHeight="1">
      <c r="A140" s="28" t="str">
        <f>"weapon_"&amp;G140&amp;"_"&amp;VLOOKUP(H140, Factor!$T$5:$AB$7, 9, 0)&amp;"_"&amp;IF(COUNTIFS($G$4:G139, G140, $H$4:H139, H140)+1&gt;=100, COUNTIFS($G$4:G139, G140, $H$4:H139, H140)+1,IF(COUNTIFS($G$4:G139, G140, $H$4:H139, H140)+1&gt;=10, "0"&amp;COUNTIFS($G$4:G139, G140, $H$4:H139, H140)+1, "00"&amp;COUNTIFS($G$4:G139, G140, $H$4:H139, H140)+1))</f>
        <v>weapon_pierce_Sh_004</v>
      </c>
      <c r="B140" s="37" t="str">
        <f t="shared" si="2"/>
        <v>T1 105mm직사포</v>
      </c>
      <c r="C140" s="37" t="s">
        <v>238</v>
      </c>
      <c r="D140" s="37" t="s">
        <v>272</v>
      </c>
      <c r="E140" s="37" t="s">
        <v>278</v>
      </c>
      <c r="F140" s="29">
        <f>VLOOKUP(C140, Factor!$AD$5:$AE$15, 2, 0)</f>
        <v>1000</v>
      </c>
      <c r="G140" s="29" t="str">
        <f>VLOOKUP(E140, Factor!$CL$5:$CV$50, 2, 0)</f>
        <v>pierce</v>
      </c>
      <c r="H140" s="29" t="str">
        <f>VLOOKUP(E140, Factor!$CL$5:$CV$50, 3, 0)</f>
        <v>shell</v>
      </c>
      <c r="I140" s="29" t="str">
        <f>VLOOKUP(E140, Factor!$CL$5:$CV$50, 4, 0)</f>
        <v>L</v>
      </c>
      <c r="J140" s="29" t="str">
        <f>VLOOKUP(E140, Factor!$CL$5:$CV$50, 5, 0)</f>
        <v>normal</v>
      </c>
      <c r="K140" s="29">
        <v>1</v>
      </c>
      <c r="L140" s="29">
        <f>VLOOKUP(E140, Factor!$CL$5:$CV$50, 6, 0)*K140*VLOOKUP(D140, Factor!$BZ$5:$CJ$49, 9, 0)</f>
        <v>0</v>
      </c>
      <c r="M140" s="29" t="str">
        <f>VLOOKUP(E140, Factor!$CL$5:$CV$50, 7, 0)</f>
        <v>null</v>
      </c>
      <c r="N140" s="29">
        <v>1</v>
      </c>
      <c r="O140" s="29">
        <f>VLOOKUP(E140, Factor!$CL$5:$CV$50, 8, 0)*N140*VLOOKUP(D140, Factor!$BZ$5:$CJ$49, 10, 0)</f>
        <v>24</v>
      </c>
      <c r="P140" s="29">
        <v>1</v>
      </c>
      <c r="Q140" s="29">
        <f>VLOOKUP(E140, Factor!$CL$5:$CV$50, 9, 0)*P140*VLOOKUP(D140, Factor!$BZ$5:$CJ$49, 11, 0)</f>
        <v>8</v>
      </c>
      <c r="R140" s="29" t="str">
        <f>VLOOKUP(E140, Factor!$CL$5:$CV$50, 10, 0)</f>
        <v>null</v>
      </c>
      <c r="S140" s="29" t="str">
        <f>VLOOKUP(E140, Factor!$CL$5:$CV$50, 11, 0)</f>
        <v>null</v>
      </c>
      <c r="T140" s="29">
        <v>1</v>
      </c>
      <c r="U140" s="29">
        <v>1</v>
      </c>
      <c r="V140" s="29">
        <v>1</v>
      </c>
      <c r="W140" s="29">
        <v>1</v>
      </c>
      <c r="X140" s="29">
        <v>1</v>
      </c>
      <c r="Y140" s="29">
        <v>1</v>
      </c>
      <c r="Z140" s="29">
        <v>1</v>
      </c>
      <c r="AA140" s="29" cm="1">
        <f t="array" ref="AA140">_xlfn.LET(_xlpm.기본_색인번호, 2,
_xlpm.추가_색인번호, 3,
_xlpm.개별보정치, T140,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140" s="29" cm="1">
        <f t="array" ref="AB140">_xlfn.LET(_xlpm.기본_색인번호, 3,
_xlpm.추가_색인번호, 4,
_xlpm.개별보정치, U140,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40" s="29" cm="1">
        <f t="array" ref="AC140">_xlfn.LET(_xlpm.기본_색인번호, 4,
_xlpm.추가_색인번호, 5,
_xlpm.개별보정치, V140,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0" s="29" cm="1">
        <f t="array" ref="AD140">_xlfn.LET(_xlpm.기본_색인번호, 5,
_xlpm.추가_색인번호, 6,
_xlpm.개별보정치, W140,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E140" s="29" cm="1">
        <f t="array" ref="AE140">_xlfn.LET(_xlpm.기본_색인번호, 6,
_xlpm.추가_색인번호, 7,
_xlpm.개별보정치, X140,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F140" s="29" cm="1">
        <f t="array" ref="AF140">_xlfn.LET(_xlpm.기본_색인번호, 7,
_xlpm.추가_색인번호, 8,
_xlpm.개별보정치, Y140,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0" s="30" cm="1">
        <f t="array" ref="AG140">_xlfn.LET(_xlpm.기본_색인번호, 8,
_xlpm.추가_색인번호, 9,
_xlpm.개별보정치, Z140,
_xlpm.패턴보정치, VLOOKUP($G140, Factor!$B$5:$I$51, _xlpm.기본_색인번호, 0),
_xlpm.소모탄환보정치, VLOOKUP($H140, Factor!$T$5:$AA$51, _xlpm.기본_색인번호, 0),
_xlpm.지형보정치, VLOOKUP($I140, Factor!$K$12:$R$13, _xlpm.기본_색인번호, 0),
_xlpm.공격속성보정치, VLOOKUP($J140, Factor!$K$5:$R$7, _xlpm.기본_색인번호, 0),
_xlpm.피해범위보정치, INDEX(Factor!$AN$5:$AV$51, _xlfn.XMATCH(IF(OR($G140="blast", $G140="curved",  $G140= "debuff"), $L140, 0), Factor!$AN$5:$AN$51, -1), _xlpm.추가_색인번호)-IF(AND(OR($G140="blast", $G140="curved", $G140= "debuff"), MOD($L140,1)&lt;&gt;0),INDEX(Factor!$AN$5:$AV$51, _xlfn.XMATCH(IF(OR($G140="blast", $G140="curved", $G140= "debuff"), $L140, 0), Factor!$AN$5:$AN$51, -1), 2)*MOD($L140,1)*10,0),
_xlpm.상태이상보정치, VLOOKUP(IF($G140 = "debuff", $M140, "null"), Factor!$AX$5:$BE$51, _xlpm.기본_색인번호, 0),
_xlpm.지속시간보정치, INDEX(Factor!$BG$5:$BO$51, _xlfn.XMATCH(IF(OR($G140 ="debuff", $G140 = "shot", $G140 = "pierce"), $O140, 0), Factor!$BG$5:$BG$51, -1), _xlpm.추가_색인번호)-IF(AND(OR($G140 ="debuff", $G140 = "shot", $G140 = "pierce"), MOD($O140, 1)&lt;&gt;0), 10*MOD($O140, 1)*INDEX(Factor!$BG$5:$BO$51, _xlfn.XMATCH(IF(OR($G140 ="debuff", $G140 = "shot", $G140 = "pierce"), $O140, 0), Factor!$BG$5:$BG$51, -1), 2), 0),
_xlpm.탄환개수보정치, VLOOKUP(IF(OR($G140 = "curved", $G140 = "shot"), $Q140, 1), Factor!$BQ$5:$BX$51, _xlpm.기본_색인번호, 0),
_xlpm.상태이상탄환생성위치보정치, IF($G140 = "debuff", VLOOKUP($R140, Factor!$K$18:$R$19, _xlpm.기본_색인번호, 0),1),
_xlpm.상태이상탄환형태보정치, IF($G140 = "debuff", VLOOKUP($S140, Factor!$K$24:$R$25, _xlpm.기본_색인번호, 0),1),
_xlpm.가격보정치, INDEX(Factor!$AE$5:$AL$51, _xlfn.XMATCH($F140,Factor!$AE$5:$AE$51, -1), _xlpm.기본_색인번호),
_xlpm.구경보정치, VLOOKUP($D140,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</row>
    <row r="141" spans="1:33" ht="15.75" customHeight="1">
      <c r="A141" s="24" t="str">
        <f>"weapon_"&amp;G141&amp;"_"&amp;VLOOKUP(H141, Factor!$T$5:$AB$7, 9, 0)&amp;"_"&amp;IF(COUNTIFS($G$4:G140, G141, $H$4:H140, H141)+1&gt;=100, COUNTIFS($G$4:G140, G141, $H$4:H140, H141)+1,IF(COUNTIFS($G$4:G140, G141, $H$4:H140, H141)+1&gt;=10, "0"&amp;COUNTIFS($G$4:G140, G141, $H$4:H140, H141)+1, "00"&amp;COUNTIFS($G$4:G140, G141, $H$4:H140, H141)+1))</f>
        <v>weapon_pierce_Sh_005</v>
      </c>
      <c r="B141" s="36" t="str">
        <f t="shared" si="2"/>
        <v>T2 55mm직사포</v>
      </c>
      <c r="C141" s="36" t="s">
        <v>246</v>
      </c>
      <c r="D141" s="36" t="s">
        <v>270</v>
      </c>
      <c r="E141" s="36" t="s">
        <v>278</v>
      </c>
      <c r="F141" s="25">
        <f>VLOOKUP(C141, Factor!$AD$5:$AE$15, 2, 0)</f>
        <v>2000</v>
      </c>
      <c r="G141" s="26" t="str">
        <f>VLOOKUP(E141, Factor!$CL$5:$CV$50, 2, 0)</f>
        <v>pierce</v>
      </c>
      <c r="H141" s="25" t="str">
        <f>VLOOKUP(E141, Factor!$CL$5:$CV$50, 3, 0)</f>
        <v>shell</v>
      </c>
      <c r="I141" s="25" t="str">
        <f>VLOOKUP(E141, Factor!$CL$5:$CV$50, 4, 0)</f>
        <v>L</v>
      </c>
      <c r="J141" s="25" t="str">
        <f>VLOOKUP(E141, Factor!$CL$5:$CV$50, 5, 0)</f>
        <v>normal</v>
      </c>
      <c r="K141" s="25">
        <v>1</v>
      </c>
      <c r="L141" s="25">
        <f>VLOOKUP(E141, Factor!$CL$5:$CV$50, 6, 0)*K141*VLOOKUP(D141, Factor!$BZ$5:$CJ$49, 9, 0)</f>
        <v>0</v>
      </c>
      <c r="M141" s="25" t="str">
        <f>VLOOKUP(E141, Factor!$CL$5:$CV$50, 7, 0)</f>
        <v>null</v>
      </c>
      <c r="N141" s="25">
        <v>1</v>
      </c>
      <c r="O141" s="25">
        <f>VLOOKUP(E141, Factor!$CL$5:$CV$50, 8, 0)*N141*VLOOKUP(D141, Factor!$BZ$5:$CJ$49, 10, 0)</f>
        <v>21</v>
      </c>
      <c r="P141" s="25">
        <v>1</v>
      </c>
      <c r="Q141" s="25">
        <f>VLOOKUP(E141, Factor!$CL$5:$CV$50, 9, 0)*P141*VLOOKUP(D141, Factor!$BZ$5:$CJ$49, 11, 0)</f>
        <v>7</v>
      </c>
      <c r="R141" s="25" t="str">
        <f>VLOOKUP(E141, Factor!$CL$5:$CV$50, 10, 0)</f>
        <v>null</v>
      </c>
      <c r="S141" s="25" t="str">
        <f>VLOOKUP(E141, Factor!$CL$5:$CV$50, 11, 0)</f>
        <v>null</v>
      </c>
      <c r="T141" s="25">
        <v>1</v>
      </c>
      <c r="U141" s="25">
        <v>1</v>
      </c>
      <c r="V141" s="25">
        <v>1</v>
      </c>
      <c r="W141" s="25">
        <v>1</v>
      </c>
      <c r="X141" s="25">
        <v>1</v>
      </c>
      <c r="Y141" s="25">
        <v>1</v>
      </c>
      <c r="Z141" s="25">
        <v>1</v>
      </c>
      <c r="AA141" s="25" cm="1">
        <f t="array" ref="AA141">_xlfn.LET(_xlpm.기본_색인번호, 2,
_xlpm.추가_색인번호, 3,
_xlpm.개별보정치, T141,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141" s="25" cm="1">
        <f t="array" ref="AB141">_xlfn.LET(_xlpm.기본_색인번호, 3,
_xlpm.추가_색인번호, 4,
_xlpm.개별보정치, U141,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41" s="25" cm="1">
        <f t="array" ref="AC141">_xlfn.LET(_xlpm.기본_색인번호, 4,
_xlpm.추가_색인번호, 5,
_xlpm.개별보정치, V141,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1" s="25" cm="1">
        <f t="array" ref="AD141">_xlfn.LET(_xlpm.기본_색인번호, 5,
_xlpm.추가_색인번호, 6,
_xlpm.개별보정치, W141,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141" s="25" cm="1">
        <f t="array" ref="AE141">_xlfn.LET(_xlpm.기본_색인번호, 6,
_xlpm.추가_색인번호, 7,
_xlpm.개별보정치, X141,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141" s="25" cm="1">
        <f t="array" ref="AF141">_xlfn.LET(_xlpm.기본_색인번호, 7,
_xlpm.추가_색인번호, 8,
_xlpm.개별보정치, Y141,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1" s="27" cm="1">
        <f t="array" ref="AG141">_xlfn.LET(_xlpm.기본_색인번호, 8,
_xlpm.추가_색인번호, 9,
_xlpm.개별보정치, Z141,
_xlpm.패턴보정치, VLOOKUP($G141, Factor!$B$5:$I$51, _xlpm.기본_색인번호, 0),
_xlpm.소모탄환보정치, VLOOKUP($H141, Factor!$T$5:$AA$51, _xlpm.기본_색인번호, 0),
_xlpm.지형보정치, VLOOKUP($I141, Factor!$K$12:$R$13, _xlpm.기본_색인번호, 0),
_xlpm.공격속성보정치, VLOOKUP($J141, Factor!$K$5:$R$7, _xlpm.기본_색인번호, 0),
_xlpm.피해범위보정치, INDEX(Factor!$AN$5:$AV$51, _xlfn.XMATCH(IF(OR($G141="blast", $G141="curved",  $G141= "debuff"), $L141, 0), Factor!$AN$5:$AN$51, -1), _xlpm.추가_색인번호)-IF(AND(OR($G141="blast", $G141="curved", $G141= "debuff"), MOD($L141,1)&lt;&gt;0),INDEX(Factor!$AN$5:$AV$51, _xlfn.XMATCH(IF(OR($G141="blast", $G141="curved", $G141= "debuff"), $L141, 0), Factor!$AN$5:$AN$51, -1), 2)*MOD($L141,1)*10,0),
_xlpm.상태이상보정치, VLOOKUP(IF($G141 = "debuff", $M141, "null"), Factor!$AX$5:$BE$51, _xlpm.기본_색인번호, 0),
_xlpm.지속시간보정치, INDEX(Factor!$BG$5:$BO$51, _xlfn.XMATCH(IF(OR($G141 ="debuff", $G141 = "shot", $G141 = "pierce"), $O141, 0), Factor!$BG$5:$BG$51, -1), _xlpm.추가_색인번호)-IF(AND(OR($G141 ="debuff", $G141 = "shot", $G141 = "pierce"), MOD($O141, 1)&lt;&gt;0), 10*MOD($O141, 1)*INDEX(Factor!$BG$5:$BO$51, _xlfn.XMATCH(IF(OR($G141 ="debuff", $G141 = "shot", $G141 = "pierce"), $O141, 0), Factor!$BG$5:$BG$51, -1), 2), 0),
_xlpm.탄환개수보정치, VLOOKUP(IF(OR($G141 = "curved", $G141 = "shot"), $Q141, 1), Factor!$BQ$5:$BX$51, _xlpm.기본_색인번호, 0),
_xlpm.상태이상탄환생성위치보정치, IF($G141 = "debuff", VLOOKUP($R141, Factor!$K$18:$R$19, _xlpm.기본_색인번호, 0),1),
_xlpm.상태이상탄환형태보정치, IF($G141 = "debuff", VLOOKUP($S141, Factor!$K$24:$R$25, _xlpm.기본_색인번호, 0),1),
_xlpm.가격보정치, INDEX(Factor!$AE$5:$AL$51, _xlfn.XMATCH($F141,Factor!$AE$5:$AE$51, -1), _xlpm.기본_색인번호),
_xlpm.구경보정치, VLOOKUP($D141,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142" spans="1:33" ht="15.75" customHeight="1">
      <c r="A142" s="28" t="str">
        <f>"weapon_"&amp;G142&amp;"_"&amp;VLOOKUP(H142, Factor!$T$5:$AB$7, 9, 0)&amp;"_"&amp;IF(COUNTIFS($G$4:G141, G142, $H$4:H141, H142)+1&gt;=100, COUNTIFS($G$4:G141, G142, $H$4:H141, H142)+1,IF(COUNTIFS($G$4:G141, G142, $H$4:H141, H142)+1&gt;=10, "0"&amp;COUNTIFS($G$4:G141, G142, $H$4:H141, H142)+1, "00"&amp;COUNTIFS($G$4:G141, G142, $H$4:H141, H142)+1))</f>
        <v>weapon_pierce_Sh_006</v>
      </c>
      <c r="B142" s="37" t="str">
        <f t="shared" si="2"/>
        <v>T2 105mm직사포</v>
      </c>
      <c r="C142" s="37" t="s">
        <v>246</v>
      </c>
      <c r="D142" s="37" t="s">
        <v>272</v>
      </c>
      <c r="E142" s="37" t="s">
        <v>278</v>
      </c>
      <c r="F142" s="29">
        <f>VLOOKUP(C142, Factor!$AD$5:$AE$15, 2, 0)</f>
        <v>2000</v>
      </c>
      <c r="G142" s="29" t="str">
        <f>VLOOKUP(E142, Factor!$CL$5:$CV$50, 2, 0)</f>
        <v>pierce</v>
      </c>
      <c r="H142" s="29" t="str">
        <f>VLOOKUP(E142, Factor!$CL$5:$CV$50, 3, 0)</f>
        <v>shell</v>
      </c>
      <c r="I142" s="29" t="str">
        <f>VLOOKUP(E142, Factor!$CL$5:$CV$50, 4, 0)</f>
        <v>L</v>
      </c>
      <c r="J142" s="29" t="str">
        <f>VLOOKUP(E142, Factor!$CL$5:$CV$50, 5, 0)</f>
        <v>normal</v>
      </c>
      <c r="K142" s="29">
        <v>1</v>
      </c>
      <c r="L142" s="29">
        <f>VLOOKUP(E142, Factor!$CL$5:$CV$50, 6, 0)*K142*VLOOKUP(D142, Factor!$BZ$5:$CJ$49, 9, 0)</f>
        <v>0</v>
      </c>
      <c r="M142" s="29" t="str">
        <f>VLOOKUP(E142, Factor!$CL$5:$CV$50, 7, 0)</f>
        <v>null</v>
      </c>
      <c r="N142" s="29">
        <v>1</v>
      </c>
      <c r="O142" s="29">
        <f>VLOOKUP(E142, Factor!$CL$5:$CV$50, 8, 0)*N142*VLOOKUP(D142, Factor!$BZ$5:$CJ$49, 10, 0)</f>
        <v>24</v>
      </c>
      <c r="P142" s="29">
        <v>1</v>
      </c>
      <c r="Q142" s="29">
        <f>VLOOKUP(E142, Factor!$CL$5:$CV$50, 9, 0)*P142*VLOOKUP(D142, Factor!$BZ$5:$CJ$49, 11, 0)</f>
        <v>8</v>
      </c>
      <c r="R142" s="29" t="str">
        <f>VLOOKUP(E142, Factor!$CL$5:$CV$50, 10, 0)</f>
        <v>null</v>
      </c>
      <c r="S142" s="29" t="str">
        <f>VLOOKUP(E142, Factor!$CL$5:$CV$50, 11, 0)</f>
        <v>null</v>
      </c>
      <c r="T142" s="29">
        <v>1</v>
      </c>
      <c r="U142" s="29">
        <v>1</v>
      </c>
      <c r="V142" s="29">
        <v>1</v>
      </c>
      <c r="W142" s="29">
        <v>1</v>
      </c>
      <c r="X142" s="29">
        <v>1</v>
      </c>
      <c r="Y142" s="29">
        <v>1</v>
      </c>
      <c r="Z142" s="29">
        <v>1</v>
      </c>
      <c r="AA142" s="29" cm="1">
        <f t="array" ref="AA142">_xlfn.LET(_xlpm.기본_색인번호, 2,
_xlpm.추가_색인번호, 3,
_xlpm.개별보정치, T142,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142" s="29" cm="1">
        <f t="array" ref="AB142">_xlfn.LET(_xlpm.기본_색인번호, 3,
_xlpm.추가_색인번호, 4,
_xlpm.개별보정치, U142,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142" s="29" cm="1">
        <f t="array" ref="AC142">_xlfn.LET(_xlpm.기본_색인번호, 4,
_xlpm.추가_색인번호, 5,
_xlpm.개별보정치, V142,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2" s="29" cm="1">
        <f t="array" ref="AD142">_xlfn.LET(_xlpm.기본_색인번호, 5,
_xlpm.추가_색인번호, 6,
_xlpm.개별보정치, W142,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142" s="29" cm="1">
        <f t="array" ref="AE142">_xlfn.LET(_xlpm.기본_색인번호, 6,
_xlpm.추가_색인번호, 7,
_xlpm.개별보정치, X142,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142" s="29" cm="1">
        <f t="array" ref="AF142">_xlfn.LET(_xlpm.기본_색인번호, 7,
_xlpm.추가_색인번호, 8,
_xlpm.개별보정치, Y142,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2" s="30" cm="1">
        <f t="array" ref="AG142">_xlfn.LET(_xlpm.기본_색인번호, 8,
_xlpm.추가_색인번호, 9,
_xlpm.개별보정치, Z142,
_xlpm.패턴보정치, VLOOKUP($G142, Factor!$B$5:$I$51, _xlpm.기본_색인번호, 0),
_xlpm.소모탄환보정치, VLOOKUP($H142, Factor!$T$5:$AA$51, _xlpm.기본_색인번호, 0),
_xlpm.지형보정치, VLOOKUP($I142, Factor!$K$12:$R$13, _xlpm.기본_색인번호, 0),
_xlpm.공격속성보정치, VLOOKUP($J142, Factor!$K$5:$R$7, _xlpm.기본_색인번호, 0),
_xlpm.피해범위보정치, INDEX(Factor!$AN$5:$AV$51, _xlfn.XMATCH(IF(OR($G142="blast", $G142="curved",  $G142= "debuff"), $L142, 0), Factor!$AN$5:$AN$51, -1), _xlpm.추가_색인번호)-IF(AND(OR($G142="blast", $G142="curved", $G142= "debuff"), MOD($L142,1)&lt;&gt;0),INDEX(Factor!$AN$5:$AV$51, _xlfn.XMATCH(IF(OR($G142="blast", $G142="curved", $G142= "debuff"), $L142, 0), Factor!$AN$5:$AN$51, -1), 2)*MOD($L142,1)*10,0),
_xlpm.상태이상보정치, VLOOKUP(IF($G142 = "debuff", $M142, "null"), Factor!$AX$5:$BE$51, _xlpm.기본_색인번호, 0),
_xlpm.지속시간보정치, INDEX(Factor!$BG$5:$BO$51, _xlfn.XMATCH(IF(OR($G142 ="debuff", $G142 = "shot", $G142 = "pierce"), $O142, 0), Factor!$BG$5:$BG$51, -1), _xlpm.추가_색인번호)-IF(AND(OR($G142 ="debuff", $G142 = "shot", $G142 = "pierce"), MOD($O142, 1)&lt;&gt;0), 10*MOD($O142, 1)*INDEX(Factor!$BG$5:$BO$51, _xlfn.XMATCH(IF(OR($G142 ="debuff", $G142 = "shot", $G142 = "pierce"), $O142, 0), Factor!$BG$5:$BG$51, -1), 2), 0),
_xlpm.탄환개수보정치, VLOOKUP(IF(OR($G142 = "curved", $G142 = "shot"), $Q142, 1), Factor!$BQ$5:$BX$51, _xlpm.기본_색인번호, 0),
_xlpm.상태이상탄환생성위치보정치, IF($G142 = "debuff", VLOOKUP($R142, Factor!$K$18:$R$19, _xlpm.기본_색인번호, 0),1),
_xlpm.상태이상탄환형태보정치, IF($G142 = "debuff", VLOOKUP($S142, Factor!$K$24:$R$25, _xlpm.기본_색인번호, 0),1),
_xlpm.가격보정치, INDEX(Factor!$AE$5:$AL$51, _xlfn.XMATCH($F142,Factor!$AE$5:$AE$51, -1), _xlpm.기본_색인번호),
_xlpm.구경보정치, VLOOKUP($D142,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143" spans="1:33" ht="15.75" customHeight="1">
      <c r="A143" s="24" t="str">
        <f>"weapon_"&amp;G143&amp;"_"&amp;VLOOKUP(H143, Factor!$T$5:$AB$7, 9, 0)&amp;"_"&amp;IF(COUNTIFS($G$4:G142, G143, $H$4:H142, H143)+1&gt;=100, COUNTIFS($G$4:G142, G143, $H$4:H142, H143)+1,IF(COUNTIFS($G$4:G142, G143, $H$4:H142, H143)+1&gt;=10, "0"&amp;COUNTIFS($G$4:G142, G143, $H$4:H142, H143)+1, "00"&amp;COUNTIFS($G$4:G142, G143, $H$4:H142, H143)+1))</f>
        <v>weapon_pierce_Sh_007</v>
      </c>
      <c r="B143" s="36" t="str">
        <f t="shared" si="2"/>
        <v>T3 55mm직사포</v>
      </c>
      <c r="C143" s="36" t="s">
        <v>247</v>
      </c>
      <c r="D143" s="36" t="s">
        <v>270</v>
      </c>
      <c r="E143" s="36" t="s">
        <v>278</v>
      </c>
      <c r="F143" s="25">
        <f>VLOOKUP(C143, Factor!$AD$5:$AE$15, 2, 0)</f>
        <v>3000</v>
      </c>
      <c r="G143" s="26" t="str">
        <f>VLOOKUP(E143, Factor!$CL$5:$CV$50, 2, 0)</f>
        <v>pierce</v>
      </c>
      <c r="H143" s="25" t="str">
        <f>VLOOKUP(E143, Factor!$CL$5:$CV$50, 3, 0)</f>
        <v>shell</v>
      </c>
      <c r="I143" s="25" t="str">
        <f>VLOOKUP(E143, Factor!$CL$5:$CV$50, 4, 0)</f>
        <v>L</v>
      </c>
      <c r="J143" s="25" t="str">
        <f>VLOOKUP(E143, Factor!$CL$5:$CV$50, 5, 0)</f>
        <v>normal</v>
      </c>
      <c r="K143" s="25">
        <v>1</v>
      </c>
      <c r="L143" s="25">
        <f>VLOOKUP(E143, Factor!$CL$5:$CV$50, 6, 0)*K143*VLOOKUP(D143, Factor!$BZ$5:$CJ$49, 9, 0)</f>
        <v>0</v>
      </c>
      <c r="M143" s="25" t="str">
        <f>VLOOKUP(E143, Factor!$CL$5:$CV$50, 7, 0)</f>
        <v>null</v>
      </c>
      <c r="N143" s="25">
        <v>1</v>
      </c>
      <c r="O143" s="25">
        <f>VLOOKUP(E143, Factor!$CL$5:$CV$50, 8, 0)*N143*VLOOKUP(D143, Factor!$BZ$5:$CJ$49, 10, 0)</f>
        <v>21</v>
      </c>
      <c r="P143" s="25">
        <v>1</v>
      </c>
      <c r="Q143" s="25">
        <f>VLOOKUP(E143, Factor!$CL$5:$CV$50, 9, 0)*P143*VLOOKUP(D143, Factor!$BZ$5:$CJ$49, 11, 0)</f>
        <v>7</v>
      </c>
      <c r="R143" s="25" t="str">
        <f>VLOOKUP(E143, Factor!$CL$5:$CV$50, 10, 0)</f>
        <v>null</v>
      </c>
      <c r="S143" s="25" t="str">
        <f>VLOOKUP(E143, Factor!$CL$5:$CV$50, 11, 0)</f>
        <v>null</v>
      </c>
      <c r="T143" s="25">
        <v>1</v>
      </c>
      <c r="U143" s="25">
        <v>1</v>
      </c>
      <c r="V143" s="25">
        <v>1</v>
      </c>
      <c r="W143" s="25">
        <v>1</v>
      </c>
      <c r="X143" s="25">
        <v>1</v>
      </c>
      <c r="Y143" s="25">
        <v>1</v>
      </c>
      <c r="Z143" s="25">
        <v>1</v>
      </c>
      <c r="AA143" s="25" cm="1">
        <f t="array" ref="AA143">_xlfn.LET(_xlpm.기본_색인번호, 2,
_xlpm.추가_색인번호, 3,
_xlpm.개별보정치, T143,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143" s="25" cm="1">
        <f t="array" ref="AB143">_xlfn.LET(_xlpm.기본_색인번호, 3,
_xlpm.추가_색인번호, 4,
_xlpm.개별보정치, U143,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3" s="25" cm="1">
        <f t="array" ref="AC143">_xlfn.LET(_xlpm.기본_색인번호, 4,
_xlpm.추가_색인번호, 5,
_xlpm.개별보정치, V143,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3" s="25" cm="1">
        <f t="array" ref="AD143">_xlfn.LET(_xlpm.기본_색인번호, 5,
_xlpm.추가_색인번호, 6,
_xlpm.개별보정치, W143,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E143" s="25" cm="1">
        <f t="array" ref="AE143">_xlfn.LET(_xlpm.기본_색인번호, 6,
_xlpm.추가_색인번호, 7,
_xlpm.개별보정치, X143,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F143" s="25" cm="1">
        <f t="array" ref="AF143">_xlfn.LET(_xlpm.기본_색인번호, 7,
_xlpm.추가_색인번호, 8,
_xlpm.개별보정치, Y143,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3" s="27" cm="1">
        <f t="array" ref="AG143">_xlfn.LET(_xlpm.기본_색인번호, 8,
_xlpm.추가_색인번호, 9,
_xlpm.개별보정치, Z143,
_xlpm.패턴보정치, VLOOKUP($G143, Factor!$B$5:$I$51, _xlpm.기본_색인번호, 0),
_xlpm.소모탄환보정치, VLOOKUP($H143, Factor!$T$5:$AA$51, _xlpm.기본_색인번호, 0),
_xlpm.지형보정치, VLOOKUP($I143, Factor!$K$12:$R$13, _xlpm.기본_색인번호, 0),
_xlpm.공격속성보정치, VLOOKUP($J143, Factor!$K$5:$R$7, _xlpm.기본_색인번호, 0),
_xlpm.피해범위보정치, INDEX(Factor!$AN$5:$AV$51, _xlfn.XMATCH(IF(OR($G143="blast", $G143="curved",  $G143= "debuff"), $L143, 0), Factor!$AN$5:$AN$51, -1), _xlpm.추가_색인번호)-IF(AND(OR($G143="blast", $G143="curved", $G143= "debuff"), MOD($L143,1)&lt;&gt;0),INDEX(Factor!$AN$5:$AV$51, _xlfn.XMATCH(IF(OR($G143="blast", $G143="curved", $G143= "debuff"), $L143, 0), Factor!$AN$5:$AN$51, -1), 2)*MOD($L143,1)*10,0),
_xlpm.상태이상보정치, VLOOKUP(IF($G143 = "debuff", $M143, "null"), Factor!$AX$5:$BE$51, _xlpm.기본_색인번호, 0),
_xlpm.지속시간보정치, INDEX(Factor!$BG$5:$BO$51, _xlfn.XMATCH(IF(OR($G143 ="debuff", $G143 = "shot", $G143 = "pierce"), $O143, 0), Factor!$BG$5:$BG$51, -1), _xlpm.추가_색인번호)-IF(AND(OR($G143 ="debuff", $G143 = "shot", $G143 = "pierce"), MOD($O143, 1)&lt;&gt;0), 10*MOD($O143, 1)*INDEX(Factor!$BG$5:$BO$51, _xlfn.XMATCH(IF(OR($G143 ="debuff", $G143 = "shot", $G143 = "pierce"), $O143, 0), Factor!$BG$5:$BG$51, -1), 2), 0),
_xlpm.탄환개수보정치, VLOOKUP(IF(OR($G143 = "curved", $G143 = "shot"), $Q143, 1), Factor!$BQ$5:$BX$51, _xlpm.기본_색인번호, 0),
_xlpm.상태이상탄환생성위치보정치, IF($G143 = "debuff", VLOOKUP($R143, Factor!$K$18:$R$19, _xlpm.기본_색인번호, 0),1),
_xlpm.상태이상탄환형태보정치, IF($G143 = "debuff", VLOOKUP($S143, Factor!$K$24:$R$25, _xlpm.기본_색인번호, 0),1),
_xlpm.가격보정치, INDEX(Factor!$AE$5:$AL$51, _xlfn.XMATCH($F143,Factor!$AE$5:$AE$51, -1), _xlpm.기본_색인번호),
_xlpm.구경보정치, VLOOKUP($D143,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</row>
    <row r="144" spans="1:33" ht="15.75" customHeight="1">
      <c r="A144" s="28" t="str">
        <f>"weapon_"&amp;G144&amp;"_"&amp;VLOOKUP(H144, Factor!$T$5:$AB$7, 9, 0)&amp;"_"&amp;IF(COUNTIFS($G$4:G143, G144, $H$4:H143, H144)+1&gt;=100, COUNTIFS($G$4:G143, G144, $H$4:H143, H144)+1,IF(COUNTIFS($G$4:G143, G144, $H$4:H143, H144)+1&gt;=10, "0"&amp;COUNTIFS($G$4:G143, G144, $H$4:H143, H144)+1, "00"&amp;COUNTIFS($G$4:G143, G144, $H$4:H143, H144)+1))</f>
        <v>weapon_pierce_Sh_008</v>
      </c>
      <c r="B144" s="37" t="str">
        <f t="shared" si="2"/>
        <v>T3 105mm직사포</v>
      </c>
      <c r="C144" s="37" t="s">
        <v>247</v>
      </c>
      <c r="D144" s="37" t="s">
        <v>272</v>
      </c>
      <c r="E144" s="37" t="s">
        <v>278</v>
      </c>
      <c r="F144" s="29">
        <f>VLOOKUP(C144, Factor!$AD$5:$AE$15, 2, 0)</f>
        <v>3000</v>
      </c>
      <c r="G144" s="29" t="str">
        <f>VLOOKUP(E144, Factor!$CL$5:$CV$50, 2, 0)</f>
        <v>pierce</v>
      </c>
      <c r="H144" s="29" t="str">
        <f>VLOOKUP(E144, Factor!$CL$5:$CV$50, 3, 0)</f>
        <v>shell</v>
      </c>
      <c r="I144" s="29" t="str">
        <f>VLOOKUP(E144, Factor!$CL$5:$CV$50, 4, 0)</f>
        <v>L</v>
      </c>
      <c r="J144" s="29" t="str">
        <f>VLOOKUP(E144, Factor!$CL$5:$CV$50, 5, 0)</f>
        <v>normal</v>
      </c>
      <c r="K144" s="29">
        <v>1</v>
      </c>
      <c r="L144" s="29">
        <f>VLOOKUP(E144, Factor!$CL$5:$CV$50, 6, 0)*K144*VLOOKUP(D144, Factor!$BZ$5:$CJ$49, 9, 0)</f>
        <v>0</v>
      </c>
      <c r="M144" s="29" t="str">
        <f>VLOOKUP(E144, Factor!$CL$5:$CV$50, 7, 0)</f>
        <v>null</v>
      </c>
      <c r="N144" s="29">
        <v>1</v>
      </c>
      <c r="O144" s="29">
        <f>VLOOKUP(E144, Factor!$CL$5:$CV$50, 8, 0)*N144*VLOOKUP(D144, Factor!$BZ$5:$CJ$49, 10, 0)</f>
        <v>24</v>
      </c>
      <c r="P144" s="29">
        <v>1</v>
      </c>
      <c r="Q144" s="29">
        <f>VLOOKUP(E144, Factor!$CL$5:$CV$50, 9, 0)*P144*VLOOKUP(D144, Factor!$BZ$5:$CJ$49, 11, 0)</f>
        <v>8</v>
      </c>
      <c r="R144" s="29" t="str">
        <f>VLOOKUP(E144, Factor!$CL$5:$CV$50, 10, 0)</f>
        <v>null</v>
      </c>
      <c r="S144" s="29" t="str">
        <f>VLOOKUP(E144, Factor!$CL$5:$CV$50, 11, 0)</f>
        <v>null</v>
      </c>
      <c r="T144" s="29">
        <v>1</v>
      </c>
      <c r="U144" s="29">
        <v>1</v>
      </c>
      <c r="V144" s="29">
        <v>1</v>
      </c>
      <c r="W144" s="29">
        <v>1</v>
      </c>
      <c r="X144" s="29">
        <v>1</v>
      </c>
      <c r="Y144" s="29">
        <v>1</v>
      </c>
      <c r="Z144" s="29">
        <v>1</v>
      </c>
      <c r="AA144" s="29" cm="1">
        <f t="array" ref="AA144">_xlfn.LET(_xlpm.기본_색인번호, 2,
_xlpm.추가_색인번호, 3,
_xlpm.개별보정치, T144,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144" s="29" cm="1">
        <f t="array" ref="AB144">_xlfn.LET(_xlpm.기본_색인번호, 3,
_xlpm.추가_색인번호, 4,
_xlpm.개별보정치, U144,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4" s="29" cm="1">
        <f t="array" ref="AC144">_xlfn.LET(_xlpm.기본_색인번호, 4,
_xlpm.추가_색인번호, 5,
_xlpm.개별보정치, V144,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4" s="29" cm="1">
        <f t="array" ref="AD144">_xlfn.LET(_xlpm.기본_색인번호, 5,
_xlpm.추가_색인번호, 6,
_xlpm.개별보정치, W144,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E144" s="29" cm="1">
        <f t="array" ref="AE144">_xlfn.LET(_xlpm.기본_색인번호, 6,
_xlpm.추가_색인번호, 7,
_xlpm.개별보정치, X144,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F144" s="29" cm="1">
        <f t="array" ref="AF144">_xlfn.LET(_xlpm.기본_색인번호, 7,
_xlpm.추가_색인번호, 8,
_xlpm.개별보정치, Y144,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4" s="30" cm="1">
        <f t="array" ref="AG144">_xlfn.LET(_xlpm.기본_색인번호, 8,
_xlpm.추가_색인번호, 9,
_xlpm.개별보정치, Z144,
_xlpm.패턴보정치, VLOOKUP($G144, Factor!$B$5:$I$51, _xlpm.기본_색인번호, 0),
_xlpm.소모탄환보정치, VLOOKUP($H144, Factor!$T$5:$AA$51, _xlpm.기본_색인번호, 0),
_xlpm.지형보정치, VLOOKUP($I144, Factor!$K$12:$R$13, _xlpm.기본_색인번호, 0),
_xlpm.공격속성보정치, VLOOKUP($J144, Factor!$K$5:$R$7, _xlpm.기본_색인번호, 0),
_xlpm.피해범위보정치, INDEX(Factor!$AN$5:$AV$51, _xlfn.XMATCH(IF(OR($G144="blast", $G144="curved",  $G144= "debuff"), $L144, 0), Factor!$AN$5:$AN$51, -1), _xlpm.추가_색인번호)-IF(AND(OR($G144="blast", $G144="curved", $G144= "debuff"), MOD($L144,1)&lt;&gt;0),INDEX(Factor!$AN$5:$AV$51, _xlfn.XMATCH(IF(OR($G144="blast", $G144="curved", $G144= "debuff"), $L144, 0), Factor!$AN$5:$AN$51, -1), 2)*MOD($L144,1)*10,0),
_xlpm.상태이상보정치, VLOOKUP(IF($G144 = "debuff", $M144, "null"), Factor!$AX$5:$BE$51, _xlpm.기본_색인번호, 0),
_xlpm.지속시간보정치, INDEX(Factor!$BG$5:$BO$51, _xlfn.XMATCH(IF(OR($G144 ="debuff", $G144 = "shot", $G144 = "pierce"), $O144, 0), Factor!$BG$5:$BG$51, -1), _xlpm.추가_색인번호)-IF(AND(OR($G144 ="debuff", $G144 = "shot", $G144 = "pierce"), MOD($O144, 1)&lt;&gt;0), 10*MOD($O144, 1)*INDEX(Factor!$BG$5:$BO$51, _xlfn.XMATCH(IF(OR($G144 ="debuff", $G144 = "shot", $G144 = "pierce"), $O144, 0), Factor!$BG$5:$BG$51, -1), 2), 0),
_xlpm.탄환개수보정치, VLOOKUP(IF(OR($G144 = "curved", $G144 = "shot"), $Q144, 1), Factor!$BQ$5:$BX$51, _xlpm.기본_색인번호, 0),
_xlpm.상태이상탄환생성위치보정치, IF($G144 = "debuff", VLOOKUP($R144, Factor!$K$18:$R$19, _xlpm.기본_색인번호, 0),1),
_xlpm.상태이상탄환형태보정치, IF($G144 = "debuff", VLOOKUP($S144, Factor!$K$24:$R$25, _xlpm.기본_색인번호, 0),1),
_xlpm.가격보정치, INDEX(Factor!$AE$5:$AL$51, _xlfn.XMATCH($F144,Factor!$AE$5:$AE$51, -1), _xlpm.기본_색인번호),
_xlpm.구경보정치, VLOOKUP($D144,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</row>
    <row r="145" spans="1:33" ht="15.75" customHeight="1">
      <c r="A145" s="24" t="str">
        <f>"weapon_"&amp;G145&amp;"_"&amp;VLOOKUP(H145, Factor!$T$5:$AB$7, 9, 0)&amp;"_"&amp;IF(COUNTIFS($G$4:G144, G145, $H$4:H144, H145)+1&gt;=100, COUNTIFS($G$4:G144, G145, $H$4:H144, H145)+1,IF(COUNTIFS($G$4:G144, G145, $H$4:H144, H145)+1&gt;=10, "0"&amp;COUNTIFS($G$4:G144, G145, $H$4:H144, H145)+1, "00"&amp;COUNTIFS($G$4:G144, G145, $H$4:H144, H145)+1))</f>
        <v>weapon_pierce_Sh_009</v>
      </c>
      <c r="B145" s="36" t="str">
        <f t="shared" si="2"/>
        <v>T4 55mm직사포</v>
      </c>
      <c r="C145" s="36" t="s">
        <v>249</v>
      </c>
      <c r="D145" s="36" t="s">
        <v>270</v>
      </c>
      <c r="E145" s="36" t="s">
        <v>278</v>
      </c>
      <c r="F145" s="25">
        <f>VLOOKUP(C145, Factor!$AD$5:$AE$15, 2, 0)</f>
        <v>4000</v>
      </c>
      <c r="G145" s="26" t="str">
        <f>VLOOKUP(E145, Factor!$CL$5:$CV$50, 2, 0)</f>
        <v>pierce</v>
      </c>
      <c r="H145" s="25" t="str">
        <f>VLOOKUP(E145, Factor!$CL$5:$CV$50, 3, 0)</f>
        <v>shell</v>
      </c>
      <c r="I145" s="25" t="str">
        <f>VLOOKUP(E145, Factor!$CL$5:$CV$50, 4, 0)</f>
        <v>L</v>
      </c>
      <c r="J145" s="25" t="str">
        <f>VLOOKUP(E145, Factor!$CL$5:$CV$50, 5, 0)</f>
        <v>normal</v>
      </c>
      <c r="K145" s="25">
        <v>1</v>
      </c>
      <c r="L145" s="25">
        <f>VLOOKUP(E145, Factor!$CL$5:$CV$50, 6, 0)*K145*VLOOKUP(D145, Factor!$BZ$5:$CJ$49, 9, 0)</f>
        <v>0</v>
      </c>
      <c r="M145" s="25" t="str">
        <f>VLOOKUP(E145, Factor!$CL$5:$CV$50, 7, 0)</f>
        <v>null</v>
      </c>
      <c r="N145" s="25">
        <v>1</v>
      </c>
      <c r="O145" s="25">
        <f>VLOOKUP(E145, Factor!$CL$5:$CV$50, 8, 0)*N145*VLOOKUP(D145, Factor!$BZ$5:$CJ$49, 10, 0)</f>
        <v>21</v>
      </c>
      <c r="P145" s="25">
        <v>1</v>
      </c>
      <c r="Q145" s="25">
        <f>VLOOKUP(E145, Factor!$CL$5:$CV$50, 9, 0)*P145*VLOOKUP(D145, Factor!$BZ$5:$CJ$49, 11, 0)</f>
        <v>7</v>
      </c>
      <c r="R145" s="25" t="str">
        <f>VLOOKUP(E145, Factor!$CL$5:$CV$50, 10, 0)</f>
        <v>null</v>
      </c>
      <c r="S145" s="25" t="str">
        <f>VLOOKUP(E145, Factor!$CL$5:$CV$50, 11, 0)</f>
        <v>null</v>
      </c>
      <c r="T145" s="25">
        <v>1</v>
      </c>
      <c r="U145" s="25">
        <v>1</v>
      </c>
      <c r="V145" s="25">
        <v>1</v>
      </c>
      <c r="W145" s="25">
        <v>1</v>
      </c>
      <c r="X145" s="25">
        <v>1</v>
      </c>
      <c r="Y145" s="25">
        <v>1</v>
      </c>
      <c r="Z145" s="25">
        <v>1</v>
      </c>
      <c r="AA145" s="25" cm="1">
        <f t="array" ref="AA145">_xlfn.LET(_xlpm.기본_색인번호, 2,
_xlpm.추가_색인번호, 3,
_xlpm.개별보정치, T145,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145" s="25" cm="1">
        <f t="array" ref="AB145">_xlfn.LET(_xlpm.기본_색인번호, 3,
_xlpm.추가_색인번호, 4,
_xlpm.개별보정치, U145,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5" s="25" cm="1">
        <f t="array" ref="AC145">_xlfn.LET(_xlpm.기본_색인번호, 4,
_xlpm.추가_색인번호, 5,
_xlpm.개별보정치, V145,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5" s="25" cm="1">
        <f t="array" ref="AD145">_xlfn.LET(_xlpm.기본_색인번호, 5,
_xlpm.추가_색인번호, 6,
_xlpm.개별보정치, W145,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E145" s="25" cm="1">
        <f t="array" ref="AE145">_xlfn.LET(_xlpm.기본_색인번호, 6,
_xlpm.추가_색인번호, 7,
_xlpm.개별보정치, X145,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F145" s="25" cm="1">
        <f t="array" ref="AF145">_xlfn.LET(_xlpm.기본_색인번호, 7,
_xlpm.추가_색인번호, 8,
_xlpm.개별보정치, Y145,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5" s="27" cm="1">
        <f t="array" ref="AG145">_xlfn.LET(_xlpm.기본_색인번호, 8,
_xlpm.추가_색인번호, 9,
_xlpm.개별보정치, Z145,
_xlpm.패턴보정치, VLOOKUP($G145, Factor!$B$5:$I$51, _xlpm.기본_색인번호, 0),
_xlpm.소모탄환보정치, VLOOKUP($H145, Factor!$T$5:$AA$51, _xlpm.기본_색인번호, 0),
_xlpm.지형보정치, VLOOKUP($I145, Factor!$K$12:$R$13, _xlpm.기본_색인번호, 0),
_xlpm.공격속성보정치, VLOOKUP($J145, Factor!$K$5:$R$7, _xlpm.기본_색인번호, 0),
_xlpm.피해범위보정치, INDEX(Factor!$AN$5:$AV$51, _xlfn.XMATCH(IF(OR($G145="blast", $G145="curved",  $G145= "debuff"), $L145, 0), Factor!$AN$5:$AN$51, -1), _xlpm.추가_색인번호)-IF(AND(OR($G145="blast", $G145="curved", $G145= "debuff"), MOD($L145,1)&lt;&gt;0),INDEX(Factor!$AN$5:$AV$51, _xlfn.XMATCH(IF(OR($G145="blast", $G145="curved", $G145= "debuff"), $L145, 0), Factor!$AN$5:$AN$51, -1), 2)*MOD($L145,1)*10,0),
_xlpm.상태이상보정치, VLOOKUP(IF($G145 = "debuff", $M145, "null"), Factor!$AX$5:$BE$51, _xlpm.기본_색인번호, 0),
_xlpm.지속시간보정치, INDEX(Factor!$BG$5:$BO$51, _xlfn.XMATCH(IF(OR($G145 ="debuff", $G145 = "shot", $G145 = "pierce"), $O145, 0), Factor!$BG$5:$BG$51, -1), _xlpm.추가_색인번호)-IF(AND(OR($G145 ="debuff", $G145 = "shot", $G145 = "pierce"), MOD($O145, 1)&lt;&gt;0), 10*MOD($O145, 1)*INDEX(Factor!$BG$5:$BO$51, _xlfn.XMATCH(IF(OR($G145 ="debuff", $G145 = "shot", $G145 = "pierce"), $O145, 0), Factor!$BG$5:$BG$51, -1), 2), 0),
_xlpm.탄환개수보정치, VLOOKUP(IF(OR($G145 = "curved", $G145 = "shot"), $Q145, 1), Factor!$BQ$5:$BX$51, _xlpm.기본_색인번호, 0),
_xlpm.상태이상탄환생성위치보정치, IF($G145 = "debuff", VLOOKUP($R145, Factor!$K$18:$R$19, _xlpm.기본_색인번호, 0),1),
_xlpm.상태이상탄환형태보정치, IF($G145 = "debuff", VLOOKUP($S145, Factor!$K$24:$R$25, _xlpm.기본_색인번호, 0),1),
_xlpm.가격보정치, INDEX(Factor!$AE$5:$AL$51, _xlfn.XMATCH($F145,Factor!$AE$5:$AE$51, -1), _xlpm.기본_색인번호),
_xlpm.구경보정치, VLOOKUP($D145,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</row>
    <row r="146" spans="1:33" ht="15.75" customHeight="1">
      <c r="A146" s="28" t="str">
        <f>"weapon_"&amp;G146&amp;"_"&amp;VLOOKUP(H146, Factor!$T$5:$AB$7, 9, 0)&amp;"_"&amp;IF(COUNTIFS($G$4:G145, G146, $H$4:H145, H146)+1&gt;=100, COUNTIFS($G$4:G145, G146, $H$4:H145, H146)+1,IF(COUNTIFS($G$4:G145, G146, $H$4:H145, H146)+1&gt;=10, "0"&amp;COUNTIFS($G$4:G145, G146, $H$4:H145, H146)+1, "00"&amp;COUNTIFS($G$4:G145, G146, $H$4:H145, H146)+1))</f>
        <v>weapon_pierce_Sh_010</v>
      </c>
      <c r="B146" s="37" t="str">
        <f t="shared" si="2"/>
        <v>T4 105mm직사포</v>
      </c>
      <c r="C146" s="37" t="s">
        <v>249</v>
      </c>
      <c r="D146" s="37" t="s">
        <v>272</v>
      </c>
      <c r="E146" s="37" t="s">
        <v>278</v>
      </c>
      <c r="F146" s="29">
        <f>VLOOKUP(C146, Factor!$AD$5:$AE$15, 2, 0)</f>
        <v>4000</v>
      </c>
      <c r="G146" s="29" t="str">
        <f>VLOOKUP(E146, Factor!$CL$5:$CV$50, 2, 0)</f>
        <v>pierce</v>
      </c>
      <c r="H146" s="29" t="str">
        <f>VLOOKUP(E146, Factor!$CL$5:$CV$50, 3, 0)</f>
        <v>shell</v>
      </c>
      <c r="I146" s="29" t="str">
        <f>VLOOKUP(E146, Factor!$CL$5:$CV$50, 4, 0)</f>
        <v>L</v>
      </c>
      <c r="J146" s="29" t="str">
        <f>VLOOKUP(E146, Factor!$CL$5:$CV$50, 5, 0)</f>
        <v>normal</v>
      </c>
      <c r="K146" s="29">
        <v>1</v>
      </c>
      <c r="L146" s="29">
        <f>VLOOKUP(E146, Factor!$CL$5:$CV$50, 6, 0)*K146*VLOOKUP(D146, Factor!$BZ$5:$CJ$49, 9, 0)</f>
        <v>0</v>
      </c>
      <c r="M146" s="29" t="str">
        <f>VLOOKUP(E146, Factor!$CL$5:$CV$50, 7, 0)</f>
        <v>null</v>
      </c>
      <c r="N146" s="29">
        <v>1</v>
      </c>
      <c r="O146" s="29">
        <f>VLOOKUP(E146, Factor!$CL$5:$CV$50, 8, 0)*N146*VLOOKUP(D146, Factor!$BZ$5:$CJ$49, 10, 0)</f>
        <v>24</v>
      </c>
      <c r="P146" s="29">
        <v>1</v>
      </c>
      <c r="Q146" s="29">
        <f>VLOOKUP(E146, Factor!$CL$5:$CV$50, 9, 0)*P146*VLOOKUP(D146, Factor!$BZ$5:$CJ$49, 11, 0)</f>
        <v>8</v>
      </c>
      <c r="R146" s="29" t="str">
        <f>VLOOKUP(E146, Factor!$CL$5:$CV$50, 10, 0)</f>
        <v>null</v>
      </c>
      <c r="S146" s="29" t="str">
        <f>VLOOKUP(E146, Factor!$CL$5:$CV$50, 11, 0)</f>
        <v>null</v>
      </c>
      <c r="T146" s="29">
        <v>1</v>
      </c>
      <c r="U146" s="29">
        <v>1</v>
      </c>
      <c r="V146" s="29">
        <v>1</v>
      </c>
      <c r="W146" s="29">
        <v>1</v>
      </c>
      <c r="X146" s="29">
        <v>1</v>
      </c>
      <c r="Y146" s="29">
        <v>1</v>
      </c>
      <c r="Z146" s="29">
        <v>1</v>
      </c>
      <c r="AA146" s="29" cm="1">
        <f t="array" ref="AA146">_xlfn.LET(_xlpm.기본_색인번호, 2,
_xlpm.추가_색인번호, 3,
_xlpm.개별보정치, T146,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146" s="29" cm="1">
        <f t="array" ref="AB146">_xlfn.LET(_xlpm.기본_색인번호, 3,
_xlpm.추가_색인번호, 4,
_xlpm.개별보정치, U146,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6" s="29" cm="1">
        <f t="array" ref="AC146">_xlfn.LET(_xlpm.기본_색인번호, 4,
_xlpm.추가_색인번호, 5,
_xlpm.개별보정치, V146,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6" s="29" cm="1">
        <f t="array" ref="AD146">_xlfn.LET(_xlpm.기본_색인번호, 5,
_xlpm.추가_색인번호, 6,
_xlpm.개별보정치, W146,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E146" s="29" cm="1">
        <f t="array" ref="AE146">_xlfn.LET(_xlpm.기본_색인번호, 6,
_xlpm.추가_색인번호, 7,
_xlpm.개별보정치, X146,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F146" s="29" cm="1">
        <f t="array" ref="AF146">_xlfn.LET(_xlpm.기본_색인번호, 7,
_xlpm.추가_색인번호, 8,
_xlpm.개별보정치, Y146,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6" s="30" cm="1">
        <f t="array" ref="AG146">_xlfn.LET(_xlpm.기본_색인번호, 8,
_xlpm.추가_색인번호, 9,
_xlpm.개별보정치, Z146,
_xlpm.패턴보정치, VLOOKUP($G146, Factor!$B$5:$I$51, _xlpm.기본_색인번호, 0),
_xlpm.소모탄환보정치, VLOOKUP($H146, Factor!$T$5:$AA$51, _xlpm.기본_색인번호, 0),
_xlpm.지형보정치, VLOOKUP($I146, Factor!$K$12:$R$13, _xlpm.기본_색인번호, 0),
_xlpm.공격속성보정치, VLOOKUP($J146, Factor!$K$5:$R$7, _xlpm.기본_색인번호, 0),
_xlpm.피해범위보정치, INDEX(Factor!$AN$5:$AV$51, _xlfn.XMATCH(IF(OR($G146="blast", $G146="curved",  $G146= "debuff"), $L146, 0), Factor!$AN$5:$AN$51, -1), _xlpm.추가_색인번호)-IF(AND(OR($G146="blast", $G146="curved", $G146= "debuff"), MOD($L146,1)&lt;&gt;0),INDEX(Factor!$AN$5:$AV$51, _xlfn.XMATCH(IF(OR($G146="blast", $G146="curved", $G146= "debuff"), $L146, 0), Factor!$AN$5:$AN$51, -1), 2)*MOD($L146,1)*10,0),
_xlpm.상태이상보정치, VLOOKUP(IF($G146 = "debuff", $M146, "null"), Factor!$AX$5:$BE$51, _xlpm.기본_색인번호, 0),
_xlpm.지속시간보정치, INDEX(Factor!$BG$5:$BO$51, _xlfn.XMATCH(IF(OR($G146 ="debuff", $G146 = "shot", $G146 = "pierce"), $O146, 0), Factor!$BG$5:$BG$51, -1), _xlpm.추가_색인번호)-IF(AND(OR($G146 ="debuff", $G146 = "shot", $G146 = "pierce"), MOD($O146, 1)&lt;&gt;0), 10*MOD($O146, 1)*INDEX(Factor!$BG$5:$BO$51, _xlfn.XMATCH(IF(OR($G146 ="debuff", $G146 = "shot", $G146 = "pierce"), $O146, 0), Factor!$BG$5:$BG$51, -1), 2), 0),
_xlpm.탄환개수보정치, VLOOKUP(IF(OR($G146 = "curved", $G146 = "shot"), $Q146, 1), Factor!$BQ$5:$BX$51, _xlpm.기본_색인번호, 0),
_xlpm.상태이상탄환생성위치보정치, IF($G146 = "debuff", VLOOKUP($R146, Factor!$K$18:$R$19, _xlpm.기본_색인번호, 0),1),
_xlpm.상태이상탄환형태보정치, IF($G146 = "debuff", VLOOKUP($S146, Factor!$K$24:$R$25, _xlpm.기본_색인번호, 0),1),
_xlpm.가격보정치, INDEX(Factor!$AE$5:$AL$51, _xlfn.XMATCH($F146,Factor!$AE$5:$AE$51, -1), _xlpm.기본_색인번호),
_xlpm.구경보정치, VLOOKUP($D146,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</row>
    <row r="147" spans="1:33" ht="15.75" customHeight="1">
      <c r="A147" s="24" t="str">
        <f>"weapon_"&amp;G147&amp;"_"&amp;VLOOKUP(H147, Factor!$T$5:$AB$7, 9, 0)&amp;"_"&amp;IF(COUNTIFS($G$4:G146, G147, $H$4:H146, H147)+1&gt;=100, COUNTIFS($G$4:G146, G147, $H$4:H146, H147)+1,IF(COUNTIFS($G$4:G146, G147, $H$4:H146, H147)+1&gt;=10, "0"&amp;COUNTIFS($G$4:G146, G147, $H$4:H146, H147)+1, "00"&amp;COUNTIFS($G$4:G146, G147, $H$4:H146, H147)+1))</f>
        <v>weapon_pierce_Sh_011</v>
      </c>
      <c r="B147" s="36" t="str">
        <f t="shared" si="2"/>
        <v>T5 55mm직사포</v>
      </c>
      <c r="C147" s="36" t="s">
        <v>251</v>
      </c>
      <c r="D147" s="36" t="s">
        <v>270</v>
      </c>
      <c r="E147" s="36" t="s">
        <v>278</v>
      </c>
      <c r="F147" s="25">
        <f>VLOOKUP(C147, Factor!$AD$5:$AE$15, 2, 0)</f>
        <v>5000</v>
      </c>
      <c r="G147" s="26" t="str">
        <f>VLOOKUP(E147, Factor!$CL$5:$CV$50, 2, 0)</f>
        <v>pierce</v>
      </c>
      <c r="H147" s="25" t="str">
        <f>VLOOKUP(E147, Factor!$CL$5:$CV$50, 3, 0)</f>
        <v>shell</v>
      </c>
      <c r="I147" s="25" t="str">
        <f>VLOOKUP(E147, Factor!$CL$5:$CV$50, 4, 0)</f>
        <v>L</v>
      </c>
      <c r="J147" s="25" t="str">
        <f>VLOOKUP(E147, Factor!$CL$5:$CV$50, 5, 0)</f>
        <v>normal</v>
      </c>
      <c r="K147" s="25">
        <v>1</v>
      </c>
      <c r="L147" s="25">
        <f>VLOOKUP(E147, Factor!$CL$5:$CV$50, 6, 0)*K147*VLOOKUP(D147, Factor!$BZ$5:$CJ$49, 9, 0)</f>
        <v>0</v>
      </c>
      <c r="M147" s="25" t="str">
        <f>VLOOKUP(E147, Factor!$CL$5:$CV$50, 7, 0)</f>
        <v>null</v>
      </c>
      <c r="N147" s="25">
        <v>1</v>
      </c>
      <c r="O147" s="25">
        <f>VLOOKUP(E147, Factor!$CL$5:$CV$50, 8, 0)*N147*VLOOKUP(D147, Factor!$BZ$5:$CJ$49, 10, 0)</f>
        <v>21</v>
      </c>
      <c r="P147" s="25">
        <v>1</v>
      </c>
      <c r="Q147" s="25">
        <f>VLOOKUP(E147, Factor!$CL$5:$CV$50, 9, 0)*P147*VLOOKUP(D147, Factor!$BZ$5:$CJ$49, 11, 0)</f>
        <v>7</v>
      </c>
      <c r="R147" s="25" t="str">
        <f>VLOOKUP(E147, Factor!$CL$5:$CV$50, 10, 0)</f>
        <v>null</v>
      </c>
      <c r="S147" s="25" t="str">
        <f>VLOOKUP(E147, Factor!$CL$5:$CV$50, 11, 0)</f>
        <v>null</v>
      </c>
      <c r="T147" s="25">
        <v>1</v>
      </c>
      <c r="U147" s="25">
        <v>1</v>
      </c>
      <c r="V147" s="25">
        <v>1</v>
      </c>
      <c r="W147" s="25">
        <v>1</v>
      </c>
      <c r="X147" s="25">
        <v>1</v>
      </c>
      <c r="Y147" s="25">
        <v>1</v>
      </c>
      <c r="Z147" s="25">
        <v>1</v>
      </c>
      <c r="AA147" s="25" cm="1">
        <f t="array" ref="AA147">_xlfn.LET(_xlpm.기본_색인번호, 2,
_xlpm.추가_색인번호, 3,
_xlpm.개별보정치, T147,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147" s="25" cm="1">
        <f t="array" ref="AB147">_xlfn.LET(_xlpm.기본_색인번호, 3,
_xlpm.추가_색인번호, 4,
_xlpm.개별보정치, U147,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7" s="25" cm="1">
        <f t="array" ref="AC147">_xlfn.LET(_xlpm.기본_색인번호, 4,
_xlpm.추가_색인번호, 5,
_xlpm.개별보정치, V147,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7" s="25" cm="1">
        <f t="array" ref="AD147">_xlfn.LET(_xlpm.기본_색인번호, 5,
_xlpm.추가_색인번호, 6,
_xlpm.개별보정치, W147,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147" s="25" cm="1">
        <f t="array" ref="AE147">_xlfn.LET(_xlpm.기본_색인번호, 6,
_xlpm.추가_색인번호, 7,
_xlpm.개별보정치, X147,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147" s="25" cm="1">
        <f t="array" ref="AF147">_xlfn.LET(_xlpm.기본_색인번호, 7,
_xlpm.추가_색인번호, 8,
_xlpm.개별보정치, Y147,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7" s="27" cm="1">
        <f t="array" ref="AG147">_xlfn.LET(_xlpm.기본_색인번호, 8,
_xlpm.추가_색인번호, 9,
_xlpm.개별보정치, Z147,
_xlpm.패턴보정치, VLOOKUP($G147, Factor!$B$5:$I$51, _xlpm.기본_색인번호, 0),
_xlpm.소모탄환보정치, VLOOKUP($H147, Factor!$T$5:$AA$51, _xlpm.기본_색인번호, 0),
_xlpm.지형보정치, VLOOKUP($I147, Factor!$K$12:$R$13, _xlpm.기본_색인번호, 0),
_xlpm.공격속성보정치, VLOOKUP($J147, Factor!$K$5:$R$7, _xlpm.기본_색인번호, 0),
_xlpm.피해범위보정치, INDEX(Factor!$AN$5:$AV$51, _xlfn.XMATCH(IF(OR($G147="blast", $G147="curved",  $G147= "debuff"), $L147, 0), Factor!$AN$5:$AN$51, -1), _xlpm.추가_색인번호)-IF(AND(OR($G147="blast", $G147="curved", $G147= "debuff"), MOD($L147,1)&lt;&gt;0),INDEX(Factor!$AN$5:$AV$51, _xlfn.XMATCH(IF(OR($G147="blast", $G147="curved", $G147= "debuff"), $L147, 0), Factor!$AN$5:$AN$51, -1), 2)*MOD($L147,1)*10,0),
_xlpm.상태이상보정치, VLOOKUP(IF($G147 = "debuff", $M147, "null"), Factor!$AX$5:$BE$51, _xlpm.기본_색인번호, 0),
_xlpm.지속시간보정치, INDEX(Factor!$BG$5:$BO$51, _xlfn.XMATCH(IF(OR($G147 ="debuff", $G147 = "shot", $G147 = "pierce"), $O147, 0), Factor!$BG$5:$BG$51, -1), _xlpm.추가_색인번호)-IF(AND(OR($G147 ="debuff", $G147 = "shot", $G147 = "pierce"), MOD($O147, 1)&lt;&gt;0), 10*MOD($O147, 1)*INDEX(Factor!$BG$5:$BO$51, _xlfn.XMATCH(IF(OR($G147 ="debuff", $G147 = "shot", $G147 = "pierce"), $O147, 0), Factor!$BG$5:$BG$51, -1), 2), 0),
_xlpm.탄환개수보정치, VLOOKUP(IF(OR($G147 = "curved", $G147 = "shot"), $Q147, 1), Factor!$BQ$5:$BX$51, _xlpm.기본_색인번호, 0),
_xlpm.상태이상탄환생성위치보정치, IF($G147 = "debuff", VLOOKUP($R147, Factor!$K$18:$R$19, _xlpm.기본_색인번호, 0),1),
_xlpm.상태이상탄환형태보정치, IF($G147 = "debuff", VLOOKUP($S147, Factor!$K$24:$R$25, _xlpm.기본_색인번호, 0),1),
_xlpm.가격보정치, INDEX(Factor!$AE$5:$AL$51, _xlfn.XMATCH($F147,Factor!$AE$5:$AE$51, -1), _xlpm.기본_색인번호),
_xlpm.구경보정치, VLOOKUP($D147,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148" spans="1:33" ht="15.75" customHeight="1">
      <c r="A148" s="28" t="str">
        <f>"weapon_"&amp;G148&amp;"_"&amp;VLOOKUP(H148, Factor!$T$5:$AB$7, 9, 0)&amp;"_"&amp;IF(COUNTIFS($G$4:G147, G148, $H$4:H147, H148)+1&gt;=100, COUNTIFS($G$4:G147, G148, $H$4:H147, H148)+1,IF(COUNTIFS($G$4:G147, G148, $H$4:H147, H148)+1&gt;=10, "0"&amp;COUNTIFS($G$4:G147, G148, $H$4:H147, H148)+1, "00"&amp;COUNTIFS($G$4:G147, G148, $H$4:H147, H148)+1))</f>
        <v>weapon_pierce_Sh_012</v>
      </c>
      <c r="B148" s="37" t="str">
        <f t="shared" si="2"/>
        <v>T5 105mm직사포</v>
      </c>
      <c r="C148" s="37" t="s">
        <v>251</v>
      </c>
      <c r="D148" s="37" t="s">
        <v>272</v>
      </c>
      <c r="E148" s="37" t="s">
        <v>278</v>
      </c>
      <c r="F148" s="29">
        <f>VLOOKUP(C148, Factor!$AD$5:$AE$15, 2, 0)</f>
        <v>5000</v>
      </c>
      <c r="G148" s="29" t="str">
        <f>VLOOKUP(E148, Factor!$CL$5:$CV$50, 2, 0)</f>
        <v>pierce</v>
      </c>
      <c r="H148" s="29" t="str">
        <f>VLOOKUP(E148, Factor!$CL$5:$CV$50, 3, 0)</f>
        <v>shell</v>
      </c>
      <c r="I148" s="29" t="str">
        <f>VLOOKUP(E148, Factor!$CL$5:$CV$50, 4, 0)</f>
        <v>L</v>
      </c>
      <c r="J148" s="29" t="str">
        <f>VLOOKUP(E148, Factor!$CL$5:$CV$50, 5, 0)</f>
        <v>normal</v>
      </c>
      <c r="K148" s="29">
        <v>1</v>
      </c>
      <c r="L148" s="29">
        <f>VLOOKUP(E148, Factor!$CL$5:$CV$50, 6, 0)*K148*VLOOKUP(D148, Factor!$BZ$5:$CJ$49, 9, 0)</f>
        <v>0</v>
      </c>
      <c r="M148" s="29" t="str">
        <f>VLOOKUP(E148, Factor!$CL$5:$CV$50, 7, 0)</f>
        <v>null</v>
      </c>
      <c r="N148" s="29">
        <v>1</v>
      </c>
      <c r="O148" s="29">
        <f>VLOOKUP(E148, Factor!$CL$5:$CV$50, 8, 0)*N148*VLOOKUP(D148, Factor!$BZ$5:$CJ$49, 10, 0)</f>
        <v>24</v>
      </c>
      <c r="P148" s="29">
        <v>1</v>
      </c>
      <c r="Q148" s="29">
        <f>VLOOKUP(E148, Factor!$CL$5:$CV$50, 9, 0)*P148*VLOOKUP(D148, Factor!$BZ$5:$CJ$49, 11, 0)</f>
        <v>8</v>
      </c>
      <c r="R148" s="29" t="str">
        <f>VLOOKUP(E148, Factor!$CL$5:$CV$50, 10, 0)</f>
        <v>null</v>
      </c>
      <c r="S148" s="29" t="str">
        <f>VLOOKUP(E148, Factor!$CL$5:$CV$50, 11, 0)</f>
        <v>null</v>
      </c>
      <c r="T148" s="29">
        <v>1</v>
      </c>
      <c r="U148" s="29">
        <v>1</v>
      </c>
      <c r="V148" s="29">
        <v>1</v>
      </c>
      <c r="W148" s="29">
        <v>1</v>
      </c>
      <c r="X148" s="29">
        <v>1</v>
      </c>
      <c r="Y148" s="29">
        <v>1</v>
      </c>
      <c r="Z148" s="29">
        <v>1</v>
      </c>
      <c r="AA148" s="29" cm="1">
        <f t="array" ref="AA148">_xlfn.LET(_xlpm.기본_색인번호, 2,
_xlpm.추가_색인번호, 3,
_xlpm.개별보정치, T148,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148" s="29" cm="1">
        <f t="array" ref="AB148">_xlfn.LET(_xlpm.기본_색인번호, 3,
_xlpm.추가_색인번호, 4,
_xlpm.개별보정치, U148,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148" s="29" cm="1">
        <f t="array" ref="AC148">_xlfn.LET(_xlpm.기본_색인번호, 4,
_xlpm.추가_색인번호, 5,
_xlpm.개별보정치, V148,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8" s="29" cm="1">
        <f t="array" ref="AD148">_xlfn.LET(_xlpm.기본_색인번호, 5,
_xlpm.추가_색인번호, 6,
_xlpm.개별보정치, W148,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148" s="29" cm="1">
        <f t="array" ref="AE148">_xlfn.LET(_xlpm.기본_색인번호, 6,
_xlpm.추가_색인번호, 7,
_xlpm.개별보정치, X148,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148" s="29" cm="1">
        <f t="array" ref="AF148">_xlfn.LET(_xlpm.기본_색인번호, 7,
_xlpm.추가_색인번호, 8,
_xlpm.개별보정치, Y148,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8" s="30" cm="1">
        <f t="array" ref="AG148">_xlfn.LET(_xlpm.기본_색인번호, 8,
_xlpm.추가_색인번호, 9,
_xlpm.개별보정치, Z148,
_xlpm.패턴보정치, VLOOKUP($G148, Factor!$B$5:$I$51, _xlpm.기본_색인번호, 0),
_xlpm.소모탄환보정치, VLOOKUP($H148, Factor!$T$5:$AA$51, _xlpm.기본_색인번호, 0),
_xlpm.지형보정치, VLOOKUP($I148, Factor!$K$12:$R$13, _xlpm.기본_색인번호, 0),
_xlpm.공격속성보정치, VLOOKUP($J148, Factor!$K$5:$R$7, _xlpm.기본_색인번호, 0),
_xlpm.피해범위보정치, INDEX(Factor!$AN$5:$AV$51, _xlfn.XMATCH(IF(OR($G148="blast", $G148="curved",  $G148= "debuff"), $L148, 0), Factor!$AN$5:$AN$51, -1), _xlpm.추가_색인번호)-IF(AND(OR($G148="blast", $G148="curved", $G148= "debuff"), MOD($L148,1)&lt;&gt;0),INDEX(Factor!$AN$5:$AV$51, _xlfn.XMATCH(IF(OR($G148="blast", $G148="curved", $G148= "debuff"), $L148, 0), Factor!$AN$5:$AN$51, -1), 2)*MOD($L148,1)*10,0),
_xlpm.상태이상보정치, VLOOKUP(IF($G148 = "debuff", $M148, "null"), Factor!$AX$5:$BE$51, _xlpm.기본_색인번호, 0),
_xlpm.지속시간보정치, INDEX(Factor!$BG$5:$BO$51, _xlfn.XMATCH(IF(OR($G148 ="debuff", $G148 = "shot", $G148 = "pierce"), $O148, 0), Factor!$BG$5:$BG$51, -1), _xlpm.추가_색인번호)-IF(AND(OR($G148 ="debuff", $G148 = "shot", $G148 = "pierce"), MOD($O148, 1)&lt;&gt;0), 10*MOD($O148, 1)*INDEX(Factor!$BG$5:$BO$51, _xlfn.XMATCH(IF(OR($G148 ="debuff", $G148 = "shot", $G148 = "pierce"), $O148, 0), Factor!$BG$5:$BG$51, -1), 2), 0),
_xlpm.탄환개수보정치, VLOOKUP(IF(OR($G148 = "curved", $G148 = "shot"), $Q148, 1), Factor!$BQ$5:$BX$51, _xlpm.기본_색인번호, 0),
_xlpm.상태이상탄환생성위치보정치, IF($G148 = "debuff", VLOOKUP($R148, Factor!$K$18:$R$19, _xlpm.기본_색인번호, 0),1),
_xlpm.상태이상탄환형태보정치, IF($G148 = "debuff", VLOOKUP($S148, Factor!$K$24:$R$25, _xlpm.기본_색인번호, 0),1),
_xlpm.가격보정치, INDEX(Factor!$AE$5:$AL$51, _xlfn.XMATCH($F148,Factor!$AE$5:$AE$51, -1), _xlpm.기본_색인번호),
_xlpm.구경보정치, VLOOKUP($D148,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149" spans="1:33" ht="15.75" customHeight="1">
      <c r="A149" s="24" t="str">
        <f>"weapon_"&amp;G149&amp;"_"&amp;VLOOKUP(H149, Factor!$T$5:$AB$7, 9, 0)&amp;"_"&amp;IF(COUNTIFS($G$4:G148, G149, $H$4:H148, H149)+1&gt;=100, COUNTIFS($G$4:G148, G149, $H$4:H148, H149)+1,IF(COUNTIFS($G$4:G148, G149, $H$4:H148, H149)+1&gt;=10, "0"&amp;COUNTIFS($G$4:G148, G149, $H$4:H148, H149)+1, "00"&amp;COUNTIFS($G$4:G148, G149, $H$4:H148, H149)+1))</f>
        <v>weapon_pierce_Sh_013</v>
      </c>
      <c r="B149" s="36" t="str">
        <f t="shared" si="2"/>
        <v>T6 55mm직사포</v>
      </c>
      <c r="C149" s="36" t="s">
        <v>253</v>
      </c>
      <c r="D149" s="36" t="s">
        <v>270</v>
      </c>
      <c r="E149" s="36" t="s">
        <v>278</v>
      </c>
      <c r="F149" s="25">
        <f>VLOOKUP(C149, Factor!$AD$5:$AE$15, 2, 0)</f>
        <v>6000</v>
      </c>
      <c r="G149" s="26" t="str">
        <f>VLOOKUP(E149, Factor!$CL$5:$CV$50, 2, 0)</f>
        <v>pierce</v>
      </c>
      <c r="H149" s="25" t="str">
        <f>VLOOKUP(E149, Factor!$CL$5:$CV$50, 3, 0)</f>
        <v>shell</v>
      </c>
      <c r="I149" s="25" t="str">
        <f>VLOOKUP(E149, Factor!$CL$5:$CV$50, 4, 0)</f>
        <v>L</v>
      </c>
      <c r="J149" s="25" t="str">
        <f>VLOOKUP(E149, Factor!$CL$5:$CV$50, 5, 0)</f>
        <v>normal</v>
      </c>
      <c r="K149" s="25">
        <v>1</v>
      </c>
      <c r="L149" s="25">
        <f>VLOOKUP(E149, Factor!$CL$5:$CV$50, 6, 0)*K149*VLOOKUP(D149, Factor!$BZ$5:$CJ$49, 9, 0)</f>
        <v>0</v>
      </c>
      <c r="M149" s="25" t="str">
        <f>VLOOKUP(E149, Factor!$CL$5:$CV$50, 7, 0)</f>
        <v>null</v>
      </c>
      <c r="N149" s="25">
        <v>1</v>
      </c>
      <c r="O149" s="25">
        <f>VLOOKUP(E149, Factor!$CL$5:$CV$50, 8, 0)*N149*VLOOKUP(D149, Factor!$BZ$5:$CJ$49, 10, 0)</f>
        <v>21</v>
      </c>
      <c r="P149" s="25">
        <v>1</v>
      </c>
      <c r="Q149" s="25">
        <f>VLOOKUP(E149, Factor!$CL$5:$CV$50, 9, 0)*P149*VLOOKUP(D149, Factor!$BZ$5:$CJ$49, 11, 0)</f>
        <v>7</v>
      </c>
      <c r="R149" s="25" t="str">
        <f>VLOOKUP(E149, Factor!$CL$5:$CV$50, 10, 0)</f>
        <v>null</v>
      </c>
      <c r="S149" s="25" t="str">
        <f>VLOOKUP(E149, Factor!$CL$5:$CV$50, 11, 0)</f>
        <v>null</v>
      </c>
      <c r="T149" s="25">
        <v>1</v>
      </c>
      <c r="U149" s="25">
        <v>1</v>
      </c>
      <c r="V149" s="25">
        <v>1</v>
      </c>
      <c r="W149" s="25">
        <v>1</v>
      </c>
      <c r="X149" s="25">
        <v>1</v>
      </c>
      <c r="Y149" s="25">
        <v>1</v>
      </c>
      <c r="Z149" s="25">
        <v>1</v>
      </c>
      <c r="AA149" s="25" cm="1">
        <f t="array" ref="AA149">_xlfn.LET(_xlpm.기본_색인번호, 2,
_xlpm.추가_색인번호, 3,
_xlpm.개별보정치, T149,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149" s="25" cm="1">
        <f t="array" ref="AB149">_xlfn.LET(_xlpm.기본_색인번호, 3,
_xlpm.추가_색인번호, 4,
_xlpm.개별보정치, U149,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49" s="25" cm="1">
        <f t="array" ref="AC149">_xlfn.LET(_xlpm.기본_색인번호, 4,
_xlpm.추가_색인번호, 5,
_xlpm.개별보정치, V149,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49" s="25" cm="1">
        <f t="array" ref="AD149">_xlfn.LET(_xlpm.기본_색인번호, 5,
_xlpm.추가_색인번호, 6,
_xlpm.개별보정치, W149,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149" s="25" cm="1">
        <f t="array" ref="AE149">_xlfn.LET(_xlpm.기본_색인번호, 6,
_xlpm.추가_색인번호, 7,
_xlpm.개별보정치, X149,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149" s="25" cm="1">
        <f t="array" ref="AF149">_xlfn.LET(_xlpm.기본_색인번호, 7,
_xlpm.추가_색인번호, 8,
_xlpm.개별보정치, Y149,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49" s="27" cm="1">
        <f t="array" ref="AG149">_xlfn.LET(_xlpm.기본_색인번호, 8,
_xlpm.추가_색인번호, 9,
_xlpm.개별보정치, Z149,
_xlpm.패턴보정치, VLOOKUP($G149, Factor!$B$5:$I$51, _xlpm.기본_색인번호, 0),
_xlpm.소모탄환보정치, VLOOKUP($H149, Factor!$T$5:$AA$51, _xlpm.기본_색인번호, 0),
_xlpm.지형보정치, VLOOKUP($I149, Factor!$K$12:$R$13, _xlpm.기본_색인번호, 0),
_xlpm.공격속성보정치, VLOOKUP($J149, Factor!$K$5:$R$7, _xlpm.기본_색인번호, 0),
_xlpm.피해범위보정치, INDEX(Factor!$AN$5:$AV$51, _xlfn.XMATCH(IF(OR($G149="blast", $G149="curved",  $G149= "debuff"), $L149, 0), Factor!$AN$5:$AN$51, -1), _xlpm.추가_색인번호)-IF(AND(OR($G149="blast", $G149="curved", $G149= "debuff"), MOD($L149,1)&lt;&gt;0),INDEX(Factor!$AN$5:$AV$51, _xlfn.XMATCH(IF(OR($G149="blast", $G149="curved", $G149= "debuff"), $L149, 0), Factor!$AN$5:$AN$51, -1), 2)*MOD($L149,1)*10,0),
_xlpm.상태이상보정치, VLOOKUP(IF($G149 = "debuff", $M149, "null"), Factor!$AX$5:$BE$51, _xlpm.기본_색인번호, 0),
_xlpm.지속시간보정치, INDEX(Factor!$BG$5:$BO$51, _xlfn.XMATCH(IF(OR($G149 ="debuff", $G149 = "shot", $G149 = "pierce"), $O149, 0), Factor!$BG$5:$BG$51, -1), _xlpm.추가_색인번호)-IF(AND(OR($G149 ="debuff", $G149 = "shot", $G149 = "pierce"), MOD($O149, 1)&lt;&gt;0), 10*MOD($O149, 1)*INDEX(Factor!$BG$5:$BO$51, _xlfn.XMATCH(IF(OR($G149 ="debuff", $G149 = "shot", $G149 = "pierce"), $O149, 0), Factor!$BG$5:$BG$51, -1), 2), 0),
_xlpm.탄환개수보정치, VLOOKUP(IF(OR($G149 = "curved", $G149 = "shot"), $Q149, 1), Factor!$BQ$5:$BX$51, _xlpm.기본_색인번호, 0),
_xlpm.상태이상탄환생성위치보정치, IF($G149 = "debuff", VLOOKUP($R149, Factor!$K$18:$R$19, _xlpm.기본_색인번호, 0),1),
_xlpm.상태이상탄환형태보정치, IF($G149 = "debuff", VLOOKUP($S149, Factor!$K$24:$R$25, _xlpm.기본_색인번호, 0),1),
_xlpm.가격보정치, INDEX(Factor!$AE$5:$AL$51, _xlfn.XMATCH($F149,Factor!$AE$5:$AE$51, -1), _xlpm.기본_색인번호),
_xlpm.구경보정치, VLOOKUP($D149,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150" spans="1:33" ht="15.75" customHeight="1">
      <c r="A150" s="28" t="str">
        <f>"weapon_"&amp;G150&amp;"_"&amp;VLOOKUP(H150, Factor!$T$5:$AB$7, 9, 0)&amp;"_"&amp;IF(COUNTIFS($G$4:G149, G150, $H$4:H149, H150)+1&gt;=100, COUNTIFS($G$4:G149, G150, $H$4:H149, H150)+1,IF(COUNTIFS($G$4:G149, G150, $H$4:H149, H150)+1&gt;=10, "0"&amp;COUNTIFS($G$4:G149, G150, $H$4:H149, H150)+1, "00"&amp;COUNTIFS($G$4:G149, G150, $H$4:H149, H150)+1))</f>
        <v>weapon_pierce_Sh_014</v>
      </c>
      <c r="B150" s="37" t="str">
        <f t="shared" si="2"/>
        <v>T6 105mm직사포</v>
      </c>
      <c r="C150" s="37" t="s">
        <v>253</v>
      </c>
      <c r="D150" s="37" t="s">
        <v>272</v>
      </c>
      <c r="E150" s="37" t="s">
        <v>278</v>
      </c>
      <c r="F150" s="29">
        <f>VLOOKUP(C150, Factor!$AD$5:$AE$15, 2, 0)</f>
        <v>6000</v>
      </c>
      <c r="G150" s="29" t="str">
        <f>VLOOKUP(E150, Factor!$CL$5:$CV$50, 2, 0)</f>
        <v>pierce</v>
      </c>
      <c r="H150" s="29" t="str">
        <f>VLOOKUP(E150, Factor!$CL$5:$CV$50, 3, 0)</f>
        <v>shell</v>
      </c>
      <c r="I150" s="29" t="str">
        <f>VLOOKUP(E150, Factor!$CL$5:$CV$50, 4, 0)</f>
        <v>L</v>
      </c>
      <c r="J150" s="29" t="str">
        <f>VLOOKUP(E150, Factor!$CL$5:$CV$50, 5, 0)</f>
        <v>normal</v>
      </c>
      <c r="K150" s="29">
        <v>1</v>
      </c>
      <c r="L150" s="29">
        <f>VLOOKUP(E150, Factor!$CL$5:$CV$50, 6, 0)*K150*VLOOKUP(D150, Factor!$BZ$5:$CJ$49, 9, 0)</f>
        <v>0</v>
      </c>
      <c r="M150" s="29" t="str">
        <f>VLOOKUP(E150, Factor!$CL$5:$CV$50, 7, 0)</f>
        <v>null</v>
      </c>
      <c r="N150" s="29">
        <v>1</v>
      </c>
      <c r="O150" s="29">
        <f>VLOOKUP(E150, Factor!$CL$5:$CV$50, 8, 0)*N150*VLOOKUP(D150, Factor!$BZ$5:$CJ$49, 10, 0)</f>
        <v>24</v>
      </c>
      <c r="P150" s="29">
        <v>1</v>
      </c>
      <c r="Q150" s="29">
        <f>VLOOKUP(E150, Factor!$CL$5:$CV$50, 9, 0)*P150*VLOOKUP(D150, Factor!$BZ$5:$CJ$49, 11, 0)</f>
        <v>8</v>
      </c>
      <c r="R150" s="29" t="str">
        <f>VLOOKUP(E150, Factor!$CL$5:$CV$50, 10, 0)</f>
        <v>null</v>
      </c>
      <c r="S150" s="29" t="str">
        <f>VLOOKUP(E150, Factor!$CL$5:$CV$50, 11, 0)</f>
        <v>null</v>
      </c>
      <c r="T150" s="29">
        <v>1</v>
      </c>
      <c r="U150" s="29">
        <v>1</v>
      </c>
      <c r="V150" s="29">
        <v>1</v>
      </c>
      <c r="W150" s="29">
        <v>1</v>
      </c>
      <c r="X150" s="29">
        <v>1</v>
      </c>
      <c r="Y150" s="29">
        <v>1</v>
      </c>
      <c r="Z150" s="29">
        <v>1</v>
      </c>
      <c r="AA150" s="29" cm="1">
        <f t="array" ref="AA150">_xlfn.LET(_xlpm.기본_색인번호, 2,
_xlpm.추가_색인번호, 3,
_xlpm.개별보정치, T150,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150" s="29" cm="1">
        <f t="array" ref="AB150">_xlfn.LET(_xlpm.기본_색인번호, 3,
_xlpm.추가_색인번호, 4,
_xlpm.개별보정치, U150,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50" s="29" cm="1">
        <f t="array" ref="AC150">_xlfn.LET(_xlpm.기본_색인번호, 4,
_xlpm.추가_색인번호, 5,
_xlpm.개별보정치, V150,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0" s="29" cm="1">
        <f t="array" ref="AD150">_xlfn.LET(_xlpm.기본_색인번호, 5,
_xlpm.추가_색인번호, 6,
_xlpm.개별보정치, W150,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150" s="29" cm="1">
        <f t="array" ref="AE150">_xlfn.LET(_xlpm.기본_색인번호, 6,
_xlpm.추가_색인번호, 7,
_xlpm.개별보정치, X150,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150" s="29" cm="1">
        <f t="array" ref="AF150">_xlfn.LET(_xlpm.기본_색인번호, 7,
_xlpm.추가_색인번호, 8,
_xlpm.개별보정치, Y150,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0" s="30" cm="1">
        <f t="array" ref="AG150">_xlfn.LET(_xlpm.기본_색인번호, 8,
_xlpm.추가_색인번호, 9,
_xlpm.개별보정치, Z150,
_xlpm.패턴보정치, VLOOKUP($G150, Factor!$B$5:$I$51, _xlpm.기본_색인번호, 0),
_xlpm.소모탄환보정치, VLOOKUP($H150, Factor!$T$5:$AA$51, _xlpm.기본_색인번호, 0),
_xlpm.지형보정치, VLOOKUP($I150, Factor!$K$12:$R$13, _xlpm.기본_색인번호, 0),
_xlpm.공격속성보정치, VLOOKUP($J150, Factor!$K$5:$R$7, _xlpm.기본_색인번호, 0),
_xlpm.피해범위보정치, INDEX(Factor!$AN$5:$AV$51, _xlfn.XMATCH(IF(OR($G150="blast", $G150="curved",  $G150= "debuff"), $L150, 0), Factor!$AN$5:$AN$51, -1), _xlpm.추가_색인번호)-IF(AND(OR($G150="blast", $G150="curved", $G150= "debuff"), MOD($L150,1)&lt;&gt;0),INDEX(Factor!$AN$5:$AV$51, _xlfn.XMATCH(IF(OR($G150="blast", $G150="curved", $G150= "debuff"), $L150, 0), Factor!$AN$5:$AN$51, -1), 2)*MOD($L150,1)*10,0),
_xlpm.상태이상보정치, VLOOKUP(IF($G150 = "debuff", $M150, "null"), Factor!$AX$5:$BE$51, _xlpm.기본_색인번호, 0),
_xlpm.지속시간보정치, INDEX(Factor!$BG$5:$BO$51, _xlfn.XMATCH(IF(OR($G150 ="debuff", $G150 = "shot", $G150 = "pierce"), $O150, 0), Factor!$BG$5:$BG$51, -1), _xlpm.추가_색인번호)-IF(AND(OR($G150 ="debuff", $G150 = "shot", $G150 = "pierce"), MOD($O150, 1)&lt;&gt;0), 10*MOD($O150, 1)*INDEX(Factor!$BG$5:$BO$51, _xlfn.XMATCH(IF(OR($G150 ="debuff", $G150 = "shot", $G150 = "pierce"), $O150, 0), Factor!$BG$5:$BG$51, -1), 2), 0),
_xlpm.탄환개수보정치, VLOOKUP(IF(OR($G150 = "curved", $G150 = "shot"), $Q150, 1), Factor!$BQ$5:$BX$51, _xlpm.기본_색인번호, 0),
_xlpm.상태이상탄환생성위치보정치, IF($G150 = "debuff", VLOOKUP($R150, Factor!$K$18:$R$19, _xlpm.기본_색인번호, 0),1),
_xlpm.상태이상탄환형태보정치, IF($G150 = "debuff", VLOOKUP($S150, Factor!$K$24:$R$25, _xlpm.기본_색인번호, 0),1),
_xlpm.가격보정치, INDEX(Factor!$AE$5:$AL$51, _xlfn.XMATCH($F150,Factor!$AE$5:$AE$51, -1), _xlpm.기본_색인번호),
_xlpm.구경보정치, VLOOKUP($D150,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151" spans="1:33" ht="15.75" customHeight="1">
      <c r="A151" s="24" t="str">
        <f>"weapon_"&amp;G151&amp;"_"&amp;VLOOKUP(H151, Factor!$T$5:$AB$7, 9, 0)&amp;"_"&amp;IF(COUNTIFS($G$4:G150, G151, $H$4:H150, H151)+1&gt;=100, COUNTIFS($G$4:G150, G151, $H$4:H150, H151)+1,IF(COUNTIFS($G$4:G150, G151, $H$4:H150, H151)+1&gt;=10, "0"&amp;COUNTIFS($G$4:G150, G151, $H$4:H150, H151)+1, "00"&amp;COUNTIFS($G$4:G150, G151, $H$4:H150, H151)+1))</f>
        <v>weapon_pierce_Sh_015</v>
      </c>
      <c r="B151" s="36" t="str">
        <f t="shared" si="2"/>
        <v>T7 55mm직사포</v>
      </c>
      <c r="C151" s="36" t="s">
        <v>254</v>
      </c>
      <c r="D151" s="36" t="s">
        <v>270</v>
      </c>
      <c r="E151" s="36" t="s">
        <v>278</v>
      </c>
      <c r="F151" s="25">
        <f>VLOOKUP(C151, Factor!$AD$5:$AE$15, 2, 0)</f>
        <v>7000</v>
      </c>
      <c r="G151" s="26" t="str">
        <f>VLOOKUP(E151, Factor!$CL$5:$CV$50, 2, 0)</f>
        <v>pierce</v>
      </c>
      <c r="H151" s="25" t="str">
        <f>VLOOKUP(E151, Factor!$CL$5:$CV$50, 3, 0)</f>
        <v>shell</v>
      </c>
      <c r="I151" s="25" t="str">
        <f>VLOOKUP(E151, Factor!$CL$5:$CV$50, 4, 0)</f>
        <v>L</v>
      </c>
      <c r="J151" s="25" t="str">
        <f>VLOOKUP(E151, Factor!$CL$5:$CV$50, 5, 0)</f>
        <v>normal</v>
      </c>
      <c r="K151" s="25">
        <v>1</v>
      </c>
      <c r="L151" s="25">
        <f>VLOOKUP(E151, Factor!$CL$5:$CV$50, 6, 0)*K151*VLOOKUP(D151, Factor!$BZ$5:$CJ$49, 9, 0)</f>
        <v>0</v>
      </c>
      <c r="M151" s="25" t="str">
        <f>VLOOKUP(E151, Factor!$CL$5:$CV$50, 7, 0)</f>
        <v>null</v>
      </c>
      <c r="N151" s="25">
        <v>1</v>
      </c>
      <c r="O151" s="25">
        <f>VLOOKUP(E151, Factor!$CL$5:$CV$50, 8, 0)*N151*VLOOKUP(D151, Factor!$BZ$5:$CJ$49, 10, 0)</f>
        <v>21</v>
      </c>
      <c r="P151" s="25">
        <v>1</v>
      </c>
      <c r="Q151" s="25">
        <f>VLOOKUP(E151, Factor!$CL$5:$CV$50, 9, 0)*P151*VLOOKUP(D151, Factor!$BZ$5:$CJ$49, 11, 0)</f>
        <v>7</v>
      </c>
      <c r="R151" s="25" t="str">
        <f>VLOOKUP(E151, Factor!$CL$5:$CV$50, 10, 0)</f>
        <v>null</v>
      </c>
      <c r="S151" s="25" t="str">
        <f>VLOOKUP(E151, Factor!$CL$5:$CV$50, 11, 0)</f>
        <v>null</v>
      </c>
      <c r="T151" s="25">
        <v>1</v>
      </c>
      <c r="U151" s="25">
        <v>1</v>
      </c>
      <c r="V151" s="25">
        <v>1</v>
      </c>
      <c r="W151" s="25">
        <v>1</v>
      </c>
      <c r="X151" s="25">
        <v>1</v>
      </c>
      <c r="Y151" s="25">
        <v>1</v>
      </c>
      <c r="Z151" s="25">
        <v>1</v>
      </c>
      <c r="AA151" s="25" cm="1">
        <f t="array" ref="AA151">_xlfn.LET(_xlpm.기본_색인번호, 2,
_xlpm.추가_색인번호, 3,
_xlpm.개별보정치, T151,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151" s="25" cm="1">
        <f t="array" ref="AB151">_xlfn.LET(_xlpm.기본_색인번호, 3,
_xlpm.추가_색인번호, 4,
_xlpm.개별보정치, U151,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51" s="25" cm="1">
        <f t="array" ref="AC151">_xlfn.LET(_xlpm.기본_색인번호, 4,
_xlpm.추가_색인번호, 5,
_xlpm.개별보정치, V151,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1" s="25" cm="1">
        <f t="array" ref="AD151">_xlfn.LET(_xlpm.기본_색인번호, 5,
_xlpm.추가_색인번호, 6,
_xlpm.개별보정치, W151,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E151" s="25" cm="1">
        <f t="array" ref="AE151">_xlfn.LET(_xlpm.기본_색인번호, 6,
_xlpm.추가_색인번호, 7,
_xlpm.개별보정치, X151,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F151" s="25" cm="1">
        <f t="array" ref="AF151">_xlfn.LET(_xlpm.기본_색인번호, 7,
_xlpm.추가_색인번호, 8,
_xlpm.개별보정치, Y151,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1" s="27" cm="1">
        <f t="array" ref="AG151">_xlfn.LET(_xlpm.기본_색인번호, 8,
_xlpm.추가_색인번호, 9,
_xlpm.개별보정치, Z151,
_xlpm.패턴보정치, VLOOKUP($G151, Factor!$B$5:$I$51, _xlpm.기본_색인번호, 0),
_xlpm.소모탄환보정치, VLOOKUP($H151, Factor!$T$5:$AA$51, _xlpm.기본_색인번호, 0),
_xlpm.지형보정치, VLOOKUP($I151, Factor!$K$12:$R$13, _xlpm.기본_색인번호, 0),
_xlpm.공격속성보정치, VLOOKUP($J151, Factor!$K$5:$R$7, _xlpm.기본_색인번호, 0),
_xlpm.피해범위보정치, INDEX(Factor!$AN$5:$AV$51, _xlfn.XMATCH(IF(OR($G151="blast", $G151="curved",  $G151= "debuff"), $L151, 0), Factor!$AN$5:$AN$51, -1), _xlpm.추가_색인번호)-IF(AND(OR($G151="blast", $G151="curved", $G151= "debuff"), MOD($L151,1)&lt;&gt;0),INDEX(Factor!$AN$5:$AV$51, _xlfn.XMATCH(IF(OR($G151="blast", $G151="curved", $G151= "debuff"), $L151, 0), Factor!$AN$5:$AN$51, -1), 2)*MOD($L151,1)*10,0),
_xlpm.상태이상보정치, VLOOKUP(IF($G151 = "debuff", $M151, "null"), Factor!$AX$5:$BE$51, _xlpm.기본_색인번호, 0),
_xlpm.지속시간보정치, INDEX(Factor!$BG$5:$BO$51, _xlfn.XMATCH(IF(OR($G151 ="debuff", $G151 = "shot", $G151 = "pierce"), $O151, 0), Factor!$BG$5:$BG$51, -1), _xlpm.추가_색인번호)-IF(AND(OR($G151 ="debuff", $G151 = "shot", $G151 = "pierce"), MOD($O151, 1)&lt;&gt;0), 10*MOD($O151, 1)*INDEX(Factor!$BG$5:$BO$51, _xlfn.XMATCH(IF(OR($G151 ="debuff", $G151 = "shot", $G151 = "pierce"), $O151, 0), Factor!$BG$5:$BG$51, -1), 2), 0),
_xlpm.탄환개수보정치, VLOOKUP(IF(OR($G151 = "curved", $G151 = "shot"), $Q151, 1), Factor!$BQ$5:$BX$51, _xlpm.기본_색인번호, 0),
_xlpm.상태이상탄환생성위치보정치, IF($G151 = "debuff", VLOOKUP($R151, Factor!$K$18:$R$19, _xlpm.기본_색인번호, 0),1),
_xlpm.상태이상탄환형태보정치, IF($G151 = "debuff", VLOOKUP($S151, Factor!$K$24:$R$25, _xlpm.기본_색인번호, 0),1),
_xlpm.가격보정치, INDEX(Factor!$AE$5:$AL$51, _xlfn.XMATCH($F151,Factor!$AE$5:$AE$51, -1), _xlpm.기본_색인번호),
_xlpm.구경보정치, VLOOKUP($D151,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</row>
    <row r="152" spans="1:33" ht="15.75" customHeight="1">
      <c r="A152" s="28" t="str">
        <f>"weapon_"&amp;G152&amp;"_"&amp;VLOOKUP(H152, Factor!$T$5:$AB$7, 9, 0)&amp;"_"&amp;IF(COUNTIFS($G$4:G151, G152, $H$4:H151, H152)+1&gt;=100, COUNTIFS($G$4:G151, G152, $H$4:H151, H152)+1,IF(COUNTIFS($G$4:G151, G152, $H$4:H151, H152)+1&gt;=10, "0"&amp;COUNTIFS($G$4:G151, G152, $H$4:H151, H152)+1, "00"&amp;COUNTIFS($G$4:G151, G152, $H$4:H151, H152)+1))</f>
        <v>weapon_pierce_Sh_016</v>
      </c>
      <c r="B152" s="37" t="str">
        <f t="shared" si="2"/>
        <v>T7 105mm직사포</v>
      </c>
      <c r="C152" s="37" t="s">
        <v>254</v>
      </c>
      <c r="D152" s="37" t="s">
        <v>272</v>
      </c>
      <c r="E152" s="37" t="s">
        <v>278</v>
      </c>
      <c r="F152" s="29">
        <f>VLOOKUP(C152, Factor!$AD$5:$AE$15, 2, 0)</f>
        <v>7000</v>
      </c>
      <c r="G152" s="29" t="str">
        <f>VLOOKUP(E152, Factor!$CL$5:$CV$50, 2, 0)</f>
        <v>pierce</v>
      </c>
      <c r="H152" s="29" t="str">
        <f>VLOOKUP(E152, Factor!$CL$5:$CV$50, 3, 0)</f>
        <v>shell</v>
      </c>
      <c r="I152" s="29" t="str">
        <f>VLOOKUP(E152, Factor!$CL$5:$CV$50, 4, 0)</f>
        <v>L</v>
      </c>
      <c r="J152" s="29" t="str">
        <f>VLOOKUP(E152, Factor!$CL$5:$CV$50, 5, 0)</f>
        <v>normal</v>
      </c>
      <c r="K152" s="29">
        <v>1</v>
      </c>
      <c r="L152" s="29">
        <f>VLOOKUP(E152, Factor!$CL$5:$CV$50, 6, 0)*K152*VLOOKUP(D152, Factor!$BZ$5:$CJ$49, 9, 0)</f>
        <v>0</v>
      </c>
      <c r="M152" s="29" t="str">
        <f>VLOOKUP(E152, Factor!$CL$5:$CV$50, 7, 0)</f>
        <v>null</v>
      </c>
      <c r="N152" s="29">
        <v>1</v>
      </c>
      <c r="O152" s="29">
        <f>VLOOKUP(E152, Factor!$CL$5:$CV$50, 8, 0)*N152*VLOOKUP(D152, Factor!$BZ$5:$CJ$49, 10, 0)</f>
        <v>24</v>
      </c>
      <c r="P152" s="29">
        <v>1</v>
      </c>
      <c r="Q152" s="29">
        <f>VLOOKUP(E152, Factor!$CL$5:$CV$50, 9, 0)*P152*VLOOKUP(D152, Factor!$BZ$5:$CJ$49, 11, 0)</f>
        <v>8</v>
      </c>
      <c r="R152" s="29" t="str">
        <f>VLOOKUP(E152, Factor!$CL$5:$CV$50, 10, 0)</f>
        <v>null</v>
      </c>
      <c r="S152" s="29" t="str">
        <f>VLOOKUP(E152, Factor!$CL$5:$CV$50, 11, 0)</f>
        <v>null</v>
      </c>
      <c r="T152" s="29">
        <v>1</v>
      </c>
      <c r="U152" s="29">
        <v>1</v>
      </c>
      <c r="V152" s="29">
        <v>1</v>
      </c>
      <c r="W152" s="29">
        <v>1</v>
      </c>
      <c r="X152" s="29">
        <v>1</v>
      </c>
      <c r="Y152" s="29">
        <v>1</v>
      </c>
      <c r="Z152" s="29">
        <v>1</v>
      </c>
      <c r="AA152" s="29" cm="1">
        <f t="array" ref="AA152">_xlfn.LET(_xlpm.기본_색인번호, 2,
_xlpm.추가_색인번호, 3,
_xlpm.개별보정치, T152,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152" s="29" cm="1">
        <f t="array" ref="AB152">_xlfn.LET(_xlpm.기본_색인번호, 3,
_xlpm.추가_색인번호, 4,
_xlpm.개별보정치, U152,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52" s="29" cm="1">
        <f t="array" ref="AC152">_xlfn.LET(_xlpm.기본_색인번호, 4,
_xlpm.추가_색인번호, 5,
_xlpm.개별보정치, V152,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2" s="29" cm="1">
        <f t="array" ref="AD152">_xlfn.LET(_xlpm.기본_색인번호, 5,
_xlpm.추가_색인번호, 6,
_xlpm.개별보정치, W152,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E152" s="29" cm="1">
        <f t="array" ref="AE152">_xlfn.LET(_xlpm.기본_색인번호, 6,
_xlpm.추가_색인번호, 7,
_xlpm.개별보정치, X152,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F152" s="29" cm="1">
        <f t="array" ref="AF152">_xlfn.LET(_xlpm.기본_색인번호, 7,
_xlpm.추가_색인번호, 8,
_xlpm.개별보정치, Y152,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2" s="30" cm="1">
        <f t="array" ref="AG152">_xlfn.LET(_xlpm.기본_색인번호, 8,
_xlpm.추가_색인번호, 9,
_xlpm.개별보정치, Z152,
_xlpm.패턴보정치, VLOOKUP($G152, Factor!$B$5:$I$51, _xlpm.기본_색인번호, 0),
_xlpm.소모탄환보정치, VLOOKUP($H152, Factor!$T$5:$AA$51, _xlpm.기본_색인번호, 0),
_xlpm.지형보정치, VLOOKUP($I152, Factor!$K$12:$R$13, _xlpm.기본_색인번호, 0),
_xlpm.공격속성보정치, VLOOKUP($J152, Factor!$K$5:$R$7, _xlpm.기본_색인번호, 0),
_xlpm.피해범위보정치, INDEX(Factor!$AN$5:$AV$51, _xlfn.XMATCH(IF(OR($G152="blast", $G152="curved",  $G152= "debuff"), $L152, 0), Factor!$AN$5:$AN$51, -1), _xlpm.추가_색인번호)-IF(AND(OR($G152="blast", $G152="curved", $G152= "debuff"), MOD($L152,1)&lt;&gt;0),INDEX(Factor!$AN$5:$AV$51, _xlfn.XMATCH(IF(OR($G152="blast", $G152="curved", $G152= "debuff"), $L152, 0), Factor!$AN$5:$AN$51, -1), 2)*MOD($L152,1)*10,0),
_xlpm.상태이상보정치, VLOOKUP(IF($G152 = "debuff", $M152, "null"), Factor!$AX$5:$BE$51, _xlpm.기본_색인번호, 0),
_xlpm.지속시간보정치, INDEX(Factor!$BG$5:$BO$51, _xlfn.XMATCH(IF(OR($G152 ="debuff", $G152 = "shot", $G152 = "pierce"), $O152, 0), Factor!$BG$5:$BG$51, -1), _xlpm.추가_색인번호)-IF(AND(OR($G152 ="debuff", $G152 = "shot", $G152 = "pierce"), MOD($O152, 1)&lt;&gt;0), 10*MOD($O152, 1)*INDEX(Factor!$BG$5:$BO$51, _xlfn.XMATCH(IF(OR($G152 ="debuff", $G152 = "shot", $G152 = "pierce"), $O152, 0), Factor!$BG$5:$BG$51, -1), 2), 0),
_xlpm.탄환개수보정치, VLOOKUP(IF(OR($G152 = "curved", $G152 = "shot"), $Q152, 1), Factor!$BQ$5:$BX$51, _xlpm.기본_색인번호, 0),
_xlpm.상태이상탄환생성위치보정치, IF($G152 = "debuff", VLOOKUP($R152, Factor!$K$18:$R$19, _xlpm.기본_색인번호, 0),1),
_xlpm.상태이상탄환형태보정치, IF($G152 = "debuff", VLOOKUP($S152, Factor!$K$24:$R$25, _xlpm.기본_색인번호, 0),1),
_xlpm.가격보정치, INDEX(Factor!$AE$5:$AL$51, _xlfn.XMATCH($F152,Factor!$AE$5:$AE$51, -1), _xlpm.기본_색인번호),
_xlpm.구경보정치, VLOOKUP($D152,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</row>
    <row r="153" spans="1:33" ht="15.75" customHeight="1">
      <c r="A153" s="24" t="str">
        <f>"weapon_"&amp;G153&amp;"_"&amp;VLOOKUP(H153, Factor!$T$5:$AB$7, 9, 0)&amp;"_"&amp;IF(COUNTIFS($G$4:G152, G153, $H$4:H152, H153)+1&gt;=100, COUNTIFS($G$4:G152, G153, $H$4:H152, H153)+1,IF(COUNTIFS($G$4:G152, G153, $H$4:H152, H153)+1&gt;=10, "0"&amp;COUNTIFS($G$4:G152, G153, $H$4:H152, H153)+1, "00"&amp;COUNTIFS($G$4:G152, G153, $H$4:H152, H153)+1))</f>
        <v>weapon_pierce_Sh_017</v>
      </c>
      <c r="B153" s="36" t="str">
        <f t="shared" si="2"/>
        <v>T8 55mm직사포</v>
      </c>
      <c r="C153" s="36" t="s">
        <v>255</v>
      </c>
      <c r="D153" s="36" t="s">
        <v>270</v>
      </c>
      <c r="E153" s="36" t="s">
        <v>278</v>
      </c>
      <c r="F153" s="25">
        <f>VLOOKUP(C153, Factor!$AD$5:$AE$15, 2, 0)</f>
        <v>8000</v>
      </c>
      <c r="G153" s="26" t="str">
        <f>VLOOKUP(E153, Factor!$CL$5:$CV$50, 2, 0)</f>
        <v>pierce</v>
      </c>
      <c r="H153" s="25" t="str">
        <f>VLOOKUP(E153, Factor!$CL$5:$CV$50, 3, 0)</f>
        <v>shell</v>
      </c>
      <c r="I153" s="25" t="str">
        <f>VLOOKUP(E153, Factor!$CL$5:$CV$50, 4, 0)</f>
        <v>L</v>
      </c>
      <c r="J153" s="25" t="str">
        <f>VLOOKUP(E153, Factor!$CL$5:$CV$50, 5, 0)</f>
        <v>normal</v>
      </c>
      <c r="K153" s="25">
        <v>1</v>
      </c>
      <c r="L153" s="25">
        <f>VLOOKUP(E153, Factor!$CL$5:$CV$50, 6, 0)*K153*VLOOKUP(D153, Factor!$BZ$5:$CJ$49, 9, 0)</f>
        <v>0</v>
      </c>
      <c r="M153" s="25" t="str">
        <f>VLOOKUP(E153, Factor!$CL$5:$CV$50, 7, 0)</f>
        <v>null</v>
      </c>
      <c r="N153" s="25">
        <v>1</v>
      </c>
      <c r="O153" s="25">
        <f>VLOOKUP(E153, Factor!$CL$5:$CV$50, 8, 0)*N153*VLOOKUP(D153, Factor!$BZ$5:$CJ$49, 10, 0)</f>
        <v>21</v>
      </c>
      <c r="P153" s="25">
        <v>1</v>
      </c>
      <c r="Q153" s="25">
        <f>VLOOKUP(E153, Factor!$CL$5:$CV$50, 9, 0)*P153*VLOOKUP(D153, Factor!$BZ$5:$CJ$49, 11, 0)</f>
        <v>7</v>
      </c>
      <c r="R153" s="25" t="str">
        <f>VLOOKUP(E153, Factor!$CL$5:$CV$50, 10, 0)</f>
        <v>null</v>
      </c>
      <c r="S153" s="25" t="str">
        <f>VLOOKUP(E153, Factor!$CL$5:$CV$50, 11, 0)</f>
        <v>null</v>
      </c>
      <c r="T153" s="25">
        <v>1</v>
      </c>
      <c r="U153" s="25">
        <v>1</v>
      </c>
      <c r="V153" s="25">
        <v>1</v>
      </c>
      <c r="W153" s="25">
        <v>1</v>
      </c>
      <c r="X153" s="25">
        <v>1</v>
      </c>
      <c r="Y153" s="25">
        <v>1</v>
      </c>
      <c r="Z153" s="25">
        <v>1</v>
      </c>
      <c r="AA153" s="25" cm="1">
        <f t="array" ref="AA153">_xlfn.LET(_xlpm.기본_색인번호, 2,
_xlpm.추가_색인번호, 3,
_xlpm.개별보정치, T153,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153" s="25" cm="1">
        <f t="array" ref="AB153">_xlfn.LET(_xlpm.기본_색인번호, 3,
_xlpm.추가_색인번호, 4,
_xlpm.개별보정치, U153,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53" s="25" cm="1">
        <f t="array" ref="AC153">_xlfn.LET(_xlpm.기본_색인번호, 4,
_xlpm.추가_색인번호, 5,
_xlpm.개별보정치, V153,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3" s="25" cm="1">
        <f t="array" ref="AD153">_xlfn.LET(_xlpm.기본_색인번호, 5,
_xlpm.추가_색인번호, 6,
_xlpm.개별보정치, W153,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153" s="25" cm="1">
        <f t="array" ref="AE153">_xlfn.LET(_xlpm.기본_색인번호, 6,
_xlpm.추가_색인번호, 7,
_xlpm.개별보정치, X153,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153" s="25" cm="1">
        <f t="array" ref="AF153">_xlfn.LET(_xlpm.기본_색인번호, 7,
_xlpm.추가_색인번호, 8,
_xlpm.개별보정치, Y153,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3" s="27" cm="1">
        <f t="array" ref="AG153">_xlfn.LET(_xlpm.기본_색인번호, 8,
_xlpm.추가_색인번호, 9,
_xlpm.개별보정치, Z153,
_xlpm.패턴보정치, VLOOKUP($G153, Factor!$B$5:$I$51, _xlpm.기본_색인번호, 0),
_xlpm.소모탄환보정치, VLOOKUP($H153, Factor!$T$5:$AA$51, _xlpm.기본_색인번호, 0),
_xlpm.지형보정치, VLOOKUP($I153, Factor!$K$12:$R$13, _xlpm.기본_색인번호, 0),
_xlpm.공격속성보정치, VLOOKUP($J153, Factor!$K$5:$R$7, _xlpm.기본_색인번호, 0),
_xlpm.피해범위보정치, INDEX(Factor!$AN$5:$AV$51, _xlfn.XMATCH(IF(OR($G153="blast", $G153="curved",  $G153= "debuff"), $L153, 0), Factor!$AN$5:$AN$51, -1), _xlpm.추가_색인번호)-IF(AND(OR($G153="blast", $G153="curved", $G153= "debuff"), MOD($L153,1)&lt;&gt;0),INDEX(Factor!$AN$5:$AV$51, _xlfn.XMATCH(IF(OR($G153="blast", $G153="curved", $G153= "debuff"), $L153, 0), Factor!$AN$5:$AN$51, -1), 2)*MOD($L153,1)*10,0),
_xlpm.상태이상보정치, VLOOKUP(IF($G153 = "debuff", $M153, "null"), Factor!$AX$5:$BE$51, _xlpm.기본_색인번호, 0),
_xlpm.지속시간보정치, INDEX(Factor!$BG$5:$BO$51, _xlfn.XMATCH(IF(OR($G153 ="debuff", $G153 = "shot", $G153 = "pierce"), $O153, 0), Factor!$BG$5:$BG$51, -1), _xlpm.추가_색인번호)-IF(AND(OR($G153 ="debuff", $G153 = "shot", $G153 = "pierce"), MOD($O153, 1)&lt;&gt;0), 10*MOD($O153, 1)*INDEX(Factor!$BG$5:$BO$51, _xlfn.XMATCH(IF(OR($G153 ="debuff", $G153 = "shot", $G153 = "pierce"), $O153, 0), Factor!$BG$5:$BG$51, -1), 2), 0),
_xlpm.탄환개수보정치, VLOOKUP(IF(OR($G153 = "curved", $G153 = "shot"), $Q153, 1), Factor!$BQ$5:$BX$51, _xlpm.기본_색인번호, 0),
_xlpm.상태이상탄환생성위치보정치, IF($G153 = "debuff", VLOOKUP($R153, Factor!$K$18:$R$19, _xlpm.기본_색인번호, 0),1),
_xlpm.상태이상탄환형태보정치, IF($G153 = "debuff", VLOOKUP($S153, Factor!$K$24:$R$25, _xlpm.기본_색인번호, 0),1),
_xlpm.가격보정치, INDEX(Factor!$AE$5:$AL$51, _xlfn.XMATCH($F153,Factor!$AE$5:$AE$51, -1), _xlpm.기본_색인번호),
_xlpm.구경보정치, VLOOKUP($D153,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154" spans="1:33" ht="15.75" customHeight="1">
      <c r="A154" s="28" t="str">
        <f>"weapon_"&amp;G154&amp;"_"&amp;VLOOKUP(H154, Factor!$T$5:$AB$7, 9, 0)&amp;"_"&amp;IF(COUNTIFS($G$4:G153, G154, $H$4:H153, H154)+1&gt;=100, COUNTIFS($G$4:G153, G154, $H$4:H153, H154)+1,IF(COUNTIFS($G$4:G153, G154, $H$4:H153, H154)+1&gt;=10, "0"&amp;COUNTIFS($G$4:G153, G154, $H$4:H153, H154)+1, "00"&amp;COUNTIFS($G$4:G153, G154, $H$4:H153, H154)+1))</f>
        <v>weapon_pierce_Sh_018</v>
      </c>
      <c r="B154" s="37" t="str">
        <f t="shared" si="2"/>
        <v>T8 105mm직사포</v>
      </c>
      <c r="C154" s="37" t="s">
        <v>255</v>
      </c>
      <c r="D154" s="37" t="s">
        <v>272</v>
      </c>
      <c r="E154" s="37" t="s">
        <v>278</v>
      </c>
      <c r="F154" s="29">
        <f>VLOOKUP(C154, Factor!$AD$5:$AE$15, 2, 0)</f>
        <v>8000</v>
      </c>
      <c r="G154" s="29" t="str">
        <f>VLOOKUP(E154, Factor!$CL$5:$CV$50, 2, 0)</f>
        <v>pierce</v>
      </c>
      <c r="H154" s="29" t="str">
        <f>VLOOKUP(E154, Factor!$CL$5:$CV$50, 3, 0)</f>
        <v>shell</v>
      </c>
      <c r="I154" s="29" t="str">
        <f>VLOOKUP(E154, Factor!$CL$5:$CV$50, 4, 0)</f>
        <v>L</v>
      </c>
      <c r="J154" s="29" t="str">
        <f>VLOOKUP(E154, Factor!$CL$5:$CV$50, 5, 0)</f>
        <v>normal</v>
      </c>
      <c r="K154" s="29">
        <v>1</v>
      </c>
      <c r="L154" s="29">
        <f>VLOOKUP(E154, Factor!$CL$5:$CV$50, 6, 0)*K154*VLOOKUP(D154, Factor!$BZ$5:$CJ$49, 9, 0)</f>
        <v>0</v>
      </c>
      <c r="M154" s="29" t="str">
        <f>VLOOKUP(E154, Factor!$CL$5:$CV$50, 7, 0)</f>
        <v>null</v>
      </c>
      <c r="N154" s="29">
        <v>1</v>
      </c>
      <c r="O154" s="29">
        <f>VLOOKUP(E154, Factor!$CL$5:$CV$50, 8, 0)*N154*VLOOKUP(D154, Factor!$BZ$5:$CJ$49, 10, 0)</f>
        <v>24</v>
      </c>
      <c r="P154" s="29">
        <v>1</v>
      </c>
      <c r="Q154" s="29">
        <f>VLOOKUP(E154, Factor!$CL$5:$CV$50, 9, 0)*P154*VLOOKUP(D154, Factor!$BZ$5:$CJ$49, 11, 0)</f>
        <v>8</v>
      </c>
      <c r="R154" s="29" t="str">
        <f>VLOOKUP(E154, Factor!$CL$5:$CV$50, 10, 0)</f>
        <v>null</v>
      </c>
      <c r="S154" s="29" t="str">
        <f>VLOOKUP(E154, Factor!$CL$5:$CV$50, 11, 0)</f>
        <v>null</v>
      </c>
      <c r="T154" s="29">
        <v>1</v>
      </c>
      <c r="U154" s="29">
        <v>1</v>
      </c>
      <c r="V154" s="29">
        <v>1</v>
      </c>
      <c r="W154" s="29">
        <v>1</v>
      </c>
      <c r="X154" s="29">
        <v>1</v>
      </c>
      <c r="Y154" s="29">
        <v>1</v>
      </c>
      <c r="Z154" s="29">
        <v>1</v>
      </c>
      <c r="AA154" s="29" cm="1">
        <f t="array" ref="AA154">_xlfn.LET(_xlpm.기본_색인번호, 2,
_xlpm.추가_색인번호, 3,
_xlpm.개별보정치, T154,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154" s="29" cm="1">
        <f t="array" ref="AB154">_xlfn.LET(_xlpm.기본_색인번호, 3,
_xlpm.추가_색인번호, 4,
_xlpm.개별보정치, U154,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154" s="29" cm="1">
        <f t="array" ref="AC154">_xlfn.LET(_xlpm.기본_색인번호, 4,
_xlpm.추가_색인번호, 5,
_xlpm.개별보정치, V154,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4" s="29" cm="1">
        <f t="array" ref="AD154">_xlfn.LET(_xlpm.기본_색인번호, 5,
_xlpm.추가_색인번호, 6,
_xlpm.개별보정치, W154,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154" s="29" cm="1">
        <f t="array" ref="AE154">_xlfn.LET(_xlpm.기본_색인번호, 6,
_xlpm.추가_색인번호, 7,
_xlpm.개별보정치, X154,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154" s="29" cm="1">
        <f t="array" ref="AF154">_xlfn.LET(_xlpm.기본_색인번호, 7,
_xlpm.추가_색인번호, 8,
_xlpm.개별보정치, Y154,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4" s="30" cm="1">
        <f t="array" ref="AG154">_xlfn.LET(_xlpm.기본_색인번호, 8,
_xlpm.추가_색인번호, 9,
_xlpm.개별보정치, Z154,
_xlpm.패턴보정치, VLOOKUP($G154, Factor!$B$5:$I$51, _xlpm.기본_색인번호, 0),
_xlpm.소모탄환보정치, VLOOKUP($H154, Factor!$T$5:$AA$51, _xlpm.기본_색인번호, 0),
_xlpm.지형보정치, VLOOKUP($I154, Factor!$K$12:$R$13, _xlpm.기본_색인번호, 0),
_xlpm.공격속성보정치, VLOOKUP($J154, Factor!$K$5:$R$7, _xlpm.기본_색인번호, 0),
_xlpm.피해범위보정치, INDEX(Factor!$AN$5:$AV$51, _xlfn.XMATCH(IF(OR($G154="blast", $G154="curved",  $G154= "debuff"), $L154, 0), Factor!$AN$5:$AN$51, -1), _xlpm.추가_색인번호)-IF(AND(OR($G154="blast", $G154="curved", $G154= "debuff"), MOD($L154,1)&lt;&gt;0),INDEX(Factor!$AN$5:$AV$51, _xlfn.XMATCH(IF(OR($G154="blast", $G154="curved", $G154= "debuff"), $L154, 0), Factor!$AN$5:$AN$51, -1), 2)*MOD($L154,1)*10,0),
_xlpm.상태이상보정치, VLOOKUP(IF($G154 = "debuff", $M154, "null"), Factor!$AX$5:$BE$51, _xlpm.기본_색인번호, 0),
_xlpm.지속시간보정치, INDEX(Factor!$BG$5:$BO$51, _xlfn.XMATCH(IF(OR($G154 ="debuff", $G154 = "shot", $G154 = "pierce"), $O154, 0), Factor!$BG$5:$BG$51, -1), _xlpm.추가_색인번호)-IF(AND(OR($G154 ="debuff", $G154 = "shot", $G154 = "pierce"), MOD($O154, 1)&lt;&gt;0), 10*MOD($O154, 1)*INDEX(Factor!$BG$5:$BO$51, _xlfn.XMATCH(IF(OR($G154 ="debuff", $G154 = "shot", $G154 = "pierce"), $O154, 0), Factor!$BG$5:$BG$51, -1), 2), 0),
_xlpm.탄환개수보정치, VLOOKUP(IF(OR($G154 = "curved", $G154 = "shot"), $Q154, 1), Factor!$BQ$5:$BX$51, _xlpm.기본_색인번호, 0),
_xlpm.상태이상탄환생성위치보정치, IF($G154 = "debuff", VLOOKUP($R154, Factor!$K$18:$R$19, _xlpm.기본_색인번호, 0),1),
_xlpm.상태이상탄환형태보정치, IF($G154 = "debuff", VLOOKUP($S154, Factor!$K$24:$R$25, _xlpm.기본_색인번호, 0),1),
_xlpm.가격보정치, INDEX(Factor!$AE$5:$AL$51, _xlfn.XMATCH($F154,Factor!$AE$5:$AE$51, -1), _xlpm.기본_색인번호),
_xlpm.구경보정치, VLOOKUP($D154,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155" spans="1:33" ht="15.75" customHeight="1">
      <c r="A155" s="24" t="str">
        <f>"weapon_"&amp;G155&amp;"_"&amp;VLOOKUP(H155, Factor!$T$5:$AB$7, 9, 0)&amp;"_"&amp;IF(COUNTIFS($G$4:G154, G155, $H$4:H154, H155)+1&gt;=100, COUNTIFS($G$4:G154, G155, $H$4:H154, H155)+1,IF(COUNTIFS($G$4:G154, G155, $H$4:H154, H155)+1&gt;=10, "0"&amp;COUNTIFS($G$4:G154, G155, $H$4:H154, H155)+1, "00"&amp;COUNTIFS($G$4:G154, G155, $H$4:H154, H155)+1))</f>
        <v>weapon_pierce_Sh_019</v>
      </c>
      <c r="B155" s="36" t="str">
        <f t="shared" si="2"/>
        <v>T9 55mm직사포</v>
      </c>
      <c r="C155" s="36" t="s">
        <v>256</v>
      </c>
      <c r="D155" s="36" t="s">
        <v>270</v>
      </c>
      <c r="E155" s="36" t="s">
        <v>278</v>
      </c>
      <c r="F155" s="25">
        <f>VLOOKUP(C155, Factor!$AD$5:$AE$15, 2, 0)</f>
        <v>9000</v>
      </c>
      <c r="G155" s="26" t="str">
        <f>VLOOKUP(E155, Factor!$CL$5:$CV$50, 2, 0)</f>
        <v>pierce</v>
      </c>
      <c r="H155" s="25" t="str">
        <f>VLOOKUP(E155, Factor!$CL$5:$CV$50, 3, 0)</f>
        <v>shell</v>
      </c>
      <c r="I155" s="25" t="str">
        <f>VLOOKUP(E155, Factor!$CL$5:$CV$50, 4, 0)</f>
        <v>L</v>
      </c>
      <c r="J155" s="25" t="str">
        <f>VLOOKUP(E155, Factor!$CL$5:$CV$50, 5, 0)</f>
        <v>normal</v>
      </c>
      <c r="K155" s="25">
        <v>1</v>
      </c>
      <c r="L155" s="25">
        <f>VLOOKUP(E155, Factor!$CL$5:$CV$50, 6, 0)*K155*VLOOKUP(D155, Factor!$BZ$5:$CJ$49, 9, 0)</f>
        <v>0</v>
      </c>
      <c r="M155" s="25" t="str">
        <f>VLOOKUP(E155, Factor!$CL$5:$CV$50, 7, 0)</f>
        <v>null</v>
      </c>
      <c r="N155" s="25">
        <v>1</v>
      </c>
      <c r="O155" s="25">
        <f>VLOOKUP(E155, Factor!$CL$5:$CV$50, 8, 0)*N155*VLOOKUP(D155, Factor!$BZ$5:$CJ$49, 10, 0)</f>
        <v>21</v>
      </c>
      <c r="P155" s="25">
        <v>1</v>
      </c>
      <c r="Q155" s="25">
        <f>VLOOKUP(E155, Factor!$CL$5:$CV$50, 9, 0)*P155*VLOOKUP(D155, Factor!$BZ$5:$CJ$49, 11, 0)</f>
        <v>7</v>
      </c>
      <c r="R155" s="25" t="str">
        <f>VLOOKUP(E155, Factor!$CL$5:$CV$50, 10, 0)</f>
        <v>null</v>
      </c>
      <c r="S155" s="25" t="str">
        <f>VLOOKUP(E155, Factor!$CL$5:$CV$50, 11, 0)</f>
        <v>null</v>
      </c>
      <c r="T155" s="25">
        <v>1</v>
      </c>
      <c r="U155" s="25">
        <v>1</v>
      </c>
      <c r="V155" s="25">
        <v>1</v>
      </c>
      <c r="W155" s="25">
        <v>1</v>
      </c>
      <c r="X155" s="25">
        <v>1</v>
      </c>
      <c r="Y155" s="25">
        <v>1</v>
      </c>
      <c r="Z155" s="25">
        <v>1</v>
      </c>
      <c r="AA155" s="25" cm="1">
        <f t="array" ref="AA155">_xlfn.LET(_xlpm.기본_색인번호, 2,
_xlpm.추가_색인번호, 3,
_xlpm.개별보정치, T155,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155" s="25" cm="1">
        <f t="array" ref="AB155">_xlfn.LET(_xlpm.기본_색인번호, 3,
_xlpm.추가_색인번호, 4,
_xlpm.개별보정치, U155,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155" s="25" cm="1">
        <f t="array" ref="AC155">_xlfn.LET(_xlpm.기본_색인번호, 4,
_xlpm.추가_색인번호, 5,
_xlpm.개별보정치, V155,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5" s="25" cm="1">
        <f t="array" ref="AD155">_xlfn.LET(_xlpm.기본_색인번호, 5,
_xlpm.추가_색인번호, 6,
_xlpm.개별보정치, W155,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E155" s="25" cm="1">
        <f t="array" ref="AE155">_xlfn.LET(_xlpm.기본_색인번호, 6,
_xlpm.추가_색인번호, 7,
_xlpm.개별보정치, X155,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F155" s="25" cm="1">
        <f t="array" ref="AF155">_xlfn.LET(_xlpm.기본_색인번호, 7,
_xlpm.추가_색인번호, 8,
_xlpm.개별보정치, Y155,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5" s="27" cm="1">
        <f t="array" ref="AG155">_xlfn.LET(_xlpm.기본_색인번호, 8,
_xlpm.추가_색인번호, 9,
_xlpm.개별보정치, Z155,
_xlpm.패턴보정치, VLOOKUP($G155, Factor!$B$5:$I$51, _xlpm.기본_색인번호, 0),
_xlpm.소모탄환보정치, VLOOKUP($H155, Factor!$T$5:$AA$51, _xlpm.기본_색인번호, 0),
_xlpm.지형보정치, VLOOKUP($I155, Factor!$K$12:$R$13, _xlpm.기본_색인번호, 0),
_xlpm.공격속성보정치, VLOOKUP($J155, Factor!$K$5:$R$7, _xlpm.기본_색인번호, 0),
_xlpm.피해범위보정치, INDEX(Factor!$AN$5:$AV$51, _xlfn.XMATCH(IF(OR($G155="blast", $G155="curved",  $G155= "debuff"), $L155, 0), Factor!$AN$5:$AN$51, -1), _xlpm.추가_색인번호)-IF(AND(OR($G155="blast", $G155="curved", $G155= "debuff"), MOD($L155,1)&lt;&gt;0),INDEX(Factor!$AN$5:$AV$51, _xlfn.XMATCH(IF(OR($G155="blast", $G155="curved", $G155= "debuff"), $L155, 0), Factor!$AN$5:$AN$51, -1), 2)*MOD($L155,1)*10,0),
_xlpm.상태이상보정치, VLOOKUP(IF($G155 = "debuff", $M155, "null"), Factor!$AX$5:$BE$51, _xlpm.기본_색인번호, 0),
_xlpm.지속시간보정치, INDEX(Factor!$BG$5:$BO$51, _xlfn.XMATCH(IF(OR($G155 ="debuff", $G155 = "shot", $G155 = "pierce"), $O155, 0), Factor!$BG$5:$BG$51, -1), _xlpm.추가_색인번호)-IF(AND(OR($G155 ="debuff", $G155 = "shot", $G155 = "pierce"), MOD($O155, 1)&lt;&gt;0), 10*MOD($O155, 1)*INDEX(Factor!$BG$5:$BO$51, _xlfn.XMATCH(IF(OR($G155 ="debuff", $G155 = "shot", $G155 = "pierce"), $O155, 0), Factor!$BG$5:$BG$51, -1), 2), 0),
_xlpm.탄환개수보정치, VLOOKUP(IF(OR($G155 = "curved", $G155 = "shot"), $Q155, 1), Factor!$BQ$5:$BX$51, _xlpm.기본_색인번호, 0),
_xlpm.상태이상탄환생성위치보정치, IF($G155 = "debuff", VLOOKUP($R155, Factor!$K$18:$R$19, _xlpm.기본_색인번호, 0),1),
_xlpm.상태이상탄환형태보정치, IF($G155 = "debuff", VLOOKUP($S155, Factor!$K$24:$R$25, _xlpm.기본_색인번호, 0),1),
_xlpm.가격보정치, INDEX(Factor!$AE$5:$AL$51, _xlfn.XMATCH($F155,Factor!$AE$5:$AE$51, -1), _xlpm.기본_색인번호),
_xlpm.구경보정치, VLOOKUP($D155,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</row>
    <row r="156" spans="1:33" ht="15.75" customHeight="1">
      <c r="A156" s="28" t="str">
        <f>"weapon_"&amp;G156&amp;"_"&amp;VLOOKUP(H156, Factor!$T$5:$AB$7, 9, 0)&amp;"_"&amp;IF(COUNTIFS($G$4:G155, G156, $H$4:H155, H156)+1&gt;=100, COUNTIFS($G$4:G155, G156, $H$4:H155, H156)+1,IF(COUNTIFS($G$4:G155, G156, $H$4:H155, H156)+1&gt;=10, "0"&amp;COUNTIFS($G$4:G155, G156, $H$4:H155, H156)+1, "00"&amp;COUNTIFS($G$4:G155, G156, $H$4:H155, H156)+1))</f>
        <v>weapon_pierce_Sh_020</v>
      </c>
      <c r="B156" s="37" t="str">
        <f t="shared" si="2"/>
        <v>T9 105mm직사포</v>
      </c>
      <c r="C156" s="37" t="s">
        <v>256</v>
      </c>
      <c r="D156" s="37" t="s">
        <v>272</v>
      </c>
      <c r="E156" s="37" t="s">
        <v>278</v>
      </c>
      <c r="F156" s="29">
        <f>VLOOKUP(C156, Factor!$AD$5:$AE$15, 2, 0)</f>
        <v>9000</v>
      </c>
      <c r="G156" s="29" t="str">
        <f>VLOOKUP(E156, Factor!$CL$5:$CV$50, 2, 0)</f>
        <v>pierce</v>
      </c>
      <c r="H156" s="29" t="str">
        <f>VLOOKUP(E156, Factor!$CL$5:$CV$50, 3, 0)</f>
        <v>shell</v>
      </c>
      <c r="I156" s="29" t="str">
        <f>VLOOKUP(E156, Factor!$CL$5:$CV$50, 4, 0)</f>
        <v>L</v>
      </c>
      <c r="J156" s="29" t="str">
        <f>VLOOKUP(E156, Factor!$CL$5:$CV$50, 5, 0)</f>
        <v>normal</v>
      </c>
      <c r="K156" s="29">
        <v>1</v>
      </c>
      <c r="L156" s="29">
        <f>VLOOKUP(E156, Factor!$CL$5:$CV$50, 6, 0)*K156*VLOOKUP(D156, Factor!$BZ$5:$CJ$49, 9, 0)</f>
        <v>0</v>
      </c>
      <c r="M156" s="29" t="str">
        <f>VLOOKUP(E156, Factor!$CL$5:$CV$50, 7, 0)</f>
        <v>null</v>
      </c>
      <c r="N156" s="29">
        <v>1</v>
      </c>
      <c r="O156" s="29">
        <f>VLOOKUP(E156, Factor!$CL$5:$CV$50, 8, 0)*N156*VLOOKUP(D156, Factor!$BZ$5:$CJ$49, 10, 0)</f>
        <v>24</v>
      </c>
      <c r="P156" s="29">
        <v>1</v>
      </c>
      <c r="Q156" s="29">
        <f>VLOOKUP(E156, Factor!$CL$5:$CV$50, 9, 0)*P156*VLOOKUP(D156, Factor!$BZ$5:$CJ$49, 11, 0)</f>
        <v>8</v>
      </c>
      <c r="R156" s="29" t="str">
        <f>VLOOKUP(E156, Factor!$CL$5:$CV$50, 10, 0)</f>
        <v>null</v>
      </c>
      <c r="S156" s="29" t="str">
        <f>VLOOKUP(E156, Factor!$CL$5:$CV$50, 11, 0)</f>
        <v>null</v>
      </c>
      <c r="T156" s="29">
        <v>1</v>
      </c>
      <c r="U156" s="29">
        <v>1</v>
      </c>
      <c r="V156" s="29">
        <v>1</v>
      </c>
      <c r="W156" s="29">
        <v>1</v>
      </c>
      <c r="X156" s="29">
        <v>1</v>
      </c>
      <c r="Y156" s="29">
        <v>1</v>
      </c>
      <c r="Z156" s="29">
        <v>1</v>
      </c>
      <c r="AA156" s="29" cm="1">
        <f t="array" ref="AA156">_xlfn.LET(_xlpm.기본_색인번호, 2,
_xlpm.추가_색인번호, 3,
_xlpm.개별보정치, T156,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156" s="29" cm="1">
        <f t="array" ref="AB156">_xlfn.LET(_xlpm.기본_색인번호, 3,
_xlpm.추가_색인번호, 4,
_xlpm.개별보정치, U156,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156" s="29" cm="1">
        <f t="array" ref="AC156">_xlfn.LET(_xlpm.기본_색인번호, 4,
_xlpm.추가_색인번호, 5,
_xlpm.개별보정치, V156,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6" s="29" cm="1">
        <f t="array" ref="AD156">_xlfn.LET(_xlpm.기본_색인번호, 5,
_xlpm.추가_색인번호, 6,
_xlpm.개별보정치, W156,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E156" s="29" cm="1">
        <f t="array" ref="AE156">_xlfn.LET(_xlpm.기본_색인번호, 6,
_xlpm.추가_색인번호, 7,
_xlpm.개별보정치, X156,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F156" s="29" cm="1">
        <f t="array" ref="AF156">_xlfn.LET(_xlpm.기본_색인번호, 7,
_xlpm.추가_색인번호, 8,
_xlpm.개별보정치, Y156,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6" s="30" cm="1">
        <f t="array" ref="AG156">_xlfn.LET(_xlpm.기본_색인번호, 8,
_xlpm.추가_색인번호, 9,
_xlpm.개별보정치, Z156,
_xlpm.패턴보정치, VLOOKUP($G156, Factor!$B$5:$I$51, _xlpm.기본_색인번호, 0),
_xlpm.소모탄환보정치, VLOOKUP($H156, Factor!$T$5:$AA$51, _xlpm.기본_색인번호, 0),
_xlpm.지형보정치, VLOOKUP($I156, Factor!$K$12:$R$13, _xlpm.기본_색인번호, 0),
_xlpm.공격속성보정치, VLOOKUP($J156, Factor!$K$5:$R$7, _xlpm.기본_색인번호, 0),
_xlpm.피해범위보정치, INDEX(Factor!$AN$5:$AV$51, _xlfn.XMATCH(IF(OR($G156="blast", $G156="curved",  $G156= "debuff"), $L156, 0), Factor!$AN$5:$AN$51, -1), _xlpm.추가_색인번호)-IF(AND(OR($G156="blast", $G156="curved", $G156= "debuff"), MOD($L156,1)&lt;&gt;0),INDEX(Factor!$AN$5:$AV$51, _xlfn.XMATCH(IF(OR($G156="blast", $G156="curved", $G156= "debuff"), $L156, 0), Factor!$AN$5:$AN$51, -1), 2)*MOD($L156,1)*10,0),
_xlpm.상태이상보정치, VLOOKUP(IF($G156 = "debuff", $M156, "null"), Factor!$AX$5:$BE$51, _xlpm.기본_색인번호, 0),
_xlpm.지속시간보정치, INDEX(Factor!$BG$5:$BO$51, _xlfn.XMATCH(IF(OR($G156 ="debuff", $G156 = "shot", $G156 = "pierce"), $O156, 0), Factor!$BG$5:$BG$51, -1), _xlpm.추가_색인번호)-IF(AND(OR($G156 ="debuff", $G156 = "shot", $G156 = "pierce"), MOD($O156, 1)&lt;&gt;0), 10*MOD($O156, 1)*INDEX(Factor!$BG$5:$BO$51, _xlfn.XMATCH(IF(OR($G156 ="debuff", $G156 = "shot", $G156 = "pierce"), $O156, 0), Factor!$BG$5:$BG$51, -1), 2), 0),
_xlpm.탄환개수보정치, VLOOKUP(IF(OR($G156 = "curved", $G156 = "shot"), $Q156, 1), Factor!$BQ$5:$BX$51, _xlpm.기본_색인번호, 0),
_xlpm.상태이상탄환생성위치보정치, IF($G156 = "debuff", VLOOKUP($R156, Factor!$K$18:$R$19, _xlpm.기본_색인번호, 0),1),
_xlpm.상태이상탄환형태보정치, IF($G156 = "debuff", VLOOKUP($S156, Factor!$K$24:$R$25, _xlpm.기본_색인번호, 0),1),
_xlpm.가격보정치, INDEX(Factor!$AE$5:$AL$51, _xlfn.XMATCH($F156,Factor!$AE$5:$AE$51, -1), _xlpm.기본_색인번호),
_xlpm.구경보정치, VLOOKUP($D156,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</row>
    <row r="157" spans="1:33" ht="15.75" customHeight="1">
      <c r="A157" s="24" t="str">
        <f>"weapon_"&amp;G157&amp;"_"&amp;VLOOKUP(H157, Factor!$T$5:$AB$7, 9, 0)&amp;"_"&amp;IF(COUNTIFS($G$4:G156, G157, $H$4:H156, H157)+1&gt;=100, COUNTIFS($G$4:G156, G157, $H$4:H156, H157)+1,IF(COUNTIFS($G$4:G156, G157, $H$4:H156, H157)+1&gt;=10, "0"&amp;COUNTIFS($G$4:G156, G157, $H$4:H156, H157)+1, "00"&amp;COUNTIFS($G$4:G156, G157, $H$4:H156, H157)+1))</f>
        <v>weapon_pierce_Sh_021</v>
      </c>
      <c r="B157" s="36" t="str">
        <f t="shared" si="2"/>
        <v>T10 55mm직사포</v>
      </c>
      <c r="C157" s="36" t="s">
        <v>268</v>
      </c>
      <c r="D157" s="36" t="s">
        <v>270</v>
      </c>
      <c r="E157" s="36" t="s">
        <v>278</v>
      </c>
      <c r="F157" s="25">
        <f>VLOOKUP(C157, Factor!$AD$5:$AE$15, 2, 0)</f>
        <v>10000</v>
      </c>
      <c r="G157" s="26" t="str">
        <f>VLOOKUP(E157, Factor!$CL$5:$CV$50, 2, 0)</f>
        <v>pierce</v>
      </c>
      <c r="H157" s="25" t="str">
        <f>VLOOKUP(E157, Factor!$CL$5:$CV$50, 3, 0)</f>
        <v>shell</v>
      </c>
      <c r="I157" s="25" t="str">
        <f>VLOOKUP(E157, Factor!$CL$5:$CV$50, 4, 0)</f>
        <v>L</v>
      </c>
      <c r="J157" s="25" t="str">
        <f>VLOOKUP(E157, Factor!$CL$5:$CV$50, 5, 0)</f>
        <v>normal</v>
      </c>
      <c r="K157" s="25">
        <v>1</v>
      </c>
      <c r="L157" s="25">
        <f>VLOOKUP(E157, Factor!$CL$5:$CV$50, 6, 0)*K157*VLOOKUP(D157, Factor!$BZ$5:$CJ$49, 9, 0)</f>
        <v>0</v>
      </c>
      <c r="M157" s="25" t="str">
        <f>VLOOKUP(E157, Factor!$CL$5:$CV$50, 7, 0)</f>
        <v>null</v>
      </c>
      <c r="N157" s="25">
        <v>1</v>
      </c>
      <c r="O157" s="25">
        <f>VLOOKUP(E157, Factor!$CL$5:$CV$50, 8, 0)*N157*VLOOKUP(D157, Factor!$BZ$5:$CJ$49, 10, 0)</f>
        <v>21</v>
      </c>
      <c r="P157" s="25">
        <v>1</v>
      </c>
      <c r="Q157" s="25">
        <f>VLOOKUP(E157, Factor!$CL$5:$CV$50, 9, 0)*P157*VLOOKUP(D157, Factor!$BZ$5:$CJ$49, 11, 0)</f>
        <v>7</v>
      </c>
      <c r="R157" s="25" t="str">
        <f>VLOOKUP(E157, Factor!$CL$5:$CV$50, 10, 0)</f>
        <v>null</v>
      </c>
      <c r="S157" s="25" t="str">
        <f>VLOOKUP(E157, Factor!$CL$5:$CV$50, 11, 0)</f>
        <v>null</v>
      </c>
      <c r="T157" s="25">
        <v>1</v>
      </c>
      <c r="U157" s="25">
        <v>1</v>
      </c>
      <c r="V157" s="25">
        <v>1</v>
      </c>
      <c r="W157" s="25">
        <v>1</v>
      </c>
      <c r="X157" s="25">
        <v>1</v>
      </c>
      <c r="Y157" s="25">
        <v>1</v>
      </c>
      <c r="Z157" s="25">
        <v>1</v>
      </c>
      <c r="AA157" s="25" cm="1">
        <f t="array" ref="AA157">_xlfn.LET(_xlpm.기본_색인번호, 2,
_xlpm.추가_색인번호, 3,
_xlpm.개별보정치, T157,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157" s="25" cm="1">
        <f t="array" ref="AB157">_xlfn.LET(_xlpm.기본_색인번호, 3,
_xlpm.추가_색인번호, 4,
_xlpm.개별보정치, U157,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157" s="25" cm="1">
        <f t="array" ref="AC157">_xlfn.LET(_xlpm.기본_색인번호, 4,
_xlpm.추가_색인번호, 5,
_xlpm.개별보정치, V157,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7" s="25" cm="1">
        <f t="array" ref="AD157">_xlfn.LET(_xlpm.기본_색인번호, 5,
_xlpm.추가_색인번호, 6,
_xlpm.개별보정치, W157,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E157" s="25" cm="1">
        <f t="array" ref="AE157">_xlfn.LET(_xlpm.기본_색인번호, 6,
_xlpm.추가_색인번호, 7,
_xlpm.개별보정치, X157,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F157" s="25" cm="1">
        <f t="array" ref="AF157">_xlfn.LET(_xlpm.기본_색인번호, 7,
_xlpm.추가_색인번호, 8,
_xlpm.개별보정치, Y157,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7" s="27" cm="1">
        <f t="array" ref="AG157">_xlfn.LET(_xlpm.기본_색인번호, 8,
_xlpm.추가_색인번호, 9,
_xlpm.개별보정치, Z157,
_xlpm.패턴보정치, VLOOKUP($G157, Factor!$B$5:$I$51, _xlpm.기본_색인번호, 0),
_xlpm.소모탄환보정치, VLOOKUP($H157, Factor!$T$5:$AA$51, _xlpm.기본_색인번호, 0),
_xlpm.지형보정치, VLOOKUP($I157, Factor!$K$12:$R$13, _xlpm.기본_색인번호, 0),
_xlpm.공격속성보정치, VLOOKUP($J157, Factor!$K$5:$R$7, _xlpm.기본_색인번호, 0),
_xlpm.피해범위보정치, INDEX(Factor!$AN$5:$AV$51, _xlfn.XMATCH(IF(OR($G157="blast", $G157="curved",  $G157= "debuff"), $L157, 0), Factor!$AN$5:$AN$51, -1), _xlpm.추가_색인번호)-IF(AND(OR($G157="blast", $G157="curved", $G157= "debuff"), MOD($L157,1)&lt;&gt;0),INDEX(Factor!$AN$5:$AV$51, _xlfn.XMATCH(IF(OR($G157="blast", $G157="curved", $G157= "debuff"), $L157, 0), Factor!$AN$5:$AN$51, -1), 2)*MOD($L157,1)*10,0),
_xlpm.상태이상보정치, VLOOKUP(IF($G157 = "debuff", $M157, "null"), Factor!$AX$5:$BE$51, _xlpm.기본_색인번호, 0),
_xlpm.지속시간보정치, INDEX(Factor!$BG$5:$BO$51, _xlfn.XMATCH(IF(OR($G157 ="debuff", $G157 = "shot", $G157 = "pierce"), $O157, 0), Factor!$BG$5:$BG$51, -1), _xlpm.추가_색인번호)-IF(AND(OR($G157 ="debuff", $G157 = "shot", $G157 = "pierce"), MOD($O157, 1)&lt;&gt;0), 10*MOD($O157, 1)*INDEX(Factor!$BG$5:$BO$51, _xlfn.XMATCH(IF(OR($G157 ="debuff", $G157 = "shot", $G157 = "pierce"), $O157, 0), Factor!$BG$5:$BG$51, -1), 2), 0),
_xlpm.탄환개수보정치, VLOOKUP(IF(OR($G157 = "curved", $G157 = "shot"), $Q157, 1), Factor!$BQ$5:$BX$51, _xlpm.기본_색인번호, 0),
_xlpm.상태이상탄환생성위치보정치, IF($G157 = "debuff", VLOOKUP($R157, Factor!$K$18:$R$19, _xlpm.기본_색인번호, 0),1),
_xlpm.상태이상탄환형태보정치, IF($G157 = "debuff", VLOOKUP($S157, Factor!$K$24:$R$25, _xlpm.기본_색인번호, 0),1),
_xlpm.가격보정치, INDEX(Factor!$AE$5:$AL$51, _xlfn.XMATCH($F157,Factor!$AE$5:$AE$51, -1), _xlpm.기본_색인번호),
_xlpm.구경보정치, VLOOKUP($D157,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</row>
    <row r="158" spans="1:33" ht="15.75" customHeight="1">
      <c r="A158" s="28" t="str">
        <f>"weapon_"&amp;G158&amp;"_"&amp;VLOOKUP(H158, Factor!$T$5:$AB$7, 9, 0)&amp;"_"&amp;IF(COUNTIFS($G$4:G157, G158, $H$4:H157, H158)+1&gt;=100, COUNTIFS($G$4:G157, G158, $H$4:H157, H158)+1,IF(COUNTIFS($G$4:G157, G158, $H$4:H157, H158)+1&gt;=10, "0"&amp;COUNTIFS($G$4:G157, G158, $H$4:H157, H158)+1, "00"&amp;COUNTIFS($G$4:G157, G158, $H$4:H157, H158)+1))</f>
        <v>weapon_pierce_Sh_022</v>
      </c>
      <c r="B158" s="37" t="str">
        <f t="shared" si="2"/>
        <v>T10 105mm직사포</v>
      </c>
      <c r="C158" s="37" t="s">
        <v>268</v>
      </c>
      <c r="D158" s="37" t="s">
        <v>272</v>
      </c>
      <c r="E158" s="37" t="s">
        <v>278</v>
      </c>
      <c r="F158" s="29">
        <f>VLOOKUP(C158, Factor!$AD$5:$AE$15, 2, 0)</f>
        <v>10000</v>
      </c>
      <c r="G158" s="29" t="str">
        <f>VLOOKUP(E158, Factor!$CL$5:$CV$50, 2, 0)</f>
        <v>pierce</v>
      </c>
      <c r="H158" s="29" t="str">
        <f>VLOOKUP(E158, Factor!$CL$5:$CV$50, 3, 0)</f>
        <v>shell</v>
      </c>
      <c r="I158" s="29" t="str">
        <f>VLOOKUP(E158, Factor!$CL$5:$CV$50, 4, 0)</f>
        <v>L</v>
      </c>
      <c r="J158" s="29" t="str">
        <f>VLOOKUP(E158, Factor!$CL$5:$CV$50, 5, 0)</f>
        <v>normal</v>
      </c>
      <c r="K158" s="29">
        <v>1</v>
      </c>
      <c r="L158" s="29">
        <f>VLOOKUP(E158, Factor!$CL$5:$CV$50, 6, 0)*K158*VLOOKUP(D158, Factor!$BZ$5:$CJ$49, 9, 0)</f>
        <v>0</v>
      </c>
      <c r="M158" s="29" t="str">
        <f>VLOOKUP(E158, Factor!$CL$5:$CV$50, 7, 0)</f>
        <v>null</v>
      </c>
      <c r="N158" s="29">
        <v>1</v>
      </c>
      <c r="O158" s="29">
        <f>VLOOKUP(E158, Factor!$CL$5:$CV$50, 8, 0)*N158*VLOOKUP(D158, Factor!$BZ$5:$CJ$49, 10, 0)</f>
        <v>24</v>
      </c>
      <c r="P158" s="29">
        <v>1</v>
      </c>
      <c r="Q158" s="29">
        <f>VLOOKUP(E158, Factor!$CL$5:$CV$50, 9, 0)*P158*VLOOKUP(D158, Factor!$BZ$5:$CJ$49, 11, 0)</f>
        <v>8</v>
      </c>
      <c r="R158" s="29" t="str">
        <f>VLOOKUP(E158, Factor!$CL$5:$CV$50, 10, 0)</f>
        <v>null</v>
      </c>
      <c r="S158" s="29" t="str">
        <f>VLOOKUP(E158, Factor!$CL$5:$CV$50, 11, 0)</f>
        <v>null</v>
      </c>
      <c r="T158" s="29">
        <v>1</v>
      </c>
      <c r="U158" s="29">
        <v>1</v>
      </c>
      <c r="V158" s="29">
        <v>1</v>
      </c>
      <c r="W158" s="29">
        <v>1</v>
      </c>
      <c r="X158" s="29">
        <v>1</v>
      </c>
      <c r="Y158" s="29">
        <v>1</v>
      </c>
      <c r="Z158" s="29">
        <v>1</v>
      </c>
      <c r="AA158" s="29" cm="1">
        <f t="array" ref="AA158">_xlfn.LET(_xlpm.기본_색인번호, 2,
_xlpm.추가_색인번호, 3,
_xlpm.개별보정치, T158,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158" s="29" cm="1">
        <f t="array" ref="AB158">_xlfn.LET(_xlpm.기본_색인번호, 3,
_xlpm.추가_색인번호, 4,
_xlpm.개별보정치, U158,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158" s="29" cm="1">
        <f t="array" ref="AC158">_xlfn.LET(_xlpm.기본_색인번호, 4,
_xlpm.추가_색인번호, 5,
_xlpm.개별보정치, V158,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158" s="29" cm="1">
        <f t="array" ref="AD158">_xlfn.LET(_xlpm.기본_색인번호, 5,
_xlpm.추가_색인번호, 6,
_xlpm.개별보정치, W158,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E158" s="29" cm="1">
        <f t="array" ref="AE158">_xlfn.LET(_xlpm.기본_색인번호, 6,
_xlpm.추가_색인번호, 7,
_xlpm.개별보정치, X158,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F158" s="29" cm="1">
        <f t="array" ref="AF158">_xlfn.LET(_xlpm.기본_색인번호, 7,
_xlpm.추가_색인번호, 8,
_xlpm.개별보정치, Y158,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158" s="30" cm="1">
        <f t="array" ref="AG158">_xlfn.LET(_xlpm.기본_색인번호, 8,
_xlpm.추가_색인번호, 9,
_xlpm.개별보정치, Z158,
_xlpm.패턴보정치, VLOOKUP($G158, Factor!$B$5:$I$51, _xlpm.기본_색인번호, 0),
_xlpm.소모탄환보정치, VLOOKUP($H158, Factor!$T$5:$AA$51, _xlpm.기본_색인번호, 0),
_xlpm.지형보정치, VLOOKUP($I158, Factor!$K$12:$R$13, _xlpm.기본_색인번호, 0),
_xlpm.공격속성보정치, VLOOKUP($J158, Factor!$K$5:$R$7, _xlpm.기본_색인번호, 0),
_xlpm.피해범위보정치, INDEX(Factor!$AN$5:$AV$51, _xlfn.XMATCH(IF(OR($G158="blast", $G158="curved",  $G158= "debuff"), $L158, 0), Factor!$AN$5:$AN$51, -1), _xlpm.추가_색인번호)-IF(AND(OR($G158="blast", $G158="curved", $G158= "debuff"), MOD($L158,1)&lt;&gt;0),INDEX(Factor!$AN$5:$AV$51, _xlfn.XMATCH(IF(OR($G158="blast", $G158="curved", $G158= "debuff"), $L158, 0), Factor!$AN$5:$AN$51, -1), 2)*MOD($L158,1)*10,0),
_xlpm.상태이상보정치, VLOOKUP(IF($G158 = "debuff", $M158, "null"), Factor!$AX$5:$BE$51, _xlpm.기본_색인번호, 0),
_xlpm.지속시간보정치, INDEX(Factor!$BG$5:$BO$51, _xlfn.XMATCH(IF(OR($G158 ="debuff", $G158 = "shot", $G158 = "pierce"), $O158, 0), Factor!$BG$5:$BG$51, -1), _xlpm.추가_색인번호)-IF(AND(OR($G158 ="debuff", $G158 = "shot", $G158 = "pierce"), MOD($O158, 1)&lt;&gt;0), 10*MOD($O158, 1)*INDEX(Factor!$BG$5:$BO$51, _xlfn.XMATCH(IF(OR($G158 ="debuff", $G158 = "shot", $G158 = "pierce"), $O158, 0), Factor!$BG$5:$BG$51, -1), 2), 0),
_xlpm.탄환개수보정치, VLOOKUP(IF(OR($G158 = "curved", $G158 = "shot"), $Q158, 1), Factor!$BQ$5:$BX$51, _xlpm.기본_색인번호, 0),
_xlpm.상태이상탄환생성위치보정치, IF($G158 = "debuff", VLOOKUP($R158, Factor!$K$18:$R$19, _xlpm.기본_색인번호, 0),1),
_xlpm.상태이상탄환형태보정치, IF($G158 = "debuff", VLOOKUP($S158, Factor!$K$24:$R$25, _xlpm.기본_색인번호, 0),1),
_xlpm.가격보정치, INDEX(Factor!$AE$5:$AL$51, _xlfn.XMATCH($F158,Factor!$AE$5:$AE$51, -1), _xlpm.기본_색인번호),
_xlpm.구경보정치, VLOOKUP($D158,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</row>
    <row r="159" spans="1:33" ht="15.75" customHeight="1">
      <c r="A159" s="24" t="str">
        <f>"weapon_"&amp;G159&amp;"_"&amp;VLOOKUP(H159, Factor!$T$5:$AB$7, 9, 0)&amp;"_"&amp;IF(COUNTIFS($G$4:G158, G159, $H$4:H158, H159)+1&gt;=100, COUNTIFS($G$4:G158, G159, $H$4:H158, H159)+1,IF(COUNTIFS($G$4:G158, G159, $H$4:H158, H159)+1&gt;=10, "0"&amp;COUNTIFS($G$4:G158, G159, $H$4:H158, H159)+1, "00"&amp;COUNTIFS($G$4:G158, G159, $H$4:H158, H159)+1))</f>
        <v>weapon_blast_Ms_001</v>
      </c>
      <c r="B159" s="36" t="str">
        <f t="shared" si="2"/>
        <v>녹슨 240mm바주카포 발사대</v>
      </c>
      <c r="C159" s="36" t="s">
        <v>240</v>
      </c>
      <c r="D159" s="36" t="s">
        <v>274</v>
      </c>
      <c r="E159" s="36" t="s">
        <v>279</v>
      </c>
      <c r="F159" s="25">
        <f>VLOOKUP(C159, Factor!$AD$5:$AE$15, 2, 0)</f>
        <v>0</v>
      </c>
      <c r="G159" s="26" t="str">
        <f>VLOOKUP(E159, Factor!$CL$5:$CV$50, 2, 0)</f>
        <v>blast</v>
      </c>
      <c r="H159" s="25" t="str">
        <f>VLOOKUP(E159, Factor!$CL$5:$CV$50, 3, 0)</f>
        <v>missile</v>
      </c>
      <c r="I159" s="25" t="str">
        <f>VLOOKUP(E159, Factor!$CL$5:$CV$50, 4, 0)</f>
        <v>L</v>
      </c>
      <c r="J159" s="25" t="str">
        <f>VLOOKUP(E159, Factor!$CL$5:$CV$50, 5, 0)</f>
        <v>normal</v>
      </c>
      <c r="K159" s="25">
        <v>1</v>
      </c>
      <c r="L159" s="25">
        <f>VLOOKUP(E159, Factor!$CL$5:$CV$50, 6, 0)*K159*VLOOKUP(D159, Factor!$BZ$5:$CJ$49, 9, 0)</f>
        <v>16</v>
      </c>
      <c r="M159" s="25" t="str">
        <f>VLOOKUP(E159, Factor!$CL$5:$CV$50, 7, 0)</f>
        <v>null</v>
      </c>
      <c r="N159" s="25">
        <v>1</v>
      </c>
      <c r="O159" s="25">
        <f>VLOOKUP(E159, Factor!$CL$5:$CV$50, 8, 0)*N159*VLOOKUP(D159, Factor!$BZ$5:$CJ$49, 10, 0)</f>
        <v>0</v>
      </c>
      <c r="P159" s="25">
        <v>1</v>
      </c>
      <c r="Q159" s="25">
        <f>VLOOKUP(E159, Factor!$CL$5:$CV$50, 9, 0)*P159*VLOOKUP(D159, Factor!$BZ$5:$CJ$49, 11, 0)</f>
        <v>8</v>
      </c>
      <c r="R159" s="25" t="str">
        <f>VLOOKUP(E159, Factor!$CL$5:$CV$50, 10, 0)</f>
        <v>null</v>
      </c>
      <c r="S159" s="25" t="str">
        <f>VLOOKUP(E159, Factor!$CL$5:$CV$50, 11, 0)</f>
        <v>null</v>
      </c>
      <c r="T159" s="25">
        <v>1</v>
      </c>
      <c r="U159" s="25">
        <v>1</v>
      </c>
      <c r="V159" s="25">
        <v>1</v>
      </c>
      <c r="W159" s="25">
        <v>1</v>
      </c>
      <c r="X159" s="25">
        <v>1</v>
      </c>
      <c r="Y159" s="25">
        <v>1</v>
      </c>
      <c r="Z159" s="25">
        <v>1</v>
      </c>
      <c r="AA159" s="25" cm="1">
        <f t="array" ref="AA159">_xlfn.LET(_xlpm.기본_색인번호, 2,
_xlpm.추가_색인번호, 3,
_xlpm.개별보정치, T159,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B159" s="25" cm="1">
        <f t="array" ref="AB159">_xlfn.LET(_xlpm.기본_색인번호, 3,
_xlpm.추가_색인번호, 4,
_xlpm.개별보정치, U159,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  <c r="AC159" s="25" cm="1">
        <f t="array" ref="AC159">_xlfn.LET(_xlpm.기본_색인번호, 4,
_xlpm.추가_색인번호, 5,
_xlpm.개별보정치, V159,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59" s="25" cm="1">
        <f t="array" ref="AD159">_xlfn.LET(_xlpm.기본_색인번호, 5,
_xlpm.추가_색인번호, 6,
_xlpm.개별보정치, W159,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E159" s="25" cm="1">
        <f t="array" ref="AE159">_xlfn.LET(_xlpm.기본_색인번호, 6,
_xlpm.추가_색인번호, 7,
_xlpm.개별보정치, X159,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F159" s="25" cm="1">
        <f t="array" ref="AF159">_xlfn.LET(_xlpm.기본_색인번호, 7,
_xlpm.추가_색인번호, 8,
_xlpm.개별보정치, Y159,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59" s="27" cm="1">
        <f t="array" ref="AG159">_xlfn.LET(_xlpm.기본_색인번호, 8,
_xlpm.추가_색인번호, 9,
_xlpm.개별보정치, Z159,
_xlpm.패턴보정치, VLOOKUP($G159, Factor!$B$5:$I$51, _xlpm.기본_색인번호, 0),
_xlpm.소모탄환보정치, VLOOKUP($H159, Factor!$T$5:$AA$51, _xlpm.기본_색인번호, 0),
_xlpm.지형보정치, VLOOKUP($I159, Factor!$K$12:$R$13, _xlpm.기본_색인번호, 0),
_xlpm.공격속성보정치, VLOOKUP($J159, Factor!$K$5:$R$7, _xlpm.기본_색인번호, 0),
_xlpm.피해범위보정치, INDEX(Factor!$AN$5:$AV$51, _xlfn.XMATCH(IF(OR($G159="blast", $G159="curved",  $G159= "debuff"), $L159, 0), Factor!$AN$5:$AN$51, -1), _xlpm.추가_색인번호)-IF(AND(OR($G159="blast", $G159="curved", $G159= "debuff"), MOD($L159,1)&lt;&gt;0),INDEX(Factor!$AN$5:$AV$51, _xlfn.XMATCH(IF(OR($G159="blast", $G159="curved", $G159= "debuff"), $L159, 0), Factor!$AN$5:$AN$51, -1), 2)*MOD($L159,1)*10,0),
_xlpm.상태이상보정치, VLOOKUP(IF($G159 = "debuff", $M159, "null"), Factor!$AX$5:$BE$51, _xlpm.기본_색인번호, 0),
_xlpm.지속시간보정치, INDEX(Factor!$BG$5:$BO$51, _xlfn.XMATCH(IF(OR($G159 ="debuff", $G159 = "shot", $G159 = "pierce"), $O159, 0), Factor!$BG$5:$BG$51, -1), _xlpm.추가_색인번호)-IF(AND(OR($G159 ="debuff", $G159 = "shot", $G159 = "pierce"), MOD($O159, 1)&lt;&gt;0), 10*MOD($O159, 1)*INDEX(Factor!$BG$5:$BO$51, _xlfn.XMATCH(IF(OR($G159 ="debuff", $G159 = "shot", $G159 = "pierce"), $O159, 0), Factor!$BG$5:$BG$51, -1), 2), 0),
_xlpm.탄환개수보정치, VLOOKUP(IF(OR($G159 = "curved", $G159 = "shot"), $Q159, 1), Factor!$BQ$5:$BX$51, _xlpm.기본_색인번호, 0),
_xlpm.상태이상탄환생성위치보정치, IF($G159 = "debuff", VLOOKUP($R159, Factor!$K$18:$R$19, _xlpm.기본_색인번호, 0),1),
_xlpm.상태이상탄환형태보정치, IF($G159 = "debuff", VLOOKUP($S159, Factor!$K$24:$R$25, _xlpm.기본_색인번호, 0),1),
_xlpm.가격보정치, INDEX(Factor!$AE$5:$AL$51, _xlfn.XMATCH($F159,Factor!$AE$5:$AE$51, -1), _xlpm.기본_색인번호),
_xlpm.구경보정치, VLOOKUP($D159,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</row>
    <row r="160" spans="1:33" ht="15.75" customHeight="1">
      <c r="A160" s="28" t="str">
        <f>"weapon_"&amp;G160&amp;"_"&amp;VLOOKUP(H160, Factor!$T$5:$AB$7, 9, 0)&amp;"_"&amp;IF(COUNTIFS($G$4:G159, G160, $H$4:H159, H160)+1&gt;=100, COUNTIFS($G$4:G159, G160, $H$4:H159, H160)+1,IF(COUNTIFS($G$4:G159, G160, $H$4:H159, H160)+1&gt;=10, "0"&amp;COUNTIFS($G$4:G159, G160, $H$4:H159, H160)+1, "00"&amp;COUNTIFS($G$4:G159, G160, $H$4:H159, H160)+1))</f>
        <v>weapon_blast_Ms_002</v>
      </c>
      <c r="B160" s="37" t="str">
        <f t="shared" si="2"/>
        <v>T1 240mm바주카포 발사대</v>
      </c>
      <c r="C160" s="37" t="s">
        <v>238</v>
      </c>
      <c r="D160" s="37" t="s">
        <v>274</v>
      </c>
      <c r="E160" s="37" t="s">
        <v>279</v>
      </c>
      <c r="F160" s="29">
        <f>VLOOKUP(C160, Factor!$AD$5:$AE$15, 2, 0)</f>
        <v>1000</v>
      </c>
      <c r="G160" s="29" t="str">
        <f>VLOOKUP(E160, Factor!$CL$5:$CV$50, 2, 0)</f>
        <v>blast</v>
      </c>
      <c r="H160" s="29" t="str">
        <f>VLOOKUP(E160, Factor!$CL$5:$CV$50, 3, 0)</f>
        <v>missile</v>
      </c>
      <c r="I160" s="29" t="str">
        <f>VLOOKUP(E160, Factor!$CL$5:$CV$50, 4, 0)</f>
        <v>L</v>
      </c>
      <c r="J160" s="29" t="str">
        <f>VLOOKUP(E160, Factor!$CL$5:$CV$50, 5, 0)</f>
        <v>normal</v>
      </c>
      <c r="K160" s="29">
        <v>1</v>
      </c>
      <c r="L160" s="29">
        <f>VLOOKUP(E160, Factor!$CL$5:$CV$50, 6, 0)*K160*VLOOKUP(D160, Factor!$BZ$5:$CJ$49, 9, 0)</f>
        <v>16</v>
      </c>
      <c r="M160" s="29" t="str">
        <f>VLOOKUP(E160, Factor!$CL$5:$CV$50, 7, 0)</f>
        <v>null</v>
      </c>
      <c r="N160" s="29">
        <v>1</v>
      </c>
      <c r="O160" s="29">
        <f>VLOOKUP(E160, Factor!$CL$5:$CV$50, 8, 0)*N160*VLOOKUP(D160, Factor!$BZ$5:$CJ$49, 10, 0)</f>
        <v>0</v>
      </c>
      <c r="P160" s="29">
        <v>1</v>
      </c>
      <c r="Q160" s="29">
        <f>VLOOKUP(E160, Factor!$CL$5:$CV$50, 9, 0)*P160*VLOOKUP(D160, Factor!$BZ$5:$CJ$49, 11, 0)</f>
        <v>8</v>
      </c>
      <c r="R160" s="29" t="str">
        <f>VLOOKUP(E160, Factor!$CL$5:$CV$50, 10, 0)</f>
        <v>null</v>
      </c>
      <c r="S160" s="29" t="str">
        <f>VLOOKUP(E160, Factor!$CL$5:$CV$50, 11, 0)</f>
        <v>null</v>
      </c>
      <c r="T160" s="29">
        <v>1</v>
      </c>
      <c r="U160" s="29">
        <v>1</v>
      </c>
      <c r="V160" s="29">
        <v>1</v>
      </c>
      <c r="W160" s="29">
        <v>1</v>
      </c>
      <c r="X160" s="29">
        <v>1</v>
      </c>
      <c r="Y160" s="29">
        <v>1</v>
      </c>
      <c r="Z160" s="29">
        <v>1</v>
      </c>
      <c r="AA160" s="29" cm="1">
        <f t="array" ref="AA160">_xlfn.LET(_xlpm.기본_색인번호, 2,
_xlpm.추가_색인번호, 3,
_xlpm.개별보정치, T160,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160" s="29" cm="1">
        <f t="array" ref="AB160">_xlfn.LET(_xlpm.기본_색인번호, 3,
_xlpm.추가_색인번호, 4,
_xlpm.개별보정치, U160,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  <c r="AC160" s="29" cm="1">
        <f t="array" ref="AC160">_xlfn.LET(_xlpm.기본_색인번호, 4,
_xlpm.추가_색인번호, 5,
_xlpm.개별보정치, V160,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0" s="29" cm="1">
        <f t="array" ref="AD160">_xlfn.LET(_xlpm.기본_색인번호, 5,
_xlpm.추가_색인번호, 6,
_xlpm.개별보정치, W160,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E160" s="29" cm="1">
        <f t="array" ref="AE160">_xlfn.LET(_xlpm.기본_색인번호, 6,
_xlpm.추가_색인번호, 7,
_xlpm.개별보정치, X160,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F160" s="29" cm="1">
        <f t="array" ref="AF160">_xlfn.LET(_xlpm.기본_색인번호, 7,
_xlpm.추가_색인번호, 8,
_xlpm.개별보정치, Y160,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0" s="30" cm="1">
        <f t="array" ref="AG160">_xlfn.LET(_xlpm.기본_색인번호, 8,
_xlpm.추가_색인번호, 9,
_xlpm.개별보정치, Z160,
_xlpm.패턴보정치, VLOOKUP($G160, Factor!$B$5:$I$51, _xlpm.기본_색인번호, 0),
_xlpm.소모탄환보정치, VLOOKUP($H160, Factor!$T$5:$AA$51, _xlpm.기본_색인번호, 0),
_xlpm.지형보정치, VLOOKUP($I160, Factor!$K$12:$R$13, _xlpm.기본_색인번호, 0),
_xlpm.공격속성보정치, VLOOKUP($J160, Factor!$K$5:$R$7, _xlpm.기본_색인번호, 0),
_xlpm.피해범위보정치, INDEX(Factor!$AN$5:$AV$51, _xlfn.XMATCH(IF(OR($G160="blast", $G160="curved",  $G160= "debuff"), $L160, 0), Factor!$AN$5:$AN$51, -1), _xlpm.추가_색인번호)-IF(AND(OR($G160="blast", $G160="curved", $G160= "debuff"), MOD($L160,1)&lt;&gt;0),INDEX(Factor!$AN$5:$AV$51, _xlfn.XMATCH(IF(OR($G160="blast", $G160="curved", $G160= "debuff"), $L160, 0), Factor!$AN$5:$AN$51, -1), 2)*MOD($L160,1)*10,0),
_xlpm.상태이상보정치, VLOOKUP(IF($G160 = "debuff", $M160, "null"), Factor!$AX$5:$BE$51, _xlpm.기본_색인번호, 0),
_xlpm.지속시간보정치, INDEX(Factor!$BG$5:$BO$51, _xlfn.XMATCH(IF(OR($G160 ="debuff", $G160 = "shot", $G160 = "pierce"), $O160, 0), Factor!$BG$5:$BG$51, -1), _xlpm.추가_색인번호)-IF(AND(OR($G160 ="debuff", $G160 = "shot", $G160 = "pierce"), MOD($O160, 1)&lt;&gt;0), 10*MOD($O160, 1)*INDEX(Factor!$BG$5:$BO$51, _xlfn.XMATCH(IF(OR($G160 ="debuff", $G160 = "shot", $G160 = "pierce"), $O160, 0), Factor!$BG$5:$BG$51, -1), 2), 0),
_xlpm.탄환개수보정치, VLOOKUP(IF(OR($G160 = "curved", $G160 = "shot"), $Q160, 1), Factor!$BQ$5:$BX$51, _xlpm.기본_색인번호, 0),
_xlpm.상태이상탄환생성위치보정치, IF($G160 = "debuff", VLOOKUP($R160, Factor!$K$18:$R$19, _xlpm.기본_색인번호, 0),1),
_xlpm.상태이상탄환형태보정치, IF($G160 = "debuff", VLOOKUP($S160, Factor!$K$24:$R$25, _xlpm.기본_색인번호, 0),1),
_xlpm.가격보정치, INDEX(Factor!$AE$5:$AL$51, _xlfn.XMATCH($F160,Factor!$AE$5:$AE$51, -1), _xlpm.기본_색인번호),
_xlpm.구경보정치, VLOOKUP($D160,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</row>
    <row r="161" spans="1:33" ht="15.75" customHeight="1">
      <c r="A161" s="24" t="str">
        <f>"weapon_"&amp;G161&amp;"_"&amp;VLOOKUP(H161, Factor!$T$5:$AB$7, 9, 0)&amp;"_"&amp;IF(COUNTIFS($G$4:G160, G161, $H$4:H160, H161)+1&gt;=100, COUNTIFS($G$4:G160, G161, $H$4:H160, H161)+1,IF(COUNTIFS($G$4:G160, G161, $H$4:H160, H161)+1&gt;=10, "0"&amp;COUNTIFS($G$4:G160, G161, $H$4:H160, H161)+1, "00"&amp;COUNTIFS($G$4:G160, G161, $H$4:H160, H161)+1))</f>
        <v>weapon_blast_Ms_003</v>
      </c>
      <c r="B161" s="36" t="str">
        <f t="shared" si="2"/>
        <v>T2 240mm바주카포 발사대</v>
      </c>
      <c r="C161" s="36" t="s">
        <v>246</v>
      </c>
      <c r="D161" s="36" t="s">
        <v>267</v>
      </c>
      <c r="E161" s="36" t="s">
        <v>279</v>
      </c>
      <c r="F161" s="25">
        <f>VLOOKUP(C161, Factor!$AD$5:$AE$15, 2, 0)</f>
        <v>2000</v>
      </c>
      <c r="G161" s="26" t="str">
        <f>VLOOKUP(E161, Factor!$CL$5:$CV$50, 2, 0)</f>
        <v>blast</v>
      </c>
      <c r="H161" s="25" t="str">
        <f>VLOOKUP(E161, Factor!$CL$5:$CV$50, 3, 0)</f>
        <v>missile</v>
      </c>
      <c r="I161" s="25" t="str">
        <f>VLOOKUP(E161, Factor!$CL$5:$CV$50, 4, 0)</f>
        <v>L</v>
      </c>
      <c r="J161" s="25" t="str">
        <f>VLOOKUP(E161, Factor!$CL$5:$CV$50, 5, 0)</f>
        <v>normal</v>
      </c>
      <c r="K161" s="25">
        <v>1</v>
      </c>
      <c r="L161" s="25">
        <f>VLOOKUP(E161, Factor!$CL$5:$CV$50, 6, 0)*K161*VLOOKUP(D161, Factor!$BZ$5:$CJ$49, 9, 0)</f>
        <v>16</v>
      </c>
      <c r="M161" s="25" t="str">
        <f>VLOOKUP(E161, Factor!$CL$5:$CV$50, 7, 0)</f>
        <v>null</v>
      </c>
      <c r="N161" s="25">
        <v>1</v>
      </c>
      <c r="O161" s="25">
        <f>VLOOKUP(E161, Factor!$CL$5:$CV$50, 8, 0)*N161*VLOOKUP(D161, Factor!$BZ$5:$CJ$49, 10, 0)</f>
        <v>0</v>
      </c>
      <c r="P161" s="25">
        <v>1</v>
      </c>
      <c r="Q161" s="25">
        <f>VLOOKUP(E161, Factor!$CL$5:$CV$50, 9, 0)*P161*VLOOKUP(D161, Factor!$BZ$5:$CJ$49, 11, 0)</f>
        <v>8</v>
      </c>
      <c r="R161" s="25" t="str">
        <f>VLOOKUP(E161, Factor!$CL$5:$CV$50, 10, 0)</f>
        <v>null</v>
      </c>
      <c r="S161" s="25" t="str">
        <f>VLOOKUP(E161, Factor!$CL$5:$CV$50, 11, 0)</f>
        <v>null</v>
      </c>
      <c r="T161" s="25">
        <v>1</v>
      </c>
      <c r="U161" s="25">
        <v>1</v>
      </c>
      <c r="V161" s="25">
        <v>1</v>
      </c>
      <c r="W161" s="25">
        <v>1</v>
      </c>
      <c r="X161" s="25">
        <v>1</v>
      </c>
      <c r="Y161" s="25">
        <v>1</v>
      </c>
      <c r="Z161" s="25">
        <v>1</v>
      </c>
      <c r="AA161" s="25" cm="1">
        <f t="array" ref="AA161">_xlfn.LET(_xlpm.기본_색인번호, 2,
_xlpm.추가_색인번호, 3,
_xlpm.개별보정치, T161,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B161" s="25" cm="1">
        <f t="array" ref="AB161">_xlfn.LET(_xlpm.기본_색인번호, 3,
_xlpm.추가_색인번호, 4,
_xlpm.개별보정치, U161,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  <c r="AC161" s="25" cm="1">
        <f t="array" ref="AC161">_xlfn.LET(_xlpm.기본_색인번호, 4,
_xlpm.추가_색인번호, 5,
_xlpm.개별보정치, V161,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1" s="25" cm="1">
        <f t="array" ref="AD161">_xlfn.LET(_xlpm.기본_색인번호, 5,
_xlpm.추가_색인번호, 6,
_xlpm.개별보정치, W161,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E161" s="25" cm="1">
        <f t="array" ref="AE161">_xlfn.LET(_xlpm.기본_색인번호, 6,
_xlpm.추가_색인번호, 7,
_xlpm.개별보정치, X161,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F161" s="25" cm="1">
        <f t="array" ref="AF161">_xlfn.LET(_xlpm.기본_색인번호, 7,
_xlpm.추가_색인번호, 8,
_xlpm.개별보정치, Y161,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1" s="27" cm="1">
        <f t="array" ref="AG161">_xlfn.LET(_xlpm.기본_색인번호, 8,
_xlpm.추가_색인번호, 9,
_xlpm.개별보정치, Z161,
_xlpm.패턴보정치, VLOOKUP($G161, Factor!$B$5:$I$51, _xlpm.기본_색인번호, 0),
_xlpm.소모탄환보정치, VLOOKUP($H161, Factor!$T$5:$AA$51, _xlpm.기본_색인번호, 0),
_xlpm.지형보정치, VLOOKUP($I161, Factor!$K$12:$R$13, _xlpm.기본_색인번호, 0),
_xlpm.공격속성보정치, VLOOKUP($J161, Factor!$K$5:$R$7, _xlpm.기본_색인번호, 0),
_xlpm.피해범위보정치, INDEX(Factor!$AN$5:$AV$51, _xlfn.XMATCH(IF(OR($G161="blast", $G161="curved",  $G161= "debuff"), $L161, 0), Factor!$AN$5:$AN$51, -1), _xlpm.추가_색인번호)-IF(AND(OR($G161="blast", $G161="curved", $G161= "debuff"), MOD($L161,1)&lt;&gt;0),INDEX(Factor!$AN$5:$AV$51, _xlfn.XMATCH(IF(OR($G161="blast", $G161="curved", $G161= "debuff"), $L161, 0), Factor!$AN$5:$AN$51, -1), 2)*MOD($L161,1)*10,0),
_xlpm.상태이상보정치, VLOOKUP(IF($G161 = "debuff", $M161, "null"), Factor!$AX$5:$BE$51, _xlpm.기본_색인번호, 0),
_xlpm.지속시간보정치, INDEX(Factor!$BG$5:$BO$51, _xlfn.XMATCH(IF(OR($G161 ="debuff", $G161 = "shot", $G161 = "pierce"), $O161, 0), Factor!$BG$5:$BG$51, -1), _xlpm.추가_색인번호)-IF(AND(OR($G161 ="debuff", $G161 = "shot", $G161 = "pierce"), MOD($O161, 1)&lt;&gt;0), 10*MOD($O161, 1)*INDEX(Factor!$BG$5:$BO$51, _xlfn.XMATCH(IF(OR($G161 ="debuff", $G161 = "shot", $G161 = "pierce"), $O161, 0), Factor!$BG$5:$BG$51, -1), 2), 0),
_xlpm.탄환개수보정치, VLOOKUP(IF(OR($G161 = "curved", $G161 = "shot"), $Q161, 1), Factor!$BQ$5:$BX$51, _xlpm.기본_색인번호, 0),
_xlpm.상태이상탄환생성위치보정치, IF($G161 = "debuff", VLOOKUP($R161, Factor!$K$18:$R$19, _xlpm.기본_색인번호, 0),1),
_xlpm.상태이상탄환형태보정치, IF($G161 = "debuff", VLOOKUP($S161, Factor!$K$24:$R$25, _xlpm.기본_색인번호, 0),1),
_xlpm.가격보정치, INDEX(Factor!$AE$5:$AL$51, _xlfn.XMATCH($F161,Factor!$AE$5:$AE$51, -1), _xlpm.기본_색인번호),
_xlpm.구경보정치, VLOOKUP($D161,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</row>
    <row r="162" spans="1:33" ht="15.75" customHeight="1">
      <c r="A162" s="28" t="str">
        <f>"weapon_"&amp;G162&amp;"_"&amp;VLOOKUP(H162, Factor!$T$5:$AB$7, 9, 0)&amp;"_"&amp;IF(COUNTIFS($G$4:G161, G162, $H$4:H161, H162)+1&gt;=100, COUNTIFS($G$4:G161, G162, $H$4:H161, H162)+1,IF(COUNTIFS($G$4:G161, G162, $H$4:H161, H162)+1&gt;=10, "0"&amp;COUNTIFS($G$4:G161, G162, $H$4:H161, H162)+1, "00"&amp;COUNTIFS($G$4:G161, G162, $H$4:H161, H162)+1))</f>
        <v>weapon_blast_Ms_004</v>
      </c>
      <c r="B162" s="37" t="str">
        <f t="shared" si="2"/>
        <v>T3 240mm바주카포 발사대</v>
      </c>
      <c r="C162" s="37" t="s">
        <v>247</v>
      </c>
      <c r="D162" s="37" t="s">
        <v>267</v>
      </c>
      <c r="E162" s="37" t="s">
        <v>279</v>
      </c>
      <c r="F162" s="29">
        <f>VLOOKUP(C162, Factor!$AD$5:$AE$15, 2, 0)</f>
        <v>3000</v>
      </c>
      <c r="G162" s="29" t="str">
        <f>VLOOKUP(E162, Factor!$CL$5:$CV$50, 2, 0)</f>
        <v>blast</v>
      </c>
      <c r="H162" s="29" t="str">
        <f>VLOOKUP(E162, Factor!$CL$5:$CV$50, 3, 0)</f>
        <v>missile</v>
      </c>
      <c r="I162" s="29" t="str">
        <f>VLOOKUP(E162, Factor!$CL$5:$CV$50, 4, 0)</f>
        <v>L</v>
      </c>
      <c r="J162" s="29" t="str">
        <f>VLOOKUP(E162, Factor!$CL$5:$CV$50, 5, 0)</f>
        <v>normal</v>
      </c>
      <c r="K162" s="29">
        <v>1</v>
      </c>
      <c r="L162" s="29">
        <f>VLOOKUP(E162, Factor!$CL$5:$CV$50, 6, 0)*K162*VLOOKUP(D162, Factor!$BZ$5:$CJ$49, 9, 0)</f>
        <v>16</v>
      </c>
      <c r="M162" s="29" t="str">
        <f>VLOOKUP(E162, Factor!$CL$5:$CV$50, 7, 0)</f>
        <v>null</v>
      </c>
      <c r="N162" s="29">
        <v>1</v>
      </c>
      <c r="O162" s="29">
        <f>VLOOKUP(E162, Factor!$CL$5:$CV$50, 8, 0)*N162*VLOOKUP(D162, Factor!$BZ$5:$CJ$49, 10, 0)</f>
        <v>0</v>
      </c>
      <c r="P162" s="29">
        <v>1</v>
      </c>
      <c r="Q162" s="29">
        <f>VLOOKUP(E162, Factor!$CL$5:$CV$50, 9, 0)*P162*VLOOKUP(D162, Factor!$BZ$5:$CJ$49, 11, 0)</f>
        <v>8</v>
      </c>
      <c r="R162" s="29" t="str">
        <f>VLOOKUP(E162, Factor!$CL$5:$CV$50, 10, 0)</f>
        <v>null</v>
      </c>
      <c r="S162" s="29" t="str">
        <f>VLOOKUP(E162, Factor!$CL$5:$CV$50, 11, 0)</f>
        <v>null</v>
      </c>
      <c r="T162" s="29">
        <v>1</v>
      </c>
      <c r="U162" s="29">
        <v>1</v>
      </c>
      <c r="V162" s="29">
        <v>1</v>
      </c>
      <c r="W162" s="29">
        <v>1</v>
      </c>
      <c r="X162" s="29">
        <v>1</v>
      </c>
      <c r="Y162" s="29">
        <v>1</v>
      </c>
      <c r="Z162" s="29">
        <v>1</v>
      </c>
      <c r="AA162" s="29" cm="1">
        <f t="array" ref="AA162">_xlfn.LET(_xlpm.기본_색인번호, 2,
_xlpm.추가_색인번호, 3,
_xlpm.개별보정치, T162,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162" s="29" cm="1">
        <f t="array" ref="AB162">_xlfn.LET(_xlpm.기본_색인번호, 3,
_xlpm.추가_색인번호, 4,
_xlpm.개별보정치, U162,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C162" s="29" cm="1">
        <f t="array" ref="AC162">_xlfn.LET(_xlpm.기본_색인번호, 4,
_xlpm.추가_색인번호, 5,
_xlpm.개별보정치, V162,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2" s="29" cm="1">
        <f t="array" ref="AD162">_xlfn.LET(_xlpm.기본_색인번호, 5,
_xlpm.추가_색인번호, 6,
_xlpm.개별보정치, W162,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  <c r="AE162" s="29" cm="1">
        <f t="array" ref="AE162">_xlfn.LET(_xlpm.기본_색인번호, 6,
_xlpm.추가_색인번호, 7,
_xlpm.개별보정치, X162,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  <c r="AF162" s="29" cm="1">
        <f t="array" ref="AF162">_xlfn.LET(_xlpm.기본_색인번호, 7,
_xlpm.추가_색인번호, 8,
_xlpm.개별보정치, Y162,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2" s="30" cm="1">
        <f t="array" ref="AG162">_xlfn.LET(_xlpm.기본_색인번호, 8,
_xlpm.추가_색인번호, 9,
_xlpm.개별보정치, Z162,
_xlpm.패턴보정치, VLOOKUP($G162, Factor!$B$5:$I$51, _xlpm.기본_색인번호, 0),
_xlpm.소모탄환보정치, VLOOKUP($H162, Factor!$T$5:$AA$51, _xlpm.기본_색인번호, 0),
_xlpm.지형보정치, VLOOKUP($I162, Factor!$K$12:$R$13, _xlpm.기본_색인번호, 0),
_xlpm.공격속성보정치, VLOOKUP($J162, Factor!$K$5:$R$7, _xlpm.기본_색인번호, 0),
_xlpm.피해범위보정치, INDEX(Factor!$AN$5:$AV$51, _xlfn.XMATCH(IF(OR($G162="blast", $G162="curved",  $G162= "debuff"), $L162, 0), Factor!$AN$5:$AN$51, -1), _xlpm.추가_색인번호)-IF(AND(OR($G162="blast", $G162="curved", $G162= "debuff"), MOD($L162,1)&lt;&gt;0),INDEX(Factor!$AN$5:$AV$51, _xlfn.XMATCH(IF(OR($G162="blast", $G162="curved", $G162= "debuff"), $L162, 0), Factor!$AN$5:$AN$51, -1), 2)*MOD($L162,1)*10,0),
_xlpm.상태이상보정치, VLOOKUP(IF($G162 = "debuff", $M162, "null"), Factor!$AX$5:$BE$51, _xlpm.기본_색인번호, 0),
_xlpm.지속시간보정치, INDEX(Factor!$BG$5:$BO$51, _xlfn.XMATCH(IF(OR($G162 ="debuff", $G162 = "shot", $G162 = "pierce"), $O162, 0), Factor!$BG$5:$BG$51, -1), _xlpm.추가_색인번호)-IF(AND(OR($G162 ="debuff", $G162 = "shot", $G162 = "pierce"), MOD($O162, 1)&lt;&gt;0), 10*MOD($O162, 1)*INDEX(Factor!$BG$5:$BO$51, _xlfn.XMATCH(IF(OR($G162 ="debuff", $G162 = "shot", $G162 = "pierce"), $O162, 0), Factor!$BG$5:$BG$51, -1), 2), 0),
_xlpm.탄환개수보정치, VLOOKUP(IF(OR($G162 = "curved", $G162 = "shot"), $Q162, 1), Factor!$BQ$5:$BX$51, _xlpm.기본_색인번호, 0),
_xlpm.상태이상탄환생성위치보정치, IF($G162 = "debuff", VLOOKUP($R162, Factor!$K$18:$R$19, _xlpm.기본_색인번호, 0),1),
_xlpm.상태이상탄환형태보정치, IF($G162 = "debuff", VLOOKUP($S162, Factor!$K$24:$R$25, _xlpm.기본_색인번호, 0),1),
_xlpm.가격보정치, INDEX(Factor!$AE$5:$AL$51, _xlfn.XMATCH($F162,Factor!$AE$5:$AE$51, -1), _xlpm.기본_색인번호),
_xlpm.구경보정치, VLOOKUP($D162,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</v>
      </c>
    </row>
    <row r="163" spans="1:33" ht="15.75" customHeight="1">
      <c r="A163" s="24" t="str">
        <f>"weapon_"&amp;G163&amp;"_"&amp;VLOOKUP(H163, Factor!$T$5:$AB$7, 9, 0)&amp;"_"&amp;IF(COUNTIFS($G$4:G162, G163, $H$4:H162, H163)+1&gt;=100, COUNTIFS($G$4:G162, G163, $H$4:H162, H163)+1,IF(COUNTIFS($G$4:G162, G163, $H$4:H162, H163)+1&gt;=10, "0"&amp;COUNTIFS($G$4:G162, G163, $H$4:H162, H163)+1, "00"&amp;COUNTIFS($G$4:G162, G163, $H$4:H162, H163)+1))</f>
        <v>weapon_blast_Ms_005</v>
      </c>
      <c r="B163" s="36" t="str">
        <f t="shared" si="2"/>
        <v>T4 240mm바주카포 발사대</v>
      </c>
      <c r="C163" s="36" t="s">
        <v>249</v>
      </c>
      <c r="D163" s="36" t="s">
        <v>267</v>
      </c>
      <c r="E163" s="36" t="s">
        <v>279</v>
      </c>
      <c r="F163" s="25">
        <f>VLOOKUP(C163, Factor!$AD$5:$AE$15, 2, 0)</f>
        <v>4000</v>
      </c>
      <c r="G163" s="26" t="str">
        <f>VLOOKUP(E163, Factor!$CL$5:$CV$50, 2, 0)</f>
        <v>blast</v>
      </c>
      <c r="H163" s="25" t="str">
        <f>VLOOKUP(E163, Factor!$CL$5:$CV$50, 3, 0)</f>
        <v>missile</v>
      </c>
      <c r="I163" s="25" t="str">
        <f>VLOOKUP(E163, Factor!$CL$5:$CV$50, 4, 0)</f>
        <v>L</v>
      </c>
      <c r="J163" s="25" t="str">
        <f>VLOOKUP(E163, Factor!$CL$5:$CV$50, 5, 0)</f>
        <v>normal</v>
      </c>
      <c r="K163" s="25">
        <v>1</v>
      </c>
      <c r="L163" s="25">
        <f>VLOOKUP(E163, Factor!$CL$5:$CV$50, 6, 0)*K163*VLOOKUP(D163, Factor!$BZ$5:$CJ$49, 9, 0)</f>
        <v>16</v>
      </c>
      <c r="M163" s="25" t="str">
        <f>VLOOKUP(E163, Factor!$CL$5:$CV$50, 7, 0)</f>
        <v>null</v>
      </c>
      <c r="N163" s="25">
        <v>1</v>
      </c>
      <c r="O163" s="25">
        <f>VLOOKUP(E163, Factor!$CL$5:$CV$50, 8, 0)*N163*VLOOKUP(D163, Factor!$BZ$5:$CJ$49, 10, 0)</f>
        <v>0</v>
      </c>
      <c r="P163" s="25">
        <v>1</v>
      </c>
      <c r="Q163" s="25">
        <f>VLOOKUP(E163, Factor!$CL$5:$CV$50, 9, 0)*P163*VLOOKUP(D163, Factor!$BZ$5:$CJ$49, 11, 0)</f>
        <v>8</v>
      </c>
      <c r="R163" s="25" t="str">
        <f>VLOOKUP(E163, Factor!$CL$5:$CV$50, 10, 0)</f>
        <v>null</v>
      </c>
      <c r="S163" s="25" t="str">
        <f>VLOOKUP(E163, Factor!$CL$5:$CV$50, 11, 0)</f>
        <v>null</v>
      </c>
      <c r="T163" s="25">
        <v>1</v>
      </c>
      <c r="U163" s="25">
        <v>1</v>
      </c>
      <c r="V163" s="25">
        <v>1</v>
      </c>
      <c r="W163" s="25">
        <v>1</v>
      </c>
      <c r="X163" s="25">
        <v>1</v>
      </c>
      <c r="Y163" s="25">
        <v>1</v>
      </c>
      <c r="Z163" s="25">
        <v>1</v>
      </c>
      <c r="AA163" s="25" cm="1">
        <f t="array" ref="AA163">_xlfn.LET(_xlpm.기본_색인번호, 2,
_xlpm.추가_색인번호, 3,
_xlpm.개별보정치, T163,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1500</v>
      </c>
      <c r="AB163" s="25" cm="1">
        <f t="array" ref="AB163">_xlfn.LET(_xlpm.기본_색인번호, 3,
_xlpm.추가_색인번호, 4,
_xlpm.개별보정치, U163,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C163" s="25" cm="1">
        <f t="array" ref="AC163">_xlfn.LET(_xlpm.기본_색인번호, 4,
_xlpm.추가_색인번호, 5,
_xlpm.개별보정치, V163,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3" s="25" cm="1">
        <f t="array" ref="AD163">_xlfn.LET(_xlpm.기본_색인번호, 5,
_xlpm.추가_색인번호, 6,
_xlpm.개별보정치, W163,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E163" s="25" cm="1">
        <f t="array" ref="AE163">_xlfn.LET(_xlpm.기본_색인번호, 6,
_xlpm.추가_색인번호, 7,
_xlpm.개별보정치, X163,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F163" s="25" cm="1">
        <f t="array" ref="AF163">_xlfn.LET(_xlpm.기본_색인번호, 7,
_xlpm.추가_색인번호, 8,
_xlpm.개별보정치, Y163,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3" s="27" cm="1">
        <f t="array" ref="AG163">_xlfn.LET(_xlpm.기본_색인번호, 8,
_xlpm.추가_색인번호, 9,
_xlpm.개별보정치, Z163,
_xlpm.패턴보정치, VLOOKUP($G163, Factor!$B$5:$I$51, _xlpm.기본_색인번호, 0),
_xlpm.소모탄환보정치, VLOOKUP($H163, Factor!$T$5:$AA$51, _xlpm.기본_색인번호, 0),
_xlpm.지형보정치, VLOOKUP($I163, Factor!$K$12:$R$13, _xlpm.기본_색인번호, 0),
_xlpm.공격속성보정치, VLOOKUP($J163, Factor!$K$5:$R$7, _xlpm.기본_색인번호, 0),
_xlpm.피해범위보정치, INDEX(Factor!$AN$5:$AV$51, _xlfn.XMATCH(IF(OR($G163="blast", $G163="curved",  $G163= "debuff"), $L163, 0), Factor!$AN$5:$AN$51, -1), _xlpm.추가_색인번호)-IF(AND(OR($G163="blast", $G163="curved", $G163= "debuff"), MOD($L163,1)&lt;&gt;0),INDEX(Factor!$AN$5:$AV$51, _xlfn.XMATCH(IF(OR($G163="blast", $G163="curved", $G163= "debuff"), $L163, 0), Factor!$AN$5:$AN$51, -1), 2)*MOD($L163,1)*10,0),
_xlpm.상태이상보정치, VLOOKUP(IF($G163 = "debuff", $M163, "null"), Factor!$AX$5:$BE$51, _xlpm.기본_색인번호, 0),
_xlpm.지속시간보정치, INDEX(Factor!$BG$5:$BO$51, _xlfn.XMATCH(IF(OR($G163 ="debuff", $G163 = "shot", $G163 = "pierce"), $O163, 0), Factor!$BG$5:$BG$51, -1), _xlpm.추가_색인번호)-IF(AND(OR($G163 ="debuff", $G163 = "shot", $G163 = "pierce"), MOD($O163, 1)&lt;&gt;0), 10*MOD($O163, 1)*INDEX(Factor!$BG$5:$BO$51, _xlfn.XMATCH(IF(OR($G163 ="debuff", $G163 = "shot", $G163 = "pierce"), $O163, 0), Factor!$BG$5:$BG$51, -1), 2), 0),
_xlpm.탄환개수보정치, VLOOKUP(IF(OR($G163 = "curved", $G163 = "shot"), $Q163, 1), Factor!$BQ$5:$BX$51, _xlpm.기본_색인번호, 0),
_xlpm.상태이상탄환생성위치보정치, IF($G163 = "debuff", VLOOKUP($R163, Factor!$K$18:$R$19, _xlpm.기본_색인번호, 0),1),
_xlpm.상태이상탄환형태보정치, IF($G163 = "debuff", VLOOKUP($S163, Factor!$K$24:$R$25, _xlpm.기본_색인번호, 0),1),
_xlpm.가격보정치, INDEX(Factor!$AE$5:$AL$51, _xlfn.XMATCH($F163,Factor!$AE$5:$AE$51, -1), _xlpm.기본_색인번호),
_xlpm.구경보정치, VLOOKUP($D163,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</row>
    <row r="164" spans="1:33" ht="15.75" customHeight="1">
      <c r="A164" s="28" t="str">
        <f>"weapon_"&amp;G164&amp;"_"&amp;VLOOKUP(H164, Factor!$T$5:$AB$7, 9, 0)&amp;"_"&amp;IF(COUNTIFS($G$4:G163, G164, $H$4:H163, H164)+1&gt;=100, COUNTIFS($G$4:G163, G164, $H$4:H163, H164)+1,IF(COUNTIFS($G$4:G163, G164, $H$4:H163, H164)+1&gt;=10, "0"&amp;COUNTIFS($G$4:G163, G164, $H$4:H163, H164)+1, "00"&amp;COUNTIFS($G$4:G163, G164, $H$4:H163, H164)+1))</f>
        <v>weapon_blast_Ms_006</v>
      </c>
      <c r="B164" s="37" t="str">
        <f t="shared" si="2"/>
        <v>T5 240mm바주카포 발사대</v>
      </c>
      <c r="C164" s="37" t="s">
        <v>251</v>
      </c>
      <c r="D164" s="37" t="s">
        <v>267</v>
      </c>
      <c r="E164" s="37" t="s">
        <v>279</v>
      </c>
      <c r="F164" s="29">
        <f>VLOOKUP(C164, Factor!$AD$5:$AE$15, 2, 0)</f>
        <v>5000</v>
      </c>
      <c r="G164" s="29" t="str">
        <f>VLOOKUP(E164, Factor!$CL$5:$CV$50, 2, 0)</f>
        <v>blast</v>
      </c>
      <c r="H164" s="29" t="str">
        <f>VLOOKUP(E164, Factor!$CL$5:$CV$50, 3, 0)</f>
        <v>missile</v>
      </c>
      <c r="I164" s="29" t="str">
        <f>VLOOKUP(E164, Factor!$CL$5:$CV$50, 4, 0)</f>
        <v>L</v>
      </c>
      <c r="J164" s="29" t="str">
        <f>VLOOKUP(E164, Factor!$CL$5:$CV$50, 5, 0)</f>
        <v>normal</v>
      </c>
      <c r="K164" s="29">
        <v>1</v>
      </c>
      <c r="L164" s="29">
        <f>VLOOKUP(E164, Factor!$CL$5:$CV$50, 6, 0)*K164*VLOOKUP(D164, Factor!$BZ$5:$CJ$49, 9, 0)</f>
        <v>16</v>
      </c>
      <c r="M164" s="29" t="str">
        <f>VLOOKUP(E164, Factor!$CL$5:$CV$50, 7, 0)</f>
        <v>null</v>
      </c>
      <c r="N164" s="29">
        <v>1</v>
      </c>
      <c r="O164" s="29">
        <f>VLOOKUP(E164, Factor!$CL$5:$CV$50, 8, 0)*N164*VLOOKUP(D164, Factor!$BZ$5:$CJ$49, 10, 0)</f>
        <v>0</v>
      </c>
      <c r="P164" s="29">
        <v>1</v>
      </c>
      <c r="Q164" s="29">
        <f>VLOOKUP(E164, Factor!$CL$5:$CV$50, 9, 0)*P164*VLOOKUP(D164, Factor!$BZ$5:$CJ$49, 11, 0)</f>
        <v>8</v>
      </c>
      <c r="R164" s="29" t="str">
        <f>VLOOKUP(E164, Factor!$CL$5:$CV$50, 10, 0)</f>
        <v>null</v>
      </c>
      <c r="S164" s="29" t="str">
        <f>VLOOKUP(E164, Factor!$CL$5:$CV$50, 11, 0)</f>
        <v>null</v>
      </c>
      <c r="T164" s="29">
        <v>1</v>
      </c>
      <c r="U164" s="29">
        <v>1</v>
      </c>
      <c r="V164" s="29">
        <v>1</v>
      </c>
      <c r="W164" s="29">
        <v>1</v>
      </c>
      <c r="X164" s="29">
        <v>1</v>
      </c>
      <c r="Y164" s="29">
        <v>1</v>
      </c>
      <c r="Z164" s="29">
        <v>1</v>
      </c>
      <c r="AA164" s="29" cm="1">
        <f t="array" ref="AA164">_xlfn.LET(_xlpm.기본_색인번호, 2,
_xlpm.추가_색인번호, 3,
_xlpm.개별보정치, T164,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164" s="29" cm="1">
        <f t="array" ref="AB164">_xlfn.LET(_xlpm.기본_색인번호, 3,
_xlpm.추가_색인번호, 4,
_xlpm.개별보정치, U164,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C164" s="29" cm="1">
        <f t="array" ref="AC164">_xlfn.LET(_xlpm.기본_색인번호, 4,
_xlpm.추가_색인번호, 5,
_xlpm.개별보정치, V164,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4" s="29" cm="1">
        <f t="array" ref="AD164">_xlfn.LET(_xlpm.기본_색인번호, 5,
_xlpm.추가_색인번호, 6,
_xlpm.개별보정치, W164,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E164" s="29" cm="1">
        <f t="array" ref="AE164">_xlfn.LET(_xlpm.기본_색인번호, 6,
_xlpm.추가_색인번호, 7,
_xlpm.개별보정치, X164,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F164" s="29" cm="1">
        <f t="array" ref="AF164">_xlfn.LET(_xlpm.기본_색인번호, 7,
_xlpm.추가_색인번호, 8,
_xlpm.개별보정치, Y164,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4" s="30" cm="1">
        <f t="array" ref="AG164">_xlfn.LET(_xlpm.기본_색인번호, 8,
_xlpm.추가_색인번호, 9,
_xlpm.개별보정치, Z164,
_xlpm.패턴보정치, VLOOKUP($G164, Factor!$B$5:$I$51, _xlpm.기본_색인번호, 0),
_xlpm.소모탄환보정치, VLOOKUP($H164, Factor!$T$5:$AA$51, _xlpm.기본_색인번호, 0),
_xlpm.지형보정치, VLOOKUP($I164, Factor!$K$12:$R$13, _xlpm.기본_색인번호, 0),
_xlpm.공격속성보정치, VLOOKUP($J164, Factor!$K$5:$R$7, _xlpm.기본_색인번호, 0),
_xlpm.피해범위보정치, INDEX(Factor!$AN$5:$AV$51, _xlfn.XMATCH(IF(OR($G164="blast", $G164="curved",  $G164= "debuff"), $L164, 0), Factor!$AN$5:$AN$51, -1), _xlpm.추가_색인번호)-IF(AND(OR($G164="blast", $G164="curved", $G164= "debuff"), MOD($L164,1)&lt;&gt;0),INDEX(Factor!$AN$5:$AV$51, _xlfn.XMATCH(IF(OR($G164="blast", $G164="curved", $G164= "debuff"), $L164, 0), Factor!$AN$5:$AN$51, -1), 2)*MOD($L164,1)*10,0),
_xlpm.상태이상보정치, VLOOKUP(IF($G164 = "debuff", $M164, "null"), Factor!$AX$5:$BE$51, _xlpm.기본_색인번호, 0),
_xlpm.지속시간보정치, INDEX(Factor!$BG$5:$BO$51, _xlfn.XMATCH(IF(OR($G164 ="debuff", $G164 = "shot", $G164 = "pierce"), $O164, 0), Factor!$BG$5:$BG$51, -1), _xlpm.추가_색인번호)-IF(AND(OR($G164 ="debuff", $G164 = "shot", $G164 = "pierce"), MOD($O164, 1)&lt;&gt;0), 10*MOD($O164, 1)*INDEX(Factor!$BG$5:$BO$51, _xlfn.XMATCH(IF(OR($G164 ="debuff", $G164 = "shot", $G164 = "pierce"), $O164, 0), Factor!$BG$5:$BG$51, -1), 2), 0),
_xlpm.탄환개수보정치, VLOOKUP(IF(OR($G164 = "curved", $G164 = "shot"), $Q164, 1), Factor!$BQ$5:$BX$51, _xlpm.기본_색인번호, 0),
_xlpm.상태이상탄환생성위치보정치, IF($G164 = "debuff", VLOOKUP($R164, Factor!$K$18:$R$19, _xlpm.기본_색인번호, 0),1),
_xlpm.상태이상탄환형태보정치, IF($G164 = "debuff", VLOOKUP($S164, Factor!$K$24:$R$25, _xlpm.기본_색인번호, 0),1),
_xlpm.가격보정치, INDEX(Factor!$AE$5:$AL$51, _xlfn.XMATCH($F164,Factor!$AE$5:$AE$51, -1), _xlpm.기본_색인번호),
_xlpm.구경보정치, VLOOKUP($D164,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</row>
    <row r="165" spans="1:33" ht="15.75" customHeight="1">
      <c r="A165" s="24" t="str">
        <f>"weapon_"&amp;G165&amp;"_"&amp;VLOOKUP(H165, Factor!$T$5:$AB$7, 9, 0)&amp;"_"&amp;IF(COUNTIFS($G$4:G164, G165, $H$4:H164, H165)+1&gt;=100, COUNTIFS($G$4:G164, G165, $H$4:H164, H165)+1,IF(COUNTIFS($G$4:G164, G165, $H$4:H164, H165)+1&gt;=10, "0"&amp;COUNTIFS($G$4:G164, G165, $H$4:H164, H165)+1, "00"&amp;COUNTIFS($G$4:G164, G165, $H$4:H164, H165)+1))</f>
        <v>weapon_blast_Ms_007</v>
      </c>
      <c r="B165" s="36" t="str">
        <f t="shared" si="2"/>
        <v>T6 240mm바주카포 발사대</v>
      </c>
      <c r="C165" s="36" t="s">
        <v>253</v>
      </c>
      <c r="D165" s="36" t="s">
        <v>267</v>
      </c>
      <c r="E165" s="36" t="s">
        <v>279</v>
      </c>
      <c r="F165" s="25">
        <f>VLOOKUP(C165, Factor!$AD$5:$AE$15, 2, 0)</f>
        <v>6000</v>
      </c>
      <c r="G165" s="26" t="str">
        <f>VLOOKUP(E165, Factor!$CL$5:$CV$50, 2, 0)</f>
        <v>blast</v>
      </c>
      <c r="H165" s="25" t="str">
        <f>VLOOKUP(E165, Factor!$CL$5:$CV$50, 3, 0)</f>
        <v>missile</v>
      </c>
      <c r="I165" s="25" t="str">
        <f>VLOOKUP(E165, Factor!$CL$5:$CV$50, 4, 0)</f>
        <v>L</v>
      </c>
      <c r="J165" s="25" t="str">
        <f>VLOOKUP(E165, Factor!$CL$5:$CV$50, 5, 0)</f>
        <v>normal</v>
      </c>
      <c r="K165" s="25">
        <v>1</v>
      </c>
      <c r="L165" s="25">
        <f>VLOOKUP(E165, Factor!$CL$5:$CV$50, 6, 0)*K165*VLOOKUP(D165, Factor!$BZ$5:$CJ$49, 9, 0)</f>
        <v>16</v>
      </c>
      <c r="M165" s="25" t="str">
        <f>VLOOKUP(E165, Factor!$CL$5:$CV$50, 7, 0)</f>
        <v>null</v>
      </c>
      <c r="N165" s="25">
        <v>1</v>
      </c>
      <c r="O165" s="25">
        <f>VLOOKUP(E165, Factor!$CL$5:$CV$50, 8, 0)*N165*VLOOKUP(D165, Factor!$BZ$5:$CJ$49, 10, 0)</f>
        <v>0</v>
      </c>
      <c r="P165" s="25">
        <v>1</v>
      </c>
      <c r="Q165" s="25">
        <f>VLOOKUP(E165, Factor!$CL$5:$CV$50, 9, 0)*P165*VLOOKUP(D165, Factor!$BZ$5:$CJ$49, 11, 0)</f>
        <v>8</v>
      </c>
      <c r="R165" s="25" t="str">
        <f>VLOOKUP(E165, Factor!$CL$5:$CV$50, 10, 0)</f>
        <v>null</v>
      </c>
      <c r="S165" s="25" t="str">
        <f>VLOOKUP(E165, Factor!$CL$5:$CV$50, 11, 0)</f>
        <v>null</v>
      </c>
      <c r="T165" s="25">
        <v>1</v>
      </c>
      <c r="U165" s="25">
        <v>1</v>
      </c>
      <c r="V165" s="25">
        <v>1</v>
      </c>
      <c r="W165" s="25">
        <v>1</v>
      </c>
      <c r="X165" s="25">
        <v>1</v>
      </c>
      <c r="Y165" s="25">
        <v>1</v>
      </c>
      <c r="Z165" s="25">
        <v>1</v>
      </c>
      <c r="AA165" s="25" cm="1">
        <f t="array" ref="AA165">_xlfn.LET(_xlpm.기본_색인번호, 2,
_xlpm.추가_색인번호, 3,
_xlpm.개별보정치, T165,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2100</v>
      </c>
      <c r="AB165" s="25" cm="1">
        <f t="array" ref="AB165">_xlfn.LET(_xlpm.기본_색인번호, 3,
_xlpm.추가_색인번호, 4,
_xlpm.개별보정치, U165,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165" s="25" cm="1">
        <f t="array" ref="AC165">_xlfn.LET(_xlpm.기본_색인번호, 4,
_xlpm.추가_색인번호, 5,
_xlpm.개별보정치, V165,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5" s="25" cm="1">
        <f t="array" ref="AD165">_xlfn.LET(_xlpm.기본_색인번호, 5,
_xlpm.추가_색인번호, 6,
_xlpm.개별보정치, W165,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</v>
      </c>
      <c r="AE165" s="25" cm="1">
        <f t="array" ref="AE165">_xlfn.LET(_xlpm.기본_색인번호, 6,
_xlpm.추가_색인번호, 7,
_xlpm.개별보정치, X165,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</v>
      </c>
      <c r="AF165" s="25" cm="1">
        <f t="array" ref="AF165">_xlfn.LET(_xlpm.기본_색인번호, 7,
_xlpm.추가_색인번호, 8,
_xlpm.개별보정치, Y165,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5" s="27" cm="1">
        <f t="array" ref="AG165">_xlfn.LET(_xlpm.기본_색인번호, 8,
_xlpm.추가_색인번호, 9,
_xlpm.개별보정치, Z165,
_xlpm.패턴보정치, VLOOKUP($G165, Factor!$B$5:$I$51, _xlpm.기본_색인번호, 0),
_xlpm.소모탄환보정치, VLOOKUP($H165, Factor!$T$5:$AA$51, _xlpm.기본_색인번호, 0),
_xlpm.지형보정치, VLOOKUP($I165, Factor!$K$12:$R$13, _xlpm.기본_색인번호, 0),
_xlpm.공격속성보정치, VLOOKUP($J165, Factor!$K$5:$R$7, _xlpm.기본_색인번호, 0),
_xlpm.피해범위보정치, INDEX(Factor!$AN$5:$AV$51, _xlfn.XMATCH(IF(OR($G165="blast", $G165="curved",  $G165= "debuff"), $L165, 0), Factor!$AN$5:$AN$51, -1), _xlpm.추가_색인번호)-IF(AND(OR($G165="blast", $G165="curved", $G165= "debuff"), MOD($L165,1)&lt;&gt;0),INDEX(Factor!$AN$5:$AV$51, _xlfn.XMATCH(IF(OR($G165="blast", $G165="curved", $G165= "debuff"), $L165, 0), Factor!$AN$5:$AN$51, -1), 2)*MOD($L165,1)*10,0),
_xlpm.상태이상보정치, VLOOKUP(IF($G165 = "debuff", $M165, "null"), Factor!$AX$5:$BE$51, _xlpm.기본_색인번호, 0),
_xlpm.지속시간보정치, INDEX(Factor!$BG$5:$BO$51, _xlfn.XMATCH(IF(OR($G165 ="debuff", $G165 = "shot", $G165 = "pierce"), $O165, 0), Factor!$BG$5:$BG$51, -1), _xlpm.추가_색인번호)-IF(AND(OR($G165 ="debuff", $G165 = "shot", $G165 = "pierce"), MOD($O165, 1)&lt;&gt;0), 10*MOD($O165, 1)*INDEX(Factor!$BG$5:$BO$51, _xlfn.XMATCH(IF(OR($G165 ="debuff", $G165 = "shot", $G165 = "pierce"), $O165, 0), Factor!$BG$5:$BG$51, -1), 2), 0),
_xlpm.탄환개수보정치, VLOOKUP(IF(OR($G165 = "curved", $G165 = "shot"), $Q165, 1), Factor!$BQ$5:$BX$51, _xlpm.기본_색인번호, 0),
_xlpm.상태이상탄환생성위치보정치, IF($G165 = "debuff", VLOOKUP($R165, Factor!$K$18:$R$19, _xlpm.기본_색인번호, 0),1),
_xlpm.상태이상탄환형태보정치, IF($G165 = "debuff", VLOOKUP($S165, Factor!$K$24:$R$25, _xlpm.기본_색인번호, 0),1),
_xlpm.가격보정치, INDEX(Factor!$AE$5:$AL$51, _xlfn.XMATCH($F165,Factor!$AE$5:$AE$51, -1), _xlpm.기본_색인번호),
_xlpm.구경보정치, VLOOKUP($D165,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</v>
      </c>
    </row>
    <row r="166" spans="1:33" ht="15.75" customHeight="1">
      <c r="A166" s="28" t="str">
        <f>"weapon_"&amp;G166&amp;"_"&amp;VLOOKUP(H166, Factor!$T$5:$AB$7, 9, 0)&amp;"_"&amp;IF(COUNTIFS($G$4:G165, G166, $H$4:H165, H166)+1&gt;=100, COUNTIFS($G$4:G165, G166, $H$4:H165, H166)+1,IF(COUNTIFS($G$4:G165, G166, $H$4:H165, H166)+1&gt;=10, "0"&amp;COUNTIFS($G$4:G165, G166, $H$4:H165, H166)+1, "00"&amp;COUNTIFS($G$4:G165, G166, $H$4:H165, H166)+1))</f>
        <v>weapon_blast_Ms_008</v>
      </c>
      <c r="B166" s="37" t="str">
        <f t="shared" si="2"/>
        <v>T7 240mm바주카포 발사대</v>
      </c>
      <c r="C166" s="37" t="s">
        <v>254</v>
      </c>
      <c r="D166" s="37" t="s">
        <v>267</v>
      </c>
      <c r="E166" s="37" t="s">
        <v>279</v>
      </c>
      <c r="F166" s="29">
        <f>VLOOKUP(C166, Factor!$AD$5:$AE$15, 2, 0)</f>
        <v>7000</v>
      </c>
      <c r="G166" s="29" t="str">
        <f>VLOOKUP(E166, Factor!$CL$5:$CV$50, 2, 0)</f>
        <v>blast</v>
      </c>
      <c r="H166" s="29" t="str">
        <f>VLOOKUP(E166, Factor!$CL$5:$CV$50, 3, 0)</f>
        <v>missile</v>
      </c>
      <c r="I166" s="29" t="str">
        <f>VLOOKUP(E166, Factor!$CL$5:$CV$50, 4, 0)</f>
        <v>L</v>
      </c>
      <c r="J166" s="29" t="str">
        <f>VLOOKUP(E166, Factor!$CL$5:$CV$50, 5, 0)</f>
        <v>normal</v>
      </c>
      <c r="K166" s="29">
        <v>1</v>
      </c>
      <c r="L166" s="29">
        <f>VLOOKUP(E166, Factor!$CL$5:$CV$50, 6, 0)*K166*VLOOKUP(D166, Factor!$BZ$5:$CJ$49, 9, 0)</f>
        <v>16</v>
      </c>
      <c r="M166" s="29" t="str">
        <f>VLOOKUP(E166, Factor!$CL$5:$CV$50, 7, 0)</f>
        <v>null</v>
      </c>
      <c r="N166" s="29">
        <v>1</v>
      </c>
      <c r="O166" s="29">
        <f>VLOOKUP(E166, Factor!$CL$5:$CV$50, 8, 0)*N166*VLOOKUP(D166, Factor!$BZ$5:$CJ$49, 10, 0)</f>
        <v>0</v>
      </c>
      <c r="P166" s="29">
        <v>1</v>
      </c>
      <c r="Q166" s="29">
        <f>VLOOKUP(E166, Factor!$CL$5:$CV$50, 9, 0)*P166*VLOOKUP(D166, Factor!$BZ$5:$CJ$49, 11, 0)</f>
        <v>8</v>
      </c>
      <c r="R166" s="29" t="str">
        <f>VLOOKUP(E166, Factor!$CL$5:$CV$50, 10, 0)</f>
        <v>null</v>
      </c>
      <c r="S166" s="29" t="str">
        <f>VLOOKUP(E166, Factor!$CL$5:$CV$50, 11, 0)</f>
        <v>null</v>
      </c>
      <c r="T166" s="29">
        <v>1</v>
      </c>
      <c r="U166" s="29">
        <v>1</v>
      </c>
      <c r="V166" s="29">
        <v>1</v>
      </c>
      <c r="W166" s="29">
        <v>1</v>
      </c>
      <c r="X166" s="29">
        <v>1</v>
      </c>
      <c r="Y166" s="29">
        <v>1</v>
      </c>
      <c r="Z166" s="29">
        <v>1</v>
      </c>
      <c r="AA166" s="29" cm="1">
        <f t="array" ref="AA166">_xlfn.LET(_xlpm.기본_색인번호, 2,
_xlpm.추가_색인번호, 3,
_xlpm.개별보정치, T166,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166" s="29" cm="1">
        <f t="array" ref="AB166">_xlfn.LET(_xlpm.기본_색인번호, 3,
_xlpm.추가_색인번호, 4,
_xlpm.개별보정치, U166,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166" s="29" cm="1">
        <f t="array" ref="AC166">_xlfn.LET(_xlpm.기본_색인번호, 4,
_xlpm.추가_색인번호, 5,
_xlpm.개별보정치, V166,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6" s="29" cm="1">
        <f t="array" ref="AD166">_xlfn.LET(_xlpm.기본_색인번호, 5,
_xlpm.추가_색인번호, 6,
_xlpm.개별보정치, W166,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  <c r="AE166" s="29" cm="1">
        <f t="array" ref="AE166">_xlfn.LET(_xlpm.기본_색인번호, 6,
_xlpm.추가_색인번호, 7,
_xlpm.개별보정치, X166,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  <c r="AF166" s="29" cm="1">
        <f t="array" ref="AF166">_xlfn.LET(_xlpm.기본_색인번호, 7,
_xlpm.추가_색인번호, 8,
_xlpm.개별보정치, Y166,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6" s="30" cm="1">
        <f t="array" ref="AG166">_xlfn.LET(_xlpm.기본_색인번호, 8,
_xlpm.추가_색인번호, 9,
_xlpm.개별보정치, Z166,
_xlpm.패턴보정치, VLOOKUP($G166, Factor!$B$5:$I$51, _xlpm.기본_색인번호, 0),
_xlpm.소모탄환보정치, VLOOKUP($H166, Factor!$T$5:$AA$51, _xlpm.기본_색인번호, 0),
_xlpm.지형보정치, VLOOKUP($I166, Factor!$K$12:$R$13, _xlpm.기본_색인번호, 0),
_xlpm.공격속성보정치, VLOOKUP($J166, Factor!$K$5:$R$7, _xlpm.기본_색인번호, 0),
_xlpm.피해범위보정치, INDEX(Factor!$AN$5:$AV$51, _xlfn.XMATCH(IF(OR($G166="blast", $G166="curved",  $G166= "debuff"), $L166, 0), Factor!$AN$5:$AN$51, -1), _xlpm.추가_색인번호)-IF(AND(OR($G166="blast", $G166="curved", $G166= "debuff"), MOD($L166,1)&lt;&gt;0),INDEX(Factor!$AN$5:$AV$51, _xlfn.XMATCH(IF(OR($G166="blast", $G166="curved", $G166= "debuff"), $L166, 0), Factor!$AN$5:$AN$51, -1), 2)*MOD($L166,1)*10,0),
_xlpm.상태이상보정치, VLOOKUP(IF($G166 = "debuff", $M166, "null"), Factor!$AX$5:$BE$51, _xlpm.기본_색인번호, 0),
_xlpm.지속시간보정치, INDEX(Factor!$BG$5:$BO$51, _xlfn.XMATCH(IF(OR($G166 ="debuff", $G166 = "shot", $G166 = "pierce"), $O166, 0), Factor!$BG$5:$BG$51, -1), _xlpm.추가_색인번호)-IF(AND(OR($G166 ="debuff", $G166 = "shot", $G166 = "pierce"), MOD($O166, 1)&lt;&gt;0), 10*MOD($O166, 1)*INDEX(Factor!$BG$5:$BO$51, _xlfn.XMATCH(IF(OR($G166 ="debuff", $G166 = "shot", $G166 = "pierce"), $O166, 0), Factor!$BG$5:$BG$51, -1), 2), 0),
_xlpm.탄환개수보정치, VLOOKUP(IF(OR($G166 = "curved", $G166 = "shot"), $Q166, 1), Factor!$BQ$5:$BX$51, _xlpm.기본_색인번호, 0),
_xlpm.상태이상탄환생성위치보정치, IF($G166 = "debuff", VLOOKUP($R166, Factor!$K$18:$R$19, _xlpm.기본_색인번호, 0),1),
_xlpm.상태이상탄환형태보정치, IF($G166 = "debuff", VLOOKUP($S166, Factor!$K$24:$R$25, _xlpm.기본_색인번호, 0),1),
_xlpm.가격보정치, INDEX(Factor!$AE$5:$AL$51, _xlfn.XMATCH($F166,Factor!$AE$5:$AE$51, -1), _xlpm.기본_색인번호),
_xlpm.구경보정치, VLOOKUP($D166,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</row>
    <row r="167" spans="1:33" ht="15.75" customHeight="1">
      <c r="A167" s="24" t="str">
        <f>"weapon_"&amp;G167&amp;"_"&amp;VLOOKUP(H167, Factor!$T$5:$AB$7, 9, 0)&amp;"_"&amp;IF(COUNTIFS($G$4:G166, G167, $H$4:H166, H167)+1&gt;=100, COUNTIFS($G$4:G166, G167, $H$4:H166, H167)+1,IF(COUNTIFS($G$4:G166, G167, $H$4:H166, H167)+1&gt;=10, "0"&amp;COUNTIFS($G$4:G166, G167, $H$4:H166, H167)+1, "00"&amp;COUNTIFS($G$4:G166, G167, $H$4:H166, H167)+1))</f>
        <v>weapon_blast_Ms_009</v>
      </c>
      <c r="B167" s="36" t="str">
        <f t="shared" si="2"/>
        <v>T8 240mm바주카포 발사대</v>
      </c>
      <c r="C167" s="36" t="s">
        <v>255</v>
      </c>
      <c r="D167" s="36" t="s">
        <v>267</v>
      </c>
      <c r="E167" s="36" t="s">
        <v>279</v>
      </c>
      <c r="F167" s="25">
        <f>VLOOKUP(C167, Factor!$AD$5:$AE$15, 2, 0)</f>
        <v>8000</v>
      </c>
      <c r="G167" s="26" t="str">
        <f>VLOOKUP(E167, Factor!$CL$5:$CV$50, 2, 0)</f>
        <v>blast</v>
      </c>
      <c r="H167" s="25" t="str">
        <f>VLOOKUP(E167, Factor!$CL$5:$CV$50, 3, 0)</f>
        <v>missile</v>
      </c>
      <c r="I167" s="25" t="str">
        <f>VLOOKUP(E167, Factor!$CL$5:$CV$50, 4, 0)</f>
        <v>L</v>
      </c>
      <c r="J167" s="25" t="str">
        <f>VLOOKUP(E167, Factor!$CL$5:$CV$50, 5, 0)</f>
        <v>normal</v>
      </c>
      <c r="K167" s="25">
        <v>1</v>
      </c>
      <c r="L167" s="25">
        <f>VLOOKUP(E167, Factor!$CL$5:$CV$50, 6, 0)*K167*VLOOKUP(D167, Factor!$BZ$5:$CJ$49, 9, 0)</f>
        <v>16</v>
      </c>
      <c r="M167" s="25" t="str">
        <f>VLOOKUP(E167, Factor!$CL$5:$CV$50, 7, 0)</f>
        <v>null</v>
      </c>
      <c r="N167" s="25">
        <v>1</v>
      </c>
      <c r="O167" s="25">
        <f>VLOOKUP(E167, Factor!$CL$5:$CV$50, 8, 0)*N167*VLOOKUP(D167, Factor!$BZ$5:$CJ$49, 10, 0)</f>
        <v>0</v>
      </c>
      <c r="P167" s="25">
        <v>1</v>
      </c>
      <c r="Q167" s="25">
        <f>VLOOKUP(E167, Factor!$CL$5:$CV$50, 9, 0)*P167*VLOOKUP(D167, Factor!$BZ$5:$CJ$49, 11, 0)</f>
        <v>8</v>
      </c>
      <c r="R167" s="25" t="str">
        <f>VLOOKUP(E167, Factor!$CL$5:$CV$50, 10, 0)</f>
        <v>null</v>
      </c>
      <c r="S167" s="25" t="str">
        <f>VLOOKUP(E167, Factor!$CL$5:$CV$50, 11, 0)</f>
        <v>null</v>
      </c>
      <c r="T167" s="25">
        <v>1</v>
      </c>
      <c r="U167" s="25">
        <v>1</v>
      </c>
      <c r="V167" s="25">
        <v>1</v>
      </c>
      <c r="W167" s="25">
        <v>1</v>
      </c>
      <c r="X167" s="25">
        <v>1</v>
      </c>
      <c r="Y167" s="25">
        <v>1</v>
      </c>
      <c r="Z167" s="25">
        <v>1</v>
      </c>
      <c r="AA167" s="25" cm="1">
        <f t="array" ref="AA167">_xlfn.LET(_xlpm.기본_색인번호, 2,
_xlpm.추가_색인번호, 3,
_xlpm.개별보정치, T167,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2700</v>
      </c>
      <c r="AB167" s="25" cm="1">
        <f t="array" ref="AB167">_xlfn.LET(_xlpm.기본_색인번호, 3,
_xlpm.추가_색인번호, 4,
_xlpm.개별보정치, U167,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167" s="25" cm="1">
        <f t="array" ref="AC167">_xlfn.LET(_xlpm.기본_색인번호, 4,
_xlpm.추가_색인번호, 5,
_xlpm.개별보정치, V167,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7" s="25" cm="1">
        <f t="array" ref="AD167">_xlfn.LET(_xlpm.기본_색인번호, 5,
_xlpm.추가_색인번호, 6,
_xlpm.개별보정치, W167,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</v>
      </c>
      <c r="AE167" s="25" cm="1">
        <f t="array" ref="AE167">_xlfn.LET(_xlpm.기본_색인번호, 6,
_xlpm.추가_색인번호, 7,
_xlpm.개별보정치, X167,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</v>
      </c>
      <c r="AF167" s="25" cm="1">
        <f t="array" ref="AF167">_xlfn.LET(_xlpm.기본_색인번호, 7,
_xlpm.추가_색인번호, 8,
_xlpm.개별보정치, Y167,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7" s="27" cm="1">
        <f t="array" ref="AG167">_xlfn.LET(_xlpm.기본_색인번호, 8,
_xlpm.추가_색인번호, 9,
_xlpm.개별보정치, Z167,
_xlpm.패턴보정치, VLOOKUP($G167, Factor!$B$5:$I$51, _xlpm.기본_색인번호, 0),
_xlpm.소모탄환보정치, VLOOKUP($H167, Factor!$T$5:$AA$51, _xlpm.기본_색인번호, 0),
_xlpm.지형보정치, VLOOKUP($I167, Factor!$K$12:$R$13, _xlpm.기본_색인번호, 0),
_xlpm.공격속성보정치, VLOOKUP($J167, Factor!$K$5:$R$7, _xlpm.기본_색인번호, 0),
_xlpm.피해범위보정치, INDEX(Factor!$AN$5:$AV$51, _xlfn.XMATCH(IF(OR($G167="blast", $G167="curved",  $G167= "debuff"), $L167, 0), Factor!$AN$5:$AN$51, -1), _xlpm.추가_색인번호)-IF(AND(OR($G167="blast", $G167="curved", $G167= "debuff"), MOD($L167,1)&lt;&gt;0),INDEX(Factor!$AN$5:$AV$51, _xlfn.XMATCH(IF(OR($G167="blast", $G167="curved", $G167= "debuff"), $L167, 0), Factor!$AN$5:$AN$51, -1), 2)*MOD($L167,1)*10,0),
_xlpm.상태이상보정치, VLOOKUP(IF($G167 = "debuff", $M167, "null"), Factor!$AX$5:$BE$51, _xlpm.기본_색인번호, 0),
_xlpm.지속시간보정치, INDEX(Factor!$BG$5:$BO$51, _xlfn.XMATCH(IF(OR($G167 ="debuff", $G167 = "shot", $G167 = "pierce"), $O167, 0), Factor!$BG$5:$BG$51, -1), _xlpm.추가_색인번호)-IF(AND(OR($G167 ="debuff", $G167 = "shot", $G167 = "pierce"), MOD($O167, 1)&lt;&gt;0), 10*MOD($O167, 1)*INDEX(Factor!$BG$5:$BO$51, _xlfn.XMATCH(IF(OR($G167 ="debuff", $G167 = "shot", $G167 = "pierce"), $O167, 0), Factor!$BG$5:$BG$51, -1), 2), 0),
_xlpm.탄환개수보정치, VLOOKUP(IF(OR($G167 = "curved", $G167 = "shot"), $Q167, 1), Factor!$BQ$5:$BX$51, _xlpm.기본_색인번호, 0),
_xlpm.상태이상탄환생성위치보정치, IF($G167 = "debuff", VLOOKUP($R167, Factor!$K$18:$R$19, _xlpm.기본_색인번호, 0),1),
_xlpm.상태이상탄환형태보정치, IF($G167 = "debuff", VLOOKUP($S167, Factor!$K$24:$R$25, _xlpm.기본_색인번호, 0),1),
_xlpm.가격보정치, INDEX(Factor!$AE$5:$AL$51, _xlfn.XMATCH($F167,Factor!$AE$5:$AE$51, -1), _xlpm.기본_색인번호),
_xlpm.구경보정치, VLOOKUP($D167,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</v>
      </c>
    </row>
    <row r="168" spans="1:33" ht="15.75" customHeight="1">
      <c r="A168" s="28" t="str">
        <f>"weapon_"&amp;G168&amp;"_"&amp;VLOOKUP(H168, Factor!$T$5:$AB$7, 9, 0)&amp;"_"&amp;IF(COUNTIFS($G$4:G167, G168, $H$4:H167, H168)+1&gt;=100, COUNTIFS($G$4:G167, G168, $H$4:H167, H168)+1,IF(COUNTIFS($G$4:G167, G168, $H$4:H167, H168)+1&gt;=10, "0"&amp;COUNTIFS($G$4:G167, G168, $H$4:H167, H168)+1, "00"&amp;COUNTIFS($G$4:G167, G168, $H$4:H167, H168)+1))</f>
        <v>weapon_blast_Ms_010</v>
      </c>
      <c r="B168" s="37" t="str">
        <f t="shared" si="2"/>
        <v>T9 240mm바주카포 발사대</v>
      </c>
      <c r="C168" s="37" t="s">
        <v>256</v>
      </c>
      <c r="D168" s="37" t="s">
        <v>267</v>
      </c>
      <c r="E168" s="37" t="s">
        <v>279</v>
      </c>
      <c r="F168" s="29">
        <f>VLOOKUP(C168, Factor!$AD$5:$AE$15, 2, 0)</f>
        <v>9000</v>
      </c>
      <c r="G168" s="29" t="str">
        <f>VLOOKUP(E168, Factor!$CL$5:$CV$50, 2, 0)</f>
        <v>blast</v>
      </c>
      <c r="H168" s="29" t="str">
        <f>VLOOKUP(E168, Factor!$CL$5:$CV$50, 3, 0)</f>
        <v>missile</v>
      </c>
      <c r="I168" s="29" t="str">
        <f>VLOOKUP(E168, Factor!$CL$5:$CV$50, 4, 0)</f>
        <v>L</v>
      </c>
      <c r="J168" s="29" t="str">
        <f>VLOOKUP(E168, Factor!$CL$5:$CV$50, 5, 0)</f>
        <v>normal</v>
      </c>
      <c r="K168" s="29">
        <v>1</v>
      </c>
      <c r="L168" s="29">
        <f>VLOOKUP(E168, Factor!$CL$5:$CV$50, 6, 0)*K168*VLOOKUP(D168, Factor!$BZ$5:$CJ$49, 9, 0)</f>
        <v>16</v>
      </c>
      <c r="M168" s="29" t="str">
        <f>VLOOKUP(E168, Factor!$CL$5:$CV$50, 7, 0)</f>
        <v>null</v>
      </c>
      <c r="N168" s="29">
        <v>1</v>
      </c>
      <c r="O168" s="29">
        <f>VLOOKUP(E168, Factor!$CL$5:$CV$50, 8, 0)*N168*VLOOKUP(D168, Factor!$BZ$5:$CJ$49, 10, 0)</f>
        <v>0</v>
      </c>
      <c r="P168" s="29">
        <v>1</v>
      </c>
      <c r="Q168" s="29">
        <f>VLOOKUP(E168, Factor!$CL$5:$CV$50, 9, 0)*P168*VLOOKUP(D168, Factor!$BZ$5:$CJ$49, 11, 0)</f>
        <v>8</v>
      </c>
      <c r="R168" s="29" t="str">
        <f>VLOOKUP(E168, Factor!$CL$5:$CV$50, 10, 0)</f>
        <v>null</v>
      </c>
      <c r="S168" s="29" t="str">
        <f>VLOOKUP(E168, Factor!$CL$5:$CV$50, 11, 0)</f>
        <v>null</v>
      </c>
      <c r="T168" s="29">
        <v>1</v>
      </c>
      <c r="U168" s="29">
        <v>1</v>
      </c>
      <c r="V168" s="29">
        <v>1</v>
      </c>
      <c r="W168" s="29">
        <v>1</v>
      </c>
      <c r="X168" s="29">
        <v>1</v>
      </c>
      <c r="Y168" s="29">
        <v>1</v>
      </c>
      <c r="Z168" s="29">
        <v>1</v>
      </c>
      <c r="AA168" s="29" cm="1">
        <f t="array" ref="AA168">_xlfn.LET(_xlpm.기본_색인번호, 2,
_xlpm.추가_색인번호, 3,
_xlpm.개별보정치, T168,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168" s="29" cm="1">
        <f t="array" ref="AB168">_xlfn.LET(_xlpm.기본_색인번호, 3,
_xlpm.추가_색인번호, 4,
_xlpm.개별보정치, U168,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</v>
      </c>
      <c r="AC168" s="29" cm="1">
        <f t="array" ref="AC168">_xlfn.LET(_xlpm.기본_색인번호, 4,
_xlpm.추가_색인번호, 5,
_xlpm.개별보정치, V168,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8" s="29" cm="1">
        <f t="array" ref="AD168">_xlfn.LET(_xlpm.기본_색인번호, 5,
_xlpm.추가_색인번호, 6,
_xlpm.개별보정치, W168,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168" s="29" cm="1">
        <f t="array" ref="AE168">_xlfn.LET(_xlpm.기본_색인번호, 6,
_xlpm.추가_색인번호, 7,
_xlpm.개별보정치, X168,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168" s="29" cm="1">
        <f t="array" ref="AF168">_xlfn.LET(_xlpm.기본_색인번호, 7,
_xlpm.추가_색인번호, 8,
_xlpm.개별보정치, Y168,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8" s="30" cm="1">
        <f t="array" ref="AG168">_xlfn.LET(_xlpm.기본_색인번호, 8,
_xlpm.추가_색인번호, 9,
_xlpm.개별보정치, Z168,
_xlpm.패턴보정치, VLOOKUP($G168, Factor!$B$5:$I$51, _xlpm.기본_색인번호, 0),
_xlpm.소모탄환보정치, VLOOKUP($H168, Factor!$T$5:$AA$51, _xlpm.기본_색인번호, 0),
_xlpm.지형보정치, VLOOKUP($I168, Factor!$K$12:$R$13, _xlpm.기본_색인번호, 0),
_xlpm.공격속성보정치, VLOOKUP($J168, Factor!$K$5:$R$7, _xlpm.기본_색인번호, 0),
_xlpm.피해범위보정치, INDEX(Factor!$AN$5:$AV$51, _xlfn.XMATCH(IF(OR($G168="blast", $G168="curved",  $G168= "debuff"), $L168, 0), Factor!$AN$5:$AN$51, -1), _xlpm.추가_색인번호)-IF(AND(OR($G168="blast", $G168="curved", $G168= "debuff"), MOD($L168,1)&lt;&gt;0),INDEX(Factor!$AN$5:$AV$51, _xlfn.XMATCH(IF(OR($G168="blast", $G168="curved", $G168= "debuff"), $L168, 0), Factor!$AN$5:$AN$51, -1), 2)*MOD($L168,1)*10,0),
_xlpm.상태이상보정치, VLOOKUP(IF($G168 = "debuff", $M168, "null"), Factor!$AX$5:$BE$51, _xlpm.기본_색인번호, 0),
_xlpm.지속시간보정치, INDEX(Factor!$BG$5:$BO$51, _xlfn.XMATCH(IF(OR($G168 ="debuff", $G168 = "shot", $G168 = "pierce"), $O168, 0), Factor!$BG$5:$BG$51, -1), _xlpm.추가_색인번호)-IF(AND(OR($G168 ="debuff", $G168 = "shot", $G168 = "pierce"), MOD($O168, 1)&lt;&gt;0), 10*MOD($O168, 1)*INDEX(Factor!$BG$5:$BO$51, _xlfn.XMATCH(IF(OR($G168 ="debuff", $G168 = "shot", $G168 = "pierce"), $O168, 0), Factor!$BG$5:$BG$51, -1), 2), 0),
_xlpm.탄환개수보정치, VLOOKUP(IF(OR($G168 = "curved", $G168 = "shot"), $Q168, 1), Factor!$BQ$5:$BX$51, _xlpm.기본_색인번호, 0),
_xlpm.상태이상탄환생성위치보정치, IF($G168 = "debuff", VLOOKUP($R168, Factor!$K$18:$R$19, _xlpm.기본_색인번호, 0),1),
_xlpm.상태이상탄환형태보정치, IF($G168 = "debuff", VLOOKUP($S168, Factor!$K$24:$R$25, _xlpm.기본_색인번호, 0),1),
_xlpm.가격보정치, INDEX(Factor!$AE$5:$AL$51, _xlfn.XMATCH($F168,Factor!$AE$5:$AE$51, -1), _xlpm.기본_색인번호),
_xlpm.구경보정치, VLOOKUP($D168,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169" spans="1:33" ht="15.75" customHeight="1">
      <c r="A169" s="24" t="str">
        <f>"weapon_"&amp;G169&amp;"_"&amp;VLOOKUP(H169, Factor!$T$5:$AB$7, 9, 0)&amp;"_"&amp;IF(COUNTIFS($G$4:G168, G169, $H$4:H168, H169)+1&gt;=100, COUNTIFS($G$4:G168, G169, $H$4:H168, H169)+1,IF(COUNTIFS($G$4:G168, G169, $H$4:H168, H169)+1&gt;=10, "0"&amp;COUNTIFS($G$4:G168, G169, $H$4:H168, H169)+1, "00"&amp;COUNTIFS($G$4:G168, G169, $H$4:H168, H169)+1))</f>
        <v>weapon_blast_Ms_011</v>
      </c>
      <c r="B169" s="36" t="str">
        <f t="shared" si="2"/>
        <v>T10 240mm바주카포 발사대</v>
      </c>
      <c r="C169" s="36" t="s">
        <v>268</v>
      </c>
      <c r="D169" s="36" t="s">
        <v>267</v>
      </c>
      <c r="E169" s="36" t="s">
        <v>279</v>
      </c>
      <c r="F169" s="25">
        <f>VLOOKUP(C169, Factor!$AD$5:$AE$15, 2, 0)</f>
        <v>10000</v>
      </c>
      <c r="G169" s="26" t="str">
        <f>VLOOKUP(E169, Factor!$CL$5:$CV$50, 2, 0)</f>
        <v>blast</v>
      </c>
      <c r="H169" s="25" t="str">
        <f>VLOOKUP(E169, Factor!$CL$5:$CV$50, 3, 0)</f>
        <v>missile</v>
      </c>
      <c r="I169" s="25" t="str">
        <f>VLOOKUP(E169, Factor!$CL$5:$CV$50, 4, 0)</f>
        <v>L</v>
      </c>
      <c r="J169" s="25" t="str">
        <f>VLOOKUP(E169, Factor!$CL$5:$CV$50, 5, 0)</f>
        <v>normal</v>
      </c>
      <c r="K169" s="25">
        <v>1</v>
      </c>
      <c r="L169" s="25">
        <f>VLOOKUP(E169, Factor!$CL$5:$CV$50, 6, 0)*K169*VLOOKUP(D169, Factor!$BZ$5:$CJ$49, 9, 0)</f>
        <v>16</v>
      </c>
      <c r="M169" s="25" t="str">
        <f>VLOOKUP(E169, Factor!$CL$5:$CV$50, 7, 0)</f>
        <v>null</v>
      </c>
      <c r="N169" s="25">
        <v>1</v>
      </c>
      <c r="O169" s="25">
        <f>VLOOKUP(E169, Factor!$CL$5:$CV$50, 8, 0)*N169*VLOOKUP(D169, Factor!$BZ$5:$CJ$49, 10, 0)</f>
        <v>0</v>
      </c>
      <c r="P169" s="25">
        <v>1</v>
      </c>
      <c r="Q169" s="25">
        <f>VLOOKUP(E169, Factor!$CL$5:$CV$50, 9, 0)*P169*VLOOKUP(D169, Factor!$BZ$5:$CJ$49, 11, 0)</f>
        <v>8</v>
      </c>
      <c r="R169" s="25" t="str">
        <f>VLOOKUP(E169, Factor!$CL$5:$CV$50, 10, 0)</f>
        <v>null</v>
      </c>
      <c r="S169" s="25" t="str">
        <f>VLOOKUP(E169, Factor!$CL$5:$CV$50, 11, 0)</f>
        <v>null</v>
      </c>
      <c r="T169" s="25">
        <v>1</v>
      </c>
      <c r="U169" s="25">
        <v>1</v>
      </c>
      <c r="V169" s="25">
        <v>1</v>
      </c>
      <c r="W169" s="25">
        <v>1</v>
      </c>
      <c r="X169" s="25">
        <v>1</v>
      </c>
      <c r="Y169" s="25">
        <v>1</v>
      </c>
      <c r="Z169" s="25">
        <v>1</v>
      </c>
      <c r="AA169" s="25" cm="1">
        <f t="array" ref="AA169">_xlfn.LET(_xlpm.기본_색인번호, 2,
_xlpm.추가_색인번호, 3,
_xlpm.개별보정치, T169,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3300</v>
      </c>
      <c r="AB169" s="25" cm="1">
        <f t="array" ref="AB169">_xlfn.LET(_xlpm.기본_색인번호, 3,
_xlpm.추가_색인번호, 4,
_xlpm.개별보정치, U169,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</v>
      </c>
      <c r="AC169" s="25" cm="1">
        <f t="array" ref="AC169">_xlfn.LET(_xlpm.기본_색인번호, 4,
_xlpm.추가_색인번호, 5,
_xlpm.개별보정치, V169,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D169" s="25" cm="1">
        <f t="array" ref="AD169">_xlfn.LET(_xlpm.기본_색인번호, 5,
_xlpm.추가_색인번호, 6,
_xlpm.개별보정치, W169,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297</v>
      </c>
      <c r="AE169" s="25" cm="1">
        <f t="array" ref="AE169">_xlfn.LET(_xlpm.기본_색인번호, 6,
_xlpm.추가_색인번호, 7,
_xlpm.개별보정치, X169,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297</v>
      </c>
      <c r="AF169" s="25" cm="1">
        <f t="array" ref="AF169">_xlfn.LET(_xlpm.기본_색인번호, 7,
_xlpm.추가_색인번호, 8,
_xlpm.개별보정치, Y169,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G169" s="27" cm="1">
        <f t="array" ref="AG169">_xlfn.LET(_xlpm.기본_색인번호, 8,
_xlpm.추가_색인번호, 9,
_xlpm.개별보정치, Z169,
_xlpm.패턴보정치, VLOOKUP($G169, Factor!$B$5:$I$51, _xlpm.기본_색인번호, 0),
_xlpm.소모탄환보정치, VLOOKUP($H169, Factor!$T$5:$AA$51, _xlpm.기본_색인번호, 0),
_xlpm.지형보정치, VLOOKUP($I169, Factor!$K$12:$R$13, _xlpm.기본_색인번호, 0),
_xlpm.공격속성보정치, VLOOKUP($J169, Factor!$K$5:$R$7, _xlpm.기본_색인번호, 0),
_xlpm.피해범위보정치, INDEX(Factor!$AN$5:$AV$51, _xlfn.XMATCH(IF(OR($G169="blast", $G169="curved",  $G169= "debuff"), $L169, 0), Factor!$AN$5:$AN$51, -1), _xlpm.추가_색인번호)-IF(AND(OR($G169="blast", $G169="curved", $G169= "debuff"), MOD($L169,1)&lt;&gt;0),INDEX(Factor!$AN$5:$AV$51, _xlfn.XMATCH(IF(OR($G169="blast", $G169="curved", $G169= "debuff"), $L169, 0), Factor!$AN$5:$AN$51, -1), 2)*MOD($L169,1)*10,0),
_xlpm.상태이상보정치, VLOOKUP(IF($G169 = "debuff", $M169, "null"), Factor!$AX$5:$BE$51, _xlpm.기본_색인번호, 0),
_xlpm.지속시간보정치, INDEX(Factor!$BG$5:$BO$51, _xlfn.XMATCH(IF(OR($G169 ="debuff", $G169 = "shot", $G169 = "pierce"), $O169, 0), Factor!$BG$5:$BG$51, -1), _xlpm.추가_색인번호)-IF(AND(OR($G169 ="debuff", $G169 = "shot", $G169 = "pierce"), MOD($O169, 1)&lt;&gt;0), 10*MOD($O169, 1)*INDEX(Factor!$BG$5:$BO$51, _xlfn.XMATCH(IF(OR($G169 ="debuff", $G169 = "shot", $G169 = "pierce"), $O169, 0), Factor!$BG$5:$BG$51, -1), 2), 0),
_xlpm.탄환개수보정치, VLOOKUP(IF(OR($G169 = "curved", $G169 = "shot"), $Q169, 1), Factor!$BQ$5:$BX$51, _xlpm.기본_색인번호, 0),
_xlpm.상태이상탄환생성위치보정치, IF($G169 = "debuff", VLOOKUP($R169, Factor!$K$18:$R$19, _xlpm.기본_색인번호, 0),1),
_xlpm.상태이상탄환형태보정치, IF($G169 = "debuff", VLOOKUP($S169, Factor!$K$24:$R$25, _xlpm.기본_색인번호, 0),1),
_xlpm.가격보정치, INDEX(Factor!$AE$5:$AL$51, _xlfn.XMATCH($F169,Factor!$AE$5:$AE$51, -1), _xlpm.기본_색인번호),
_xlpm.구경보정치, VLOOKUP($D169,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297</v>
      </c>
    </row>
    <row r="170" spans="1:33" ht="15.75" customHeight="1">
      <c r="A170" s="28" t="str">
        <f>"weapon_"&amp;G170&amp;"_"&amp;VLOOKUP(H170, Factor!$T$5:$AB$7, 9, 0)&amp;"_"&amp;IF(COUNTIFS($G$4:G169, G170, $H$4:H169, H170)+1&gt;=100, COUNTIFS($G$4:G169, G170, $H$4:H169, H170)+1,IF(COUNTIFS($G$4:G169, G170, $H$4:H169, H170)+1&gt;=10, "0"&amp;COUNTIFS($G$4:G169, G170, $H$4:H169, H170)+1, "00"&amp;COUNTIFS($G$4:G169, G170, $H$4:H169, H170)+1))</f>
        <v>weapon_blast_Ms_012</v>
      </c>
      <c r="B170" s="37" t="str">
        <f t="shared" si="2"/>
        <v>녹슨 240mm휴대용 대공 미사일 발사대</v>
      </c>
      <c r="C170" s="37" t="s">
        <v>240</v>
      </c>
      <c r="D170" s="37" t="s">
        <v>267</v>
      </c>
      <c r="E170" s="37" t="s">
        <v>280</v>
      </c>
      <c r="F170" s="29">
        <f>VLOOKUP(C170, Factor!$AD$5:$AE$15, 2, 0)</f>
        <v>0</v>
      </c>
      <c r="G170" s="29" t="str">
        <f>VLOOKUP(E170, Factor!$CL$5:$CV$50, 2, 0)</f>
        <v>blast</v>
      </c>
      <c r="H170" s="29" t="str">
        <f>VLOOKUP(E170, Factor!$CL$5:$CV$50, 3, 0)</f>
        <v>missile</v>
      </c>
      <c r="I170" s="29" t="str">
        <f>VLOOKUP(E170, Factor!$CL$5:$CV$50, 4, 0)</f>
        <v>F</v>
      </c>
      <c r="J170" s="29" t="str">
        <f>VLOOKUP(E170, Factor!$CL$5:$CV$50, 5, 0)</f>
        <v>armored</v>
      </c>
      <c r="K170" s="29">
        <v>1</v>
      </c>
      <c r="L170" s="29">
        <f>VLOOKUP(E170, Factor!$CL$5:$CV$50, 6, 0)*K170*VLOOKUP(D170, Factor!$BZ$5:$CJ$49, 9, 0)</f>
        <v>16</v>
      </c>
      <c r="M170" s="29" t="str">
        <f>VLOOKUP(E170, Factor!$CL$5:$CV$50, 7, 0)</f>
        <v>null</v>
      </c>
      <c r="N170" s="29">
        <v>1</v>
      </c>
      <c r="O170" s="29">
        <f>VLOOKUP(E170, Factor!$CL$5:$CV$50, 8, 0)*N170*VLOOKUP(D170, Factor!$BZ$5:$CJ$49, 10, 0)</f>
        <v>0</v>
      </c>
      <c r="P170" s="29">
        <v>1</v>
      </c>
      <c r="Q170" s="29">
        <f>VLOOKUP(E170, Factor!$CL$5:$CV$50, 9, 0)*P170*VLOOKUP(D170, Factor!$BZ$5:$CJ$49, 11, 0)</f>
        <v>8</v>
      </c>
      <c r="R170" s="29" t="str">
        <f>VLOOKUP(E170, Factor!$CL$5:$CV$50, 10, 0)</f>
        <v>null</v>
      </c>
      <c r="S170" s="29" t="str">
        <f>VLOOKUP(E170, Factor!$CL$5:$CV$50, 11, 0)</f>
        <v>null</v>
      </c>
      <c r="T170" s="29">
        <v>1</v>
      </c>
      <c r="U170" s="29">
        <v>1</v>
      </c>
      <c r="V170" s="29">
        <v>1</v>
      </c>
      <c r="W170" s="29">
        <v>1</v>
      </c>
      <c r="X170" s="29">
        <v>1</v>
      </c>
      <c r="Y170" s="29">
        <v>1</v>
      </c>
      <c r="Z170" s="29">
        <v>1</v>
      </c>
      <c r="AA170" s="29" cm="1">
        <f t="array" ref="AA170">_xlfn.LET(_xlpm.기본_색인번호, 2,
_xlpm.추가_색인번호, 3,
_xlpm.개별보정치, T170,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B170" s="29" cm="1">
        <f t="array" ref="AB170">_xlfn.LET(_xlpm.기본_색인번호, 3,
_xlpm.추가_색인번호, 4,
_xlpm.개별보정치, U170,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  <c r="AC170" s="29" cm="1">
        <f t="array" ref="AC170">_xlfn.LET(_xlpm.기본_색인번호, 4,
_xlpm.추가_색인번호, 5,
_xlpm.개별보정치, V170,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0" s="29" cm="1">
        <f t="array" ref="AD170">_xlfn.LET(_xlpm.기본_색인번호, 5,
_xlpm.추가_색인번호, 6,
_xlpm.개별보정치, W170,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E170" s="29" cm="1">
        <f t="array" ref="AE170">_xlfn.LET(_xlpm.기본_색인번호, 6,
_xlpm.추가_색인번호, 7,
_xlpm.개별보정치, X170,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F170" s="29" cm="1">
        <f t="array" ref="AF170">_xlfn.LET(_xlpm.기본_색인번호, 7,
_xlpm.추가_색인번호, 8,
_xlpm.개별보정치, Y170,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0" s="30" cm="1">
        <f t="array" ref="AG170">_xlfn.LET(_xlpm.기본_색인번호, 8,
_xlpm.추가_색인번호, 9,
_xlpm.개별보정치, Z170,
_xlpm.패턴보정치, VLOOKUP($G170, Factor!$B$5:$I$51, _xlpm.기본_색인번호, 0),
_xlpm.소모탄환보정치, VLOOKUP($H170, Factor!$T$5:$AA$51, _xlpm.기본_색인번호, 0),
_xlpm.지형보정치, VLOOKUP($I170, Factor!$K$12:$R$13, _xlpm.기본_색인번호, 0),
_xlpm.공격속성보정치, VLOOKUP($J170, Factor!$K$5:$R$7, _xlpm.기본_색인번호, 0),
_xlpm.피해범위보정치, INDEX(Factor!$AN$5:$AV$51, _xlfn.XMATCH(IF(OR($G170="blast", $G170="curved",  $G170= "debuff"), $L170, 0), Factor!$AN$5:$AN$51, -1), _xlpm.추가_색인번호)-IF(AND(OR($G170="blast", $G170="curved", $G170= "debuff"), MOD($L170,1)&lt;&gt;0),INDEX(Factor!$AN$5:$AV$51, _xlfn.XMATCH(IF(OR($G170="blast", $G170="curved", $G170= "debuff"), $L170, 0), Factor!$AN$5:$AN$51, -1), 2)*MOD($L170,1)*10,0),
_xlpm.상태이상보정치, VLOOKUP(IF($G170 = "debuff", $M170, "null"), Factor!$AX$5:$BE$51, _xlpm.기본_색인번호, 0),
_xlpm.지속시간보정치, INDEX(Factor!$BG$5:$BO$51, _xlfn.XMATCH(IF(OR($G170 ="debuff", $G170 = "shot", $G170 = "pierce"), $O170, 0), Factor!$BG$5:$BG$51, -1), _xlpm.추가_색인번호)-IF(AND(OR($G170 ="debuff", $G170 = "shot", $G170 = "pierce"), MOD($O170, 1)&lt;&gt;0), 10*MOD($O170, 1)*INDEX(Factor!$BG$5:$BO$51, _xlfn.XMATCH(IF(OR($G170 ="debuff", $G170 = "shot", $G170 = "pierce"), $O170, 0), Factor!$BG$5:$BG$51, -1), 2), 0),
_xlpm.탄환개수보정치, VLOOKUP(IF(OR($G170 = "curved", $G170 = "shot"), $Q170, 1), Factor!$BQ$5:$BX$51, _xlpm.기본_색인번호, 0),
_xlpm.상태이상탄환생성위치보정치, IF($G170 = "debuff", VLOOKUP($R170, Factor!$K$18:$R$19, _xlpm.기본_색인번호, 0),1),
_xlpm.상태이상탄환형태보정치, IF($G170 = "debuff", VLOOKUP($S170, Factor!$K$24:$R$25, _xlpm.기본_색인번호, 0),1),
_xlpm.가격보정치, INDEX(Factor!$AE$5:$AL$51, _xlfn.XMATCH($F170,Factor!$AE$5:$AE$51, -1), _xlpm.기본_색인번호),
_xlpm.구경보정치, VLOOKUP($D170,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</row>
    <row r="171" spans="1:33" ht="15.75" customHeight="1">
      <c r="A171" s="24" t="str">
        <f>"weapon_"&amp;G171&amp;"_"&amp;VLOOKUP(H171, Factor!$T$5:$AB$7, 9, 0)&amp;"_"&amp;IF(COUNTIFS($G$4:G170, G171, $H$4:H170, H171)+1&gt;=100, COUNTIFS($G$4:G170, G171, $H$4:H170, H171)+1,IF(COUNTIFS($G$4:G170, G171, $H$4:H170, H171)+1&gt;=10, "0"&amp;COUNTIFS($G$4:G170, G171, $H$4:H170, H171)+1, "00"&amp;COUNTIFS($G$4:G170, G171, $H$4:H170, H171)+1))</f>
        <v>weapon_blast_Ms_013</v>
      </c>
      <c r="B171" s="36" t="str">
        <f t="shared" si="2"/>
        <v>T1 240mm휴대용 대공 미사일 발사대</v>
      </c>
      <c r="C171" s="36" t="s">
        <v>238</v>
      </c>
      <c r="D171" s="36" t="s">
        <v>267</v>
      </c>
      <c r="E171" s="36" t="s">
        <v>192</v>
      </c>
      <c r="F171" s="25">
        <f>VLOOKUP(C171, Factor!$AD$5:$AE$15, 2, 0)</f>
        <v>1000</v>
      </c>
      <c r="G171" s="26" t="str">
        <f>VLOOKUP(E171, Factor!$CL$5:$CV$50, 2, 0)</f>
        <v>blast</v>
      </c>
      <c r="H171" s="25" t="str">
        <f>VLOOKUP(E171, Factor!$CL$5:$CV$50, 3, 0)</f>
        <v>missile</v>
      </c>
      <c r="I171" s="25" t="str">
        <f>VLOOKUP(E171, Factor!$CL$5:$CV$50, 4, 0)</f>
        <v>F</v>
      </c>
      <c r="J171" s="25" t="str">
        <f>VLOOKUP(E171, Factor!$CL$5:$CV$50, 5, 0)</f>
        <v>armored</v>
      </c>
      <c r="K171" s="25">
        <v>1</v>
      </c>
      <c r="L171" s="25">
        <f>VLOOKUP(E171, Factor!$CL$5:$CV$50, 6, 0)*K171*VLOOKUP(D171, Factor!$BZ$5:$CJ$49, 9, 0)</f>
        <v>16</v>
      </c>
      <c r="M171" s="25" t="str">
        <f>VLOOKUP(E171, Factor!$CL$5:$CV$50, 7, 0)</f>
        <v>null</v>
      </c>
      <c r="N171" s="25">
        <v>1</v>
      </c>
      <c r="O171" s="25">
        <f>VLOOKUP(E171, Factor!$CL$5:$CV$50, 8, 0)*N171*VLOOKUP(D171, Factor!$BZ$5:$CJ$49, 10, 0)</f>
        <v>0</v>
      </c>
      <c r="P171" s="25">
        <v>1</v>
      </c>
      <c r="Q171" s="25">
        <f>VLOOKUP(E171, Factor!$CL$5:$CV$50, 9, 0)*P171*VLOOKUP(D171, Factor!$BZ$5:$CJ$49, 11, 0)</f>
        <v>8</v>
      </c>
      <c r="R171" s="25" t="str">
        <f>VLOOKUP(E171, Factor!$CL$5:$CV$50, 10, 0)</f>
        <v>null</v>
      </c>
      <c r="S171" s="25" t="str">
        <f>VLOOKUP(E171, Factor!$CL$5:$CV$50, 11, 0)</f>
        <v>null</v>
      </c>
      <c r="T171" s="25">
        <v>1</v>
      </c>
      <c r="U171" s="25">
        <v>1</v>
      </c>
      <c r="V171" s="25">
        <v>1</v>
      </c>
      <c r="W171" s="25">
        <v>1</v>
      </c>
      <c r="X171" s="25">
        <v>1</v>
      </c>
      <c r="Y171" s="25">
        <v>1</v>
      </c>
      <c r="Z171" s="25">
        <v>1</v>
      </c>
      <c r="AA171" s="25" cm="1">
        <f t="array" ref="AA171">_xlfn.LET(_xlpm.기본_색인번호, 2,
_xlpm.추가_색인번호, 3,
_xlpm.개별보정치, T171,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171" s="25" cm="1">
        <f t="array" ref="AB171">_xlfn.LET(_xlpm.기본_색인번호, 3,
_xlpm.추가_색인번호, 4,
_xlpm.개별보정치, U171,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  <c r="AC171" s="25" cm="1">
        <f t="array" ref="AC171">_xlfn.LET(_xlpm.기본_색인번호, 4,
_xlpm.추가_색인번호, 5,
_xlpm.개별보정치, V171,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1" s="25" cm="1">
        <f t="array" ref="AD171">_xlfn.LET(_xlpm.기본_색인번호, 5,
_xlpm.추가_색인번호, 6,
_xlpm.개별보정치, W171,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162.00000000000003</v>
      </c>
      <c r="AE171" s="25" cm="1">
        <f t="array" ref="AE171">_xlfn.LET(_xlpm.기본_색인번호, 6,
_xlpm.추가_색인번호, 7,
_xlpm.개별보정치, X171,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162.00000000000003</v>
      </c>
      <c r="AF171" s="25" cm="1">
        <f t="array" ref="AF171">_xlfn.LET(_xlpm.기본_색인번호, 7,
_xlpm.추가_색인번호, 8,
_xlpm.개별보정치, Y171,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1" s="27" cm="1">
        <f t="array" ref="AG171">_xlfn.LET(_xlpm.기본_색인번호, 8,
_xlpm.추가_색인번호, 9,
_xlpm.개별보정치, Z171,
_xlpm.패턴보정치, VLOOKUP($G171, Factor!$B$5:$I$51, _xlpm.기본_색인번호, 0),
_xlpm.소모탄환보정치, VLOOKUP($H171, Factor!$T$5:$AA$51, _xlpm.기본_색인번호, 0),
_xlpm.지형보정치, VLOOKUP($I171, Factor!$K$12:$R$13, _xlpm.기본_색인번호, 0),
_xlpm.공격속성보정치, VLOOKUP($J171, Factor!$K$5:$R$7, _xlpm.기본_색인번호, 0),
_xlpm.피해범위보정치, INDEX(Factor!$AN$5:$AV$51, _xlfn.XMATCH(IF(OR($G171="blast", $G171="curved",  $G171= "debuff"), $L171, 0), Factor!$AN$5:$AN$51, -1), _xlpm.추가_색인번호)-IF(AND(OR($G171="blast", $G171="curved", $G171= "debuff"), MOD($L171,1)&lt;&gt;0),INDEX(Factor!$AN$5:$AV$51, _xlfn.XMATCH(IF(OR($G171="blast", $G171="curved", $G171= "debuff"), $L171, 0), Factor!$AN$5:$AN$51, -1), 2)*MOD($L171,1)*10,0),
_xlpm.상태이상보정치, VLOOKUP(IF($G171 = "debuff", $M171, "null"), Factor!$AX$5:$BE$51, _xlpm.기본_색인번호, 0),
_xlpm.지속시간보정치, INDEX(Factor!$BG$5:$BO$51, _xlfn.XMATCH(IF(OR($G171 ="debuff", $G171 = "shot", $G171 = "pierce"), $O171, 0), Factor!$BG$5:$BG$51, -1), _xlpm.추가_색인번호)-IF(AND(OR($G171 ="debuff", $G171 = "shot", $G171 = "pierce"), MOD($O171, 1)&lt;&gt;0), 10*MOD($O171, 1)*INDEX(Factor!$BG$5:$BO$51, _xlfn.XMATCH(IF(OR($G171 ="debuff", $G171 = "shot", $G171 = "pierce"), $O171, 0), Factor!$BG$5:$BG$51, -1), 2), 0),
_xlpm.탄환개수보정치, VLOOKUP(IF(OR($G171 = "curved", $G171 = "shot"), $Q171, 1), Factor!$BQ$5:$BX$51, _xlpm.기본_색인번호, 0),
_xlpm.상태이상탄환생성위치보정치, IF($G171 = "debuff", VLOOKUP($R171, Factor!$K$18:$R$19, _xlpm.기본_색인번호, 0),1),
_xlpm.상태이상탄환형태보정치, IF($G171 = "debuff", VLOOKUP($S171, Factor!$K$24:$R$25, _xlpm.기본_색인번호, 0),1),
_xlpm.가격보정치, INDEX(Factor!$AE$5:$AL$51, _xlfn.XMATCH($F171,Factor!$AE$5:$AE$51, -1), _xlpm.기본_색인번호),
_xlpm.구경보정치, VLOOKUP($D171,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162.00000000000003</v>
      </c>
    </row>
    <row r="172" spans="1:33" ht="15.75" customHeight="1">
      <c r="A172" s="28" t="str">
        <f>"weapon_"&amp;G172&amp;"_"&amp;VLOOKUP(H172, Factor!$T$5:$AB$7, 9, 0)&amp;"_"&amp;IF(COUNTIFS($G$4:G171, G172, $H$4:H171, H172)+1&gt;=100, COUNTIFS($G$4:G171, G172, $H$4:H171, H172)+1,IF(COUNTIFS($G$4:G171, G172, $H$4:H171, H172)+1&gt;=10, "0"&amp;COUNTIFS($G$4:G171, G172, $H$4:H171, H172)+1, "00"&amp;COUNTIFS($G$4:G171, G172, $H$4:H171, H172)+1))</f>
        <v>weapon_blast_Ms_014</v>
      </c>
      <c r="B172" s="37" t="str">
        <f t="shared" si="2"/>
        <v>T2 240mm휴대용 대공 미사일 발사대</v>
      </c>
      <c r="C172" s="37" t="s">
        <v>246</v>
      </c>
      <c r="D172" s="37" t="s">
        <v>267</v>
      </c>
      <c r="E172" s="37" t="s">
        <v>192</v>
      </c>
      <c r="F172" s="29">
        <f>VLOOKUP(C172, Factor!$AD$5:$AE$15, 2, 0)</f>
        <v>2000</v>
      </c>
      <c r="G172" s="29" t="str">
        <f>VLOOKUP(E172, Factor!$CL$5:$CV$50, 2, 0)</f>
        <v>blast</v>
      </c>
      <c r="H172" s="29" t="str">
        <f>VLOOKUP(E172, Factor!$CL$5:$CV$50, 3, 0)</f>
        <v>missile</v>
      </c>
      <c r="I172" s="29" t="str">
        <f>VLOOKUP(E172, Factor!$CL$5:$CV$50, 4, 0)</f>
        <v>F</v>
      </c>
      <c r="J172" s="29" t="str">
        <f>VLOOKUP(E172, Factor!$CL$5:$CV$50, 5, 0)</f>
        <v>armored</v>
      </c>
      <c r="K172" s="29">
        <v>1</v>
      </c>
      <c r="L172" s="29">
        <f>VLOOKUP(E172, Factor!$CL$5:$CV$50, 6, 0)*K172*VLOOKUP(D172, Factor!$BZ$5:$CJ$49, 9, 0)</f>
        <v>16</v>
      </c>
      <c r="M172" s="29" t="str">
        <f>VLOOKUP(E172, Factor!$CL$5:$CV$50, 7, 0)</f>
        <v>null</v>
      </c>
      <c r="N172" s="29">
        <v>1</v>
      </c>
      <c r="O172" s="29">
        <f>VLOOKUP(E172, Factor!$CL$5:$CV$50, 8, 0)*N172*VLOOKUP(D172, Factor!$BZ$5:$CJ$49, 10, 0)</f>
        <v>0</v>
      </c>
      <c r="P172" s="29">
        <v>1</v>
      </c>
      <c r="Q172" s="29">
        <f>VLOOKUP(E172, Factor!$CL$5:$CV$50, 9, 0)*P172*VLOOKUP(D172, Factor!$BZ$5:$CJ$49, 11, 0)</f>
        <v>8</v>
      </c>
      <c r="R172" s="29" t="str">
        <f>VLOOKUP(E172, Factor!$CL$5:$CV$50, 10, 0)</f>
        <v>null</v>
      </c>
      <c r="S172" s="29" t="str">
        <f>VLOOKUP(E172, Factor!$CL$5:$CV$50, 11, 0)</f>
        <v>null</v>
      </c>
      <c r="T172" s="29">
        <v>1</v>
      </c>
      <c r="U172" s="29">
        <v>1</v>
      </c>
      <c r="V172" s="29">
        <v>1</v>
      </c>
      <c r="W172" s="29">
        <v>1</v>
      </c>
      <c r="X172" s="29">
        <v>1</v>
      </c>
      <c r="Y172" s="29">
        <v>1</v>
      </c>
      <c r="Z172" s="29">
        <v>1</v>
      </c>
      <c r="AA172" s="29" cm="1">
        <f t="array" ref="AA172">_xlfn.LET(_xlpm.기본_색인번호, 2,
_xlpm.추가_색인번호, 3,
_xlpm.개별보정치, T172,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2700</v>
      </c>
      <c r="AB172" s="29" cm="1">
        <f t="array" ref="AB172">_xlfn.LET(_xlpm.기본_색인번호, 3,
_xlpm.추가_색인번호, 4,
_xlpm.개별보정치, U172,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  <c r="AC172" s="29" cm="1">
        <f t="array" ref="AC172">_xlfn.LET(_xlpm.기본_색인번호, 4,
_xlpm.추가_색인번호, 5,
_xlpm.개별보정치, V172,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2" s="29" cm="1">
        <f t="array" ref="AD172">_xlfn.LET(_xlpm.기본_색인번호, 5,
_xlpm.추가_색인번호, 6,
_xlpm.개별보정치, W172,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243.00000000000006</v>
      </c>
      <c r="AE172" s="29" cm="1">
        <f t="array" ref="AE172">_xlfn.LET(_xlpm.기본_색인번호, 6,
_xlpm.추가_색인번호, 7,
_xlpm.개별보정치, X172,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243.00000000000006</v>
      </c>
      <c r="AF172" s="29" cm="1">
        <f t="array" ref="AF172">_xlfn.LET(_xlpm.기본_색인번호, 7,
_xlpm.추가_색인번호, 8,
_xlpm.개별보정치, Y172,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2" s="30" cm="1">
        <f t="array" ref="AG172">_xlfn.LET(_xlpm.기본_색인번호, 8,
_xlpm.추가_색인번호, 9,
_xlpm.개별보정치, Z172,
_xlpm.패턴보정치, VLOOKUP($G172, Factor!$B$5:$I$51, _xlpm.기본_색인번호, 0),
_xlpm.소모탄환보정치, VLOOKUP($H172, Factor!$T$5:$AA$51, _xlpm.기본_색인번호, 0),
_xlpm.지형보정치, VLOOKUP($I172, Factor!$K$12:$R$13, _xlpm.기본_색인번호, 0),
_xlpm.공격속성보정치, VLOOKUP($J172, Factor!$K$5:$R$7, _xlpm.기본_색인번호, 0),
_xlpm.피해범위보정치, INDEX(Factor!$AN$5:$AV$51, _xlfn.XMATCH(IF(OR($G172="blast", $G172="curved",  $G172= "debuff"), $L172, 0), Factor!$AN$5:$AN$51, -1), _xlpm.추가_색인번호)-IF(AND(OR($G172="blast", $G172="curved", $G172= "debuff"), MOD($L172,1)&lt;&gt;0),INDEX(Factor!$AN$5:$AV$51, _xlfn.XMATCH(IF(OR($G172="blast", $G172="curved", $G172= "debuff"), $L172, 0), Factor!$AN$5:$AN$51, -1), 2)*MOD($L172,1)*10,0),
_xlpm.상태이상보정치, VLOOKUP(IF($G172 = "debuff", $M172, "null"), Factor!$AX$5:$BE$51, _xlpm.기본_색인번호, 0),
_xlpm.지속시간보정치, INDEX(Factor!$BG$5:$BO$51, _xlfn.XMATCH(IF(OR($G172 ="debuff", $G172 = "shot", $G172 = "pierce"), $O172, 0), Factor!$BG$5:$BG$51, -1), _xlpm.추가_색인번호)-IF(AND(OR($G172 ="debuff", $G172 = "shot", $G172 = "pierce"), MOD($O172, 1)&lt;&gt;0), 10*MOD($O172, 1)*INDEX(Factor!$BG$5:$BO$51, _xlfn.XMATCH(IF(OR($G172 ="debuff", $G172 = "shot", $G172 = "pierce"), $O172, 0), Factor!$BG$5:$BG$51, -1), 2), 0),
_xlpm.탄환개수보정치, VLOOKUP(IF(OR($G172 = "curved", $G172 = "shot"), $Q172, 1), Factor!$BQ$5:$BX$51, _xlpm.기본_색인번호, 0),
_xlpm.상태이상탄환생성위치보정치, IF($G172 = "debuff", VLOOKUP($R172, Factor!$K$18:$R$19, _xlpm.기본_색인번호, 0),1),
_xlpm.상태이상탄환형태보정치, IF($G172 = "debuff", VLOOKUP($S172, Factor!$K$24:$R$25, _xlpm.기본_색인번호, 0),1),
_xlpm.가격보정치, INDEX(Factor!$AE$5:$AL$51, _xlfn.XMATCH($F172,Factor!$AE$5:$AE$51, -1), _xlpm.기본_색인번호),
_xlpm.구경보정치, VLOOKUP($D172,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243.00000000000006</v>
      </c>
    </row>
    <row r="173" spans="1:33" ht="15.75" customHeight="1">
      <c r="A173" s="24" t="str">
        <f>"weapon_"&amp;G173&amp;"_"&amp;VLOOKUP(H173, Factor!$T$5:$AB$7, 9, 0)&amp;"_"&amp;IF(COUNTIFS($G$4:G172, G173, $H$4:H172, H173)+1&gt;=100, COUNTIFS($G$4:G172, G173, $H$4:H172, H173)+1,IF(COUNTIFS($G$4:G172, G173, $H$4:H172, H173)+1&gt;=10, "0"&amp;COUNTIFS($G$4:G172, G173, $H$4:H172, H173)+1, "00"&amp;COUNTIFS($G$4:G172, G173, $H$4:H172, H173)+1))</f>
        <v>weapon_blast_Ms_015</v>
      </c>
      <c r="B173" s="36" t="str">
        <f t="shared" si="2"/>
        <v>T3 240mm휴대용 대공 미사일 발사대</v>
      </c>
      <c r="C173" s="36" t="s">
        <v>247</v>
      </c>
      <c r="D173" s="36" t="s">
        <v>267</v>
      </c>
      <c r="E173" s="36" t="s">
        <v>192</v>
      </c>
      <c r="F173" s="25">
        <f>VLOOKUP(C173, Factor!$AD$5:$AE$15, 2, 0)</f>
        <v>3000</v>
      </c>
      <c r="G173" s="26" t="str">
        <f>VLOOKUP(E173, Factor!$CL$5:$CV$50, 2, 0)</f>
        <v>blast</v>
      </c>
      <c r="H173" s="25" t="str">
        <f>VLOOKUP(E173, Factor!$CL$5:$CV$50, 3, 0)</f>
        <v>missile</v>
      </c>
      <c r="I173" s="25" t="str">
        <f>VLOOKUP(E173, Factor!$CL$5:$CV$50, 4, 0)</f>
        <v>F</v>
      </c>
      <c r="J173" s="25" t="str">
        <f>VLOOKUP(E173, Factor!$CL$5:$CV$50, 5, 0)</f>
        <v>armored</v>
      </c>
      <c r="K173" s="25">
        <v>1</v>
      </c>
      <c r="L173" s="25">
        <f>VLOOKUP(E173, Factor!$CL$5:$CV$50, 6, 0)*K173*VLOOKUP(D173, Factor!$BZ$5:$CJ$49, 9, 0)</f>
        <v>16</v>
      </c>
      <c r="M173" s="25" t="str">
        <f>VLOOKUP(E173, Factor!$CL$5:$CV$50, 7, 0)</f>
        <v>null</v>
      </c>
      <c r="N173" s="25">
        <v>1</v>
      </c>
      <c r="O173" s="25">
        <f>VLOOKUP(E173, Factor!$CL$5:$CV$50, 8, 0)*N173*VLOOKUP(D173, Factor!$BZ$5:$CJ$49, 10, 0)</f>
        <v>0</v>
      </c>
      <c r="P173" s="25">
        <v>1</v>
      </c>
      <c r="Q173" s="25">
        <f>VLOOKUP(E173, Factor!$CL$5:$CV$50, 9, 0)*P173*VLOOKUP(D173, Factor!$BZ$5:$CJ$49, 11, 0)</f>
        <v>8</v>
      </c>
      <c r="R173" s="25" t="str">
        <f>VLOOKUP(E173, Factor!$CL$5:$CV$50, 10, 0)</f>
        <v>null</v>
      </c>
      <c r="S173" s="25" t="str">
        <f>VLOOKUP(E173, Factor!$CL$5:$CV$50, 11, 0)</f>
        <v>null</v>
      </c>
      <c r="T173" s="25">
        <v>1</v>
      </c>
      <c r="U173" s="25">
        <v>1</v>
      </c>
      <c r="V173" s="25">
        <v>1</v>
      </c>
      <c r="W173" s="25">
        <v>1</v>
      </c>
      <c r="X173" s="25">
        <v>1</v>
      </c>
      <c r="Y173" s="25">
        <v>1</v>
      </c>
      <c r="Z173" s="25">
        <v>1</v>
      </c>
      <c r="AA173" s="25" cm="1">
        <f t="array" ref="AA173">_xlfn.LET(_xlpm.기본_색인번호, 2,
_xlpm.추가_색인번호, 3,
_xlpm.개별보정치, T173,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173" s="25" cm="1">
        <f t="array" ref="AB173">_xlfn.LET(_xlpm.기본_색인번호, 3,
_xlpm.추가_색인번호, 4,
_xlpm.개별보정치, U173,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  <c r="AC173" s="25" cm="1">
        <f t="array" ref="AC173">_xlfn.LET(_xlpm.기본_색인번호, 4,
_xlpm.추가_색인번호, 5,
_xlpm.개별보정치, V173,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3" s="25" cm="1">
        <f t="array" ref="AD173">_xlfn.LET(_xlpm.기본_색인번호, 5,
_xlpm.추가_색인번호, 6,
_xlpm.개별보정치, W173,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  <c r="AE173" s="25" cm="1">
        <f t="array" ref="AE173">_xlfn.LET(_xlpm.기본_색인번호, 6,
_xlpm.추가_색인번호, 7,
_xlpm.개별보정치, X173,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  <c r="AF173" s="25" cm="1">
        <f t="array" ref="AF173">_xlfn.LET(_xlpm.기본_색인번호, 7,
_xlpm.추가_색인번호, 8,
_xlpm.개별보정치, Y173,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3" s="27" cm="1">
        <f t="array" ref="AG173">_xlfn.LET(_xlpm.기본_색인번호, 8,
_xlpm.추가_색인번호, 9,
_xlpm.개별보정치, Z173,
_xlpm.패턴보정치, VLOOKUP($G173, Factor!$B$5:$I$51, _xlpm.기본_색인번호, 0),
_xlpm.소모탄환보정치, VLOOKUP($H173, Factor!$T$5:$AA$51, _xlpm.기본_색인번호, 0),
_xlpm.지형보정치, VLOOKUP($I173, Factor!$K$12:$R$13, _xlpm.기본_색인번호, 0),
_xlpm.공격속성보정치, VLOOKUP($J173, Factor!$K$5:$R$7, _xlpm.기본_색인번호, 0),
_xlpm.피해범위보정치, INDEX(Factor!$AN$5:$AV$51, _xlfn.XMATCH(IF(OR($G173="blast", $G173="curved",  $G173= "debuff"), $L173, 0), Factor!$AN$5:$AN$51, -1), _xlpm.추가_색인번호)-IF(AND(OR($G173="blast", $G173="curved", $G173= "debuff"), MOD($L173,1)&lt;&gt;0),INDEX(Factor!$AN$5:$AV$51, _xlfn.XMATCH(IF(OR($G173="blast", $G173="curved", $G173= "debuff"), $L173, 0), Factor!$AN$5:$AN$51, -1), 2)*MOD($L173,1)*10,0),
_xlpm.상태이상보정치, VLOOKUP(IF($G173 = "debuff", $M173, "null"), Factor!$AX$5:$BE$51, _xlpm.기본_색인번호, 0),
_xlpm.지속시간보정치, INDEX(Factor!$BG$5:$BO$51, _xlfn.XMATCH(IF(OR($G173 ="debuff", $G173 = "shot", $G173 = "pierce"), $O173, 0), Factor!$BG$5:$BG$51, -1), _xlpm.추가_색인번호)-IF(AND(OR($G173 ="debuff", $G173 = "shot", $G173 = "pierce"), MOD($O173, 1)&lt;&gt;0), 10*MOD($O173, 1)*INDEX(Factor!$BG$5:$BO$51, _xlfn.XMATCH(IF(OR($G173 ="debuff", $G173 = "shot", $G173 = "pierce"), $O173, 0), Factor!$BG$5:$BG$51, -1), 2), 0),
_xlpm.탄환개수보정치, VLOOKUP(IF(OR($G173 = "curved", $G173 = "shot"), $Q173, 1), Factor!$BQ$5:$BX$51, _xlpm.기본_색인번호, 0),
_xlpm.상태이상탄환생성위치보정치, IF($G173 = "debuff", VLOOKUP($R173, Factor!$K$18:$R$19, _xlpm.기본_색인번호, 0),1),
_xlpm.상태이상탄환형태보정치, IF($G173 = "debuff", VLOOKUP($S173, Factor!$K$24:$R$25, _xlpm.기본_색인번호, 0),1),
_xlpm.가격보정치, INDEX(Factor!$AE$5:$AL$51, _xlfn.XMATCH($F173,Factor!$AE$5:$AE$51, -1), _xlpm.기본_색인번호),
_xlpm.구경보정치, VLOOKUP($D173,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324.00000000000006</v>
      </c>
    </row>
    <row r="174" spans="1:33" ht="15.75" customHeight="1">
      <c r="A174" s="28" t="str">
        <f>"weapon_"&amp;G174&amp;"_"&amp;VLOOKUP(H174, Factor!$T$5:$AB$7, 9, 0)&amp;"_"&amp;IF(COUNTIFS($G$4:G173, G174, $H$4:H173, H174)+1&gt;=100, COUNTIFS($G$4:G173, G174, $H$4:H173, H174)+1,IF(COUNTIFS($G$4:G173, G174, $H$4:H173, H174)+1&gt;=10, "0"&amp;COUNTIFS($G$4:G173, G174, $H$4:H173, H174)+1, "00"&amp;COUNTIFS($G$4:G173, G174, $H$4:H173, H174)+1))</f>
        <v>weapon_blast_Ms_016</v>
      </c>
      <c r="B174" s="37" t="str">
        <f t="shared" si="2"/>
        <v>T4 240mm휴대용 대공 미사일 발사대</v>
      </c>
      <c r="C174" s="37" t="s">
        <v>249</v>
      </c>
      <c r="D174" s="37" t="s">
        <v>267</v>
      </c>
      <c r="E174" s="37" t="s">
        <v>192</v>
      </c>
      <c r="F174" s="29">
        <f>VLOOKUP(C174, Factor!$AD$5:$AE$15, 2, 0)</f>
        <v>4000</v>
      </c>
      <c r="G174" s="29" t="str">
        <f>VLOOKUP(E174, Factor!$CL$5:$CV$50, 2, 0)</f>
        <v>blast</v>
      </c>
      <c r="H174" s="29" t="str">
        <f>VLOOKUP(E174, Factor!$CL$5:$CV$50, 3, 0)</f>
        <v>missile</v>
      </c>
      <c r="I174" s="29" t="str">
        <f>VLOOKUP(E174, Factor!$CL$5:$CV$50, 4, 0)</f>
        <v>F</v>
      </c>
      <c r="J174" s="29" t="str">
        <f>VLOOKUP(E174, Factor!$CL$5:$CV$50, 5, 0)</f>
        <v>armored</v>
      </c>
      <c r="K174" s="29">
        <v>1</v>
      </c>
      <c r="L174" s="29">
        <f>VLOOKUP(E174, Factor!$CL$5:$CV$50, 6, 0)*K174*VLOOKUP(D174, Factor!$BZ$5:$CJ$49, 9, 0)</f>
        <v>16</v>
      </c>
      <c r="M174" s="29" t="str">
        <f>VLOOKUP(E174, Factor!$CL$5:$CV$50, 7, 0)</f>
        <v>null</v>
      </c>
      <c r="N174" s="29">
        <v>1</v>
      </c>
      <c r="O174" s="29">
        <f>VLOOKUP(E174, Factor!$CL$5:$CV$50, 8, 0)*N174*VLOOKUP(D174, Factor!$BZ$5:$CJ$49, 10, 0)</f>
        <v>0</v>
      </c>
      <c r="P174" s="29">
        <v>1</v>
      </c>
      <c r="Q174" s="29">
        <f>VLOOKUP(E174, Factor!$CL$5:$CV$50, 9, 0)*P174*VLOOKUP(D174, Factor!$BZ$5:$CJ$49, 11, 0)</f>
        <v>8</v>
      </c>
      <c r="R174" s="29" t="str">
        <f>VLOOKUP(E174, Factor!$CL$5:$CV$50, 10, 0)</f>
        <v>null</v>
      </c>
      <c r="S174" s="29" t="str">
        <f>VLOOKUP(E174, Factor!$CL$5:$CV$50, 11, 0)</f>
        <v>null</v>
      </c>
      <c r="T174" s="29">
        <v>1</v>
      </c>
      <c r="U174" s="29">
        <v>1</v>
      </c>
      <c r="V174" s="29">
        <v>1</v>
      </c>
      <c r="W174" s="29">
        <v>1</v>
      </c>
      <c r="X174" s="29">
        <v>1</v>
      </c>
      <c r="Y174" s="29">
        <v>1</v>
      </c>
      <c r="Z174" s="29">
        <v>1</v>
      </c>
      <c r="AA174" s="29" cm="1">
        <f t="array" ref="AA174">_xlfn.LET(_xlpm.기본_색인번호, 2,
_xlpm.추가_색인번호, 3,
_xlpm.개별보정치, T174,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4500</v>
      </c>
      <c r="AB174" s="29" cm="1">
        <f t="array" ref="AB174">_xlfn.LET(_xlpm.기본_색인번호, 3,
_xlpm.추가_색인번호, 4,
_xlpm.개별보정치, U174,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  <c r="AC174" s="29" cm="1">
        <f t="array" ref="AC174">_xlfn.LET(_xlpm.기본_색인번호, 4,
_xlpm.추가_색인번호, 5,
_xlpm.개별보정치, V174,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4" s="29" cm="1">
        <f t="array" ref="AD174">_xlfn.LET(_xlpm.기본_색인번호, 5,
_xlpm.추가_색인번호, 6,
_xlpm.개별보정치, W174,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  <c r="AE174" s="29" cm="1">
        <f t="array" ref="AE174">_xlfn.LET(_xlpm.기본_색인번호, 6,
_xlpm.추가_색인번호, 7,
_xlpm.개별보정치, X174,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  <c r="AF174" s="29" cm="1">
        <f t="array" ref="AF174">_xlfn.LET(_xlpm.기본_색인번호, 7,
_xlpm.추가_색인번호, 8,
_xlpm.개별보정치, Y174,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4" s="30" cm="1">
        <f t="array" ref="AG174">_xlfn.LET(_xlpm.기본_색인번호, 8,
_xlpm.추가_색인번호, 9,
_xlpm.개별보정치, Z174,
_xlpm.패턴보정치, VLOOKUP($G174, Factor!$B$5:$I$51, _xlpm.기본_색인번호, 0),
_xlpm.소모탄환보정치, VLOOKUP($H174, Factor!$T$5:$AA$51, _xlpm.기본_색인번호, 0),
_xlpm.지형보정치, VLOOKUP($I174, Factor!$K$12:$R$13, _xlpm.기본_색인번호, 0),
_xlpm.공격속성보정치, VLOOKUP($J174, Factor!$K$5:$R$7, _xlpm.기본_색인번호, 0),
_xlpm.피해범위보정치, INDEX(Factor!$AN$5:$AV$51, _xlfn.XMATCH(IF(OR($G174="blast", $G174="curved",  $G174= "debuff"), $L174, 0), Factor!$AN$5:$AN$51, -1), _xlpm.추가_색인번호)-IF(AND(OR($G174="blast", $G174="curved", $G174= "debuff"), MOD($L174,1)&lt;&gt;0),INDEX(Factor!$AN$5:$AV$51, _xlfn.XMATCH(IF(OR($G174="blast", $G174="curved", $G174= "debuff"), $L174, 0), Factor!$AN$5:$AN$51, -1), 2)*MOD($L174,1)*10,0),
_xlpm.상태이상보정치, VLOOKUP(IF($G174 = "debuff", $M174, "null"), Factor!$AX$5:$BE$51, _xlpm.기본_색인번호, 0),
_xlpm.지속시간보정치, INDEX(Factor!$BG$5:$BO$51, _xlfn.XMATCH(IF(OR($G174 ="debuff", $G174 = "shot", $G174 = "pierce"), $O174, 0), Factor!$BG$5:$BG$51, -1), _xlpm.추가_색인번호)-IF(AND(OR($G174 ="debuff", $G174 = "shot", $G174 = "pierce"), MOD($O174, 1)&lt;&gt;0), 10*MOD($O174, 1)*INDEX(Factor!$BG$5:$BO$51, _xlfn.XMATCH(IF(OR($G174 ="debuff", $G174 = "shot", $G174 = "pierce"), $O174, 0), Factor!$BG$5:$BG$51, -1), 2), 0),
_xlpm.탄환개수보정치, VLOOKUP(IF(OR($G174 = "curved", $G174 = "shot"), $Q174, 1), Factor!$BQ$5:$BX$51, _xlpm.기본_색인번호, 0),
_xlpm.상태이상탄환생성위치보정치, IF($G174 = "debuff", VLOOKUP($R174, Factor!$K$18:$R$19, _xlpm.기본_색인번호, 0),1),
_xlpm.상태이상탄환형태보정치, IF($G174 = "debuff", VLOOKUP($S174, Factor!$K$24:$R$25, _xlpm.기본_색인번호, 0),1),
_xlpm.가격보정치, INDEX(Factor!$AE$5:$AL$51, _xlfn.XMATCH($F174,Factor!$AE$5:$AE$51, -1), _xlpm.기본_색인번호),
_xlpm.구경보정치, VLOOKUP($D174,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</row>
    <row r="175" spans="1:33" ht="15.75" customHeight="1">
      <c r="A175" s="24" t="str">
        <f>"weapon_"&amp;G175&amp;"_"&amp;VLOOKUP(H175, Factor!$T$5:$AB$7, 9, 0)&amp;"_"&amp;IF(COUNTIFS($G$4:G174, G175, $H$4:H174, H175)+1&gt;=100, COUNTIFS($G$4:G174, G175, $H$4:H174, H175)+1,IF(COUNTIFS($G$4:G174, G175, $H$4:H174, H175)+1&gt;=10, "0"&amp;COUNTIFS($G$4:G174, G175, $H$4:H174, H175)+1, "00"&amp;COUNTIFS($G$4:G174, G175, $H$4:H174, H175)+1))</f>
        <v>weapon_blast_Ms_017</v>
      </c>
      <c r="B175" s="36" t="str">
        <f t="shared" si="2"/>
        <v>T5 240mm휴대용 대공 미사일 발사대</v>
      </c>
      <c r="C175" s="36" t="s">
        <v>251</v>
      </c>
      <c r="D175" s="36" t="s">
        <v>267</v>
      </c>
      <c r="E175" s="36" t="s">
        <v>192</v>
      </c>
      <c r="F175" s="25">
        <f>VLOOKUP(C175, Factor!$AD$5:$AE$15, 2, 0)</f>
        <v>5000</v>
      </c>
      <c r="G175" s="26" t="str">
        <f>VLOOKUP(E175, Factor!$CL$5:$CV$50, 2, 0)</f>
        <v>blast</v>
      </c>
      <c r="H175" s="25" t="str">
        <f>VLOOKUP(E175, Factor!$CL$5:$CV$50, 3, 0)</f>
        <v>missile</v>
      </c>
      <c r="I175" s="25" t="str">
        <f>VLOOKUP(E175, Factor!$CL$5:$CV$50, 4, 0)</f>
        <v>F</v>
      </c>
      <c r="J175" s="25" t="str">
        <f>VLOOKUP(E175, Factor!$CL$5:$CV$50, 5, 0)</f>
        <v>armored</v>
      </c>
      <c r="K175" s="25">
        <v>1</v>
      </c>
      <c r="L175" s="25">
        <f>VLOOKUP(E175, Factor!$CL$5:$CV$50, 6, 0)*K175*VLOOKUP(D175, Factor!$BZ$5:$CJ$49, 9, 0)</f>
        <v>16</v>
      </c>
      <c r="M175" s="25" t="str">
        <f>VLOOKUP(E175, Factor!$CL$5:$CV$50, 7, 0)</f>
        <v>null</v>
      </c>
      <c r="N175" s="25">
        <v>1</v>
      </c>
      <c r="O175" s="25">
        <f>VLOOKUP(E175, Factor!$CL$5:$CV$50, 8, 0)*N175*VLOOKUP(D175, Factor!$BZ$5:$CJ$49, 10, 0)</f>
        <v>0</v>
      </c>
      <c r="P175" s="25">
        <v>1</v>
      </c>
      <c r="Q175" s="25">
        <f>VLOOKUP(E175, Factor!$CL$5:$CV$50, 9, 0)*P175*VLOOKUP(D175, Factor!$BZ$5:$CJ$49, 11, 0)</f>
        <v>8</v>
      </c>
      <c r="R175" s="25" t="str">
        <f>VLOOKUP(E175, Factor!$CL$5:$CV$50, 10, 0)</f>
        <v>null</v>
      </c>
      <c r="S175" s="25" t="str">
        <f>VLOOKUP(E175, Factor!$CL$5:$CV$50, 11, 0)</f>
        <v>null</v>
      </c>
      <c r="T175" s="25">
        <v>1</v>
      </c>
      <c r="U175" s="25">
        <v>1</v>
      </c>
      <c r="V175" s="25">
        <v>1</v>
      </c>
      <c r="W175" s="25">
        <v>1</v>
      </c>
      <c r="X175" s="25">
        <v>1</v>
      </c>
      <c r="Y175" s="25">
        <v>1</v>
      </c>
      <c r="Z175" s="25">
        <v>1</v>
      </c>
      <c r="AA175" s="25" cm="1">
        <f t="array" ref="AA175">_xlfn.LET(_xlpm.기본_색인번호, 2,
_xlpm.추가_색인번호, 3,
_xlpm.개별보정치, T175,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175" s="25" cm="1">
        <f t="array" ref="AB175">_xlfn.LET(_xlpm.기본_색인번호, 3,
_xlpm.추가_색인번호, 4,
_xlpm.개별보정치, U175,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405.00000000000006</v>
      </c>
      <c r="AC175" s="25" cm="1">
        <f t="array" ref="AC175">_xlfn.LET(_xlpm.기본_색인번호, 4,
_xlpm.추가_색인번호, 5,
_xlpm.개별보정치, V175,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5" s="25" cm="1">
        <f t="array" ref="AD175">_xlfn.LET(_xlpm.기본_색인번호, 5,
_xlpm.추가_색인번호, 6,
_xlpm.개별보정치, W175,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  <c r="AE175" s="25" cm="1">
        <f t="array" ref="AE175">_xlfn.LET(_xlpm.기본_색인번호, 6,
_xlpm.추가_색인번호, 7,
_xlpm.개별보정치, X175,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  <c r="AF175" s="25" cm="1">
        <f t="array" ref="AF175">_xlfn.LET(_xlpm.기본_색인번호, 7,
_xlpm.추가_색인번호, 8,
_xlpm.개별보정치, Y175,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5" s="27" cm="1">
        <f t="array" ref="AG175">_xlfn.LET(_xlpm.기본_색인번호, 8,
_xlpm.추가_색인번호, 9,
_xlpm.개별보정치, Z175,
_xlpm.패턴보정치, VLOOKUP($G175, Factor!$B$5:$I$51, _xlpm.기본_색인번호, 0),
_xlpm.소모탄환보정치, VLOOKUP($H175, Factor!$T$5:$AA$51, _xlpm.기본_색인번호, 0),
_xlpm.지형보정치, VLOOKUP($I175, Factor!$K$12:$R$13, _xlpm.기본_색인번호, 0),
_xlpm.공격속성보정치, VLOOKUP($J175, Factor!$K$5:$R$7, _xlpm.기본_색인번호, 0),
_xlpm.피해범위보정치, INDEX(Factor!$AN$5:$AV$51, _xlfn.XMATCH(IF(OR($G175="blast", $G175="curved",  $G175= "debuff"), $L175, 0), Factor!$AN$5:$AN$51, -1), _xlpm.추가_색인번호)-IF(AND(OR($G175="blast", $G175="curved", $G175= "debuff"), MOD($L175,1)&lt;&gt;0),INDEX(Factor!$AN$5:$AV$51, _xlfn.XMATCH(IF(OR($G175="blast", $G175="curved", $G175= "debuff"), $L175, 0), Factor!$AN$5:$AN$51, -1), 2)*MOD($L175,1)*10,0),
_xlpm.상태이상보정치, VLOOKUP(IF($G175 = "debuff", $M175, "null"), Factor!$AX$5:$BE$51, _xlpm.기본_색인번호, 0),
_xlpm.지속시간보정치, INDEX(Factor!$BG$5:$BO$51, _xlfn.XMATCH(IF(OR($G175 ="debuff", $G175 = "shot", $G175 = "pierce"), $O175, 0), Factor!$BG$5:$BG$51, -1), _xlpm.추가_색인번호)-IF(AND(OR($G175 ="debuff", $G175 = "shot", $G175 = "pierce"), MOD($O175, 1)&lt;&gt;0), 10*MOD($O175, 1)*INDEX(Factor!$BG$5:$BO$51, _xlfn.XMATCH(IF(OR($G175 ="debuff", $G175 = "shot", $G175 = "pierce"), $O175, 0), Factor!$BG$5:$BG$51, -1), 2), 0),
_xlpm.탄환개수보정치, VLOOKUP(IF(OR($G175 = "curved", $G175 = "shot"), $Q175, 1), Factor!$BQ$5:$BX$51, _xlpm.기본_색인번호, 0),
_xlpm.상태이상탄환생성위치보정치, IF($G175 = "debuff", VLOOKUP($R175, Factor!$K$18:$R$19, _xlpm.기본_색인번호, 0),1),
_xlpm.상태이상탄환형태보정치, IF($G175 = "debuff", VLOOKUP($S175, Factor!$K$24:$R$25, _xlpm.기본_색인번호, 0),1),
_xlpm.가격보정치, INDEX(Factor!$AE$5:$AL$51, _xlfn.XMATCH($F175,Factor!$AE$5:$AE$51, -1), _xlpm.기본_색인번호),
_xlpm.구경보정치, VLOOKUP($D175,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</row>
    <row r="176" spans="1:33" ht="15.75" customHeight="1">
      <c r="A176" s="28" t="str">
        <f>"weapon_"&amp;G176&amp;"_"&amp;VLOOKUP(H176, Factor!$T$5:$AB$7, 9, 0)&amp;"_"&amp;IF(COUNTIFS($G$4:G175, G176, $H$4:H175, H176)+1&gt;=100, COUNTIFS($G$4:G175, G176, $H$4:H175, H176)+1,IF(COUNTIFS($G$4:G175, G176, $H$4:H175, H176)+1&gt;=10, "0"&amp;COUNTIFS($G$4:G175, G176, $H$4:H175, H176)+1, "00"&amp;COUNTIFS($G$4:G175, G176, $H$4:H175, H176)+1))</f>
        <v>weapon_blast_Ms_018</v>
      </c>
      <c r="B176" s="37" t="str">
        <f t="shared" si="2"/>
        <v>T6 240mm휴대용 대공 미사일 발사대</v>
      </c>
      <c r="C176" s="37" t="s">
        <v>253</v>
      </c>
      <c r="D176" s="37" t="s">
        <v>267</v>
      </c>
      <c r="E176" s="37" t="s">
        <v>192</v>
      </c>
      <c r="F176" s="29">
        <f>VLOOKUP(C176, Factor!$AD$5:$AE$15, 2, 0)</f>
        <v>6000</v>
      </c>
      <c r="G176" s="29" t="str">
        <f>VLOOKUP(E176, Factor!$CL$5:$CV$50, 2, 0)</f>
        <v>blast</v>
      </c>
      <c r="H176" s="29" t="str">
        <f>VLOOKUP(E176, Factor!$CL$5:$CV$50, 3, 0)</f>
        <v>missile</v>
      </c>
      <c r="I176" s="29" t="str">
        <f>VLOOKUP(E176, Factor!$CL$5:$CV$50, 4, 0)</f>
        <v>F</v>
      </c>
      <c r="J176" s="29" t="str">
        <f>VLOOKUP(E176, Factor!$CL$5:$CV$50, 5, 0)</f>
        <v>armored</v>
      </c>
      <c r="K176" s="29">
        <v>1</v>
      </c>
      <c r="L176" s="29">
        <f>VLOOKUP(E176, Factor!$CL$5:$CV$50, 6, 0)*K176*VLOOKUP(D176, Factor!$BZ$5:$CJ$49, 9, 0)</f>
        <v>16</v>
      </c>
      <c r="M176" s="29" t="str">
        <f>VLOOKUP(E176, Factor!$CL$5:$CV$50, 7, 0)</f>
        <v>null</v>
      </c>
      <c r="N176" s="29">
        <v>1</v>
      </c>
      <c r="O176" s="29">
        <f>VLOOKUP(E176, Factor!$CL$5:$CV$50, 8, 0)*N176*VLOOKUP(D176, Factor!$BZ$5:$CJ$49, 10, 0)</f>
        <v>0</v>
      </c>
      <c r="P176" s="29">
        <v>1</v>
      </c>
      <c r="Q176" s="29">
        <f>VLOOKUP(E176, Factor!$CL$5:$CV$50, 9, 0)*P176*VLOOKUP(D176, Factor!$BZ$5:$CJ$49, 11, 0)</f>
        <v>8</v>
      </c>
      <c r="R176" s="29" t="str">
        <f>VLOOKUP(E176, Factor!$CL$5:$CV$50, 10, 0)</f>
        <v>null</v>
      </c>
      <c r="S176" s="29" t="str">
        <f>VLOOKUP(E176, Factor!$CL$5:$CV$50, 11, 0)</f>
        <v>null</v>
      </c>
      <c r="T176" s="29">
        <v>1</v>
      </c>
      <c r="U176" s="29">
        <v>1</v>
      </c>
      <c r="V176" s="29">
        <v>1</v>
      </c>
      <c r="W176" s="29">
        <v>1</v>
      </c>
      <c r="X176" s="29">
        <v>1</v>
      </c>
      <c r="Y176" s="29">
        <v>1</v>
      </c>
      <c r="Z176" s="29">
        <v>1</v>
      </c>
      <c r="AA176" s="29" cm="1">
        <f t="array" ref="AA176">_xlfn.LET(_xlpm.기본_색인번호, 2,
_xlpm.추가_색인번호, 3,
_xlpm.개별보정치, T176,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6300</v>
      </c>
      <c r="AB176" s="29" cm="1">
        <f t="array" ref="AB176">_xlfn.LET(_xlpm.기본_색인번호, 3,
_xlpm.추가_색인번호, 4,
_xlpm.개별보정치, U176,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  <c r="AC176" s="29" cm="1">
        <f t="array" ref="AC176">_xlfn.LET(_xlpm.기본_색인번호, 4,
_xlpm.추가_색인번호, 5,
_xlpm.개별보정치, V176,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6" s="29" cm="1">
        <f t="array" ref="AD176">_xlfn.LET(_xlpm.기본_색인번호, 5,
_xlpm.추가_색인번호, 6,
_xlpm.개별보정치, W176,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567.00000000000011</v>
      </c>
      <c r="AE176" s="29" cm="1">
        <f t="array" ref="AE176">_xlfn.LET(_xlpm.기본_색인번호, 6,
_xlpm.추가_색인번호, 7,
_xlpm.개별보정치, X176,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567.00000000000011</v>
      </c>
      <c r="AF176" s="29" cm="1">
        <f t="array" ref="AF176">_xlfn.LET(_xlpm.기본_색인번호, 7,
_xlpm.추가_색인번호, 8,
_xlpm.개별보정치, Y176,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6" s="30" cm="1">
        <f t="array" ref="AG176">_xlfn.LET(_xlpm.기본_색인번호, 8,
_xlpm.추가_색인번호, 9,
_xlpm.개별보정치, Z176,
_xlpm.패턴보정치, VLOOKUP($G176, Factor!$B$5:$I$51, _xlpm.기본_색인번호, 0),
_xlpm.소모탄환보정치, VLOOKUP($H176, Factor!$T$5:$AA$51, _xlpm.기본_색인번호, 0),
_xlpm.지형보정치, VLOOKUP($I176, Factor!$K$12:$R$13, _xlpm.기본_색인번호, 0),
_xlpm.공격속성보정치, VLOOKUP($J176, Factor!$K$5:$R$7, _xlpm.기본_색인번호, 0),
_xlpm.피해범위보정치, INDEX(Factor!$AN$5:$AV$51, _xlfn.XMATCH(IF(OR($G176="blast", $G176="curved",  $G176= "debuff"), $L176, 0), Factor!$AN$5:$AN$51, -1), _xlpm.추가_색인번호)-IF(AND(OR($G176="blast", $G176="curved", $G176= "debuff"), MOD($L176,1)&lt;&gt;0),INDEX(Factor!$AN$5:$AV$51, _xlfn.XMATCH(IF(OR($G176="blast", $G176="curved", $G176= "debuff"), $L176, 0), Factor!$AN$5:$AN$51, -1), 2)*MOD($L176,1)*10,0),
_xlpm.상태이상보정치, VLOOKUP(IF($G176 = "debuff", $M176, "null"), Factor!$AX$5:$BE$51, _xlpm.기본_색인번호, 0),
_xlpm.지속시간보정치, INDEX(Factor!$BG$5:$BO$51, _xlfn.XMATCH(IF(OR($G176 ="debuff", $G176 = "shot", $G176 = "pierce"), $O176, 0), Factor!$BG$5:$BG$51, -1), _xlpm.추가_색인번호)-IF(AND(OR($G176 ="debuff", $G176 = "shot", $G176 = "pierce"), MOD($O176, 1)&lt;&gt;0), 10*MOD($O176, 1)*INDEX(Factor!$BG$5:$BO$51, _xlfn.XMATCH(IF(OR($G176 ="debuff", $G176 = "shot", $G176 = "pierce"), $O176, 0), Factor!$BG$5:$BG$51, -1), 2), 0),
_xlpm.탄환개수보정치, VLOOKUP(IF(OR($G176 = "curved", $G176 = "shot"), $Q176, 1), Factor!$BQ$5:$BX$51, _xlpm.기본_색인번호, 0),
_xlpm.상태이상탄환생성위치보정치, IF($G176 = "debuff", VLOOKUP($R176, Factor!$K$18:$R$19, _xlpm.기본_색인번호, 0),1),
_xlpm.상태이상탄환형태보정치, IF($G176 = "debuff", VLOOKUP($S176, Factor!$K$24:$R$25, _xlpm.기본_색인번호, 0),1),
_xlpm.가격보정치, INDEX(Factor!$AE$5:$AL$51, _xlfn.XMATCH($F176,Factor!$AE$5:$AE$51, -1), _xlpm.기본_색인번호),
_xlpm.구경보정치, VLOOKUP($D176,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567.00000000000011</v>
      </c>
    </row>
    <row r="177" spans="1:33" ht="15.75" customHeight="1">
      <c r="A177" s="24" t="str">
        <f>"weapon_"&amp;G177&amp;"_"&amp;VLOOKUP(H177, Factor!$T$5:$AB$7, 9, 0)&amp;"_"&amp;IF(COUNTIFS($G$4:G176, G177, $H$4:H176, H177)+1&gt;=100, COUNTIFS($G$4:G176, G177, $H$4:H176, H177)+1,IF(COUNTIFS($G$4:G176, G177, $H$4:H176, H177)+1&gt;=10, "0"&amp;COUNTIFS($G$4:G176, G177, $H$4:H176, H177)+1, "00"&amp;COUNTIFS($G$4:G176, G177, $H$4:H176, H177)+1))</f>
        <v>weapon_blast_Ms_019</v>
      </c>
      <c r="B177" s="36" t="str">
        <f t="shared" si="2"/>
        <v>T7 240mm휴대용 대공 미사일 발사대</v>
      </c>
      <c r="C177" s="36" t="s">
        <v>254</v>
      </c>
      <c r="D177" s="36" t="s">
        <v>267</v>
      </c>
      <c r="E177" s="36" t="s">
        <v>192</v>
      </c>
      <c r="F177" s="25">
        <f>VLOOKUP(C177, Factor!$AD$5:$AE$15, 2, 0)</f>
        <v>7000</v>
      </c>
      <c r="G177" s="26" t="str">
        <f>VLOOKUP(E177, Factor!$CL$5:$CV$50, 2, 0)</f>
        <v>blast</v>
      </c>
      <c r="H177" s="25" t="str">
        <f>VLOOKUP(E177, Factor!$CL$5:$CV$50, 3, 0)</f>
        <v>missile</v>
      </c>
      <c r="I177" s="25" t="str">
        <f>VLOOKUP(E177, Factor!$CL$5:$CV$50, 4, 0)</f>
        <v>F</v>
      </c>
      <c r="J177" s="25" t="str">
        <f>VLOOKUP(E177, Factor!$CL$5:$CV$50, 5, 0)</f>
        <v>armored</v>
      </c>
      <c r="K177" s="25">
        <v>1</v>
      </c>
      <c r="L177" s="25">
        <f>VLOOKUP(E177, Factor!$CL$5:$CV$50, 6, 0)*K177*VLOOKUP(D177, Factor!$BZ$5:$CJ$49, 9, 0)</f>
        <v>16</v>
      </c>
      <c r="M177" s="25" t="str">
        <f>VLOOKUP(E177, Factor!$CL$5:$CV$50, 7, 0)</f>
        <v>null</v>
      </c>
      <c r="N177" s="25">
        <v>1</v>
      </c>
      <c r="O177" s="25">
        <f>VLOOKUP(E177, Factor!$CL$5:$CV$50, 8, 0)*N177*VLOOKUP(D177, Factor!$BZ$5:$CJ$49, 10, 0)</f>
        <v>0</v>
      </c>
      <c r="P177" s="25">
        <v>1</v>
      </c>
      <c r="Q177" s="25">
        <f>VLOOKUP(E177, Factor!$CL$5:$CV$50, 9, 0)*P177*VLOOKUP(D177, Factor!$BZ$5:$CJ$49, 11, 0)</f>
        <v>8</v>
      </c>
      <c r="R177" s="25" t="str">
        <f>VLOOKUP(E177, Factor!$CL$5:$CV$50, 10, 0)</f>
        <v>null</v>
      </c>
      <c r="S177" s="25" t="str">
        <f>VLOOKUP(E177, Factor!$CL$5:$CV$50, 11, 0)</f>
        <v>null</v>
      </c>
      <c r="T177" s="25">
        <v>1</v>
      </c>
      <c r="U177" s="25">
        <v>1</v>
      </c>
      <c r="V177" s="25">
        <v>1</v>
      </c>
      <c r="W177" s="25">
        <v>1</v>
      </c>
      <c r="X177" s="25">
        <v>1</v>
      </c>
      <c r="Y177" s="25">
        <v>1</v>
      </c>
      <c r="Z177" s="25">
        <v>1</v>
      </c>
      <c r="AA177" s="25" cm="1">
        <f t="array" ref="AA177">_xlfn.LET(_xlpm.기본_색인번호, 2,
_xlpm.추가_색인번호, 3,
_xlpm.개별보정치, T177,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177" s="25" cm="1">
        <f t="array" ref="AB177">_xlfn.LET(_xlpm.기본_색인번호, 3,
_xlpm.추가_색인번호, 4,
_xlpm.개별보정치, U177,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  <c r="AC177" s="25" cm="1">
        <f t="array" ref="AC177">_xlfn.LET(_xlpm.기본_색인번호, 4,
_xlpm.추가_색인번호, 5,
_xlpm.개별보정치, V177,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7" s="25" cm="1">
        <f t="array" ref="AD177">_xlfn.LET(_xlpm.기본_색인번호, 5,
_xlpm.추가_색인번호, 6,
_xlpm.개별보정치, W177,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648.00000000000011</v>
      </c>
      <c r="AE177" s="25" cm="1">
        <f t="array" ref="AE177">_xlfn.LET(_xlpm.기본_색인번호, 6,
_xlpm.추가_색인번호, 7,
_xlpm.개별보정치, X177,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648.00000000000011</v>
      </c>
      <c r="AF177" s="25" cm="1">
        <f t="array" ref="AF177">_xlfn.LET(_xlpm.기본_색인번호, 7,
_xlpm.추가_색인번호, 8,
_xlpm.개별보정치, Y177,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7" s="27" cm="1">
        <f t="array" ref="AG177">_xlfn.LET(_xlpm.기본_색인번호, 8,
_xlpm.추가_색인번호, 9,
_xlpm.개별보정치, Z177,
_xlpm.패턴보정치, VLOOKUP($G177, Factor!$B$5:$I$51, _xlpm.기본_색인번호, 0),
_xlpm.소모탄환보정치, VLOOKUP($H177, Factor!$T$5:$AA$51, _xlpm.기본_색인번호, 0),
_xlpm.지형보정치, VLOOKUP($I177, Factor!$K$12:$R$13, _xlpm.기본_색인번호, 0),
_xlpm.공격속성보정치, VLOOKUP($J177, Factor!$K$5:$R$7, _xlpm.기본_색인번호, 0),
_xlpm.피해범위보정치, INDEX(Factor!$AN$5:$AV$51, _xlfn.XMATCH(IF(OR($G177="blast", $G177="curved",  $G177= "debuff"), $L177, 0), Factor!$AN$5:$AN$51, -1), _xlpm.추가_색인번호)-IF(AND(OR($G177="blast", $G177="curved", $G177= "debuff"), MOD($L177,1)&lt;&gt;0),INDEX(Factor!$AN$5:$AV$51, _xlfn.XMATCH(IF(OR($G177="blast", $G177="curved", $G177= "debuff"), $L177, 0), Factor!$AN$5:$AN$51, -1), 2)*MOD($L177,1)*10,0),
_xlpm.상태이상보정치, VLOOKUP(IF($G177 = "debuff", $M177, "null"), Factor!$AX$5:$BE$51, _xlpm.기본_색인번호, 0),
_xlpm.지속시간보정치, INDEX(Factor!$BG$5:$BO$51, _xlfn.XMATCH(IF(OR($G177 ="debuff", $G177 = "shot", $G177 = "pierce"), $O177, 0), Factor!$BG$5:$BG$51, -1), _xlpm.추가_색인번호)-IF(AND(OR($G177 ="debuff", $G177 = "shot", $G177 = "pierce"), MOD($O177, 1)&lt;&gt;0), 10*MOD($O177, 1)*INDEX(Factor!$BG$5:$BO$51, _xlfn.XMATCH(IF(OR($G177 ="debuff", $G177 = "shot", $G177 = "pierce"), $O177, 0), Factor!$BG$5:$BG$51, -1), 2), 0),
_xlpm.탄환개수보정치, VLOOKUP(IF(OR($G177 = "curved", $G177 = "shot"), $Q177, 1), Factor!$BQ$5:$BX$51, _xlpm.기본_색인번호, 0),
_xlpm.상태이상탄환생성위치보정치, IF($G177 = "debuff", VLOOKUP($R177, Factor!$K$18:$R$19, _xlpm.기본_색인번호, 0),1),
_xlpm.상태이상탄환형태보정치, IF($G177 = "debuff", VLOOKUP($S177, Factor!$K$24:$R$25, _xlpm.기본_색인번호, 0),1),
_xlpm.가격보정치, INDEX(Factor!$AE$5:$AL$51, _xlfn.XMATCH($F177,Factor!$AE$5:$AE$51, -1), _xlpm.기본_색인번호),
_xlpm.구경보정치, VLOOKUP($D177,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648.00000000000011</v>
      </c>
    </row>
    <row r="178" spans="1:33" ht="15.75" customHeight="1">
      <c r="A178" s="28" t="str">
        <f>"weapon_"&amp;G178&amp;"_"&amp;VLOOKUP(H178, Factor!$T$5:$AB$7, 9, 0)&amp;"_"&amp;IF(COUNTIFS($G$4:G177, G178, $H$4:H177, H178)+1&gt;=100, COUNTIFS($G$4:G177, G178, $H$4:H177, H178)+1,IF(COUNTIFS($G$4:G177, G178, $H$4:H177, H178)+1&gt;=10, "0"&amp;COUNTIFS($G$4:G177, G178, $H$4:H177, H178)+1, "00"&amp;COUNTIFS($G$4:G177, G178, $H$4:H177, H178)+1))</f>
        <v>weapon_blast_Ms_020</v>
      </c>
      <c r="B178" s="37" t="str">
        <f t="shared" si="2"/>
        <v>T8 240mm휴대용 대공 미사일 발사대</v>
      </c>
      <c r="C178" s="37" t="s">
        <v>255</v>
      </c>
      <c r="D178" s="37" t="s">
        <v>267</v>
      </c>
      <c r="E178" s="37" t="s">
        <v>192</v>
      </c>
      <c r="F178" s="29">
        <f>VLOOKUP(C178, Factor!$AD$5:$AE$15, 2, 0)</f>
        <v>8000</v>
      </c>
      <c r="G178" s="29" t="str">
        <f>VLOOKUP(E178, Factor!$CL$5:$CV$50, 2, 0)</f>
        <v>blast</v>
      </c>
      <c r="H178" s="29" t="str">
        <f>VLOOKUP(E178, Factor!$CL$5:$CV$50, 3, 0)</f>
        <v>missile</v>
      </c>
      <c r="I178" s="29" t="str">
        <f>VLOOKUP(E178, Factor!$CL$5:$CV$50, 4, 0)</f>
        <v>F</v>
      </c>
      <c r="J178" s="29" t="str">
        <f>VLOOKUP(E178, Factor!$CL$5:$CV$50, 5, 0)</f>
        <v>armored</v>
      </c>
      <c r="K178" s="29">
        <v>1</v>
      </c>
      <c r="L178" s="29">
        <f>VLOOKUP(E178, Factor!$CL$5:$CV$50, 6, 0)*K178*VLOOKUP(D178, Factor!$BZ$5:$CJ$49, 9, 0)</f>
        <v>16</v>
      </c>
      <c r="M178" s="29" t="str">
        <f>VLOOKUP(E178, Factor!$CL$5:$CV$50, 7, 0)</f>
        <v>null</v>
      </c>
      <c r="N178" s="29">
        <v>1</v>
      </c>
      <c r="O178" s="29">
        <f>VLOOKUP(E178, Factor!$CL$5:$CV$50, 8, 0)*N178*VLOOKUP(D178, Factor!$BZ$5:$CJ$49, 10, 0)</f>
        <v>0</v>
      </c>
      <c r="P178" s="29">
        <v>1</v>
      </c>
      <c r="Q178" s="29">
        <f>VLOOKUP(E178, Factor!$CL$5:$CV$50, 9, 0)*P178*VLOOKUP(D178, Factor!$BZ$5:$CJ$49, 11, 0)</f>
        <v>8</v>
      </c>
      <c r="R178" s="29" t="str">
        <f>VLOOKUP(E178, Factor!$CL$5:$CV$50, 10, 0)</f>
        <v>null</v>
      </c>
      <c r="S178" s="29" t="str">
        <f>VLOOKUP(E178, Factor!$CL$5:$CV$50, 11, 0)</f>
        <v>null</v>
      </c>
      <c r="T178" s="29">
        <v>1</v>
      </c>
      <c r="U178" s="29">
        <v>1</v>
      </c>
      <c r="V178" s="29">
        <v>1</v>
      </c>
      <c r="W178" s="29">
        <v>1</v>
      </c>
      <c r="X178" s="29">
        <v>1</v>
      </c>
      <c r="Y178" s="29">
        <v>1</v>
      </c>
      <c r="Z178" s="29">
        <v>1</v>
      </c>
      <c r="AA178" s="29" cm="1">
        <f t="array" ref="AA178">_xlfn.LET(_xlpm.기본_색인번호, 2,
_xlpm.추가_색인번호, 3,
_xlpm.개별보정치, T178,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8100</v>
      </c>
      <c r="AB178" s="29" cm="1">
        <f t="array" ref="AB178">_xlfn.LET(_xlpm.기본_색인번호, 3,
_xlpm.추가_색인번호, 4,
_xlpm.개별보정치, U178,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486.00000000000011</v>
      </c>
      <c r="AC178" s="29" cm="1">
        <f t="array" ref="AC178">_xlfn.LET(_xlpm.기본_색인번호, 4,
_xlpm.추가_색인번호, 5,
_xlpm.개별보정치, V178,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8" s="29" cm="1">
        <f t="array" ref="AD178">_xlfn.LET(_xlpm.기본_색인번호, 5,
_xlpm.추가_색인번호, 6,
_xlpm.개별보정치, W178,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729.00000000000011</v>
      </c>
      <c r="AE178" s="29" cm="1">
        <f t="array" ref="AE178">_xlfn.LET(_xlpm.기본_색인번호, 6,
_xlpm.추가_색인번호, 7,
_xlpm.개별보정치, X178,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729.00000000000011</v>
      </c>
      <c r="AF178" s="29" cm="1">
        <f t="array" ref="AF178">_xlfn.LET(_xlpm.기본_색인번호, 7,
_xlpm.추가_색인번호, 8,
_xlpm.개별보정치, Y178,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8" s="30" cm="1">
        <f t="array" ref="AG178">_xlfn.LET(_xlpm.기본_색인번호, 8,
_xlpm.추가_색인번호, 9,
_xlpm.개별보정치, Z178,
_xlpm.패턴보정치, VLOOKUP($G178, Factor!$B$5:$I$51, _xlpm.기본_색인번호, 0),
_xlpm.소모탄환보정치, VLOOKUP($H178, Factor!$T$5:$AA$51, _xlpm.기본_색인번호, 0),
_xlpm.지형보정치, VLOOKUP($I178, Factor!$K$12:$R$13, _xlpm.기본_색인번호, 0),
_xlpm.공격속성보정치, VLOOKUP($J178, Factor!$K$5:$R$7, _xlpm.기본_색인번호, 0),
_xlpm.피해범위보정치, INDEX(Factor!$AN$5:$AV$51, _xlfn.XMATCH(IF(OR($G178="blast", $G178="curved",  $G178= "debuff"), $L178, 0), Factor!$AN$5:$AN$51, -1), _xlpm.추가_색인번호)-IF(AND(OR($G178="blast", $G178="curved", $G178= "debuff"), MOD($L178,1)&lt;&gt;0),INDEX(Factor!$AN$5:$AV$51, _xlfn.XMATCH(IF(OR($G178="blast", $G178="curved", $G178= "debuff"), $L178, 0), Factor!$AN$5:$AN$51, -1), 2)*MOD($L178,1)*10,0),
_xlpm.상태이상보정치, VLOOKUP(IF($G178 = "debuff", $M178, "null"), Factor!$AX$5:$BE$51, _xlpm.기본_색인번호, 0),
_xlpm.지속시간보정치, INDEX(Factor!$BG$5:$BO$51, _xlfn.XMATCH(IF(OR($G178 ="debuff", $G178 = "shot", $G178 = "pierce"), $O178, 0), Factor!$BG$5:$BG$51, -1), _xlpm.추가_색인번호)-IF(AND(OR($G178 ="debuff", $G178 = "shot", $G178 = "pierce"), MOD($O178, 1)&lt;&gt;0), 10*MOD($O178, 1)*INDEX(Factor!$BG$5:$BO$51, _xlfn.XMATCH(IF(OR($G178 ="debuff", $G178 = "shot", $G178 = "pierce"), $O178, 0), Factor!$BG$5:$BG$51, -1), 2), 0),
_xlpm.탄환개수보정치, VLOOKUP(IF(OR($G178 = "curved", $G178 = "shot"), $Q178, 1), Factor!$BQ$5:$BX$51, _xlpm.기본_색인번호, 0),
_xlpm.상태이상탄환생성위치보정치, IF($G178 = "debuff", VLOOKUP($R178, Factor!$K$18:$R$19, _xlpm.기본_색인번호, 0),1),
_xlpm.상태이상탄환형태보정치, IF($G178 = "debuff", VLOOKUP($S178, Factor!$K$24:$R$25, _xlpm.기본_색인번호, 0),1),
_xlpm.가격보정치, INDEX(Factor!$AE$5:$AL$51, _xlfn.XMATCH($F178,Factor!$AE$5:$AE$51, -1), _xlpm.기본_색인번호),
_xlpm.구경보정치, VLOOKUP($D178,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729.00000000000011</v>
      </c>
    </row>
    <row r="179" spans="1:33" ht="15.75" customHeight="1">
      <c r="A179" s="24" t="str">
        <f>"weapon_"&amp;G179&amp;"_"&amp;VLOOKUP(H179, Factor!$T$5:$AB$7, 9, 0)&amp;"_"&amp;IF(COUNTIFS($G$4:G178, G179, $H$4:H178, H179)+1&gt;=100, COUNTIFS($G$4:G178, G179, $H$4:H178, H179)+1,IF(COUNTIFS($G$4:G178, G179, $H$4:H178, H179)+1&gt;=10, "0"&amp;COUNTIFS($G$4:G178, G179, $H$4:H178, H179)+1, "00"&amp;COUNTIFS($G$4:G178, G179, $H$4:H178, H179)+1))</f>
        <v>weapon_blast_Ms_021</v>
      </c>
      <c r="B179" s="36" t="str">
        <f t="shared" si="2"/>
        <v>T9 240mm휴대용 대공 미사일 발사대</v>
      </c>
      <c r="C179" s="36" t="s">
        <v>256</v>
      </c>
      <c r="D179" s="36" t="s">
        <v>267</v>
      </c>
      <c r="E179" s="36" t="s">
        <v>192</v>
      </c>
      <c r="F179" s="25">
        <f>VLOOKUP(C179, Factor!$AD$5:$AE$15, 2, 0)</f>
        <v>9000</v>
      </c>
      <c r="G179" s="26" t="str">
        <f>VLOOKUP(E179, Factor!$CL$5:$CV$50, 2, 0)</f>
        <v>blast</v>
      </c>
      <c r="H179" s="25" t="str">
        <f>VLOOKUP(E179, Factor!$CL$5:$CV$50, 3, 0)</f>
        <v>missile</v>
      </c>
      <c r="I179" s="25" t="str">
        <f>VLOOKUP(E179, Factor!$CL$5:$CV$50, 4, 0)</f>
        <v>F</v>
      </c>
      <c r="J179" s="25" t="str">
        <f>VLOOKUP(E179, Factor!$CL$5:$CV$50, 5, 0)</f>
        <v>armored</v>
      </c>
      <c r="K179" s="25">
        <v>1</v>
      </c>
      <c r="L179" s="25">
        <f>VLOOKUP(E179, Factor!$CL$5:$CV$50, 6, 0)*K179*VLOOKUP(D179, Factor!$BZ$5:$CJ$49, 9, 0)</f>
        <v>16</v>
      </c>
      <c r="M179" s="25" t="str">
        <f>VLOOKUP(E179, Factor!$CL$5:$CV$50, 7, 0)</f>
        <v>null</v>
      </c>
      <c r="N179" s="25">
        <v>1</v>
      </c>
      <c r="O179" s="25">
        <f>VLOOKUP(E179, Factor!$CL$5:$CV$50, 8, 0)*N179*VLOOKUP(D179, Factor!$BZ$5:$CJ$49, 10, 0)</f>
        <v>0</v>
      </c>
      <c r="P179" s="25">
        <v>1</v>
      </c>
      <c r="Q179" s="25">
        <f>VLOOKUP(E179, Factor!$CL$5:$CV$50, 9, 0)*P179*VLOOKUP(D179, Factor!$BZ$5:$CJ$49, 11, 0)</f>
        <v>8</v>
      </c>
      <c r="R179" s="25" t="str">
        <f>VLOOKUP(E179, Factor!$CL$5:$CV$50, 10, 0)</f>
        <v>null</v>
      </c>
      <c r="S179" s="25" t="str">
        <f>VLOOKUP(E179, Factor!$CL$5:$CV$50, 11, 0)</f>
        <v>null</v>
      </c>
      <c r="T179" s="25">
        <v>1</v>
      </c>
      <c r="U179" s="25">
        <v>1</v>
      </c>
      <c r="V179" s="25">
        <v>1</v>
      </c>
      <c r="W179" s="25">
        <v>1</v>
      </c>
      <c r="X179" s="25">
        <v>1</v>
      </c>
      <c r="Y179" s="25">
        <v>1</v>
      </c>
      <c r="Z179" s="25">
        <v>1</v>
      </c>
      <c r="AA179" s="25" cm="1">
        <f t="array" ref="AA179">_xlfn.LET(_xlpm.기본_색인번호, 2,
_xlpm.추가_색인번호, 3,
_xlpm.개별보정치, T179,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9000</v>
      </c>
      <c r="AB179" s="25" cm="1">
        <f t="array" ref="AB179">_xlfn.LET(_xlpm.기본_색인번호, 3,
_xlpm.추가_색인번호, 4,
_xlpm.개별보정치, U179,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567.00000000000011</v>
      </c>
      <c r="AC179" s="25" cm="1">
        <f t="array" ref="AC179">_xlfn.LET(_xlpm.기본_색인번호, 4,
_xlpm.추가_색인번호, 5,
_xlpm.개별보정치, V179,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79" s="25" cm="1">
        <f t="array" ref="AD179">_xlfn.LET(_xlpm.기본_색인번호, 5,
_xlpm.추가_색인번호, 6,
_xlpm.개별보정치, W179,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810.00000000000011</v>
      </c>
      <c r="AE179" s="25" cm="1">
        <f t="array" ref="AE179">_xlfn.LET(_xlpm.기본_색인번호, 6,
_xlpm.추가_색인번호, 7,
_xlpm.개별보정치, X179,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810.00000000000011</v>
      </c>
      <c r="AF179" s="25" cm="1">
        <f t="array" ref="AF179">_xlfn.LET(_xlpm.기본_색인번호, 7,
_xlpm.추가_색인번호, 8,
_xlpm.개별보정치, Y179,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79" s="27" cm="1">
        <f t="array" ref="AG179">_xlfn.LET(_xlpm.기본_색인번호, 8,
_xlpm.추가_색인번호, 9,
_xlpm.개별보정치, Z179,
_xlpm.패턴보정치, VLOOKUP($G179, Factor!$B$5:$I$51, _xlpm.기본_색인번호, 0),
_xlpm.소모탄환보정치, VLOOKUP($H179, Factor!$T$5:$AA$51, _xlpm.기본_색인번호, 0),
_xlpm.지형보정치, VLOOKUP($I179, Factor!$K$12:$R$13, _xlpm.기본_색인번호, 0),
_xlpm.공격속성보정치, VLOOKUP($J179, Factor!$K$5:$R$7, _xlpm.기본_색인번호, 0),
_xlpm.피해범위보정치, INDEX(Factor!$AN$5:$AV$51, _xlfn.XMATCH(IF(OR($G179="blast", $G179="curved",  $G179= "debuff"), $L179, 0), Factor!$AN$5:$AN$51, -1), _xlpm.추가_색인번호)-IF(AND(OR($G179="blast", $G179="curved", $G179= "debuff"), MOD($L179,1)&lt;&gt;0),INDEX(Factor!$AN$5:$AV$51, _xlfn.XMATCH(IF(OR($G179="blast", $G179="curved", $G179= "debuff"), $L179, 0), Factor!$AN$5:$AN$51, -1), 2)*MOD($L179,1)*10,0),
_xlpm.상태이상보정치, VLOOKUP(IF($G179 = "debuff", $M179, "null"), Factor!$AX$5:$BE$51, _xlpm.기본_색인번호, 0),
_xlpm.지속시간보정치, INDEX(Factor!$BG$5:$BO$51, _xlfn.XMATCH(IF(OR($G179 ="debuff", $G179 = "shot", $G179 = "pierce"), $O179, 0), Factor!$BG$5:$BG$51, -1), _xlpm.추가_색인번호)-IF(AND(OR($G179 ="debuff", $G179 = "shot", $G179 = "pierce"), MOD($O179, 1)&lt;&gt;0), 10*MOD($O179, 1)*INDEX(Factor!$BG$5:$BO$51, _xlfn.XMATCH(IF(OR($G179 ="debuff", $G179 = "shot", $G179 = "pierce"), $O179, 0), Factor!$BG$5:$BG$51, -1), 2), 0),
_xlpm.탄환개수보정치, VLOOKUP(IF(OR($G179 = "curved", $G179 = "shot"), $Q179, 1), Factor!$BQ$5:$BX$51, _xlpm.기본_색인번호, 0),
_xlpm.상태이상탄환생성위치보정치, IF($G179 = "debuff", VLOOKUP($R179, Factor!$K$18:$R$19, _xlpm.기본_색인번호, 0),1),
_xlpm.상태이상탄환형태보정치, IF($G179 = "debuff", VLOOKUP($S179, Factor!$K$24:$R$25, _xlpm.기본_색인번호, 0),1),
_xlpm.가격보정치, INDEX(Factor!$AE$5:$AL$51, _xlfn.XMATCH($F179,Factor!$AE$5:$AE$51, -1), _xlpm.기본_색인번호),
_xlpm.구경보정치, VLOOKUP($D179,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810.00000000000011</v>
      </c>
    </row>
    <row r="180" spans="1:33" ht="15.75" customHeight="1">
      <c r="A180" s="28" t="str">
        <f>"weapon_"&amp;G180&amp;"_"&amp;VLOOKUP(H180, Factor!$T$5:$AB$7, 9, 0)&amp;"_"&amp;IF(COUNTIFS($G$4:G179, G180, $H$4:H179, H180)+1&gt;=100, COUNTIFS($G$4:G179, G180, $H$4:H179, H180)+1,IF(COUNTIFS($G$4:G179, G180, $H$4:H179, H180)+1&gt;=10, "0"&amp;COUNTIFS($G$4:G179, G180, $H$4:H179, H180)+1, "00"&amp;COUNTIFS($G$4:G179, G180, $H$4:H179, H180)+1))</f>
        <v>weapon_blast_Ms_022</v>
      </c>
      <c r="B180" s="37" t="str">
        <f t="shared" si="2"/>
        <v>T10 240mm휴대용 대공 미사일 발사대</v>
      </c>
      <c r="C180" s="37" t="s">
        <v>268</v>
      </c>
      <c r="D180" s="37" t="s">
        <v>267</v>
      </c>
      <c r="E180" s="37" t="s">
        <v>192</v>
      </c>
      <c r="F180" s="29">
        <f>VLOOKUP(C180, Factor!$AD$5:$AE$15, 2, 0)</f>
        <v>10000</v>
      </c>
      <c r="G180" s="29" t="str">
        <f>VLOOKUP(E180, Factor!$CL$5:$CV$50, 2, 0)</f>
        <v>blast</v>
      </c>
      <c r="H180" s="29" t="str">
        <f>VLOOKUP(E180, Factor!$CL$5:$CV$50, 3, 0)</f>
        <v>missile</v>
      </c>
      <c r="I180" s="29" t="str">
        <f>VLOOKUP(E180, Factor!$CL$5:$CV$50, 4, 0)</f>
        <v>F</v>
      </c>
      <c r="J180" s="29" t="str">
        <f>VLOOKUP(E180, Factor!$CL$5:$CV$50, 5, 0)</f>
        <v>armored</v>
      </c>
      <c r="K180" s="29">
        <v>1</v>
      </c>
      <c r="L180" s="29">
        <f>VLOOKUP(E180, Factor!$CL$5:$CV$50, 6, 0)*K180*VLOOKUP(D180, Factor!$BZ$5:$CJ$49, 9, 0)</f>
        <v>16</v>
      </c>
      <c r="M180" s="29" t="str">
        <f>VLOOKUP(E180, Factor!$CL$5:$CV$50, 7, 0)</f>
        <v>null</v>
      </c>
      <c r="N180" s="29">
        <v>1</v>
      </c>
      <c r="O180" s="29">
        <f>VLOOKUP(E180, Factor!$CL$5:$CV$50, 8, 0)*N180*VLOOKUP(D180, Factor!$BZ$5:$CJ$49, 10, 0)</f>
        <v>0</v>
      </c>
      <c r="P180" s="29">
        <v>1</v>
      </c>
      <c r="Q180" s="29">
        <f>VLOOKUP(E180, Factor!$CL$5:$CV$50, 9, 0)*P180*VLOOKUP(D180, Factor!$BZ$5:$CJ$49, 11, 0)</f>
        <v>8</v>
      </c>
      <c r="R180" s="29" t="str">
        <f>VLOOKUP(E180, Factor!$CL$5:$CV$50, 10, 0)</f>
        <v>null</v>
      </c>
      <c r="S180" s="29" t="str">
        <f>VLOOKUP(E180, Factor!$CL$5:$CV$50, 11, 0)</f>
        <v>null</v>
      </c>
      <c r="T180" s="29">
        <v>1</v>
      </c>
      <c r="U180" s="29">
        <v>1</v>
      </c>
      <c r="V180" s="29">
        <v>1</v>
      </c>
      <c r="W180" s="29">
        <v>1</v>
      </c>
      <c r="X180" s="29">
        <v>1</v>
      </c>
      <c r="Y180" s="29">
        <v>1</v>
      </c>
      <c r="Z180" s="29">
        <v>1</v>
      </c>
      <c r="AA180" s="29" cm="1">
        <f t="array" ref="AA180">_xlfn.LET(_xlpm.기본_색인번호, 2,
_xlpm.추가_색인번호, 3,
_xlpm.개별보정치, T180,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9900</v>
      </c>
      <c r="AB180" s="29" cm="1">
        <f t="array" ref="AB180">_xlfn.LET(_xlpm.기본_색인번호, 3,
_xlpm.추가_색인번호, 4,
_xlpm.개별보정치, U180,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567.00000000000011</v>
      </c>
      <c r="AC180" s="29" cm="1">
        <f t="array" ref="AC180">_xlfn.LET(_xlpm.기본_색인번호, 4,
_xlpm.추가_색인번호, 5,
_xlpm.개별보정치, V180,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81.000000000000014</v>
      </c>
      <c r="AD180" s="29" cm="1">
        <f t="array" ref="AD180">_xlfn.LET(_xlpm.기본_색인번호, 5,
_xlpm.추가_색인번호, 6,
_xlpm.개별보정치, W180,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891.00000000000011</v>
      </c>
      <c r="AE180" s="29" cm="1">
        <f t="array" ref="AE180">_xlfn.LET(_xlpm.기본_색인번호, 6,
_xlpm.추가_색인번호, 7,
_xlpm.개별보정치, X180,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891.00000000000011</v>
      </c>
      <c r="AF180" s="29" cm="1">
        <f t="array" ref="AF180">_xlfn.LET(_xlpm.기본_색인번호, 7,
_xlpm.추가_색인번호, 8,
_xlpm.개별보정치, Y180,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9720.0000000000018</v>
      </c>
      <c r="AG180" s="30" cm="1">
        <f t="array" ref="AG180">_xlfn.LET(_xlpm.기본_색인번호, 8,
_xlpm.추가_색인번호, 9,
_xlpm.개별보정치, Z180,
_xlpm.패턴보정치, VLOOKUP($G180, Factor!$B$5:$I$51, _xlpm.기본_색인번호, 0),
_xlpm.소모탄환보정치, VLOOKUP($H180, Factor!$T$5:$AA$51, _xlpm.기본_색인번호, 0),
_xlpm.지형보정치, VLOOKUP($I180, Factor!$K$12:$R$13, _xlpm.기본_색인번호, 0),
_xlpm.공격속성보정치, VLOOKUP($J180, Factor!$K$5:$R$7, _xlpm.기본_색인번호, 0),
_xlpm.피해범위보정치, INDEX(Factor!$AN$5:$AV$51, _xlfn.XMATCH(IF(OR($G180="blast", $G180="curved",  $G180= "debuff"), $L180, 0), Factor!$AN$5:$AN$51, -1), _xlpm.추가_색인번호)-IF(AND(OR($G180="blast", $G180="curved", $G180= "debuff"), MOD($L180,1)&lt;&gt;0),INDEX(Factor!$AN$5:$AV$51, _xlfn.XMATCH(IF(OR($G180="blast", $G180="curved", $G180= "debuff"), $L180, 0), Factor!$AN$5:$AN$51, -1), 2)*MOD($L180,1)*10,0),
_xlpm.상태이상보정치, VLOOKUP(IF($G180 = "debuff", $M180, "null"), Factor!$AX$5:$BE$51, _xlpm.기본_색인번호, 0),
_xlpm.지속시간보정치, INDEX(Factor!$BG$5:$BO$51, _xlfn.XMATCH(IF(OR($G180 ="debuff", $G180 = "shot", $G180 = "pierce"), $O180, 0), Factor!$BG$5:$BG$51, -1), _xlpm.추가_색인번호)-IF(AND(OR($G180 ="debuff", $G180 = "shot", $G180 = "pierce"), MOD($O180, 1)&lt;&gt;0), 10*MOD($O180, 1)*INDEX(Factor!$BG$5:$BO$51, _xlfn.XMATCH(IF(OR($G180 ="debuff", $G180 = "shot", $G180 = "pierce"), $O180, 0), Factor!$BG$5:$BG$51, -1), 2), 0),
_xlpm.탄환개수보정치, VLOOKUP(IF(OR($G180 = "curved", $G180 = "shot"), $Q180, 1), Factor!$BQ$5:$BX$51, _xlpm.기본_색인번호, 0),
_xlpm.상태이상탄환생성위치보정치, IF($G180 = "debuff", VLOOKUP($R180, Factor!$K$18:$R$19, _xlpm.기본_색인번호, 0),1),
_xlpm.상태이상탄환형태보정치, IF($G180 = "debuff", VLOOKUP($S180, Factor!$K$24:$R$25, _xlpm.기본_색인번호, 0),1),
_xlpm.가격보정치, INDEX(Factor!$AE$5:$AL$51, _xlfn.XMATCH($F180,Factor!$AE$5:$AE$51, -1), _xlpm.기본_색인번호),
_xlpm.구경보정치, VLOOKUP($D180,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891.00000000000011</v>
      </c>
    </row>
    <row r="181" spans="1:33" ht="15.75" customHeight="1">
      <c r="A181" s="24" t="str">
        <f>"weapon_"&amp;G181&amp;"_"&amp;VLOOKUP(H181, Factor!$T$5:$AB$7, 9, 0)&amp;"_"&amp;IF(COUNTIFS($G$4:G180, G181, $H$4:H180, H181)+1&gt;=100, COUNTIFS($G$4:G180, G181, $H$4:H180, H181)+1,IF(COUNTIFS($G$4:G180, G181, $H$4:H180, H181)+1&gt;=10, "0"&amp;COUNTIFS($G$4:G180, G181, $H$4:H180, H181)+1, "00"&amp;COUNTIFS($G$4:G180, G181, $H$4:H180, H181)+1))</f>
        <v>weapon_shot_Am_001</v>
      </c>
      <c r="B181" s="36" t="str">
        <f t="shared" si="2"/>
        <v>녹슨 5.56mm쌍열 기관포</v>
      </c>
      <c r="C181" s="36" t="s">
        <v>240</v>
      </c>
      <c r="D181" s="36" t="s">
        <v>241</v>
      </c>
      <c r="E181" s="36" t="s">
        <v>194</v>
      </c>
      <c r="F181" s="25">
        <f>VLOOKUP(C181, Factor!$AD$5:$AE$15, 2, 0)</f>
        <v>0</v>
      </c>
      <c r="G181" s="26" t="str">
        <f>VLOOKUP(E181, Factor!$CL$5:$CV$50, 2, 0)</f>
        <v>shot</v>
      </c>
      <c r="H181" s="25" t="str">
        <f>VLOOKUP(E181, Factor!$CL$5:$CV$50, 3, 0)</f>
        <v>ammo</v>
      </c>
      <c r="I181" s="25" t="str">
        <f>VLOOKUP(E181, Factor!$CL$5:$CV$50, 4, 0)</f>
        <v>L</v>
      </c>
      <c r="J181" s="25" t="str">
        <f>VLOOKUP(E181, Factor!$CL$5:$CV$50, 5, 0)</f>
        <v>spread</v>
      </c>
      <c r="K181" s="25">
        <v>1</v>
      </c>
      <c r="L181" s="25">
        <f>VLOOKUP(E181, Factor!$CL$5:$CV$50, 6, 0)*K181*VLOOKUP(D181, Factor!$BZ$5:$CJ$49, 9, 0)</f>
        <v>0</v>
      </c>
      <c r="M181" s="25" t="str">
        <f>VLOOKUP(E181, Factor!$CL$5:$CV$50, 7, 0)</f>
        <v>null</v>
      </c>
      <c r="N181" s="25">
        <v>1</v>
      </c>
      <c r="O181" s="25">
        <f>VLOOKUP(E181, Factor!$CL$5:$CV$50, 8, 0)*N181*VLOOKUP(D181, Factor!$BZ$5:$CJ$49, 10, 0)</f>
        <v>6</v>
      </c>
      <c r="P181" s="25">
        <v>1</v>
      </c>
      <c r="Q181" s="25">
        <f>VLOOKUP(E181, Factor!$CL$5:$CV$50, 9, 0)*P181*VLOOKUP(D181, Factor!$BZ$5:$CJ$49, 11, 0)</f>
        <v>2</v>
      </c>
      <c r="R181" s="25" t="str">
        <f>VLOOKUP(E181, Factor!$CL$5:$CV$50, 10, 0)</f>
        <v>null</v>
      </c>
      <c r="S181" s="25" t="str">
        <f>VLOOKUP(E181, Factor!$CL$5:$CV$50, 11, 0)</f>
        <v>null</v>
      </c>
      <c r="T181" s="25">
        <v>1</v>
      </c>
      <c r="U181" s="25">
        <v>1</v>
      </c>
      <c r="V181" s="25">
        <v>1</v>
      </c>
      <c r="W181" s="25">
        <v>1</v>
      </c>
      <c r="X181" s="25">
        <v>1</v>
      </c>
      <c r="Y181" s="25">
        <v>1</v>
      </c>
      <c r="Z181" s="25">
        <v>1</v>
      </c>
      <c r="AA181" s="25" cm="1">
        <f t="array" ref="AA181">_xlfn.LET(_xlpm.기본_색인번호, 2,
_xlpm.추가_색인번호, 3,
_xlpm.개별보정치, T181,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B181" s="25" cm="1">
        <f t="array" ref="AB181">_xlfn.LET(_xlpm.기본_색인번호, 3,
_xlpm.추가_색인번호, 4,
_xlpm.개별보정치, U181,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C181" s="25" cm="1">
        <f t="array" ref="AC181">_xlfn.LET(_xlpm.기본_색인번호, 4,
_xlpm.추가_색인번호, 5,
_xlpm.개별보정치, V181,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181" s="25" cm="1">
        <f t="array" ref="AD181">_xlfn.LET(_xlpm.기본_색인번호, 5,
_xlpm.추가_색인번호, 6,
_xlpm.개별보정치, W181,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E181" s="25" cm="1">
        <f t="array" ref="AE181">_xlfn.LET(_xlpm.기본_색인번호, 6,
_xlpm.추가_색인번호, 7,
_xlpm.개별보정치, X181,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F181" s="25" cm="1">
        <f t="array" ref="AF181">_xlfn.LET(_xlpm.기본_색인번호, 7,
_xlpm.추가_색인번호, 8,
_xlpm.개별보정치, Y181,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181" s="27" cm="1">
        <f t="array" ref="AG181">_xlfn.LET(_xlpm.기본_색인번호, 8,
_xlpm.추가_색인번호, 9,
_xlpm.개별보정치, Z181,
_xlpm.패턴보정치, VLOOKUP($G181, Factor!$B$5:$I$51, _xlpm.기본_색인번호, 0),
_xlpm.소모탄환보정치, VLOOKUP($H181, Factor!$T$5:$AA$51, _xlpm.기본_색인번호, 0),
_xlpm.지형보정치, VLOOKUP($I181, Factor!$K$12:$R$13, _xlpm.기본_색인번호, 0),
_xlpm.공격속성보정치, VLOOKUP($J181, Factor!$K$5:$R$7, _xlpm.기본_색인번호, 0),
_xlpm.피해범위보정치, INDEX(Factor!$AN$5:$AV$51, _xlfn.XMATCH(IF(OR($G181="blast", $G181="curved",  $G181= "debuff"), $L181, 0), Factor!$AN$5:$AN$51, -1), _xlpm.추가_색인번호)-IF(AND(OR($G181="blast", $G181="curved", $G181= "debuff"), MOD($L181,1)&lt;&gt;0),INDEX(Factor!$AN$5:$AV$51, _xlfn.XMATCH(IF(OR($G181="blast", $G181="curved", $G181= "debuff"), $L181, 0), Factor!$AN$5:$AN$51, -1), 2)*MOD($L181,1)*10,0),
_xlpm.상태이상보정치, VLOOKUP(IF($G181 = "debuff", $M181, "null"), Factor!$AX$5:$BE$51, _xlpm.기본_색인번호, 0),
_xlpm.지속시간보정치, INDEX(Factor!$BG$5:$BO$51, _xlfn.XMATCH(IF(OR($G181 ="debuff", $G181 = "shot", $G181 = "pierce"), $O181, 0), Factor!$BG$5:$BG$51, -1), _xlpm.추가_색인번호)-IF(AND(OR($G181 ="debuff", $G181 = "shot", $G181 = "pierce"), MOD($O181, 1)&lt;&gt;0), 10*MOD($O181, 1)*INDEX(Factor!$BG$5:$BO$51, _xlfn.XMATCH(IF(OR($G181 ="debuff", $G181 = "shot", $G181 = "pierce"), $O181, 0), Factor!$BG$5:$BG$51, -1), 2), 0),
_xlpm.탄환개수보정치, VLOOKUP(IF(OR($G181 = "curved", $G181 = "shot"), $Q181, 1), Factor!$BQ$5:$BX$51, _xlpm.기본_색인번호, 0),
_xlpm.상태이상탄환생성위치보정치, IF($G181 = "debuff", VLOOKUP($R181, Factor!$K$18:$R$19, _xlpm.기본_색인번호, 0),1),
_xlpm.상태이상탄환형태보정치, IF($G181 = "debuff", VLOOKUP($S181, Factor!$K$24:$R$25, _xlpm.기본_색인번호, 0),1),
_xlpm.가격보정치, INDEX(Factor!$AE$5:$AL$51, _xlfn.XMATCH($F181,Factor!$AE$5:$AE$51, -1), _xlpm.기본_색인번호),
_xlpm.구경보정치, VLOOKUP($D181,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</row>
    <row r="182" spans="1:33" ht="15.75" customHeight="1">
      <c r="A182" s="28" t="str">
        <f>"weapon_"&amp;G182&amp;"_"&amp;VLOOKUP(H182, Factor!$T$5:$AB$7, 9, 0)&amp;"_"&amp;IF(COUNTIFS($G$4:G181, G182, $H$4:H181, H182)+1&gt;=100, COUNTIFS($G$4:G181, G182, $H$4:H181, H182)+1,IF(COUNTIFS($G$4:G181, G182, $H$4:H181, H182)+1&gt;=10, "0"&amp;COUNTIFS($G$4:G181, G182, $H$4:H181, H182)+1, "00"&amp;COUNTIFS($G$4:G181, G182, $H$4:H181, H182)+1))</f>
        <v>weapon_shot_Am_002</v>
      </c>
      <c r="B182" s="37" t="str">
        <f t="shared" si="2"/>
        <v>녹슨 7.62mm쌍열 기관포</v>
      </c>
      <c r="C182" s="37" t="s">
        <v>240</v>
      </c>
      <c r="D182" s="37" t="s">
        <v>242</v>
      </c>
      <c r="E182" s="37" t="s">
        <v>194</v>
      </c>
      <c r="F182" s="29">
        <f>VLOOKUP(C182, Factor!$AD$5:$AE$15, 2, 0)</f>
        <v>0</v>
      </c>
      <c r="G182" s="29" t="str">
        <f>VLOOKUP(E182, Factor!$CL$5:$CV$50, 2, 0)</f>
        <v>shot</v>
      </c>
      <c r="H182" s="29" t="str">
        <f>VLOOKUP(E182, Factor!$CL$5:$CV$50, 3, 0)</f>
        <v>ammo</v>
      </c>
      <c r="I182" s="29" t="str">
        <f>VLOOKUP(E182, Factor!$CL$5:$CV$50, 4, 0)</f>
        <v>L</v>
      </c>
      <c r="J182" s="29" t="str">
        <f>VLOOKUP(E182, Factor!$CL$5:$CV$50, 5, 0)</f>
        <v>spread</v>
      </c>
      <c r="K182" s="29">
        <v>1</v>
      </c>
      <c r="L182" s="29">
        <f>VLOOKUP(E182, Factor!$CL$5:$CV$50, 6, 0)*K182*VLOOKUP(D182, Factor!$BZ$5:$CJ$49, 9, 0)</f>
        <v>0</v>
      </c>
      <c r="M182" s="29" t="str">
        <f>VLOOKUP(E182, Factor!$CL$5:$CV$50, 7, 0)</f>
        <v>null</v>
      </c>
      <c r="N182" s="29">
        <v>1</v>
      </c>
      <c r="O182" s="29">
        <f>VLOOKUP(E182, Factor!$CL$5:$CV$50, 8, 0)*N182*VLOOKUP(D182, Factor!$BZ$5:$CJ$49, 10, 0)</f>
        <v>9</v>
      </c>
      <c r="P182" s="29">
        <v>1</v>
      </c>
      <c r="Q182" s="29">
        <f>VLOOKUP(E182, Factor!$CL$5:$CV$50, 9, 0)*P182*VLOOKUP(D182, Factor!$BZ$5:$CJ$49, 11, 0)</f>
        <v>3</v>
      </c>
      <c r="R182" s="29" t="str">
        <f>VLOOKUP(E182, Factor!$CL$5:$CV$50, 10, 0)</f>
        <v>null</v>
      </c>
      <c r="S182" s="29" t="str">
        <f>VLOOKUP(E182, Factor!$CL$5:$CV$50, 11, 0)</f>
        <v>null</v>
      </c>
      <c r="T182" s="29">
        <v>1</v>
      </c>
      <c r="U182" s="29">
        <v>1</v>
      </c>
      <c r="V182" s="29">
        <v>1</v>
      </c>
      <c r="W182" s="29">
        <v>1</v>
      </c>
      <c r="X182" s="29">
        <v>1</v>
      </c>
      <c r="Y182" s="29">
        <v>1</v>
      </c>
      <c r="Z182" s="29">
        <v>1</v>
      </c>
      <c r="AA182" s="29" cm="1">
        <f t="array" ref="AA182">_xlfn.LET(_xlpm.기본_색인번호, 2,
_xlpm.추가_색인번호, 3,
_xlpm.개별보정치, T182,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B182" s="29" cm="1">
        <f t="array" ref="AB182">_xlfn.LET(_xlpm.기본_색인번호, 3,
_xlpm.추가_색인번호, 4,
_xlpm.개별보정치, U182,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C182" s="29" cm="1">
        <f t="array" ref="AC182">_xlfn.LET(_xlpm.기본_색인번호, 4,
_xlpm.추가_색인번호, 5,
_xlpm.개별보정치, V182,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182" s="29" cm="1">
        <f t="array" ref="AD182">_xlfn.LET(_xlpm.기본_색인번호, 5,
_xlpm.추가_색인번호, 6,
_xlpm.개별보정치, W182,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E182" s="29" cm="1">
        <f t="array" ref="AE182">_xlfn.LET(_xlpm.기본_색인번호, 6,
_xlpm.추가_색인번호, 7,
_xlpm.개별보정치, X182,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F182" s="29" cm="1">
        <f t="array" ref="AF182">_xlfn.LET(_xlpm.기본_색인번호, 7,
_xlpm.추가_색인번호, 8,
_xlpm.개별보정치, Y182,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182" s="30" cm="1">
        <f t="array" ref="AG182">_xlfn.LET(_xlpm.기본_색인번호, 8,
_xlpm.추가_색인번호, 9,
_xlpm.개별보정치, Z182,
_xlpm.패턴보정치, VLOOKUP($G182, Factor!$B$5:$I$51, _xlpm.기본_색인번호, 0),
_xlpm.소모탄환보정치, VLOOKUP($H182, Factor!$T$5:$AA$51, _xlpm.기본_색인번호, 0),
_xlpm.지형보정치, VLOOKUP($I182, Factor!$K$12:$R$13, _xlpm.기본_색인번호, 0),
_xlpm.공격속성보정치, VLOOKUP($J182, Factor!$K$5:$R$7, _xlpm.기본_색인번호, 0),
_xlpm.피해범위보정치, INDEX(Factor!$AN$5:$AV$51, _xlfn.XMATCH(IF(OR($G182="blast", $G182="curved",  $G182= "debuff"), $L182, 0), Factor!$AN$5:$AN$51, -1), _xlpm.추가_색인번호)-IF(AND(OR($G182="blast", $G182="curved", $G182= "debuff"), MOD($L182,1)&lt;&gt;0),INDEX(Factor!$AN$5:$AV$51, _xlfn.XMATCH(IF(OR($G182="blast", $G182="curved", $G182= "debuff"), $L182, 0), Factor!$AN$5:$AN$51, -1), 2)*MOD($L182,1)*10,0),
_xlpm.상태이상보정치, VLOOKUP(IF($G182 = "debuff", $M182, "null"), Factor!$AX$5:$BE$51, _xlpm.기본_색인번호, 0),
_xlpm.지속시간보정치, INDEX(Factor!$BG$5:$BO$51, _xlfn.XMATCH(IF(OR($G182 ="debuff", $G182 = "shot", $G182 = "pierce"), $O182, 0), Factor!$BG$5:$BG$51, -1), _xlpm.추가_색인번호)-IF(AND(OR($G182 ="debuff", $G182 = "shot", $G182 = "pierce"), MOD($O182, 1)&lt;&gt;0), 10*MOD($O182, 1)*INDEX(Factor!$BG$5:$BO$51, _xlfn.XMATCH(IF(OR($G182 ="debuff", $G182 = "shot", $G182 = "pierce"), $O182, 0), Factor!$BG$5:$BG$51, -1), 2), 0),
_xlpm.탄환개수보정치, VLOOKUP(IF(OR($G182 = "curved", $G182 = "shot"), $Q182, 1), Factor!$BQ$5:$BX$51, _xlpm.기본_색인번호, 0),
_xlpm.상태이상탄환생성위치보정치, IF($G182 = "debuff", VLOOKUP($R182, Factor!$K$18:$R$19, _xlpm.기본_색인번호, 0),1),
_xlpm.상태이상탄환형태보정치, IF($G182 = "debuff", VLOOKUP($S182, Factor!$K$24:$R$25, _xlpm.기본_색인번호, 0),1),
_xlpm.가격보정치, INDEX(Factor!$AE$5:$AL$51, _xlfn.XMATCH($F182,Factor!$AE$5:$AE$51, -1), _xlpm.기본_색인번호),
_xlpm.구경보정치, VLOOKUP($D182,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</row>
    <row r="183" spans="1:33" ht="15.75" customHeight="1">
      <c r="A183" s="24" t="str">
        <f>"weapon_"&amp;G183&amp;"_"&amp;VLOOKUP(H183, Factor!$T$5:$AB$7, 9, 0)&amp;"_"&amp;IF(COUNTIFS($G$4:G182, G183, $H$4:H182, H183)+1&gt;=100, COUNTIFS($G$4:G182, G183, $H$4:H182, H183)+1,IF(COUNTIFS($G$4:G182, G183, $H$4:H182, H183)+1&gt;=10, "0"&amp;COUNTIFS($G$4:G182, G183, $H$4:H182, H183)+1, "00"&amp;COUNTIFS($G$4:G182, G183, $H$4:H182, H183)+1))</f>
        <v>weapon_shot_Am_003</v>
      </c>
      <c r="B183" s="36" t="str">
        <f t="shared" ref="B183:B246" si="3">C183&amp;" "&amp;IF(D183 = "none","", D183)&amp;E183</f>
        <v>녹슨 12.7mm쌍열 기관포</v>
      </c>
      <c r="C183" s="36" t="s">
        <v>240</v>
      </c>
      <c r="D183" s="36" t="s">
        <v>243</v>
      </c>
      <c r="E183" s="36" t="s">
        <v>194</v>
      </c>
      <c r="F183" s="25">
        <f>VLOOKUP(C183, Factor!$AD$5:$AE$15, 2, 0)</f>
        <v>0</v>
      </c>
      <c r="G183" s="26" t="str">
        <f>VLOOKUP(E183, Factor!$CL$5:$CV$50, 2, 0)</f>
        <v>shot</v>
      </c>
      <c r="H183" s="25" t="str">
        <f>VLOOKUP(E183, Factor!$CL$5:$CV$50, 3, 0)</f>
        <v>ammo</v>
      </c>
      <c r="I183" s="25" t="str">
        <f>VLOOKUP(E183, Factor!$CL$5:$CV$50, 4, 0)</f>
        <v>L</v>
      </c>
      <c r="J183" s="25" t="str">
        <f>VLOOKUP(E183, Factor!$CL$5:$CV$50, 5, 0)</f>
        <v>spread</v>
      </c>
      <c r="K183" s="25">
        <v>1</v>
      </c>
      <c r="L183" s="25">
        <f>VLOOKUP(E183, Factor!$CL$5:$CV$50, 6, 0)*K183*VLOOKUP(D183, Factor!$BZ$5:$CJ$49, 9, 0)</f>
        <v>0</v>
      </c>
      <c r="M183" s="25" t="str">
        <f>VLOOKUP(E183, Factor!$CL$5:$CV$50, 7, 0)</f>
        <v>null</v>
      </c>
      <c r="N183" s="25">
        <v>1</v>
      </c>
      <c r="O183" s="25">
        <f>VLOOKUP(E183, Factor!$CL$5:$CV$50, 8, 0)*N183*VLOOKUP(D183, Factor!$BZ$5:$CJ$49, 10, 0)</f>
        <v>12</v>
      </c>
      <c r="P183" s="25">
        <v>1</v>
      </c>
      <c r="Q183" s="25">
        <f>VLOOKUP(E183, Factor!$CL$5:$CV$50, 9, 0)*P183*VLOOKUP(D183, Factor!$BZ$5:$CJ$49, 11, 0)</f>
        <v>4</v>
      </c>
      <c r="R183" s="25" t="str">
        <f>VLOOKUP(E183, Factor!$CL$5:$CV$50, 10, 0)</f>
        <v>null</v>
      </c>
      <c r="S183" s="25" t="str">
        <f>VLOOKUP(E183, Factor!$CL$5:$CV$50, 11, 0)</f>
        <v>null</v>
      </c>
      <c r="T183" s="25">
        <v>1</v>
      </c>
      <c r="U183" s="25">
        <v>1</v>
      </c>
      <c r="V183" s="25">
        <v>1</v>
      </c>
      <c r="W183" s="25">
        <v>1</v>
      </c>
      <c r="X183" s="25">
        <v>1</v>
      </c>
      <c r="Y183" s="25">
        <v>1</v>
      </c>
      <c r="Z183" s="25">
        <v>1</v>
      </c>
      <c r="AA183" s="25" cm="1">
        <f t="array" ref="AA183">_xlfn.LET(_xlpm.기본_색인번호, 2,
_xlpm.추가_색인번호, 3,
_xlpm.개별보정치, T183,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183" s="25" cm="1">
        <f t="array" ref="AB183">_xlfn.LET(_xlpm.기본_색인번호, 3,
_xlpm.추가_색인번호, 4,
_xlpm.개별보정치, U183,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C183" s="25" cm="1">
        <f t="array" ref="AC183">_xlfn.LET(_xlpm.기본_색인번호, 4,
_xlpm.추가_색인번호, 5,
_xlpm.개별보정치, V183,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183" s="25" cm="1">
        <f t="array" ref="AD183">_xlfn.LET(_xlpm.기본_색인번호, 5,
_xlpm.추가_색인번호, 6,
_xlpm.개별보정치, W183,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E183" s="25" cm="1">
        <f t="array" ref="AE183">_xlfn.LET(_xlpm.기본_색인번호, 6,
_xlpm.추가_색인번호, 7,
_xlpm.개별보정치, X183,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F183" s="25" cm="1">
        <f t="array" ref="AF183">_xlfn.LET(_xlpm.기본_색인번호, 7,
_xlpm.추가_색인번호, 8,
_xlpm.개별보정치, Y183,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183" s="27" cm="1">
        <f t="array" ref="AG183">_xlfn.LET(_xlpm.기본_색인번호, 8,
_xlpm.추가_색인번호, 9,
_xlpm.개별보정치, Z183,
_xlpm.패턴보정치, VLOOKUP($G183, Factor!$B$5:$I$51, _xlpm.기본_색인번호, 0),
_xlpm.소모탄환보정치, VLOOKUP($H183, Factor!$T$5:$AA$51, _xlpm.기본_색인번호, 0),
_xlpm.지형보정치, VLOOKUP($I183, Factor!$K$12:$R$13, _xlpm.기본_색인번호, 0),
_xlpm.공격속성보정치, VLOOKUP($J183, Factor!$K$5:$R$7, _xlpm.기본_색인번호, 0),
_xlpm.피해범위보정치, INDEX(Factor!$AN$5:$AV$51, _xlfn.XMATCH(IF(OR($G183="blast", $G183="curved",  $G183= "debuff"), $L183, 0), Factor!$AN$5:$AN$51, -1), _xlpm.추가_색인번호)-IF(AND(OR($G183="blast", $G183="curved", $G183= "debuff"), MOD($L183,1)&lt;&gt;0),INDEX(Factor!$AN$5:$AV$51, _xlfn.XMATCH(IF(OR($G183="blast", $G183="curved", $G183= "debuff"), $L183, 0), Factor!$AN$5:$AN$51, -1), 2)*MOD($L183,1)*10,0),
_xlpm.상태이상보정치, VLOOKUP(IF($G183 = "debuff", $M183, "null"), Factor!$AX$5:$BE$51, _xlpm.기본_색인번호, 0),
_xlpm.지속시간보정치, INDEX(Factor!$BG$5:$BO$51, _xlfn.XMATCH(IF(OR($G183 ="debuff", $G183 = "shot", $G183 = "pierce"), $O183, 0), Factor!$BG$5:$BG$51, -1), _xlpm.추가_색인번호)-IF(AND(OR($G183 ="debuff", $G183 = "shot", $G183 = "pierce"), MOD($O183, 1)&lt;&gt;0), 10*MOD($O183, 1)*INDEX(Factor!$BG$5:$BO$51, _xlfn.XMATCH(IF(OR($G183 ="debuff", $G183 = "shot", $G183 = "pierce"), $O183, 0), Factor!$BG$5:$BG$51, -1), 2), 0),
_xlpm.탄환개수보정치, VLOOKUP(IF(OR($G183 = "curved", $G183 = "shot"), $Q183, 1), Factor!$BQ$5:$BX$51, _xlpm.기본_색인번호, 0),
_xlpm.상태이상탄환생성위치보정치, IF($G183 = "debuff", VLOOKUP($R183, Factor!$K$18:$R$19, _xlpm.기본_색인번호, 0),1),
_xlpm.상태이상탄환형태보정치, IF($G183 = "debuff", VLOOKUP($S183, Factor!$K$24:$R$25, _xlpm.기본_색인번호, 0),1),
_xlpm.가격보정치, INDEX(Factor!$AE$5:$AL$51, _xlfn.XMATCH($F183,Factor!$AE$5:$AE$51, -1), _xlpm.기본_색인번호),
_xlpm.구경보정치, VLOOKUP($D183,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</row>
    <row r="184" spans="1:33" ht="15.75" customHeight="1">
      <c r="A184" s="28" t="str">
        <f>"weapon_"&amp;G184&amp;"_"&amp;VLOOKUP(H184, Factor!$T$5:$AB$7, 9, 0)&amp;"_"&amp;IF(COUNTIFS($G$4:G183, G184, $H$4:H183, H184)+1&gt;=100, COUNTIFS($G$4:G183, G184, $H$4:H183, H184)+1,IF(COUNTIFS($G$4:G183, G184, $H$4:H183, H184)+1&gt;=10, "0"&amp;COUNTIFS($G$4:G183, G184, $H$4:H183, H184)+1, "00"&amp;COUNTIFS($G$4:G183, G184, $H$4:H183, H184)+1))</f>
        <v>weapon_shot_Am_004</v>
      </c>
      <c r="B184" s="37" t="str">
        <f t="shared" si="3"/>
        <v>녹슨 20mm쌍열 기관포</v>
      </c>
      <c r="C184" s="37" t="s">
        <v>240</v>
      </c>
      <c r="D184" s="37" t="s">
        <v>244</v>
      </c>
      <c r="E184" s="37" t="s">
        <v>194</v>
      </c>
      <c r="F184" s="29">
        <f>VLOOKUP(C184, Factor!$AD$5:$AE$15, 2, 0)</f>
        <v>0</v>
      </c>
      <c r="G184" s="29" t="str">
        <f>VLOOKUP(E184, Factor!$CL$5:$CV$50, 2, 0)</f>
        <v>shot</v>
      </c>
      <c r="H184" s="29" t="str">
        <f>VLOOKUP(E184, Factor!$CL$5:$CV$50, 3, 0)</f>
        <v>ammo</v>
      </c>
      <c r="I184" s="29" t="str">
        <f>VLOOKUP(E184, Factor!$CL$5:$CV$50, 4, 0)</f>
        <v>L</v>
      </c>
      <c r="J184" s="29" t="str">
        <f>VLOOKUP(E184, Factor!$CL$5:$CV$50, 5, 0)</f>
        <v>spread</v>
      </c>
      <c r="K184" s="29">
        <v>1</v>
      </c>
      <c r="L184" s="29">
        <f>VLOOKUP(E184, Factor!$CL$5:$CV$50, 6, 0)*K184*VLOOKUP(D184, Factor!$BZ$5:$CJ$49, 9, 0)</f>
        <v>0</v>
      </c>
      <c r="M184" s="29" t="str">
        <f>VLOOKUP(E184, Factor!$CL$5:$CV$50, 7, 0)</f>
        <v>null</v>
      </c>
      <c r="N184" s="29">
        <v>1</v>
      </c>
      <c r="O184" s="29">
        <f>VLOOKUP(E184, Factor!$CL$5:$CV$50, 8, 0)*N184*VLOOKUP(D184, Factor!$BZ$5:$CJ$49, 10, 0)</f>
        <v>15</v>
      </c>
      <c r="P184" s="29">
        <v>1</v>
      </c>
      <c r="Q184" s="29">
        <f>VLOOKUP(E184, Factor!$CL$5:$CV$50, 9, 0)*P184*VLOOKUP(D184, Factor!$BZ$5:$CJ$49, 11, 0)</f>
        <v>5</v>
      </c>
      <c r="R184" s="29" t="str">
        <f>VLOOKUP(E184, Factor!$CL$5:$CV$50, 10, 0)</f>
        <v>null</v>
      </c>
      <c r="S184" s="29" t="str">
        <f>VLOOKUP(E184, Factor!$CL$5:$CV$50, 11, 0)</f>
        <v>null</v>
      </c>
      <c r="T184" s="29">
        <v>1</v>
      </c>
      <c r="U184" s="29">
        <v>1</v>
      </c>
      <c r="V184" s="29">
        <v>1</v>
      </c>
      <c r="W184" s="29">
        <v>1</v>
      </c>
      <c r="X184" s="29">
        <v>1</v>
      </c>
      <c r="Y184" s="29">
        <v>1</v>
      </c>
      <c r="Z184" s="29">
        <v>1</v>
      </c>
      <c r="AA184" s="29" cm="1">
        <f t="array" ref="AA184">_xlfn.LET(_xlpm.기본_색인번호, 2,
_xlpm.추가_색인번호, 3,
_xlpm.개별보정치, T184,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500</v>
      </c>
      <c r="AB184" s="29" cm="1">
        <f t="array" ref="AB184">_xlfn.LET(_xlpm.기본_색인번호, 3,
_xlpm.추가_색인번호, 4,
_xlpm.개별보정치, U184,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184" s="29" cm="1">
        <f t="array" ref="AC184">_xlfn.LET(_xlpm.기본_색인번호, 4,
_xlpm.추가_색인번호, 5,
_xlpm.개별보정치, V184,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184" s="29" cm="1">
        <f t="array" ref="AD184">_xlfn.LET(_xlpm.기본_색인번호, 5,
_xlpm.추가_색인번호, 6,
_xlpm.개별보정치, W184,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184" s="29" cm="1">
        <f t="array" ref="AE184">_xlfn.LET(_xlpm.기본_색인번호, 6,
_xlpm.추가_색인번호, 7,
_xlpm.개별보정치, X184,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184" s="29" cm="1">
        <f t="array" ref="AF184">_xlfn.LET(_xlpm.기본_색인번호, 7,
_xlpm.추가_색인번호, 8,
_xlpm.개별보정치, Y184,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184" s="30" cm="1">
        <f t="array" ref="AG184">_xlfn.LET(_xlpm.기본_색인번호, 8,
_xlpm.추가_색인번호, 9,
_xlpm.개별보정치, Z184,
_xlpm.패턴보정치, VLOOKUP($G184, Factor!$B$5:$I$51, _xlpm.기본_색인번호, 0),
_xlpm.소모탄환보정치, VLOOKUP($H184, Factor!$T$5:$AA$51, _xlpm.기본_색인번호, 0),
_xlpm.지형보정치, VLOOKUP($I184, Factor!$K$12:$R$13, _xlpm.기본_색인번호, 0),
_xlpm.공격속성보정치, VLOOKUP($J184, Factor!$K$5:$R$7, _xlpm.기본_색인번호, 0),
_xlpm.피해범위보정치, INDEX(Factor!$AN$5:$AV$51, _xlfn.XMATCH(IF(OR($G184="blast", $G184="curved",  $G184= "debuff"), $L184, 0), Factor!$AN$5:$AN$51, -1), _xlpm.추가_색인번호)-IF(AND(OR($G184="blast", $G184="curved", $G184= "debuff"), MOD($L184,1)&lt;&gt;0),INDEX(Factor!$AN$5:$AV$51, _xlfn.XMATCH(IF(OR($G184="blast", $G184="curved", $G184= "debuff"), $L184, 0), Factor!$AN$5:$AN$51, -1), 2)*MOD($L184,1)*10,0),
_xlpm.상태이상보정치, VLOOKUP(IF($G184 = "debuff", $M184, "null"), Factor!$AX$5:$BE$51, _xlpm.기본_색인번호, 0),
_xlpm.지속시간보정치, INDEX(Factor!$BG$5:$BO$51, _xlfn.XMATCH(IF(OR($G184 ="debuff", $G184 = "shot", $G184 = "pierce"), $O184, 0), Factor!$BG$5:$BG$51, -1), _xlpm.추가_색인번호)-IF(AND(OR($G184 ="debuff", $G184 = "shot", $G184 = "pierce"), MOD($O184, 1)&lt;&gt;0), 10*MOD($O184, 1)*INDEX(Factor!$BG$5:$BO$51, _xlfn.XMATCH(IF(OR($G184 ="debuff", $G184 = "shot", $G184 = "pierce"), $O184, 0), Factor!$BG$5:$BG$51, -1), 2), 0),
_xlpm.탄환개수보정치, VLOOKUP(IF(OR($G184 = "curved", $G184 = "shot"), $Q184, 1), Factor!$BQ$5:$BX$51, _xlpm.기본_색인번호, 0),
_xlpm.상태이상탄환생성위치보정치, IF($G184 = "debuff", VLOOKUP($R184, Factor!$K$18:$R$19, _xlpm.기본_색인번호, 0),1),
_xlpm.상태이상탄환형태보정치, IF($G184 = "debuff", VLOOKUP($S184, Factor!$K$24:$R$25, _xlpm.기본_색인번호, 0),1),
_xlpm.가격보정치, INDEX(Factor!$AE$5:$AL$51, _xlfn.XMATCH($F184,Factor!$AE$5:$AE$51, -1), _xlpm.기본_색인번호),
_xlpm.구경보정치, VLOOKUP($D184,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185" spans="1:33" ht="15.75" customHeight="1">
      <c r="A185" s="24" t="str">
        <f>"weapon_"&amp;G185&amp;"_"&amp;VLOOKUP(H185, Factor!$T$5:$AB$7, 9, 0)&amp;"_"&amp;IF(COUNTIFS($G$4:G184, G185, $H$4:H184, H185)+1&gt;=100, COUNTIFS($G$4:G184, G185, $H$4:H184, H185)+1,IF(COUNTIFS($G$4:G184, G185, $H$4:H184, H185)+1&gt;=10, "0"&amp;COUNTIFS($G$4:G184, G185, $H$4:H184, H185)+1, "00"&amp;COUNTIFS($G$4:G184, G185, $H$4:H184, H185)+1))</f>
        <v>weapon_shot_Am_005</v>
      </c>
      <c r="B185" s="36" t="str">
        <f t="shared" si="3"/>
        <v>T1 5.56mm쌍열 기관포</v>
      </c>
      <c r="C185" s="36" t="s">
        <v>238</v>
      </c>
      <c r="D185" s="36" t="s">
        <v>241</v>
      </c>
      <c r="E185" s="36" t="s">
        <v>194</v>
      </c>
      <c r="F185" s="25">
        <f>VLOOKUP(C185, Factor!$AD$5:$AE$15, 2, 0)</f>
        <v>1000</v>
      </c>
      <c r="G185" s="26" t="str">
        <f>VLOOKUP(E185, Factor!$CL$5:$CV$50, 2, 0)</f>
        <v>shot</v>
      </c>
      <c r="H185" s="25" t="str">
        <f>VLOOKUP(E185, Factor!$CL$5:$CV$50, 3, 0)</f>
        <v>ammo</v>
      </c>
      <c r="I185" s="25" t="str">
        <f>VLOOKUP(E185, Factor!$CL$5:$CV$50, 4, 0)</f>
        <v>L</v>
      </c>
      <c r="J185" s="25" t="str">
        <f>VLOOKUP(E185, Factor!$CL$5:$CV$50, 5, 0)</f>
        <v>spread</v>
      </c>
      <c r="K185" s="25">
        <v>1</v>
      </c>
      <c r="L185" s="25">
        <f>VLOOKUP(E185, Factor!$CL$5:$CV$50, 6, 0)*K185*VLOOKUP(D185, Factor!$BZ$5:$CJ$49, 9, 0)</f>
        <v>0</v>
      </c>
      <c r="M185" s="25" t="str">
        <f>VLOOKUP(E185, Factor!$CL$5:$CV$50, 7, 0)</f>
        <v>null</v>
      </c>
      <c r="N185" s="25">
        <v>1</v>
      </c>
      <c r="O185" s="25">
        <f>VLOOKUP(E185, Factor!$CL$5:$CV$50, 8, 0)*N185*VLOOKUP(D185, Factor!$BZ$5:$CJ$49, 10, 0)</f>
        <v>6</v>
      </c>
      <c r="P185" s="25">
        <v>1</v>
      </c>
      <c r="Q185" s="25">
        <f>VLOOKUP(E185, Factor!$CL$5:$CV$50, 9, 0)*P185*VLOOKUP(D185, Factor!$BZ$5:$CJ$49, 11, 0)</f>
        <v>2</v>
      </c>
      <c r="R185" s="25" t="str">
        <f>VLOOKUP(E185, Factor!$CL$5:$CV$50, 10, 0)</f>
        <v>null</v>
      </c>
      <c r="S185" s="25" t="str">
        <f>VLOOKUP(E185, Factor!$CL$5:$CV$50, 11, 0)</f>
        <v>null</v>
      </c>
      <c r="T185" s="25">
        <v>1</v>
      </c>
      <c r="U185" s="25">
        <v>1</v>
      </c>
      <c r="V185" s="25">
        <v>1</v>
      </c>
      <c r="W185" s="25">
        <v>1</v>
      </c>
      <c r="X185" s="25">
        <v>1</v>
      </c>
      <c r="Y185" s="25">
        <v>1</v>
      </c>
      <c r="Z185" s="25">
        <v>1</v>
      </c>
      <c r="AA185" s="25" cm="1">
        <f t="array" ref="AA185">_xlfn.LET(_xlpm.기본_색인번호, 2,
_xlpm.추가_색인번호, 3,
_xlpm.개별보정치, T185,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B185" s="25" cm="1">
        <f t="array" ref="AB185">_xlfn.LET(_xlpm.기본_색인번호, 3,
_xlpm.추가_색인번호, 4,
_xlpm.개별보정치, U185,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C185" s="25" cm="1">
        <f t="array" ref="AC185">_xlfn.LET(_xlpm.기본_색인번호, 4,
_xlpm.추가_색인번호, 5,
_xlpm.개별보정치, V185,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185" s="25" cm="1">
        <f t="array" ref="AD185">_xlfn.LET(_xlpm.기본_색인번호, 5,
_xlpm.추가_색인번호, 6,
_xlpm.개별보정치, W185,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E185" s="25" cm="1">
        <f t="array" ref="AE185">_xlfn.LET(_xlpm.기본_색인번호, 6,
_xlpm.추가_색인번호, 7,
_xlpm.개별보정치, X185,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F185" s="25" cm="1">
        <f t="array" ref="AF185">_xlfn.LET(_xlpm.기본_색인번호, 7,
_xlpm.추가_색인번호, 8,
_xlpm.개별보정치, Y185,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185" s="27" cm="1">
        <f t="array" ref="AG185">_xlfn.LET(_xlpm.기본_색인번호, 8,
_xlpm.추가_색인번호, 9,
_xlpm.개별보정치, Z185,
_xlpm.패턴보정치, VLOOKUP($G185, Factor!$B$5:$I$51, _xlpm.기본_색인번호, 0),
_xlpm.소모탄환보정치, VLOOKUP($H185, Factor!$T$5:$AA$51, _xlpm.기본_색인번호, 0),
_xlpm.지형보정치, VLOOKUP($I185, Factor!$K$12:$R$13, _xlpm.기본_색인번호, 0),
_xlpm.공격속성보정치, VLOOKUP($J185, Factor!$K$5:$R$7, _xlpm.기본_색인번호, 0),
_xlpm.피해범위보정치, INDEX(Factor!$AN$5:$AV$51, _xlfn.XMATCH(IF(OR($G185="blast", $G185="curved",  $G185= "debuff"), $L185, 0), Factor!$AN$5:$AN$51, -1), _xlpm.추가_색인번호)-IF(AND(OR($G185="blast", $G185="curved", $G185= "debuff"), MOD($L185,1)&lt;&gt;0),INDEX(Factor!$AN$5:$AV$51, _xlfn.XMATCH(IF(OR($G185="blast", $G185="curved", $G185= "debuff"), $L185, 0), Factor!$AN$5:$AN$51, -1), 2)*MOD($L185,1)*10,0),
_xlpm.상태이상보정치, VLOOKUP(IF($G185 = "debuff", $M185, "null"), Factor!$AX$5:$BE$51, _xlpm.기본_색인번호, 0),
_xlpm.지속시간보정치, INDEX(Factor!$BG$5:$BO$51, _xlfn.XMATCH(IF(OR($G185 ="debuff", $G185 = "shot", $G185 = "pierce"), $O185, 0), Factor!$BG$5:$BG$51, -1), _xlpm.추가_색인번호)-IF(AND(OR($G185 ="debuff", $G185 = "shot", $G185 = "pierce"), MOD($O185, 1)&lt;&gt;0), 10*MOD($O185, 1)*INDEX(Factor!$BG$5:$BO$51, _xlfn.XMATCH(IF(OR($G185 ="debuff", $G185 = "shot", $G185 = "pierce"), $O185, 0), Factor!$BG$5:$BG$51, -1), 2), 0),
_xlpm.탄환개수보정치, VLOOKUP(IF(OR($G185 = "curved", $G185 = "shot"), $Q185, 1), Factor!$BQ$5:$BX$51, _xlpm.기본_색인번호, 0),
_xlpm.상태이상탄환생성위치보정치, IF($G185 = "debuff", VLOOKUP($R185, Factor!$K$18:$R$19, _xlpm.기본_색인번호, 0),1),
_xlpm.상태이상탄환형태보정치, IF($G185 = "debuff", VLOOKUP($S185, Factor!$K$24:$R$25, _xlpm.기본_색인번호, 0),1),
_xlpm.가격보정치, INDEX(Factor!$AE$5:$AL$51, _xlfn.XMATCH($F185,Factor!$AE$5:$AE$51, -1), _xlpm.기본_색인번호),
_xlpm.구경보정치, VLOOKUP($D185,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</row>
    <row r="186" spans="1:33" ht="15.75" customHeight="1">
      <c r="A186" s="28" t="str">
        <f>"weapon_"&amp;G186&amp;"_"&amp;VLOOKUP(H186, Factor!$T$5:$AB$7, 9, 0)&amp;"_"&amp;IF(COUNTIFS($G$4:G185, G186, $H$4:H185, H186)+1&gt;=100, COUNTIFS($G$4:G185, G186, $H$4:H185, H186)+1,IF(COUNTIFS($G$4:G185, G186, $H$4:H185, H186)+1&gt;=10, "0"&amp;COUNTIFS($G$4:G185, G186, $H$4:H185, H186)+1, "00"&amp;COUNTIFS($G$4:G185, G186, $H$4:H185, H186)+1))</f>
        <v>weapon_shot_Am_006</v>
      </c>
      <c r="B186" s="37" t="str">
        <f t="shared" si="3"/>
        <v>T1 7.62mm쌍열 기관포</v>
      </c>
      <c r="C186" s="37" t="s">
        <v>238</v>
      </c>
      <c r="D186" s="37" t="s">
        <v>242</v>
      </c>
      <c r="E186" s="37" t="s">
        <v>194</v>
      </c>
      <c r="F186" s="29">
        <f>VLOOKUP(C186, Factor!$AD$5:$AE$15, 2, 0)</f>
        <v>1000</v>
      </c>
      <c r="G186" s="29" t="str">
        <f>VLOOKUP(E186, Factor!$CL$5:$CV$50, 2, 0)</f>
        <v>shot</v>
      </c>
      <c r="H186" s="29" t="str">
        <f>VLOOKUP(E186, Factor!$CL$5:$CV$50, 3, 0)</f>
        <v>ammo</v>
      </c>
      <c r="I186" s="29" t="str">
        <f>VLOOKUP(E186, Factor!$CL$5:$CV$50, 4, 0)</f>
        <v>L</v>
      </c>
      <c r="J186" s="29" t="str">
        <f>VLOOKUP(E186, Factor!$CL$5:$CV$50, 5, 0)</f>
        <v>spread</v>
      </c>
      <c r="K186" s="29">
        <v>1</v>
      </c>
      <c r="L186" s="29">
        <f>VLOOKUP(E186, Factor!$CL$5:$CV$50, 6, 0)*K186*VLOOKUP(D186, Factor!$BZ$5:$CJ$49, 9, 0)</f>
        <v>0</v>
      </c>
      <c r="M186" s="29" t="str">
        <f>VLOOKUP(E186, Factor!$CL$5:$CV$50, 7, 0)</f>
        <v>null</v>
      </c>
      <c r="N186" s="29">
        <v>1</v>
      </c>
      <c r="O186" s="29">
        <f>VLOOKUP(E186, Factor!$CL$5:$CV$50, 8, 0)*N186*VLOOKUP(D186, Factor!$BZ$5:$CJ$49, 10, 0)</f>
        <v>9</v>
      </c>
      <c r="P186" s="29">
        <v>1</v>
      </c>
      <c r="Q186" s="29">
        <f>VLOOKUP(E186, Factor!$CL$5:$CV$50, 9, 0)*P186*VLOOKUP(D186, Factor!$BZ$5:$CJ$49, 11, 0)</f>
        <v>3</v>
      </c>
      <c r="R186" s="29" t="str">
        <f>VLOOKUP(E186, Factor!$CL$5:$CV$50, 10, 0)</f>
        <v>null</v>
      </c>
      <c r="S186" s="29" t="str">
        <f>VLOOKUP(E186, Factor!$CL$5:$CV$50, 11, 0)</f>
        <v>null</v>
      </c>
      <c r="T186" s="29">
        <v>1</v>
      </c>
      <c r="U186" s="29">
        <v>1</v>
      </c>
      <c r="V186" s="29">
        <v>1</v>
      </c>
      <c r="W186" s="29">
        <v>1</v>
      </c>
      <c r="X186" s="29">
        <v>1</v>
      </c>
      <c r="Y186" s="29">
        <v>1</v>
      </c>
      <c r="Z186" s="29">
        <v>1</v>
      </c>
      <c r="AA186" s="29" cm="1">
        <f t="array" ref="AA186">_xlfn.LET(_xlpm.기본_색인번호, 2,
_xlpm.추가_색인번호, 3,
_xlpm.개별보정치, T186,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B186" s="29" cm="1">
        <f t="array" ref="AB186">_xlfn.LET(_xlpm.기본_색인번호, 3,
_xlpm.추가_색인번호, 4,
_xlpm.개별보정치, U186,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C186" s="29" cm="1">
        <f t="array" ref="AC186">_xlfn.LET(_xlpm.기본_색인번호, 4,
_xlpm.추가_색인번호, 5,
_xlpm.개별보정치, V186,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186" s="29" cm="1">
        <f t="array" ref="AD186">_xlfn.LET(_xlpm.기본_색인번호, 5,
_xlpm.추가_색인번호, 6,
_xlpm.개별보정치, W186,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E186" s="29" cm="1">
        <f t="array" ref="AE186">_xlfn.LET(_xlpm.기본_색인번호, 6,
_xlpm.추가_색인번호, 7,
_xlpm.개별보정치, X186,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F186" s="29" cm="1">
        <f t="array" ref="AF186">_xlfn.LET(_xlpm.기본_색인번호, 7,
_xlpm.추가_색인번호, 8,
_xlpm.개별보정치, Y186,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186" s="30" cm="1">
        <f t="array" ref="AG186">_xlfn.LET(_xlpm.기본_색인번호, 8,
_xlpm.추가_색인번호, 9,
_xlpm.개별보정치, Z186,
_xlpm.패턴보정치, VLOOKUP($G186, Factor!$B$5:$I$51, _xlpm.기본_색인번호, 0),
_xlpm.소모탄환보정치, VLOOKUP($H186, Factor!$T$5:$AA$51, _xlpm.기본_색인번호, 0),
_xlpm.지형보정치, VLOOKUP($I186, Factor!$K$12:$R$13, _xlpm.기본_색인번호, 0),
_xlpm.공격속성보정치, VLOOKUP($J186, Factor!$K$5:$R$7, _xlpm.기본_색인번호, 0),
_xlpm.피해범위보정치, INDEX(Factor!$AN$5:$AV$51, _xlfn.XMATCH(IF(OR($G186="blast", $G186="curved",  $G186= "debuff"), $L186, 0), Factor!$AN$5:$AN$51, -1), _xlpm.추가_색인번호)-IF(AND(OR($G186="blast", $G186="curved", $G186= "debuff"), MOD($L186,1)&lt;&gt;0),INDEX(Factor!$AN$5:$AV$51, _xlfn.XMATCH(IF(OR($G186="blast", $G186="curved", $G186= "debuff"), $L186, 0), Factor!$AN$5:$AN$51, -1), 2)*MOD($L186,1)*10,0),
_xlpm.상태이상보정치, VLOOKUP(IF($G186 = "debuff", $M186, "null"), Factor!$AX$5:$BE$51, _xlpm.기본_색인번호, 0),
_xlpm.지속시간보정치, INDEX(Factor!$BG$5:$BO$51, _xlfn.XMATCH(IF(OR($G186 ="debuff", $G186 = "shot", $G186 = "pierce"), $O186, 0), Factor!$BG$5:$BG$51, -1), _xlpm.추가_색인번호)-IF(AND(OR($G186 ="debuff", $G186 = "shot", $G186 = "pierce"), MOD($O186, 1)&lt;&gt;0), 10*MOD($O186, 1)*INDEX(Factor!$BG$5:$BO$51, _xlfn.XMATCH(IF(OR($G186 ="debuff", $G186 = "shot", $G186 = "pierce"), $O186, 0), Factor!$BG$5:$BG$51, -1), 2), 0),
_xlpm.탄환개수보정치, VLOOKUP(IF(OR($G186 = "curved", $G186 = "shot"), $Q186, 1), Factor!$BQ$5:$BX$51, _xlpm.기본_색인번호, 0),
_xlpm.상태이상탄환생성위치보정치, IF($G186 = "debuff", VLOOKUP($R186, Factor!$K$18:$R$19, _xlpm.기본_색인번호, 0),1),
_xlpm.상태이상탄환형태보정치, IF($G186 = "debuff", VLOOKUP($S186, Factor!$K$24:$R$25, _xlpm.기본_색인번호, 0),1),
_xlpm.가격보정치, INDEX(Factor!$AE$5:$AL$51, _xlfn.XMATCH($F186,Factor!$AE$5:$AE$51, -1), _xlpm.기본_색인번호),
_xlpm.구경보정치, VLOOKUP($D186,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</row>
    <row r="187" spans="1:33" ht="15.75" customHeight="1">
      <c r="A187" s="24" t="str">
        <f>"weapon_"&amp;G187&amp;"_"&amp;VLOOKUP(H187, Factor!$T$5:$AB$7, 9, 0)&amp;"_"&amp;IF(COUNTIFS($G$4:G186, G187, $H$4:H186, H187)+1&gt;=100, COUNTIFS($G$4:G186, G187, $H$4:H186, H187)+1,IF(COUNTIFS($G$4:G186, G187, $H$4:H186, H187)+1&gt;=10, "0"&amp;COUNTIFS($G$4:G186, G187, $H$4:H186, H187)+1, "00"&amp;COUNTIFS($G$4:G186, G187, $H$4:H186, H187)+1))</f>
        <v>weapon_shot_Am_007</v>
      </c>
      <c r="B187" s="36" t="str">
        <f t="shared" si="3"/>
        <v>T1 12.7mm쌍열 기관포</v>
      </c>
      <c r="C187" s="36" t="s">
        <v>238</v>
      </c>
      <c r="D187" s="36" t="s">
        <v>243</v>
      </c>
      <c r="E187" s="36" t="s">
        <v>194</v>
      </c>
      <c r="F187" s="25">
        <f>VLOOKUP(C187, Factor!$AD$5:$AE$15, 2, 0)</f>
        <v>1000</v>
      </c>
      <c r="G187" s="26" t="str">
        <f>VLOOKUP(E187, Factor!$CL$5:$CV$50, 2, 0)</f>
        <v>shot</v>
      </c>
      <c r="H187" s="25" t="str">
        <f>VLOOKUP(E187, Factor!$CL$5:$CV$50, 3, 0)</f>
        <v>ammo</v>
      </c>
      <c r="I187" s="25" t="str">
        <f>VLOOKUP(E187, Factor!$CL$5:$CV$50, 4, 0)</f>
        <v>L</v>
      </c>
      <c r="J187" s="25" t="str">
        <f>VLOOKUP(E187, Factor!$CL$5:$CV$50, 5, 0)</f>
        <v>spread</v>
      </c>
      <c r="K187" s="25">
        <v>1</v>
      </c>
      <c r="L187" s="25">
        <f>VLOOKUP(E187, Factor!$CL$5:$CV$50, 6, 0)*K187*VLOOKUP(D187, Factor!$BZ$5:$CJ$49, 9, 0)</f>
        <v>0</v>
      </c>
      <c r="M187" s="25" t="str">
        <f>VLOOKUP(E187, Factor!$CL$5:$CV$50, 7, 0)</f>
        <v>null</v>
      </c>
      <c r="N187" s="25">
        <v>1</v>
      </c>
      <c r="O187" s="25">
        <f>VLOOKUP(E187, Factor!$CL$5:$CV$50, 8, 0)*N187*VLOOKUP(D187, Factor!$BZ$5:$CJ$49, 10, 0)</f>
        <v>12</v>
      </c>
      <c r="P187" s="25">
        <v>1</v>
      </c>
      <c r="Q187" s="25">
        <f>VLOOKUP(E187, Factor!$CL$5:$CV$50, 9, 0)*P187*VLOOKUP(D187, Factor!$BZ$5:$CJ$49, 11, 0)</f>
        <v>4</v>
      </c>
      <c r="R187" s="25" t="str">
        <f>VLOOKUP(E187, Factor!$CL$5:$CV$50, 10, 0)</f>
        <v>null</v>
      </c>
      <c r="S187" s="25" t="str">
        <f>VLOOKUP(E187, Factor!$CL$5:$CV$50, 11, 0)</f>
        <v>null</v>
      </c>
      <c r="T187" s="25">
        <v>1</v>
      </c>
      <c r="U187" s="25">
        <v>1</v>
      </c>
      <c r="V187" s="25">
        <v>1</v>
      </c>
      <c r="W187" s="25">
        <v>1</v>
      </c>
      <c r="X187" s="25">
        <v>1</v>
      </c>
      <c r="Y187" s="25">
        <v>1</v>
      </c>
      <c r="Z187" s="25">
        <v>1</v>
      </c>
      <c r="AA187" s="25" cm="1">
        <f t="array" ref="AA187">_xlfn.LET(_xlpm.기본_색인번호, 2,
_xlpm.추가_색인번호, 3,
_xlpm.개별보정치, T187,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187" s="25" cm="1">
        <f t="array" ref="AB187">_xlfn.LET(_xlpm.기본_색인번호, 3,
_xlpm.추가_색인번호, 4,
_xlpm.개별보정치, U187,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C187" s="25" cm="1">
        <f t="array" ref="AC187">_xlfn.LET(_xlpm.기본_색인번호, 4,
_xlpm.추가_색인번호, 5,
_xlpm.개별보정치, V187,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187" s="25" cm="1">
        <f t="array" ref="AD187">_xlfn.LET(_xlpm.기본_색인번호, 5,
_xlpm.추가_색인번호, 6,
_xlpm.개별보정치, W187,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E187" s="25" cm="1">
        <f t="array" ref="AE187">_xlfn.LET(_xlpm.기본_색인번호, 6,
_xlpm.추가_색인번호, 7,
_xlpm.개별보정치, X187,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F187" s="25" cm="1">
        <f t="array" ref="AF187">_xlfn.LET(_xlpm.기본_색인번호, 7,
_xlpm.추가_색인번호, 8,
_xlpm.개별보정치, Y187,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187" s="27" cm="1">
        <f t="array" ref="AG187">_xlfn.LET(_xlpm.기본_색인번호, 8,
_xlpm.추가_색인번호, 9,
_xlpm.개별보정치, Z187,
_xlpm.패턴보정치, VLOOKUP($G187, Factor!$B$5:$I$51, _xlpm.기본_색인번호, 0),
_xlpm.소모탄환보정치, VLOOKUP($H187, Factor!$T$5:$AA$51, _xlpm.기본_색인번호, 0),
_xlpm.지형보정치, VLOOKUP($I187, Factor!$K$12:$R$13, _xlpm.기본_색인번호, 0),
_xlpm.공격속성보정치, VLOOKUP($J187, Factor!$K$5:$R$7, _xlpm.기본_색인번호, 0),
_xlpm.피해범위보정치, INDEX(Factor!$AN$5:$AV$51, _xlfn.XMATCH(IF(OR($G187="blast", $G187="curved",  $G187= "debuff"), $L187, 0), Factor!$AN$5:$AN$51, -1), _xlpm.추가_색인번호)-IF(AND(OR($G187="blast", $G187="curved", $G187= "debuff"), MOD($L187,1)&lt;&gt;0),INDEX(Factor!$AN$5:$AV$51, _xlfn.XMATCH(IF(OR($G187="blast", $G187="curved", $G187= "debuff"), $L187, 0), Factor!$AN$5:$AN$51, -1), 2)*MOD($L187,1)*10,0),
_xlpm.상태이상보정치, VLOOKUP(IF($G187 = "debuff", $M187, "null"), Factor!$AX$5:$BE$51, _xlpm.기본_색인번호, 0),
_xlpm.지속시간보정치, INDEX(Factor!$BG$5:$BO$51, _xlfn.XMATCH(IF(OR($G187 ="debuff", $G187 = "shot", $G187 = "pierce"), $O187, 0), Factor!$BG$5:$BG$51, -1), _xlpm.추가_색인번호)-IF(AND(OR($G187 ="debuff", $G187 = "shot", $G187 = "pierce"), MOD($O187, 1)&lt;&gt;0), 10*MOD($O187, 1)*INDEX(Factor!$BG$5:$BO$51, _xlfn.XMATCH(IF(OR($G187 ="debuff", $G187 = "shot", $G187 = "pierce"), $O187, 0), Factor!$BG$5:$BG$51, -1), 2), 0),
_xlpm.탄환개수보정치, VLOOKUP(IF(OR($G187 = "curved", $G187 = "shot"), $Q187, 1), Factor!$BQ$5:$BX$51, _xlpm.기본_색인번호, 0),
_xlpm.상태이상탄환생성위치보정치, IF($G187 = "debuff", VLOOKUP($R187, Factor!$K$18:$R$19, _xlpm.기본_색인번호, 0),1),
_xlpm.상태이상탄환형태보정치, IF($G187 = "debuff", VLOOKUP($S187, Factor!$K$24:$R$25, _xlpm.기본_색인번호, 0),1),
_xlpm.가격보정치, INDEX(Factor!$AE$5:$AL$51, _xlfn.XMATCH($F187,Factor!$AE$5:$AE$51, -1), _xlpm.기본_색인번호),
_xlpm.구경보정치, VLOOKUP($D187,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</row>
    <row r="188" spans="1:33" ht="15.75" customHeight="1">
      <c r="A188" s="28" t="str">
        <f>"weapon_"&amp;G188&amp;"_"&amp;VLOOKUP(H188, Factor!$T$5:$AB$7, 9, 0)&amp;"_"&amp;IF(COUNTIFS($G$4:G187, G188, $H$4:H187, H188)+1&gt;=100, COUNTIFS($G$4:G187, G188, $H$4:H187, H188)+1,IF(COUNTIFS($G$4:G187, G188, $H$4:H187, H188)+1&gt;=10, "0"&amp;COUNTIFS($G$4:G187, G188, $H$4:H187, H188)+1, "00"&amp;COUNTIFS($G$4:G187, G188, $H$4:H187, H188)+1))</f>
        <v>weapon_shot_Am_008</v>
      </c>
      <c r="B188" s="37" t="str">
        <f t="shared" si="3"/>
        <v>T1 20mm쌍열 기관포</v>
      </c>
      <c r="C188" s="37" t="s">
        <v>238</v>
      </c>
      <c r="D188" s="37" t="s">
        <v>244</v>
      </c>
      <c r="E188" s="37" t="s">
        <v>194</v>
      </c>
      <c r="F188" s="29">
        <f>VLOOKUP(C188, Factor!$AD$5:$AE$15, 2, 0)</f>
        <v>1000</v>
      </c>
      <c r="G188" s="29" t="str">
        <f>VLOOKUP(E188, Factor!$CL$5:$CV$50, 2, 0)</f>
        <v>shot</v>
      </c>
      <c r="H188" s="29" t="str">
        <f>VLOOKUP(E188, Factor!$CL$5:$CV$50, 3, 0)</f>
        <v>ammo</v>
      </c>
      <c r="I188" s="29" t="str">
        <f>VLOOKUP(E188, Factor!$CL$5:$CV$50, 4, 0)</f>
        <v>L</v>
      </c>
      <c r="J188" s="29" t="str">
        <f>VLOOKUP(E188, Factor!$CL$5:$CV$50, 5, 0)</f>
        <v>spread</v>
      </c>
      <c r="K188" s="29">
        <v>1</v>
      </c>
      <c r="L188" s="29">
        <f>VLOOKUP(E188, Factor!$CL$5:$CV$50, 6, 0)*K188*VLOOKUP(D188, Factor!$BZ$5:$CJ$49, 9, 0)</f>
        <v>0</v>
      </c>
      <c r="M188" s="29" t="str">
        <f>VLOOKUP(E188, Factor!$CL$5:$CV$50, 7, 0)</f>
        <v>null</v>
      </c>
      <c r="N188" s="29">
        <v>1</v>
      </c>
      <c r="O188" s="29">
        <f>VLOOKUP(E188, Factor!$CL$5:$CV$50, 8, 0)*N188*VLOOKUP(D188, Factor!$BZ$5:$CJ$49, 10, 0)</f>
        <v>15</v>
      </c>
      <c r="P188" s="29">
        <v>1</v>
      </c>
      <c r="Q188" s="29">
        <f>VLOOKUP(E188, Factor!$CL$5:$CV$50, 9, 0)*P188*VLOOKUP(D188, Factor!$BZ$5:$CJ$49, 11, 0)</f>
        <v>5</v>
      </c>
      <c r="R188" s="29" t="str">
        <f>VLOOKUP(E188, Factor!$CL$5:$CV$50, 10, 0)</f>
        <v>null</v>
      </c>
      <c r="S188" s="29" t="str">
        <f>VLOOKUP(E188, Factor!$CL$5:$CV$50, 11, 0)</f>
        <v>null</v>
      </c>
      <c r="T188" s="29">
        <v>1</v>
      </c>
      <c r="U188" s="29">
        <v>1</v>
      </c>
      <c r="V188" s="29">
        <v>1</v>
      </c>
      <c r="W188" s="29">
        <v>1</v>
      </c>
      <c r="X188" s="29">
        <v>1</v>
      </c>
      <c r="Y188" s="29">
        <v>1</v>
      </c>
      <c r="Z188" s="29">
        <v>1</v>
      </c>
      <c r="AA188" s="29" cm="1">
        <f t="array" ref="AA188">_xlfn.LET(_xlpm.기본_색인번호, 2,
_xlpm.추가_색인번호, 3,
_xlpm.개별보정치, T188,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1000</v>
      </c>
      <c r="AB188" s="29" cm="1">
        <f t="array" ref="AB188">_xlfn.LET(_xlpm.기본_색인번호, 3,
_xlpm.추가_색인번호, 4,
_xlpm.개별보정치, U188,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188" s="29" cm="1">
        <f t="array" ref="AC188">_xlfn.LET(_xlpm.기본_색인번호, 4,
_xlpm.추가_색인번호, 5,
_xlpm.개별보정치, V188,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188" s="29" cm="1">
        <f t="array" ref="AD188">_xlfn.LET(_xlpm.기본_색인번호, 5,
_xlpm.추가_색인번호, 6,
_xlpm.개별보정치, W188,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188" s="29" cm="1">
        <f t="array" ref="AE188">_xlfn.LET(_xlpm.기본_색인번호, 6,
_xlpm.추가_색인번호, 7,
_xlpm.개별보정치, X188,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188" s="29" cm="1">
        <f t="array" ref="AF188">_xlfn.LET(_xlpm.기본_색인번호, 7,
_xlpm.추가_색인번호, 8,
_xlpm.개별보정치, Y188,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188" s="30" cm="1">
        <f t="array" ref="AG188">_xlfn.LET(_xlpm.기본_색인번호, 8,
_xlpm.추가_색인번호, 9,
_xlpm.개별보정치, Z188,
_xlpm.패턴보정치, VLOOKUP($G188, Factor!$B$5:$I$51, _xlpm.기본_색인번호, 0),
_xlpm.소모탄환보정치, VLOOKUP($H188, Factor!$T$5:$AA$51, _xlpm.기본_색인번호, 0),
_xlpm.지형보정치, VLOOKUP($I188, Factor!$K$12:$R$13, _xlpm.기본_색인번호, 0),
_xlpm.공격속성보정치, VLOOKUP($J188, Factor!$K$5:$R$7, _xlpm.기본_색인번호, 0),
_xlpm.피해범위보정치, INDEX(Factor!$AN$5:$AV$51, _xlfn.XMATCH(IF(OR($G188="blast", $G188="curved",  $G188= "debuff"), $L188, 0), Factor!$AN$5:$AN$51, -1), _xlpm.추가_색인번호)-IF(AND(OR($G188="blast", $G188="curved", $G188= "debuff"), MOD($L188,1)&lt;&gt;0),INDEX(Factor!$AN$5:$AV$51, _xlfn.XMATCH(IF(OR($G188="blast", $G188="curved", $G188= "debuff"), $L188, 0), Factor!$AN$5:$AN$51, -1), 2)*MOD($L188,1)*10,0),
_xlpm.상태이상보정치, VLOOKUP(IF($G188 = "debuff", $M188, "null"), Factor!$AX$5:$BE$51, _xlpm.기본_색인번호, 0),
_xlpm.지속시간보정치, INDEX(Factor!$BG$5:$BO$51, _xlfn.XMATCH(IF(OR($G188 ="debuff", $G188 = "shot", $G188 = "pierce"), $O188, 0), Factor!$BG$5:$BG$51, -1), _xlpm.추가_색인번호)-IF(AND(OR($G188 ="debuff", $G188 = "shot", $G188 = "pierce"), MOD($O188, 1)&lt;&gt;0), 10*MOD($O188, 1)*INDEX(Factor!$BG$5:$BO$51, _xlfn.XMATCH(IF(OR($G188 ="debuff", $G188 = "shot", $G188 = "pierce"), $O188, 0), Factor!$BG$5:$BG$51, -1), 2), 0),
_xlpm.탄환개수보정치, VLOOKUP(IF(OR($G188 = "curved", $G188 = "shot"), $Q188, 1), Factor!$BQ$5:$BX$51, _xlpm.기본_색인번호, 0),
_xlpm.상태이상탄환생성위치보정치, IF($G188 = "debuff", VLOOKUP($R188, Factor!$K$18:$R$19, _xlpm.기본_색인번호, 0),1),
_xlpm.상태이상탄환형태보정치, IF($G188 = "debuff", VLOOKUP($S188, Factor!$K$24:$R$25, _xlpm.기본_색인번호, 0),1),
_xlpm.가격보정치, INDEX(Factor!$AE$5:$AL$51, _xlfn.XMATCH($F188,Factor!$AE$5:$AE$51, -1), _xlpm.기본_색인번호),
_xlpm.구경보정치, VLOOKUP($D188,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189" spans="1:33" ht="15.75" customHeight="1">
      <c r="A189" s="24" t="str">
        <f>"weapon_"&amp;G189&amp;"_"&amp;VLOOKUP(H189, Factor!$T$5:$AB$7, 9, 0)&amp;"_"&amp;IF(COUNTIFS($G$4:G188, G189, $H$4:H188, H189)+1&gt;=100, COUNTIFS($G$4:G188, G189, $H$4:H188, H189)+1,IF(COUNTIFS($G$4:G188, G189, $H$4:H188, H189)+1&gt;=10, "0"&amp;COUNTIFS($G$4:G188, G189, $H$4:H188, H189)+1, "00"&amp;COUNTIFS($G$4:G188, G189, $H$4:H188, H189)+1))</f>
        <v>weapon_shot_Am_009</v>
      </c>
      <c r="B189" s="36" t="str">
        <f t="shared" si="3"/>
        <v>T2 5.56mm쌍열 기관포</v>
      </c>
      <c r="C189" s="36" t="s">
        <v>246</v>
      </c>
      <c r="D189" s="36" t="s">
        <v>241</v>
      </c>
      <c r="E189" s="36" t="s">
        <v>194</v>
      </c>
      <c r="F189" s="25">
        <f>VLOOKUP(C189, Factor!$AD$5:$AE$15, 2, 0)</f>
        <v>2000</v>
      </c>
      <c r="G189" s="26" t="str">
        <f>VLOOKUP(E189, Factor!$CL$5:$CV$50, 2, 0)</f>
        <v>shot</v>
      </c>
      <c r="H189" s="25" t="str">
        <f>VLOOKUP(E189, Factor!$CL$5:$CV$50, 3, 0)</f>
        <v>ammo</v>
      </c>
      <c r="I189" s="25" t="str">
        <f>VLOOKUP(E189, Factor!$CL$5:$CV$50, 4, 0)</f>
        <v>L</v>
      </c>
      <c r="J189" s="25" t="str">
        <f>VLOOKUP(E189, Factor!$CL$5:$CV$50, 5, 0)</f>
        <v>spread</v>
      </c>
      <c r="K189" s="25">
        <v>1</v>
      </c>
      <c r="L189" s="25">
        <f>VLOOKUP(E189, Factor!$CL$5:$CV$50, 6, 0)*K189*VLOOKUP(D189, Factor!$BZ$5:$CJ$49, 9, 0)</f>
        <v>0</v>
      </c>
      <c r="M189" s="25" t="str">
        <f>VLOOKUP(E189, Factor!$CL$5:$CV$50, 7, 0)</f>
        <v>null</v>
      </c>
      <c r="N189" s="25">
        <v>1</v>
      </c>
      <c r="O189" s="25">
        <f>VLOOKUP(E189, Factor!$CL$5:$CV$50, 8, 0)*N189*VLOOKUP(D189, Factor!$BZ$5:$CJ$49, 10, 0)</f>
        <v>6</v>
      </c>
      <c r="P189" s="25">
        <v>1</v>
      </c>
      <c r="Q189" s="25">
        <f>VLOOKUP(E189, Factor!$CL$5:$CV$50, 9, 0)*P189*VLOOKUP(D189, Factor!$BZ$5:$CJ$49, 11, 0)</f>
        <v>2</v>
      </c>
      <c r="R189" s="25" t="str">
        <f>VLOOKUP(E189, Factor!$CL$5:$CV$50, 10, 0)</f>
        <v>null</v>
      </c>
      <c r="S189" s="25" t="str">
        <f>VLOOKUP(E189, Factor!$CL$5:$CV$50, 11, 0)</f>
        <v>null</v>
      </c>
      <c r="T189" s="25">
        <v>1</v>
      </c>
      <c r="U189" s="25">
        <v>1</v>
      </c>
      <c r="V189" s="25">
        <v>1</v>
      </c>
      <c r="W189" s="25">
        <v>1</v>
      </c>
      <c r="X189" s="25">
        <v>1</v>
      </c>
      <c r="Y189" s="25">
        <v>1</v>
      </c>
      <c r="Z189" s="25">
        <v>1</v>
      </c>
      <c r="AA189" s="25" cm="1">
        <f t="array" ref="AA189">_xlfn.LET(_xlpm.기본_색인번호, 2,
_xlpm.추가_색인번호, 3,
_xlpm.개별보정치, T189,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B189" s="25" cm="1">
        <f t="array" ref="AB189">_xlfn.LET(_xlpm.기본_색인번호, 3,
_xlpm.추가_색인번호, 4,
_xlpm.개별보정치, U189,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C189" s="25" cm="1">
        <f t="array" ref="AC189">_xlfn.LET(_xlpm.기본_색인번호, 4,
_xlpm.추가_색인번호, 5,
_xlpm.개별보정치, V189,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189" s="25" cm="1">
        <f t="array" ref="AD189">_xlfn.LET(_xlpm.기본_색인번호, 5,
_xlpm.추가_색인번호, 6,
_xlpm.개별보정치, W189,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21.599999999999998</v>
      </c>
      <c r="AE189" s="25" cm="1">
        <f t="array" ref="AE189">_xlfn.LET(_xlpm.기본_색인번호, 6,
_xlpm.추가_색인번호, 7,
_xlpm.개별보정치, X189,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21.599999999999998</v>
      </c>
      <c r="AF189" s="25" cm="1">
        <f t="array" ref="AF189">_xlfn.LET(_xlpm.기본_색인번호, 7,
_xlpm.추가_색인번호, 8,
_xlpm.개별보정치, Y189,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189" s="27" cm="1">
        <f t="array" ref="AG189">_xlfn.LET(_xlpm.기본_색인번호, 8,
_xlpm.추가_색인번호, 9,
_xlpm.개별보정치, Z189,
_xlpm.패턴보정치, VLOOKUP($G189, Factor!$B$5:$I$51, _xlpm.기본_색인번호, 0),
_xlpm.소모탄환보정치, VLOOKUP($H189, Factor!$T$5:$AA$51, _xlpm.기본_색인번호, 0),
_xlpm.지형보정치, VLOOKUP($I189, Factor!$K$12:$R$13, _xlpm.기본_색인번호, 0),
_xlpm.공격속성보정치, VLOOKUP($J189, Factor!$K$5:$R$7, _xlpm.기본_색인번호, 0),
_xlpm.피해범위보정치, INDEX(Factor!$AN$5:$AV$51, _xlfn.XMATCH(IF(OR($G189="blast", $G189="curved",  $G189= "debuff"), $L189, 0), Factor!$AN$5:$AN$51, -1), _xlpm.추가_색인번호)-IF(AND(OR($G189="blast", $G189="curved", $G189= "debuff"), MOD($L189,1)&lt;&gt;0),INDEX(Factor!$AN$5:$AV$51, _xlfn.XMATCH(IF(OR($G189="blast", $G189="curved", $G189= "debuff"), $L189, 0), Factor!$AN$5:$AN$51, -1), 2)*MOD($L189,1)*10,0),
_xlpm.상태이상보정치, VLOOKUP(IF($G189 = "debuff", $M189, "null"), Factor!$AX$5:$BE$51, _xlpm.기본_색인번호, 0),
_xlpm.지속시간보정치, INDEX(Factor!$BG$5:$BO$51, _xlfn.XMATCH(IF(OR($G189 ="debuff", $G189 = "shot", $G189 = "pierce"), $O189, 0), Factor!$BG$5:$BG$51, -1), _xlpm.추가_색인번호)-IF(AND(OR($G189 ="debuff", $G189 = "shot", $G189 = "pierce"), MOD($O189, 1)&lt;&gt;0), 10*MOD($O189, 1)*INDEX(Factor!$BG$5:$BO$51, _xlfn.XMATCH(IF(OR($G189 ="debuff", $G189 = "shot", $G189 = "pierce"), $O189, 0), Factor!$BG$5:$BG$51, -1), 2), 0),
_xlpm.탄환개수보정치, VLOOKUP(IF(OR($G189 = "curved", $G189 = "shot"), $Q189, 1), Factor!$BQ$5:$BX$51, _xlpm.기본_색인번호, 0),
_xlpm.상태이상탄환생성위치보정치, IF($G189 = "debuff", VLOOKUP($R189, Factor!$K$18:$R$19, _xlpm.기본_색인번호, 0),1),
_xlpm.상태이상탄환형태보정치, IF($G189 = "debuff", VLOOKUP($S189, Factor!$K$24:$R$25, _xlpm.기본_색인번호, 0),1),
_xlpm.가격보정치, INDEX(Factor!$AE$5:$AL$51, _xlfn.XMATCH($F189,Factor!$AE$5:$AE$51, -1), _xlpm.기본_색인번호),
_xlpm.구경보정치, VLOOKUP($D189,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21.599999999999998</v>
      </c>
    </row>
    <row r="190" spans="1:33" ht="15.75" customHeight="1">
      <c r="A190" s="28" t="str">
        <f>"weapon_"&amp;G190&amp;"_"&amp;VLOOKUP(H190, Factor!$T$5:$AB$7, 9, 0)&amp;"_"&amp;IF(COUNTIFS($G$4:G189, G190, $H$4:H189, H190)+1&gt;=100, COUNTIFS($G$4:G189, G190, $H$4:H189, H190)+1,IF(COUNTIFS($G$4:G189, G190, $H$4:H189, H190)+1&gt;=10, "0"&amp;COUNTIFS($G$4:G189, G190, $H$4:H189, H190)+1, "00"&amp;COUNTIFS($G$4:G189, G190, $H$4:H189, H190)+1))</f>
        <v>weapon_shot_Am_010</v>
      </c>
      <c r="B190" s="37" t="str">
        <f t="shared" si="3"/>
        <v>T2 7.62mm쌍열 기관포</v>
      </c>
      <c r="C190" s="37" t="s">
        <v>246</v>
      </c>
      <c r="D190" s="37" t="s">
        <v>242</v>
      </c>
      <c r="E190" s="37" t="s">
        <v>194</v>
      </c>
      <c r="F190" s="29">
        <f>VLOOKUP(C190, Factor!$AD$5:$AE$15, 2, 0)</f>
        <v>2000</v>
      </c>
      <c r="G190" s="29" t="str">
        <f>VLOOKUP(E190, Factor!$CL$5:$CV$50, 2, 0)</f>
        <v>shot</v>
      </c>
      <c r="H190" s="29" t="str">
        <f>VLOOKUP(E190, Factor!$CL$5:$CV$50, 3, 0)</f>
        <v>ammo</v>
      </c>
      <c r="I190" s="29" t="str">
        <f>VLOOKUP(E190, Factor!$CL$5:$CV$50, 4, 0)</f>
        <v>L</v>
      </c>
      <c r="J190" s="29" t="str">
        <f>VLOOKUP(E190, Factor!$CL$5:$CV$50, 5, 0)</f>
        <v>spread</v>
      </c>
      <c r="K190" s="29">
        <v>1</v>
      </c>
      <c r="L190" s="29">
        <f>VLOOKUP(E190, Factor!$CL$5:$CV$50, 6, 0)*K190*VLOOKUP(D190, Factor!$BZ$5:$CJ$49, 9, 0)</f>
        <v>0</v>
      </c>
      <c r="M190" s="29" t="str">
        <f>VLOOKUP(E190, Factor!$CL$5:$CV$50, 7, 0)</f>
        <v>null</v>
      </c>
      <c r="N190" s="29">
        <v>1</v>
      </c>
      <c r="O190" s="29">
        <f>VLOOKUP(E190, Factor!$CL$5:$CV$50, 8, 0)*N190*VLOOKUP(D190, Factor!$BZ$5:$CJ$49, 10, 0)</f>
        <v>9</v>
      </c>
      <c r="P190" s="29">
        <v>1</v>
      </c>
      <c r="Q190" s="29">
        <f>VLOOKUP(E190, Factor!$CL$5:$CV$50, 9, 0)*P190*VLOOKUP(D190, Factor!$BZ$5:$CJ$49, 11, 0)</f>
        <v>3</v>
      </c>
      <c r="R190" s="29" t="str">
        <f>VLOOKUP(E190, Factor!$CL$5:$CV$50, 10, 0)</f>
        <v>null</v>
      </c>
      <c r="S190" s="29" t="str">
        <f>VLOOKUP(E190, Factor!$CL$5:$CV$50, 11, 0)</f>
        <v>null</v>
      </c>
      <c r="T190" s="29">
        <v>1</v>
      </c>
      <c r="U190" s="29">
        <v>1</v>
      </c>
      <c r="V190" s="29">
        <v>1</v>
      </c>
      <c r="W190" s="29">
        <v>1</v>
      </c>
      <c r="X190" s="29">
        <v>1</v>
      </c>
      <c r="Y190" s="29">
        <v>1</v>
      </c>
      <c r="Z190" s="29">
        <v>1</v>
      </c>
      <c r="AA190" s="29" cm="1">
        <f t="array" ref="AA190">_xlfn.LET(_xlpm.기본_색인번호, 2,
_xlpm.추가_색인번호, 3,
_xlpm.개별보정치, T190,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</v>
      </c>
      <c r="AB190" s="29" cm="1">
        <f t="array" ref="AB190">_xlfn.LET(_xlpm.기본_색인번호, 3,
_xlpm.추가_색인번호, 4,
_xlpm.개별보정치, U190,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C190" s="29" cm="1">
        <f t="array" ref="AC190">_xlfn.LET(_xlpm.기본_색인번호, 4,
_xlpm.추가_색인번호, 5,
_xlpm.개별보정치, V190,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190" s="29" cm="1">
        <f t="array" ref="AD190">_xlfn.LET(_xlpm.기본_색인번호, 5,
_xlpm.추가_색인번호, 6,
_xlpm.개별보정치, W190,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48.599999999999994</v>
      </c>
      <c r="AE190" s="29" cm="1">
        <f t="array" ref="AE190">_xlfn.LET(_xlpm.기본_색인번호, 6,
_xlpm.추가_색인번호, 7,
_xlpm.개별보정치, X190,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48.599999999999994</v>
      </c>
      <c r="AF190" s="29" cm="1">
        <f t="array" ref="AF190">_xlfn.LET(_xlpm.기본_색인번호, 7,
_xlpm.추가_색인번호, 8,
_xlpm.개별보정치, Y190,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190" s="30" cm="1">
        <f t="array" ref="AG190">_xlfn.LET(_xlpm.기본_색인번호, 8,
_xlpm.추가_색인번호, 9,
_xlpm.개별보정치, Z190,
_xlpm.패턴보정치, VLOOKUP($G190, Factor!$B$5:$I$51, _xlpm.기본_색인번호, 0),
_xlpm.소모탄환보정치, VLOOKUP($H190, Factor!$T$5:$AA$51, _xlpm.기본_색인번호, 0),
_xlpm.지형보정치, VLOOKUP($I190, Factor!$K$12:$R$13, _xlpm.기본_색인번호, 0),
_xlpm.공격속성보정치, VLOOKUP($J190, Factor!$K$5:$R$7, _xlpm.기본_색인번호, 0),
_xlpm.피해범위보정치, INDEX(Factor!$AN$5:$AV$51, _xlfn.XMATCH(IF(OR($G190="blast", $G190="curved",  $G190= "debuff"), $L190, 0), Factor!$AN$5:$AN$51, -1), _xlpm.추가_색인번호)-IF(AND(OR($G190="blast", $G190="curved", $G190= "debuff"), MOD($L190,1)&lt;&gt;0),INDEX(Factor!$AN$5:$AV$51, _xlfn.XMATCH(IF(OR($G190="blast", $G190="curved", $G190= "debuff"), $L190, 0), Factor!$AN$5:$AN$51, -1), 2)*MOD($L190,1)*10,0),
_xlpm.상태이상보정치, VLOOKUP(IF($G190 = "debuff", $M190, "null"), Factor!$AX$5:$BE$51, _xlpm.기본_색인번호, 0),
_xlpm.지속시간보정치, INDEX(Factor!$BG$5:$BO$51, _xlfn.XMATCH(IF(OR($G190 ="debuff", $G190 = "shot", $G190 = "pierce"), $O190, 0), Factor!$BG$5:$BG$51, -1), _xlpm.추가_색인번호)-IF(AND(OR($G190 ="debuff", $G190 = "shot", $G190 = "pierce"), MOD($O190, 1)&lt;&gt;0), 10*MOD($O190, 1)*INDEX(Factor!$BG$5:$BO$51, _xlfn.XMATCH(IF(OR($G190 ="debuff", $G190 = "shot", $G190 = "pierce"), $O190, 0), Factor!$BG$5:$BG$51, -1), 2), 0),
_xlpm.탄환개수보정치, VLOOKUP(IF(OR($G190 = "curved", $G190 = "shot"), $Q190, 1), Factor!$BQ$5:$BX$51, _xlpm.기본_색인번호, 0),
_xlpm.상태이상탄환생성위치보정치, IF($G190 = "debuff", VLOOKUP($R190, Factor!$K$18:$R$19, _xlpm.기본_색인번호, 0),1),
_xlpm.상태이상탄환형태보정치, IF($G190 = "debuff", VLOOKUP($S190, Factor!$K$24:$R$25, _xlpm.기본_색인번호, 0),1),
_xlpm.가격보정치, INDEX(Factor!$AE$5:$AL$51, _xlfn.XMATCH($F190,Factor!$AE$5:$AE$51, -1), _xlpm.기본_색인번호),
_xlpm.구경보정치, VLOOKUP($D190,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48.599999999999994</v>
      </c>
    </row>
    <row r="191" spans="1:33" ht="15.75" customHeight="1">
      <c r="A191" s="24" t="str">
        <f>"weapon_"&amp;G191&amp;"_"&amp;VLOOKUP(H191, Factor!$T$5:$AB$7, 9, 0)&amp;"_"&amp;IF(COUNTIFS($G$4:G190, G191, $H$4:H190, H191)+1&gt;=100, COUNTIFS($G$4:G190, G191, $H$4:H190, H191)+1,IF(COUNTIFS($G$4:G190, G191, $H$4:H190, H191)+1&gt;=10, "0"&amp;COUNTIFS($G$4:G190, G191, $H$4:H190, H191)+1, "00"&amp;COUNTIFS($G$4:G190, G191, $H$4:H190, H191)+1))</f>
        <v>weapon_shot_Am_011</v>
      </c>
      <c r="B191" s="36" t="str">
        <f t="shared" si="3"/>
        <v>T2 12.7mm쌍열 기관포</v>
      </c>
      <c r="C191" s="36" t="s">
        <v>246</v>
      </c>
      <c r="D191" s="36" t="s">
        <v>243</v>
      </c>
      <c r="E191" s="36" t="s">
        <v>194</v>
      </c>
      <c r="F191" s="25">
        <f>VLOOKUP(C191, Factor!$AD$5:$AE$15, 2, 0)</f>
        <v>2000</v>
      </c>
      <c r="G191" s="26" t="str">
        <f>VLOOKUP(E191, Factor!$CL$5:$CV$50, 2, 0)</f>
        <v>shot</v>
      </c>
      <c r="H191" s="25" t="str">
        <f>VLOOKUP(E191, Factor!$CL$5:$CV$50, 3, 0)</f>
        <v>ammo</v>
      </c>
      <c r="I191" s="25" t="str">
        <f>VLOOKUP(E191, Factor!$CL$5:$CV$50, 4, 0)</f>
        <v>L</v>
      </c>
      <c r="J191" s="25" t="str">
        <f>VLOOKUP(E191, Factor!$CL$5:$CV$50, 5, 0)</f>
        <v>spread</v>
      </c>
      <c r="K191" s="25">
        <v>1</v>
      </c>
      <c r="L191" s="25">
        <f>VLOOKUP(E191, Factor!$CL$5:$CV$50, 6, 0)*K191*VLOOKUP(D191, Factor!$BZ$5:$CJ$49, 9, 0)</f>
        <v>0</v>
      </c>
      <c r="M191" s="25" t="str">
        <f>VLOOKUP(E191, Factor!$CL$5:$CV$50, 7, 0)</f>
        <v>null</v>
      </c>
      <c r="N191" s="25">
        <v>1</v>
      </c>
      <c r="O191" s="25">
        <f>VLOOKUP(E191, Factor!$CL$5:$CV$50, 8, 0)*N191*VLOOKUP(D191, Factor!$BZ$5:$CJ$49, 10, 0)</f>
        <v>12</v>
      </c>
      <c r="P191" s="25">
        <v>1</v>
      </c>
      <c r="Q191" s="25">
        <f>VLOOKUP(E191, Factor!$CL$5:$CV$50, 9, 0)*P191*VLOOKUP(D191, Factor!$BZ$5:$CJ$49, 11, 0)</f>
        <v>4</v>
      </c>
      <c r="R191" s="25" t="str">
        <f>VLOOKUP(E191, Factor!$CL$5:$CV$50, 10, 0)</f>
        <v>null</v>
      </c>
      <c r="S191" s="25" t="str">
        <f>VLOOKUP(E191, Factor!$CL$5:$CV$50, 11, 0)</f>
        <v>null</v>
      </c>
      <c r="T191" s="25">
        <v>1</v>
      </c>
      <c r="U191" s="25">
        <v>1</v>
      </c>
      <c r="V191" s="25">
        <v>1</v>
      </c>
      <c r="W191" s="25">
        <v>1</v>
      </c>
      <c r="X191" s="25">
        <v>1</v>
      </c>
      <c r="Y191" s="25">
        <v>1</v>
      </c>
      <c r="Z191" s="25">
        <v>1</v>
      </c>
      <c r="AA191" s="25" cm="1">
        <f t="array" ref="AA191">_xlfn.LET(_xlpm.기본_색인번호, 2,
_xlpm.추가_색인번호, 3,
_xlpm.개별보정치, T191,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191" s="25" cm="1">
        <f t="array" ref="AB191">_xlfn.LET(_xlpm.기본_색인번호, 3,
_xlpm.추가_색인번호, 4,
_xlpm.개별보정치, U191,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C191" s="25" cm="1">
        <f t="array" ref="AC191">_xlfn.LET(_xlpm.기본_색인번호, 4,
_xlpm.추가_색인번호, 5,
_xlpm.개별보정치, V191,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191" s="25" cm="1">
        <f t="array" ref="AD191">_xlfn.LET(_xlpm.기본_색인번호, 5,
_xlpm.추가_색인번호, 6,
_xlpm.개별보정치, W191,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E191" s="25" cm="1">
        <f t="array" ref="AE191">_xlfn.LET(_xlpm.기본_색인번호, 6,
_xlpm.추가_색인번호, 7,
_xlpm.개별보정치, X191,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F191" s="25" cm="1">
        <f t="array" ref="AF191">_xlfn.LET(_xlpm.기본_색인번호, 7,
_xlpm.추가_색인번호, 8,
_xlpm.개별보정치, Y191,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191" s="27" cm="1">
        <f t="array" ref="AG191">_xlfn.LET(_xlpm.기본_색인번호, 8,
_xlpm.추가_색인번호, 9,
_xlpm.개별보정치, Z191,
_xlpm.패턴보정치, VLOOKUP($G191, Factor!$B$5:$I$51, _xlpm.기본_색인번호, 0),
_xlpm.소모탄환보정치, VLOOKUP($H191, Factor!$T$5:$AA$51, _xlpm.기본_색인번호, 0),
_xlpm.지형보정치, VLOOKUP($I191, Factor!$K$12:$R$13, _xlpm.기본_색인번호, 0),
_xlpm.공격속성보정치, VLOOKUP($J191, Factor!$K$5:$R$7, _xlpm.기본_색인번호, 0),
_xlpm.피해범위보정치, INDEX(Factor!$AN$5:$AV$51, _xlfn.XMATCH(IF(OR($G191="blast", $G191="curved",  $G191= "debuff"), $L191, 0), Factor!$AN$5:$AN$51, -1), _xlpm.추가_색인번호)-IF(AND(OR($G191="blast", $G191="curved", $G191= "debuff"), MOD($L191,1)&lt;&gt;0),INDEX(Factor!$AN$5:$AV$51, _xlfn.XMATCH(IF(OR($G191="blast", $G191="curved", $G191= "debuff"), $L191, 0), Factor!$AN$5:$AN$51, -1), 2)*MOD($L191,1)*10,0),
_xlpm.상태이상보정치, VLOOKUP(IF($G191 = "debuff", $M191, "null"), Factor!$AX$5:$BE$51, _xlpm.기본_색인번호, 0),
_xlpm.지속시간보정치, INDEX(Factor!$BG$5:$BO$51, _xlfn.XMATCH(IF(OR($G191 ="debuff", $G191 = "shot", $G191 = "pierce"), $O191, 0), Factor!$BG$5:$BG$51, -1), _xlpm.추가_색인번호)-IF(AND(OR($G191 ="debuff", $G191 = "shot", $G191 = "pierce"), MOD($O191, 1)&lt;&gt;0), 10*MOD($O191, 1)*INDEX(Factor!$BG$5:$BO$51, _xlfn.XMATCH(IF(OR($G191 ="debuff", $G191 = "shot", $G191 = "pierce"), $O191, 0), Factor!$BG$5:$BG$51, -1), 2), 0),
_xlpm.탄환개수보정치, VLOOKUP(IF(OR($G191 = "curved", $G191 = "shot"), $Q191, 1), Factor!$BQ$5:$BX$51, _xlpm.기본_색인번호, 0),
_xlpm.상태이상탄환생성위치보정치, IF($G191 = "debuff", VLOOKUP($R191, Factor!$K$18:$R$19, _xlpm.기본_색인번호, 0),1),
_xlpm.상태이상탄환형태보정치, IF($G191 = "debuff", VLOOKUP($S191, Factor!$K$24:$R$25, _xlpm.기본_색인번호, 0),1),
_xlpm.가격보정치, INDEX(Factor!$AE$5:$AL$51, _xlfn.XMATCH($F191,Factor!$AE$5:$AE$51, -1), _xlpm.기본_색인번호),
_xlpm.구경보정치, VLOOKUP($D191,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</row>
    <row r="192" spans="1:33" ht="15.75" customHeight="1">
      <c r="A192" s="28" t="str">
        <f>"weapon_"&amp;G192&amp;"_"&amp;VLOOKUP(H192, Factor!$T$5:$AB$7, 9, 0)&amp;"_"&amp;IF(COUNTIFS($G$4:G191, G192, $H$4:H191, H192)+1&gt;=100, COUNTIFS($G$4:G191, G192, $H$4:H191, H192)+1,IF(COUNTIFS($G$4:G191, G192, $H$4:H191, H192)+1&gt;=10, "0"&amp;COUNTIFS($G$4:G191, G192, $H$4:H191, H192)+1, "00"&amp;COUNTIFS($G$4:G191, G192, $H$4:H191, H192)+1))</f>
        <v>weapon_shot_Am_012</v>
      </c>
      <c r="B192" s="37" t="str">
        <f t="shared" si="3"/>
        <v>T2 20mm쌍열 기관포</v>
      </c>
      <c r="C192" s="37" t="s">
        <v>246</v>
      </c>
      <c r="D192" s="37" t="s">
        <v>244</v>
      </c>
      <c r="E192" s="37" t="s">
        <v>194</v>
      </c>
      <c r="F192" s="29">
        <f>VLOOKUP(C192, Factor!$AD$5:$AE$15, 2, 0)</f>
        <v>2000</v>
      </c>
      <c r="G192" s="29" t="str">
        <f>VLOOKUP(E192, Factor!$CL$5:$CV$50, 2, 0)</f>
        <v>shot</v>
      </c>
      <c r="H192" s="29" t="str">
        <f>VLOOKUP(E192, Factor!$CL$5:$CV$50, 3, 0)</f>
        <v>ammo</v>
      </c>
      <c r="I192" s="29" t="str">
        <f>VLOOKUP(E192, Factor!$CL$5:$CV$50, 4, 0)</f>
        <v>L</v>
      </c>
      <c r="J192" s="29" t="str">
        <f>VLOOKUP(E192, Factor!$CL$5:$CV$50, 5, 0)</f>
        <v>spread</v>
      </c>
      <c r="K192" s="29">
        <v>1</v>
      </c>
      <c r="L192" s="29">
        <f>VLOOKUP(E192, Factor!$CL$5:$CV$50, 6, 0)*K192*VLOOKUP(D192, Factor!$BZ$5:$CJ$49, 9, 0)</f>
        <v>0</v>
      </c>
      <c r="M192" s="29" t="str">
        <f>VLOOKUP(E192, Factor!$CL$5:$CV$50, 7, 0)</f>
        <v>null</v>
      </c>
      <c r="N192" s="29">
        <v>1</v>
      </c>
      <c r="O192" s="29">
        <f>VLOOKUP(E192, Factor!$CL$5:$CV$50, 8, 0)*N192*VLOOKUP(D192, Factor!$BZ$5:$CJ$49, 10, 0)</f>
        <v>15</v>
      </c>
      <c r="P192" s="29">
        <v>1</v>
      </c>
      <c r="Q192" s="29">
        <f>VLOOKUP(E192, Factor!$CL$5:$CV$50, 9, 0)*P192*VLOOKUP(D192, Factor!$BZ$5:$CJ$49, 11, 0)</f>
        <v>5</v>
      </c>
      <c r="R192" s="29" t="str">
        <f>VLOOKUP(E192, Factor!$CL$5:$CV$50, 10, 0)</f>
        <v>null</v>
      </c>
      <c r="S192" s="29" t="str">
        <f>VLOOKUP(E192, Factor!$CL$5:$CV$50, 11, 0)</f>
        <v>null</v>
      </c>
      <c r="T192" s="29">
        <v>1</v>
      </c>
      <c r="U192" s="29">
        <v>1</v>
      </c>
      <c r="V192" s="29">
        <v>1</v>
      </c>
      <c r="W192" s="29">
        <v>1</v>
      </c>
      <c r="X192" s="29">
        <v>1</v>
      </c>
      <c r="Y192" s="29">
        <v>1</v>
      </c>
      <c r="Z192" s="29">
        <v>1</v>
      </c>
      <c r="AA192" s="29" cm="1">
        <f t="array" ref="AA192">_xlfn.LET(_xlpm.기본_색인번호, 2,
_xlpm.추가_색인번호, 3,
_xlpm.개별보정치, T192,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1500</v>
      </c>
      <c r="AB192" s="29" cm="1">
        <f t="array" ref="AB192">_xlfn.LET(_xlpm.기본_색인번호, 3,
_xlpm.추가_색인번호, 4,
_xlpm.개별보정치, U192,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192" s="29" cm="1">
        <f t="array" ref="AC192">_xlfn.LET(_xlpm.기본_색인번호, 4,
_xlpm.추가_색인번호, 5,
_xlpm.개별보정치, V192,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192" s="29" cm="1">
        <f t="array" ref="AD192">_xlfn.LET(_xlpm.기본_색인번호, 5,
_xlpm.추가_색인번호, 6,
_xlpm.개별보정치, W192,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192" s="29" cm="1">
        <f t="array" ref="AE192">_xlfn.LET(_xlpm.기본_색인번호, 6,
_xlpm.추가_색인번호, 7,
_xlpm.개별보정치, X192,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192" s="29" cm="1">
        <f t="array" ref="AF192">_xlfn.LET(_xlpm.기본_색인번호, 7,
_xlpm.추가_색인번호, 8,
_xlpm.개별보정치, Y192,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192" s="30" cm="1">
        <f t="array" ref="AG192">_xlfn.LET(_xlpm.기본_색인번호, 8,
_xlpm.추가_색인번호, 9,
_xlpm.개별보정치, Z192,
_xlpm.패턴보정치, VLOOKUP($G192, Factor!$B$5:$I$51, _xlpm.기본_색인번호, 0),
_xlpm.소모탄환보정치, VLOOKUP($H192, Factor!$T$5:$AA$51, _xlpm.기본_색인번호, 0),
_xlpm.지형보정치, VLOOKUP($I192, Factor!$K$12:$R$13, _xlpm.기본_색인번호, 0),
_xlpm.공격속성보정치, VLOOKUP($J192, Factor!$K$5:$R$7, _xlpm.기본_색인번호, 0),
_xlpm.피해범위보정치, INDEX(Factor!$AN$5:$AV$51, _xlfn.XMATCH(IF(OR($G192="blast", $G192="curved",  $G192= "debuff"), $L192, 0), Factor!$AN$5:$AN$51, -1), _xlpm.추가_색인번호)-IF(AND(OR($G192="blast", $G192="curved", $G192= "debuff"), MOD($L192,1)&lt;&gt;0),INDEX(Factor!$AN$5:$AV$51, _xlfn.XMATCH(IF(OR($G192="blast", $G192="curved", $G192= "debuff"), $L192, 0), Factor!$AN$5:$AN$51, -1), 2)*MOD($L192,1)*10,0),
_xlpm.상태이상보정치, VLOOKUP(IF($G192 = "debuff", $M192, "null"), Factor!$AX$5:$BE$51, _xlpm.기본_색인번호, 0),
_xlpm.지속시간보정치, INDEX(Factor!$BG$5:$BO$51, _xlfn.XMATCH(IF(OR($G192 ="debuff", $G192 = "shot", $G192 = "pierce"), $O192, 0), Factor!$BG$5:$BG$51, -1), _xlpm.추가_색인번호)-IF(AND(OR($G192 ="debuff", $G192 = "shot", $G192 = "pierce"), MOD($O192, 1)&lt;&gt;0), 10*MOD($O192, 1)*INDEX(Factor!$BG$5:$BO$51, _xlfn.XMATCH(IF(OR($G192 ="debuff", $G192 = "shot", $G192 = "pierce"), $O192, 0), Factor!$BG$5:$BG$51, -1), 2), 0),
_xlpm.탄환개수보정치, VLOOKUP(IF(OR($G192 = "curved", $G192 = "shot"), $Q192, 1), Factor!$BQ$5:$BX$51, _xlpm.기본_색인번호, 0),
_xlpm.상태이상탄환생성위치보정치, IF($G192 = "debuff", VLOOKUP($R192, Factor!$K$18:$R$19, _xlpm.기본_색인번호, 0),1),
_xlpm.상태이상탄환형태보정치, IF($G192 = "debuff", VLOOKUP($S192, Factor!$K$24:$R$25, _xlpm.기본_색인번호, 0),1),
_xlpm.가격보정치, INDEX(Factor!$AE$5:$AL$51, _xlfn.XMATCH($F192,Factor!$AE$5:$AE$51, -1), _xlpm.기본_색인번호),
_xlpm.구경보정치, VLOOKUP($D192,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193" spans="1:33" ht="15.75" customHeight="1">
      <c r="A193" s="24" t="str">
        <f>"weapon_"&amp;G193&amp;"_"&amp;VLOOKUP(H193, Factor!$T$5:$AB$7, 9, 0)&amp;"_"&amp;IF(COUNTIFS($G$4:G192, G193, $H$4:H192, H193)+1&gt;=100, COUNTIFS($G$4:G192, G193, $H$4:H192, H193)+1,IF(COUNTIFS($G$4:G192, G193, $H$4:H192, H193)+1&gt;=10, "0"&amp;COUNTIFS($G$4:G192, G193, $H$4:H192, H193)+1, "00"&amp;COUNTIFS($G$4:G192, G193, $H$4:H192, H193)+1))</f>
        <v>weapon_shot_Am_013</v>
      </c>
      <c r="B193" s="36" t="str">
        <f t="shared" si="3"/>
        <v>T3 5.56mm쌍열 기관포</v>
      </c>
      <c r="C193" s="36" t="s">
        <v>247</v>
      </c>
      <c r="D193" s="36" t="s">
        <v>241</v>
      </c>
      <c r="E193" s="36" t="s">
        <v>194</v>
      </c>
      <c r="F193" s="25">
        <f>VLOOKUP(C193, Factor!$AD$5:$AE$15, 2, 0)</f>
        <v>3000</v>
      </c>
      <c r="G193" s="26" t="str">
        <f>VLOOKUP(E193, Factor!$CL$5:$CV$50, 2, 0)</f>
        <v>shot</v>
      </c>
      <c r="H193" s="25" t="str">
        <f>VLOOKUP(E193, Factor!$CL$5:$CV$50, 3, 0)</f>
        <v>ammo</v>
      </c>
      <c r="I193" s="25" t="str">
        <f>VLOOKUP(E193, Factor!$CL$5:$CV$50, 4, 0)</f>
        <v>L</v>
      </c>
      <c r="J193" s="25" t="str">
        <f>VLOOKUP(E193, Factor!$CL$5:$CV$50, 5, 0)</f>
        <v>spread</v>
      </c>
      <c r="K193" s="25">
        <v>1</v>
      </c>
      <c r="L193" s="25">
        <f>VLOOKUP(E193, Factor!$CL$5:$CV$50, 6, 0)*K193*VLOOKUP(D193, Factor!$BZ$5:$CJ$49, 9, 0)</f>
        <v>0</v>
      </c>
      <c r="M193" s="25" t="str">
        <f>VLOOKUP(E193, Factor!$CL$5:$CV$50, 7, 0)</f>
        <v>null</v>
      </c>
      <c r="N193" s="25">
        <v>1</v>
      </c>
      <c r="O193" s="25">
        <f>VLOOKUP(E193, Factor!$CL$5:$CV$50, 8, 0)*N193*VLOOKUP(D193, Factor!$BZ$5:$CJ$49, 10, 0)</f>
        <v>6</v>
      </c>
      <c r="P193" s="25">
        <v>1</v>
      </c>
      <c r="Q193" s="25">
        <f>VLOOKUP(E193, Factor!$CL$5:$CV$50, 9, 0)*P193*VLOOKUP(D193, Factor!$BZ$5:$CJ$49, 11, 0)</f>
        <v>2</v>
      </c>
      <c r="R193" s="25" t="str">
        <f>VLOOKUP(E193, Factor!$CL$5:$CV$50, 10, 0)</f>
        <v>null</v>
      </c>
      <c r="S193" s="25" t="str">
        <f>VLOOKUP(E193, Factor!$CL$5:$CV$50, 11, 0)</f>
        <v>null</v>
      </c>
      <c r="T193" s="25">
        <v>1</v>
      </c>
      <c r="U193" s="25">
        <v>1</v>
      </c>
      <c r="V193" s="25">
        <v>1</v>
      </c>
      <c r="W193" s="25">
        <v>1</v>
      </c>
      <c r="X193" s="25">
        <v>1</v>
      </c>
      <c r="Y193" s="25">
        <v>1</v>
      </c>
      <c r="Z193" s="25">
        <v>1</v>
      </c>
      <c r="AA193" s="25" cm="1">
        <f t="array" ref="AA193">_xlfn.LET(_xlpm.기본_색인번호, 2,
_xlpm.추가_색인번호, 3,
_xlpm.개별보정치, T193,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B193" s="25" cm="1">
        <f t="array" ref="AB193">_xlfn.LET(_xlpm.기본_색인번호, 3,
_xlpm.추가_색인번호, 4,
_xlpm.개별보정치, U193,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193" s="25" cm="1">
        <f t="array" ref="AC193">_xlfn.LET(_xlpm.기본_색인번호, 4,
_xlpm.추가_색인번호, 5,
_xlpm.개별보정치, V193,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193" s="25" cm="1">
        <f t="array" ref="AD193">_xlfn.LET(_xlpm.기본_색인번호, 5,
_xlpm.추가_색인번호, 6,
_xlpm.개별보정치, W193,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E193" s="25" cm="1">
        <f t="array" ref="AE193">_xlfn.LET(_xlpm.기본_색인번호, 6,
_xlpm.추가_색인번호, 7,
_xlpm.개별보정치, X193,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F193" s="25" cm="1">
        <f t="array" ref="AF193">_xlfn.LET(_xlpm.기본_색인번호, 7,
_xlpm.추가_색인번호, 8,
_xlpm.개별보정치, Y193,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193" s="27" cm="1">
        <f t="array" ref="AG193">_xlfn.LET(_xlpm.기본_색인번호, 8,
_xlpm.추가_색인번호, 9,
_xlpm.개별보정치, Z193,
_xlpm.패턴보정치, VLOOKUP($G193, Factor!$B$5:$I$51, _xlpm.기본_색인번호, 0),
_xlpm.소모탄환보정치, VLOOKUP($H193, Factor!$T$5:$AA$51, _xlpm.기본_색인번호, 0),
_xlpm.지형보정치, VLOOKUP($I193, Factor!$K$12:$R$13, _xlpm.기본_색인번호, 0),
_xlpm.공격속성보정치, VLOOKUP($J193, Factor!$K$5:$R$7, _xlpm.기본_색인번호, 0),
_xlpm.피해범위보정치, INDEX(Factor!$AN$5:$AV$51, _xlfn.XMATCH(IF(OR($G193="blast", $G193="curved",  $G193= "debuff"), $L193, 0), Factor!$AN$5:$AN$51, -1), _xlpm.추가_색인번호)-IF(AND(OR($G193="blast", $G193="curved", $G193= "debuff"), MOD($L193,1)&lt;&gt;0),INDEX(Factor!$AN$5:$AV$51, _xlfn.XMATCH(IF(OR($G193="blast", $G193="curved", $G193= "debuff"), $L193, 0), Factor!$AN$5:$AN$51, -1), 2)*MOD($L193,1)*10,0),
_xlpm.상태이상보정치, VLOOKUP(IF($G193 = "debuff", $M193, "null"), Factor!$AX$5:$BE$51, _xlpm.기본_색인번호, 0),
_xlpm.지속시간보정치, INDEX(Factor!$BG$5:$BO$51, _xlfn.XMATCH(IF(OR($G193 ="debuff", $G193 = "shot", $G193 = "pierce"), $O193, 0), Factor!$BG$5:$BG$51, -1), _xlpm.추가_색인번호)-IF(AND(OR($G193 ="debuff", $G193 = "shot", $G193 = "pierce"), MOD($O193, 1)&lt;&gt;0), 10*MOD($O193, 1)*INDEX(Factor!$BG$5:$BO$51, _xlfn.XMATCH(IF(OR($G193 ="debuff", $G193 = "shot", $G193 = "pierce"), $O193, 0), Factor!$BG$5:$BG$51, -1), 2), 0),
_xlpm.탄환개수보정치, VLOOKUP(IF(OR($G193 = "curved", $G193 = "shot"), $Q193, 1), Factor!$BQ$5:$BX$51, _xlpm.기본_색인번호, 0),
_xlpm.상태이상탄환생성위치보정치, IF($G193 = "debuff", VLOOKUP($R193, Factor!$K$18:$R$19, _xlpm.기본_색인번호, 0),1),
_xlpm.상태이상탄환형태보정치, IF($G193 = "debuff", VLOOKUP($S193, Factor!$K$24:$R$25, _xlpm.기본_색인번호, 0),1),
_xlpm.가격보정치, INDEX(Factor!$AE$5:$AL$51, _xlfn.XMATCH($F193,Factor!$AE$5:$AE$51, -1), _xlpm.기본_색인번호),
_xlpm.구경보정치, VLOOKUP($D193,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</row>
    <row r="194" spans="1:33" ht="15.75" customHeight="1">
      <c r="A194" s="28" t="str">
        <f>"weapon_"&amp;G194&amp;"_"&amp;VLOOKUP(H194, Factor!$T$5:$AB$7, 9, 0)&amp;"_"&amp;IF(COUNTIFS($G$4:G193, G194, $H$4:H193, H194)+1&gt;=100, COUNTIFS($G$4:G193, G194, $H$4:H193, H194)+1,IF(COUNTIFS($G$4:G193, G194, $H$4:H193, H194)+1&gt;=10, "0"&amp;COUNTIFS($G$4:G193, G194, $H$4:H193, H194)+1, "00"&amp;COUNTIFS($G$4:G193, G194, $H$4:H193, H194)+1))</f>
        <v>weapon_shot_Am_014</v>
      </c>
      <c r="B194" s="37" t="str">
        <f t="shared" si="3"/>
        <v>T3 7.62mm쌍열 기관포</v>
      </c>
      <c r="C194" s="37" t="s">
        <v>247</v>
      </c>
      <c r="D194" s="37" t="s">
        <v>242</v>
      </c>
      <c r="E194" s="37" t="s">
        <v>194</v>
      </c>
      <c r="F194" s="29">
        <f>VLOOKUP(C194, Factor!$AD$5:$AE$15, 2, 0)</f>
        <v>3000</v>
      </c>
      <c r="G194" s="29" t="str">
        <f>VLOOKUP(E194, Factor!$CL$5:$CV$50, 2, 0)</f>
        <v>shot</v>
      </c>
      <c r="H194" s="29" t="str">
        <f>VLOOKUP(E194, Factor!$CL$5:$CV$50, 3, 0)</f>
        <v>ammo</v>
      </c>
      <c r="I194" s="29" t="str">
        <f>VLOOKUP(E194, Factor!$CL$5:$CV$50, 4, 0)</f>
        <v>L</v>
      </c>
      <c r="J194" s="29" t="str">
        <f>VLOOKUP(E194, Factor!$CL$5:$CV$50, 5, 0)</f>
        <v>spread</v>
      </c>
      <c r="K194" s="29">
        <v>1</v>
      </c>
      <c r="L194" s="29">
        <f>VLOOKUP(E194, Factor!$CL$5:$CV$50, 6, 0)*K194*VLOOKUP(D194, Factor!$BZ$5:$CJ$49, 9, 0)</f>
        <v>0</v>
      </c>
      <c r="M194" s="29" t="str">
        <f>VLOOKUP(E194, Factor!$CL$5:$CV$50, 7, 0)</f>
        <v>null</v>
      </c>
      <c r="N194" s="29">
        <v>1</v>
      </c>
      <c r="O194" s="29">
        <f>VLOOKUP(E194, Factor!$CL$5:$CV$50, 8, 0)*N194*VLOOKUP(D194, Factor!$BZ$5:$CJ$49, 10, 0)</f>
        <v>9</v>
      </c>
      <c r="P194" s="29">
        <v>1</v>
      </c>
      <c r="Q194" s="29">
        <f>VLOOKUP(E194, Factor!$CL$5:$CV$50, 9, 0)*P194*VLOOKUP(D194, Factor!$BZ$5:$CJ$49, 11, 0)</f>
        <v>3</v>
      </c>
      <c r="R194" s="29" t="str">
        <f>VLOOKUP(E194, Factor!$CL$5:$CV$50, 10, 0)</f>
        <v>null</v>
      </c>
      <c r="S194" s="29" t="str">
        <f>VLOOKUP(E194, Factor!$CL$5:$CV$50, 11, 0)</f>
        <v>null</v>
      </c>
      <c r="T194" s="29">
        <v>1</v>
      </c>
      <c r="U194" s="29">
        <v>1</v>
      </c>
      <c r="V194" s="29">
        <v>1</v>
      </c>
      <c r="W194" s="29">
        <v>1</v>
      </c>
      <c r="X194" s="29">
        <v>1</v>
      </c>
      <c r="Y194" s="29">
        <v>1</v>
      </c>
      <c r="Z194" s="29">
        <v>1</v>
      </c>
      <c r="AA194" s="29" cm="1">
        <f t="array" ref="AA194">_xlfn.LET(_xlpm.기본_색인번호, 2,
_xlpm.추가_색인번호, 3,
_xlpm.개별보정치, T194,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B194" s="29" cm="1">
        <f t="array" ref="AB194">_xlfn.LET(_xlpm.기본_색인번호, 3,
_xlpm.추가_색인번호, 4,
_xlpm.개별보정치, U194,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C194" s="29" cm="1">
        <f t="array" ref="AC194">_xlfn.LET(_xlpm.기본_색인번호, 4,
_xlpm.추가_색인번호, 5,
_xlpm.개별보정치, V194,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194" s="29" cm="1">
        <f t="array" ref="AD194">_xlfn.LET(_xlpm.기본_색인번호, 5,
_xlpm.추가_색인번호, 6,
_xlpm.개별보정치, W194,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E194" s="29" cm="1">
        <f t="array" ref="AE194">_xlfn.LET(_xlpm.기본_색인번호, 6,
_xlpm.추가_색인번호, 7,
_xlpm.개별보정치, X194,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F194" s="29" cm="1">
        <f t="array" ref="AF194">_xlfn.LET(_xlpm.기본_색인번호, 7,
_xlpm.추가_색인번호, 8,
_xlpm.개별보정치, Y194,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194" s="30" cm="1">
        <f t="array" ref="AG194">_xlfn.LET(_xlpm.기본_색인번호, 8,
_xlpm.추가_색인번호, 9,
_xlpm.개별보정치, Z194,
_xlpm.패턴보정치, VLOOKUP($G194, Factor!$B$5:$I$51, _xlpm.기본_색인번호, 0),
_xlpm.소모탄환보정치, VLOOKUP($H194, Factor!$T$5:$AA$51, _xlpm.기본_색인번호, 0),
_xlpm.지형보정치, VLOOKUP($I194, Factor!$K$12:$R$13, _xlpm.기본_색인번호, 0),
_xlpm.공격속성보정치, VLOOKUP($J194, Factor!$K$5:$R$7, _xlpm.기본_색인번호, 0),
_xlpm.피해범위보정치, INDEX(Factor!$AN$5:$AV$51, _xlfn.XMATCH(IF(OR($G194="blast", $G194="curved",  $G194= "debuff"), $L194, 0), Factor!$AN$5:$AN$51, -1), _xlpm.추가_색인번호)-IF(AND(OR($G194="blast", $G194="curved", $G194= "debuff"), MOD($L194,1)&lt;&gt;0),INDEX(Factor!$AN$5:$AV$51, _xlfn.XMATCH(IF(OR($G194="blast", $G194="curved", $G194= "debuff"), $L194, 0), Factor!$AN$5:$AN$51, -1), 2)*MOD($L194,1)*10,0),
_xlpm.상태이상보정치, VLOOKUP(IF($G194 = "debuff", $M194, "null"), Factor!$AX$5:$BE$51, _xlpm.기본_색인번호, 0),
_xlpm.지속시간보정치, INDEX(Factor!$BG$5:$BO$51, _xlfn.XMATCH(IF(OR($G194 ="debuff", $G194 = "shot", $G194 = "pierce"), $O194, 0), Factor!$BG$5:$BG$51, -1), _xlpm.추가_색인번호)-IF(AND(OR($G194 ="debuff", $G194 = "shot", $G194 = "pierce"), MOD($O194, 1)&lt;&gt;0), 10*MOD($O194, 1)*INDEX(Factor!$BG$5:$BO$51, _xlfn.XMATCH(IF(OR($G194 ="debuff", $G194 = "shot", $G194 = "pierce"), $O194, 0), Factor!$BG$5:$BG$51, -1), 2), 0),
_xlpm.탄환개수보정치, VLOOKUP(IF(OR($G194 = "curved", $G194 = "shot"), $Q194, 1), Factor!$BQ$5:$BX$51, _xlpm.기본_색인번호, 0),
_xlpm.상태이상탄환생성위치보정치, IF($G194 = "debuff", VLOOKUP($R194, Factor!$K$18:$R$19, _xlpm.기본_색인번호, 0),1),
_xlpm.상태이상탄환형태보정치, IF($G194 = "debuff", VLOOKUP($S194, Factor!$K$24:$R$25, _xlpm.기본_색인번호, 0),1),
_xlpm.가격보정치, INDEX(Factor!$AE$5:$AL$51, _xlfn.XMATCH($F194,Factor!$AE$5:$AE$51, -1), _xlpm.기본_색인번호),
_xlpm.구경보정치, VLOOKUP($D194,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</row>
    <row r="195" spans="1:33" ht="15.75" customHeight="1">
      <c r="A195" s="24" t="str">
        <f>"weapon_"&amp;G195&amp;"_"&amp;VLOOKUP(H195, Factor!$T$5:$AB$7, 9, 0)&amp;"_"&amp;IF(COUNTIFS($G$4:G194, G195, $H$4:H194, H195)+1&gt;=100, COUNTIFS($G$4:G194, G195, $H$4:H194, H195)+1,IF(COUNTIFS($G$4:G194, G195, $H$4:H194, H195)+1&gt;=10, "0"&amp;COUNTIFS($G$4:G194, G195, $H$4:H194, H195)+1, "00"&amp;COUNTIFS($G$4:G194, G195, $H$4:H194, H195)+1))</f>
        <v>weapon_shot_Am_015</v>
      </c>
      <c r="B195" s="36" t="str">
        <f t="shared" si="3"/>
        <v>T3 12.7mm쌍열 기관포</v>
      </c>
      <c r="C195" s="36" t="s">
        <v>247</v>
      </c>
      <c r="D195" s="36" t="s">
        <v>243</v>
      </c>
      <c r="E195" s="36" t="s">
        <v>194</v>
      </c>
      <c r="F195" s="25">
        <f>VLOOKUP(C195, Factor!$AD$5:$AE$15, 2, 0)</f>
        <v>3000</v>
      </c>
      <c r="G195" s="26" t="str">
        <f>VLOOKUP(E195, Factor!$CL$5:$CV$50, 2, 0)</f>
        <v>shot</v>
      </c>
      <c r="H195" s="25" t="str">
        <f>VLOOKUP(E195, Factor!$CL$5:$CV$50, 3, 0)</f>
        <v>ammo</v>
      </c>
      <c r="I195" s="25" t="str">
        <f>VLOOKUP(E195, Factor!$CL$5:$CV$50, 4, 0)</f>
        <v>L</v>
      </c>
      <c r="J195" s="25" t="str">
        <f>VLOOKUP(E195, Factor!$CL$5:$CV$50, 5, 0)</f>
        <v>spread</v>
      </c>
      <c r="K195" s="25">
        <v>1</v>
      </c>
      <c r="L195" s="25">
        <f>VLOOKUP(E195, Factor!$CL$5:$CV$50, 6, 0)*K195*VLOOKUP(D195, Factor!$BZ$5:$CJ$49, 9, 0)</f>
        <v>0</v>
      </c>
      <c r="M195" s="25" t="str">
        <f>VLOOKUP(E195, Factor!$CL$5:$CV$50, 7, 0)</f>
        <v>null</v>
      </c>
      <c r="N195" s="25">
        <v>1</v>
      </c>
      <c r="O195" s="25">
        <f>VLOOKUP(E195, Factor!$CL$5:$CV$50, 8, 0)*N195*VLOOKUP(D195, Factor!$BZ$5:$CJ$49, 10, 0)</f>
        <v>12</v>
      </c>
      <c r="P195" s="25">
        <v>1</v>
      </c>
      <c r="Q195" s="25">
        <f>VLOOKUP(E195, Factor!$CL$5:$CV$50, 9, 0)*P195*VLOOKUP(D195, Factor!$BZ$5:$CJ$49, 11, 0)</f>
        <v>4</v>
      </c>
      <c r="R195" s="25" t="str">
        <f>VLOOKUP(E195, Factor!$CL$5:$CV$50, 10, 0)</f>
        <v>null</v>
      </c>
      <c r="S195" s="25" t="str">
        <f>VLOOKUP(E195, Factor!$CL$5:$CV$50, 11, 0)</f>
        <v>null</v>
      </c>
      <c r="T195" s="25">
        <v>1</v>
      </c>
      <c r="U195" s="25">
        <v>1</v>
      </c>
      <c r="V195" s="25">
        <v>1</v>
      </c>
      <c r="W195" s="25">
        <v>1</v>
      </c>
      <c r="X195" s="25">
        <v>1</v>
      </c>
      <c r="Y195" s="25">
        <v>1</v>
      </c>
      <c r="Z195" s="25">
        <v>1</v>
      </c>
      <c r="AA195" s="25" cm="1">
        <f t="array" ref="AA195">_xlfn.LET(_xlpm.기본_색인번호, 2,
_xlpm.추가_색인번호, 3,
_xlpm.개별보정치, T195,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195" s="25" cm="1">
        <f t="array" ref="AB195">_xlfn.LET(_xlpm.기본_색인번호, 3,
_xlpm.추가_색인번호, 4,
_xlpm.개별보정치, U195,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195" s="25" cm="1">
        <f t="array" ref="AC195">_xlfn.LET(_xlpm.기본_색인번호, 4,
_xlpm.추가_색인번호, 5,
_xlpm.개별보정치, V195,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195" s="25" cm="1">
        <f t="array" ref="AD195">_xlfn.LET(_xlpm.기본_색인번호, 5,
_xlpm.추가_색인번호, 6,
_xlpm.개별보정치, W195,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195" s="25" cm="1">
        <f t="array" ref="AE195">_xlfn.LET(_xlpm.기본_색인번호, 6,
_xlpm.추가_색인번호, 7,
_xlpm.개별보정치, X195,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195" s="25" cm="1">
        <f t="array" ref="AF195">_xlfn.LET(_xlpm.기본_색인번호, 7,
_xlpm.추가_색인번호, 8,
_xlpm.개별보정치, Y195,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195" s="27" cm="1">
        <f t="array" ref="AG195">_xlfn.LET(_xlpm.기본_색인번호, 8,
_xlpm.추가_색인번호, 9,
_xlpm.개별보정치, Z195,
_xlpm.패턴보정치, VLOOKUP($G195, Factor!$B$5:$I$51, _xlpm.기본_색인번호, 0),
_xlpm.소모탄환보정치, VLOOKUP($H195, Factor!$T$5:$AA$51, _xlpm.기본_색인번호, 0),
_xlpm.지형보정치, VLOOKUP($I195, Factor!$K$12:$R$13, _xlpm.기본_색인번호, 0),
_xlpm.공격속성보정치, VLOOKUP($J195, Factor!$K$5:$R$7, _xlpm.기본_색인번호, 0),
_xlpm.피해범위보정치, INDEX(Factor!$AN$5:$AV$51, _xlfn.XMATCH(IF(OR($G195="blast", $G195="curved",  $G195= "debuff"), $L195, 0), Factor!$AN$5:$AN$51, -1), _xlpm.추가_색인번호)-IF(AND(OR($G195="blast", $G195="curved", $G195= "debuff"), MOD($L195,1)&lt;&gt;0),INDEX(Factor!$AN$5:$AV$51, _xlfn.XMATCH(IF(OR($G195="blast", $G195="curved", $G195= "debuff"), $L195, 0), Factor!$AN$5:$AN$51, -1), 2)*MOD($L195,1)*10,0),
_xlpm.상태이상보정치, VLOOKUP(IF($G195 = "debuff", $M195, "null"), Factor!$AX$5:$BE$51, _xlpm.기본_색인번호, 0),
_xlpm.지속시간보정치, INDEX(Factor!$BG$5:$BO$51, _xlfn.XMATCH(IF(OR($G195 ="debuff", $G195 = "shot", $G195 = "pierce"), $O195, 0), Factor!$BG$5:$BG$51, -1), _xlpm.추가_색인번호)-IF(AND(OR($G195 ="debuff", $G195 = "shot", $G195 = "pierce"), MOD($O195, 1)&lt;&gt;0), 10*MOD($O195, 1)*INDEX(Factor!$BG$5:$BO$51, _xlfn.XMATCH(IF(OR($G195 ="debuff", $G195 = "shot", $G195 = "pierce"), $O195, 0), Factor!$BG$5:$BG$51, -1), 2), 0),
_xlpm.탄환개수보정치, VLOOKUP(IF(OR($G195 = "curved", $G195 = "shot"), $Q195, 1), Factor!$BQ$5:$BX$51, _xlpm.기본_색인번호, 0),
_xlpm.상태이상탄환생성위치보정치, IF($G195 = "debuff", VLOOKUP($R195, Factor!$K$18:$R$19, _xlpm.기본_색인번호, 0),1),
_xlpm.상태이상탄환형태보정치, IF($G195 = "debuff", VLOOKUP($S195, Factor!$K$24:$R$25, _xlpm.기본_색인번호, 0),1),
_xlpm.가격보정치, INDEX(Factor!$AE$5:$AL$51, _xlfn.XMATCH($F195,Factor!$AE$5:$AE$51, -1), _xlpm.기본_색인번호),
_xlpm.구경보정치, VLOOKUP($D195,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196" spans="1:33" ht="15.75" customHeight="1">
      <c r="A196" s="28" t="str">
        <f>"weapon_"&amp;G196&amp;"_"&amp;VLOOKUP(H196, Factor!$T$5:$AB$7, 9, 0)&amp;"_"&amp;IF(COUNTIFS($G$4:G195, G196, $H$4:H195, H196)+1&gt;=100, COUNTIFS($G$4:G195, G196, $H$4:H195, H196)+1,IF(COUNTIFS($G$4:G195, G196, $H$4:H195, H196)+1&gt;=10, "0"&amp;COUNTIFS($G$4:G195, G196, $H$4:H195, H196)+1, "00"&amp;COUNTIFS($G$4:G195, G196, $H$4:H195, H196)+1))</f>
        <v>weapon_shot_Am_016</v>
      </c>
      <c r="B196" s="37" t="str">
        <f t="shared" si="3"/>
        <v>T3 20mm쌍열 기관포</v>
      </c>
      <c r="C196" s="37" t="s">
        <v>247</v>
      </c>
      <c r="D196" s="37" t="s">
        <v>244</v>
      </c>
      <c r="E196" s="37" t="s">
        <v>194</v>
      </c>
      <c r="F196" s="29">
        <f>VLOOKUP(C196, Factor!$AD$5:$AE$15, 2, 0)</f>
        <v>3000</v>
      </c>
      <c r="G196" s="29" t="str">
        <f>VLOOKUP(E196, Factor!$CL$5:$CV$50, 2, 0)</f>
        <v>shot</v>
      </c>
      <c r="H196" s="29" t="str">
        <f>VLOOKUP(E196, Factor!$CL$5:$CV$50, 3, 0)</f>
        <v>ammo</v>
      </c>
      <c r="I196" s="29" t="str">
        <f>VLOOKUP(E196, Factor!$CL$5:$CV$50, 4, 0)</f>
        <v>L</v>
      </c>
      <c r="J196" s="29" t="str">
        <f>VLOOKUP(E196, Factor!$CL$5:$CV$50, 5, 0)</f>
        <v>spread</v>
      </c>
      <c r="K196" s="29">
        <v>1</v>
      </c>
      <c r="L196" s="29">
        <f>VLOOKUP(E196, Factor!$CL$5:$CV$50, 6, 0)*K196*VLOOKUP(D196, Factor!$BZ$5:$CJ$49, 9, 0)</f>
        <v>0</v>
      </c>
      <c r="M196" s="29" t="str">
        <f>VLOOKUP(E196, Factor!$CL$5:$CV$50, 7, 0)</f>
        <v>null</v>
      </c>
      <c r="N196" s="29">
        <v>1</v>
      </c>
      <c r="O196" s="29">
        <f>VLOOKUP(E196, Factor!$CL$5:$CV$50, 8, 0)*N196*VLOOKUP(D196, Factor!$BZ$5:$CJ$49, 10, 0)</f>
        <v>15</v>
      </c>
      <c r="P196" s="29">
        <v>1</v>
      </c>
      <c r="Q196" s="29">
        <f>VLOOKUP(E196, Factor!$CL$5:$CV$50, 9, 0)*P196*VLOOKUP(D196, Factor!$BZ$5:$CJ$49, 11, 0)</f>
        <v>5</v>
      </c>
      <c r="R196" s="29" t="str">
        <f>VLOOKUP(E196, Factor!$CL$5:$CV$50, 10, 0)</f>
        <v>null</v>
      </c>
      <c r="S196" s="29" t="str">
        <f>VLOOKUP(E196, Factor!$CL$5:$CV$50, 11, 0)</f>
        <v>null</v>
      </c>
      <c r="T196" s="29">
        <v>1</v>
      </c>
      <c r="U196" s="29">
        <v>1</v>
      </c>
      <c r="V196" s="29">
        <v>1</v>
      </c>
      <c r="W196" s="29">
        <v>1</v>
      </c>
      <c r="X196" s="29">
        <v>1</v>
      </c>
      <c r="Y196" s="29">
        <v>1</v>
      </c>
      <c r="Z196" s="29">
        <v>1</v>
      </c>
      <c r="AA196" s="29" cm="1">
        <f t="array" ref="AA196">_xlfn.LET(_xlpm.기본_색인번호, 2,
_xlpm.추가_색인번호, 3,
_xlpm.개별보정치, T196,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196" s="29" cm="1">
        <f t="array" ref="AB196">_xlfn.LET(_xlpm.기본_색인번호, 3,
_xlpm.추가_색인번호, 4,
_xlpm.개별보정치, U196,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196" s="29" cm="1">
        <f t="array" ref="AC196">_xlfn.LET(_xlpm.기본_색인번호, 4,
_xlpm.추가_색인번호, 5,
_xlpm.개별보정치, V196,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196" s="29" cm="1">
        <f t="array" ref="AD196">_xlfn.LET(_xlpm.기본_색인번호, 5,
_xlpm.추가_색인번호, 6,
_xlpm.개별보정치, W196,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196" s="29" cm="1">
        <f t="array" ref="AE196">_xlfn.LET(_xlpm.기본_색인번호, 6,
_xlpm.추가_색인번호, 7,
_xlpm.개별보정치, X196,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196" s="29" cm="1">
        <f t="array" ref="AF196">_xlfn.LET(_xlpm.기본_색인번호, 7,
_xlpm.추가_색인번호, 8,
_xlpm.개별보정치, Y196,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196" s="30" cm="1">
        <f t="array" ref="AG196">_xlfn.LET(_xlpm.기본_색인번호, 8,
_xlpm.추가_색인번호, 9,
_xlpm.개별보정치, Z196,
_xlpm.패턴보정치, VLOOKUP($G196, Factor!$B$5:$I$51, _xlpm.기본_색인번호, 0),
_xlpm.소모탄환보정치, VLOOKUP($H196, Factor!$T$5:$AA$51, _xlpm.기본_색인번호, 0),
_xlpm.지형보정치, VLOOKUP($I196, Factor!$K$12:$R$13, _xlpm.기본_색인번호, 0),
_xlpm.공격속성보정치, VLOOKUP($J196, Factor!$K$5:$R$7, _xlpm.기본_색인번호, 0),
_xlpm.피해범위보정치, INDEX(Factor!$AN$5:$AV$51, _xlfn.XMATCH(IF(OR($G196="blast", $G196="curved",  $G196= "debuff"), $L196, 0), Factor!$AN$5:$AN$51, -1), _xlpm.추가_색인번호)-IF(AND(OR($G196="blast", $G196="curved", $G196= "debuff"), MOD($L196,1)&lt;&gt;0),INDEX(Factor!$AN$5:$AV$51, _xlfn.XMATCH(IF(OR($G196="blast", $G196="curved", $G196= "debuff"), $L196, 0), Factor!$AN$5:$AN$51, -1), 2)*MOD($L196,1)*10,0),
_xlpm.상태이상보정치, VLOOKUP(IF($G196 = "debuff", $M196, "null"), Factor!$AX$5:$BE$51, _xlpm.기본_색인번호, 0),
_xlpm.지속시간보정치, INDEX(Factor!$BG$5:$BO$51, _xlfn.XMATCH(IF(OR($G196 ="debuff", $G196 = "shot", $G196 = "pierce"), $O196, 0), Factor!$BG$5:$BG$51, -1), _xlpm.추가_색인번호)-IF(AND(OR($G196 ="debuff", $G196 = "shot", $G196 = "pierce"), MOD($O196, 1)&lt;&gt;0), 10*MOD($O196, 1)*INDEX(Factor!$BG$5:$BO$51, _xlfn.XMATCH(IF(OR($G196 ="debuff", $G196 = "shot", $G196 = "pierce"), $O196, 0), Factor!$BG$5:$BG$51, -1), 2), 0),
_xlpm.탄환개수보정치, VLOOKUP(IF(OR($G196 = "curved", $G196 = "shot"), $Q196, 1), Factor!$BQ$5:$BX$51, _xlpm.기본_색인번호, 0),
_xlpm.상태이상탄환생성위치보정치, IF($G196 = "debuff", VLOOKUP($R196, Factor!$K$18:$R$19, _xlpm.기본_색인번호, 0),1),
_xlpm.상태이상탄환형태보정치, IF($G196 = "debuff", VLOOKUP($S196, Factor!$K$24:$R$25, _xlpm.기본_색인번호, 0),1),
_xlpm.가격보정치, INDEX(Factor!$AE$5:$AL$51, _xlfn.XMATCH($F196,Factor!$AE$5:$AE$51, -1), _xlpm.기본_색인번호),
_xlpm.구경보정치, VLOOKUP($D196,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197" spans="1:33" ht="15.75" customHeight="1">
      <c r="A197" s="24" t="str">
        <f>"weapon_"&amp;G197&amp;"_"&amp;VLOOKUP(H197, Factor!$T$5:$AB$7, 9, 0)&amp;"_"&amp;IF(COUNTIFS($G$4:G196, G197, $H$4:H196, H197)+1&gt;=100, COUNTIFS($G$4:G196, G197, $H$4:H196, H197)+1,IF(COUNTIFS($G$4:G196, G197, $H$4:H196, H197)+1&gt;=10, "0"&amp;COUNTIFS($G$4:G196, G197, $H$4:H196, H197)+1, "00"&amp;COUNTIFS($G$4:G196, G197, $H$4:H196, H197)+1))</f>
        <v>weapon_shot_Am_017</v>
      </c>
      <c r="B197" s="36" t="str">
        <f t="shared" si="3"/>
        <v>T4 5.56mm쌍열 기관포</v>
      </c>
      <c r="C197" s="36" t="s">
        <v>249</v>
      </c>
      <c r="D197" s="36" t="s">
        <v>241</v>
      </c>
      <c r="E197" s="36" t="s">
        <v>194</v>
      </c>
      <c r="F197" s="25">
        <f>VLOOKUP(C197, Factor!$AD$5:$AE$15, 2, 0)</f>
        <v>4000</v>
      </c>
      <c r="G197" s="26" t="str">
        <f>VLOOKUP(E197, Factor!$CL$5:$CV$50, 2, 0)</f>
        <v>shot</v>
      </c>
      <c r="H197" s="25" t="str">
        <f>VLOOKUP(E197, Factor!$CL$5:$CV$50, 3, 0)</f>
        <v>ammo</v>
      </c>
      <c r="I197" s="25" t="str">
        <f>VLOOKUP(E197, Factor!$CL$5:$CV$50, 4, 0)</f>
        <v>L</v>
      </c>
      <c r="J197" s="25" t="str">
        <f>VLOOKUP(E197, Factor!$CL$5:$CV$50, 5, 0)</f>
        <v>spread</v>
      </c>
      <c r="K197" s="25">
        <v>1</v>
      </c>
      <c r="L197" s="25">
        <f>VLOOKUP(E197, Factor!$CL$5:$CV$50, 6, 0)*K197*VLOOKUP(D197, Factor!$BZ$5:$CJ$49, 9, 0)</f>
        <v>0</v>
      </c>
      <c r="M197" s="25" t="str">
        <f>VLOOKUP(E197, Factor!$CL$5:$CV$50, 7, 0)</f>
        <v>null</v>
      </c>
      <c r="N197" s="25">
        <v>1</v>
      </c>
      <c r="O197" s="25">
        <f>VLOOKUP(E197, Factor!$CL$5:$CV$50, 8, 0)*N197*VLOOKUP(D197, Factor!$BZ$5:$CJ$49, 10, 0)</f>
        <v>6</v>
      </c>
      <c r="P197" s="25">
        <v>1</v>
      </c>
      <c r="Q197" s="25">
        <f>VLOOKUP(E197, Factor!$CL$5:$CV$50, 9, 0)*P197*VLOOKUP(D197, Factor!$BZ$5:$CJ$49, 11, 0)</f>
        <v>2</v>
      </c>
      <c r="R197" s="25" t="str">
        <f>VLOOKUP(E197, Factor!$CL$5:$CV$50, 10, 0)</f>
        <v>null</v>
      </c>
      <c r="S197" s="25" t="str">
        <f>VLOOKUP(E197, Factor!$CL$5:$CV$50, 11, 0)</f>
        <v>null</v>
      </c>
      <c r="T197" s="25">
        <v>1</v>
      </c>
      <c r="U197" s="25">
        <v>1</v>
      </c>
      <c r="V197" s="25">
        <v>1</v>
      </c>
      <c r="W197" s="25">
        <v>1</v>
      </c>
      <c r="X197" s="25">
        <v>1</v>
      </c>
      <c r="Y197" s="25">
        <v>1</v>
      </c>
      <c r="Z197" s="25">
        <v>1</v>
      </c>
      <c r="AA197" s="25" cm="1">
        <f t="array" ref="AA197">_xlfn.LET(_xlpm.기본_색인번호, 2,
_xlpm.추가_색인번호, 3,
_xlpm.개별보정치, T197,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197" s="25" cm="1">
        <f t="array" ref="AB197">_xlfn.LET(_xlpm.기본_색인번호, 3,
_xlpm.추가_색인번호, 4,
_xlpm.개별보정치, U197,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197" s="25" cm="1">
        <f t="array" ref="AC197">_xlfn.LET(_xlpm.기본_색인번호, 4,
_xlpm.추가_색인번호, 5,
_xlpm.개별보정치, V197,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197" s="25" cm="1">
        <f t="array" ref="AD197">_xlfn.LET(_xlpm.기본_색인번호, 5,
_xlpm.추가_색인번호, 6,
_xlpm.개별보정치, W197,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E197" s="25" cm="1">
        <f t="array" ref="AE197">_xlfn.LET(_xlpm.기본_색인번호, 6,
_xlpm.추가_색인번호, 7,
_xlpm.개별보정치, X197,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F197" s="25" cm="1">
        <f t="array" ref="AF197">_xlfn.LET(_xlpm.기본_색인번호, 7,
_xlpm.추가_색인번호, 8,
_xlpm.개별보정치, Y197,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197" s="27" cm="1">
        <f t="array" ref="AG197">_xlfn.LET(_xlpm.기본_색인번호, 8,
_xlpm.추가_색인번호, 9,
_xlpm.개별보정치, Z197,
_xlpm.패턴보정치, VLOOKUP($G197, Factor!$B$5:$I$51, _xlpm.기본_색인번호, 0),
_xlpm.소모탄환보정치, VLOOKUP($H197, Factor!$T$5:$AA$51, _xlpm.기본_색인번호, 0),
_xlpm.지형보정치, VLOOKUP($I197, Factor!$K$12:$R$13, _xlpm.기본_색인번호, 0),
_xlpm.공격속성보정치, VLOOKUP($J197, Factor!$K$5:$R$7, _xlpm.기본_색인번호, 0),
_xlpm.피해범위보정치, INDEX(Factor!$AN$5:$AV$51, _xlfn.XMATCH(IF(OR($G197="blast", $G197="curved",  $G197= "debuff"), $L197, 0), Factor!$AN$5:$AN$51, -1), _xlpm.추가_색인번호)-IF(AND(OR($G197="blast", $G197="curved", $G197= "debuff"), MOD($L197,1)&lt;&gt;0),INDEX(Factor!$AN$5:$AV$51, _xlfn.XMATCH(IF(OR($G197="blast", $G197="curved", $G197= "debuff"), $L197, 0), Factor!$AN$5:$AN$51, -1), 2)*MOD($L197,1)*10,0),
_xlpm.상태이상보정치, VLOOKUP(IF($G197 = "debuff", $M197, "null"), Factor!$AX$5:$BE$51, _xlpm.기본_색인번호, 0),
_xlpm.지속시간보정치, INDEX(Factor!$BG$5:$BO$51, _xlfn.XMATCH(IF(OR($G197 ="debuff", $G197 = "shot", $G197 = "pierce"), $O197, 0), Factor!$BG$5:$BG$51, -1), _xlpm.추가_색인번호)-IF(AND(OR($G197 ="debuff", $G197 = "shot", $G197 = "pierce"), MOD($O197, 1)&lt;&gt;0), 10*MOD($O197, 1)*INDEX(Factor!$BG$5:$BO$51, _xlfn.XMATCH(IF(OR($G197 ="debuff", $G197 = "shot", $G197 = "pierce"), $O197, 0), Factor!$BG$5:$BG$51, -1), 2), 0),
_xlpm.탄환개수보정치, VLOOKUP(IF(OR($G197 = "curved", $G197 = "shot"), $Q197, 1), Factor!$BQ$5:$BX$51, _xlpm.기본_색인번호, 0),
_xlpm.상태이상탄환생성위치보정치, IF($G197 = "debuff", VLOOKUP($R197, Factor!$K$18:$R$19, _xlpm.기본_색인번호, 0),1),
_xlpm.상태이상탄환형태보정치, IF($G197 = "debuff", VLOOKUP($S197, Factor!$K$24:$R$25, _xlpm.기본_색인번호, 0),1),
_xlpm.가격보정치, INDEX(Factor!$AE$5:$AL$51, _xlfn.XMATCH($F197,Factor!$AE$5:$AE$51, -1), _xlpm.기본_색인번호),
_xlpm.구경보정치, VLOOKUP($D197,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</row>
    <row r="198" spans="1:33" ht="15.75" customHeight="1">
      <c r="A198" s="28" t="str">
        <f>"weapon_"&amp;G198&amp;"_"&amp;VLOOKUP(H198, Factor!$T$5:$AB$7, 9, 0)&amp;"_"&amp;IF(COUNTIFS($G$4:G197, G198, $H$4:H197, H198)+1&gt;=100, COUNTIFS($G$4:G197, G198, $H$4:H197, H198)+1,IF(COUNTIFS($G$4:G197, G198, $H$4:H197, H198)+1&gt;=10, "0"&amp;COUNTIFS($G$4:G197, G198, $H$4:H197, H198)+1, "00"&amp;COUNTIFS($G$4:G197, G198, $H$4:H197, H198)+1))</f>
        <v>weapon_shot_Am_018</v>
      </c>
      <c r="B198" s="37" t="str">
        <f t="shared" si="3"/>
        <v>T4 7.62mm쌍열 기관포</v>
      </c>
      <c r="C198" s="37" t="s">
        <v>249</v>
      </c>
      <c r="D198" s="37" t="s">
        <v>242</v>
      </c>
      <c r="E198" s="37" t="s">
        <v>194</v>
      </c>
      <c r="F198" s="29">
        <f>VLOOKUP(C198, Factor!$AD$5:$AE$15, 2, 0)</f>
        <v>4000</v>
      </c>
      <c r="G198" s="29" t="str">
        <f>VLOOKUP(E198, Factor!$CL$5:$CV$50, 2, 0)</f>
        <v>shot</v>
      </c>
      <c r="H198" s="29" t="str">
        <f>VLOOKUP(E198, Factor!$CL$5:$CV$50, 3, 0)</f>
        <v>ammo</v>
      </c>
      <c r="I198" s="29" t="str">
        <f>VLOOKUP(E198, Factor!$CL$5:$CV$50, 4, 0)</f>
        <v>L</v>
      </c>
      <c r="J198" s="29" t="str">
        <f>VLOOKUP(E198, Factor!$CL$5:$CV$50, 5, 0)</f>
        <v>spread</v>
      </c>
      <c r="K198" s="29">
        <v>1</v>
      </c>
      <c r="L198" s="29">
        <f>VLOOKUP(E198, Factor!$CL$5:$CV$50, 6, 0)*K198*VLOOKUP(D198, Factor!$BZ$5:$CJ$49, 9, 0)</f>
        <v>0</v>
      </c>
      <c r="M198" s="29" t="str">
        <f>VLOOKUP(E198, Factor!$CL$5:$CV$50, 7, 0)</f>
        <v>null</v>
      </c>
      <c r="N198" s="29">
        <v>1</v>
      </c>
      <c r="O198" s="29">
        <f>VLOOKUP(E198, Factor!$CL$5:$CV$50, 8, 0)*N198*VLOOKUP(D198, Factor!$BZ$5:$CJ$49, 10, 0)</f>
        <v>9</v>
      </c>
      <c r="P198" s="29">
        <v>1</v>
      </c>
      <c r="Q198" s="29">
        <f>VLOOKUP(E198, Factor!$CL$5:$CV$50, 9, 0)*P198*VLOOKUP(D198, Factor!$BZ$5:$CJ$49, 11, 0)</f>
        <v>3</v>
      </c>
      <c r="R198" s="29" t="str">
        <f>VLOOKUP(E198, Factor!$CL$5:$CV$50, 10, 0)</f>
        <v>null</v>
      </c>
      <c r="S198" s="29" t="str">
        <f>VLOOKUP(E198, Factor!$CL$5:$CV$50, 11, 0)</f>
        <v>null</v>
      </c>
      <c r="T198" s="29">
        <v>1</v>
      </c>
      <c r="U198" s="29">
        <v>1</v>
      </c>
      <c r="V198" s="29">
        <v>1</v>
      </c>
      <c r="W198" s="29">
        <v>1</v>
      </c>
      <c r="X198" s="29">
        <v>1</v>
      </c>
      <c r="Y198" s="29">
        <v>1</v>
      </c>
      <c r="Z198" s="29">
        <v>1</v>
      </c>
      <c r="AA198" s="29" cm="1">
        <f t="array" ref="AA198">_xlfn.LET(_xlpm.기본_색인번호, 2,
_xlpm.추가_색인번호, 3,
_xlpm.개별보정치, T198,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1350</v>
      </c>
      <c r="AB198" s="29" cm="1">
        <f t="array" ref="AB198">_xlfn.LET(_xlpm.기본_색인번호, 3,
_xlpm.추가_색인번호, 4,
_xlpm.개별보정치, U198,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C198" s="29" cm="1">
        <f t="array" ref="AC198">_xlfn.LET(_xlpm.기본_색인번호, 4,
_xlpm.추가_색인번호, 5,
_xlpm.개별보정치, V198,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198" s="29" cm="1">
        <f t="array" ref="AD198">_xlfn.LET(_xlpm.기본_색인번호, 5,
_xlpm.추가_색인번호, 6,
_xlpm.개별보정치, W198,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E198" s="29" cm="1">
        <f t="array" ref="AE198">_xlfn.LET(_xlpm.기본_색인번호, 6,
_xlpm.추가_색인번호, 7,
_xlpm.개별보정치, X198,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F198" s="29" cm="1">
        <f t="array" ref="AF198">_xlfn.LET(_xlpm.기본_색인번호, 7,
_xlpm.추가_색인번호, 8,
_xlpm.개별보정치, Y198,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198" s="30" cm="1">
        <f t="array" ref="AG198">_xlfn.LET(_xlpm.기본_색인번호, 8,
_xlpm.추가_색인번호, 9,
_xlpm.개별보정치, Z198,
_xlpm.패턴보정치, VLOOKUP($G198, Factor!$B$5:$I$51, _xlpm.기본_색인번호, 0),
_xlpm.소모탄환보정치, VLOOKUP($H198, Factor!$T$5:$AA$51, _xlpm.기본_색인번호, 0),
_xlpm.지형보정치, VLOOKUP($I198, Factor!$K$12:$R$13, _xlpm.기본_색인번호, 0),
_xlpm.공격속성보정치, VLOOKUP($J198, Factor!$K$5:$R$7, _xlpm.기본_색인번호, 0),
_xlpm.피해범위보정치, INDEX(Factor!$AN$5:$AV$51, _xlfn.XMATCH(IF(OR($G198="blast", $G198="curved",  $G198= "debuff"), $L198, 0), Factor!$AN$5:$AN$51, -1), _xlpm.추가_색인번호)-IF(AND(OR($G198="blast", $G198="curved", $G198= "debuff"), MOD($L198,1)&lt;&gt;0),INDEX(Factor!$AN$5:$AV$51, _xlfn.XMATCH(IF(OR($G198="blast", $G198="curved", $G198= "debuff"), $L198, 0), Factor!$AN$5:$AN$51, -1), 2)*MOD($L198,1)*10,0),
_xlpm.상태이상보정치, VLOOKUP(IF($G198 = "debuff", $M198, "null"), Factor!$AX$5:$BE$51, _xlpm.기본_색인번호, 0),
_xlpm.지속시간보정치, INDEX(Factor!$BG$5:$BO$51, _xlfn.XMATCH(IF(OR($G198 ="debuff", $G198 = "shot", $G198 = "pierce"), $O198, 0), Factor!$BG$5:$BG$51, -1), _xlpm.추가_색인번호)-IF(AND(OR($G198 ="debuff", $G198 = "shot", $G198 = "pierce"), MOD($O198, 1)&lt;&gt;0), 10*MOD($O198, 1)*INDEX(Factor!$BG$5:$BO$51, _xlfn.XMATCH(IF(OR($G198 ="debuff", $G198 = "shot", $G198 = "pierce"), $O198, 0), Factor!$BG$5:$BG$51, -1), 2), 0),
_xlpm.탄환개수보정치, VLOOKUP(IF(OR($G198 = "curved", $G198 = "shot"), $Q198, 1), Factor!$BQ$5:$BX$51, _xlpm.기본_색인번호, 0),
_xlpm.상태이상탄환생성위치보정치, IF($G198 = "debuff", VLOOKUP($R198, Factor!$K$18:$R$19, _xlpm.기본_색인번호, 0),1),
_xlpm.상태이상탄환형태보정치, IF($G198 = "debuff", VLOOKUP($S198, Factor!$K$24:$R$25, _xlpm.기본_색인번호, 0),1),
_xlpm.가격보정치, INDEX(Factor!$AE$5:$AL$51, _xlfn.XMATCH($F198,Factor!$AE$5:$AE$51, -1), _xlpm.기본_색인번호),
_xlpm.구경보정치, VLOOKUP($D198,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</row>
    <row r="199" spans="1:33" ht="15.75" customHeight="1">
      <c r="A199" s="24" t="str">
        <f>"weapon_"&amp;G199&amp;"_"&amp;VLOOKUP(H199, Factor!$T$5:$AB$7, 9, 0)&amp;"_"&amp;IF(COUNTIFS($G$4:G198, G199, $H$4:H198, H199)+1&gt;=100, COUNTIFS($G$4:G198, G199, $H$4:H198, H199)+1,IF(COUNTIFS($G$4:G198, G199, $H$4:H198, H199)+1&gt;=10, "0"&amp;COUNTIFS($G$4:G198, G199, $H$4:H198, H199)+1, "00"&amp;COUNTIFS($G$4:G198, G199, $H$4:H198, H199)+1))</f>
        <v>weapon_shot_Am_019</v>
      </c>
      <c r="B199" s="36" t="str">
        <f t="shared" si="3"/>
        <v>T4 12.7mm쌍열 기관포</v>
      </c>
      <c r="C199" s="36" t="s">
        <v>249</v>
      </c>
      <c r="D199" s="36" t="s">
        <v>243</v>
      </c>
      <c r="E199" s="36" t="s">
        <v>194</v>
      </c>
      <c r="F199" s="25">
        <f>VLOOKUP(C199, Factor!$AD$5:$AE$15, 2, 0)</f>
        <v>4000</v>
      </c>
      <c r="G199" s="26" t="str">
        <f>VLOOKUP(E199, Factor!$CL$5:$CV$50, 2, 0)</f>
        <v>shot</v>
      </c>
      <c r="H199" s="25" t="str">
        <f>VLOOKUP(E199, Factor!$CL$5:$CV$50, 3, 0)</f>
        <v>ammo</v>
      </c>
      <c r="I199" s="25" t="str">
        <f>VLOOKUP(E199, Factor!$CL$5:$CV$50, 4, 0)</f>
        <v>L</v>
      </c>
      <c r="J199" s="25" t="str">
        <f>VLOOKUP(E199, Factor!$CL$5:$CV$50, 5, 0)</f>
        <v>spread</v>
      </c>
      <c r="K199" s="25">
        <v>1</v>
      </c>
      <c r="L199" s="25">
        <f>VLOOKUP(E199, Factor!$CL$5:$CV$50, 6, 0)*K199*VLOOKUP(D199, Factor!$BZ$5:$CJ$49, 9, 0)</f>
        <v>0</v>
      </c>
      <c r="M199" s="25" t="str">
        <f>VLOOKUP(E199, Factor!$CL$5:$CV$50, 7, 0)</f>
        <v>null</v>
      </c>
      <c r="N199" s="25">
        <v>1</v>
      </c>
      <c r="O199" s="25">
        <f>VLOOKUP(E199, Factor!$CL$5:$CV$50, 8, 0)*N199*VLOOKUP(D199, Factor!$BZ$5:$CJ$49, 10, 0)</f>
        <v>12</v>
      </c>
      <c r="P199" s="25">
        <v>1</v>
      </c>
      <c r="Q199" s="25">
        <f>VLOOKUP(E199, Factor!$CL$5:$CV$50, 9, 0)*P199*VLOOKUP(D199, Factor!$BZ$5:$CJ$49, 11, 0)</f>
        <v>4</v>
      </c>
      <c r="R199" s="25" t="str">
        <f>VLOOKUP(E199, Factor!$CL$5:$CV$50, 10, 0)</f>
        <v>null</v>
      </c>
      <c r="S199" s="25" t="str">
        <f>VLOOKUP(E199, Factor!$CL$5:$CV$50, 11, 0)</f>
        <v>null</v>
      </c>
      <c r="T199" s="25">
        <v>1</v>
      </c>
      <c r="U199" s="25">
        <v>1</v>
      </c>
      <c r="V199" s="25">
        <v>1</v>
      </c>
      <c r="W199" s="25">
        <v>1</v>
      </c>
      <c r="X199" s="25">
        <v>1</v>
      </c>
      <c r="Y199" s="25">
        <v>1</v>
      </c>
      <c r="Z199" s="25">
        <v>1</v>
      </c>
      <c r="AA199" s="25" cm="1">
        <f t="array" ref="AA199">_xlfn.LET(_xlpm.기본_색인번호, 2,
_xlpm.추가_색인번호, 3,
_xlpm.개별보정치, T199,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199" s="25" cm="1">
        <f t="array" ref="AB199">_xlfn.LET(_xlpm.기본_색인번호, 3,
_xlpm.추가_색인번호, 4,
_xlpm.개별보정치, U199,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199" s="25" cm="1">
        <f t="array" ref="AC199">_xlfn.LET(_xlpm.기본_색인번호, 4,
_xlpm.추가_색인번호, 5,
_xlpm.개별보정치, V199,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199" s="25" cm="1">
        <f t="array" ref="AD199">_xlfn.LET(_xlpm.기본_색인번호, 5,
_xlpm.추가_색인번호, 6,
_xlpm.개별보정치, W199,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199" s="25" cm="1">
        <f t="array" ref="AE199">_xlfn.LET(_xlpm.기본_색인번호, 6,
_xlpm.추가_색인번호, 7,
_xlpm.개별보정치, X199,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199" s="25" cm="1">
        <f t="array" ref="AF199">_xlfn.LET(_xlpm.기본_색인번호, 7,
_xlpm.추가_색인번호, 8,
_xlpm.개별보정치, Y199,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199" s="27" cm="1">
        <f t="array" ref="AG199">_xlfn.LET(_xlpm.기본_색인번호, 8,
_xlpm.추가_색인번호, 9,
_xlpm.개별보정치, Z199,
_xlpm.패턴보정치, VLOOKUP($G199, Factor!$B$5:$I$51, _xlpm.기본_색인번호, 0),
_xlpm.소모탄환보정치, VLOOKUP($H199, Factor!$T$5:$AA$51, _xlpm.기본_색인번호, 0),
_xlpm.지형보정치, VLOOKUP($I199, Factor!$K$12:$R$13, _xlpm.기본_색인번호, 0),
_xlpm.공격속성보정치, VLOOKUP($J199, Factor!$K$5:$R$7, _xlpm.기본_색인번호, 0),
_xlpm.피해범위보정치, INDEX(Factor!$AN$5:$AV$51, _xlfn.XMATCH(IF(OR($G199="blast", $G199="curved",  $G199= "debuff"), $L199, 0), Factor!$AN$5:$AN$51, -1), _xlpm.추가_색인번호)-IF(AND(OR($G199="blast", $G199="curved", $G199= "debuff"), MOD($L199,1)&lt;&gt;0),INDEX(Factor!$AN$5:$AV$51, _xlfn.XMATCH(IF(OR($G199="blast", $G199="curved", $G199= "debuff"), $L199, 0), Factor!$AN$5:$AN$51, -1), 2)*MOD($L199,1)*10,0),
_xlpm.상태이상보정치, VLOOKUP(IF($G199 = "debuff", $M199, "null"), Factor!$AX$5:$BE$51, _xlpm.기본_색인번호, 0),
_xlpm.지속시간보정치, INDEX(Factor!$BG$5:$BO$51, _xlfn.XMATCH(IF(OR($G199 ="debuff", $G199 = "shot", $G199 = "pierce"), $O199, 0), Factor!$BG$5:$BG$51, -1), _xlpm.추가_색인번호)-IF(AND(OR($G199 ="debuff", $G199 = "shot", $G199 = "pierce"), MOD($O199, 1)&lt;&gt;0), 10*MOD($O199, 1)*INDEX(Factor!$BG$5:$BO$51, _xlfn.XMATCH(IF(OR($G199 ="debuff", $G199 = "shot", $G199 = "pierce"), $O199, 0), Factor!$BG$5:$BG$51, -1), 2), 0),
_xlpm.탄환개수보정치, VLOOKUP(IF(OR($G199 = "curved", $G199 = "shot"), $Q199, 1), Factor!$BQ$5:$BX$51, _xlpm.기본_색인번호, 0),
_xlpm.상태이상탄환생성위치보정치, IF($G199 = "debuff", VLOOKUP($R199, Factor!$K$18:$R$19, _xlpm.기본_색인번호, 0),1),
_xlpm.상태이상탄환형태보정치, IF($G199 = "debuff", VLOOKUP($S199, Factor!$K$24:$R$25, _xlpm.기본_색인번호, 0),1),
_xlpm.가격보정치, INDEX(Factor!$AE$5:$AL$51, _xlfn.XMATCH($F199,Factor!$AE$5:$AE$51, -1), _xlpm.기본_색인번호),
_xlpm.구경보정치, VLOOKUP($D199,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200" spans="1:33" ht="15.75" customHeight="1">
      <c r="A200" s="28" t="str">
        <f>"weapon_"&amp;G200&amp;"_"&amp;VLOOKUP(H200, Factor!$T$5:$AB$7, 9, 0)&amp;"_"&amp;IF(COUNTIFS($G$4:G199, G200, $H$4:H199, H200)+1&gt;=100, COUNTIFS($G$4:G199, G200, $H$4:H199, H200)+1,IF(COUNTIFS($G$4:G199, G200, $H$4:H199, H200)+1&gt;=10, "0"&amp;COUNTIFS($G$4:G199, G200, $H$4:H199, H200)+1, "00"&amp;COUNTIFS($G$4:G199, G200, $H$4:H199, H200)+1))</f>
        <v>weapon_shot_Am_020</v>
      </c>
      <c r="B200" s="37" t="str">
        <f t="shared" si="3"/>
        <v>T4 20mm쌍열 기관포</v>
      </c>
      <c r="C200" s="37" t="s">
        <v>249</v>
      </c>
      <c r="D200" s="37" t="s">
        <v>244</v>
      </c>
      <c r="E200" s="37" t="s">
        <v>194</v>
      </c>
      <c r="F200" s="29">
        <f>VLOOKUP(C200, Factor!$AD$5:$AE$15, 2, 0)</f>
        <v>4000</v>
      </c>
      <c r="G200" s="29" t="str">
        <f>VLOOKUP(E200, Factor!$CL$5:$CV$50, 2, 0)</f>
        <v>shot</v>
      </c>
      <c r="H200" s="29" t="str">
        <f>VLOOKUP(E200, Factor!$CL$5:$CV$50, 3, 0)</f>
        <v>ammo</v>
      </c>
      <c r="I200" s="29" t="str">
        <f>VLOOKUP(E200, Factor!$CL$5:$CV$50, 4, 0)</f>
        <v>L</v>
      </c>
      <c r="J200" s="29" t="str">
        <f>VLOOKUP(E200, Factor!$CL$5:$CV$50, 5, 0)</f>
        <v>spread</v>
      </c>
      <c r="K200" s="29">
        <v>1</v>
      </c>
      <c r="L200" s="29">
        <f>VLOOKUP(E200, Factor!$CL$5:$CV$50, 6, 0)*K200*VLOOKUP(D200, Factor!$BZ$5:$CJ$49, 9, 0)</f>
        <v>0</v>
      </c>
      <c r="M200" s="29" t="str">
        <f>VLOOKUP(E200, Factor!$CL$5:$CV$50, 7, 0)</f>
        <v>null</v>
      </c>
      <c r="N200" s="29">
        <v>1</v>
      </c>
      <c r="O200" s="29">
        <f>VLOOKUP(E200, Factor!$CL$5:$CV$50, 8, 0)*N200*VLOOKUP(D200, Factor!$BZ$5:$CJ$49, 10, 0)</f>
        <v>15</v>
      </c>
      <c r="P200" s="29">
        <v>1</v>
      </c>
      <c r="Q200" s="29">
        <f>VLOOKUP(E200, Factor!$CL$5:$CV$50, 9, 0)*P200*VLOOKUP(D200, Factor!$BZ$5:$CJ$49, 11, 0)</f>
        <v>5</v>
      </c>
      <c r="R200" s="29" t="str">
        <f>VLOOKUP(E200, Factor!$CL$5:$CV$50, 10, 0)</f>
        <v>null</v>
      </c>
      <c r="S200" s="29" t="str">
        <f>VLOOKUP(E200, Factor!$CL$5:$CV$50, 11, 0)</f>
        <v>null</v>
      </c>
      <c r="T200" s="29">
        <v>1</v>
      </c>
      <c r="U200" s="29">
        <v>1</v>
      </c>
      <c r="V200" s="29">
        <v>1</v>
      </c>
      <c r="W200" s="29">
        <v>1</v>
      </c>
      <c r="X200" s="29">
        <v>1</v>
      </c>
      <c r="Y200" s="29">
        <v>1</v>
      </c>
      <c r="Z200" s="29">
        <v>1</v>
      </c>
      <c r="AA200" s="29" cm="1">
        <f t="array" ref="AA200">_xlfn.LET(_xlpm.기본_색인번호, 2,
_xlpm.추가_색인번호, 3,
_xlpm.개별보정치, T200,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2500</v>
      </c>
      <c r="AB200" s="29" cm="1">
        <f t="array" ref="AB200">_xlfn.LET(_xlpm.기본_색인번호, 3,
_xlpm.추가_색인번호, 4,
_xlpm.개별보정치, U200,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200" s="29" cm="1">
        <f t="array" ref="AC200">_xlfn.LET(_xlpm.기본_색인번호, 4,
_xlpm.추가_색인번호, 5,
_xlpm.개별보정치, V200,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00" s="29" cm="1">
        <f t="array" ref="AD200">_xlfn.LET(_xlpm.기본_색인번호, 5,
_xlpm.추가_색인번호, 6,
_xlpm.개별보정치, W200,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E200" s="29" cm="1">
        <f t="array" ref="AE200">_xlfn.LET(_xlpm.기본_색인번호, 6,
_xlpm.추가_색인번호, 7,
_xlpm.개별보정치, X200,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F200" s="29" cm="1">
        <f t="array" ref="AF200">_xlfn.LET(_xlpm.기본_색인번호, 7,
_xlpm.추가_색인번호, 8,
_xlpm.개별보정치, Y200,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00" s="30" cm="1">
        <f t="array" ref="AG200">_xlfn.LET(_xlpm.기본_색인번호, 8,
_xlpm.추가_색인번호, 9,
_xlpm.개별보정치, Z200,
_xlpm.패턴보정치, VLOOKUP($G200, Factor!$B$5:$I$51, _xlpm.기본_색인번호, 0),
_xlpm.소모탄환보정치, VLOOKUP($H200, Factor!$T$5:$AA$51, _xlpm.기본_색인번호, 0),
_xlpm.지형보정치, VLOOKUP($I200, Factor!$K$12:$R$13, _xlpm.기본_색인번호, 0),
_xlpm.공격속성보정치, VLOOKUP($J200, Factor!$K$5:$R$7, _xlpm.기본_색인번호, 0),
_xlpm.피해범위보정치, INDEX(Factor!$AN$5:$AV$51, _xlfn.XMATCH(IF(OR($G200="blast", $G200="curved",  $G200= "debuff"), $L200, 0), Factor!$AN$5:$AN$51, -1), _xlpm.추가_색인번호)-IF(AND(OR($G200="blast", $G200="curved", $G200= "debuff"), MOD($L200,1)&lt;&gt;0),INDEX(Factor!$AN$5:$AV$51, _xlfn.XMATCH(IF(OR($G200="blast", $G200="curved", $G200= "debuff"), $L200, 0), Factor!$AN$5:$AN$51, -1), 2)*MOD($L200,1)*10,0),
_xlpm.상태이상보정치, VLOOKUP(IF($G200 = "debuff", $M200, "null"), Factor!$AX$5:$BE$51, _xlpm.기본_색인번호, 0),
_xlpm.지속시간보정치, INDEX(Factor!$BG$5:$BO$51, _xlfn.XMATCH(IF(OR($G200 ="debuff", $G200 = "shot", $G200 = "pierce"), $O200, 0), Factor!$BG$5:$BG$51, -1), _xlpm.추가_색인번호)-IF(AND(OR($G200 ="debuff", $G200 = "shot", $G200 = "pierce"), MOD($O200, 1)&lt;&gt;0), 10*MOD($O200, 1)*INDEX(Factor!$BG$5:$BO$51, _xlfn.XMATCH(IF(OR($G200 ="debuff", $G200 = "shot", $G200 = "pierce"), $O200, 0), Factor!$BG$5:$BG$51, -1), 2), 0),
_xlpm.탄환개수보정치, VLOOKUP(IF(OR($G200 = "curved", $G200 = "shot"), $Q200, 1), Factor!$BQ$5:$BX$51, _xlpm.기본_색인번호, 0),
_xlpm.상태이상탄환생성위치보정치, IF($G200 = "debuff", VLOOKUP($R200, Factor!$K$18:$R$19, _xlpm.기본_색인번호, 0),1),
_xlpm.상태이상탄환형태보정치, IF($G200 = "debuff", VLOOKUP($S200, Factor!$K$24:$R$25, _xlpm.기본_색인번호, 0),1),
_xlpm.가격보정치, INDEX(Factor!$AE$5:$AL$51, _xlfn.XMATCH($F200,Factor!$AE$5:$AE$51, -1), _xlpm.기본_색인번호),
_xlpm.구경보정치, VLOOKUP($D200,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</row>
    <row r="201" spans="1:33" ht="15.75" customHeight="1">
      <c r="A201" s="24" t="str">
        <f>"weapon_"&amp;G201&amp;"_"&amp;VLOOKUP(H201, Factor!$T$5:$AB$7, 9, 0)&amp;"_"&amp;IF(COUNTIFS($G$4:G200, G201, $H$4:H200, H201)+1&gt;=100, COUNTIFS($G$4:G200, G201, $H$4:H200, H201)+1,IF(COUNTIFS($G$4:G200, G201, $H$4:H200, H201)+1&gt;=10, "0"&amp;COUNTIFS($G$4:G200, G201, $H$4:H200, H201)+1, "00"&amp;COUNTIFS($G$4:G200, G201, $H$4:H200, H201)+1))</f>
        <v>weapon_shot_Am_021</v>
      </c>
      <c r="B201" s="36" t="str">
        <f t="shared" si="3"/>
        <v>T5 5.56mm쌍열 기관포</v>
      </c>
      <c r="C201" s="36" t="s">
        <v>251</v>
      </c>
      <c r="D201" s="36" t="s">
        <v>241</v>
      </c>
      <c r="E201" s="36" t="s">
        <v>194</v>
      </c>
      <c r="F201" s="25">
        <f>VLOOKUP(C201, Factor!$AD$5:$AE$15, 2, 0)</f>
        <v>5000</v>
      </c>
      <c r="G201" s="26" t="str">
        <f>VLOOKUP(E201, Factor!$CL$5:$CV$50, 2, 0)</f>
        <v>shot</v>
      </c>
      <c r="H201" s="25" t="str">
        <f>VLOOKUP(E201, Factor!$CL$5:$CV$50, 3, 0)</f>
        <v>ammo</v>
      </c>
      <c r="I201" s="25" t="str">
        <f>VLOOKUP(E201, Factor!$CL$5:$CV$50, 4, 0)</f>
        <v>L</v>
      </c>
      <c r="J201" s="25" t="str">
        <f>VLOOKUP(E201, Factor!$CL$5:$CV$50, 5, 0)</f>
        <v>spread</v>
      </c>
      <c r="K201" s="25">
        <v>1</v>
      </c>
      <c r="L201" s="25">
        <f>VLOOKUP(E201, Factor!$CL$5:$CV$50, 6, 0)*K201*VLOOKUP(D201, Factor!$BZ$5:$CJ$49, 9, 0)</f>
        <v>0</v>
      </c>
      <c r="M201" s="25" t="str">
        <f>VLOOKUP(E201, Factor!$CL$5:$CV$50, 7, 0)</f>
        <v>null</v>
      </c>
      <c r="N201" s="25">
        <v>1</v>
      </c>
      <c r="O201" s="25">
        <f>VLOOKUP(E201, Factor!$CL$5:$CV$50, 8, 0)*N201*VLOOKUP(D201, Factor!$BZ$5:$CJ$49, 10, 0)</f>
        <v>6</v>
      </c>
      <c r="P201" s="25">
        <v>1</v>
      </c>
      <c r="Q201" s="25">
        <f>VLOOKUP(E201, Factor!$CL$5:$CV$50, 9, 0)*P201*VLOOKUP(D201, Factor!$BZ$5:$CJ$49, 11, 0)</f>
        <v>2</v>
      </c>
      <c r="R201" s="25" t="str">
        <f>VLOOKUP(E201, Factor!$CL$5:$CV$50, 10, 0)</f>
        <v>null</v>
      </c>
      <c r="S201" s="25" t="str">
        <f>VLOOKUP(E201, Factor!$CL$5:$CV$50, 11, 0)</f>
        <v>null</v>
      </c>
      <c r="T201" s="25">
        <v>1</v>
      </c>
      <c r="U201" s="25">
        <v>1</v>
      </c>
      <c r="V201" s="25">
        <v>1</v>
      </c>
      <c r="W201" s="25">
        <v>1</v>
      </c>
      <c r="X201" s="25">
        <v>1</v>
      </c>
      <c r="Y201" s="25">
        <v>1</v>
      </c>
      <c r="Z201" s="25">
        <v>1</v>
      </c>
      <c r="AA201" s="25" cm="1">
        <f t="array" ref="AA201">_xlfn.LET(_xlpm.기본_색인번호, 2,
_xlpm.추가_색인번호, 3,
_xlpm.개별보정치, T201,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B201" s="25" cm="1">
        <f t="array" ref="AB201">_xlfn.LET(_xlpm.기본_색인번호, 3,
_xlpm.추가_색인번호, 4,
_xlpm.개별보정치, U201,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201" s="25" cm="1">
        <f t="array" ref="AC201">_xlfn.LET(_xlpm.기본_색인번호, 4,
_xlpm.추가_색인번호, 5,
_xlpm.개별보정치, V201,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01" s="25" cm="1">
        <f t="array" ref="AD201">_xlfn.LET(_xlpm.기본_색인번호, 5,
_xlpm.추가_색인번호, 6,
_xlpm.개별보정치, W201,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E201" s="25" cm="1">
        <f t="array" ref="AE201">_xlfn.LET(_xlpm.기본_색인번호, 6,
_xlpm.추가_색인번호, 7,
_xlpm.개별보정치, X201,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F201" s="25" cm="1">
        <f t="array" ref="AF201">_xlfn.LET(_xlpm.기본_색인번호, 7,
_xlpm.추가_색인번호, 8,
_xlpm.개별보정치, Y201,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01" s="27" cm="1">
        <f t="array" ref="AG201">_xlfn.LET(_xlpm.기본_색인번호, 8,
_xlpm.추가_색인번호, 9,
_xlpm.개별보정치, Z201,
_xlpm.패턴보정치, VLOOKUP($G201, Factor!$B$5:$I$51, _xlpm.기본_색인번호, 0),
_xlpm.소모탄환보정치, VLOOKUP($H201, Factor!$T$5:$AA$51, _xlpm.기본_색인번호, 0),
_xlpm.지형보정치, VLOOKUP($I201, Factor!$K$12:$R$13, _xlpm.기본_색인번호, 0),
_xlpm.공격속성보정치, VLOOKUP($J201, Factor!$K$5:$R$7, _xlpm.기본_색인번호, 0),
_xlpm.피해범위보정치, INDEX(Factor!$AN$5:$AV$51, _xlfn.XMATCH(IF(OR($G201="blast", $G201="curved",  $G201= "debuff"), $L201, 0), Factor!$AN$5:$AN$51, -1), _xlpm.추가_색인번호)-IF(AND(OR($G201="blast", $G201="curved", $G201= "debuff"), MOD($L201,1)&lt;&gt;0),INDEX(Factor!$AN$5:$AV$51, _xlfn.XMATCH(IF(OR($G201="blast", $G201="curved", $G201= "debuff"), $L201, 0), Factor!$AN$5:$AN$51, -1), 2)*MOD($L201,1)*10,0),
_xlpm.상태이상보정치, VLOOKUP(IF($G201 = "debuff", $M201, "null"), Factor!$AX$5:$BE$51, _xlpm.기본_색인번호, 0),
_xlpm.지속시간보정치, INDEX(Factor!$BG$5:$BO$51, _xlfn.XMATCH(IF(OR($G201 ="debuff", $G201 = "shot", $G201 = "pierce"), $O201, 0), Factor!$BG$5:$BG$51, -1), _xlpm.추가_색인번호)-IF(AND(OR($G201 ="debuff", $G201 = "shot", $G201 = "pierce"), MOD($O201, 1)&lt;&gt;0), 10*MOD($O201, 1)*INDEX(Factor!$BG$5:$BO$51, _xlfn.XMATCH(IF(OR($G201 ="debuff", $G201 = "shot", $G201 = "pierce"), $O201, 0), Factor!$BG$5:$BG$51, -1), 2), 0),
_xlpm.탄환개수보정치, VLOOKUP(IF(OR($G201 = "curved", $G201 = "shot"), $Q201, 1), Factor!$BQ$5:$BX$51, _xlpm.기본_색인번호, 0),
_xlpm.상태이상탄환생성위치보정치, IF($G201 = "debuff", VLOOKUP($R201, Factor!$K$18:$R$19, _xlpm.기본_색인번호, 0),1),
_xlpm.상태이상탄환형태보정치, IF($G201 = "debuff", VLOOKUP($S201, Factor!$K$24:$R$25, _xlpm.기본_색인번호, 0),1),
_xlpm.가격보정치, INDEX(Factor!$AE$5:$AL$51, _xlfn.XMATCH($F201,Factor!$AE$5:$AE$51, -1), _xlpm.기본_색인번호),
_xlpm.구경보정치, VLOOKUP($D201,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</row>
    <row r="202" spans="1:33" ht="15.75" customHeight="1">
      <c r="A202" s="28" t="str">
        <f>"weapon_"&amp;G202&amp;"_"&amp;VLOOKUP(H202, Factor!$T$5:$AB$7, 9, 0)&amp;"_"&amp;IF(COUNTIFS($G$4:G201, G202, $H$4:H201, H202)+1&gt;=100, COUNTIFS($G$4:G201, G202, $H$4:H201, H202)+1,IF(COUNTIFS($G$4:G201, G202, $H$4:H201, H202)+1&gt;=10, "0"&amp;COUNTIFS($G$4:G201, G202, $H$4:H201, H202)+1, "00"&amp;COUNTIFS($G$4:G201, G202, $H$4:H201, H202)+1))</f>
        <v>weapon_shot_Am_022</v>
      </c>
      <c r="B202" s="37" t="str">
        <f t="shared" si="3"/>
        <v>T5 7.62mm쌍열 기관포</v>
      </c>
      <c r="C202" s="37" t="s">
        <v>251</v>
      </c>
      <c r="D202" s="37" t="s">
        <v>242</v>
      </c>
      <c r="E202" s="37" t="s">
        <v>194</v>
      </c>
      <c r="F202" s="29">
        <f>VLOOKUP(C202, Factor!$AD$5:$AE$15, 2, 0)</f>
        <v>5000</v>
      </c>
      <c r="G202" s="29" t="str">
        <f>VLOOKUP(E202, Factor!$CL$5:$CV$50, 2, 0)</f>
        <v>shot</v>
      </c>
      <c r="H202" s="29" t="str">
        <f>VLOOKUP(E202, Factor!$CL$5:$CV$50, 3, 0)</f>
        <v>ammo</v>
      </c>
      <c r="I202" s="29" t="str">
        <f>VLOOKUP(E202, Factor!$CL$5:$CV$50, 4, 0)</f>
        <v>L</v>
      </c>
      <c r="J202" s="29" t="str">
        <f>VLOOKUP(E202, Factor!$CL$5:$CV$50, 5, 0)</f>
        <v>spread</v>
      </c>
      <c r="K202" s="29">
        <v>1</v>
      </c>
      <c r="L202" s="29">
        <f>VLOOKUP(E202, Factor!$CL$5:$CV$50, 6, 0)*K202*VLOOKUP(D202, Factor!$BZ$5:$CJ$49, 9, 0)</f>
        <v>0</v>
      </c>
      <c r="M202" s="29" t="str">
        <f>VLOOKUP(E202, Factor!$CL$5:$CV$50, 7, 0)</f>
        <v>null</v>
      </c>
      <c r="N202" s="29">
        <v>1</v>
      </c>
      <c r="O202" s="29">
        <f>VLOOKUP(E202, Factor!$CL$5:$CV$50, 8, 0)*N202*VLOOKUP(D202, Factor!$BZ$5:$CJ$49, 10, 0)</f>
        <v>9</v>
      </c>
      <c r="P202" s="29">
        <v>1</v>
      </c>
      <c r="Q202" s="29">
        <f>VLOOKUP(E202, Factor!$CL$5:$CV$50, 9, 0)*P202*VLOOKUP(D202, Factor!$BZ$5:$CJ$49, 11, 0)</f>
        <v>3</v>
      </c>
      <c r="R202" s="29" t="str">
        <f>VLOOKUP(E202, Factor!$CL$5:$CV$50, 10, 0)</f>
        <v>null</v>
      </c>
      <c r="S202" s="29" t="str">
        <f>VLOOKUP(E202, Factor!$CL$5:$CV$50, 11, 0)</f>
        <v>null</v>
      </c>
      <c r="T202" s="29">
        <v>1</v>
      </c>
      <c r="U202" s="29">
        <v>1</v>
      </c>
      <c r="V202" s="29">
        <v>1</v>
      </c>
      <c r="W202" s="29">
        <v>1</v>
      </c>
      <c r="X202" s="29">
        <v>1</v>
      </c>
      <c r="Y202" s="29">
        <v>1</v>
      </c>
      <c r="Z202" s="29">
        <v>1</v>
      </c>
      <c r="AA202" s="29" cm="1">
        <f t="array" ref="AA202">_xlfn.LET(_xlpm.기본_색인번호, 2,
_xlpm.추가_색인번호, 3,
_xlpm.개별보정치, T202,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B202" s="29" cm="1">
        <f t="array" ref="AB202">_xlfn.LET(_xlpm.기본_색인번호, 3,
_xlpm.추가_색인번호, 4,
_xlpm.개별보정치, U202,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C202" s="29" cm="1">
        <f t="array" ref="AC202">_xlfn.LET(_xlpm.기본_색인번호, 4,
_xlpm.추가_색인번호, 5,
_xlpm.개별보정치, V202,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02" s="29" cm="1">
        <f t="array" ref="AD202">_xlfn.LET(_xlpm.기본_색인번호, 5,
_xlpm.추가_색인번호, 6,
_xlpm.개별보정치, W202,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E202" s="29" cm="1">
        <f t="array" ref="AE202">_xlfn.LET(_xlpm.기본_색인번호, 6,
_xlpm.추가_색인번호, 7,
_xlpm.개별보정치, X202,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F202" s="29" cm="1">
        <f t="array" ref="AF202">_xlfn.LET(_xlpm.기본_색인번호, 7,
_xlpm.추가_색인번호, 8,
_xlpm.개별보정치, Y202,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02" s="30" cm="1">
        <f t="array" ref="AG202">_xlfn.LET(_xlpm.기본_색인번호, 8,
_xlpm.추가_색인번호, 9,
_xlpm.개별보정치, Z202,
_xlpm.패턴보정치, VLOOKUP($G202, Factor!$B$5:$I$51, _xlpm.기본_색인번호, 0),
_xlpm.소모탄환보정치, VLOOKUP($H202, Factor!$T$5:$AA$51, _xlpm.기본_색인번호, 0),
_xlpm.지형보정치, VLOOKUP($I202, Factor!$K$12:$R$13, _xlpm.기본_색인번호, 0),
_xlpm.공격속성보정치, VLOOKUP($J202, Factor!$K$5:$R$7, _xlpm.기본_색인번호, 0),
_xlpm.피해범위보정치, INDEX(Factor!$AN$5:$AV$51, _xlfn.XMATCH(IF(OR($G202="blast", $G202="curved",  $G202= "debuff"), $L202, 0), Factor!$AN$5:$AN$51, -1), _xlpm.추가_색인번호)-IF(AND(OR($G202="blast", $G202="curved", $G202= "debuff"), MOD($L202,1)&lt;&gt;0),INDEX(Factor!$AN$5:$AV$51, _xlfn.XMATCH(IF(OR($G202="blast", $G202="curved", $G202= "debuff"), $L202, 0), Factor!$AN$5:$AN$51, -1), 2)*MOD($L202,1)*10,0),
_xlpm.상태이상보정치, VLOOKUP(IF($G202 = "debuff", $M202, "null"), Factor!$AX$5:$BE$51, _xlpm.기본_색인번호, 0),
_xlpm.지속시간보정치, INDEX(Factor!$BG$5:$BO$51, _xlfn.XMATCH(IF(OR($G202 ="debuff", $G202 = "shot", $G202 = "pierce"), $O202, 0), Factor!$BG$5:$BG$51, -1), _xlpm.추가_색인번호)-IF(AND(OR($G202 ="debuff", $G202 = "shot", $G202 = "pierce"), MOD($O202, 1)&lt;&gt;0), 10*MOD($O202, 1)*INDEX(Factor!$BG$5:$BO$51, _xlfn.XMATCH(IF(OR($G202 ="debuff", $G202 = "shot", $G202 = "pierce"), $O202, 0), Factor!$BG$5:$BG$51, -1), 2), 0),
_xlpm.탄환개수보정치, VLOOKUP(IF(OR($G202 = "curved", $G202 = "shot"), $Q202, 1), Factor!$BQ$5:$BX$51, _xlpm.기본_색인번호, 0),
_xlpm.상태이상탄환생성위치보정치, IF($G202 = "debuff", VLOOKUP($R202, Factor!$K$18:$R$19, _xlpm.기본_색인번호, 0),1),
_xlpm.상태이상탄환형태보정치, IF($G202 = "debuff", VLOOKUP($S202, Factor!$K$24:$R$25, _xlpm.기본_색인번호, 0),1),
_xlpm.가격보정치, INDEX(Factor!$AE$5:$AL$51, _xlfn.XMATCH($F202,Factor!$AE$5:$AE$51, -1), _xlpm.기본_색인번호),
_xlpm.구경보정치, VLOOKUP($D202,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</row>
    <row r="203" spans="1:33" ht="15.75" customHeight="1">
      <c r="A203" s="24" t="str">
        <f>"weapon_"&amp;G203&amp;"_"&amp;VLOOKUP(H203, Factor!$T$5:$AB$7, 9, 0)&amp;"_"&amp;IF(COUNTIFS($G$4:G202, G203, $H$4:H202, H203)+1&gt;=100, COUNTIFS($G$4:G202, G203, $H$4:H202, H203)+1,IF(COUNTIFS($G$4:G202, G203, $H$4:H202, H203)+1&gt;=10, "0"&amp;COUNTIFS($G$4:G202, G203, $H$4:H202, H203)+1, "00"&amp;COUNTIFS($G$4:G202, G203, $H$4:H202, H203)+1))</f>
        <v>weapon_shot_Am_023</v>
      </c>
      <c r="B203" s="36" t="str">
        <f t="shared" si="3"/>
        <v>T5 12.7mm쌍열 기관포</v>
      </c>
      <c r="C203" s="36" t="s">
        <v>251</v>
      </c>
      <c r="D203" s="36" t="s">
        <v>243</v>
      </c>
      <c r="E203" s="36" t="s">
        <v>194</v>
      </c>
      <c r="F203" s="25">
        <f>VLOOKUP(C203, Factor!$AD$5:$AE$15, 2, 0)</f>
        <v>5000</v>
      </c>
      <c r="G203" s="26" t="str">
        <f>VLOOKUP(E203, Factor!$CL$5:$CV$50, 2, 0)</f>
        <v>shot</v>
      </c>
      <c r="H203" s="25" t="str">
        <f>VLOOKUP(E203, Factor!$CL$5:$CV$50, 3, 0)</f>
        <v>ammo</v>
      </c>
      <c r="I203" s="25" t="str">
        <f>VLOOKUP(E203, Factor!$CL$5:$CV$50, 4, 0)</f>
        <v>L</v>
      </c>
      <c r="J203" s="25" t="str">
        <f>VLOOKUP(E203, Factor!$CL$5:$CV$50, 5, 0)</f>
        <v>spread</v>
      </c>
      <c r="K203" s="25">
        <v>1</v>
      </c>
      <c r="L203" s="25">
        <f>VLOOKUP(E203, Factor!$CL$5:$CV$50, 6, 0)*K203*VLOOKUP(D203, Factor!$BZ$5:$CJ$49, 9, 0)</f>
        <v>0</v>
      </c>
      <c r="M203" s="25" t="str">
        <f>VLOOKUP(E203, Factor!$CL$5:$CV$50, 7, 0)</f>
        <v>null</v>
      </c>
      <c r="N203" s="25">
        <v>1</v>
      </c>
      <c r="O203" s="25">
        <f>VLOOKUP(E203, Factor!$CL$5:$CV$50, 8, 0)*N203*VLOOKUP(D203, Factor!$BZ$5:$CJ$49, 10, 0)</f>
        <v>12</v>
      </c>
      <c r="P203" s="25">
        <v>1</v>
      </c>
      <c r="Q203" s="25">
        <f>VLOOKUP(E203, Factor!$CL$5:$CV$50, 9, 0)*P203*VLOOKUP(D203, Factor!$BZ$5:$CJ$49, 11, 0)</f>
        <v>4</v>
      </c>
      <c r="R203" s="25" t="str">
        <f>VLOOKUP(E203, Factor!$CL$5:$CV$50, 10, 0)</f>
        <v>null</v>
      </c>
      <c r="S203" s="25" t="str">
        <f>VLOOKUP(E203, Factor!$CL$5:$CV$50, 11, 0)</f>
        <v>null</v>
      </c>
      <c r="T203" s="25">
        <v>1</v>
      </c>
      <c r="U203" s="25">
        <v>1</v>
      </c>
      <c r="V203" s="25">
        <v>1</v>
      </c>
      <c r="W203" s="25">
        <v>1</v>
      </c>
      <c r="X203" s="25">
        <v>1</v>
      </c>
      <c r="Y203" s="25">
        <v>1</v>
      </c>
      <c r="Z203" s="25">
        <v>1</v>
      </c>
      <c r="AA203" s="25" cm="1">
        <f t="array" ref="AA203">_xlfn.LET(_xlpm.기본_색인번호, 2,
_xlpm.추가_색인번호, 3,
_xlpm.개별보정치, T203,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03" s="25" cm="1">
        <f t="array" ref="AB203">_xlfn.LET(_xlpm.기본_색인번호, 3,
_xlpm.추가_색인번호, 4,
_xlpm.개별보정치, U203,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203" s="25" cm="1">
        <f t="array" ref="AC203">_xlfn.LET(_xlpm.기본_색인번호, 4,
_xlpm.추가_색인번호, 5,
_xlpm.개별보정치, V203,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03" s="25" cm="1">
        <f t="array" ref="AD203">_xlfn.LET(_xlpm.기본_색인번호, 5,
_xlpm.추가_색인번호, 6,
_xlpm.개별보정치, W203,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E203" s="25" cm="1">
        <f t="array" ref="AE203">_xlfn.LET(_xlpm.기본_색인번호, 6,
_xlpm.추가_색인번호, 7,
_xlpm.개별보정치, X203,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F203" s="25" cm="1">
        <f t="array" ref="AF203">_xlfn.LET(_xlpm.기본_색인번호, 7,
_xlpm.추가_색인번호, 8,
_xlpm.개별보정치, Y203,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03" s="27" cm="1">
        <f t="array" ref="AG203">_xlfn.LET(_xlpm.기본_색인번호, 8,
_xlpm.추가_색인번호, 9,
_xlpm.개별보정치, Z203,
_xlpm.패턴보정치, VLOOKUP($G203, Factor!$B$5:$I$51, _xlpm.기본_색인번호, 0),
_xlpm.소모탄환보정치, VLOOKUP($H203, Factor!$T$5:$AA$51, _xlpm.기본_색인번호, 0),
_xlpm.지형보정치, VLOOKUP($I203, Factor!$K$12:$R$13, _xlpm.기본_색인번호, 0),
_xlpm.공격속성보정치, VLOOKUP($J203, Factor!$K$5:$R$7, _xlpm.기본_색인번호, 0),
_xlpm.피해범위보정치, INDEX(Factor!$AN$5:$AV$51, _xlfn.XMATCH(IF(OR($G203="blast", $G203="curved",  $G203= "debuff"), $L203, 0), Factor!$AN$5:$AN$51, -1), _xlpm.추가_색인번호)-IF(AND(OR($G203="blast", $G203="curved", $G203= "debuff"), MOD($L203,1)&lt;&gt;0),INDEX(Factor!$AN$5:$AV$51, _xlfn.XMATCH(IF(OR($G203="blast", $G203="curved", $G203= "debuff"), $L203, 0), Factor!$AN$5:$AN$51, -1), 2)*MOD($L203,1)*10,0),
_xlpm.상태이상보정치, VLOOKUP(IF($G203 = "debuff", $M203, "null"), Factor!$AX$5:$BE$51, _xlpm.기본_색인번호, 0),
_xlpm.지속시간보정치, INDEX(Factor!$BG$5:$BO$51, _xlfn.XMATCH(IF(OR($G203 ="debuff", $G203 = "shot", $G203 = "pierce"), $O203, 0), Factor!$BG$5:$BG$51, -1), _xlpm.추가_색인번호)-IF(AND(OR($G203 ="debuff", $G203 = "shot", $G203 = "pierce"), MOD($O203, 1)&lt;&gt;0), 10*MOD($O203, 1)*INDEX(Factor!$BG$5:$BO$51, _xlfn.XMATCH(IF(OR($G203 ="debuff", $G203 = "shot", $G203 = "pierce"), $O203, 0), Factor!$BG$5:$BG$51, -1), 2), 0),
_xlpm.탄환개수보정치, VLOOKUP(IF(OR($G203 = "curved", $G203 = "shot"), $Q203, 1), Factor!$BQ$5:$BX$51, _xlpm.기본_색인번호, 0),
_xlpm.상태이상탄환생성위치보정치, IF($G203 = "debuff", VLOOKUP($R203, Factor!$K$18:$R$19, _xlpm.기본_색인번호, 0),1),
_xlpm.상태이상탄환형태보정치, IF($G203 = "debuff", VLOOKUP($S203, Factor!$K$24:$R$25, _xlpm.기본_색인번호, 0),1),
_xlpm.가격보정치, INDEX(Factor!$AE$5:$AL$51, _xlfn.XMATCH($F203,Factor!$AE$5:$AE$51, -1), _xlpm.기본_색인번호),
_xlpm.구경보정치, VLOOKUP($D203,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</row>
    <row r="204" spans="1:33" ht="15.75" customHeight="1">
      <c r="A204" s="28" t="str">
        <f>"weapon_"&amp;G204&amp;"_"&amp;VLOOKUP(H204, Factor!$T$5:$AB$7, 9, 0)&amp;"_"&amp;IF(COUNTIFS($G$4:G203, G204, $H$4:H203, H204)+1&gt;=100, COUNTIFS($G$4:G203, G204, $H$4:H203, H204)+1,IF(COUNTIFS($G$4:G203, G204, $H$4:H203, H204)+1&gt;=10, "0"&amp;COUNTIFS($G$4:G203, G204, $H$4:H203, H204)+1, "00"&amp;COUNTIFS($G$4:G203, G204, $H$4:H203, H204)+1))</f>
        <v>weapon_shot_Am_024</v>
      </c>
      <c r="B204" s="37" t="str">
        <f t="shared" si="3"/>
        <v>T5 20mm쌍열 기관포</v>
      </c>
      <c r="C204" s="37" t="s">
        <v>251</v>
      </c>
      <c r="D204" s="37" t="s">
        <v>244</v>
      </c>
      <c r="E204" s="37" t="s">
        <v>194</v>
      </c>
      <c r="F204" s="29">
        <f>VLOOKUP(C204, Factor!$AD$5:$AE$15, 2, 0)</f>
        <v>5000</v>
      </c>
      <c r="G204" s="29" t="str">
        <f>VLOOKUP(E204, Factor!$CL$5:$CV$50, 2, 0)</f>
        <v>shot</v>
      </c>
      <c r="H204" s="29" t="str">
        <f>VLOOKUP(E204, Factor!$CL$5:$CV$50, 3, 0)</f>
        <v>ammo</v>
      </c>
      <c r="I204" s="29" t="str">
        <f>VLOOKUP(E204, Factor!$CL$5:$CV$50, 4, 0)</f>
        <v>L</v>
      </c>
      <c r="J204" s="29" t="str">
        <f>VLOOKUP(E204, Factor!$CL$5:$CV$50, 5, 0)</f>
        <v>spread</v>
      </c>
      <c r="K204" s="29">
        <v>1</v>
      </c>
      <c r="L204" s="29">
        <f>VLOOKUP(E204, Factor!$CL$5:$CV$50, 6, 0)*K204*VLOOKUP(D204, Factor!$BZ$5:$CJ$49, 9, 0)</f>
        <v>0</v>
      </c>
      <c r="M204" s="29" t="str">
        <f>VLOOKUP(E204, Factor!$CL$5:$CV$50, 7, 0)</f>
        <v>null</v>
      </c>
      <c r="N204" s="29">
        <v>1</v>
      </c>
      <c r="O204" s="29">
        <f>VLOOKUP(E204, Factor!$CL$5:$CV$50, 8, 0)*N204*VLOOKUP(D204, Factor!$BZ$5:$CJ$49, 10, 0)</f>
        <v>15</v>
      </c>
      <c r="P204" s="29">
        <v>1</v>
      </c>
      <c r="Q204" s="29">
        <f>VLOOKUP(E204, Factor!$CL$5:$CV$50, 9, 0)*P204*VLOOKUP(D204, Factor!$BZ$5:$CJ$49, 11, 0)</f>
        <v>5</v>
      </c>
      <c r="R204" s="29" t="str">
        <f>VLOOKUP(E204, Factor!$CL$5:$CV$50, 10, 0)</f>
        <v>null</v>
      </c>
      <c r="S204" s="29" t="str">
        <f>VLOOKUP(E204, Factor!$CL$5:$CV$50, 11, 0)</f>
        <v>null</v>
      </c>
      <c r="T204" s="29">
        <v>1</v>
      </c>
      <c r="U204" s="29">
        <v>1</v>
      </c>
      <c r="V204" s="29">
        <v>1</v>
      </c>
      <c r="W204" s="29">
        <v>1</v>
      </c>
      <c r="X204" s="29">
        <v>1</v>
      </c>
      <c r="Y204" s="29">
        <v>1</v>
      </c>
      <c r="Z204" s="29">
        <v>1</v>
      </c>
      <c r="AA204" s="29" cm="1">
        <f t="array" ref="AA204">_xlfn.LET(_xlpm.기본_색인번호, 2,
_xlpm.추가_색인번호, 3,
_xlpm.개별보정치, T204,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204" s="29" cm="1">
        <f t="array" ref="AB204">_xlfn.LET(_xlpm.기본_색인번호, 3,
_xlpm.추가_색인번호, 4,
_xlpm.개별보정치, U204,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204" s="29" cm="1">
        <f t="array" ref="AC204">_xlfn.LET(_xlpm.기본_색인번호, 4,
_xlpm.추가_색인번호, 5,
_xlpm.개별보정치, V204,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04" s="29" cm="1">
        <f t="array" ref="AD204">_xlfn.LET(_xlpm.기본_색인번호, 5,
_xlpm.추가_색인번호, 6,
_xlpm.개별보정치, W204,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204" s="29" cm="1">
        <f t="array" ref="AE204">_xlfn.LET(_xlpm.기본_색인번호, 6,
_xlpm.추가_색인번호, 7,
_xlpm.개별보정치, X204,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204" s="29" cm="1">
        <f t="array" ref="AF204">_xlfn.LET(_xlpm.기본_색인번호, 7,
_xlpm.추가_색인번호, 8,
_xlpm.개별보정치, Y204,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04" s="30" cm="1">
        <f t="array" ref="AG204">_xlfn.LET(_xlpm.기본_색인번호, 8,
_xlpm.추가_색인번호, 9,
_xlpm.개별보정치, Z204,
_xlpm.패턴보정치, VLOOKUP($G204, Factor!$B$5:$I$51, _xlpm.기본_색인번호, 0),
_xlpm.소모탄환보정치, VLOOKUP($H204, Factor!$T$5:$AA$51, _xlpm.기본_색인번호, 0),
_xlpm.지형보정치, VLOOKUP($I204, Factor!$K$12:$R$13, _xlpm.기본_색인번호, 0),
_xlpm.공격속성보정치, VLOOKUP($J204, Factor!$K$5:$R$7, _xlpm.기본_색인번호, 0),
_xlpm.피해범위보정치, INDEX(Factor!$AN$5:$AV$51, _xlfn.XMATCH(IF(OR($G204="blast", $G204="curved",  $G204= "debuff"), $L204, 0), Factor!$AN$5:$AN$51, -1), _xlpm.추가_색인번호)-IF(AND(OR($G204="blast", $G204="curved", $G204= "debuff"), MOD($L204,1)&lt;&gt;0),INDEX(Factor!$AN$5:$AV$51, _xlfn.XMATCH(IF(OR($G204="blast", $G204="curved", $G204= "debuff"), $L204, 0), Factor!$AN$5:$AN$51, -1), 2)*MOD($L204,1)*10,0),
_xlpm.상태이상보정치, VLOOKUP(IF($G204 = "debuff", $M204, "null"), Factor!$AX$5:$BE$51, _xlpm.기본_색인번호, 0),
_xlpm.지속시간보정치, INDEX(Factor!$BG$5:$BO$51, _xlfn.XMATCH(IF(OR($G204 ="debuff", $G204 = "shot", $G204 = "pierce"), $O204, 0), Factor!$BG$5:$BG$51, -1), _xlpm.추가_색인번호)-IF(AND(OR($G204 ="debuff", $G204 = "shot", $G204 = "pierce"), MOD($O204, 1)&lt;&gt;0), 10*MOD($O204, 1)*INDEX(Factor!$BG$5:$BO$51, _xlfn.XMATCH(IF(OR($G204 ="debuff", $G204 = "shot", $G204 = "pierce"), $O204, 0), Factor!$BG$5:$BG$51, -1), 2), 0),
_xlpm.탄환개수보정치, VLOOKUP(IF(OR($G204 = "curved", $G204 = "shot"), $Q204, 1), Factor!$BQ$5:$BX$51, _xlpm.기본_색인번호, 0),
_xlpm.상태이상탄환생성위치보정치, IF($G204 = "debuff", VLOOKUP($R204, Factor!$K$18:$R$19, _xlpm.기본_색인번호, 0),1),
_xlpm.상태이상탄환형태보정치, IF($G204 = "debuff", VLOOKUP($S204, Factor!$K$24:$R$25, _xlpm.기본_색인번호, 0),1),
_xlpm.가격보정치, INDEX(Factor!$AE$5:$AL$51, _xlfn.XMATCH($F204,Factor!$AE$5:$AE$51, -1), _xlpm.기본_색인번호),
_xlpm.구경보정치, VLOOKUP($D204,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205" spans="1:33" ht="15.75" customHeight="1">
      <c r="A205" s="24" t="str">
        <f>"weapon_"&amp;G205&amp;"_"&amp;VLOOKUP(H205, Factor!$T$5:$AB$7, 9, 0)&amp;"_"&amp;IF(COUNTIFS($G$4:G204, G205, $H$4:H204, H205)+1&gt;=100, COUNTIFS($G$4:G204, G205, $H$4:H204, H205)+1,IF(COUNTIFS($G$4:G204, G205, $H$4:H204, H205)+1&gt;=10, "0"&amp;COUNTIFS($G$4:G204, G205, $H$4:H204, H205)+1, "00"&amp;COUNTIFS($G$4:G204, G205, $H$4:H204, H205)+1))</f>
        <v>weapon_shot_Am_025</v>
      </c>
      <c r="B205" s="36" t="str">
        <f t="shared" si="3"/>
        <v>T6 5.56mm쌍열 기관포</v>
      </c>
      <c r="C205" s="36" t="s">
        <v>253</v>
      </c>
      <c r="D205" s="36" t="s">
        <v>241</v>
      </c>
      <c r="E205" s="36" t="s">
        <v>194</v>
      </c>
      <c r="F205" s="25">
        <f>VLOOKUP(C205, Factor!$AD$5:$AE$15, 2, 0)</f>
        <v>6000</v>
      </c>
      <c r="G205" s="26" t="str">
        <f>VLOOKUP(E205, Factor!$CL$5:$CV$50, 2, 0)</f>
        <v>shot</v>
      </c>
      <c r="H205" s="25" t="str">
        <f>VLOOKUP(E205, Factor!$CL$5:$CV$50, 3, 0)</f>
        <v>ammo</v>
      </c>
      <c r="I205" s="25" t="str">
        <f>VLOOKUP(E205, Factor!$CL$5:$CV$50, 4, 0)</f>
        <v>L</v>
      </c>
      <c r="J205" s="25" t="str">
        <f>VLOOKUP(E205, Factor!$CL$5:$CV$50, 5, 0)</f>
        <v>spread</v>
      </c>
      <c r="K205" s="25">
        <v>1</v>
      </c>
      <c r="L205" s="25">
        <f>VLOOKUP(E205, Factor!$CL$5:$CV$50, 6, 0)*K205*VLOOKUP(D205, Factor!$BZ$5:$CJ$49, 9, 0)</f>
        <v>0</v>
      </c>
      <c r="M205" s="25" t="str">
        <f>VLOOKUP(E205, Factor!$CL$5:$CV$50, 7, 0)</f>
        <v>null</v>
      </c>
      <c r="N205" s="25">
        <v>1</v>
      </c>
      <c r="O205" s="25">
        <f>VLOOKUP(E205, Factor!$CL$5:$CV$50, 8, 0)*N205*VLOOKUP(D205, Factor!$BZ$5:$CJ$49, 10, 0)</f>
        <v>6</v>
      </c>
      <c r="P205" s="25">
        <v>1</v>
      </c>
      <c r="Q205" s="25">
        <f>VLOOKUP(E205, Factor!$CL$5:$CV$50, 9, 0)*P205*VLOOKUP(D205, Factor!$BZ$5:$CJ$49, 11, 0)</f>
        <v>2</v>
      </c>
      <c r="R205" s="25" t="str">
        <f>VLOOKUP(E205, Factor!$CL$5:$CV$50, 10, 0)</f>
        <v>null</v>
      </c>
      <c r="S205" s="25" t="str">
        <f>VLOOKUP(E205, Factor!$CL$5:$CV$50, 11, 0)</f>
        <v>null</v>
      </c>
      <c r="T205" s="25">
        <v>1</v>
      </c>
      <c r="U205" s="25">
        <v>1</v>
      </c>
      <c r="V205" s="25">
        <v>1</v>
      </c>
      <c r="W205" s="25">
        <v>1</v>
      </c>
      <c r="X205" s="25">
        <v>1</v>
      </c>
      <c r="Y205" s="25">
        <v>1</v>
      </c>
      <c r="Z205" s="25">
        <v>1</v>
      </c>
      <c r="AA205" s="25" cm="1">
        <f t="array" ref="AA205">_xlfn.LET(_xlpm.기본_색인번호, 2,
_xlpm.추가_색인번호, 3,
_xlpm.개별보정치, T205,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840</v>
      </c>
      <c r="AB205" s="25" cm="1">
        <f t="array" ref="AB205">_xlfn.LET(_xlpm.기본_색인번호, 3,
_xlpm.추가_색인번호, 4,
_xlpm.개별보정치, U205,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C205" s="25" cm="1">
        <f t="array" ref="AC205">_xlfn.LET(_xlpm.기본_색인번호, 4,
_xlpm.추가_색인번호, 5,
_xlpm.개별보정치, V205,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05" s="25" cm="1">
        <f t="array" ref="AD205">_xlfn.LET(_xlpm.기본_색인번호, 5,
_xlpm.추가_색인번호, 6,
_xlpm.개별보정치, W205,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50.399999999999991</v>
      </c>
      <c r="AE205" s="25" cm="1">
        <f t="array" ref="AE205">_xlfn.LET(_xlpm.기본_색인번호, 6,
_xlpm.추가_색인번호, 7,
_xlpm.개별보정치, X205,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50.399999999999991</v>
      </c>
      <c r="AF205" s="25" cm="1">
        <f t="array" ref="AF205">_xlfn.LET(_xlpm.기본_색인번호, 7,
_xlpm.추가_색인번호, 8,
_xlpm.개별보정치, Y205,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05" s="27" cm="1">
        <f t="array" ref="AG205">_xlfn.LET(_xlpm.기본_색인번호, 8,
_xlpm.추가_색인번호, 9,
_xlpm.개별보정치, Z205,
_xlpm.패턴보정치, VLOOKUP($G205, Factor!$B$5:$I$51, _xlpm.기본_색인번호, 0),
_xlpm.소모탄환보정치, VLOOKUP($H205, Factor!$T$5:$AA$51, _xlpm.기본_색인번호, 0),
_xlpm.지형보정치, VLOOKUP($I205, Factor!$K$12:$R$13, _xlpm.기본_색인번호, 0),
_xlpm.공격속성보정치, VLOOKUP($J205, Factor!$K$5:$R$7, _xlpm.기본_색인번호, 0),
_xlpm.피해범위보정치, INDEX(Factor!$AN$5:$AV$51, _xlfn.XMATCH(IF(OR($G205="blast", $G205="curved",  $G205= "debuff"), $L205, 0), Factor!$AN$5:$AN$51, -1), _xlpm.추가_색인번호)-IF(AND(OR($G205="blast", $G205="curved", $G205= "debuff"), MOD($L205,1)&lt;&gt;0),INDEX(Factor!$AN$5:$AV$51, _xlfn.XMATCH(IF(OR($G205="blast", $G205="curved", $G205= "debuff"), $L205, 0), Factor!$AN$5:$AN$51, -1), 2)*MOD($L205,1)*10,0),
_xlpm.상태이상보정치, VLOOKUP(IF($G205 = "debuff", $M205, "null"), Factor!$AX$5:$BE$51, _xlpm.기본_색인번호, 0),
_xlpm.지속시간보정치, INDEX(Factor!$BG$5:$BO$51, _xlfn.XMATCH(IF(OR($G205 ="debuff", $G205 = "shot", $G205 = "pierce"), $O205, 0), Factor!$BG$5:$BG$51, -1), _xlpm.추가_색인번호)-IF(AND(OR($G205 ="debuff", $G205 = "shot", $G205 = "pierce"), MOD($O205, 1)&lt;&gt;0), 10*MOD($O205, 1)*INDEX(Factor!$BG$5:$BO$51, _xlfn.XMATCH(IF(OR($G205 ="debuff", $G205 = "shot", $G205 = "pierce"), $O205, 0), Factor!$BG$5:$BG$51, -1), 2), 0),
_xlpm.탄환개수보정치, VLOOKUP(IF(OR($G205 = "curved", $G205 = "shot"), $Q205, 1), Factor!$BQ$5:$BX$51, _xlpm.기본_색인번호, 0),
_xlpm.상태이상탄환생성위치보정치, IF($G205 = "debuff", VLOOKUP($R205, Factor!$K$18:$R$19, _xlpm.기본_색인번호, 0),1),
_xlpm.상태이상탄환형태보정치, IF($G205 = "debuff", VLOOKUP($S205, Factor!$K$24:$R$25, _xlpm.기본_색인번호, 0),1),
_xlpm.가격보정치, INDEX(Factor!$AE$5:$AL$51, _xlfn.XMATCH($F205,Factor!$AE$5:$AE$51, -1), _xlpm.기본_색인번호),
_xlpm.구경보정치, VLOOKUP($D205,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50.399999999999991</v>
      </c>
    </row>
    <row r="206" spans="1:33" ht="15.75" customHeight="1">
      <c r="A206" s="28" t="str">
        <f>"weapon_"&amp;G206&amp;"_"&amp;VLOOKUP(H206, Factor!$T$5:$AB$7, 9, 0)&amp;"_"&amp;IF(COUNTIFS($G$4:G205, G206, $H$4:H205, H206)+1&gt;=100, COUNTIFS($G$4:G205, G206, $H$4:H205, H206)+1,IF(COUNTIFS($G$4:G205, G206, $H$4:H205, H206)+1&gt;=10, "0"&amp;COUNTIFS($G$4:G205, G206, $H$4:H205, H206)+1, "00"&amp;COUNTIFS($G$4:G205, G206, $H$4:H205, H206)+1))</f>
        <v>weapon_shot_Am_026</v>
      </c>
      <c r="B206" s="37" t="str">
        <f t="shared" si="3"/>
        <v>T6 7.62mm쌍열 기관포</v>
      </c>
      <c r="C206" s="37" t="s">
        <v>253</v>
      </c>
      <c r="D206" s="37" t="s">
        <v>242</v>
      </c>
      <c r="E206" s="37" t="s">
        <v>194</v>
      </c>
      <c r="F206" s="29">
        <f>VLOOKUP(C206, Factor!$AD$5:$AE$15, 2, 0)</f>
        <v>6000</v>
      </c>
      <c r="G206" s="29" t="str">
        <f>VLOOKUP(E206, Factor!$CL$5:$CV$50, 2, 0)</f>
        <v>shot</v>
      </c>
      <c r="H206" s="29" t="str">
        <f>VLOOKUP(E206, Factor!$CL$5:$CV$50, 3, 0)</f>
        <v>ammo</v>
      </c>
      <c r="I206" s="29" t="str">
        <f>VLOOKUP(E206, Factor!$CL$5:$CV$50, 4, 0)</f>
        <v>L</v>
      </c>
      <c r="J206" s="29" t="str">
        <f>VLOOKUP(E206, Factor!$CL$5:$CV$50, 5, 0)</f>
        <v>spread</v>
      </c>
      <c r="K206" s="29">
        <v>1</v>
      </c>
      <c r="L206" s="29">
        <f>VLOOKUP(E206, Factor!$CL$5:$CV$50, 6, 0)*K206*VLOOKUP(D206, Factor!$BZ$5:$CJ$49, 9, 0)</f>
        <v>0</v>
      </c>
      <c r="M206" s="29" t="str">
        <f>VLOOKUP(E206, Factor!$CL$5:$CV$50, 7, 0)</f>
        <v>null</v>
      </c>
      <c r="N206" s="29">
        <v>1</v>
      </c>
      <c r="O206" s="29">
        <f>VLOOKUP(E206, Factor!$CL$5:$CV$50, 8, 0)*N206*VLOOKUP(D206, Factor!$BZ$5:$CJ$49, 10, 0)</f>
        <v>9</v>
      </c>
      <c r="P206" s="29">
        <v>1</v>
      </c>
      <c r="Q206" s="29">
        <f>VLOOKUP(E206, Factor!$CL$5:$CV$50, 9, 0)*P206*VLOOKUP(D206, Factor!$BZ$5:$CJ$49, 11, 0)</f>
        <v>3</v>
      </c>
      <c r="R206" s="29" t="str">
        <f>VLOOKUP(E206, Factor!$CL$5:$CV$50, 10, 0)</f>
        <v>null</v>
      </c>
      <c r="S206" s="29" t="str">
        <f>VLOOKUP(E206, Factor!$CL$5:$CV$50, 11, 0)</f>
        <v>null</v>
      </c>
      <c r="T206" s="29">
        <v>1</v>
      </c>
      <c r="U206" s="29">
        <v>1</v>
      </c>
      <c r="V206" s="29">
        <v>1</v>
      </c>
      <c r="W206" s="29">
        <v>1</v>
      </c>
      <c r="X206" s="29">
        <v>1</v>
      </c>
      <c r="Y206" s="29">
        <v>1</v>
      </c>
      <c r="Z206" s="29">
        <v>1</v>
      </c>
      <c r="AA206" s="29" cm="1">
        <f t="array" ref="AA206">_xlfn.LET(_xlpm.기본_색인번호, 2,
_xlpm.추가_색인번호, 3,
_xlpm.개별보정치, T206,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1890</v>
      </c>
      <c r="AB206" s="29" cm="1">
        <f t="array" ref="AB206">_xlfn.LET(_xlpm.기본_색인번호, 3,
_xlpm.추가_색인번호, 4,
_xlpm.개별보정치, U206,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C206" s="29" cm="1">
        <f t="array" ref="AC206">_xlfn.LET(_xlpm.기본_색인번호, 4,
_xlpm.추가_색인번호, 5,
_xlpm.개별보정치, V206,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06" s="29" cm="1">
        <f t="array" ref="AD206">_xlfn.LET(_xlpm.기본_색인번호, 5,
_xlpm.추가_색인번호, 6,
_xlpm.개별보정치, W206,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113.39999999999999</v>
      </c>
      <c r="AE206" s="29" cm="1">
        <f t="array" ref="AE206">_xlfn.LET(_xlpm.기본_색인번호, 6,
_xlpm.추가_색인번호, 7,
_xlpm.개별보정치, X206,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113.39999999999999</v>
      </c>
      <c r="AF206" s="29" cm="1">
        <f t="array" ref="AF206">_xlfn.LET(_xlpm.기본_색인번호, 7,
_xlpm.추가_색인번호, 8,
_xlpm.개별보정치, Y206,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06" s="30" cm="1">
        <f t="array" ref="AG206">_xlfn.LET(_xlpm.기본_색인번호, 8,
_xlpm.추가_색인번호, 9,
_xlpm.개별보정치, Z206,
_xlpm.패턴보정치, VLOOKUP($G206, Factor!$B$5:$I$51, _xlpm.기본_색인번호, 0),
_xlpm.소모탄환보정치, VLOOKUP($H206, Factor!$T$5:$AA$51, _xlpm.기본_색인번호, 0),
_xlpm.지형보정치, VLOOKUP($I206, Factor!$K$12:$R$13, _xlpm.기본_색인번호, 0),
_xlpm.공격속성보정치, VLOOKUP($J206, Factor!$K$5:$R$7, _xlpm.기본_색인번호, 0),
_xlpm.피해범위보정치, INDEX(Factor!$AN$5:$AV$51, _xlfn.XMATCH(IF(OR($G206="blast", $G206="curved",  $G206= "debuff"), $L206, 0), Factor!$AN$5:$AN$51, -1), _xlpm.추가_색인번호)-IF(AND(OR($G206="blast", $G206="curved", $G206= "debuff"), MOD($L206,1)&lt;&gt;0),INDEX(Factor!$AN$5:$AV$51, _xlfn.XMATCH(IF(OR($G206="blast", $G206="curved", $G206= "debuff"), $L206, 0), Factor!$AN$5:$AN$51, -1), 2)*MOD($L206,1)*10,0),
_xlpm.상태이상보정치, VLOOKUP(IF($G206 = "debuff", $M206, "null"), Factor!$AX$5:$BE$51, _xlpm.기본_색인번호, 0),
_xlpm.지속시간보정치, INDEX(Factor!$BG$5:$BO$51, _xlfn.XMATCH(IF(OR($G206 ="debuff", $G206 = "shot", $G206 = "pierce"), $O206, 0), Factor!$BG$5:$BG$51, -1), _xlpm.추가_색인번호)-IF(AND(OR($G206 ="debuff", $G206 = "shot", $G206 = "pierce"), MOD($O206, 1)&lt;&gt;0), 10*MOD($O206, 1)*INDEX(Factor!$BG$5:$BO$51, _xlfn.XMATCH(IF(OR($G206 ="debuff", $G206 = "shot", $G206 = "pierce"), $O206, 0), Factor!$BG$5:$BG$51, -1), 2), 0),
_xlpm.탄환개수보정치, VLOOKUP(IF(OR($G206 = "curved", $G206 = "shot"), $Q206, 1), Factor!$BQ$5:$BX$51, _xlpm.기본_색인번호, 0),
_xlpm.상태이상탄환생성위치보정치, IF($G206 = "debuff", VLOOKUP($R206, Factor!$K$18:$R$19, _xlpm.기본_색인번호, 0),1),
_xlpm.상태이상탄환형태보정치, IF($G206 = "debuff", VLOOKUP($S206, Factor!$K$24:$R$25, _xlpm.기본_색인번호, 0),1),
_xlpm.가격보정치, INDEX(Factor!$AE$5:$AL$51, _xlfn.XMATCH($F206,Factor!$AE$5:$AE$51, -1), _xlpm.기본_색인번호),
_xlpm.구경보정치, VLOOKUP($D206,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113.39999999999999</v>
      </c>
    </row>
    <row r="207" spans="1:33" ht="15.75" customHeight="1">
      <c r="A207" s="24" t="str">
        <f>"weapon_"&amp;G207&amp;"_"&amp;VLOOKUP(H207, Factor!$T$5:$AB$7, 9, 0)&amp;"_"&amp;IF(COUNTIFS($G$4:G206, G207, $H$4:H206, H207)+1&gt;=100, COUNTIFS($G$4:G206, G207, $H$4:H206, H207)+1,IF(COUNTIFS($G$4:G206, G207, $H$4:H206, H207)+1&gt;=10, "0"&amp;COUNTIFS($G$4:G206, G207, $H$4:H206, H207)+1, "00"&amp;COUNTIFS($G$4:G206, G207, $H$4:H206, H207)+1))</f>
        <v>weapon_shot_Am_027</v>
      </c>
      <c r="B207" s="36" t="str">
        <f t="shared" si="3"/>
        <v>T6 12.7mm쌍열 기관포</v>
      </c>
      <c r="C207" s="36" t="s">
        <v>253</v>
      </c>
      <c r="D207" s="36" t="s">
        <v>243</v>
      </c>
      <c r="E207" s="36" t="s">
        <v>194</v>
      </c>
      <c r="F207" s="25">
        <f>VLOOKUP(C207, Factor!$AD$5:$AE$15, 2, 0)</f>
        <v>6000</v>
      </c>
      <c r="G207" s="26" t="str">
        <f>VLOOKUP(E207, Factor!$CL$5:$CV$50, 2, 0)</f>
        <v>shot</v>
      </c>
      <c r="H207" s="25" t="str">
        <f>VLOOKUP(E207, Factor!$CL$5:$CV$50, 3, 0)</f>
        <v>ammo</v>
      </c>
      <c r="I207" s="25" t="str">
        <f>VLOOKUP(E207, Factor!$CL$5:$CV$50, 4, 0)</f>
        <v>L</v>
      </c>
      <c r="J207" s="25" t="str">
        <f>VLOOKUP(E207, Factor!$CL$5:$CV$50, 5, 0)</f>
        <v>spread</v>
      </c>
      <c r="K207" s="25">
        <v>1</v>
      </c>
      <c r="L207" s="25">
        <f>VLOOKUP(E207, Factor!$CL$5:$CV$50, 6, 0)*K207*VLOOKUP(D207, Factor!$BZ$5:$CJ$49, 9, 0)</f>
        <v>0</v>
      </c>
      <c r="M207" s="25" t="str">
        <f>VLOOKUP(E207, Factor!$CL$5:$CV$50, 7, 0)</f>
        <v>null</v>
      </c>
      <c r="N207" s="25">
        <v>1</v>
      </c>
      <c r="O207" s="25">
        <f>VLOOKUP(E207, Factor!$CL$5:$CV$50, 8, 0)*N207*VLOOKUP(D207, Factor!$BZ$5:$CJ$49, 10, 0)</f>
        <v>12</v>
      </c>
      <c r="P207" s="25">
        <v>1</v>
      </c>
      <c r="Q207" s="25">
        <f>VLOOKUP(E207, Factor!$CL$5:$CV$50, 9, 0)*P207*VLOOKUP(D207, Factor!$BZ$5:$CJ$49, 11, 0)</f>
        <v>4</v>
      </c>
      <c r="R207" s="25" t="str">
        <f>VLOOKUP(E207, Factor!$CL$5:$CV$50, 10, 0)</f>
        <v>null</v>
      </c>
      <c r="S207" s="25" t="str">
        <f>VLOOKUP(E207, Factor!$CL$5:$CV$50, 11, 0)</f>
        <v>null</v>
      </c>
      <c r="T207" s="25">
        <v>1</v>
      </c>
      <c r="U207" s="25">
        <v>1</v>
      </c>
      <c r="V207" s="25">
        <v>1</v>
      </c>
      <c r="W207" s="25">
        <v>1</v>
      </c>
      <c r="X207" s="25">
        <v>1</v>
      </c>
      <c r="Y207" s="25">
        <v>1</v>
      </c>
      <c r="Z207" s="25">
        <v>1</v>
      </c>
      <c r="AA207" s="25" cm="1">
        <f t="array" ref="AA207">_xlfn.LET(_xlpm.기본_색인번호, 2,
_xlpm.추가_색인번호, 3,
_xlpm.개별보정치, T207,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207" s="25" cm="1">
        <f t="array" ref="AB207">_xlfn.LET(_xlpm.기본_색인번호, 3,
_xlpm.추가_색인번호, 4,
_xlpm.개별보정치, U207,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C207" s="25" cm="1">
        <f t="array" ref="AC207">_xlfn.LET(_xlpm.기본_색인번호, 4,
_xlpm.추가_색인번호, 5,
_xlpm.개별보정치, V207,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07" s="25" cm="1">
        <f t="array" ref="AD207">_xlfn.LET(_xlpm.기본_색인번호, 5,
_xlpm.추가_색인번호, 6,
_xlpm.개별보정치, W207,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E207" s="25" cm="1">
        <f t="array" ref="AE207">_xlfn.LET(_xlpm.기본_색인번호, 6,
_xlpm.추가_색인번호, 7,
_xlpm.개별보정치, X207,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F207" s="25" cm="1">
        <f t="array" ref="AF207">_xlfn.LET(_xlpm.기본_색인번호, 7,
_xlpm.추가_색인번호, 8,
_xlpm.개별보정치, Y207,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07" s="27" cm="1">
        <f t="array" ref="AG207">_xlfn.LET(_xlpm.기본_색인번호, 8,
_xlpm.추가_색인번호, 9,
_xlpm.개별보정치, Z207,
_xlpm.패턴보정치, VLOOKUP($G207, Factor!$B$5:$I$51, _xlpm.기본_색인번호, 0),
_xlpm.소모탄환보정치, VLOOKUP($H207, Factor!$T$5:$AA$51, _xlpm.기본_색인번호, 0),
_xlpm.지형보정치, VLOOKUP($I207, Factor!$K$12:$R$13, _xlpm.기본_색인번호, 0),
_xlpm.공격속성보정치, VLOOKUP($J207, Factor!$K$5:$R$7, _xlpm.기본_색인번호, 0),
_xlpm.피해범위보정치, INDEX(Factor!$AN$5:$AV$51, _xlfn.XMATCH(IF(OR($G207="blast", $G207="curved",  $G207= "debuff"), $L207, 0), Factor!$AN$5:$AN$51, -1), _xlpm.추가_색인번호)-IF(AND(OR($G207="blast", $G207="curved", $G207= "debuff"), MOD($L207,1)&lt;&gt;0),INDEX(Factor!$AN$5:$AV$51, _xlfn.XMATCH(IF(OR($G207="blast", $G207="curved", $G207= "debuff"), $L207, 0), Factor!$AN$5:$AN$51, -1), 2)*MOD($L207,1)*10,0),
_xlpm.상태이상보정치, VLOOKUP(IF($G207 = "debuff", $M207, "null"), Factor!$AX$5:$BE$51, _xlpm.기본_색인번호, 0),
_xlpm.지속시간보정치, INDEX(Factor!$BG$5:$BO$51, _xlfn.XMATCH(IF(OR($G207 ="debuff", $G207 = "shot", $G207 = "pierce"), $O207, 0), Factor!$BG$5:$BG$51, -1), _xlpm.추가_색인번호)-IF(AND(OR($G207 ="debuff", $G207 = "shot", $G207 = "pierce"), MOD($O207, 1)&lt;&gt;0), 10*MOD($O207, 1)*INDEX(Factor!$BG$5:$BO$51, _xlfn.XMATCH(IF(OR($G207 ="debuff", $G207 = "shot", $G207 = "pierce"), $O207, 0), Factor!$BG$5:$BG$51, -1), 2), 0),
_xlpm.탄환개수보정치, VLOOKUP(IF(OR($G207 = "curved", $G207 = "shot"), $Q207, 1), Factor!$BQ$5:$BX$51, _xlpm.기본_색인번호, 0),
_xlpm.상태이상탄환생성위치보정치, IF($G207 = "debuff", VLOOKUP($R207, Factor!$K$18:$R$19, _xlpm.기본_색인번호, 0),1),
_xlpm.상태이상탄환형태보정치, IF($G207 = "debuff", VLOOKUP($S207, Factor!$K$24:$R$25, _xlpm.기본_색인번호, 0),1),
_xlpm.가격보정치, INDEX(Factor!$AE$5:$AL$51, _xlfn.XMATCH($F207,Factor!$AE$5:$AE$51, -1), _xlpm.기본_색인번호),
_xlpm.구경보정치, VLOOKUP($D207,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</row>
    <row r="208" spans="1:33" ht="15.75" customHeight="1">
      <c r="A208" s="28" t="str">
        <f>"weapon_"&amp;G208&amp;"_"&amp;VLOOKUP(H208, Factor!$T$5:$AB$7, 9, 0)&amp;"_"&amp;IF(COUNTIFS($G$4:G207, G208, $H$4:H207, H208)+1&gt;=100, COUNTIFS($G$4:G207, G208, $H$4:H207, H208)+1,IF(COUNTIFS($G$4:G207, G208, $H$4:H207, H208)+1&gt;=10, "0"&amp;COUNTIFS($G$4:G207, G208, $H$4:H207, H208)+1, "00"&amp;COUNTIFS($G$4:G207, G208, $H$4:H207, H208)+1))</f>
        <v>weapon_shot_Am_028</v>
      </c>
      <c r="B208" s="37" t="str">
        <f t="shared" si="3"/>
        <v>T6 20mm쌍열 기관포</v>
      </c>
      <c r="C208" s="37" t="s">
        <v>253</v>
      </c>
      <c r="D208" s="37" t="s">
        <v>244</v>
      </c>
      <c r="E208" s="37" t="s">
        <v>194</v>
      </c>
      <c r="F208" s="29">
        <f>VLOOKUP(C208, Factor!$AD$5:$AE$15, 2, 0)</f>
        <v>6000</v>
      </c>
      <c r="G208" s="29" t="str">
        <f>VLOOKUP(E208, Factor!$CL$5:$CV$50, 2, 0)</f>
        <v>shot</v>
      </c>
      <c r="H208" s="29" t="str">
        <f>VLOOKUP(E208, Factor!$CL$5:$CV$50, 3, 0)</f>
        <v>ammo</v>
      </c>
      <c r="I208" s="29" t="str">
        <f>VLOOKUP(E208, Factor!$CL$5:$CV$50, 4, 0)</f>
        <v>L</v>
      </c>
      <c r="J208" s="29" t="str">
        <f>VLOOKUP(E208, Factor!$CL$5:$CV$50, 5, 0)</f>
        <v>spread</v>
      </c>
      <c r="K208" s="29">
        <v>1</v>
      </c>
      <c r="L208" s="29">
        <f>VLOOKUP(E208, Factor!$CL$5:$CV$50, 6, 0)*K208*VLOOKUP(D208, Factor!$BZ$5:$CJ$49, 9, 0)</f>
        <v>0</v>
      </c>
      <c r="M208" s="29" t="str">
        <f>VLOOKUP(E208, Factor!$CL$5:$CV$50, 7, 0)</f>
        <v>null</v>
      </c>
      <c r="N208" s="29">
        <v>1</v>
      </c>
      <c r="O208" s="29">
        <f>VLOOKUP(E208, Factor!$CL$5:$CV$50, 8, 0)*N208*VLOOKUP(D208, Factor!$BZ$5:$CJ$49, 10, 0)</f>
        <v>15</v>
      </c>
      <c r="P208" s="29">
        <v>1</v>
      </c>
      <c r="Q208" s="29">
        <f>VLOOKUP(E208, Factor!$CL$5:$CV$50, 9, 0)*P208*VLOOKUP(D208, Factor!$BZ$5:$CJ$49, 11, 0)</f>
        <v>5</v>
      </c>
      <c r="R208" s="29" t="str">
        <f>VLOOKUP(E208, Factor!$CL$5:$CV$50, 10, 0)</f>
        <v>null</v>
      </c>
      <c r="S208" s="29" t="str">
        <f>VLOOKUP(E208, Factor!$CL$5:$CV$50, 11, 0)</f>
        <v>null</v>
      </c>
      <c r="T208" s="29">
        <v>1</v>
      </c>
      <c r="U208" s="29">
        <v>1</v>
      </c>
      <c r="V208" s="29">
        <v>1</v>
      </c>
      <c r="W208" s="29">
        <v>1</v>
      </c>
      <c r="X208" s="29">
        <v>1</v>
      </c>
      <c r="Y208" s="29">
        <v>1</v>
      </c>
      <c r="Z208" s="29">
        <v>1</v>
      </c>
      <c r="AA208" s="29" cm="1">
        <f t="array" ref="AA208">_xlfn.LET(_xlpm.기본_색인번호, 2,
_xlpm.추가_색인번호, 3,
_xlpm.개별보정치, T208,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3500</v>
      </c>
      <c r="AB208" s="29" cm="1">
        <f t="array" ref="AB208">_xlfn.LET(_xlpm.기본_색인번호, 3,
_xlpm.추가_색인번호, 4,
_xlpm.개별보정치, U208,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208" s="29" cm="1">
        <f t="array" ref="AC208">_xlfn.LET(_xlpm.기본_색인번호, 4,
_xlpm.추가_색인번호, 5,
_xlpm.개별보정치, V208,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08" s="29" cm="1">
        <f t="array" ref="AD208">_xlfn.LET(_xlpm.기본_색인번호, 5,
_xlpm.추가_색인번호, 6,
_xlpm.개별보정치, W208,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E208" s="29" cm="1">
        <f t="array" ref="AE208">_xlfn.LET(_xlpm.기본_색인번호, 6,
_xlpm.추가_색인번호, 7,
_xlpm.개별보정치, X208,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F208" s="29" cm="1">
        <f t="array" ref="AF208">_xlfn.LET(_xlpm.기본_색인번호, 7,
_xlpm.추가_색인번호, 8,
_xlpm.개별보정치, Y208,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08" s="30" cm="1">
        <f t="array" ref="AG208">_xlfn.LET(_xlpm.기본_색인번호, 8,
_xlpm.추가_색인번호, 9,
_xlpm.개별보정치, Z208,
_xlpm.패턴보정치, VLOOKUP($G208, Factor!$B$5:$I$51, _xlpm.기본_색인번호, 0),
_xlpm.소모탄환보정치, VLOOKUP($H208, Factor!$T$5:$AA$51, _xlpm.기본_색인번호, 0),
_xlpm.지형보정치, VLOOKUP($I208, Factor!$K$12:$R$13, _xlpm.기본_색인번호, 0),
_xlpm.공격속성보정치, VLOOKUP($J208, Factor!$K$5:$R$7, _xlpm.기본_색인번호, 0),
_xlpm.피해범위보정치, INDEX(Factor!$AN$5:$AV$51, _xlfn.XMATCH(IF(OR($G208="blast", $G208="curved",  $G208= "debuff"), $L208, 0), Factor!$AN$5:$AN$51, -1), _xlpm.추가_색인번호)-IF(AND(OR($G208="blast", $G208="curved", $G208= "debuff"), MOD($L208,1)&lt;&gt;0),INDEX(Factor!$AN$5:$AV$51, _xlfn.XMATCH(IF(OR($G208="blast", $G208="curved", $G208= "debuff"), $L208, 0), Factor!$AN$5:$AN$51, -1), 2)*MOD($L208,1)*10,0),
_xlpm.상태이상보정치, VLOOKUP(IF($G208 = "debuff", $M208, "null"), Factor!$AX$5:$BE$51, _xlpm.기본_색인번호, 0),
_xlpm.지속시간보정치, INDEX(Factor!$BG$5:$BO$51, _xlfn.XMATCH(IF(OR($G208 ="debuff", $G208 = "shot", $G208 = "pierce"), $O208, 0), Factor!$BG$5:$BG$51, -1), _xlpm.추가_색인번호)-IF(AND(OR($G208 ="debuff", $G208 = "shot", $G208 = "pierce"), MOD($O208, 1)&lt;&gt;0), 10*MOD($O208, 1)*INDEX(Factor!$BG$5:$BO$51, _xlfn.XMATCH(IF(OR($G208 ="debuff", $G208 = "shot", $G208 = "pierce"), $O208, 0), Factor!$BG$5:$BG$51, -1), 2), 0),
_xlpm.탄환개수보정치, VLOOKUP(IF(OR($G208 = "curved", $G208 = "shot"), $Q208, 1), Factor!$BQ$5:$BX$51, _xlpm.기본_색인번호, 0),
_xlpm.상태이상탄환생성위치보정치, IF($G208 = "debuff", VLOOKUP($R208, Factor!$K$18:$R$19, _xlpm.기본_색인번호, 0),1),
_xlpm.상태이상탄환형태보정치, IF($G208 = "debuff", VLOOKUP($S208, Factor!$K$24:$R$25, _xlpm.기본_색인번호, 0),1),
_xlpm.가격보정치, INDEX(Factor!$AE$5:$AL$51, _xlfn.XMATCH($F208,Factor!$AE$5:$AE$51, -1), _xlpm.기본_색인번호),
_xlpm.구경보정치, VLOOKUP($D208,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</row>
    <row r="209" spans="1:33" ht="15.75" customHeight="1">
      <c r="A209" s="24" t="str">
        <f>"weapon_"&amp;G209&amp;"_"&amp;VLOOKUP(H209, Factor!$T$5:$AB$7, 9, 0)&amp;"_"&amp;IF(COUNTIFS($G$4:G208, G209, $H$4:H208, H209)+1&gt;=100, COUNTIFS($G$4:G208, G209, $H$4:H208, H209)+1,IF(COUNTIFS($G$4:G208, G209, $H$4:H208, H209)+1&gt;=10, "0"&amp;COUNTIFS($G$4:G208, G209, $H$4:H208, H209)+1, "00"&amp;COUNTIFS($G$4:G208, G209, $H$4:H208, H209)+1))</f>
        <v>weapon_shot_Am_029</v>
      </c>
      <c r="B209" s="36" t="str">
        <f t="shared" si="3"/>
        <v>T7 5.56mm쌍열 기관포</v>
      </c>
      <c r="C209" s="36" t="s">
        <v>254</v>
      </c>
      <c r="D209" s="36" t="s">
        <v>241</v>
      </c>
      <c r="E209" s="36" t="s">
        <v>194</v>
      </c>
      <c r="F209" s="25">
        <f>VLOOKUP(C209, Factor!$AD$5:$AE$15, 2, 0)</f>
        <v>7000</v>
      </c>
      <c r="G209" s="26" t="str">
        <f>VLOOKUP(E209, Factor!$CL$5:$CV$50, 2, 0)</f>
        <v>shot</v>
      </c>
      <c r="H209" s="25" t="str">
        <f>VLOOKUP(E209, Factor!$CL$5:$CV$50, 3, 0)</f>
        <v>ammo</v>
      </c>
      <c r="I209" s="25" t="str">
        <f>VLOOKUP(E209, Factor!$CL$5:$CV$50, 4, 0)</f>
        <v>L</v>
      </c>
      <c r="J209" s="25" t="str">
        <f>VLOOKUP(E209, Factor!$CL$5:$CV$50, 5, 0)</f>
        <v>spread</v>
      </c>
      <c r="K209" s="25">
        <v>1</v>
      </c>
      <c r="L209" s="25">
        <f>VLOOKUP(E209, Factor!$CL$5:$CV$50, 6, 0)*K209*VLOOKUP(D209, Factor!$BZ$5:$CJ$49, 9, 0)</f>
        <v>0</v>
      </c>
      <c r="M209" s="25" t="str">
        <f>VLOOKUP(E209, Factor!$CL$5:$CV$50, 7, 0)</f>
        <v>null</v>
      </c>
      <c r="N209" s="25">
        <v>1</v>
      </c>
      <c r="O209" s="25">
        <f>VLOOKUP(E209, Factor!$CL$5:$CV$50, 8, 0)*N209*VLOOKUP(D209, Factor!$BZ$5:$CJ$49, 10, 0)</f>
        <v>6</v>
      </c>
      <c r="P209" s="25">
        <v>1</v>
      </c>
      <c r="Q209" s="25">
        <f>VLOOKUP(E209, Factor!$CL$5:$CV$50, 9, 0)*P209*VLOOKUP(D209, Factor!$BZ$5:$CJ$49, 11, 0)</f>
        <v>2</v>
      </c>
      <c r="R209" s="25" t="str">
        <f>VLOOKUP(E209, Factor!$CL$5:$CV$50, 10, 0)</f>
        <v>null</v>
      </c>
      <c r="S209" s="25" t="str">
        <f>VLOOKUP(E209, Factor!$CL$5:$CV$50, 11, 0)</f>
        <v>null</v>
      </c>
      <c r="T209" s="25">
        <v>1</v>
      </c>
      <c r="U209" s="25">
        <v>1</v>
      </c>
      <c r="V209" s="25">
        <v>1</v>
      </c>
      <c r="W209" s="25">
        <v>1</v>
      </c>
      <c r="X209" s="25">
        <v>1</v>
      </c>
      <c r="Y209" s="25">
        <v>1</v>
      </c>
      <c r="Z209" s="25">
        <v>1</v>
      </c>
      <c r="AA209" s="25" cm="1">
        <f t="array" ref="AA209">_xlfn.LET(_xlpm.기본_색인번호, 2,
_xlpm.추가_색인번호, 3,
_xlpm.개별보정치, T209,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960</v>
      </c>
      <c r="AB209" s="25" cm="1">
        <f t="array" ref="AB209">_xlfn.LET(_xlpm.기본_색인번호, 3,
_xlpm.추가_색인번호, 4,
_xlpm.개별보정치, U209,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C209" s="25" cm="1">
        <f t="array" ref="AC209">_xlfn.LET(_xlpm.기본_색인번호, 4,
_xlpm.추가_색인번호, 5,
_xlpm.개별보정치, V209,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09" s="25" cm="1">
        <f t="array" ref="AD209">_xlfn.LET(_xlpm.기본_색인번호, 5,
_xlpm.추가_색인번호, 6,
_xlpm.개별보정치, W209,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E209" s="25" cm="1">
        <f t="array" ref="AE209">_xlfn.LET(_xlpm.기본_색인번호, 6,
_xlpm.추가_색인번호, 7,
_xlpm.개별보정치, X209,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F209" s="25" cm="1">
        <f t="array" ref="AF209">_xlfn.LET(_xlpm.기본_색인번호, 7,
_xlpm.추가_색인번호, 8,
_xlpm.개별보정치, Y209,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09" s="27" cm="1">
        <f t="array" ref="AG209">_xlfn.LET(_xlpm.기본_색인번호, 8,
_xlpm.추가_색인번호, 9,
_xlpm.개별보정치, Z209,
_xlpm.패턴보정치, VLOOKUP($G209, Factor!$B$5:$I$51, _xlpm.기본_색인번호, 0),
_xlpm.소모탄환보정치, VLOOKUP($H209, Factor!$T$5:$AA$51, _xlpm.기본_색인번호, 0),
_xlpm.지형보정치, VLOOKUP($I209, Factor!$K$12:$R$13, _xlpm.기본_색인번호, 0),
_xlpm.공격속성보정치, VLOOKUP($J209, Factor!$K$5:$R$7, _xlpm.기본_색인번호, 0),
_xlpm.피해범위보정치, INDEX(Factor!$AN$5:$AV$51, _xlfn.XMATCH(IF(OR($G209="blast", $G209="curved",  $G209= "debuff"), $L209, 0), Factor!$AN$5:$AN$51, -1), _xlpm.추가_색인번호)-IF(AND(OR($G209="blast", $G209="curved", $G209= "debuff"), MOD($L209,1)&lt;&gt;0),INDEX(Factor!$AN$5:$AV$51, _xlfn.XMATCH(IF(OR($G209="blast", $G209="curved", $G209= "debuff"), $L209, 0), Factor!$AN$5:$AN$51, -1), 2)*MOD($L209,1)*10,0),
_xlpm.상태이상보정치, VLOOKUP(IF($G209 = "debuff", $M209, "null"), Factor!$AX$5:$BE$51, _xlpm.기본_색인번호, 0),
_xlpm.지속시간보정치, INDEX(Factor!$BG$5:$BO$51, _xlfn.XMATCH(IF(OR($G209 ="debuff", $G209 = "shot", $G209 = "pierce"), $O209, 0), Factor!$BG$5:$BG$51, -1), _xlpm.추가_색인번호)-IF(AND(OR($G209 ="debuff", $G209 = "shot", $G209 = "pierce"), MOD($O209, 1)&lt;&gt;0), 10*MOD($O209, 1)*INDEX(Factor!$BG$5:$BO$51, _xlfn.XMATCH(IF(OR($G209 ="debuff", $G209 = "shot", $G209 = "pierce"), $O209, 0), Factor!$BG$5:$BG$51, -1), 2), 0),
_xlpm.탄환개수보정치, VLOOKUP(IF(OR($G209 = "curved", $G209 = "shot"), $Q209, 1), Factor!$BQ$5:$BX$51, _xlpm.기본_색인번호, 0),
_xlpm.상태이상탄환생성위치보정치, IF($G209 = "debuff", VLOOKUP($R209, Factor!$K$18:$R$19, _xlpm.기본_색인번호, 0),1),
_xlpm.상태이상탄환형태보정치, IF($G209 = "debuff", VLOOKUP($S209, Factor!$K$24:$R$25, _xlpm.기본_색인번호, 0),1),
_xlpm.가격보정치, INDEX(Factor!$AE$5:$AL$51, _xlfn.XMATCH($F209,Factor!$AE$5:$AE$51, -1), _xlpm.기본_색인번호),
_xlpm.구경보정치, VLOOKUP($D209,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</row>
    <row r="210" spans="1:33" ht="15.75" customHeight="1">
      <c r="A210" s="28" t="str">
        <f>"weapon_"&amp;G210&amp;"_"&amp;VLOOKUP(H210, Factor!$T$5:$AB$7, 9, 0)&amp;"_"&amp;IF(COUNTIFS($G$4:G209, G210, $H$4:H209, H210)+1&gt;=100, COUNTIFS($G$4:G209, G210, $H$4:H209, H210)+1,IF(COUNTIFS($G$4:G209, G210, $H$4:H209, H210)+1&gt;=10, "0"&amp;COUNTIFS($G$4:G209, G210, $H$4:H209, H210)+1, "00"&amp;COUNTIFS($G$4:G209, G210, $H$4:H209, H210)+1))</f>
        <v>weapon_shot_Am_030</v>
      </c>
      <c r="B210" s="37" t="str">
        <f t="shared" si="3"/>
        <v>T7 7.62mm쌍열 기관포</v>
      </c>
      <c r="C210" s="37" t="s">
        <v>254</v>
      </c>
      <c r="D210" s="37" t="s">
        <v>242</v>
      </c>
      <c r="E210" s="37" t="s">
        <v>194</v>
      </c>
      <c r="F210" s="29">
        <f>VLOOKUP(C210, Factor!$AD$5:$AE$15, 2, 0)</f>
        <v>7000</v>
      </c>
      <c r="G210" s="29" t="str">
        <f>VLOOKUP(E210, Factor!$CL$5:$CV$50, 2, 0)</f>
        <v>shot</v>
      </c>
      <c r="H210" s="29" t="str">
        <f>VLOOKUP(E210, Factor!$CL$5:$CV$50, 3, 0)</f>
        <v>ammo</v>
      </c>
      <c r="I210" s="29" t="str">
        <f>VLOOKUP(E210, Factor!$CL$5:$CV$50, 4, 0)</f>
        <v>L</v>
      </c>
      <c r="J210" s="29" t="str">
        <f>VLOOKUP(E210, Factor!$CL$5:$CV$50, 5, 0)</f>
        <v>spread</v>
      </c>
      <c r="K210" s="29">
        <v>1</v>
      </c>
      <c r="L210" s="29">
        <f>VLOOKUP(E210, Factor!$CL$5:$CV$50, 6, 0)*K210*VLOOKUP(D210, Factor!$BZ$5:$CJ$49, 9, 0)</f>
        <v>0</v>
      </c>
      <c r="M210" s="29" t="str">
        <f>VLOOKUP(E210, Factor!$CL$5:$CV$50, 7, 0)</f>
        <v>null</v>
      </c>
      <c r="N210" s="29">
        <v>1</v>
      </c>
      <c r="O210" s="29">
        <f>VLOOKUP(E210, Factor!$CL$5:$CV$50, 8, 0)*N210*VLOOKUP(D210, Factor!$BZ$5:$CJ$49, 10, 0)</f>
        <v>9</v>
      </c>
      <c r="P210" s="29">
        <v>1</v>
      </c>
      <c r="Q210" s="29">
        <f>VLOOKUP(E210, Factor!$CL$5:$CV$50, 9, 0)*P210*VLOOKUP(D210, Factor!$BZ$5:$CJ$49, 11, 0)</f>
        <v>3</v>
      </c>
      <c r="R210" s="29" t="str">
        <f>VLOOKUP(E210, Factor!$CL$5:$CV$50, 10, 0)</f>
        <v>null</v>
      </c>
      <c r="S210" s="29" t="str">
        <f>VLOOKUP(E210, Factor!$CL$5:$CV$50, 11, 0)</f>
        <v>null</v>
      </c>
      <c r="T210" s="29">
        <v>1</v>
      </c>
      <c r="U210" s="29">
        <v>1</v>
      </c>
      <c r="V210" s="29">
        <v>1</v>
      </c>
      <c r="W210" s="29">
        <v>1</v>
      </c>
      <c r="X210" s="29">
        <v>1</v>
      </c>
      <c r="Y210" s="29">
        <v>1</v>
      </c>
      <c r="Z210" s="29">
        <v>1</v>
      </c>
      <c r="AA210" s="29" cm="1">
        <f t="array" ref="AA210">_xlfn.LET(_xlpm.기본_색인번호, 2,
_xlpm.추가_색인번호, 3,
_xlpm.개별보정치, T210,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B210" s="29" cm="1">
        <f t="array" ref="AB210">_xlfn.LET(_xlpm.기본_색인번호, 3,
_xlpm.추가_색인번호, 4,
_xlpm.개별보정치, U210,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C210" s="29" cm="1">
        <f t="array" ref="AC210">_xlfn.LET(_xlpm.기본_색인번호, 4,
_xlpm.추가_색인번호, 5,
_xlpm.개별보정치, V210,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10" s="29" cm="1">
        <f t="array" ref="AD210">_xlfn.LET(_xlpm.기본_색인번호, 5,
_xlpm.추가_색인번호, 6,
_xlpm.개별보정치, W210,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E210" s="29" cm="1">
        <f t="array" ref="AE210">_xlfn.LET(_xlpm.기본_색인번호, 6,
_xlpm.추가_색인번호, 7,
_xlpm.개별보정치, X210,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F210" s="29" cm="1">
        <f t="array" ref="AF210">_xlfn.LET(_xlpm.기본_색인번호, 7,
_xlpm.추가_색인번호, 8,
_xlpm.개별보정치, Y210,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10" s="30" cm="1">
        <f t="array" ref="AG210">_xlfn.LET(_xlpm.기본_색인번호, 8,
_xlpm.추가_색인번호, 9,
_xlpm.개별보정치, Z210,
_xlpm.패턴보정치, VLOOKUP($G210, Factor!$B$5:$I$51, _xlpm.기본_색인번호, 0),
_xlpm.소모탄환보정치, VLOOKUP($H210, Factor!$T$5:$AA$51, _xlpm.기본_색인번호, 0),
_xlpm.지형보정치, VLOOKUP($I210, Factor!$K$12:$R$13, _xlpm.기본_색인번호, 0),
_xlpm.공격속성보정치, VLOOKUP($J210, Factor!$K$5:$R$7, _xlpm.기본_색인번호, 0),
_xlpm.피해범위보정치, INDEX(Factor!$AN$5:$AV$51, _xlfn.XMATCH(IF(OR($G210="blast", $G210="curved",  $G210= "debuff"), $L210, 0), Factor!$AN$5:$AN$51, -1), _xlpm.추가_색인번호)-IF(AND(OR($G210="blast", $G210="curved", $G210= "debuff"), MOD($L210,1)&lt;&gt;0),INDEX(Factor!$AN$5:$AV$51, _xlfn.XMATCH(IF(OR($G210="blast", $G210="curved", $G210= "debuff"), $L210, 0), Factor!$AN$5:$AN$51, -1), 2)*MOD($L210,1)*10,0),
_xlpm.상태이상보정치, VLOOKUP(IF($G210 = "debuff", $M210, "null"), Factor!$AX$5:$BE$51, _xlpm.기본_색인번호, 0),
_xlpm.지속시간보정치, INDEX(Factor!$BG$5:$BO$51, _xlfn.XMATCH(IF(OR($G210 ="debuff", $G210 = "shot", $G210 = "pierce"), $O210, 0), Factor!$BG$5:$BG$51, -1), _xlpm.추가_색인번호)-IF(AND(OR($G210 ="debuff", $G210 = "shot", $G210 = "pierce"), MOD($O210, 1)&lt;&gt;0), 10*MOD($O210, 1)*INDEX(Factor!$BG$5:$BO$51, _xlfn.XMATCH(IF(OR($G210 ="debuff", $G210 = "shot", $G210 = "pierce"), $O210, 0), Factor!$BG$5:$BG$51, -1), 2), 0),
_xlpm.탄환개수보정치, VLOOKUP(IF(OR($G210 = "curved", $G210 = "shot"), $Q210, 1), Factor!$BQ$5:$BX$51, _xlpm.기본_색인번호, 0),
_xlpm.상태이상탄환생성위치보정치, IF($G210 = "debuff", VLOOKUP($R210, Factor!$K$18:$R$19, _xlpm.기본_색인번호, 0),1),
_xlpm.상태이상탄환형태보정치, IF($G210 = "debuff", VLOOKUP($S210, Factor!$K$24:$R$25, _xlpm.기본_색인번호, 0),1),
_xlpm.가격보정치, INDEX(Factor!$AE$5:$AL$51, _xlfn.XMATCH($F210,Factor!$AE$5:$AE$51, -1), _xlpm.기본_색인번호),
_xlpm.구경보정치, VLOOKUP($D210,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</row>
    <row r="211" spans="1:33" ht="15.75" customHeight="1">
      <c r="A211" s="24" t="str">
        <f>"weapon_"&amp;G211&amp;"_"&amp;VLOOKUP(H211, Factor!$T$5:$AB$7, 9, 0)&amp;"_"&amp;IF(COUNTIFS($G$4:G210, G211, $H$4:H210, H211)+1&gt;=100, COUNTIFS($G$4:G210, G211, $H$4:H210, H211)+1,IF(COUNTIFS($G$4:G210, G211, $H$4:H210, H211)+1&gt;=10, "0"&amp;COUNTIFS($G$4:G210, G211, $H$4:H210, H211)+1, "00"&amp;COUNTIFS($G$4:G210, G211, $H$4:H210, H211)+1))</f>
        <v>weapon_shot_Am_031</v>
      </c>
      <c r="B211" s="36" t="str">
        <f t="shared" si="3"/>
        <v>T7 12.7mm쌍열 기관포</v>
      </c>
      <c r="C211" s="36" t="s">
        <v>254</v>
      </c>
      <c r="D211" s="36" t="s">
        <v>243</v>
      </c>
      <c r="E211" s="36" t="s">
        <v>194</v>
      </c>
      <c r="F211" s="25">
        <f>VLOOKUP(C211, Factor!$AD$5:$AE$15, 2, 0)</f>
        <v>7000</v>
      </c>
      <c r="G211" s="26" t="str">
        <f>VLOOKUP(E211, Factor!$CL$5:$CV$50, 2, 0)</f>
        <v>shot</v>
      </c>
      <c r="H211" s="25" t="str">
        <f>VLOOKUP(E211, Factor!$CL$5:$CV$50, 3, 0)</f>
        <v>ammo</v>
      </c>
      <c r="I211" s="25" t="str">
        <f>VLOOKUP(E211, Factor!$CL$5:$CV$50, 4, 0)</f>
        <v>L</v>
      </c>
      <c r="J211" s="25" t="str">
        <f>VLOOKUP(E211, Factor!$CL$5:$CV$50, 5, 0)</f>
        <v>spread</v>
      </c>
      <c r="K211" s="25">
        <v>1</v>
      </c>
      <c r="L211" s="25">
        <f>VLOOKUP(E211, Factor!$CL$5:$CV$50, 6, 0)*K211*VLOOKUP(D211, Factor!$BZ$5:$CJ$49, 9, 0)</f>
        <v>0</v>
      </c>
      <c r="M211" s="25" t="str">
        <f>VLOOKUP(E211, Factor!$CL$5:$CV$50, 7, 0)</f>
        <v>null</v>
      </c>
      <c r="N211" s="25">
        <v>1</v>
      </c>
      <c r="O211" s="25">
        <f>VLOOKUP(E211, Factor!$CL$5:$CV$50, 8, 0)*N211*VLOOKUP(D211, Factor!$BZ$5:$CJ$49, 10, 0)</f>
        <v>12</v>
      </c>
      <c r="P211" s="25">
        <v>1</v>
      </c>
      <c r="Q211" s="25">
        <f>VLOOKUP(E211, Factor!$CL$5:$CV$50, 9, 0)*P211*VLOOKUP(D211, Factor!$BZ$5:$CJ$49, 11, 0)</f>
        <v>4</v>
      </c>
      <c r="R211" s="25" t="str">
        <f>VLOOKUP(E211, Factor!$CL$5:$CV$50, 10, 0)</f>
        <v>null</v>
      </c>
      <c r="S211" s="25" t="str">
        <f>VLOOKUP(E211, Factor!$CL$5:$CV$50, 11, 0)</f>
        <v>null</v>
      </c>
      <c r="T211" s="25">
        <v>1</v>
      </c>
      <c r="U211" s="25">
        <v>1</v>
      </c>
      <c r="V211" s="25">
        <v>1</v>
      </c>
      <c r="W211" s="25">
        <v>1</v>
      </c>
      <c r="X211" s="25">
        <v>1</v>
      </c>
      <c r="Y211" s="25">
        <v>1</v>
      </c>
      <c r="Z211" s="25">
        <v>1</v>
      </c>
      <c r="AA211" s="25" cm="1">
        <f t="array" ref="AA211">_xlfn.LET(_xlpm.기본_색인번호, 2,
_xlpm.추가_색인번호, 3,
_xlpm.개별보정치, T211,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211" s="25" cm="1">
        <f t="array" ref="AB211">_xlfn.LET(_xlpm.기본_색인번호, 3,
_xlpm.추가_색인번호, 4,
_xlpm.개별보정치, U211,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C211" s="25" cm="1">
        <f t="array" ref="AC211">_xlfn.LET(_xlpm.기본_색인번호, 4,
_xlpm.추가_색인번호, 5,
_xlpm.개별보정치, V211,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11" s="25" cm="1">
        <f t="array" ref="AD211">_xlfn.LET(_xlpm.기본_색인번호, 5,
_xlpm.추가_색인번호, 6,
_xlpm.개별보정치, W211,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211" s="25" cm="1">
        <f t="array" ref="AE211">_xlfn.LET(_xlpm.기본_색인번호, 6,
_xlpm.추가_색인번호, 7,
_xlpm.개별보정치, X211,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211" s="25" cm="1">
        <f t="array" ref="AF211">_xlfn.LET(_xlpm.기본_색인번호, 7,
_xlpm.추가_색인번호, 8,
_xlpm.개별보정치, Y211,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11" s="27" cm="1">
        <f t="array" ref="AG211">_xlfn.LET(_xlpm.기본_색인번호, 8,
_xlpm.추가_색인번호, 9,
_xlpm.개별보정치, Z211,
_xlpm.패턴보정치, VLOOKUP($G211, Factor!$B$5:$I$51, _xlpm.기본_색인번호, 0),
_xlpm.소모탄환보정치, VLOOKUP($H211, Factor!$T$5:$AA$51, _xlpm.기본_색인번호, 0),
_xlpm.지형보정치, VLOOKUP($I211, Factor!$K$12:$R$13, _xlpm.기본_색인번호, 0),
_xlpm.공격속성보정치, VLOOKUP($J211, Factor!$K$5:$R$7, _xlpm.기본_색인번호, 0),
_xlpm.피해범위보정치, INDEX(Factor!$AN$5:$AV$51, _xlfn.XMATCH(IF(OR($G211="blast", $G211="curved",  $G211= "debuff"), $L211, 0), Factor!$AN$5:$AN$51, -1), _xlpm.추가_색인번호)-IF(AND(OR($G211="blast", $G211="curved", $G211= "debuff"), MOD($L211,1)&lt;&gt;0),INDEX(Factor!$AN$5:$AV$51, _xlfn.XMATCH(IF(OR($G211="blast", $G211="curved", $G211= "debuff"), $L211, 0), Factor!$AN$5:$AN$51, -1), 2)*MOD($L211,1)*10,0),
_xlpm.상태이상보정치, VLOOKUP(IF($G211 = "debuff", $M211, "null"), Factor!$AX$5:$BE$51, _xlpm.기본_색인번호, 0),
_xlpm.지속시간보정치, INDEX(Factor!$BG$5:$BO$51, _xlfn.XMATCH(IF(OR($G211 ="debuff", $G211 = "shot", $G211 = "pierce"), $O211, 0), Factor!$BG$5:$BG$51, -1), _xlpm.추가_색인번호)-IF(AND(OR($G211 ="debuff", $G211 = "shot", $G211 = "pierce"), MOD($O211, 1)&lt;&gt;0), 10*MOD($O211, 1)*INDEX(Factor!$BG$5:$BO$51, _xlfn.XMATCH(IF(OR($G211 ="debuff", $G211 = "shot", $G211 = "pierce"), $O211, 0), Factor!$BG$5:$BG$51, -1), 2), 0),
_xlpm.탄환개수보정치, VLOOKUP(IF(OR($G211 = "curved", $G211 = "shot"), $Q211, 1), Factor!$BQ$5:$BX$51, _xlpm.기본_색인번호, 0),
_xlpm.상태이상탄환생성위치보정치, IF($G211 = "debuff", VLOOKUP($R211, Factor!$K$18:$R$19, _xlpm.기본_색인번호, 0),1),
_xlpm.상태이상탄환형태보정치, IF($G211 = "debuff", VLOOKUP($S211, Factor!$K$24:$R$25, _xlpm.기본_색인번호, 0),1),
_xlpm.가격보정치, INDEX(Factor!$AE$5:$AL$51, _xlfn.XMATCH($F211,Factor!$AE$5:$AE$51, -1), _xlpm.기본_색인번호),
_xlpm.구경보정치, VLOOKUP($D211,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212" spans="1:33" ht="15.75" customHeight="1">
      <c r="A212" s="28" t="str">
        <f>"weapon_"&amp;G212&amp;"_"&amp;VLOOKUP(H212, Factor!$T$5:$AB$7, 9, 0)&amp;"_"&amp;IF(COUNTIFS($G$4:G211, G212, $H$4:H211, H212)+1&gt;=100, COUNTIFS($G$4:G211, G212, $H$4:H211, H212)+1,IF(COUNTIFS($G$4:G211, G212, $H$4:H211, H212)+1&gt;=10, "0"&amp;COUNTIFS($G$4:G211, G212, $H$4:H211, H212)+1, "00"&amp;COUNTIFS($G$4:G211, G212, $H$4:H211, H212)+1))</f>
        <v>weapon_shot_Am_032</v>
      </c>
      <c r="B212" s="37" t="str">
        <f t="shared" si="3"/>
        <v>T7 20mm쌍열 기관포</v>
      </c>
      <c r="C212" s="37" t="s">
        <v>254</v>
      </c>
      <c r="D212" s="37" t="s">
        <v>244</v>
      </c>
      <c r="E212" s="37" t="s">
        <v>194</v>
      </c>
      <c r="F212" s="29">
        <f>VLOOKUP(C212, Factor!$AD$5:$AE$15, 2, 0)</f>
        <v>7000</v>
      </c>
      <c r="G212" s="29" t="str">
        <f>VLOOKUP(E212, Factor!$CL$5:$CV$50, 2, 0)</f>
        <v>shot</v>
      </c>
      <c r="H212" s="29" t="str">
        <f>VLOOKUP(E212, Factor!$CL$5:$CV$50, 3, 0)</f>
        <v>ammo</v>
      </c>
      <c r="I212" s="29" t="str">
        <f>VLOOKUP(E212, Factor!$CL$5:$CV$50, 4, 0)</f>
        <v>L</v>
      </c>
      <c r="J212" s="29" t="str">
        <f>VLOOKUP(E212, Factor!$CL$5:$CV$50, 5, 0)</f>
        <v>spread</v>
      </c>
      <c r="K212" s="29">
        <v>1</v>
      </c>
      <c r="L212" s="29">
        <f>VLOOKUP(E212, Factor!$CL$5:$CV$50, 6, 0)*K212*VLOOKUP(D212, Factor!$BZ$5:$CJ$49, 9, 0)</f>
        <v>0</v>
      </c>
      <c r="M212" s="29" t="str">
        <f>VLOOKUP(E212, Factor!$CL$5:$CV$50, 7, 0)</f>
        <v>null</v>
      </c>
      <c r="N212" s="29">
        <v>1</v>
      </c>
      <c r="O212" s="29">
        <f>VLOOKUP(E212, Factor!$CL$5:$CV$50, 8, 0)*N212*VLOOKUP(D212, Factor!$BZ$5:$CJ$49, 10, 0)</f>
        <v>15</v>
      </c>
      <c r="P212" s="29">
        <v>1</v>
      </c>
      <c r="Q212" s="29">
        <f>VLOOKUP(E212, Factor!$CL$5:$CV$50, 9, 0)*P212*VLOOKUP(D212, Factor!$BZ$5:$CJ$49, 11, 0)</f>
        <v>5</v>
      </c>
      <c r="R212" s="29" t="str">
        <f>VLOOKUP(E212, Factor!$CL$5:$CV$50, 10, 0)</f>
        <v>null</v>
      </c>
      <c r="S212" s="29" t="str">
        <f>VLOOKUP(E212, Factor!$CL$5:$CV$50, 11, 0)</f>
        <v>null</v>
      </c>
      <c r="T212" s="29">
        <v>1</v>
      </c>
      <c r="U212" s="29">
        <v>1</v>
      </c>
      <c r="V212" s="29">
        <v>1</v>
      </c>
      <c r="W212" s="29">
        <v>1</v>
      </c>
      <c r="X212" s="29">
        <v>1</v>
      </c>
      <c r="Y212" s="29">
        <v>1</v>
      </c>
      <c r="Z212" s="29">
        <v>1</v>
      </c>
      <c r="AA212" s="29" cm="1">
        <f t="array" ref="AA212">_xlfn.LET(_xlpm.기본_색인번호, 2,
_xlpm.추가_색인번호, 3,
_xlpm.개별보정치, T212,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212" s="29" cm="1">
        <f t="array" ref="AB212">_xlfn.LET(_xlpm.기본_색인번호, 3,
_xlpm.추가_색인번호, 4,
_xlpm.개별보정치, U212,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212" s="29" cm="1">
        <f t="array" ref="AC212">_xlfn.LET(_xlpm.기본_색인번호, 4,
_xlpm.추가_색인번호, 5,
_xlpm.개별보정치, V212,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12" s="29" cm="1">
        <f t="array" ref="AD212">_xlfn.LET(_xlpm.기본_색인번호, 5,
_xlpm.추가_색인번호, 6,
_xlpm.개별보정치, W212,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212" s="29" cm="1">
        <f t="array" ref="AE212">_xlfn.LET(_xlpm.기본_색인번호, 6,
_xlpm.추가_색인번호, 7,
_xlpm.개별보정치, X212,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212" s="29" cm="1">
        <f t="array" ref="AF212">_xlfn.LET(_xlpm.기본_색인번호, 7,
_xlpm.추가_색인번호, 8,
_xlpm.개별보정치, Y212,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12" s="30" cm="1">
        <f t="array" ref="AG212">_xlfn.LET(_xlpm.기본_색인번호, 8,
_xlpm.추가_색인번호, 9,
_xlpm.개별보정치, Z212,
_xlpm.패턴보정치, VLOOKUP($G212, Factor!$B$5:$I$51, _xlpm.기본_색인번호, 0),
_xlpm.소모탄환보정치, VLOOKUP($H212, Factor!$T$5:$AA$51, _xlpm.기본_색인번호, 0),
_xlpm.지형보정치, VLOOKUP($I212, Factor!$K$12:$R$13, _xlpm.기본_색인번호, 0),
_xlpm.공격속성보정치, VLOOKUP($J212, Factor!$K$5:$R$7, _xlpm.기본_색인번호, 0),
_xlpm.피해범위보정치, INDEX(Factor!$AN$5:$AV$51, _xlfn.XMATCH(IF(OR($G212="blast", $G212="curved",  $G212= "debuff"), $L212, 0), Factor!$AN$5:$AN$51, -1), _xlpm.추가_색인번호)-IF(AND(OR($G212="blast", $G212="curved", $G212= "debuff"), MOD($L212,1)&lt;&gt;0),INDEX(Factor!$AN$5:$AV$51, _xlfn.XMATCH(IF(OR($G212="blast", $G212="curved", $G212= "debuff"), $L212, 0), Factor!$AN$5:$AN$51, -1), 2)*MOD($L212,1)*10,0),
_xlpm.상태이상보정치, VLOOKUP(IF($G212 = "debuff", $M212, "null"), Factor!$AX$5:$BE$51, _xlpm.기본_색인번호, 0),
_xlpm.지속시간보정치, INDEX(Factor!$BG$5:$BO$51, _xlfn.XMATCH(IF(OR($G212 ="debuff", $G212 = "shot", $G212 = "pierce"), $O212, 0), Factor!$BG$5:$BG$51, -1), _xlpm.추가_색인번호)-IF(AND(OR($G212 ="debuff", $G212 = "shot", $G212 = "pierce"), MOD($O212, 1)&lt;&gt;0), 10*MOD($O212, 1)*INDEX(Factor!$BG$5:$BO$51, _xlfn.XMATCH(IF(OR($G212 ="debuff", $G212 = "shot", $G212 = "pierce"), $O212, 0), Factor!$BG$5:$BG$51, -1), 2), 0),
_xlpm.탄환개수보정치, VLOOKUP(IF(OR($G212 = "curved", $G212 = "shot"), $Q212, 1), Factor!$BQ$5:$BX$51, _xlpm.기본_색인번호, 0),
_xlpm.상태이상탄환생성위치보정치, IF($G212 = "debuff", VLOOKUP($R212, Factor!$K$18:$R$19, _xlpm.기본_색인번호, 0),1),
_xlpm.상태이상탄환형태보정치, IF($G212 = "debuff", VLOOKUP($S212, Factor!$K$24:$R$25, _xlpm.기본_색인번호, 0),1),
_xlpm.가격보정치, INDEX(Factor!$AE$5:$AL$51, _xlfn.XMATCH($F212,Factor!$AE$5:$AE$51, -1), _xlpm.기본_색인번호),
_xlpm.구경보정치, VLOOKUP($D212,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213" spans="1:33" ht="15.75" customHeight="1">
      <c r="A213" s="24" t="str">
        <f>"weapon_"&amp;G213&amp;"_"&amp;VLOOKUP(H213, Factor!$T$5:$AB$7, 9, 0)&amp;"_"&amp;IF(COUNTIFS($G$4:G212, G213, $H$4:H212, H213)+1&gt;=100, COUNTIFS($G$4:G212, G213, $H$4:H212, H213)+1,IF(COUNTIFS($G$4:G212, G213, $H$4:H212, H213)+1&gt;=10, "0"&amp;COUNTIFS($G$4:G212, G213, $H$4:H212, H213)+1, "00"&amp;COUNTIFS($G$4:G212, G213, $H$4:H212, H213)+1))</f>
        <v>weapon_shot_Am_033</v>
      </c>
      <c r="B213" s="36" t="str">
        <f t="shared" si="3"/>
        <v>T8 5.56mm쌍열 기관포</v>
      </c>
      <c r="C213" s="36" t="s">
        <v>255</v>
      </c>
      <c r="D213" s="36" t="s">
        <v>241</v>
      </c>
      <c r="E213" s="36" t="s">
        <v>194</v>
      </c>
      <c r="F213" s="25">
        <f>VLOOKUP(C213, Factor!$AD$5:$AE$15, 2, 0)</f>
        <v>8000</v>
      </c>
      <c r="G213" s="26" t="str">
        <f>VLOOKUP(E213, Factor!$CL$5:$CV$50, 2, 0)</f>
        <v>shot</v>
      </c>
      <c r="H213" s="25" t="str">
        <f>VLOOKUP(E213, Factor!$CL$5:$CV$50, 3, 0)</f>
        <v>ammo</v>
      </c>
      <c r="I213" s="25" t="str">
        <f>VLOOKUP(E213, Factor!$CL$5:$CV$50, 4, 0)</f>
        <v>L</v>
      </c>
      <c r="J213" s="25" t="str">
        <f>VLOOKUP(E213, Factor!$CL$5:$CV$50, 5, 0)</f>
        <v>spread</v>
      </c>
      <c r="K213" s="25">
        <v>1</v>
      </c>
      <c r="L213" s="25">
        <f>VLOOKUP(E213, Factor!$CL$5:$CV$50, 6, 0)*K213*VLOOKUP(D213, Factor!$BZ$5:$CJ$49, 9, 0)</f>
        <v>0</v>
      </c>
      <c r="M213" s="25" t="str">
        <f>VLOOKUP(E213, Factor!$CL$5:$CV$50, 7, 0)</f>
        <v>null</v>
      </c>
      <c r="N213" s="25">
        <v>1</v>
      </c>
      <c r="O213" s="25">
        <f>VLOOKUP(E213, Factor!$CL$5:$CV$50, 8, 0)*N213*VLOOKUP(D213, Factor!$BZ$5:$CJ$49, 10, 0)</f>
        <v>6</v>
      </c>
      <c r="P213" s="25">
        <v>1</v>
      </c>
      <c r="Q213" s="25">
        <f>VLOOKUP(E213, Factor!$CL$5:$CV$50, 9, 0)*P213*VLOOKUP(D213, Factor!$BZ$5:$CJ$49, 11, 0)</f>
        <v>2</v>
      </c>
      <c r="R213" s="25" t="str">
        <f>VLOOKUP(E213, Factor!$CL$5:$CV$50, 10, 0)</f>
        <v>null</v>
      </c>
      <c r="S213" s="25" t="str">
        <f>VLOOKUP(E213, Factor!$CL$5:$CV$50, 11, 0)</f>
        <v>null</v>
      </c>
      <c r="T213" s="25">
        <v>1</v>
      </c>
      <c r="U213" s="25">
        <v>1</v>
      </c>
      <c r="V213" s="25">
        <v>1</v>
      </c>
      <c r="W213" s="25">
        <v>1</v>
      </c>
      <c r="X213" s="25">
        <v>1</v>
      </c>
      <c r="Y213" s="25">
        <v>1</v>
      </c>
      <c r="Z213" s="25">
        <v>1</v>
      </c>
      <c r="AA213" s="25" cm="1">
        <f t="array" ref="AA213">_xlfn.LET(_xlpm.기본_색인번호, 2,
_xlpm.추가_색인번호, 3,
_xlpm.개별보정치, T213,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B213" s="25" cm="1">
        <f t="array" ref="AB213">_xlfn.LET(_xlpm.기본_색인번호, 3,
_xlpm.추가_색인번호, 4,
_xlpm.개별보정치, U213,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C213" s="25" cm="1">
        <f t="array" ref="AC213">_xlfn.LET(_xlpm.기본_색인번호, 4,
_xlpm.추가_색인번호, 5,
_xlpm.개별보정치, V213,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13" s="25" cm="1">
        <f t="array" ref="AD213">_xlfn.LET(_xlpm.기본_색인번호, 5,
_xlpm.추가_색인번호, 6,
_xlpm.개별보정치, W213,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E213" s="25" cm="1">
        <f t="array" ref="AE213">_xlfn.LET(_xlpm.기본_색인번호, 6,
_xlpm.추가_색인번호, 7,
_xlpm.개별보정치, X213,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F213" s="25" cm="1">
        <f t="array" ref="AF213">_xlfn.LET(_xlpm.기본_색인번호, 7,
_xlpm.추가_색인번호, 8,
_xlpm.개별보정치, Y213,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13" s="27" cm="1">
        <f t="array" ref="AG213">_xlfn.LET(_xlpm.기본_색인번호, 8,
_xlpm.추가_색인번호, 9,
_xlpm.개별보정치, Z213,
_xlpm.패턴보정치, VLOOKUP($G213, Factor!$B$5:$I$51, _xlpm.기본_색인번호, 0),
_xlpm.소모탄환보정치, VLOOKUP($H213, Factor!$T$5:$AA$51, _xlpm.기본_색인번호, 0),
_xlpm.지형보정치, VLOOKUP($I213, Factor!$K$12:$R$13, _xlpm.기본_색인번호, 0),
_xlpm.공격속성보정치, VLOOKUP($J213, Factor!$K$5:$R$7, _xlpm.기본_색인번호, 0),
_xlpm.피해범위보정치, INDEX(Factor!$AN$5:$AV$51, _xlfn.XMATCH(IF(OR($G213="blast", $G213="curved",  $G213= "debuff"), $L213, 0), Factor!$AN$5:$AN$51, -1), _xlpm.추가_색인번호)-IF(AND(OR($G213="blast", $G213="curved", $G213= "debuff"), MOD($L213,1)&lt;&gt;0),INDEX(Factor!$AN$5:$AV$51, _xlfn.XMATCH(IF(OR($G213="blast", $G213="curved", $G213= "debuff"), $L213, 0), Factor!$AN$5:$AN$51, -1), 2)*MOD($L213,1)*10,0),
_xlpm.상태이상보정치, VLOOKUP(IF($G213 = "debuff", $M213, "null"), Factor!$AX$5:$BE$51, _xlpm.기본_색인번호, 0),
_xlpm.지속시간보정치, INDEX(Factor!$BG$5:$BO$51, _xlfn.XMATCH(IF(OR($G213 ="debuff", $G213 = "shot", $G213 = "pierce"), $O213, 0), Factor!$BG$5:$BG$51, -1), _xlpm.추가_색인번호)-IF(AND(OR($G213 ="debuff", $G213 = "shot", $G213 = "pierce"), MOD($O213, 1)&lt;&gt;0), 10*MOD($O213, 1)*INDEX(Factor!$BG$5:$BO$51, _xlfn.XMATCH(IF(OR($G213 ="debuff", $G213 = "shot", $G213 = "pierce"), $O213, 0), Factor!$BG$5:$BG$51, -1), 2), 0),
_xlpm.탄환개수보정치, VLOOKUP(IF(OR($G213 = "curved", $G213 = "shot"), $Q213, 1), Factor!$BQ$5:$BX$51, _xlpm.기본_색인번호, 0),
_xlpm.상태이상탄환생성위치보정치, IF($G213 = "debuff", VLOOKUP($R213, Factor!$K$18:$R$19, _xlpm.기본_색인번호, 0),1),
_xlpm.상태이상탄환형태보정치, IF($G213 = "debuff", VLOOKUP($S213, Factor!$K$24:$R$25, _xlpm.기본_색인번호, 0),1),
_xlpm.가격보정치, INDEX(Factor!$AE$5:$AL$51, _xlfn.XMATCH($F213,Factor!$AE$5:$AE$51, -1), _xlpm.기본_색인번호),
_xlpm.구경보정치, VLOOKUP($D213,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</row>
    <row r="214" spans="1:33" ht="15.75" customHeight="1">
      <c r="A214" s="28" t="str">
        <f>"weapon_"&amp;G214&amp;"_"&amp;VLOOKUP(H214, Factor!$T$5:$AB$7, 9, 0)&amp;"_"&amp;IF(COUNTIFS($G$4:G213, G214, $H$4:H213, H214)+1&gt;=100, COUNTIFS($G$4:G213, G214, $H$4:H213, H214)+1,IF(COUNTIFS($G$4:G213, G214, $H$4:H213, H214)+1&gt;=10, "0"&amp;COUNTIFS($G$4:G213, G214, $H$4:H213, H214)+1, "00"&amp;COUNTIFS($G$4:G213, G214, $H$4:H213, H214)+1))</f>
        <v>weapon_shot_Am_034</v>
      </c>
      <c r="B214" s="37" t="str">
        <f t="shared" si="3"/>
        <v>T8 7.62mm쌍열 기관포</v>
      </c>
      <c r="C214" s="37" t="s">
        <v>255</v>
      </c>
      <c r="D214" s="37" t="s">
        <v>242</v>
      </c>
      <c r="E214" s="37" t="s">
        <v>194</v>
      </c>
      <c r="F214" s="29">
        <f>VLOOKUP(C214, Factor!$AD$5:$AE$15, 2, 0)</f>
        <v>8000</v>
      </c>
      <c r="G214" s="29" t="str">
        <f>VLOOKUP(E214, Factor!$CL$5:$CV$50, 2, 0)</f>
        <v>shot</v>
      </c>
      <c r="H214" s="29" t="str">
        <f>VLOOKUP(E214, Factor!$CL$5:$CV$50, 3, 0)</f>
        <v>ammo</v>
      </c>
      <c r="I214" s="29" t="str">
        <f>VLOOKUP(E214, Factor!$CL$5:$CV$50, 4, 0)</f>
        <v>L</v>
      </c>
      <c r="J214" s="29" t="str">
        <f>VLOOKUP(E214, Factor!$CL$5:$CV$50, 5, 0)</f>
        <v>spread</v>
      </c>
      <c r="K214" s="29">
        <v>1</v>
      </c>
      <c r="L214" s="29">
        <f>VLOOKUP(E214, Factor!$CL$5:$CV$50, 6, 0)*K214*VLOOKUP(D214, Factor!$BZ$5:$CJ$49, 9, 0)</f>
        <v>0</v>
      </c>
      <c r="M214" s="29" t="str">
        <f>VLOOKUP(E214, Factor!$CL$5:$CV$50, 7, 0)</f>
        <v>null</v>
      </c>
      <c r="N214" s="29">
        <v>1</v>
      </c>
      <c r="O214" s="29">
        <f>VLOOKUP(E214, Factor!$CL$5:$CV$50, 8, 0)*N214*VLOOKUP(D214, Factor!$BZ$5:$CJ$49, 10, 0)</f>
        <v>9</v>
      </c>
      <c r="P214" s="29">
        <v>1</v>
      </c>
      <c r="Q214" s="29">
        <f>VLOOKUP(E214, Factor!$CL$5:$CV$50, 9, 0)*P214*VLOOKUP(D214, Factor!$BZ$5:$CJ$49, 11, 0)</f>
        <v>3</v>
      </c>
      <c r="R214" s="29" t="str">
        <f>VLOOKUP(E214, Factor!$CL$5:$CV$50, 10, 0)</f>
        <v>null</v>
      </c>
      <c r="S214" s="29" t="str">
        <f>VLOOKUP(E214, Factor!$CL$5:$CV$50, 11, 0)</f>
        <v>null</v>
      </c>
      <c r="T214" s="29">
        <v>1</v>
      </c>
      <c r="U214" s="29">
        <v>1</v>
      </c>
      <c r="V214" s="29">
        <v>1</v>
      </c>
      <c r="W214" s="29">
        <v>1</v>
      </c>
      <c r="X214" s="29">
        <v>1</v>
      </c>
      <c r="Y214" s="29">
        <v>1</v>
      </c>
      <c r="Z214" s="29">
        <v>1</v>
      </c>
      <c r="AA214" s="29" cm="1">
        <f t="array" ref="AA214">_xlfn.LET(_xlpm.기본_색인번호, 2,
_xlpm.추가_색인번호, 3,
_xlpm.개별보정치, T214,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2430</v>
      </c>
      <c r="AB214" s="29" cm="1">
        <f t="array" ref="AB214">_xlfn.LET(_xlpm.기본_색인번호, 3,
_xlpm.추가_색인번호, 4,
_xlpm.개별보정치, U214,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C214" s="29" cm="1">
        <f t="array" ref="AC214">_xlfn.LET(_xlpm.기본_색인번호, 4,
_xlpm.추가_색인번호, 5,
_xlpm.개별보정치, V214,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14" s="29" cm="1">
        <f t="array" ref="AD214">_xlfn.LET(_xlpm.기본_색인번호, 5,
_xlpm.추가_색인번호, 6,
_xlpm.개별보정치, W214,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145.79999999999998</v>
      </c>
      <c r="AE214" s="29" cm="1">
        <f t="array" ref="AE214">_xlfn.LET(_xlpm.기본_색인번호, 6,
_xlpm.추가_색인번호, 7,
_xlpm.개별보정치, X214,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145.79999999999998</v>
      </c>
      <c r="AF214" s="29" cm="1">
        <f t="array" ref="AF214">_xlfn.LET(_xlpm.기본_색인번호, 7,
_xlpm.추가_색인번호, 8,
_xlpm.개별보정치, Y214,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14" s="30" cm="1">
        <f t="array" ref="AG214">_xlfn.LET(_xlpm.기본_색인번호, 8,
_xlpm.추가_색인번호, 9,
_xlpm.개별보정치, Z214,
_xlpm.패턴보정치, VLOOKUP($G214, Factor!$B$5:$I$51, _xlpm.기본_색인번호, 0),
_xlpm.소모탄환보정치, VLOOKUP($H214, Factor!$T$5:$AA$51, _xlpm.기본_색인번호, 0),
_xlpm.지형보정치, VLOOKUP($I214, Factor!$K$12:$R$13, _xlpm.기본_색인번호, 0),
_xlpm.공격속성보정치, VLOOKUP($J214, Factor!$K$5:$R$7, _xlpm.기본_색인번호, 0),
_xlpm.피해범위보정치, INDEX(Factor!$AN$5:$AV$51, _xlfn.XMATCH(IF(OR($G214="blast", $G214="curved",  $G214= "debuff"), $L214, 0), Factor!$AN$5:$AN$51, -1), _xlpm.추가_색인번호)-IF(AND(OR($G214="blast", $G214="curved", $G214= "debuff"), MOD($L214,1)&lt;&gt;0),INDEX(Factor!$AN$5:$AV$51, _xlfn.XMATCH(IF(OR($G214="blast", $G214="curved", $G214= "debuff"), $L214, 0), Factor!$AN$5:$AN$51, -1), 2)*MOD($L214,1)*10,0),
_xlpm.상태이상보정치, VLOOKUP(IF($G214 = "debuff", $M214, "null"), Factor!$AX$5:$BE$51, _xlpm.기본_색인번호, 0),
_xlpm.지속시간보정치, INDEX(Factor!$BG$5:$BO$51, _xlfn.XMATCH(IF(OR($G214 ="debuff", $G214 = "shot", $G214 = "pierce"), $O214, 0), Factor!$BG$5:$BG$51, -1), _xlpm.추가_색인번호)-IF(AND(OR($G214 ="debuff", $G214 = "shot", $G214 = "pierce"), MOD($O214, 1)&lt;&gt;0), 10*MOD($O214, 1)*INDEX(Factor!$BG$5:$BO$51, _xlfn.XMATCH(IF(OR($G214 ="debuff", $G214 = "shot", $G214 = "pierce"), $O214, 0), Factor!$BG$5:$BG$51, -1), 2), 0),
_xlpm.탄환개수보정치, VLOOKUP(IF(OR($G214 = "curved", $G214 = "shot"), $Q214, 1), Factor!$BQ$5:$BX$51, _xlpm.기본_색인번호, 0),
_xlpm.상태이상탄환생성위치보정치, IF($G214 = "debuff", VLOOKUP($R214, Factor!$K$18:$R$19, _xlpm.기본_색인번호, 0),1),
_xlpm.상태이상탄환형태보정치, IF($G214 = "debuff", VLOOKUP($S214, Factor!$K$24:$R$25, _xlpm.기본_색인번호, 0),1),
_xlpm.가격보정치, INDEX(Factor!$AE$5:$AL$51, _xlfn.XMATCH($F214,Factor!$AE$5:$AE$51, -1), _xlpm.기본_색인번호),
_xlpm.구경보정치, VLOOKUP($D214,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145.79999999999998</v>
      </c>
    </row>
    <row r="215" spans="1:33" ht="15.75" customHeight="1">
      <c r="A215" s="24" t="str">
        <f>"weapon_"&amp;G215&amp;"_"&amp;VLOOKUP(H215, Factor!$T$5:$AB$7, 9, 0)&amp;"_"&amp;IF(COUNTIFS($G$4:G214, G215, $H$4:H214, H215)+1&gt;=100, COUNTIFS($G$4:G214, G215, $H$4:H214, H215)+1,IF(COUNTIFS($G$4:G214, G215, $H$4:H214, H215)+1&gt;=10, "0"&amp;COUNTIFS($G$4:G214, G215, $H$4:H214, H215)+1, "00"&amp;COUNTIFS($G$4:G214, G215, $H$4:H214, H215)+1))</f>
        <v>weapon_shot_Am_035</v>
      </c>
      <c r="B215" s="36" t="str">
        <f t="shared" si="3"/>
        <v>T8 12.7mm쌍열 기관포</v>
      </c>
      <c r="C215" s="36" t="s">
        <v>255</v>
      </c>
      <c r="D215" s="36" t="s">
        <v>243</v>
      </c>
      <c r="E215" s="36" t="s">
        <v>194</v>
      </c>
      <c r="F215" s="25">
        <f>VLOOKUP(C215, Factor!$AD$5:$AE$15, 2, 0)</f>
        <v>8000</v>
      </c>
      <c r="G215" s="26" t="str">
        <f>VLOOKUP(E215, Factor!$CL$5:$CV$50, 2, 0)</f>
        <v>shot</v>
      </c>
      <c r="H215" s="25" t="str">
        <f>VLOOKUP(E215, Factor!$CL$5:$CV$50, 3, 0)</f>
        <v>ammo</v>
      </c>
      <c r="I215" s="25" t="str">
        <f>VLOOKUP(E215, Factor!$CL$5:$CV$50, 4, 0)</f>
        <v>L</v>
      </c>
      <c r="J215" s="25" t="str">
        <f>VLOOKUP(E215, Factor!$CL$5:$CV$50, 5, 0)</f>
        <v>spread</v>
      </c>
      <c r="K215" s="25">
        <v>1</v>
      </c>
      <c r="L215" s="25">
        <f>VLOOKUP(E215, Factor!$CL$5:$CV$50, 6, 0)*K215*VLOOKUP(D215, Factor!$BZ$5:$CJ$49, 9, 0)</f>
        <v>0</v>
      </c>
      <c r="M215" s="25" t="str">
        <f>VLOOKUP(E215, Factor!$CL$5:$CV$50, 7, 0)</f>
        <v>null</v>
      </c>
      <c r="N215" s="25">
        <v>1</v>
      </c>
      <c r="O215" s="25">
        <f>VLOOKUP(E215, Factor!$CL$5:$CV$50, 8, 0)*N215*VLOOKUP(D215, Factor!$BZ$5:$CJ$49, 10, 0)</f>
        <v>12</v>
      </c>
      <c r="P215" s="25">
        <v>1</v>
      </c>
      <c r="Q215" s="25">
        <f>VLOOKUP(E215, Factor!$CL$5:$CV$50, 9, 0)*P215*VLOOKUP(D215, Factor!$BZ$5:$CJ$49, 11, 0)</f>
        <v>4</v>
      </c>
      <c r="R215" s="25" t="str">
        <f>VLOOKUP(E215, Factor!$CL$5:$CV$50, 10, 0)</f>
        <v>null</v>
      </c>
      <c r="S215" s="25" t="str">
        <f>VLOOKUP(E215, Factor!$CL$5:$CV$50, 11, 0)</f>
        <v>null</v>
      </c>
      <c r="T215" s="25">
        <v>1</v>
      </c>
      <c r="U215" s="25">
        <v>1</v>
      </c>
      <c r="V215" s="25">
        <v>1</v>
      </c>
      <c r="W215" s="25">
        <v>1</v>
      </c>
      <c r="X215" s="25">
        <v>1</v>
      </c>
      <c r="Y215" s="25">
        <v>1</v>
      </c>
      <c r="Z215" s="25">
        <v>1</v>
      </c>
      <c r="AA215" s="25" cm="1">
        <f t="array" ref="AA215">_xlfn.LET(_xlpm.기본_색인번호, 2,
_xlpm.추가_색인번호, 3,
_xlpm.개별보정치, T215,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215" s="25" cm="1">
        <f t="array" ref="AB215">_xlfn.LET(_xlpm.기본_색인번호, 3,
_xlpm.추가_색인번호, 4,
_xlpm.개별보정치, U215,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C215" s="25" cm="1">
        <f t="array" ref="AC215">_xlfn.LET(_xlpm.기본_색인번호, 4,
_xlpm.추가_색인번호, 5,
_xlpm.개별보정치, V215,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15" s="25" cm="1">
        <f t="array" ref="AD215">_xlfn.LET(_xlpm.기본_색인번호, 5,
_xlpm.추가_색인번호, 6,
_xlpm.개별보정치, W215,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  <c r="AE215" s="25" cm="1">
        <f t="array" ref="AE215">_xlfn.LET(_xlpm.기본_색인번호, 6,
_xlpm.추가_색인번호, 7,
_xlpm.개별보정치, X215,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  <c r="AF215" s="25" cm="1">
        <f t="array" ref="AF215">_xlfn.LET(_xlpm.기본_색인번호, 7,
_xlpm.추가_색인번호, 8,
_xlpm.개별보정치, Y215,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15" s="27" cm="1">
        <f t="array" ref="AG215">_xlfn.LET(_xlpm.기본_색인번호, 8,
_xlpm.추가_색인번호, 9,
_xlpm.개별보정치, Z215,
_xlpm.패턴보정치, VLOOKUP($G215, Factor!$B$5:$I$51, _xlpm.기본_색인번호, 0),
_xlpm.소모탄환보정치, VLOOKUP($H215, Factor!$T$5:$AA$51, _xlpm.기본_색인번호, 0),
_xlpm.지형보정치, VLOOKUP($I215, Factor!$K$12:$R$13, _xlpm.기본_색인번호, 0),
_xlpm.공격속성보정치, VLOOKUP($J215, Factor!$K$5:$R$7, _xlpm.기본_색인번호, 0),
_xlpm.피해범위보정치, INDEX(Factor!$AN$5:$AV$51, _xlfn.XMATCH(IF(OR($G215="blast", $G215="curved",  $G215= "debuff"), $L215, 0), Factor!$AN$5:$AN$51, -1), _xlpm.추가_색인번호)-IF(AND(OR($G215="blast", $G215="curved", $G215= "debuff"), MOD($L215,1)&lt;&gt;0),INDEX(Factor!$AN$5:$AV$51, _xlfn.XMATCH(IF(OR($G215="blast", $G215="curved", $G215= "debuff"), $L215, 0), Factor!$AN$5:$AN$51, -1), 2)*MOD($L215,1)*10,0),
_xlpm.상태이상보정치, VLOOKUP(IF($G215 = "debuff", $M215, "null"), Factor!$AX$5:$BE$51, _xlpm.기본_색인번호, 0),
_xlpm.지속시간보정치, INDEX(Factor!$BG$5:$BO$51, _xlfn.XMATCH(IF(OR($G215 ="debuff", $G215 = "shot", $G215 = "pierce"), $O215, 0), Factor!$BG$5:$BG$51, -1), _xlpm.추가_색인번호)-IF(AND(OR($G215 ="debuff", $G215 = "shot", $G215 = "pierce"), MOD($O215, 1)&lt;&gt;0), 10*MOD($O215, 1)*INDEX(Factor!$BG$5:$BO$51, _xlfn.XMATCH(IF(OR($G215 ="debuff", $G215 = "shot", $G215 = "pierce"), $O215, 0), Factor!$BG$5:$BG$51, -1), 2), 0),
_xlpm.탄환개수보정치, VLOOKUP(IF(OR($G215 = "curved", $G215 = "shot"), $Q215, 1), Factor!$BQ$5:$BX$51, _xlpm.기본_색인번호, 0),
_xlpm.상태이상탄환생성위치보정치, IF($G215 = "debuff", VLOOKUP($R215, Factor!$K$18:$R$19, _xlpm.기본_색인번호, 0),1),
_xlpm.상태이상탄환형태보정치, IF($G215 = "debuff", VLOOKUP($S215, Factor!$K$24:$R$25, _xlpm.기본_색인번호, 0),1),
_xlpm.가격보정치, INDEX(Factor!$AE$5:$AL$51, _xlfn.XMATCH($F215,Factor!$AE$5:$AE$51, -1), _xlpm.기본_색인번호),
_xlpm.구경보정치, VLOOKUP($D215,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</v>
      </c>
    </row>
    <row r="216" spans="1:33" ht="15.75" customHeight="1">
      <c r="A216" s="28" t="str">
        <f>"weapon_"&amp;G216&amp;"_"&amp;VLOOKUP(H216, Factor!$T$5:$AB$7, 9, 0)&amp;"_"&amp;IF(COUNTIFS($G$4:G215, G216, $H$4:H215, H216)+1&gt;=100, COUNTIFS($G$4:G215, G216, $H$4:H215, H216)+1,IF(COUNTIFS($G$4:G215, G216, $H$4:H215, H216)+1&gt;=10, "0"&amp;COUNTIFS($G$4:G215, G216, $H$4:H215, H216)+1, "00"&amp;COUNTIFS($G$4:G215, G216, $H$4:H215, H216)+1))</f>
        <v>weapon_shot_Am_036</v>
      </c>
      <c r="B216" s="37" t="str">
        <f t="shared" si="3"/>
        <v>T8 20mm쌍열 기관포</v>
      </c>
      <c r="C216" s="37" t="s">
        <v>255</v>
      </c>
      <c r="D216" s="37" t="s">
        <v>244</v>
      </c>
      <c r="E216" s="37" t="s">
        <v>194</v>
      </c>
      <c r="F216" s="29">
        <f>VLOOKUP(C216, Factor!$AD$5:$AE$15, 2, 0)</f>
        <v>8000</v>
      </c>
      <c r="G216" s="29" t="str">
        <f>VLOOKUP(E216, Factor!$CL$5:$CV$50, 2, 0)</f>
        <v>shot</v>
      </c>
      <c r="H216" s="29" t="str">
        <f>VLOOKUP(E216, Factor!$CL$5:$CV$50, 3, 0)</f>
        <v>ammo</v>
      </c>
      <c r="I216" s="29" t="str">
        <f>VLOOKUP(E216, Factor!$CL$5:$CV$50, 4, 0)</f>
        <v>L</v>
      </c>
      <c r="J216" s="29" t="str">
        <f>VLOOKUP(E216, Factor!$CL$5:$CV$50, 5, 0)</f>
        <v>spread</v>
      </c>
      <c r="K216" s="29">
        <v>1</v>
      </c>
      <c r="L216" s="29">
        <f>VLOOKUP(E216, Factor!$CL$5:$CV$50, 6, 0)*K216*VLOOKUP(D216, Factor!$BZ$5:$CJ$49, 9, 0)</f>
        <v>0</v>
      </c>
      <c r="M216" s="29" t="str">
        <f>VLOOKUP(E216, Factor!$CL$5:$CV$50, 7, 0)</f>
        <v>null</v>
      </c>
      <c r="N216" s="29">
        <v>1</v>
      </c>
      <c r="O216" s="29">
        <f>VLOOKUP(E216, Factor!$CL$5:$CV$50, 8, 0)*N216*VLOOKUP(D216, Factor!$BZ$5:$CJ$49, 10, 0)</f>
        <v>15</v>
      </c>
      <c r="P216" s="29">
        <v>1</v>
      </c>
      <c r="Q216" s="29">
        <f>VLOOKUP(E216, Factor!$CL$5:$CV$50, 9, 0)*P216*VLOOKUP(D216, Factor!$BZ$5:$CJ$49, 11, 0)</f>
        <v>5</v>
      </c>
      <c r="R216" s="29" t="str">
        <f>VLOOKUP(E216, Factor!$CL$5:$CV$50, 10, 0)</f>
        <v>null</v>
      </c>
      <c r="S216" s="29" t="str">
        <f>VLOOKUP(E216, Factor!$CL$5:$CV$50, 11, 0)</f>
        <v>null</v>
      </c>
      <c r="T216" s="29">
        <v>1</v>
      </c>
      <c r="U216" s="29">
        <v>1</v>
      </c>
      <c r="V216" s="29">
        <v>1</v>
      </c>
      <c r="W216" s="29">
        <v>1</v>
      </c>
      <c r="X216" s="29">
        <v>1</v>
      </c>
      <c r="Y216" s="29">
        <v>1</v>
      </c>
      <c r="Z216" s="29">
        <v>1</v>
      </c>
      <c r="AA216" s="29" cm="1">
        <f t="array" ref="AA216">_xlfn.LET(_xlpm.기본_색인번호, 2,
_xlpm.추가_색인번호, 3,
_xlpm.개별보정치, T216,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4500</v>
      </c>
      <c r="AB216" s="29" cm="1">
        <f t="array" ref="AB216">_xlfn.LET(_xlpm.기본_색인번호, 3,
_xlpm.추가_색인번호, 4,
_xlpm.개별보정치, U216,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216" s="29" cm="1">
        <f t="array" ref="AC216">_xlfn.LET(_xlpm.기본_색인번호, 4,
_xlpm.추가_색인번호, 5,
_xlpm.개별보정치, V216,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16" s="29" cm="1">
        <f t="array" ref="AD216">_xlfn.LET(_xlpm.기본_색인번호, 5,
_xlpm.추가_색인번호, 6,
_xlpm.개별보정치, W216,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216" s="29" cm="1">
        <f t="array" ref="AE216">_xlfn.LET(_xlpm.기본_색인번호, 6,
_xlpm.추가_색인번호, 7,
_xlpm.개별보정치, X216,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216" s="29" cm="1">
        <f t="array" ref="AF216">_xlfn.LET(_xlpm.기본_색인번호, 7,
_xlpm.추가_색인번호, 8,
_xlpm.개별보정치, Y216,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16" s="30" cm="1">
        <f t="array" ref="AG216">_xlfn.LET(_xlpm.기본_색인번호, 8,
_xlpm.추가_색인번호, 9,
_xlpm.개별보정치, Z216,
_xlpm.패턴보정치, VLOOKUP($G216, Factor!$B$5:$I$51, _xlpm.기본_색인번호, 0),
_xlpm.소모탄환보정치, VLOOKUP($H216, Factor!$T$5:$AA$51, _xlpm.기본_색인번호, 0),
_xlpm.지형보정치, VLOOKUP($I216, Factor!$K$12:$R$13, _xlpm.기본_색인번호, 0),
_xlpm.공격속성보정치, VLOOKUP($J216, Factor!$K$5:$R$7, _xlpm.기본_색인번호, 0),
_xlpm.피해범위보정치, INDEX(Factor!$AN$5:$AV$51, _xlfn.XMATCH(IF(OR($G216="blast", $G216="curved",  $G216= "debuff"), $L216, 0), Factor!$AN$5:$AN$51, -1), _xlpm.추가_색인번호)-IF(AND(OR($G216="blast", $G216="curved", $G216= "debuff"), MOD($L216,1)&lt;&gt;0),INDEX(Factor!$AN$5:$AV$51, _xlfn.XMATCH(IF(OR($G216="blast", $G216="curved", $G216= "debuff"), $L216, 0), Factor!$AN$5:$AN$51, -1), 2)*MOD($L216,1)*10,0),
_xlpm.상태이상보정치, VLOOKUP(IF($G216 = "debuff", $M216, "null"), Factor!$AX$5:$BE$51, _xlpm.기본_색인번호, 0),
_xlpm.지속시간보정치, INDEX(Factor!$BG$5:$BO$51, _xlfn.XMATCH(IF(OR($G216 ="debuff", $G216 = "shot", $G216 = "pierce"), $O216, 0), Factor!$BG$5:$BG$51, -1), _xlpm.추가_색인번호)-IF(AND(OR($G216 ="debuff", $G216 = "shot", $G216 = "pierce"), MOD($O216, 1)&lt;&gt;0), 10*MOD($O216, 1)*INDEX(Factor!$BG$5:$BO$51, _xlfn.XMATCH(IF(OR($G216 ="debuff", $G216 = "shot", $G216 = "pierce"), $O216, 0), Factor!$BG$5:$BG$51, -1), 2), 0),
_xlpm.탄환개수보정치, VLOOKUP(IF(OR($G216 = "curved", $G216 = "shot"), $Q216, 1), Factor!$BQ$5:$BX$51, _xlpm.기본_색인번호, 0),
_xlpm.상태이상탄환생성위치보정치, IF($G216 = "debuff", VLOOKUP($R216, Factor!$K$18:$R$19, _xlpm.기본_색인번호, 0),1),
_xlpm.상태이상탄환형태보정치, IF($G216 = "debuff", VLOOKUP($S216, Factor!$K$24:$R$25, _xlpm.기본_색인번호, 0),1),
_xlpm.가격보정치, INDEX(Factor!$AE$5:$AL$51, _xlfn.XMATCH($F216,Factor!$AE$5:$AE$51, -1), _xlpm.기본_색인번호),
_xlpm.구경보정치, VLOOKUP($D216,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217" spans="1:33" ht="15.75" customHeight="1">
      <c r="A217" s="24" t="str">
        <f>"weapon_"&amp;G217&amp;"_"&amp;VLOOKUP(H217, Factor!$T$5:$AB$7, 9, 0)&amp;"_"&amp;IF(COUNTIFS($G$4:G216, G217, $H$4:H216, H217)+1&gt;=100, COUNTIFS($G$4:G216, G217, $H$4:H216, H217)+1,IF(COUNTIFS($G$4:G216, G217, $H$4:H216, H217)+1&gt;=10, "0"&amp;COUNTIFS($G$4:G216, G217, $H$4:H216, H217)+1, "00"&amp;COUNTIFS($G$4:G216, G217, $H$4:H216, H217)+1))</f>
        <v>weapon_shot_Am_037</v>
      </c>
      <c r="B217" s="36" t="str">
        <f t="shared" si="3"/>
        <v>T9 5.56mm쌍열 기관포</v>
      </c>
      <c r="C217" s="36" t="s">
        <v>256</v>
      </c>
      <c r="D217" s="36" t="s">
        <v>241</v>
      </c>
      <c r="E217" s="36" t="s">
        <v>194</v>
      </c>
      <c r="F217" s="25">
        <f>VLOOKUP(C217, Factor!$AD$5:$AE$15, 2, 0)</f>
        <v>9000</v>
      </c>
      <c r="G217" s="26" t="str">
        <f>VLOOKUP(E217, Factor!$CL$5:$CV$50, 2, 0)</f>
        <v>shot</v>
      </c>
      <c r="H217" s="25" t="str">
        <f>VLOOKUP(E217, Factor!$CL$5:$CV$50, 3, 0)</f>
        <v>ammo</v>
      </c>
      <c r="I217" s="25" t="str">
        <f>VLOOKUP(E217, Factor!$CL$5:$CV$50, 4, 0)</f>
        <v>L</v>
      </c>
      <c r="J217" s="25" t="str">
        <f>VLOOKUP(E217, Factor!$CL$5:$CV$50, 5, 0)</f>
        <v>spread</v>
      </c>
      <c r="K217" s="25">
        <v>1</v>
      </c>
      <c r="L217" s="25">
        <f>VLOOKUP(E217, Factor!$CL$5:$CV$50, 6, 0)*K217*VLOOKUP(D217, Factor!$BZ$5:$CJ$49, 9, 0)</f>
        <v>0</v>
      </c>
      <c r="M217" s="25" t="str">
        <f>VLOOKUP(E217, Factor!$CL$5:$CV$50, 7, 0)</f>
        <v>null</v>
      </c>
      <c r="N217" s="25">
        <v>1</v>
      </c>
      <c r="O217" s="25">
        <f>VLOOKUP(E217, Factor!$CL$5:$CV$50, 8, 0)*N217*VLOOKUP(D217, Factor!$BZ$5:$CJ$49, 10, 0)</f>
        <v>6</v>
      </c>
      <c r="P217" s="25">
        <v>1</v>
      </c>
      <c r="Q217" s="25">
        <f>VLOOKUP(E217, Factor!$CL$5:$CV$50, 9, 0)*P217*VLOOKUP(D217, Factor!$BZ$5:$CJ$49, 11, 0)</f>
        <v>2</v>
      </c>
      <c r="R217" s="25" t="str">
        <f>VLOOKUP(E217, Factor!$CL$5:$CV$50, 10, 0)</f>
        <v>null</v>
      </c>
      <c r="S217" s="25" t="str">
        <f>VLOOKUP(E217, Factor!$CL$5:$CV$50, 11, 0)</f>
        <v>null</v>
      </c>
      <c r="T217" s="25">
        <v>1</v>
      </c>
      <c r="U217" s="25">
        <v>1</v>
      </c>
      <c r="V217" s="25">
        <v>1</v>
      </c>
      <c r="W217" s="25">
        <v>1</v>
      </c>
      <c r="X217" s="25">
        <v>1</v>
      </c>
      <c r="Y217" s="25">
        <v>1</v>
      </c>
      <c r="Z217" s="25">
        <v>1</v>
      </c>
      <c r="AA217" s="25" cm="1">
        <f t="array" ref="AA217">_xlfn.LET(_xlpm.기본_색인번호, 2,
_xlpm.추가_색인번호, 3,
_xlpm.개별보정치, T217,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217" s="25" cm="1">
        <f t="array" ref="AB217">_xlfn.LET(_xlpm.기본_색인번호, 3,
_xlpm.추가_색인번호, 4,
_xlpm.개별보정치, U217,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50.399999999999991</v>
      </c>
      <c r="AC217" s="25" cm="1">
        <f t="array" ref="AC217">_xlfn.LET(_xlpm.기본_색인번호, 4,
_xlpm.추가_색인번호, 5,
_xlpm.개별보정치, V217,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17" s="25" cm="1">
        <f t="array" ref="AD217">_xlfn.LET(_xlpm.기본_색인번호, 5,
_xlpm.추가_색인번호, 6,
_xlpm.개별보정치, W217,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E217" s="25" cm="1">
        <f t="array" ref="AE217">_xlfn.LET(_xlpm.기본_색인번호, 6,
_xlpm.추가_색인번호, 7,
_xlpm.개별보정치, X217,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F217" s="25" cm="1">
        <f t="array" ref="AF217">_xlfn.LET(_xlpm.기본_색인번호, 7,
_xlpm.추가_색인번호, 8,
_xlpm.개별보정치, Y217,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17" s="27" cm="1">
        <f t="array" ref="AG217">_xlfn.LET(_xlpm.기본_색인번호, 8,
_xlpm.추가_색인번호, 9,
_xlpm.개별보정치, Z217,
_xlpm.패턴보정치, VLOOKUP($G217, Factor!$B$5:$I$51, _xlpm.기본_색인번호, 0),
_xlpm.소모탄환보정치, VLOOKUP($H217, Factor!$T$5:$AA$51, _xlpm.기본_색인번호, 0),
_xlpm.지형보정치, VLOOKUP($I217, Factor!$K$12:$R$13, _xlpm.기본_색인번호, 0),
_xlpm.공격속성보정치, VLOOKUP($J217, Factor!$K$5:$R$7, _xlpm.기본_색인번호, 0),
_xlpm.피해범위보정치, INDEX(Factor!$AN$5:$AV$51, _xlfn.XMATCH(IF(OR($G217="blast", $G217="curved",  $G217= "debuff"), $L217, 0), Factor!$AN$5:$AN$51, -1), _xlpm.추가_색인번호)-IF(AND(OR($G217="blast", $G217="curved", $G217= "debuff"), MOD($L217,1)&lt;&gt;0),INDEX(Factor!$AN$5:$AV$51, _xlfn.XMATCH(IF(OR($G217="blast", $G217="curved", $G217= "debuff"), $L217, 0), Factor!$AN$5:$AN$51, -1), 2)*MOD($L217,1)*10,0),
_xlpm.상태이상보정치, VLOOKUP(IF($G217 = "debuff", $M217, "null"), Factor!$AX$5:$BE$51, _xlpm.기본_색인번호, 0),
_xlpm.지속시간보정치, INDEX(Factor!$BG$5:$BO$51, _xlfn.XMATCH(IF(OR($G217 ="debuff", $G217 = "shot", $G217 = "pierce"), $O217, 0), Factor!$BG$5:$BG$51, -1), _xlpm.추가_색인번호)-IF(AND(OR($G217 ="debuff", $G217 = "shot", $G217 = "pierce"), MOD($O217, 1)&lt;&gt;0), 10*MOD($O217, 1)*INDEX(Factor!$BG$5:$BO$51, _xlfn.XMATCH(IF(OR($G217 ="debuff", $G217 = "shot", $G217 = "pierce"), $O217, 0), Factor!$BG$5:$BG$51, -1), 2), 0),
_xlpm.탄환개수보정치, VLOOKUP(IF(OR($G217 = "curved", $G217 = "shot"), $Q217, 1), Factor!$BQ$5:$BX$51, _xlpm.기본_색인번호, 0),
_xlpm.상태이상탄환생성위치보정치, IF($G217 = "debuff", VLOOKUP($R217, Factor!$K$18:$R$19, _xlpm.기본_색인번호, 0),1),
_xlpm.상태이상탄환형태보정치, IF($G217 = "debuff", VLOOKUP($S217, Factor!$K$24:$R$25, _xlpm.기본_색인번호, 0),1),
_xlpm.가격보정치, INDEX(Factor!$AE$5:$AL$51, _xlfn.XMATCH($F217,Factor!$AE$5:$AE$51, -1), _xlpm.기본_색인번호),
_xlpm.구경보정치, VLOOKUP($D217,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</row>
    <row r="218" spans="1:33" ht="15.75" customHeight="1">
      <c r="A218" s="28" t="str">
        <f>"weapon_"&amp;G218&amp;"_"&amp;VLOOKUP(H218, Factor!$T$5:$AB$7, 9, 0)&amp;"_"&amp;IF(COUNTIFS($G$4:G217, G218, $H$4:H217, H218)+1&gt;=100, COUNTIFS($G$4:G217, G218, $H$4:H217, H218)+1,IF(COUNTIFS($G$4:G217, G218, $H$4:H217, H218)+1&gt;=10, "0"&amp;COUNTIFS($G$4:G217, G218, $H$4:H217, H218)+1, "00"&amp;COUNTIFS($G$4:G217, G218, $H$4:H217, H218)+1))</f>
        <v>weapon_shot_Am_038</v>
      </c>
      <c r="B218" s="37" t="str">
        <f t="shared" si="3"/>
        <v>T9 7.62mm쌍열 기관포</v>
      </c>
      <c r="C218" s="37" t="s">
        <v>256</v>
      </c>
      <c r="D218" s="37" t="s">
        <v>242</v>
      </c>
      <c r="E218" s="37" t="s">
        <v>194</v>
      </c>
      <c r="F218" s="29">
        <f>VLOOKUP(C218, Factor!$AD$5:$AE$15, 2, 0)</f>
        <v>9000</v>
      </c>
      <c r="G218" s="29" t="str">
        <f>VLOOKUP(E218, Factor!$CL$5:$CV$50, 2, 0)</f>
        <v>shot</v>
      </c>
      <c r="H218" s="29" t="str">
        <f>VLOOKUP(E218, Factor!$CL$5:$CV$50, 3, 0)</f>
        <v>ammo</v>
      </c>
      <c r="I218" s="29" t="str">
        <f>VLOOKUP(E218, Factor!$CL$5:$CV$50, 4, 0)</f>
        <v>L</v>
      </c>
      <c r="J218" s="29" t="str">
        <f>VLOOKUP(E218, Factor!$CL$5:$CV$50, 5, 0)</f>
        <v>spread</v>
      </c>
      <c r="K218" s="29">
        <v>1</v>
      </c>
      <c r="L218" s="29">
        <f>VLOOKUP(E218, Factor!$CL$5:$CV$50, 6, 0)*K218*VLOOKUP(D218, Factor!$BZ$5:$CJ$49, 9, 0)</f>
        <v>0</v>
      </c>
      <c r="M218" s="29" t="str">
        <f>VLOOKUP(E218, Factor!$CL$5:$CV$50, 7, 0)</f>
        <v>null</v>
      </c>
      <c r="N218" s="29">
        <v>1</v>
      </c>
      <c r="O218" s="29">
        <f>VLOOKUP(E218, Factor!$CL$5:$CV$50, 8, 0)*N218*VLOOKUP(D218, Factor!$BZ$5:$CJ$49, 10, 0)</f>
        <v>9</v>
      </c>
      <c r="P218" s="29">
        <v>1</v>
      </c>
      <c r="Q218" s="29">
        <f>VLOOKUP(E218, Factor!$CL$5:$CV$50, 9, 0)*P218*VLOOKUP(D218, Factor!$BZ$5:$CJ$49, 11, 0)</f>
        <v>3</v>
      </c>
      <c r="R218" s="29" t="str">
        <f>VLOOKUP(E218, Factor!$CL$5:$CV$50, 10, 0)</f>
        <v>null</v>
      </c>
      <c r="S218" s="29" t="str">
        <f>VLOOKUP(E218, Factor!$CL$5:$CV$50, 11, 0)</f>
        <v>null</v>
      </c>
      <c r="T218" s="29">
        <v>1</v>
      </c>
      <c r="U218" s="29">
        <v>1</v>
      </c>
      <c r="V218" s="29">
        <v>1</v>
      </c>
      <c r="W218" s="29">
        <v>1</v>
      </c>
      <c r="X218" s="29">
        <v>1</v>
      </c>
      <c r="Y218" s="29">
        <v>1</v>
      </c>
      <c r="Z218" s="29">
        <v>1</v>
      </c>
      <c r="AA218" s="29" cm="1">
        <f t="array" ref="AA218">_xlfn.LET(_xlpm.기본_색인번호, 2,
_xlpm.추가_색인번호, 3,
_xlpm.개별보정치, T218,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2700</v>
      </c>
      <c r="AB218" s="29" cm="1">
        <f t="array" ref="AB218">_xlfn.LET(_xlpm.기본_색인번호, 3,
_xlpm.추가_색인번호, 4,
_xlpm.개별보정치, U218,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113.39999999999999</v>
      </c>
      <c r="AC218" s="29" cm="1">
        <f t="array" ref="AC218">_xlfn.LET(_xlpm.기본_색인번호, 4,
_xlpm.추가_색인번호, 5,
_xlpm.개별보정치, V218,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18" s="29" cm="1">
        <f t="array" ref="AD218">_xlfn.LET(_xlpm.기본_색인번호, 5,
_xlpm.추가_색인번호, 6,
_xlpm.개별보정치, W218,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E218" s="29" cm="1">
        <f t="array" ref="AE218">_xlfn.LET(_xlpm.기본_색인번호, 6,
_xlpm.추가_색인번호, 7,
_xlpm.개별보정치, X218,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F218" s="29" cm="1">
        <f t="array" ref="AF218">_xlfn.LET(_xlpm.기본_색인번호, 7,
_xlpm.추가_색인번호, 8,
_xlpm.개별보정치, Y218,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18" s="30" cm="1">
        <f t="array" ref="AG218">_xlfn.LET(_xlpm.기본_색인번호, 8,
_xlpm.추가_색인번호, 9,
_xlpm.개별보정치, Z218,
_xlpm.패턴보정치, VLOOKUP($G218, Factor!$B$5:$I$51, _xlpm.기본_색인번호, 0),
_xlpm.소모탄환보정치, VLOOKUP($H218, Factor!$T$5:$AA$51, _xlpm.기본_색인번호, 0),
_xlpm.지형보정치, VLOOKUP($I218, Factor!$K$12:$R$13, _xlpm.기본_색인번호, 0),
_xlpm.공격속성보정치, VLOOKUP($J218, Factor!$K$5:$R$7, _xlpm.기본_색인번호, 0),
_xlpm.피해범위보정치, INDEX(Factor!$AN$5:$AV$51, _xlfn.XMATCH(IF(OR($G218="blast", $G218="curved",  $G218= "debuff"), $L218, 0), Factor!$AN$5:$AN$51, -1), _xlpm.추가_색인번호)-IF(AND(OR($G218="blast", $G218="curved", $G218= "debuff"), MOD($L218,1)&lt;&gt;0),INDEX(Factor!$AN$5:$AV$51, _xlfn.XMATCH(IF(OR($G218="blast", $G218="curved", $G218= "debuff"), $L218, 0), Factor!$AN$5:$AN$51, -1), 2)*MOD($L218,1)*10,0),
_xlpm.상태이상보정치, VLOOKUP(IF($G218 = "debuff", $M218, "null"), Factor!$AX$5:$BE$51, _xlpm.기본_색인번호, 0),
_xlpm.지속시간보정치, INDEX(Factor!$BG$5:$BO$51, _xlfn.XMATCH(IF(OR($G218 ="debuff", $G218 = "shot", $G218 = "pierce"), $O218, 0), Factor!$BG$5:$BG$51, -1), _xlpm.추가_색인번호)-IF(AND(OR($G218 ="debuff", $G218 = "shot", $G218 = "pierce"), MOD($O218, 1)&lt;&gt;0), 10*MOD($O218, 1)*INDEX(Factor!$BG$5:$BO$51, _xlfn.XMATCH(IF(OR($G218 ="debuff", $G218 = "shot", $G218 = "pierce"), $O218, 0), Factor!$BG$5:$BG$51, -1), 2), 0),
_xlpm.탄환개수보정치, VLOOKUP(IF(OR($G218 = "curved", $G218 = "shot"), $Q218, 1), Factor!$BQ$5:$BX$51, _xlpm.기본_색인번호, 0),
_xlpm.상태이상탄환생성위치보정치, IF($G218 = "debuff", VLOOKUP($R218, Factor!$K$18:$R$19, _xlpm.기본_색인번호, 0),1),
_xlpm.상태이상탄환형태보정치, IF($G218 = "debuff", VLOOKUP($S218, Factor!$K$24:$R$25, _xlpm.기본_색인번호, 0),1),
_xlpm.가격보정치, INDEX(Factor!$AE$5:$AL$51, _xlfn.XMATCH($F218,Factor!$AE$5:$AE$51, -1), _xlpm.기본_색인번호),
_xlpm.구경보정치, VLOOKUP($D218,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</row>
    <row r="219" spans="1:33" ht="15.75" customHeight="1">
      <c r="A219" s="24" t="str">
        <f>"weapon_"&amp;G219&amp;"_"&amp;VLOOKUP(H219, Factor!$T$5:$AB$7, 9, 0)&amp;"_"&amp;IF(COUNTIFS($G$4:G218, G219, $H$4:H218, H219)+1&gt;=100, COUNTIFS($G$4:G218, G219, $H$4:H218, H219)+1,IF(COUNTIFS($G$4:G218, G219, $H$4:H218, H219)+1&gt;=10, "0"&amp;COUNTIFS($G$4:G218, G219, $H$4:H218, H219)+1, "00"&amp;COUNTIFS($G$4:G218, G219, $H$4:H218, H219)+1))</f>
        <v>weapon_shot_Am_039</v>
      </c>
      <c r="B219" s="36" t="str">
        <f t="shared" si="3"/>
        <v>T9 12.7mm쌍열 기관포</v>
      </c>
      <c r="C219" s="36" t="s">
        <v>256</v>
      </c>
      <c r="D219" s="36" t="s">
        <v>243</v>
      </c>
      <c r="E219" s="36" t="s">
        <v>194</v>
      </c>
      <c r="F219" s="25">
        <f>VLOOKUP(C219, Factor!$AD$5:$AE$15, 2, 0)</f>
        <v>9000</v>
      </c>
      <c r="G219" s="26" t="str">
        <f>VLOOKUP(E219, Factor!$CL$5:$CV$50, 2, 0)</f>
        <v>shot</v>
      </c>
      <c r="H219" s="25" t="str">
        <f>VLOOKUP(E219, Factor!$CL$5:$CV$50, 3, 0)</f>
        <v>ammo</v>
      </c>
      <c r="I219" s="25" t="str">
        <f>VLOOKUP(E219, Factor!$CL$5:$CV$50, 4, 0)</f>
        <v>L</v>
      </c>
      <c r="J219" s="25" t="str">
        <f>VLOOKUP(E219, Factor!$CL$5:$CV$50, 5, 0)</f>
        <v>spread</v>
      </c>
      <c r="K219" s="25">
        <v>1</v>
      </c>
      <c r="L219" s="25">
        <f>VLOOKUP(E219, Factor!$CL$5:$CV$50, 6, 0)*K219*VLOOKUP(D219, Factor!$BZ$5:$CJ$49, 9, 0)</f>
        <v>0</v>
      </c>
      <c r="M219" s="25" t="str">
        <f>VLOOKUP(E219, Factor!$CL$5:$CV$50, 7, 0)</f>
        <v>null</v>
      </c>
      <c r="N219" s="25">
        <v>1</v>
      </c>
      <c r="O219" s="25">
        <f>VLOOKUP(E219, Factor!$CL$5:$CV$50, 8, 0)*N219*VLOOKUP(D219, Factor!$BZ$5:$CJ$49, 10, 0)</f>
        <v>12</v>
      </c>
      <c r="P219" s="25">
        <v>1</v>
      </c>
      <c r="Q219" s="25">
        <f>VLOOKUP(E219, Factor!$CL$5:$CV$50, 9, 0)*P219*VLOOKUP(D219, Factor!$BZ$5:$CJ$49, 11, 0)</f>
        <v>4</v>
      </c>
      <c r="R219" s="25" t="str">
        <f>VLOOKUP(E219, Factor!$CL$5:$CV$50, 10, 0)</f>
        <v>null</v>
      </c>
      <c r="S219" s="25" t="str">
        <f>VLOOKUP(E219, Factor!$CL$5:$CV$50, 11, 0)</f>
        <v>null</v>
      </c>
      <c r="T219" s="25">
        <v>1</v>
      </c>
      <c r="U219" s="25">
        <v>1</v>
      </c>
      <c r="V219" s="25">
        <v>1</v>
      </c>
      <c r="W219" s="25">
        <v>1</v>
      </c>
      <c r="X219" s="25">
        <v>1</v>
      </c>
      <c r="Y219" s="25">
        <v>1</v>
      </c>
      <c r="Z219" s="25">
        <v>1</v>
      </c>
      <c r="AA219" s="25" cm="1">
        <f t="array" ref="AA219">_xlfn.LET(_xlpm.기본_색인번호, 2,
_xlpm.추가_색인번호, 3,
_xlpm.개별보정치, T219,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219" s="25" cm="1">
        <f t="array" ref="AB219">_xlfn.LET(_xlpm.기본_색인번호, 3,
_xlpm.추가_색인번호, 4,
_xlpm.개별보정치, U219,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C219" s="25" cm="1">
        <f t="array" ref="AC219">_xlfn.LET(_xlpm.기본_색인번호, 4,
_xlpm.추가_색인번호, 5,
_xlpm.개별보정치, V219,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19" s="25" cm="1">
        <f t="array" ref="AD219">_xlfn.LET(_xlpm.기본_색인번호, 5,
_xlpm.추가_색인번호, 6,
_xlpm.개별보정치, W219,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219" s="25" cm="1">
        <f t="array" ref="AE219">_xlfn.LET(_xlpm.기본_색인번호, 6,
_xlpm.추가_색인번호, 7,
_xlpm.개별보정치, X219,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219" s="25" cm="1">
        <f t="array" ref="AF219">_xlfn.LET(_xlpm.기본_색인번호, 7,
_xlpm.추가_색인번호, 8,
_xlpm.개별보정치, Y219,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19" s="27" cm="1">
        <f t="array" ref="AG219">_xlfn.LET(_xlpm.기본_색인번호, 8,
_xlpm.추가_색인번호, 9,
_xlpm.개별보정치, Z219,
_xlpm.패턴보정치, VLOOKUP($G219, Factor!$B$5:$I$51, _xlpm.기본_색인번호, 0),
_xlpm.소모탄환보정치, VLOOKUP($H219, Factor!$T$5:$AA$51, _xlpm.기본_색인번호, 0),
_xlpm.지형보정치, VLOOKUP($I219, Factor!$K$12:$R$13, _xlpm.기본_색인번호, 0),
_xlpm.공격속성보정치, VLOOKUP($J219, Factor!$K$5:$R$7, _xlpm.기본_색인번호, 0),
_xlpm.피해범위보정치, INDEX(Factor!$AN$5:$AV$51, _xlfn.XMATCH(IF(OR($G219="blast", $G219="curved",  $G219= "debuff"), $L219, 0), Factor!$AN$5:$AN$51, -1), _xlpm.추가_색인번호)-IF(AND(OR($G219="blast", $G219="curved", $G219= "debuff"), MOD($L219,1)&lt;&gt;0),INDEX(Factor!$AN$5:$AV$51, _xlfn.XMATCH(IF(OR($G219="blast", $G219="curved", $G219= "debuff"), $L219, 0), Factor!$AN$5:$AN$51, -1), 2)*MOD($L219,1)*10,0),
_xlpm.상태이상보정치, VLOOKUP(IF($G219 = "debuff", $M219, "null"), Factor!$AX$5:$BE$51, _xlpm.기본_색인번호, 0),
_xlpm.지속시간보정치, INDEX(Factor!$BG$5:$BO$51, _xlfn.XMATCH(IF(OR($G219 ="debuff", $G219 = "shot", $G219 = "pierce"), $O219, 0), Factor!$BG$5:$BG$51, -1), _xlpm.추가_색인번호)-IF(AND(OR($G219 ="debuff", $G219 = "shot", $G219 = "pierce"), MOD($O219, 1)&lt;&gt;0), 10*MOD($O219, 1)*INDEX(Factor!$BG$5:$BO$51, _xlfn.XMATCH(IF(OR($G219 ="debuff", $G219 = "shot", $G219 = "pierce"), $O219, 0), Factor!$BG$5:$BG$51, -1), 2), 0),
_xlpm.탄환개수보정치, VLOOKUP(IF(OR($G219 = "curved", $G219 = "shot"), $Q219, 1), Factor!$BQ$5:$BX$51, _xlpm.기본_색인번호, 0),
_xlpm.상태이상탄환생성위치보정치, IF($G219 = "debuff", VLOOKUP($R219, Factor!$K$18:$R$19, _xlpm.기본_색인번호, 0),1),
_xlpm.상태이상탄환형태보정치, IF($G219 = "debuff", VLOOKUP($S219, Factor!$K$24:$R$25, _xlpm.기본_색인번호, 0),1),
_xlpm.가격보정치, INDEX(Factor!$AE$5:$AL$51, _xlfn.XMATCH($F219,Factor!$AE$5:$AE$51, -1), _xlpm.기본_색인번호),
_xlpm.구경보정치, VLOOKUP($D219,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220" spans="1:33" ht="15.75" customHeight="1">
      <c r="A220" s="28" t="str">
        <f>"weapon_"&amp;G220&amp;"_"&amp;VLOOKUP(H220, Factor!$T$5:$AB$7, 9, 0)&amp;"_"&amp;IF(COUNTIFS($G$4:G219, G220, $H$4:H219, H220)+1&gt;=100, COUNTIFS($G$4:G219, G220, $H$4:H219, H220)+1,IF(COUNTIFS($G$4:G219, G220, $H$4:H219, H220)+1&gt;=10, "0"&amp;COUNTIFS($G$4:G219, G220, $H$4:H219, H220)+1, "00"&amp;COUNTIFS($G$4:G219, G220, $H$4:H219, H220)+1))</f>
        <v>weapon_shot_Am_040</v>
      </c>
      <c r="B220" s="37" t="str">
        <f t="shared" si="3"/>
        <v>T9 20mm쌍열 기관포</v>
      </c>
      <c r="C220" s="37" t="s">
        <v>256</v>
      </c>
      <c r="D220" s="37" t="s">
        <v>244</v>
      </c>
      <c r="E220" s="37" t="s">
        <v>194</v>
      </c>
      <c r="F220" s="29">
        <f>VLOOKUP(C220, Factor!$AD$5:$AE$15, 2, 0)</f>
        <v>9000</v>
      </c>
      <c r="G220" s="29" t="str">
        <f>VLOOKUP(E220, Factor!$CL$5:$CV$50, 2, 0)</f>
        <v>shot</v>
      </c>
      <c r="H220" s="29" t="str">
        <f>VLOOKUP(E220, Factor!$CL$5:$CV$50, 3, 0)</f>
        <v>ammo</v>
      </c>
      <c r="I220" s="29" t="str">
        <f>VLOOKUP(E220, Factor!$CL$5:$CV$50, 4, 0)</f>
        <v>L</v>
      </c>
      <c r="J220" s="29" t="str">
        <f>VLOOKUP(E220, Factor!$CL$5:$CV$50, 5, 0)</f>
        <v>spread</v>
      </c>
      <c r="K220" s="29">
        <v>1</v>
      </c>
      <c r="L220" s="29">
        <f>VLOOKUP(E220, Factor!$CL$5:$CV$50, 6, 0)*K220*VLOOKUP(D220, Factor!$BZ$5:$CJ$49, 9, 0)</f>
        <v>0</v>
      </c>
      <c r="M220" s="29" t="str">
        <f>VLOOKUP(E220, Factor!$CL$5:$CV$50, 7, 0)</f>
        <v>null</v>
      </c>
      <c r="N220" s="29">
        <v>1</v>
      </c>
      <c r="O220" s="29">
        <f>VLOOKUP(E220, Factor!$CL$5:$CV$50, 8, 0)*N220*VLOOKUP(D220, Factor!$BZ$5:$CJ$49, 10, 0)</f>
        <v>15</v>
      </c>
      <c r="P220" s="29">
        <v>1</v>
      </c>
      <c r="Q220" s="29">
        <f>VLOOKUP(E220, Factor!$CL$5:$CV$50, 9, 0)*P220*VLOOKUP(D220, Factor!$BZ$5:$CJ$49, 11, 0)</f>
        <v>5</v>
      </c>
      <c r="R220" s="29" t="str">
        <f>VLOOKUP(E220, Factor!$CL$5:$CV$50, 10, 0)</f>
        <v>null</v>
      </c>
      <c r="S220" s="29" t="str">
        <f>VLOOKUP(E220, Factor!$CL$5:$CV$50, 11, 0)</f>
        <v>null</v>
      </c>
      <c r="T220" s="29">
        <v>1</v>
      </c>
      <c r="U220" s="29">
        <v>1</v>
      </c>
      <c r="V220" s="29">
        <v>1</v>
      </c>
      <c r="W220" s="29">
        <v>1</v>
      </c>
      <c r="X220" s="29">
        <v>1</v>
      </c>
      <c r="Y220" s="29">
        <v>1</v>
      </c>
      <c r="Z220" s="29">
        <v>1</v>
      </c>
      <c r="AA220" s="29" cm="1">
        <f t="array" ref="AA220">_xlfn.LET(_xlpm.기본_색인번호, 2,
_xlpm.추가_색인번호, 3,
_xlpm.개별보정치, T220,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5000</v>
      </c>
      <c r="AB220" s="29" cm="1">
        <f t="array" ref="AB220">_xlfn.LET(_xlpm.기본_색인번호, 3,
_xlpm.추가_색인번호, 4,
_xlpm.개별보정치, U220,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220" s="29" cm="1">
        <f t="array" ref="AC220">_xlfn.LET(_xlpm.기본_색인번호, 4,
_xlpm.추가_색인번호, 5,
_xlpm.개별보정치, V220,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20" s="29" cm="1">
        <f t="array" ref="AD220">_xlfn.LET(_xlpm.기본_색인번호, 5,
_xlpm.추가_색인번호, 6,
_xlpm.개별보정치, W220,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E220" s="29" cm="1">
        <f t="array" ref="AE220">_xlfn.LET(_xlpm.기본_색인번호, 6,
_xlpm.추가_색인번호, 7,
_xlpm.개별보정치, X220,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F220" s="29" cm="1">
        <f t="array" ref="AF220">_xlfn.LET(_xlpm.기본_색인번호, 7,
_xlpm.추가_색인번호, 8,
_xlpm.개별보정치, Y220,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20" s="30" cm="1">
        <f t="array" ref="AG220">_xlfn.LET(_xlpm.기본_색인번호, 8,
_xlpm.추가_색인번호, 9,
_xlpm.개별보정치, Z220,
_xlpm.패턴보정치, VLOOKUP($G220, Factor!$B$5:$I$51, _xlpm.기본_색인번호, 0),
_xlpm.소모탄환보정치, VLOOKUP($H220, Factor!$T$5:$AA$51, _xlpm.기본_색인번호, 0),
_xlpm.지형보정치, VLOOKUP($I220, Factor!$K$12:$R$13, _xlpm.기본_색인번호, 0),
_xlpm.공격속성보정치, VLOOKUP($J220, Factor!$K$5:$R$7, _xlpm.기본_색인번호, 0),
_xlpm.피해범위보정치, INDEX(Factor!$AN$5:$AV$51, _xlfn.XMATCH(IF(OR($G220="blast", $G220="curved",  $G220= "debuff"), $L220, 0), Factor!$AN$5:$AN$51, -1), _xlpm.추가_색인번호)-IF(AND(OR($G220="blast", $G220="curved", $G220= "debuff"), MOD($L220,1)&lt;&gt;0),INDEX(Factor!$AN$5:$AV$51, _xlfn.XMATCH(IF(OR($G220="blast", $G220="curved", $G220= "debuff"), $L220, 0), Factor!$AN$5:$AN$51, -1), 2)*MOD($L220,1)*10,0),
_xlpm.상태이상보정치, VLOOKUP(IF($G220 = "debuff", $M220, "null"), Factor!$AX$5:$BE$51, _xlpm.기본_색인번호, 0),
_xlpm.지속시간보정치, INDEX(Factor!$BG$5:$BO$51, _xlfn.XMATCH(IF(OR($G220 ="debuff", $G220 = "shot", $G220 = "pierce"), $O220, 0), Factor!$BG$5:$BG$51, -1), _xlpm.추가_색인번호)-IF(AND(OR($G220 ="debuff", $G220 = "shot", $G220 = "pierce"), MOD($O220, 1)&lt;&gt;0), 10*MOD($O220, 1)*INDEX(Factor!$BG$5:$BO$51, _xlfn.XMATCH(IF(OR($G220 ="debuff", $G220 = "shot", $G220 = "pierce"), $O220, 0), Factor!$BG$5:$BG$51, -1), 2), 0),
_xlpm.탄환개수보정치, VLOOKUP(IF(OR($G220 = "curved", $G220 = "shot"), $Q220, 1), Factor!$BQ$5:$BX$51, _xlpm.기본_색인번호, 0),
_xlpm.상태이상탄환생성위치보정치, IF($G220 = "debuff", VLOOKUP($R220, Factor!$K$18:$R$19, _xlpm.기본_색인번호, 0),1),
_xlpm.상태이상탄환형태보정치, IF($G220 = "debuff", VLOOKUP($S220, Factor!$K$24:$R$25, _xlpm.기본_색인번호, 0),1),
_xlpm.가격보정치, INDEX(Factor!$AE$5:$AL$51, _xlfn.XMATCH($F220,Factor!$AE$5:$AE$51, -1), _xlpm.기본_색인번호),
_xlpm.구경보정치, VLOOKUP($D220,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</row>
    <row r="221" spans="1:33" ht="15.75" customHeight="1">
      <c r="A221" s="24" t="str">
        <f>"weapon_"&amp;G221&amp;"_"&amp;VLOOKUP(H221, Factor!$T$5:$AB$7, 9, 0)&amp;"_"&amp;IF(COUNTIFS($G$4:G220, G221, $H$4:H220, H221)+1&gt;=100, COUNTIFS($G$4:G220, G221, $H$4:H220, H221)+1,IF(COUNTIFS($G$4:G220, G221, $H$4:H220, H221)+1&gt;=10, "0"&amp;COUNTIFS($G$4:G220, G221, $H$4:H220, H221)+1, "00"&amp;COUNTIFS($G$4:G220, G221, $H$4:H220, H221)+1))</f>
        <v>weapon_shot_Am_041</v>
      </c>
      <c r="B221" s="36" t="str">
        <f t="shared" si="3"/>
        <v>T10 5.56mm쌍열 기관포</v>
      </c>
      <c r="C221" s="36" t="s">
        <v>268</v>
      </c>
      <c r="D221" s="36" t="s">
        <v>241</v>
      </c>
      <c r="E221" s="36" t="s">
        <v>194</v>
      </c>
      <c r="F221" s="25">
        <f>VLOOKUP(C221, Factor!$AD$5:$AE$15, 2, 0)</f>
        <v>10000</v>
      </c>
      <c r="G221" s="26" t="str">
        <f>VLOOKUP(E221, Factor!$CL$5:$CV$50, 2, 0)</f>
        <v>shot</v>
      </c>
      <c r="H221" s="25" t="str">
        <f>VLOOKUP(E221, Factor!$CL$5:$CV$50, 3, 0)</f>
        <v>ammo</v>
      </c>
      <c r="I221" s="25" t="str">
        <f>VLOOKUP(E221, Factor!$CL$5:$CV$50, 4, 0)</f>
        <v>L</v>
      </c>
      <c r="J221" s="25" t="str">
        <f>VLOOKUP(E221, Factor!$CL$5:$CV$50, 5, 0)</f>
        <v>spread</v>
      </c>
      <c r="K221" s="25">
        <v>1</v>
      </c>
      <c r="L221" s="25">
        <f>VLOOKUP(E221, Factor!$CL$5:$CV$50, 6, 0)*K221*VLOOKUP(D221, Factor!$BZ$5:$CJ$49, 9, 0)</f>
        <v>0</v>
      </c>
      <c r="M221" s="25" t="str">
        <f>VLOOKUP(E221, Factor!$CL$5:$CV$50, 7, 0)</f>
        <v>null</v>
      </c>
      <c r="N221" s="25">
        <v>1</v>
      </c>
      <c r="O221" s="25">
        <f>VLOOKUP(E221, Factor!$CL$5:$CV$50, 8, 0)*N221*VLOOKUP(D221, Factor!$BZ$5:$CJ$49, 10, 0)</f>
        <v>6</v>
      </c>
      <c r="P221" s="25">
        <v>1</v>
      </c>
      <c r="Q221" s="25">
        <f>VLOOKUP(E221, Factor!$CL$5:$CV$50, 9, 0)*P221*VLOOKUP(D221, Factor!$BZ$5:$CJ$49, 11, 0)</f>
        <v>2</v>
      </c>
      <c r="R221" s="25" t="str">
        <f>VLOOKUP(E221, Factor!$CL$5:$CV$50, 10, 0)</f>
        <v>null</v>
      </c>
      <c r="S221" s="25" t="str">
        <f>VLOOKUP(E221, Factor!$CL$5:$CV$50, 11, 0)</f>
        <v>null</v>
      </c>
      <c r="T221" s="25">
        <v>1</v>
      </c>
      <c r="U221" s="25">
        <v>1</v>
      </c>
      <c r="V221" s="25">
        <v>1</v>
      </c>
      <c r="W221" s="25">
        <v>1</v>
      </c>
      <c r="X221" s="25">
        <v>1</v>
      </c>
      <c r="Y221" s="25">
        <v>1</v>
      </c>
      <c r="Z221" s="25">
        <v>1</v>
      </c>
      <c r="AA221" s="25" cm="1">
        <f t="array" ref="AA221">_xlfn.LET(_xlpm.기본_색인번호, 2,
_xlpm.추가_색인번호, 3,
_xlpm.개별보정치, T221,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1320</v>
      </c>
      <c r="AB221" s="25" cm="1">
        <f t="array" ref="AB221">_xlfn.LET(_xlpm.기본_색인번호, 3,
_xlpm.추가_색인번호, 4,
_xlpm.개별보정치, U221,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50.399999999999991</v>
      </c>
      <c r="AC221" s="25" cm="1">
        <f t="array" ref="AC221">_xlfn.LET(_xlpm.기본_색인번호, 4,
_xlpm.추가_색인번호, 5,
_xlpm.개별보정치, V221,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7.1999999999999993</v>
      </c>
      <c r="AD221" s="25" cm="1">
        <f t="array" ref="AD221">_xlfn.LET(_xlpm.기본_색인번호, 5,
_xlpm.추가_색인번호, 6,
_xlpm.개별보정치, W221,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79.199999999999989</v>
      </c>
      <c r="AE221" s="25" cm="1">
        <f t="array" ref="AE221">_xlfn.LET(_xlpm.기본_색인번호, 6,
_xlpm.추가_색인번호, 7,
_xlpm.개별보정치, X221,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79.199999999999989</v>
      </c>
      <c r="AF221" s="25" cm="1">
        <f t="array" ref="AF221">_xlfn.LET(_xlpm.기본_색인번호, 7,
_xlpm.추가_색인번호, 8,
_xlpm.개별보정치, Y221,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863.99999999999989</v>
      </c>
      <c r="AG221" s="27" cm="1">
        <f t="array" ref="AG221">_xlfn.LET(_xlpm.기본_색인번호, 8,
_xlpm.추가_색인번호, 9,
_xlpm.개별보정치, Z221,
_xlpm.패턴보정치, VLOOKUP($G221, Factor!$B$5:$I$51, _xlpm.기본_색인번호, 0),
_xlpm.소모탄환보정치, VLOOKUP($H221, Factor!$T$5:$AA$51, _xlpm.기본_색인번호, 0),
_xlpm.지형보정치, VLOOKUP($I221, Factor!$K$12:$R$13, _xlpm.기본_색인번호, 0),
_xlpm.공격속성보정치, VLOOKUP($J221, Factor!$K$5:$R$7, _xlpm.기본_색인번호, 0),
_xlpm.피해범위보정치, INDEX(Factor!$AN$5:$AV$51, _xlfn.XMATCH(IF(OR($G221="blast", $G221="curved",  $G221= "debuff"), $L221, 0), Factor!$AN$5:$AN$51, -1), _xlpm.추가_색인번호)-IF(AND(OR($G221="blast", $G221="curved", $G221= "debuff"), MOD($L221,1)&lt;&gt;0),INDEX(Factor!$AN$5:$AV$51, _xlfn.XMATCH(IF(OR($G221="blast", $G221="curved", $G221= "debuff"), $L221, 0), Factor!$AN$5:$AN$51, -1), 2)*MOD($L221,1)*10,0),
_xlpm.상태이상보정치, VLOOKUP(IF($G221 = "debuff", $M221, "null"), Factor!$AX$5:$BE$51, _xlpm.기본_색인번호, 0),
_xlpm.지속시간보정치, INDEX(Factor!$BG$5:$BO$51, _xlfn.XMATCH(IF(OR($G221 ="debuff", $G221 = "shot", $G221 = "pierce"), $O221, 0), Factor!$BG$5:$BG$51, -1), _xlpm.추가_색인번호)-IF(AND(OR($G221 ="debuff", $G221 = "shot", $G221 = "pierce"), MOD($O221, 1)&lt;&gt;0), 10*MOD($O221, 1)*INDEX(Factor!$BG$5:$BO$51, _xlfn.XMATCH(IF(OR($G221 ="debuff", $G221 = "shot", $G221 = "pierce"), $O221, 0), Factor!$BG$5:$BG$51, -1), 2), 0),
_xlpm.탄환개수보정치, VLOOKUP(IF(OR($G221 = "curved", $G221 = "shot"), $Q221, 1), Factor!$BQ$5:$BX$51, _xlpm.기본_색인번호, 0),
_xlpm.상태이상탄환생성위치보정치, IF($G221 = "debuff", VLOOKUP($R221, Factor!$K$18:$R$19, _xlpm.기본_색인번호, 0),1),
_xlpm.상태이상탄환형태보정치, IF($G221 = "debuff", VLOOKUP($S221, Factor!$K$24:$R$25, _xlpm.기본_색인번호, 0),1),
_xlpm.가격보정치, INDEX(Factor!$AE$5:$AL$51, _xlfn.XMATCH($F221,Factor!$AE$5:$AE$51, -1), _xlpm.기본_색인번호),
_xlpm.구경보정치, VLOOKUP($D221,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79.199999999999989</v>
      </c>
    </row>
    <row r="222" spans="1:33" ht="15.75" customHeight="1">
      <c r="A222" s="28" t="str">
        <f>"weapon_"&amp;G222&amp;"_"&amp;VLOOKUP(H222, Factor!$T$5:$AB$7, 9, 0)&amp;"_"&amp;IF(COUNTIFS($G$4:G221, G222, $H$4:H221, H222)+1&gt;=100, COUNTIFS($G$4:G221, G222, $H$4:H221, H222)+1,IF(COUNTIFS($G$4:G221, G222, $H$4:H221, H222)+1&gt;=10, "0"&amp;COUNTIFS($G$4:G221, G222, $H$4:H221, H222)+1, "00"&amp;COUNTIFS($G$4:G221, G222, $H$4:H221, H222)+1))</f>
        <v>weapon_shot_Am_042</v>
      </c>
      <c r="B222" s="37" t="str">
        <f t="shared" si="3"/>
        <v>T10 7.62mm쌍열 기관포</v>
      </c>
      <c r="C222" s="37" t="s">
        <v>268</v>
      </c>
      <c r="D222" s="37" t="s">
        <v>242</v>
      </c>
      <c r="E222" s="37" t="s">
        <v>194</v>
      </c>
      <c r="F222" s="29">
        <f>VLOOKUP(C222, Factor!$AD$5:$AE$15, 2, 0)</f>
        <v>10000</v>
      </c>
      <c r="G222" s="29" t="str">
        <f>VLOOKUP(E222, Factor!$CL$5:$CV$50, 2, 0)</f>
        <v>shot</v>
      </c>
      <c r="H222" s="29" t="str">
        <f>VLOOKUP(E222, Factor!$CL$5:$CV$50, 3, 0)</f>
        <v>ammo</v>
      </c>
      <c r="I222" s="29" t="str">
        <f>VLOOKUP(E222, Factor!$CL$5:$CV$50, 4, 0)</f>
        <v>L</v>
      </c>
      <c r="J222" s="29" t="str">
        <f>VLOOKUP(E222, Factor!$CL$5:$CV$50, 5, 0)</f>
        <v>spread</v>
      </c>
      <c r="K222" s="29">
        <v>1</v>
      </c>
      <c r="L222" s="29">
        <f>VLOOKUP(E222, Factor!$CL$5:$CV$50, 6, 0)*K222*VLOOKUP(D222, Factor!$BZ$5:$CJ$49, 9, 0)</f>
        <v>0</v>
      </c>
      <c r="M222" s="29" t="str">
        <f>VLOOKUP(E222, Factor!$CL$5:$CV$50, 7, 0)</f>
        <v>null</v>
      </c>
      <c r="N222" s="29">
        <v>1</v>
      </c>
      <c r="O222" s="29">
        <f>VLOOKUP(E222, Factor!$CL$5:$CV$50, 8, 0)*N222*VLOOKUP(D222, Factor!$BZ$5:$CJ$49, 10, 0)</f>
        <v>9</v>
      </c>
      <c r="P222" s="29">
        <v>1</v>
      </c>
      <c r="Q222" s="29">
        <f>VLOOKUP(E222, Factor!$CL$5:$CV$50, 9, 0)*P222*VLOOKUP(D222, Factor!$BZ$5:$CJ$49, 11, 0)</f>
        <v>3</v>
      </c>
      <c r="R222" s="29" t="str">
        <f>VLOOKUP(E222, Factor!$CL$5:$CV$50, 10, 0)</f>
        <v>null</v>
      </c>
      <c r="S222" s="29" t="str">
        <f>VLOOKUP(E222, Factor!$CL$5:$CV$50, 11, 0)</f>
        <v>null</v>
      </c>
      <c r="T222" s="29">
        <v>1</v>
      </c>
      <c r="U222" s="29">
        <v>1</v>
      </c>
      <c r="V222" s="29">
        <v>1</v>
      </c>
      <c r="W222" s="29">
        <v>1</v>
      </c>
      <c r="X222" s="29">
        <v>1</v>
      </c>
      <c r="Y222" s="29">
        <v>1</v>
      </c>
      <c r="Z222" s="29">
        <v>1</v>
      </c>
      <c r="AA222" s="29" cm="1">
        <f t="array" ref="AA222">_xlfn.LET(_xlpm.기본_색인번호, 2,
_xlpm.추가_색인번호, 3,
_xlpm.개별보정치, T222,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2970</v>
      </c>
      <c r="AB222" s="29" cm="1">
        <f t="array" ref="AB222">_xlfn.LET(_xlpm.기본_색인번호, 3,
_xlpm.추가_색인번호, 4,
_xlpm.개별보정치, U222,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113.39999999999999</v>
      </c>
      <c r="AC222" s="29" cm="1">
        <f t="array" ref="AC222">_xlfn.LET(_xlpm.기본_색인번호, 4,
_xlpm.추가_색인번호, 5,
_xlpm.개별보정치, V222,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16.2</v>
      </c>
      <c r="AD222" s="29" cm="1">
        <f t="array" ref="AD222">_xlfn.LET(_xlpm.기본_색인번호, 5,
_xlpm.추가_색인번호, 6,
_xlpm.개별보정치, W222,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178.2</v>
      </c>
      <c r="AE222" s="29" cm="1">
        <f t="array" ref="AE222">_xlfn.LET(_xlpm.기본_색인번호, 6,
_xlpm.추가_색인번호, 7,
_xlpm.개별보정치, X222,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178.2</v>
      </c>
      <c r="AF222" s="29" cm="1">
        <f t="array" ref="AF222">_xlfn.LET(_xlpm.기본_색인번호, 7,
_xlpm.추가_색인번호, 8,
_xlpm.개별보정치, Y222,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1944</v>
      </c>
      <c r="AG222" s="30" cm="1">
        <f t="array" ref="AG222">_xlfn.LET(_xlpm.기본_색인번호, 8,
_xlpm.추가_색인번호, 9,
_xlpm.개별보정치, Z222,
_xlpm.패턴보정치, VLOOKUP($G222, Factor!$B$5:$I$51, _xlpm.기본_색인번호, 0),
_xlpm.소모탄환보정치, VLOOKUP($H222, Factor!$T$5:$AA$51, _xlpm.기본_색인번호, 0),
_xlpm.지형보정치, VLOOKUP($I222, Factor!$K$12:$R$13, _xlpm.기본_색인번호, 0),
_xlpm.공격속성보정치, VLOOKUP($J222, Factor!$K$5:$R$7, _xlpm.기본_색인번호, 0),
_xlpm.피해범위보정치, INDEX(Factor!$AN$5:$AV$51, _xlfn.XMATCH(IF(OR($G222="blast", $G222="curved",  $G222= "debuff"), $L222, 0), Factor!$AN$5:$AN$51, -1), _xlpm.추가_색인번호)-IF(AND(OR($G222="blast", $G222="curved", $G222= "debuff"), MOD($L222,1)&lt;&gt;0),INDEX(Factor!$AN$5:$AV$51, _xlfn.XMATCH(IF(OR($G222="blast", $G222="curved", $G222= "debuff"), $L222, 0), Factor!$AN$5:$AN$51, -1), 2)*MOD($L222,1)*10,0),
_xlpm.상태이상보정치, VLOOKUP(IF($G222 = "debuff", $M222, "null"), Factor!$AX$5:$BE$51, _xlpm.기본_색인번호, 0),
_xlpm.지속시간보정치, INDEX(Factor!$BG$5:$BO$51, _xlfn.XMATCH(IF(OR($G222 ="debuff", $G222 = "shot", $G222 = "pierce"), $O222, 0), Factor!$BG$5:$BG$51, -1), _xlpm.추가_색인번호)-IF(AND(OR($G222 ="debuff", $G222 = "shot", $G222 = "pierce"), MOD($O222, 1)&lt;&gt;0), 10*MOD($O222, 1)*INDEX(Factor!$BG$5:$BO$51, _xlfn.XMATCH(IF(OR($G222 ="debuff", $G222 = "shot", $G222 = "pierce"), $O222, 0), Factor!$BG$5:$BG$51, -1), 2), 0),
_xlpm.탄환개수보정치, VLOOKUP(IF(OR($G222 = "curved", $G222 = "shot"), $Q222, 1), Factor!$BQ$5:$BX$51, _xlpm.기본_색인번호, 0),
_xlpm.상태이상탄환생성위치보정치, IF($G222 = "debuff", VLOOKUP($R222, Factor!$K$18:$R$19, _xlpm.기본_색인번호, 0),1),
_xlpm.상태이상탄환형태보정치, IF($G222 = "debuff", VLOOKUP($S222, Factor!$K$24:$R$25, _xlpm.기본_색인번호, 0),1),
_xlpm.가격보정치, INDEX(Factor!$AE$5:$AL$51, _xlfn.XMATCH($F222,Factor!$AE$5:$AE$51, -1), _xlpm.기본_색인번호),
_xlpm.구경보정치, VLOOKUP($D222,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178.2</v>
      </c>
    </row>
    <row r="223" spans="1:33" ht="15.75" customHeight="1">
      <c r="A223" s="24" t="str">
        <f>"weapon_"&amp;G223&amp;"_"&amp;VLOOKUP(H223, Factor!$T$5:$AB$7, 9, 0)&amp;"_"&amp;IF(COUNTIFS($G$4:G222, G223, $H$4:H222, H223)+1&gt;=100, COUNTIFS($G$4:G222, G223, $H$4:H222, H223)+1,IF(COUNTIFS($G$4:G222, G223, $H$4:H222, H223)+1&gt;=10, "0"&amp;COUNTIFS($G$4:G222, G223, $H$4:H222, H223)+1, "00"&amp;COUNTIFS($G$4:G222, G223, $H$4:H222, H223)+1))</f>
        <v>weapon_shot_Am_043</v>
      </c>
      <c r="B223" s="36" t="str">
        <f t="shared" si="3"/>
        <v>T10 12.7mm쌍열 기관포</v>
      </c>
      <c r="C223" s="36" t="s">
        <v>268</v>
      </c>
      <c r="D223" s="36" t="s">
        <v>243</v>
      </c>
      <c r="E223" s="36" t="s">
        <v>194</v>
      </c>
      <c r="F223" s="25">
        <f>VLOOKUP(C223, Factor!$AD$5:$AE$15, 2, 0)</f>
        <v>10000</v>
      </c>
      <c r="G223" s="26" t="str">
        <f>VLOOKUP(E223, Factor!$CL$5:$CV$50, 2, 0)</f>
        <v>shot</v>
      </c>
      <c r="H223" s="25" t="str">
        <f>VLOOKUP(E223, Factor!$CL$5:$CV$50, 3, 0)</f>
        <v>ammo</v>
      </c>
      <c r="I223" s="25" t="str">
        <f>VLOOKUP(E223, Factor!$CL$5:$CV$50, 4, 0)</f>
        <v>L</v>
      </c>
      <c r="J223" s="25" t="str">
        <f>VLOOKUP(E223, Factor!$CL$5:$CV$50, 5, 0)</f>
        <v>spread</v>
      </c>
      <c r="K223" s="25">
        <v>1</v>
      </c>
      <c r="L223" s="25">
        <f>VLOOKUP(E223, Factor!$CL$5:$CV$50, 6, 0)*K223*VLOOKUP(D223, Factor!$BZ$5:$CJ$49, 9, 0)</f>
        <v>0</v>
      </c>
      <c r="M223" s="25" t="str">
        <f>VLOOKUP(E223, Factor!$CL$5:$CV$50, 7, 0)</f>
        <v>null</v>
      </c>
      <c r="N223" s="25">
        <v>1</v>
      </c>
      <c r="O223" s="25">
        <f>VLOOKUP(E223, Factor!$CL$5:$CV$50, 8, 0)*N223*VLOOKUP(D223, Factor!$BZ$5:$CJ$49, 10, 0)</f>
        <v>12</v>
      </c>
      <c r="P223" s="25">
        <v>1</v>
      </c>
      <c r="Q223" s="25">
        <f>VLOOKUP(E223, Factor!$CL$5:$CV$50, 9, 0)*P223*VLOOKUP(D223, Factor!$BZ$5:$CJ$49, 11, 0)</f>
        <v>4</v>
      </c>
      <c r="R223" s="25" t="str">
        <f>VLOOKUP(E223, Factor!$CL$5:$CV$50, 10, 0)</f>
        <v>null</v>
      </c>
      <c r="S223" s="25" t="str">
        <f>VLOOKUP(E223, Factor!$CL$5:$CV$50, 11, 0)</f>
        <v>null</v>
      </c>
      <c r="T223" s="25">
        <v>1</v>
      </c>
      <c r="U223" s="25">
        <v>1</v>
      </c>
      <c r="V223" s="25">
        <v>1</v>
      </c>
      <c r="W223" s="25">
        <v>1</v>
      </c>
      <c r="X223" s="25">
        <v>1</v>
      </c>
      <c r="Y223" s="25">
        <v>1</v>
      </c>
      <c r="Z223" s="25">
        <v>1</v>
      </c>
      <c r="AA223" s="25" cm="1">
        <f t="array" ref="AA223">_xlfn.LET(_xlpm.기본_색인번호, 2,
_xlpm.추가_색인번호, 3,
_xlpm.개별보정치, T223,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223" s="25" cm="1">
        <f t="array" ref="AB223">_xlfn.LET(_xlpm.기본_색인번호, 3,
_xlpm.추가_색인번호, 4,
_xlpm.개별보정치, U223,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C223" s="25" cm="1">
        <f t="array" ref="AC223">_xlfn.LET(_xlpm.기본_색인번호, 4,
_xlpm.추가_색인번호, 5,
_xlpm.개별보정치, V223,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</v>
      </c>
      <c r="AD223" s="25" cm="1">
        <f t="array" ref="AD223">_xlfn.LET(_xlpm.기본_색인번호, 5,
_xlpm.추가_색인번호, 6,
_xlpm.개별보정치, W223,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264</v>
      </c>
      <c r="AE223" s="25" cm="1">
        <f t="array" ref="AE223">_xlfn.LET(_xlpm.기본_색인번호, 6,
_xlpm.추가_색인번호, 7,
_xlpm.개별보정치, X223,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264</v>
      </c>
      <c r="AF223" s="25" cm="1">
        <f t="array" ref="AF223">_xlfn.LET(_xlpm.기본_색인번호, 7,
_xlpm.추가_색인번호, 8,
_xlpm.개별보정치, Y223,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G223" s="27" cm="1">
        <f t="array" ref="AG223">_xlfn.LET(_xlpm.기본_색인번호, 8,
_xlpm.추가_색인번호, 9,
_xlpm.개별보정치, Z223,
_xlpm.패턴보정치, VLOOKUP($G223, Factor!$B$5:$I$51, _xlpm.기본_색인번호, 0),
_xlpm.소모탄환보정치, VLOOKUP($H223, Factor!$T$5:$AA$51, _xlpm.기본_색인번호, 0),
_xlpm.지형보정치, VLOOKUP($I223, Factor!$K$12:$R$13, _xlpm.기본_색인번호, 0),
_xlpm.공격속성보정치, VLOOKUP($J223, Factor!$K$5:$R$7, _xlpm.기본_색인번호, 0),
_xlpm.피해범위보정치, INDEX(Factor!$AN$5:$AV$51, _xlfn.XMATCH(IF(OR($G223="blast", $G223="curved",  $G223= "debuff"), $L223, 0), Factor!$AN$5:$AN$51, -1), _xlpm.추가_색인번호)-IF(AND(OR($G223="blast", $G223="curved", $G223= "debuff"), MOD($L223,1)&lt;&gt;0),INDEX(Factor!$AN$5:$AV$51, _xlfn.XMATCH(IF(OR($G223="blast", $G223="curved", $G223= "debuff"), $L223, 0), Factor!$AN$5:$AN$51, -1), 2)*MOD($L223,1)*10,0),
_xlpm.상태이상보정치, VLOOKUP(IF($G223 = "debuff", $M223, "null"), Factor!$AX$5:$BE$51, _xlpm.기본_색인번호, 0),
_xlpm.지속시간보정치, INDEX(Factor!$BG$5:$BO$51, _xlfn.XMATCH(IF(OR($G223 ="debuff", $G223 = "shot", $G223 = "pierce"), $O223, 0), Factor!$BG$5:$BG$51, -1), _xlpm.추가_색인번호)-IF(AND(OR($G223 ="debuff", $G223 = "shot", $G223 = "pierce"), MOD($O223, 1)&lt;&gt;0), 10*MOD($O223, 1)*INDEX(Factor!$BG$5:$BO$51, _xlfn.XMATCH(IF(OR($G223 ="debuff", $G223 = "shot", $G223 = "pierce"), $O223, 0), Factor!$BG$5:$BG$51, -1), 2), 0),
_xlpm.탄환개수보정치, VLOOKUP(IF(OR($G223 = "curved", $G223 = "shot"), $Q223, 1), Factor!$BQ$5:$BX$51, _xlpm.기본_색인번호, 0),
_xlpm.상태이상탄환생성위치보정치, IF($G223 = "debuff", VLOOKUP($R223, Factor!$K$18:$R$19, _xlpm.기본_색인번호, 0),1),
_xlpm.상태이상탄환형태보정치, IF($G223 = "debuff", VLOOKUP($S223, Factor!$K$24:$R$25, _xlpm.기본_색인번호, 0),1),
_xlpm.가격보정치, INDEX(Factor!$AE$5:$AL$51, _xlfn.XMATCH($F223,Factor!$AE$5:$AE$51, -1), _xlpm.기본_색인번호),
_xlpm.구경보정치, VLOOKUP($D223,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264</v>
      </c>
    </row>
    <row r="224" spans="1:33" ht="15.75" customHeight="1">
      <c r="A224" s="28" t="str">
        <f>"weapon_"&amp;G224&amp;"_"&amp;VLOOKUP(H224, Factor!$T$5:$AB$7, 9, 0)&amp;"_"&amp;IF(COUNTIFS($G$4:G223, G224, $H$4:H223, H224)+1&gt;=100, COUNTIFS($G$4:G223, G224, $H$4:H223, H224)+1,IF(COUNTIFS($G$4:G223, G224, $H$4:H223, H224)+1&gt;=10, "0"&amp;COUNTIFS($G$4:G223, G224, $H$4:H223, H224)+1, "00"&amp;COUNTIFS($G$4:G223, G224, $H$4:H223, H224)+1))</f>
        <v>weapon_shot_Am_044</v>
      </c>
      <c r="B224" s="37" t="str">
        <f t="shared" si="3"/>
        <v>T10 20mm쌍열 기관포</v>
      </c>
      <c r="C224" s="37" t="s">
        <v>268</v>
      </c>
      <c r="D224" s="37" t="s">
        <v>244</v>
      </c>
      <c r="E224" s="37" t="s">
        <v>194</v>
      </c>
      <c r="F224" s="29">
        <f>VLOOKUP(C224, Factor!$AD$5:$AE$15, 2, 0)</f>
        <v>10000</v>
      </c>
      <c r="G224" s="29" t="str">
        <f>VLOOKUP(E224, Factor!$CL$5:$CV$50, 2, 0)</f>
        <v>shot</v>
      </c>
      <c r="H224" s="29" t="str">
        <f>VLOOKUP(E224, Factor!$CL$5:$CV$50, 3, 0)</f>
        <v>ammo</v>
      </c>
      <c r="I224" s="29" t="str">
        <f>VLOOKUP(E224, Factor!$CL$5:$CV$50, 4, 0)</f>
        <v>L</v>
      </c>
      <c r="J224" s="29" t="str">
        <f>VLOOKUP(E224, Factor!$CL$5:$CV$50, 5, 0)</f>
        <v>spread</v>
      </c>
      <c r="K224" s="29">
        <v>1</v>
      </c>
      <c r="L224" s="29">
        <f>VLOOKUP(E224, Factor!$CL$5:$CV$50, 6, 0)*K224*VLOOKUP(D224, Factor!$BZ$5:$CJ$49, 9, 0)</f>
        <v>0</v>
      </c>
      <c r="M224" s="29" t="str">
        <f>VLOOKUP(E224, Factor!$CL$5:$CV$50, 7, 0)</f>
        <v>null</v>
      </c>
      <c r="N224" s="29">
        <v>1</v>
      </c>
      <c r="O224" s="29">
        <f>VLOOKUP(E224, Factor!$CL$5:$CV$50, 8, 0)*N224*VLOOKUP(D224, Factor!$BZ$5:$CJ$49, 10, 0)</f>
        <v>15</v>
      </c>
      <c r="P224" s="29">
        <v>1</v>
      </c>
      <c r="Q224" s="29">
        <f>VLOOKUP(E224, Factor!$CL$5:$CV$50, 9, 0)*P224*VLOOKUP(D224, Factor!$BZ$5:$CJ$49, 11, 0)</f>
        <v>5</v>
      </c>
      <c r="R224" s="29" t="str">
        <f>VLOOKUP(E224, Factor!$CL$5:$CV$50, 10, 0)</f>
        <v>null</v>
      </c>
      <c r="S224" s="29" t="str">
        <f>VLOOKUP(E224, Factor!$CL$5:$CV$50, 11, 0)</f>
        <v>null</v>
      </c>
      <c r="T224" s="29">
        <v>1</v>
      </c>
      <c r="U224" s="29">
        <v>1</v>
      </c>
      <c r="V224" s="29">
        <v>1</v>
      </c>
      <c r="W224" s="29">
        <v>1</v>
      </c>
      <c r="X224" s="29">
        <v>1</v>
      </c>
      <c r="Y224" s="29">
        <v>1</v>
      </c>
      <c r="Z224" s="29">
        <v>1</v>
      </c>
      <c r="AA224" s="29" cm="1">
        <f t="array" ref="AA224">_xlfn.LET(_xlpm.기본_색인번호, 2,
_xlpm.추가_색인번호, 3,
_xlpm.개별보정치, T224,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5500</v>
      </c>
      <c r="AB224" s="29" cm="1">
        <f t="array" ref="AB224">_xlfn.LET(_xlpm.기본_색인번호, 3,
_xlpm.추가_색인번호, 4,
_xlpm.개별보정치, U224,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224" s="29" cm="1">
        <f t="array" ref="AC224">_xlfn.LET(_xlpm.기본_색인번호, 4,
_xlpm.추가_색인번호, 5,
_xlpm.개별보정치, V224,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224" s="29" cm="1">
        <f t="array" ref="AD224">_xlfn.LET(_xlpm.기본_색인번호, 5,
_xlpm.추가_색인번호, 6,
_xlpm.개별보정치, W224,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E224" s="29" cm="1">
        <f t="array" ref="AE224">_xlfn.LET(_xlpm.기본_색인번호, 6,
_xlpm.추가_색인번호, 7,
_xlpm.개별보정치, X224,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F224" s="29" cm="1">
        <f t="array" ref="AF224">_xlfn.LET(_xlpm.기본_색인번호, 7,
_xlpm.추가_색인번호, 8,
_xlpm.개별보정치, Y224,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224" s="30" cm="1">
        <f t="array" ref="AG224">_xlfn.LET(_xlpm.기본_색인번호, 8,
_xlpm.추가_색인번호, 9,
_xlpm.개별보정치, Z224,
_xlpm.패턴보정치, VLOOKUP($G224, Factor!$B$5:$I$51, _xlpm.기본_색인번호, 0),
_xlpm.소모탄환보정치, VLOOKUP($H224, Factor!$T$5:$AA$51, _xlpm.기본_색인번호, 0),
_xlpm.지형보정치, VLOOKUP($I224, Factor!$K$12:$R$13, _xlpm.기본_색인번호, 0),
_xlpm.공격속성보정치, VLOOKUP($J224, Factor!$K$5:$R$7, _xlpm.기본_색인번호, 0),
_xlpm.피해범위보정치, INDEX(Factor!$AN$5:$AV$51, _xlfn.XMATCH(IF(OR($G224="blast", $G224="curved",  $G224= "debuff"), $L224, 0), Factor!$AN$5:$AN$51, -1), _xlpm.추가_색인번호)-IF(AND(OR($G224="blast", $G224="curved", $G224= "debuff"), MOD($L224,1)&lt;&gt;0),INDEX(Factor!$AN$5:$AV$51, _xlfn.XMATCH(IF(OR($G224="blast", $G224="curved", $G224= "debuff"), $L224, 0), Factor!$AN$5:$AN$51, -1), 2)*MOD($L224,1)*10,0),
_xlpm.상태이상보정치, VLOOKUP(IF($G224 = "debuff", $M224, "null"), Factor!$AX$5:$BE$51, _xlpm.기본_색인번호, 0),
_xlpm.지속시간보정치, INDEX(Factor!$BG$5:$BO$51, _xlfn.XMATCH(IF(OR($G224 ="debuff", $G224 = "shot", $G224 = "pierce"), $O224, 0), Factor!$BG$5:$BG$51, -1), _xlpm.추가_색인번호)-IF(AND(OR($G224 ="debuff", $G224 = "shot", $G224 = "pierce"), MOD($O224, 1)&lt;&gt;0), 10*MOD($O224, 1)*INDEX(Factor!$BG$5:$BO$51, _xlfn.XMATCH(IF(OR($G224 ="debuff", $G224 = "shot", $G224 = "pierce"), $O224, 0), Factor!$BG$5:$BG$51, -1), 2), 0),
_xlpm.탄환개수보정치, VLOOKUP(IF(OR($G224 = "curved", $G224 = "shot"), $Q224, 1), Factor!$BQ$5:$BX$51, _xlpm.기본_색인번호, 0),
_xlpm.상태이상탄환생성위치보정치, IF($G224 = "debuff", VLOOKUP($R224, Factor!$K$18:$R$19, _xlpm.기본_색인번호, 0),1),
_xlpm.상태이상탄환형태보정치, IF($G224 = "debuff", VLOOKUP($S224, Factor!$K$24:$R$25, _xlpm.기본_색인번호, 0),1),
_xlpm.가격보정치, INDEX(Factor!$AE$5:$AL$51, _xlfn.XMATCH($F224,Factor!$AE$5:$AE$51, -1), _xlpm.기본_색인번호),
_xlpm.구경보정치, VLOOKUP($D224,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</row>
    <row r="225" spans="1:33" ht="15.75" customHeight="1">
      <c r="A225" s="24" t="str">
        <f>"weapon_"&amp;G225&amp;"_"&amp;VLOOKUP(H225, Factor!$T$5:$AB$7, 9, 0)&amp;"_"&amp;IF(COUNTIFS($G$4:G224, G225, $H$4:H224, H225)+1&gt;=100, COUNTIFS($G$4:G224, G225, $H$4:H224, H225)+1,IF(COUNTIFS($G$4:G224, G225, $H$4:H224, H225)+1&gt;=10, "0"&amp;COUNTIFS($G$4:G224, G225, $H$4:H224, H225)+1, "00"&amp;COUNTIFS($G$4:G224, G225, $H$4:H224, H225)+1))</f>
        <v>weapon_shot_Am_045</v>
      </c>
      <c r="B225" s="36" t="str">
        <f t="shared" si="3"/>
        <v>녹슨 5.56mm쌍열 대공포</v>
      </c>
      <c r="C225" s="36" t="s">
        <v>240</v>
      </c>
      <c r="D225" s="36" t="s">
        <v>241</v>
      </c>
      <c r="E225" s="36" t="s">
        <v>281</v>
      </c>
      <c r="F225" s="25">
        <f>VLOOKUP(C225, Factor!$AD$5:$AE$15, 2, 0)</f>
        <v>0</v>
      </c>
      <c r="G225" s="26" t="str">
        <f>VLOOKUP(E225, Factor!$CL$5:$CV$50, 2, 0)</f>
        <v>shot</v>
      </c>
      <c r="H225" s="25" t="str">
        <f>VLOOKUP(E225, Factor!$CL$5:$CV$50, 3, 0)</f>
        <v>ammo</v>
      </c>
      <c r="I225" s="25" t="str">
        <f>VLOOKUP(E225, Factor!$CL$5:$CV$50, 4, 0)</f>
        <v>F</v>
      </c>
      <c r="J225" s="25" t="str">
        <f>VLOOKUP(E225, Factor!$CL$5:$CV$50, 5, 0)</f>
        <v>spread</v>
      </c>
      <c r="K225" s="25">
        <v>1</v>
      </c>
      <c r="L225" s="25">
        <f>VLOOKUP(E225, Factor!$CL$5:$CV$50, 6, 0)*K225*VLOOKUP(D225, Factor!$BZ$5:$CJ$49, 9, 0)</f>
        <v>0</v>
      </c>
      <c r="M225" s="25" t="str">
        <f>VLOOKUP(E225, Factor!$CL$5:$CV$50, 7, 0)</f>
        <v>null</v>
      </c>
      <c r="N225" s="25">
        <v>1</v>
      </c>
      <c r="O225" s="25">
        <f>VLOOKUP(E225, Factor!$CL$5:$CV$50, 8, 0)*N225*VLOOKUP(D225, Factor!$BZ$5:$CJ$49, 10, 0)</f>
        <v>6</v>
      </c>
      <c r="P225" s="25">
        <v>1</v>
      </c>
      <c r="Q225" s="25">
        <f>VLOOKUP(E225, Factor!$CL$5:$CV$50, 9, 0)*P225*VLOOKUP(D225, Factor!$BZ$5:$CJ$49, 11, 0)</f>
        <v>2</v>
      </c>
      <c r="R225" s="25" t="str">
        <f>VLOOKUP(E225, Factor!$CL$5:$CV$50, 10, 0)</f>
        <v>null</v>
      </c>
      <c r="S225" s="25" t="str">
        <f>VLOOKUP(E225, Factor!$CL$5:$CV$50, 11, 0)</f>
        <v>null</v>
      </c>
      <c r="T225" s="25">
        <v>1</v>
      </c>
      <c r="U225" s="25">
        <v>1</v>
      </c>
      <c r="V225" s="25">
        <v>1</v>
      </c>
      <c r="W225" s="25">
        <v>1</v>
      </c>
      <c r="X225" s="25">
        <v>1</v>
      </c>
      <c r="Y225" s="25">
        <v>1</v>
      </c>
      <c r="Z225" s="25">
        <v>1</v>
      </c>
      <c r="AA225" s="25" cm="1">
        <f t="array" ref="AA225">_xlfn.LET(_xlpm.기본_색인번호, 2,
_xlpm.추가_색인번호, 3,
_xlpm.개별보정치, T225,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B225" s="25" cm="1">
        <f t="array" ref="AB225">_xlfn.LET(_xlpm.기본_색인번호, 3,
_xlpm.추가_색인번호, 4,
_xlpm.개별보정치, U225,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C225" s="25" cm="1">
        <f t="array" ref="AC225">_xlfn.LET(_xlpm.기본_색인번호, 4,
_xlpm.추가_색인번호, 5,
_xlpm.개별보정치, V225,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25" s="25" cm="1">
        <f t="array" ref="AD225">_xlfn.LET(_xlpm.기본_색인번호, 5,
_xlpm.추가_색인번호, 6,
_xlpm.개별보정치, W225,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E225" s="25" cm="1">
        <f t="array" ref="AE225">_xlfn.LET(_xlpm.기본_색인번호, 6,
_xlpm.추가_색인번호, 7,
_xlpm.개별보정치, X225,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F225" s="25" cm="1">
        <f t="array" ref="AF225">_xlfn.LET(_xlpm.기본_색인번호, 7,
_xlpm.추가_색인번호, 8,
_xlpm.개별보정치, Y225,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25" s="27" cm="1">
        <f t="array" ref="AG225">_xlfn.LET(_xlpm.기본_색인번호, 8,
_xlpm.추가_색인번호, 9,
_xlpm.개별보정치, Z225,
_xlpm.패턴보정치, VLOOKUP($G225, Factor!$B$5:$I$51, _xlpm.기본_색인번호, 0),
_xlpm.소모탄환보정치, VLOOKUP($H225, Factor!$T$5:$AA$51, _xlpm.기본_색인번호, 0),
_xlpm.지형보정치, VLOOKUP($I225, Factor!$K$12:$R$13, _xlpm.기본_색인번호, 0),
_xlpm.공격속성보정치, VLOOKUP($J225, Factor!$K$5:$R$7, _xlpm.기본_색인번호, 0),
_xlpm.피해범위보정치, INDEX(Factor!$AN$5:$AV$51, _xlfn.XMATCH(IF(OR($G225="blast", $G225="curved",  $G225= "debuff"), $L225, 0), Factor!$AN$5:$AN$51, -1), _xlpm.추가_색인번호)-IF(AND(OR($G225="blast", $G225="curved", $G225= "debuff"), MOD($L225,1)&lt;&gt;0),INDEX(Factor!$AN$5:$AV$51, _xlfn.XMATCH(IF(OR($G225="blast", $G225="curved", $G225= "debuff"), $L225, 0), Factor!$AN$5:$AN$51, -1), 2)*MOD($L225,1)*10,0),
_xlpm.상태이상보정치, VLOOKUP(IF($G225 = "debuff", $M225, "null"), Factor!$AX$5:$BE$51, _xlpm.기본_색인번호, 0),
_xlpm.지속시간보정치, INDEX(Factor!$BG$5:$BO$51, _xlfn.XMATCH(IF(OR($G225 ="debuff", $G225 = "shot", $G225 = "pierce"), $O225, 0), Factor!$BG$5:$BG$51, -1), _xlpm.추가_색인번호)-IF(AND(OR($G225 ="debuff", $G225 = "shot", $G225 = "pierce"), MOD($O225, 1)&lt;&gt;0), 10*MOD($O225, 1)*INDEX(Factor!$BG$5:$BO$51, _xlfn.XMATCH(IF(OR($G225 ="debuff", $G225 = "shot", $G225 = "pierce"), $O225, 0), Factor!$BG$5:$BG$51, -1), 2), 0),
_xlpm.탄환개수보정치, VLOOKUP(IF(OR($G225 = "curved", $G225 = "shot"), $Q225, 1), Factor!$BQ$5:$BX$51, _xlpm.기본_색인번호, 0),
_xlpm.상태이상탄환생성위치보정치, IF($G225 = "debuff", VLOOKUP($R225, Factor!$K$18:$R$19, _xlpm.기본_색인번호, 0),1),
_xlpm.상태이상탄환형태보정치, IF($G225 = "debuff", VLOOKUP($S225, Factor!$K$24:$R$25, _xlpm.기본_색인번호, 0),1),
_xlpm.가격보정치, INDEX(Factor!$AE$5:$AL$51, _xlfn.XMATCH($F225,Factor!$AE$5:$AE$51, -1), _xlpm.기본_색인번호),
_xlpm.구경보정치, VLOOKUP($D225,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</row>
    <row r="226" spans="1:33" ht="15.75" customHeight="1">
      <c r="A226" s="28" t="str">
        <f>"weapon_"&amp;G226&amp;"_"&amp;VLOOKUP(H226, Factor!$T$5:$AB$7, 9, 0)&amp;"_"&amp;IF(COUNTIFS($G$4:G225, G226, $H$4:H225, H226)+1&gt;=100, COUNTIFS($G$4:G225, G226, $H$4:H225, H226)+1,IF(COUNTIFS($G$4:G225, G226, $H$4:H225, H226)+1&gt;=10, "0"&amp;COUNTIFS($G$4:G225, G226, $H$4:H225, H226)+1, "00"&amp;COUNTIFS($G$4:G225, G226, $H$4:H225, H226)+1))</f>
        <v>weapon_shot_Am_046</v>
      </c>
      <c r="B226" s="37" t="str">
        <f t="shared" si="3"/>
        <v>녹슨 7.62mm쌍열 대공포</v>
      </c>
      <c r="C226" s="37" t="s">
        <v>240</v>
      </c>
      <c r="D226" s="37" t="s">
        <v>242</v>
      </c>
      <c r="E226" s="37" t="s">
        <v>281</v>
      </c>
      <c r="F226" s="29">
        <f>VLOOKUP(C226, Factor!$AD$5:$AE$15, 2, 0)</f>
        <v>0</v>
      </c>
      <c r="G226" s="29" t="str">
        <f>VLOOKUP(E226, Factor!$CL$5:$CV$50, 2, 0)</f>
        <v>shot</v>
      </c>
      <c r="H226" s="29" t="str">
        <f>VLOOKUP(E226, Factor!$CL$5:$CV$50, 3, 0)</f>
        <v>ammo</v>
      </c>
      <c r="I226" s="29" t="str">
        <f>VLOOKUP(E226, Factor!$CL$5:$CV$50, 4, 0)</f>
        <v>F</v>
      </c>
      <c r="J226" s="29" t="str">
        <f>VLOOKUP(E226, Factor!$CL$5:$CV$50, 5, 0)</f>
        <v>spread</v>
      </c>
      <c r="K226" s="29">
        <v>1</v>
      </c>
      <c r="L226" s="29">
        <f>VLOOKUP(E226, Factor!$CL$5:$CV$50, 6, 0)*K226*VLOOKUP(D226, Factor!$BZ$5:$CJ$49, 9, 0)</f>
        <v>0</v>
      </c>
      <c r="M226" s="29" t="str">
        <f>VLOOKUP(E226, Factor!$CL$5:$CV$50, 7, 0)</f>
        <v>null</v>
      </c>
      <c r="N226" s="29">
        <v>1</v>
      </c>
      <c r="O226" s="29">
        <f>VLOOKUP(E226, Factor!$CL$5:$CV$50, 8, 0)*N226*VLOOKUP(D226, Factor!$BZ$5:$CJ$49, 10, 0)</f>
        <v>9</v>
      </c>
      <c r="P226" s="29">
        <v>1</v>
      </c>
      <c r="Q226" s="29">
        <f>VLOOKUP(E226, Factor!$CL$5:$CV$50, 9, 0)*P226*VLOOKUP(D226, Factor!$BZ$5:$CJ$49, 11, 0)</f>
        <v>3</v>
      </c>
      <c r="R226" s="29" t="str">
        <f>VLOOKUP(E226, Factor!$CL$5:$CV$50, 10, 0)</f>
        <v>null</v>
      </c>
      <c r="S226" s="29" t="str">
        <f>VLOOKUP(E226, Factor!$CL$5:$CV$50, 11, 0)</f>
        <v>null</v>
      </c>
      <c r="T226" s="29">
        <v>1</v>
      </c>
      <c r="U226" s="29">
        <v>1</v>
      </c>
      <c r="V226" s="29">
        <v>1</v>
      </c>
      <c r="W226" s="29">
        <v>1</v>
      </c>
      <c r="X226" s="29">
        <v>1</v>
      </c>
      <c r="Y226" s="29">
        <v>1</v>
      </c>
      <c r="Z226" s="29">
        <v>1</v>
      </c>
      <c r="AA226" s="29" cm="1">
        <f t="array" ref="AA226">_xlfn.LET(_xlpm.기본_색인번호, 2,
_xlpm.추가_색인번호, 3,
_xlpm.개별보정치, T226,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B226" s="29" cm="1">
        <f t="array" ref="AB226">_xlfn.LET(_xlpm.기본_색인번호, 3,
_xlpm.추가_색인번호, 4,
_xlpm.개별보정치, U226,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C226" s="29" cm="1">
        <f t="array" ref="AC226">_xlfn.LET(_xlpm.기본_색인번호, 4,
_xlpm.추가_색인번호, 5,
_xlpm.개별보정치, V226,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26" s="29" cm="1">
        <f t="array" ref="AD226">_xlfn.LET(_xlpm.기본_색인번호, 5,
_xlpm.추가_색인번호, 6,
_xlpm.개별보정치, W226,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E226" s="29" cm="1">
        <f t="array" ref="AE226">_xlfn.LET(_xlpm.기본_색인번호, 6,
_xlpm.추가_색인번호, 7,
_xlpm.개별보정치, X226,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F226" s="29" cm="1">
        <f t="array" ref="AF226">_xlfn.LET(_xlpm.기본_색인번호, 7,
_xlpm.추가_색인번호, 8,
_xlpm.개별보정치, Y226,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26" s="30" cm="1">
        <f t="array" ref="AG226">_xlfn.LET(_xlpm.기본_색인번호, 8,
_xlpm.추가_색인번호, 9,
_xlpm.개별보정치, Z226,
_xlpm.패턴보정치, VLOOKUP($G226, Factor!$B$5:$I$51, _xlpm.기본_색인번호, 0),
_xlpm.소모탄환보정치, VLOOKUP($H226, Factor!$T$5:$AA$51, _xlpm.기본_색인번호, 0),
_xlpm.지형보정치, VLOOKUP($I226, Factor!$K$12:$R$13, _xlpm.기본_색인번호, 0),
_xlpm.공격속성보정치, VLOOKUP($J226, Factor!$K$5:$R$7, _xlpm.기본_색인번호, 0),
_xlpm.피해범위보정치, INDEX(Factor!$AN$5:$AV$51, _xlfn.XMATCH(IF(OR($G226="blast", $G226="curved",  $G226= "debuff"), $L226, 0), Factor!$AN$5:$AN$51, -1), _xlpm.추가_색인번호)-IF(AND(OR($G226="blast", $G226="curved", $G226= "debuff"), MOD($L226,1)&lt;&gt;0),INDEX(Factor!$AN$5:$AV$51, _xlfn.XMATCH(IF(OR($G226="blast", $G226="curved", $G226= "debuff"), $L226, 0), Factor!$AN$5:$AN$51, -1), 2)*MOD($L226,1)*10,0),
_xlpm.상태이상보정치, VLOOKUP(IF($G226 = "debuff", $M226, "null"), Factor!$AX$5:$BE$51, _xlpm.기본_색인번호, 0),
_xlpm.지속시간보정치, INDEX(Factor!$BG$5:$BO$51, _xlfn.XMATCH(IF(OR($G226 ="debuff", $G226 = "shot", $G226 = "pierce"), $O226, 0), Factor!$BG$5:$BG$51, -1), _xlpm.추가_색인번호)-IF(AND(OR($G226 ="debuff", $G226 = "shot", $G226 = "pierce"), MOD($O226, 1)&lt;&gt;0), 10*MOD($O226, 1)*INDEX(Factor!$BG$5:$BO$51, _xlfn.XMATCH(IF(OR($G226 ="debuff", $G226 = "shot", $G226 = "pierce"), $O226, 0), Factor!$BG$5:$BG$51, -1), 2), 0),
_xlpm.탄환개수보정치, VLOOKUP(IF(OR($G226 = "curved", $G226 = "shot"), $Q226, 1), Factor!$BQ$5:$BX$51, _xlpm.기본_색인번호, 0),
_xlpm.상태이상탄환생성위치보정치, IF($G226 = "debuff", VLOOKUP($R226, Factor!$K$18:$R$19, _xlpm.기본_색인번호, 0),1),
_xlpm.상태이상탄환형태보정치, IF($G226 = "debuff", VLOOKUP($S226, Factor!$K$24:$R$25, _xlpm.기본_색인번호, 0),1),
_xlpm.가격보정치, INDEX(Factor!$AE$5:$AL$51, _xlfn.XMATCH($F226,Factor!$AE$5:$AE$51, -1), _xlpm.기본_색인번호),
_xlpm.구경보정치, VLOOKUP($D226,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</row>
    <row r="227" spans="1:33" ht="15.75" customHeight="1">
      <c r="A227" s="24" t="str">
        <f>"weapon_"&amp;G227&amp;"_"&amp;VLOOKUP(H227, Factor!$T$5:$AB$7, 9, 0)&amp;"_"&amp;IF(COUNTIFS($G$4:G226, G227, $H$4:H226, H227)+1&gt;=100, COUNTIFS($G$4:G226, G227, $H$4:H226, H227)+1,IF(COUNTIFS($G$4:G226, G227, $H$4:H226, H227)+1&gt;=10, "0"&amp;COUNTIFS($G$4:G226, G227, $H$4:H226, H227)+1, "00"&amp;COUNTIFS($G$4:G226, G227, $H$4:H226, H227)+1))</f>
        <v>weapon_shot_Am_047</v>
      </c>
      <c r="B227" s="36" t="str">
        <f t="shared" si="3"/>
        <v>녹슨 12.7mm쌍열 대공포</v>
      </c>
      <c r="C227" s="36" t="s">
        <v>240</v>
      </c>
      <c r="D227" s="36" t="s">
        <v>243</v>
      </c>
      <c r="E227" s="36" t="s">
        <v>281</v>
      </c>
      <c r="F227" s="25">
        <f>VLOOKUP(C227, Factor!$AD$5:$AE$15, 2, 0)</f>
        <v>0</v>
      </c>
      <c r="G227" s="26" t="str">
        <f>VLOOKUP(E227, Factor!$CL$5:$CV$50, 2, 0)</f>
        <v>shot</v>
      </c>
      <c r="H227" s="25" t="str">
        <f>VLOOKUP(E227, Factor!$CL$5:$CV$50, 3, 0)</f>
        <v>ammo</v>
      </c>
      <c r="I227" s="25" t="str">
        <f>VLOOKUP(E227, Factor!$CL$5:$CV$50, 4, 0)</f>
        <v>F</v>
      </c>
      <c r="J227" s="25" t="str">
        <f>VLOOKUP(E227, Factor!$CL$5:$CV$50, 5, 0)</f>
        <v>spread</v>
      </c>
      <c r="K227" s="25">
        <v>1</v>
      </c>
      <c r="L227" s="25">
        <f>VLOOKUP(E227, Factor!$CL$5:$CV$50, 6, 0)*K227*VLOOKUP(D227, Factor!$BZ$5:$CJ$49, 9, 0)</f>
        <v>0</v>
      </c>
      <c r="M227" s="25" t="str">
        <f>VLOOKUP(E227, Factor!$CL$5:$CV$50, 7, 0)</f>
        <v>null</v>
      </c>
      <c r="N227" s="25">
        <v>1</v>
      </c>
      <c r="O227" s="25">
        <f>VLOOKUP(E227, Factor!$CL$5:$CV$50, 8, 0)*N227*VLOOKUP(D227, Factor!$BZ$5:$CJ$49, 10, 0)</f>
        <v>12</v>
      </c>
      <c r="P227" s="25">
        <v>1</v>
      </c>
      <c r="Q227" s="25">
        <f>VLOOKUP(E227, Factor!$CL$5:$CV$50, 9, 0)*P227*VLOOKUP(D227, Factor!$BZ$5:$CJ$49, 11, 0)</f>
        <v>4</v>
      </c>
      <c r="R227" s="25" t="str">
        <f>VLOOKUP(E227, Factor!$CL$5:$CV$50, 10, 0)</f>
        <v>null</v>
      </c>
      <c r="S227" s="25" t="str">
        <f>VLOOKUP(E227, Factor!$CL$5:$CV$50, 11, 0)</f>
        <v>null</v>
      </c>
      <c r="T227" s="25">
        <v>1</v>
      </c>
      <c r="U227" s="25">
        <v>1</v>
      </c>
      <c r="V227" s="25">
        <v>1</v>
      </c>
      <c r="W227" s="25">
        <v>1</v>
      </c>
      <c r="X227" s="25">
        <v>1</v>
      </c>
      <c r="Y227" s="25">
        <v>1</v>
      </c>
      <c r="Z227" s="25">
        <v>1</v>
      </c>
      <c r="AA227" s="25" cm="1">
        <f t="array" ref="AA227">_xlfn.LET(_xlpm.기본_색인번호, 2,
_xlpm.추가_색인번호, 3,
_xlpm.개별보정치, T227,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227" s="25" cm="1">
        <f t="array" ref="AB227">_xlfn.LET(_xlpm.기본_색인번호, 3,
_xlpm.추가_색인번호, 4,
_xlpm.개별보정치, U227,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227" s="25" cm="1">
        <f t="array" ref="AC227">_xlfn.LET(_xlpm.기본_색인번호, 4,
_xlpm.추가_색인번호, 5,
_xlpm.개별보정치, V227,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27" s="25" cm="1">
        <f t="array" ref="AD227">_xlfn.LET(_xlpm.기본_색인번호, 5,
_xlpm.추가_색인번호, 6,
_xlpm.개별보정치, W227,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E227" s="25" cm="1">
        <f t="array" ref="AE227">_xlfn.LET(_xlpm.기본_색인번호, 6,
_xlpm.추가_색인번호, 7,
_xlpm.개별보정치, X227,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F227" s="25" cm="1">
        <f t="array" ref="AF227">_xlfn.LET(_xlpm.기본_색인번호, 7,
_xlpm.추가_색인번호, 8,
_xlpm.개별보정치, Y227,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27" s="27" cm="1">
        <f t="array" ref="AG227">_xlfn.LET(_xlpm.기본_색인번호, 8,
_xlpm.추가_색인번호, 9,
_xlpm.개별보정치, Z227,
_xlpm.패턴보정치, VLOOKUP($G227, Factor!$B$5:$I$51, _xlpm.기본_색인번호, 0),
_xlpm.소모탄환보정치, VLOOKUP($H227, Factor!$T$5:$AA$51, _xlpm.기본_색인번호, 0),
_xlpm.지형보정치, VLOOKUP($I227, Factor!$K$12:$R$13, _xlpm.기본_색인번호, 0),
_xlpm.공격속성보정치, VLOOKUP($J227, Factor!$K$5:$R$7, _xlpm.기본_색인번호, 0),
_xlpm.피해범위보정치, INDEX(Factor!$AN$5:$AV$51, _xlfn.XMATCH(IF(OR($G227="blast", $G227="curved",  $G227= "debuff"), $L227, 0), Factor!$AN$5:$AN$51, -1), _xlpm.추가_색인번호)-IF(AND(OR($G227="blast", $G227="curved", $G227= "debuff"), MOD($L227,1)&lt;&gt;0),INDEX(Factor!$AN$5:$AV$51, _xlfn.XMATCH(IF(OR($G227="blast", $G227="curved", $G227= "debuff"), $L227, 0), Factor!$AN$5:$AN$51, -1), 2)*MOD($L227,1)*10,0),
_xlpm.상태이상보정치, VLOOKUP(IF($G227 = "debuff", $M227, "null"), Factor!$AX$5:$BE$51, _xlpm.기본_색인번호, 0),
_xlpm.지속시간보정치, INDEX(Factor!$BG$5:$BO$51, _xlfn.XMATCH(IF(OR($G227 ="debuff", $G227 = "shot", $G227 = "pierce"), $O227, 0), Factor!$BG$5:$BG$51, -1), _xlpm.추가_색인번호)-IF(AND(OR($G227 ="debuff", $G227 = "shot", $G227 = "pierce"), MOD($O227, 1)&lt;&gt;0), 10*MOD($O227, 1)*INDEX(Factor!$BG$5:$BO$51, _xlfn.XMATCH(IF(OR($G227 ="debuff", $G227 = "shot", $G227 = "pierce"), $O227, 0), Factor!$BG$5:$BG$51, -1), 2), 0),
_xlpm.탄환개수보정치, VLOOKUP(IF(OR($G227 = "curved", $G227 = "shot"), $Q227, 1), Factor!$BQ$5:$BX$51, _xlpm.기본_색인번호, 0),
_xlpm.상태이상탄환생성위치보정치, IF($G227 = "debuff", VLOOKUP($R227, Factor!$K$18:$R$19, _xlpm.기본_색인번호, 0),1),
_xlpm.상태이상탄환형태보정치, IF($G227 = "debuff", VLOOKUP($S227, Factor!$K$24:$R$25, _xlpm.기본_색인번호, 0),1),
_xlpm.가격보정치, INDEX(Factor!$AE$5:$AL$51, _xlfn.XMATCH($F227,Factor!$AE$5:$AE$51, -1), _xlpm.기본_색인번호),
_xlpm.구경보정치, VLOOKUP($D227,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</row>
    <row r="228" spans="1:33" ht="15.75" customHeight="1">
      <c r="A228" s="28" t="str">
        <f>"weapon_"&amp;G228&amp;"_"&amp;VLOOKUP(H228, Factor!$T$5:$AB$7, 9, 0)&amp;"_"&amp;IF(COUNTIFS($G$4:G227, G228, $H$4:H227, H228)+1&gt;=100, COUNTIFS($G$4:G227, G228, $H$4:H227, H228)+1,IF(COUNTIFS($G$4:G227, G228, $H$4:H227, H228)+1&gt;=10, "0"&amp;COUNTIFS($G$4:G227, G228, $H$4:H227, H228)+1, "00"&amp;COUNTIFS($G$4:G227, G228, $H$4:H227, H228)+1))</f>
        <v>weapon_shot_Am_048</v>
      </c>
      <c r="B228" s="37" t="str">
        <f t="shared" si="3"/>
        <v>녹슨 20mm쌍열 대공포</v>
      </c>
      <c r="C228" s="37" t="s">
        <v>240</v>
      </c>
      <c r="D228" s="37" t="s">
        <v>244</v>
      </c>
      <c r="E228" s="37" t="s">
        <v>281</v>
      </c>
      <c r="F228" s="29">
        <f>VLOOKUP(C228, Factor!$AD$5:$AE$15, 2, 0)</f>
        <v>0</v>
      </c>
      <c r="G228" s="29" t="str">
        <f>VLOOKUP(E228, Factor!$CL$5:$CV$50, 2, 0)</f>
        <v>shot</v>
      </c>
      <c r="H228" s="29" t="str">
        <f>VLOOKUP(E228, Factor!$CL$5:$CV$50, 3, 0)</f>
        <v>ammo</v>
      </c>
      <c r="I228" s="29" t="str">
        <f>VLOOKUP(E228, Factor!$CL$5:$CV$50, 4, 0)</f>
        <v>F</v>
      </c>
      <c r="J228" s="29" t="str">
        <f>VLOOKUP(E228, Factor!$CL$5:$CV$50, 5, 0)</f>
        <v>spread</v>
      </c>
      <c r="K228" s="29">
        <v>1</v>
      </c>
      <c r="L228" s="29">
        <f>VLOOKUP(E228, Factor!$CL$5:$CV$50, 6, 0)*K228*VLOOKUP(D228, Factor!$BZ$5:$CJ$49, 9, 0)</f>
        <v>0</v>
      </c>
      <c r="M228" s="29" t="str">
        <f>VLOOKUP(E228, Factor!$CL$5:$CV$50, 7, 0)</f>
        <v>null</v>
      </c>
      <c r="N228" s="29">
        <v>1</v>
      </c>
      <c r="O228" s="29">
        <f>VLOOKUP(E228, Factor!$CL$5:$CV$50, 8, 0)*N228*VLOOKUP(D228, Factor!$BZ$5:$CJ$49, 10, 0)</f>
        <v>15</v>
      </c>
      <c r="P228" s="29">
        <v>1</v>
      </c>
      <c r="Q228" s="29">
        <f>VLOOKUP(E228, Factor!$CL$5:$CV$50, 9, 0)*P228*VLOOKUP(D228, Factor!$BZ$5:$CJ$49, 11, 0)</f>
        <v>5</v>
      </c>
      <c r="R228" s="29" t="str">
        <f>VLOOKUP(E228, Factor!$CL$5:$CV$50, 10, 0)</f>
        <v>null</v>
      </c>
      <c r="S228" s="29" t="str">
        <f>VLOOKUP(E228, Factor!$CL$5:$CV$50, 11, 0)</f>
        <v>null</v>
      </c>
      <c r="T228" s="29">
        <v>1</v>
      </c>
      <c r="U228" s="29">
        <v>1</v>
      </c>
      <c r="V228" s="29">
        <v>1</v>
      </c>
      <c r="W228" s="29">
        <v>1</v>
      </c>
      <c r="X228" s="29">
        <v>1</v>
      </c>
      <c r="Y228" s="29">
        <v>1</v>
      </c>
      <c r="Z228" s="29">
        <v>1</v>
      </c>
      <c r="AA228" s="29" cm="1">
        <f t="array" ref="AA228">_xlfn.LET(_xlpm.기본_색인번호, 2,
_xlpm.추가_색인번호, 3,
_xlpm.개별보정치, T228,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1000</v>
      </c>
      <c r="AB228" s="29" cm="1">
        <f t="array" ref="AB228">_xlfn.LET(_xlpm.기본_색인번호, 3,
_xlpm.추가_색인번호, 4,
_xlpm.개별보정치, U228,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28" s="29" cm="1">
        <f t="array" ref="AC228">_xlfn.LET(_xlpm.기본_색인번호, 4,
_xlpm.추가_색인번호, 5,
_xlpm.개별보정치, V228,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28" s="29" cm="1">
        <f t="array" ref="AD228">_xlfn.LET(_xlpm.기본_색인번호, 5,
_xlpm.추가_색인번호, 6,
_xlpm.개별보정치, W228,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228" s="29" cm="1">
        <f t="array" ref="AE228">_xlfn.LET(_xlpm.기본_색인번호, 6,
_xlpm.추가_색인번호, 7,
_xlpm.개별보정치, X228,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228" s="29" cm="1">
        <f t="array" ref="AF228">_xlfn.LET(_xlpm.기본_색인번호, 7,
_xlpm.추가_색인번호, 8,
_xlpm.개별보정치, Y228,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28" s="30" cm="1">
        <f t="array" ref="AG228">_xlfn.LET(_xlpm.기본_색인번호, 8,
_xlpm.추가_색인번호, 9,
_xlpm.개별보정치, Z228,
_xlpm.패턴보정치, VLOOKUP($G228, Factor!$B$5:$I$51, _xlpm.기본_색인번호, 0),
_xlpm.소모탄환보정치, VLOOKUP($H228, Factor!$T$5:$AA$51, _xlpm.기본_색인번호, 0),
_xlpm.지형보정치, VLOOKUP($I228, Factor!$K$12:$R$13, _xlpm.기본_색인번호, 0),
_xlpm.공격속성보정치, VLOOKUP($J228, Factor!$K$5:$R$7, _xlpm.기본_색인번호, 0),
_xlpm.피해범위보정치, INDEX(Factor!$AN$5:$AV$51, _xlfn.XMATCH(IF(OR($G228="blast", $G228="curved",  $G228= "debuff"), $L228, 0), Factor!$AN$5:$AN$51, -1), _xlpm.추가_색인번호)-IF(AND(OR($G228="blast", $G228="curved", $G228= "debuff"), MOD($L228,1)&lt;&gt;0),INDEX(Factor!$AN$5:$AV$51, _xlfn.XMATCH(IF(OR($G228="blast", $G228="curved", $G228= "debuff"), $L228, 0), Factor!$AN$5:$AN$51, -1), 2)*MOD($L228,1)*10,0),
_xlpm.상태이상보정치, VLOOKUP(IF($G228 = "debuff", $M228, "null"), Factor!$AX$5:$BE$51, _xlpm.기본_색인번호, 0),
_xlpm.지속시간보정치, INDEX(Factor!$BG$5:$BO$51, _xlfn.XMATCH(IF(OR($G228 ="debuff", $G228 = "shot", $G228 = "pierce"), $O228, 0), Factor!$BG$5:$BG$51, -1), _xlpm.추가_색인번호)-IF(AND(OR($G228 ="debuff", $G228 = "shot", $G228 = "pierce"), MOD($O228, 1)&lt;&gt;0), 10*MOD($O228, 1)*INDEX(Factor!$BG$5:$BO$51, _xlfn.XMATCH(IF(OR($G228 ="debuff", $G228 = "shot", $G228 = "pierce"), $O228, 0), Factor!$BG$5:$BG$51, -1), 2), 0),
_xlpm.탄환개수보정치, VLOOKUP(IF(OR($G228 = "curved", $G228 = "shot"), $Q228, 1), Factor!$BQ$5:$BX$51, _xlpm.기본_색인번호, 0),
_xlpm.상태이상탄환생성위치보정치, IF($G228 = "debuff", VLOOKUP($R228, Factor!$K$18:$R$19, _xlpm.기본_색인번호, 0),1),
_xlpm.상태이상탄환형태보정치, IF($G228 = "debuff", VLOOKUP($S228, Factor!$K$24:$R$25, _xlpm.기본_색인번호, 0),1),
_xlpm.가격보정치, INDEX(Factor!$AE$5:$AL$51, _xlfn.XMATCH($F228,Factor!$AE$5:$AE$51, -1), _xlpm.기본_색인번호),
_xlpm.구경보정치, VLOOKUP($D228,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229" spans="1:33" ht="15.75" customHeight="1">
      <c r="A229" s="24" t="str">
        <f>"weapon_"&amp;G229&amp;"_"&amp;VLOOKUP(H229, Factor!$T$5:$AB$7, 9, 0)&amp;"_"&amp;IF(COUNTIFS($G$4:G228, G229, $H$4:H228, H229)+1&gt;=100, COUNTIFS($G$4:G228, G229, $H$4:H228, H229)+1,IF(COUNTIFS($G$4:G228, G229, $H$4:H228, H229)+1&gt;=10, "0"&amp;COUNTIFS($G$4:G228, G229, $H$4:H228, H229)+1, "00"&amp;COUNTIFS($G$4:G228, G229, $H$4:H228, H229)+1))</f>
        <v>weapon_shot_Am_049</v>
      </c>
      <c r="B229" s="36" t="str">
        <f t="shared" si="3"/>
        <v>T1 5.56mm쌍열 대공포</v>
      </c>
      <c r="C229" s="36" t="s">
        <v>238</v>
      </c>
      <c r="D229" s="36" t="s">
        <v>241</v>
      </c>
      <c r="E229" s="36" t="s">
        <v>281</v>
      </c>
      <c r="F229" s="25">
        <f>VLOOKUP(C229, Factor!$AD$5:$AE$15, 2, 0)</f>
        <v>1000</v>
      </c>
      <c r="G229" s="26" t="str">
        <f>VLOOKUP(E229, Factor!$CL$5:$CV$50, 2, 0)</f>
        <v>shot</v>
      </c>
      <c r="H229" s="25" t="str">
        <f>VLOOKUP(E229, Factor!$CL$5:$CV$50, 3, 0)</f>
        <v>ammo</v>
      </c>
      <c r="I229" s="25" t="str">
        <f>VLOOKUP(E229, Factor!$CL$5:$CV$50, 4, 0)</f>
        <v>F</v>
      </c>
      <c r="J229" s="25" t="str">
        <f>VLOOKUP(E229, Factor!$CL$5:$CV$50, 5, 0)</f>
        <v>spread</v>
      </c>
      <c r="K229" s="25">
        <v>1</v>
      </c>
      <c r="L229" s="25">
        <f>VLOOKUP(E229, Factor!$CL$5:$CV$50, 6, 0)*K229*VLOOKUP(D229, Factor!$BZ$5:$CJ$49, 9, 0)</f>
        <v>0</v>
      </c>
      <c r="M229" s="25" t="str">
        <f>VLOOKUP(E229, Factor!$CL$5:$CV$50, 7, 0)</f>
        <v>null</v>
      </c>
      <c r="N229" s="25">
        <v>1</v>
      </c>
      <c r="O229" s="25">
        <f>VLOOKUP(E229, Factor!$CL$5:$CV$50, 8, 0)*N229*VLOOKUP(D229, Factor!$BZ$5:$CJ$49, 10, 0)</f>
        <v>6</v>
      </c>
      <c r="P229" s="25">
        <v>1</v>
      </c>
      <c r="Q229" s="25">
        <f>VLOOKUP(E229, Factor!$CL$5:$CV$50, 9, 0)*P229*VLOOKUP(D229, Factor!$BZ$5:$CJ$49, 11, 0)</f>
        <v>2</v>
      </c>
      <c r="R229" s="25" t="str">
        <f>VLOOKUP(E229, Factor!$CL$5:$CV$50, 10, 0)</f>
        <v>null</v>
      </c>
      <c r="S229" s="25" t="str">
        <f>VLOOKUP(E229, Factor!$CL$5:$CV$50, 11, 0)</f>
        <v>null</v>
      </c>
      <c r="T229" s="25">
        <v>1</v>
      </c>
      <c r="U229" s="25">
        <v>1</v>
      </c>
      <c r="V229" s="25">
        <v>1</v>
      </c>
      <c r="W229" s="25">
        <v>1</v>
      </c>
      <c r="X229" s="25">
        <v>1</v>
      </c>
      <c r="Y229" s="25">
        <v>1</v>
      </c>
      <c r="Z229" s="25">
        <v>1</v>
      </c>
      <c r="AA229" s="25" cm="1">
        <f t="array" ref="AA229">_xlfn.LET(_xlpm.기본_색인번호, 2,
_xlpm.추가_색인번호, 3,
_xlpm.개별보정치, T229,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B229" s="25" cm="1">
        <f t="array" ref="AB229">_xlfn.LET(_xlpm.기본_색인번호, 3,
_xlpm.추가_색인번호, 4,
_xlpm.개별보정치, U229,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C229" s="25" cm="1">
        <f t="array" ref="AC229">_xlfn.LET(_xlpm.기본_색인번호, 4,
_xlpm.추가_색인번호, 5,
_xlpm.개별보정치, V229,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29" s="25" cm="1">
        <f t="array" ref="AD229">_xlfn.LET(_xlpm.기본_색인번호, 5,
_xlpm.추가_색인번호, 6,
_xlpm.개별보정치, W229,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E229" s="25" cm="1">
        <f t="array" ref="AE229">_xlfn.LET(_xlpm.기본_색인번호, 6,
_xlpm.추가_색인번호, 7,
_xlpm.개별보정치, X229,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  <c r="AF229" s="25" cm="1">
        <f t="array" ref="AF229">_xlfn.LET(_xlpm.기본_색인번호, 7,
_xlpm.추가_색인번호, 8,
_xlpm.개별보정치, Y229,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29" s="27" cm="1">
        <f t="array" ref="AG229">_xlfn.LET(_xlpm.기본_색인번호, 8,
_xlpm.추가_색인번호, 9,
_xlpm.개별보정치, Z229,
_xlpm.패턴보정치, VLOOKUP($G229, Factor!$B$5:$I$51, _xlpm.기본_색인번호, 0),
_xlpm.소모탄환보정치, VLOOKUP($H229, Factor!$T$5:$AA$51, _xlpm.기본_색인번호, 0),
_xlpm.지형보정치, VLOOKUP($I229, Factor!$K$12:$R$13, _xlpm.기본_색인번호, 0),
_xlpm.공격속성보정치, VLOOKUP($J229, Factor!$K$5:$R$7, _xlpm.기본_색인번호, 0),
_xlpm.피해범위보정치, INDEX(Factor!$AN$5:$AV$51, _xlfn.XMATCH(IF(OR($G229="blast", $G229="curved",  $G229= "debuff"), $L229, 0), Factor!$AN$5:$AN$51, -1), _xlpm.추가_색인번호)-IF(AND(OR($G229="blast", $G229="curved", $G229= "debuff"), MOD($L229,1)&lt;&gt;0),INDEX(Factor!$AN$5:$AV$51, _xlfn.XMATCH(IF(OR($G229="blast", $G229="curved", $G229= "debuff"), $L229, 0), Factor!$AN$5:$AN$51, -1), 2)*MOD($L229,1)*10,0),
_xlpm.상태이상보정치, VLOOKUP(IF($G229 = "debuff", $M229, "null"), Factor!$AX$5:$BE$51, _xlpm.기본_색인번호, 0),
_xlpm.지속시간보정치, INDEX(Factor!$BG$5:$BO$51, _xlfn.XMATCH(IF(OR($G229 ="debuff", $G229 = "shot", $G229 = "pierce"), $O229, 0), Factor!$BG$5:$BG$51, -1), _xlpm.추가_색인번호)-IF(AND(OR($G229 ="debuff", $G229 = "shot", $G229 = "pierce"), MOD($O229, 1)&lt;&gt;0), 10*MOD($O229, 1)*INDEX(Factor!$BG$5:$BO$51, _xlfn.XMATCH(IF(OR($G229 ="debuff", $G229 = "shot", $G229 = "pierce"), $O229, 0), Factor!$BG$5:$BG$51, -1), 2), 0),
_xlpm.탄환개수보정치, VLOOKUP(IF(OR($G229 = "curved", $G229 = "shot"), $Q229, 1), Factor!$BQ$5:$BX$51, _xlpm.기본_색인번호, 0),
_xlpm.상태이상탄환생성위치보정치, IF($G229 = "debuff", VLOOKUP($R229, Factor!$K$18:$R$19, _xlpm.기본_색인번호, 0),1),
_xlpm.상태이상탄환형태보정치, IF($G229 = "debuff", VLOOKUP($S229, Factor!$K$24:$R$25, _xlpm.기본_색인번호, 0),1),
_xlpm.가격보정치, INDEX(Factor!$AE$5:$AL$51, _xlfn.XMATCH($F229,Factor!$AE$5:$AE$51, -1), _xlpm.기본_색인번호),
_xlpm.구경보정치, VLOOKUP($D229,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28.799999999999997</v>
      </c>
    </row>
    <row r="230" spans="1:33" ht="15.75" customHeight="1">
      <c r="A230" s="28" t="str">
        <f>"weapon_"&amp;G230&amp;"_"&amp;VLOOKUP(H230, Factor!$T$5:$AB$7, 9, 0)&amp;"_"&amp;IF(COUNTIFS($G$4:G229, G230, $H$4:H229, H230)+1&gt;=100, COUNTIFS($G$4:G229, G230, $H$4:H229, H230)+1,IF(COUNTIFS($G$4:G229, G230, $H$4:H229, H230)+1&gt;=10, "0"&amp;COUNTIFS($G$4:G229, G230, $H$4:H229, H230)+1, "00"&amp;COUNTIFS($G$4:G229, G230, $H$4:H229, H230)+1))</f>
        <v>weapon_shot_Am_050</v>
      </c>
      <c r="B230" s="37" t="str">
        <f t="shared" si="3"/>
        <v>T1 7.62mm쌍열 대공포</v>
      </c>
      <c r="C230" s="37" t="s">
        <v>238</v>
      </c>
      <c r="D230" s="37" t="s">
        <v>242</v>
      </c>
      <c r="E230" s="37" t="s">
        <v>281</v>
      </c>
      <c r="F230" s="29">
        <f>VLOOKUP(C230, Factor!$AD$5:$AE$15, 2, 0)</f>
        <v>1000</v>
      </c>
      <c r="G230" s="29" t="str">
        <f>VLOOKUP(E230, Factor!$CL$5:$CV$50, 2, 0)</f>
        <v>shot</v>
      </c>
      <c r="H230" s="29" t="str">
        <f>VLOOKUP(E230, Factor!$CL$5:$CV$50, 3, 0)</f>
        <v>ammo</v>
      </c>
      <c r="I230" s="29" t="str">
        <f>VLOOKUP(E230, Factor!$CL$5:$CV$50, 4, 0)</f>
        <v>F</v>
      </c>
      <c r="J230" s="29" t="str">
        <f>VLOOKUP(E230, Factor!$CL$5:$CV$50, 5, 0)</f>
        <v>spread</v>
      </c>
      <c r="K230" s="29">
        <v>1</v>
      </c>
      <c r="L230" s="29">
        <f>VLOOKUP(E230, Factor!$CL$5:$CV$50, 6, 0)*K230*VLOOKUP(D230, Factor!$BZ$5:$CJ$49, 9, 0)</f>
        <v>0</v>
      </c>
      <c r="M230" s="29" t="str">
        <f>VLOOKUP(E230, Factor!$CL$5:$CV$50, 7, 0)</f>
        <v>null</v>
      </c>
      <c r="N230" s="29">
        <v>1</v>
      </c>
      <c r="O230" s="29">
        <f>VLOOKUP(E230, Factor!$CL$5:$CV$50, 8, 0)*N230*VLOOKUP(D230, Factor!$BZ$5:$CJ$49, 10, 0)</f>
        <v>9</v>
      </c>
      <c r="P230" s="29">
        <v>1</v>
      </c>
      <c r="Q230" s="29">
        <f>VLOOKUP(E230, Factor!$CL$5:$CV$50, 9, 0)*P230*VLOOKUP(D230, Factor!$BZ$5:$CJ$49, 11, 0)</f>
        <v>3</v>
      </c>
      <c r="R230" s="29" t="str">
        <f>VLOOKUP(E230, Factor!$CL$5:$CV$50, 10, 0)</f>
        <v>null</v>
      </c>
      <c r="S230" s="29" t="str">
        <f>VLOOKUP(E230, Factor!$CL$5:$CV$50, 11, 0)</f>
        <v>null</v>
      </c>
      <c r="T230" s="29">
        <v>1</v>
      </c>
      <c r="U230" s="29">
        <v>1</v>
      </c>
      <c r="V230" s="29">
        <v>1</v>
      </c>
      <c r="W230" s="29">
        <v>1</v>
      </c>
      <c r="X230" s="29">
        <v>1</v>
      </c>
      <c r="Y230" s="29">
        <v>1</v>
      </c>
      <c r="Z230" s="29">
        <v>1</v>
      </c>
      <c r="AA230" s="29" cm="1">
        <f t="array" ref="AA230">_xlfn.LET(_xlpm.기본_색인번호, 2,
_xlpm.추가_색인번호, 3,
_xlpm.개별보정치, T230,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B230" s="29" cm="1">
        <f t="array" ref="AB230">_xlfn.LET(_xlpm.기본_색인번호, 3,
_xlpm.추가_색인번호, 4,
_xlpm.개별보정치, U230,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C230" s="29" cm="1">
        <f t="array" ref="AC230">_xlfn.LET(_xlpm.기본_색인번호, 4,
_xlpm.추가_색인번호, 5,
_xlpm.개별보정치, V230,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30" s="29" cm="1">
        <f t="array" ref="AD230">_xlfn.LET(_xlpm.기본_색인번호, 5,
_xlpm.추가_색인번호, 6,
_xlpm.개별보정치, W230,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E230" s="29" cm="1">
        <f t="array" ref="AE230">_xlfn.LET(_xlpm.기본_색인번호, 6,
_xlpm.추가_색인번호, 7,
_xlpm.개별보정치, X230,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  <c r="AF230" s="29" cm="1">
        <f t="array" ref="AF230">_xlfn.LET(_xlpm.기본_색인번호, 7,
_xlpm.추가_색인번호, 8,
_xlpm.개별보정치, Y230,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30" s="30" cm="1">
        <f t="array" ref="AG230">_xlfn.LET(_xlpm.기본_색인번호, 8,
_xlpm.추가_색인번호, 9,
_xlpm.개별보정치, Z230,
_xlpm.패턴보정치, VLOOKUP($G230, Factor!$B$5:$I$51, _xlpm.기본_색인번호, 0),
_xlpm.소모탄환보정치, VLOOKUP($H230, Factor!$T$5:$AA$51, _xlpm.기본_색인번호, 0),
_xlpm.지형보정치, VLOOKUP($I230, Factor!$K$12:$R$13, _xlpm.기본_색인번호, 0),
_xlpm.공격속성보정치, VLOOKUP($J230, Factor!$K$5:$R$7, _xlpm.기본_색인번호, 0),
_xlpm.피해범위보정치, INDEX(Factor!$AN$5:$AV$51, _xlfn.XMATCH(IF(OR($G230="blast", $G230="curved",  $G230= "debuff"), $L230, 0), Factor!$AN$5:$AN$51, -1), _xlpm.추가_색인번호)-IF(AND(OR($G230="blast", $G230="curved", $G230= "debuff"), MOD($L230,1)&lt;&gt;0),INDEX(Factor!$AN$5:$AV$51, _xlfn.XMATCH(IF(OR($G230="blast", $G230="curved", $G230= "debuff"), $L230, 0), Factor!$AN$5:$AN$51, -1), 2)*MOD($L230,1)*10,0),
_xlpm.상태이상보정치, VLOOKUP(IF($G230 = "debuff", $M230, "null"), Factor!$AX$5:$BE$51, _xlpm.기본_색인번호, 0),
_xlpm.지속시간보정치, INDEX(Factor!$BG$5:$BO$51, _xlfn.XMATCH(IF(OR($G230 ="debuff", $G230 = "shot", $G230 = "pierce"), $O230, 0), Factor!$BG$5:$BG$51, -1), _xlpm.추가_색인번호)-IF(AND(OR($G230 ="debuff", $G230 = "shot", $G230 = "pierce"), MOD($O230, 1)&lt;&gt;0), 10*MOD($O230, 1)*INDEX(Factor!$BG$5:$BO$51, _xlfn.XMATCH(IF(OR($G230 ="debuff", $G230 = "shot", $G230 = "pierce"), $O230, 0), Factor!$BG$5:$BG$51, -1), 2), 0),
_xlpm.탄환개수보정치, VLOOKUP(IF(OR($G230 = "curved", $G230 = "shot"), $Q230, 1), Factor!$BQ$5:$BX$51, _xlpm.기본_색인번호, 0),
_xlpm.상태이상탄환생성위치보정치, IF($G230 = "debuff", VLOOKUP($R230, Factor!$K$18:$R$19, _xlpm.기본_색인번호, 0),1),
_xlpm.상태이상탄환형태보정치, IF($G230 = "debuff", VLOOKUP($S230, Factor!$K$24:$R$25, _xlpm.기본_색인번호, 0),1),
_xlpm.가격보정치, INDEX(Factor!$AE$5:$AL$51, _xlfn.XMATCH($F230,Factor!$AE$5:$AE$51, -1), _xlpm.기본_색인번호),
_xlpm.구경보정치, VLOOKUP($D230,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64.8</v>
      </c>
    </row>
    <row r="231" spans="1:33" ht="15.75" customHeight="1">
      <c r="A231" s="24" t="str">
        <f>"weapon_"&amp;G231&amp;"_"&amp;VLOOKUP(H231, Factor!$T$5:$AB$7, 9, 0)&amp;"_"&amp;IF(COUNTIFS($G$4:G230, G231, $H$4:H230, H231)+1&gt;=100, COUNTIFS($G$4:G230, G231, $H$4:H230, H231)+1,IF(COUNTIFS($G$4:G230, G231, $H$4:H230, H231)+1&gt;=10, "0"&amp;COUNTIFS($G$4:G230, G231, $H$4:H230, H231)+1, "00"&amp;COUNTIFS($G$4:G230, G231, $H$4:H230, H231)+1))</f>
        <v>weapon_shot_Am_051</v>
      </c>
      <c r="B231" s="36" t="str">
        <f t="shared" si="3"/>
        <v>T1 12.7mm쌍열 대공포</v>
      </c>
      <c r="C231" s="36" t="s">
        <v>238</v>
      </c>
      <c r="D231" s="36" t="s">
        <v>243</v>
      </c>
      <c r="E231" s="36" t="s">
        <v>281</v>
      </c>
      <c r="F231" s="25">
        <f>VLOOKUP(C231, Factor!$AD$5:$AE$15, 2, 0)</f>
        <v>1000</v>
      </c>
      <c r="G231" s="26" t="str">
        <f>VLOOKUP(E231, Factor!$CL$5:$CV$50, 2, 0)</f>
        <v>shot</v>
      </c>
      <c r="H231" s="25" t="str">
        <f>VLOOKUP(E231, Factor!$CL$5:$CV$50, 3, 0)</f>
        <v>ammo</v>
      </c>
      <c r="I231" s="25" t="str">
        <f>VLOOKUP(E231, Factor!$CL$5:$CV$50, 4, 0)</f>
        <v>F</v>
      </c>
      <c r="J231" s="25" t="str">
        <f>VLOOKUP(E231, Factor!$CL$5:$CV$50, 5, 0)</f>
        <v>spread</v>
      </c>
      <c r="K231" s="25">
        <v>1</v>
      </c>
      <c r="L231" s="25">
        <f>VLOOKUP(E231, Factor!$CL$5:$CV$50, 6, 0)*K231*VLOOKUP(D231, Factor!$BZ$5:$CJ$49, 9, 0)</f>
        <v>0</v>
      </c>
      <c r="M231" s="25" t="str">
        <f>VLOOKUP(E231, Factor!$CL$5:$CV$50, 7, 0)</f>
        <v>null</v>
      </c>
      <c r="N231" s="25">
        <v>1</v>
      </c>
      <c r="O231" s="25">
        <f>VLOOKUP(E231, Factor!$CL$5:$CV$50, 8, 0)*N231*VLOOKUP(D231, Factor!$BZ$5:$CJ$49, 10, 0)</f>
        <v>12</v>
      </c>
      <c r="P231" s="25">
        <v>1</v>
      </c>
      <c r="Q231" s="25">
        <f>VLOOKUP(E231, Factor!$CL$5:$CV$50, 9, 0)*P231*VLOOKUP(D231, Factor!$BZ$5:$CJ$49, 11, 0)</f>
        <v>4</v>
      </c>
      <c r="R231" s="25" t="str">
        <f>VLOOKUP(E231, Factor!$CL$5:$CV$50, 10, 0)</f>
        <v>null</v>
      </c>
      <c r="S231" s="25" t="str">
        <f>VLOOKUP(E231, Factor!$CL$5:$CV$50, 11, 0)</f>
        <v>null</v>
      </c>
      <c r="T231" s="25">
        <v>1</v>
      </c>
      <c r="U231" s="25">
        <v>1</v>
      </c>
      <c r="V231" s="25">
        <v>1</v>
      </c>
      <c r="W231" s="25">
        <v>1</v>
      </c>
      <c r="X231" s="25">
        <v>1</v>
      </c>
      <c r="Y231" s="25">
        <v>1</v>
      </c>
      <c r="Z231" s="25">
        <v>1</v>
      </c>
      <c r="AA231" s="25" cm="1">
        <f t="array" ref="AA231">_xlfn.LET(_xlpm.기본_색인번호, 2,
_xlpm.추가_색인번호, 3,
_xlpm.개별보정치, T231,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231" s="25" cm="1">
        <f t="array" ref="AB231">_xlfn.LET(_xlpm.기본_색인번호, 3,
_xlpm.추가_색인번호, 4,
_xlpm.개별보정치, U231,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231" s="25" cm="1">
        <f t="array" ref="AC231">_xlfn.LET(_xlpm.기본_색인번호, 4,
_xlpm.추가_색인번호, 5,
_xlpm.개별보정치, V231,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31" s="25" cm="1">
        <f t="array" ref="AD231">_xlfn.LET(_xlpm.기본_색인번호, 5,
_xlpm.추가_색인번호, 6,
_xlpm.개별보정치, W231,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231" s="25" cm="1">
        <f t="array" ref="AE231">_xlfn.LET(_xlpm.기본_색인번호, 6,
_xlpm.추가_색인번호, 7,
_xlpm.개별보정치, X231,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231" s="25" cm="1">
        <f t="array" ref="AF231">_xlfn.LET(_xlpm.기본_색인번호, 7,
_xlpm.추가_색인번호, 8,
_xlpm.개별보정치, Y231,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31" s="27" cm="1">
        <f t="array" ref="AG231">_xlfn.LET(_xlpm.기본_색인번호, 8,
_xlpm.추가_색인번호, 9,
_xlpm.개별보정치, Z231,
_xlpm.패턴보정치, VLOOKUP($G231, Factor!$B$5:$I$51, _xlpm.기본_색인번호, 0),
_xlpm.소모탄환보정치, VLOOKUP($H231, Factor!$T$5:$AA$51, _xlpm.기본_색인번호, 0),
_xlpm.지형보정치, VLOOKUP($I231, Factor!$K$12:$R$13, _xlpm.기본_색인번호, 0),
_xlpm.공격속성보정치, VLOOKUP($J231, Factor!$K$5:$R$7, _xlpm.기본_색인번호, 0),
_xlpm.피해범위보정치, INDEX(Factor!$AN$5:$AV$51, _xlfn.XMATCH(IF(OR($G231="blast", $G231="curved",  $G231= "debuff"), $L231, 0), Factor!$AN$5:$AN$51, -1), _xlpm.추가_색인번호)-IF(AND(OR($G231="blast", $G231="curved", $G231= "debuff"), MOD($L231,1)&lt;&gt;0),INDEX(Factor!$AN$5:$AV$51, _xlfn.XMATCH(IF(OR($G231="blast", $G231="curved", $G231= "debuff"), $L231, 0), Factor!$AN$5:$AN$51, -1), 2)*MOD($L231,1)*10,0),
_xlpm.상태이상보정치, VLOOKUP(IF($G231 = "debuff", $M231, "null"), Factor!$AX$5:$BE$51, _xlpm.기본_색인번호, 0),
_xlpm.지속시간보정치, INDEX(Factor!$BG$5:$BO$51, _xlfn.XMATCH(IF(OR($G231 ="debuff", $G231 = "shot", $G231 = "pierce"), $O231, 0), Factor!$BG$5:$BG$51, -1), _xlpm.추가_색인번호)-IF(AND(OR($G231 ="debuff", $G231 = "shot", $G231 = "pierce"), MOD($O231, 1)&lt;&gt;0), 10*MOD($O231, 1)*INDEX(Factor!$BG$5:$BO$51, _xlfn.XMATCH(IF(OR($G231 ="debuff", $G231 = "shot", $G231 = "pierce"), $O231, 0), Factor!$BG$5:$BG$51, -1), 2), 0),
_xlpm.탄환개수보정치, VLOOKUP(IF(OR($G231 = "curved", $G231 = "shot"), $Q231, 1), Factor!$BQ$5:$BX$51, _xlpm.기본_색인번호, 0),
_xlpm.상태이상탄환생성위치보정치, IF($G231 = "debuff", VLOOKUP($R231, Factor!$K$18:$R$19, _xlpm.기본_색인번호, 0),1),
_xlpm.상태이상탄환형태보정치, IF($G231 = "debuff", VLOOKUP($S231, Factor!$K$24:$R$25, _xlpm.기본_색인번호, 0),1),
_xlpm.가격보정치, INDEX(Factor!$AE$5:$AL$51, _xlfn.XMATCH($F231,Factor!$AE$5:$AE$51, -1), _xlpm.기본_색인번호),
_xlpm.구경보정치, VLOOKUP($D231,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232" spans="1:33" ht="15.75" customHeight="1">
      <c r="A232" s="28" t="str">
        <f>"weapon_"&amp;G232&amp;"_"&amp;VLOOKUP(H232, Factor!$T$5:$AB$7, 9, 0)&amp;"_"&amp;IF(COUNTIFS($G$4:G231, G232, $H$4:H231, H232)+1&gt;=100, COUNTIFS($G$4:G231, G232, $H$4:H231, H232)+1,IF(COUNTIFS($G$4:G231, G232, $H$4:H231, H232)+1&gt;=10, "0"&amp;COUNTIFS($G$4:G231, G232, $H$4:H231, H232)+1, "00"&amp;COUNTIFS($G$4:G231, G232, $H$4:H231, H232)+1))</f>
        <v>weapon_shot_Am_052</v>
      </c>
      <c r="B232" s="37" t="str">
        <f t="shared" si="3"/>
        <v>T1 20mm쌍열 대공포</v>
      </c>
      <c r="C232" s="37" t="s">
        <v>238</v>
      </c>
      <c r="D232" s="37" t="s">
        <v>244</v>
      </c>
      <c r="E232" s="37" t="s">
        <v>281</v>
      </c>
      <c r="F232" s="29">
        <f>VLOOKUP(C232, Factor!$AD$5:$AE$15, 2, 0)</f>
        <v>1000</v>
      </c>
      <c r="G232" s="29" t="str">
        <f>VLOOKUP(E232, Factor!$CL$5:$CV$50, 2, 0)</f>
        <v>shot</v>
      </c>
      <c r="H232" s="29" t="str">
        <f>VLOOKUP(E232, Factor!$CL$5:$CV$50, 3, 0)</f>
        <v>ammo</v>
      </c>
      <c r="I232" s="29" t="str">
        <f>VLOOKUP(E232, Factor!$CL$5:$CV$50, 4, 0)</f>
        <v>F</v>
      </c>
      <c r="J232" s="29" t="str">
        <f>VLOOKUP(E232, Factor!$CL$5:$CV$50, 5, 0)</f>
        <v>spread</v>
      </c>
      <c r="K232" s="29">
        <v>1</v>
      </c>
      <c r="L232" s="29">
        <f>VLOOKUP(E232, Factor!$CL$5:$CV$50, 6, 0)*K232*VLOOKUP(D232, Factor!$BZ$5:$CJ$49, 9, 0)</f>
        <v>0</v>
      </c>
      <c r="M232" s="29" t="str">
        <f>VLOOKUP(E232, Factor!$CL$5:$CV$50, 7, 0)</f>
        <v>null</v>
      </c>
      <c r="N232" s="29">
        <v>1</v>
      </c>
      <c r="O232" s="29">
        <f>VLOOKUP(E232, Factor!$CL$5:$CV$50, 8, 0)*N232*VLOOKUP(D232, Factor!$BZ$5:$CJ$49, 10, 0)</f>
        <v>15</v>
      </c>
      <c r="P232" s="29">
        <v>1</v>
      </c>
      <c r="Q232" s="29">
        <f>VLOOKUP(E232, Factor!$CL$5:$CV$50, 9, 0)*P232*VLOOKUP(D232, Factor!$BZ$5:$CJ$49, 11, 0)</f>
        <v>5</v>
      </c>
      <c r="R232" s="29" t="str">
        <f>VLOOKUP(E232, Factor!$CL$5:$CV$50, 10, 0)</f>
        <v>null</v>
      </c>
      <c r="S232" s="29" t="str">
        <f>VLOOKUP(E232, Factor!$CL$5:$CV$50, 11, 0)</f>
        <v>null</v>
      </c>
      <c r="T232" s="29">
        <v>1</v>
      </c>
      <c r="U232" s="29">
        <v>1</v>
      </c>
      <c r="V232" s="29">
        <v>1</v>
      </c>
      <c r="W232" s="29">
        <v>1</v>
      </c>
      <c r="X232" s="29">
        <v>1</v>
      </c>
      <c r="Y232" s="29">
        <v>1</v>
      </c>
      <c r="Z232" s="29">
        <v>1</v>
      </c>
      <c r="AA232" s="29" cm="1">
        <f t="array" ref="AA232">_xlfn.LET(_xlpm.기본_색인번호, 2,
_xlpm.추가_색인번호, 3,
_xlpm.개별보정치, T232,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232" s="29" cm="1">
        <f t="array" ref="AB232">_xlfn.LET(_xlpm.기본_색인번호, 3,
_xlpm.추가_색인번호, 4,
_xlpm.개별보정치, U232,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32" s="29" cm="1">
        <f t="array" ref="AC232">_xlfn.LET(_xlpm.기본_색인번호, 4,
_xlpm.추가_색인번호, 5,
_xlpm.개별보정치, V232,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32" s="29" cm="1">
        <f t="array" ref="AD232">_xlfn.LET(_xlpm.기본_색인번호, 5,
_xlpm.추가_색인번호, 6,
_xlpm.개별보정치, W232,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232" s="29" cm="1">
        <f t="array" ref="AE232">_xlfn.LET(_xlpm.기본_색인번호, 6,
_xlpm.추가_색인번호, 7,
_xlpm.개별보정치, X232,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232" s="29" cm="1">
        <f t="array" ref="AF232">_xlfn.LET(_xlpm.기본_색인번호, 7,
_xlpm.추가_색인번호, 8,
_xlpm.개별보정치, Y232,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32" s="30" cm="1">
        <f t="array" ref="AG232">_xlfn.LET(_xlpm.기본_색인번호, 8,
_xlpm.추가_색인번호, 9,
_xlpm.개별보정치, Z232,
_xlpm.패턴보정치, VLOOKUP($G232, Factor!$B$5:$I$51, _xlpm.기본_색인번호, 0),
_xlpm.소모탄환보정치, VLOOKUP($H232, Factor!$T$5:$AA$51, _xlpm.기본_색인번호, 0),
_xlpm.지형보정치, VLOOKUP($I232, Factor!$K$12:$R$13, _xlpm.기본_색인번호, 0),
_xlpm.공격속성보정치, VLOOKUP($J232, Factor!$K$5:$R$7, _xlpm.기본_색인번호, 0),
_xlpm.피해범위보정치, INDEX(Factor!$AN$5:$AV$51, _xlfn.XMATCH(IF(OR($G232="blast", $G232="curved",  $G232= "debuff"), $L232, 0), Factor!$AN$5:$AN$51, -1), _xlpm.추가_색인번호)-IF(AND(OR($G232="blast", $G232="curved", $G232= "debuff"), MOD($L232,1)&lt;&gt;0),INDEX(Factor!$AN$5:$AV$51, _xlfn.XMATCH(IF(OR($G232="blast", $G232="curved", $G232= "debuff"), $L232, 0), Factor!$AN$5:$AN$51, -1), 2)*MOD($L232,1)*10,0),
_xlpm.상태이상보정치, VLOOKUP(IF($G232 = "debuff", $M232, "null"), Factor!$AX$5:$BE$51, _xlpm.기본_색인번호, 0),
_xlpm.지속시간보정치, INDEX(Factor!$BG$5:$BO$51, _xlfn.XMATCH(IF(OR($G232 ="debuff", $G232 = "shot", $G232 = "pierce"), $O232, 0), Factor!$BG$5:$BG$51, -1), _xlpm.추가_색인번호)-IF(AND(OR($G232 ="debuff", $G232 = "shot", $G232 = "pierce"), MOD($O232, 1)&lt;&gt;0), 10*MOD($O232, 1)*INDEX(Factor!$BG$5:$BO$51, _xlfn.XMATCH(IF(OR($G232 ="debuff", $G232 = "shot", $G232 = "pierce"), $O232, 0), Factor!$BG$5:$BG$51, -1), 2), 0),
_xlpm.탄환개수보정치, VLOOKUP(IF(OR($G232 = "curved", $G232 = "shot"), $Q232, 1), Factor!$BQ$5:$BX$51, _xlpm.기본_색인번호, 0),
_xlpm.상태이상탄환생성위치보정치, IF($G232 = "debuff", VLOOKUP($R232, Factor!$K$18:$R$19, _xlpm.기본_색인번호, 0),1),
_xlpm.상태이상탄환형태보정치, IF($G232 = "debuff", VLOOKUP($S232, Factor!$K$24:$R$25, _xlpm.기본_색인번호, 0),1),
_xlpm.가격보정치, INDEX(Factor!$AE$5:$AL$51, _xlfn.XMATCH($F232,Factor!$AE$5:$AE$51, -1), _xlpm.기본_색인번호),
_xlpm.구경보정치, VLOOKUP($D232,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233" spans="1:33" ht="15.75" customHeight="1">
      <c r="A233" s="24" t="str">
        <f>"weapon_"&amp;G233&amp;"_"&amp;VLOOKUP(H233, Factor!$T$5:$AB$7, 9, 0)&amp;"_"&amp;IF(COUNTIFS($G$4:G232, G233, $H$4:H232, H233)+1&gt;=100, COUNTIFS($G$4:G232, G233, $H$4:H232, H233)+1,IF(COUNTIFS($G$4:G232, G233, $H$4:H232, H233)+1&gt;=10, "0"&amp;COUNTIFS($G$4:G232, G233, $H$4:H232, H233)+1, "00"&amp;COUNTIFS($G$4:G232, G233, $H$4:H232, H233)+1))</f>
        <v>weapon_shot_Am_053</v>
      </c>
      <c r="B233" s="36" t="str">
        <f t="shared" si="3"/>
        <v>T2 5.56mm쌍열 대공포</v>
      </c>
      <c r="C233" s="36" t="s">
        <v>246</v>
      </c>
      <c r="D233" s="36" t="s">
        <v>241</v>
      </c>
      <c r="E233" s="36" t="s">
        <v>281</v>
      </c>
      <c r="F233" s="25">
        <f>VLOOKUP(C233, Factor!$AD$5:$AE$15, 2, 0)</f>
        <v>2000</v>
      </c>
      <c r="G233" s="26" t="str">
        <f>VLOOKUP(E233, Factor!$CL$5:$CV$50, 2, 0)</f>
        <v>shot</v>
      </c>
      <c r="H233" s="25" t="str">
        <f>VLOOKUP(E233, Factor!$CL$5:$CV$50, 3, 0)</f>
        <v>ammo</v>
      </c>
      <c r="I233" s="25" t="str">
        <f>VLOOKUP(E233, Factor!$CL$5:$CV$50, 4, 0)</f>
        <v>F</v>
      </c>
      <c r="J233" s="25" t="str">
        <f>VLOOKUP(E233, Factor!$CL$5:$CV$50, 5, 0)</f>
        <v>spread</v>
      </c>
      <c r="K233" s="25">
        <v>1</v>
      </c>
      <c r="L233" s="25">
        <f>VLOOKUP(E233, Factor!$CL$5:$CV$50, 6, 0)*K233*VLOOKUP(D233, Factor!$BZ$5:$CJ$49, 9, 0)</f>
        <v>0</v>
      </c>
      <c r="M233" s="25" t="str">
        <f>VLOOKUP(E233, Factor!$CL$5:$CV$50, 7, 0)</f>
        <v>null</v>
      </c>
      <c r="N233" s="25">
        <v>1</v>
      </c>
      <c r="O233" s="25">
        <f>VLOOKUP(E233, Factor!$CL$5:$CV$50, 8, 0)*N233*VLOOKUP(D233, Factor!$BZ$5:$CJ$49, 10, 0)</f>
        <v>6</v>
      </c>
      <c r="P233" s="25">
        <v>1</v>
      </c>
      <c r="Q233" s="25">
        <f>VLOOKUP(E233, Factor!$CL$5:$CV$50, 9, 0)*P233*VLOOKUP(D233, Factor!$BZ$5:$CJ$49, 11, 0)</f>
        <v>2</v>
      </c>
      <c r="R233" s="25" t="str">
        <f>VLOOKUP(E233, Factor!$CL$5:$CV$50, 10, 0)</f>
        <v>null</v>
      </c>
      <c r="S233" s="25" t="str">
        <f>VLOOKUP(E233, Factor!$CL$5:$CV$50, 11, 0)</f>
        <v>null</v>
      </c>
      <c r="T233" s="25">
        <v>1</v>
      </c>
      <c r="U233" s="25">
        <v>1</v>
      </c>
      <c r="V233" s="25">
        <v>1</v>
      </c>
      <c r="W233" s="25">
        <v>1</v>
      </c>
      <c r="X233" s="25">
        <v>1</v>
      </c>
      <c r="Y233" s="25">
        <v>1</v>
      </c>
      <c r="Z233" s="25">
        <v>1</v>
      </c>
      <c r="AA233" s="25" cm="1">
        <f t="array" ref="AA233">_xlfn.LET(_xlpm.기본_색인번호, 2,
_xlpm.추가_색인번호, 3,
_xlpm.개별보정치, T233,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B233" s="25" cm="1">
        <f t="array" ref="AB233">_xlfn.LET(_xlpm.기본_색인번호, 3,
_xlpm.추가_색인번호, 4,
_xlpm.개별보정치, U233,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C233" s="25" cm="1">
        <f t="array" ref="AC233">_xlfn.LET(_xlpm.기본_색인번호, 4,
_xlpm.추가_색인번호, 5,
_xlpm.개별보정치, V233,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33" s="25" cm="1">
        <f t="array" ref="AD233">_xlfn.LET(_xlpm.기본_색인번호, 5,
_xlpm.추가_색인번호, 6,
_xlpm.개별보정치, W233,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E233" s="25" cm="1">
        <f t="array" ref="AE233">_xlfn.LET(_xlpm.기본_색인번호, 6,
_xlpm.추가_색인번호, 7,
_xlpm.개별보정치, X233,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  <c r="AF233" s="25" cm="1">
        <f t="array" ref="AF233">_xlfn.LET(_xlpm.기본_색인번호, 7,
_xlpm.추가_색인번호, 8,
_xlpm.개별보정치, Y233,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33" s="27" cm="1">
        <f t="array" ref="AG233">_xlfn.LET(_xlpm.기본_색인번호, 8,
_xlpm.추가_색인번호, 9,
_xlpm.개별보정치, Z233,
_xlpm.패턴보정치, VLOOKUP($G233, Factor!$B$5:$I$51, _xlpm.기본_색인번호, 0),
_xlpm.소모탄환보정치, VLOOKUP($H233, Factor!$T$5:$AA$51, _xlpm.기본_색인번호, 0),
_xlpm.지형보정치, VLOOKUP($I233, Factor!$K$12:$R$13, _xlpm.기본_색인번호, 0),
_xlpm.공격속성보정치, VLOOKUP($J233, Factor!$K$5:$R$7, _xlpm.기본_색인번호, 0),
_xlpm.피해범위보정치, INDEX(Factor!$AN$5:$AV$51, _xlfn.XMATCH(IF(OR($G233="blast", $G233="curved",  $G233= "debuff"), $L233, 0), Factor!$AN$5:$AN$51, -1), _xlpm.추가_색인번호)-IF(AND(OR($G233="blast", $G233="curved", $G233= "debuff"), MOD($L233,1)&lt;&gt;0),INDEX(Factor!$AN$5:$AV$51, _xlfn.XMATCH(IF(OR($G233="blast", $G233="curved", $G233= "debuff"), $L233, 0), Factor!$AN$5:$AN$51, -1), 2)*MOD($L233,1)*10,0),
_xlpm.상태이상보정치, VLOOKUP(IF($G233 = "debuff", $M233, "null"), Factor!$AX$5:$BE$51, _xlpm.기본_색인번호, 0),
_xlpm.지속시간보정치, INDEX(Factor!$BG$5:$BO$51, _xlfn.XMATCH(IF(OR($G233 ="debuff", $G233 = "shot", $G233 = "pierce"), $O233, 0), Factor!$BG$5:$BG$51, -1), _xlpm.추가_색인번호)-IF(AND(OR($G233 ="debuff", $G233 = "shot", $G233 = "pierce"), MOD($O233, 1)&lt;&gt;0), 10*MOD($O233, 1)*INDEX(Factor!$BG$5:$BO$51, _xlfn.XMATCH(IF(OR($G233 ="debuff", $G233 = "shot", $G233 = "pierce"), $O233, 0), Factor!$BG$5:$BG$51, -1), 2), 0),
_xlpm.탄환개수보정치, VLOOKUP(IF(OR($G233 = "curved", $G233 = "shot"), $Q233, 1), Factor!$BQ$5:$BX$51, _xlpm.기본_색인번호, 0),
_xlpm.상태이상탄환생성위치보정치, IF($G233 = "debuff", VLOOKUP($R233, Factor!$K$18:$R$19, _xlpm.기본_색인번호, 0),1),
_xlpm.상태이상탄환형태보정치, IF($G233 = "debuff", VLOOKUP($S233, Factor!$K$24:$R$25, _xlpm.기본_색인번호, 0),1),
_xlpm.가격보정치, INDEX(Factor!$AE$5:$AL$51, _xlfn.XMATCH($F233,Factor!$AE$5:$AE$51, -1), _xlpm.기본_색인번호),
_xlpm.구경보정치, VLOOKUP($D233,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43.199999999999996</v>
      </c>
    </row>
    <row r="234" spans="1:33" ht="15.75" customHeight="1">
      <c r="A234" s="28" t="str">
        <f>"weapon_"&amp;G234&amp;"_"&amp;VLOOKUP(H234, Factor!$T$5:$AB$7, 9, 0)&amp;"_"&amp;IF(COUNTIFS($G$4:G233, G234, $H$4:H233, H234)+1&gt;=100, COUNTIFS($G$4:G233, G234, $H$4:H233, H234)+1,IF(COUNTIFS($G$4:G233, G234, $H$4:H233, H234)+1&gt;=10, "0"&amp;COUNTIFS($G$4:G233, G234, $H$4:H233, H234)+1, "00"&amp;COUNTIFS($G$4:G233, G234, $H$4:H233, H234)+1))</f>
        <v>weapon_shot_Am_054</v>
      </c>
      <c r="B234" s="37" t="str">
        <f t="shared" si="3"/>
        <v>T2 7.62mm쌍열 대공포</v>
      </c>
      <c r="C234" s="37" t="s">
        <v>246</v>
      </c>
      <c r="D234" s="37" t="s">
        <v>242</v>
      </c>
      <c r="E234" s="37" t="s">
        <v>281</v>
      </c>
      <c r="F234" s="29">
        <f>VLOOKUP(C234, Factor!$AD$5:$AE$15, 2, 0)</f>
        <v>2000</v>
      </c>
      <c r="G234" s="29" t="str">
        <f>VLOOKUP(E234, Factor!$CL$5:$CV$50, 2, 0)</f>
        <v>shot</v>
      </c>
      <c r="H234" s="29" t="str">
        <f>VLOOKUP(E234, Factor!$CL$5:$CV$50, 3, 0)</f>
        <v>ammo</v>
      </c>
      <c r="I234" s="29" t="str">
        <f>VLOOKUP(E234, Factor!$CL$5:$CV$50, 4, 0)</f>
        <v>F</v>
      </c>
      <c r="J234" s="29" t="str">
        <f>VLOOKUP(E234, Factor!$CL$5:$CV$50, 5, 0)</f>
        <v>spread</v>
      </c>
      <c r="K234" s="29">
        <v>1</v>
      </c>
      <c r="L234" s="29">
        <f>VLOOKUP(E234, Factor!$CL$5:$CV$50, 6, 0)*K234*VLOOKUP(D234, Factor!$BZ$5:$CJ$49, 9, 0)</f>
        <v>0</v>
      </c>
      <c r="M234" s="29" t="str">
        <f>VLOOKUP(E234, Factor!$CL$5:$CV$50, 7, 0)</f>
        <v>null</v>
      </c>
      <c r="N234" s="29">
        <v>1</v>
      </c>
      <c r="O234" s="29">
        <f>VLOOKUP(E234, Factor!$CL$5:$CV$50, 8, 0)*N234*VLOOKUP(D234, Factor!$BZ$5:$CJ$49, 10, 0)</f>
        <v>9</v>
      </c>
      <c r="P234" s="29">
        <v>1</v>
      </c>
      <c r="Q234" s="29">
        <f>VLOOKUP(E234, Factor!$CL$5:$CV$50, 9, 0)*P234*VLOOKUP(D234, Factor!$BZ$5:$CJ$49, 11, 0)</f>
        <v>3</v>
      </c>
      <c r="R234" s="29" t="str">
        <f>VLOOKUP(E234, Factor!$CL$5:$CV$50, 10, 0)</f>
        <v>null</v>
      </c>
      <c r="S234" s="29" t="str">
        <f>VLOOKUP(E234, Factor!$CL$5:$CV$50, 11, 0)</f>
        <v>null</v>
      </c>
      <c r="T234" s="29">
        <v>1</v>
      </c>
      <c r="U234" s="29">
        <v>1</v>
      </c>
      <c r="V234" s="29">
        <v>1</v>
      </c>
      <c r="W234" s="29">
        <v>1</v>
      </c>
      <c r="X234" s="29">
        <v>1</v>
      </c>
      <c r="Y234" s="29">
        <v>1</v>
      </c>
      <c r="Z234" s="29">
        <v>1</v>
      </c>
      <c r="AA234" s="29" cm="1">
        <f t="array" ref="AA234">_xlfn.LET(_xlpm.기본_색인번호, 2,
_xlpm.추가_색인번호, 3,
_xlpm.개별보정치, T234,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B234" s="29" cm="1">
        <f t="array" ref="AB234">_xlfn.LET(_xlpm.기본_색인번호, 3,
_xlpm.추가_색인번호, 4,
_xlpm.개별보정치, U234,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C234" s="29" cm="1">
        <f t="array" ref="AC234">_xlfn.LET(_xlpm.기본_색인번호, 4,
_xlpm.추가_색인번호, 5,
_xlpm.개별보정치, V234,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34" s="29" cm="1">
        <f t="array" ref="AD234">_xlfn.LET(_xlpm.기본_색인번호, 5,
_xlpm.추가_색인번호, 6,
_xlpm.개별보정치, W234,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E234" s="29" cm="1">
        <f t="array" ref="AE234">_xlfn.LET(_xlpm.기본_색인번호, 6,
_xlpm.추가_색인번호, 7,
_xlpm.개별보정치, X234,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  <c r="AF234" s="29" cm="1">
        <f t="array" ref="AF234">_xlfn.LET(_xlpm.기본_색인번호, 7,
_xlpm.추가_색인번호, 8,
_xlpm.개별보정치, Y234,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34" s="30" cm="1">
        <f t="array" ref="AG234">_xlfn.LET(_xlpm.기본_색인번호, 8,
_xlpm.추가_색인번호, 9,
_xlpm.개별보정치, Z234,
_xlpm.패턴보정치, VLOOKUP($G234, Factor!$B$5:$I$51, _xlpm.기본_색인번호, 0),
_xlpm.소모탄환보정치, VLOOKUP($H234, Factor!$T$5:$AA$51, _xlpm.기본_색인번호, 0),
_xlpm.지형보정치, VLOOKUP($I234, Factor!$K$12:$R$13, _xlpm.기본_색인번호, 0),
_xlpm.공격속성보정치, VLOOKUP($J234, Factor!$K$5:$R$7, _xlpm.기본_색인번호, 0),
_xlpm.피해범위보정치, INDEX(Factor!$AN$5:$AV$51, _xlfn.XMATCH(IF(OR($G234="blast", $G234="curved",  $G234= "debuff"), $L234, 0), Factor!$AN$5:$AN$51, -1), _xlpm.추가_색인번호)-IF(AND(OR($G234="blast", $G234="curved", $G234= "debuff"), MOD($L234,1)&lt;&gt;0),INDEX(Factor!$AN$5:$AV$51, _xlfn.XMATCH(IF(OR($G234="blast", $G234="curved", $G234= "debuff"), $L234, 0), Factor!$AN$5:$AN$51, -1), 2)*MOD($L234,1)*10,0),
_xlpm.상태이상보정치, VLOOKUP(IF($G234 = "debuff", $M234, "null"), Factor!$AX$5:$BE$51, _xlpm.기본_색인번호, 0),
_xlpm.지속시간보정치, INDEX(Factor!$BG$5:$BO$51, _xlfn.XMATCH(IF(OR($G234 ="debuff", $G234 = "shot", $G234 = "pierce"), $O234, 0), Factor!$BG$5:$BG$51, -1), _xlpm.추가_색인번호)-IF(AND(OR($G234 ="debuff", $G234 = "shot", $G234 = "pierce"), MOD($O234, 1)&lt;&gt;0), 10*MOD($O234, 1)*INDEX(Factor!$BG$5:$BO$51, _xlfn.XMATCH(IF(OR($G234 ="debuff", $G234 = "shot", $G234 = "pierce"), $O234, 0), Factor!$BG$5:$BG$51, -1), 2), 0),
_xlpm.탄환개수보정치, VLOOKUP(IF(OR($G234 = "curved", $G234 = "shot"), $Q234, 1), Factor!$BQ$5:$BX$51, _xlpm.기본_색인번호, 0),
_xlpm.상태이상탄환생성위치보정치, IF($G234 = "debuff", VLOOKUP($R234, Factor!$K$18:$R$19, _xlpm.기본_색인번호, 0),1),
_xlpm.상태이상탄환형태보정치, IF($G234 = "debuff", VLOOKUP($S234, Factor!$K$24:$R$25, _xlpm.기본_색인번호, 0),1),
_xlpm.가격보정치, INDEX(Factor!$AE$5:$AL$51, _xlfn.XMATCH($F234,Factor!$AE$5:$AE$51, -1), _xlpm.기본_색인번호),
_xlpm.구경보정치, VLOOKUP($D234,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97.199999999999989</v>
      </c>
    </row>
    <row r="235" spans="1:33" ht="15.75" customHeight="1">
      <c r="A235" s="24" t="str">
        <f>"weapon_"&amp;G235&amp;"_"&amp;VLOOKUP(H235, Factor!$T$5:$AB$7, 9, 0)&amp;"_"&amp;IF(COUNTIFS($G$4:G234, G235, $H$4:H234, H235)+1&gt;=100, COUNTIFS($G$4:G234, G235, $H$4:H234, H235)+1,IF(COUNTIFS($G$4:G234, G235, $H$4:H234, H235)+1&gt;=10, "0"&amp;COUNTIFS($G$4:G234, G235, $H$4:H234, H235)+1, "00"&amp;COUNTIFS($G$4:G234, G235, $H$4:H234, H235)+1))</f>
        <v>weapon_shot_Am_055</v>
      </c>
      <c r="B235" s="36" t="str">
        <f t="shared" si="3"/>
        <v>T2 12.7mm쌍열 대공포</v>
      </c>
      <c r="C235" s="36" t="s">
        <v>246</v>
      </c>
      <c r="D235" s="36" t="s">
        <v>243</v>
      </c>
      <c r="E235" s="36" t="s">
        <v>281</v>
      </c>
      <c r="F235" s="25">
        <f>VLOOKUP(C235, Factor!$AD$5:$AE$15, 2, 0)</f>
        <v>2000</v>
      </c>
      <c r="G235" s="26" t="str">
        <f>VLOOKUP(E235, Factor!$CL$5:$CV$50, 2, 0)</f>
        <v>shot</v>
      </c>
      <c r="H235" s="25" t="str">
        <f>VLOOKUP(E235, Factor!$CL$5:$CV$50, 3, 0)</f>
        <v>ammo</v>
      </c>
      <c r="I235" s="25" t="str">
        <f>VLOOKUP(E235, Factor!$CL$5:$CV$50, 4, 0)</f>
        <v>F</v>
      </c>
      <c r="J235" s="25" t="str">
        <f>VLOOKUP(E235, Factor!$CL$5:$CV$50, 5, 0)</f>
        <v>spread</v>
      </c>
      <c r="K235" s="25">
        <v>1</v>
      </c>
      <c r="L235" s="25">
        <f>VLOOKUP(E235, Factor!$CL$5:$CV$50, 6, 0)*K235*VLOOKUP(D235, Factor!$BZ$5:$CJ$49, 9, 0)</f>
        <v>0</v>
      </c>
      <c r="M235" s="25" t="str">
        <f>VLOOKUP(E235, Factor!$CL$5:$CV$50, 7, 0)</f>
        <v>null</v>
      </c>
      <c r="N235" s="25">
        <v>1</v>
      </c>
      <c r="O235" s="25">
        <f>VLOOKUP(E235, Factor!$CL$5:$CV$50, 8, 0)*N235*VLOOKUP(D235, Factor!$BZ$5:$CJ$49, 10, 0)</f>
        <v>12</v>
      </c>
      <c r="P235" s="25">
        <v>1</v>
      </c>
      <c r="Q235" s="25">
        <f>VLOOKUP(E235, Factor!$CL$5:$CV$50, 9, 0)*P235*VLOOKUP(D235, Factor!$BZ$5:$CJ$49, 11, 0)</f>
        <v>4</v>
      </c>
      <c r="R235" s="25" t="str">
        <f>VLOOKUP(E235, Factor!$CL$5:$CV$50, 10, 0)</f>
        <v>null</v>
      </c>
      <c r="S235" s="25" t="str">
        <f>VLOOKUP(E235, Factor!$CL$5:$CV$50, 11, 0)</f>
        <v>null</v>
      </c>
      <c r="T235" s="25">
        <v>1</v>
      </c>
      <c r="U235" s="25">
        <v>1</v>
      </c>
      <c r="V235" s="25">
        <v>1</v>
      </c>
      <c r="W235" s="25">
        <v>1</v>
      </c>
      <c r="X235" s="25">
        <v>1</v>
      </c>
      <c r="Y235" s="25">
        <v>1</v>
      </c>
      <c r="Z235" s="25">
        <v>1</v>
      </c>
      <c r="AA235" s="25" cm="1">
        <f t="array" ref="AA235">_xlfn.LET(_xlpm.기본_색인번호, 2,
_xlpm.추가_색인번호, 3,
_xlpm.개별보정치, T235,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35" s="25" cm="1">
        <f t="array" ref="AB235">_xlfn.LET(_xlpm.기본_색인번호, 3,
_xlpm.추가_색인번호, 4,
_xlpm.개별보정치, U235,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235" s="25" cm="1">
        <f t="array" ref="AC235">_xlfn.LET(_xlpm.기본_색인번호, 4,
_xlpm.추가_색인번호, 5,
_xlpm.개별보정치, V235,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35" s="25" cm="1">
        <f t="array" ref="AD235">_xlfn.LET(_xlpm.기본_색인번호, 5,
_xlpm.추가_색인번호, 6,
_xlpm.개별보정치, W235,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E235" s="25" cm="1">
        <f t="array" ref="AE235">_xlfn.LET(_xlpm.기본_색인번호, 6,
_xlpm.추가_색인번호, 7,
_xlpm.개별보정치, X235,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F235" s="25" cm="1">
        <f t="array" ref="AF235">_xlfn.LET(_xlpm.기본_색인번호, 7,
_xlpm.추가_색인번호, 8,
_xlpm.개별보정치, Y235,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35" s="27" cm="1">
        <f t="array" ref="AG235">_xlfn.LET(_xlpm.기본_색인번호, 8,
_xlpm.추가_색인번호, 9,
_xlpm.개별보정치, Z235,
_xlpm.패턴보정치, VLOOKUP($G235, Factor!$B$5:$I$51, _xlpm.기본_색인번호, 0),
_xlpm.소모탄환보정치, VLOOKUP($H235, Factor!$T$5:$AA$51, _xlpm.기본_색인번호, 0),
_xlpm.지형보정치, VLOOKUP($I235, Factor!$K$12:$R$13, _xlpm.기본_색인번호, 0),
_xlpm.공격속성보정치, VLOOKUP($J235, Factor!$K$5:$R$7, _xlpm.기본_색인번호, 0),
_xlpm.피해범위보정치, INDEX(Factor!$AN$5:$AV$51, _xlfn.XMATCH(IF(OR($G235="blast", $G235="curved",  $G235= "debuff"), $L235, 0), Factor!$AN$5:$AN$51, -1), _xlpm.추가_색인번호)-IF(AND(OR($G235="blast", $G235="curved", $G235= "debuff"), MOD($L235,1)&lt;&gt;0),INDEX(Factor!$AN$5:$AV$51, _xlfn.XMATCH(IF(OR($G235="blast", $G235="curved", $G235= "debuff"), $L235, 0), Factor!$AN$5:$AN$51, -1), 2)*MOD($L235,1)*10,0),
_xlpm.상태이상보정치, VLOOKUP(IF($G235 = "debuff", $M235, "null"), Factor!$AX$5:$BE$51, _xlpm.기본_색인번호, 0),
_xlpm.지속시간보정치, INDEX(Factor!$BG$5:$BO$51, _xlfn.XMATCH(IF(OR($G235 ="debuff", $G235 = "shot", $G235 = "pierce"), $O235, 0), Factor!$BG$5:$BG$51, -1), _xlpm.추가_색인번호)-IF(AND(OR($G235 ="debuff", $G235 = "shot", $G235 = "pierce"), MOD($O235, 1)&lt;&gt;0), 10*MOD($O235, 1)*INDEX(Factor!$BG$5:$BO$51, _xlfn.XMATCH(IF(OR($G235 ="debuff", $G235 = "shot", $G235 = "pierce"), $O235, 0), Factor!$BG$5:$BG$51, -1), 2), 0),
_xlpm.탄환개수보정치, VLOOKUP(IF(OR($G235 = "curved", $G235 = "shot"), $Q235, 1), Factor!$BQ$5:$BX$51, _xlpm.기본_색인번호, 0),
_xlpm.상태이상탄환생성위치보정치, IF($G235 = "debuff", VLOOKUP($R235, Factor!$K$18:$R$19, _xlpm.기본_색인번호, 0),1),
_xlpm.상태이상탄환형태보정치, IF($G235 = "debuff", VLOOKUP($S235, Factor!$K$24:$R$25, _xlpm.기본_색인번호, 0),1),
_xlpm.가격보정치, INDEX(Factor!$AE$5:$AL$51, _xlfn.XMATCH($F235,Factor!$AE$5:$AE$51, -1), _xlpm.기본_색인번호),
_xlpm.구경보정치, VLOOKUP($D235,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</row>
    <row r="236" spans="1:33" ht="15.75" customHeight="1">
      <c r="A236" s="28" t="str">
        <f>"weapon_"&amp;G236&amp;"_"&amp;VLOOKUP(H236, Factor!$T$5:$AB$7, 9, 0)&amp;"_"&amp;IF(COUNTIFS($G$4:G235, G236, $H$4:H235, H236)+1&gt;=100, COUNTIFS($G$4:G235, G236, $H$4:H235, H236)+1,IF(COUNTIFS($G$4:G235, G236, $H$4:H235, H236)+1&gt;=10, "0"&amp;COUNTIFS($G$4:G235, G236, $H$4:H235, H236)+1, "00"&amp;COUNTIFS($G$4:G235, G236, $H$4:H235, H236)+1))</f>
        <v>weapon_shot_Am_056</v>
      </c>
      <c r="B236" s="37" t="str">
        <f t="shared" si="3"/>
        <v>T2 20mm쌍열 대공포</v>
      </c>
      <c r="C236" s="37" t="s">
        <v>246</v>
      </c>
      <c r="D236" s="37" t="s">
        <v>244</v>
      </c>
      <c r="E236" s="37" t="s">
        <v>281</v>
      </c>
      <c r="F236" s="29">
        <f>VLOOKUP(C236, Factor!$AD$5:$AE$15, 2, 0)</f>
        <v>2000</v>
      </c>
      <c r="G236" s="29" t="str">
        <f>VLOOKUP(E236, Factor!$CL$5:$CV$50, 2, 0)</f>
        <v>shot</v>
      </c>
      <c r="H236" s="29" t="str">
        <f>VLOOKUP(E236, Factor!$CL$5:$CV$50, 3, 0)</f>
        <v>ammo</v>
      </c>
      <c r="I236" s="29" t="str">
        <f>VLOOKUP(E236, Factor!$CL$5:$CV$50, 4, 0)</f>
        <v>F</v>
      </c>
      <c r="J236" s="29" t="str">
        <f>VLOOKUP(E236, Factor!$CL$5:$CV$50, 5, 0)</f>
        <v>spread</v>
      </c>
      <c r="K236" s="29">
        <v>1</v>
      </c>
      <c r="L236" s="29">
        <f>VLOOKUP(E236, Factor!$CL$5:$CV$50, 6, 0)*K236*VLOOKUP(D236, Factor!$BZ$5:$CJ$49, 9, 0)</f>
        <v>0</v>
      </c>
      <c r="M236" s="29" t="str">
        <f>VLOOKUP(E236, Factor!$CL$5:$CV$50, 7, 0)</f>
        <v>null</v>
      </c>
      <c r="N236" s="29">
        <v>1</v>
      </c>
      <c r="O236" s="29">
        <f>VLOOKUP(E236, Factor!$CL$5:$CV$50, 8, 0)*N236*VLOOKUP(D236, Factor!$BZ$5:$CJ$49, 10, 0)</f>
        <v>15</v>
      </c>
      <c r="P236" s="29">
        <v>1</v>
      </c>
      <c r="Q236" s="29">
        <f>VLOOKUP(E236, Factor!$CL$5:$CV$50, 9, 0)*P236*VLOOKUP(D236, Factor!$BZ$5:$CJ$49, 11, 0)</f>
        <v>5</v>
      </c>
      <c r="R236" s="29" t="str">
        <f>VLOOKUP(E236, Factor!$CL$5:$CV$50, 10, 0)</f>
        <v>null</v>
      </c>
      <c r="S236" s="29" t="str">
        <f>VLOOKUP(E236, Factor!$CL$5:$CV$50, 11, 0)</f>
        <v>null</v>
      </c>
      <c r="T236" s="29">
        <v>1</v>
      </c>
      <c r="U236" s="29">
        <v>1</v>
      </c>
      <c r="V236" s="29">
        <v>1</v>
      </c>
      <c r="W236" s="29">
        <v>1</v>
      </c>
      <c r="X236" s="29">
        <v>1</v>
      </c>
      <c r="Y236" s="29">
        <v>1</v>
      </c>
      <c r="Z236" s="29">
        <v>1</v>
      </c>
      <c r="AA236" s="29" cm="1">
        <f t="array" ref="AA236">_xlfn.LET(_xlpm.기본_색인번호, 2,
_xlpm.추가_색인번호, 3,
_xlpm.개별보정치, T236,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236" s="29" cm="1">
        <f t="array" ref="AB236">_xlfn.LET(_xlpm.기본_색인번호, 3,
_xlpm.추가_색인번호, 4,
_xlpm.개별보정치, U236,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36" s="29" cm="1">
        <f t="array" ref="AC236">_xlfn.LET(_xlpm.기본_색인번호, 4,
_xlpm.추가_색인번호, 5,
_xlpm.개별보정치, V236,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36" s="29" cm="1">
        <f t="array" ref="AD236">_xlfn.LET(_xlpm.기본_색인번호, 5,
_xlpm.추가_색인번호, 6,
_xlpm.개별보정치, W236,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236" s="29" cm="1">
        <f t="array" ref="AE236">_xlfn.LET(_xlpm.기본_색인번호, 6,
_xlpm.추가_색인번호, 7,
_xlpm.개별보정치, X236,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236" s="29" cm="1">
        <f t="array" ref="AF236">_xlfn.LET(_xlpm.기본_색인번호, 7,
_xlpm.추가_색인번호, 8,
_xlpm.개별보정치, Y236,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36" s="30" cm="1">
        <f t="array" ref="AG236">_xlfn.LET(_xlpm.기본_색인번호, 8,
_xlpm.추가_색인번호, 9,
_xlpm.개별보정치, Z236,
_xlpm.패턴보정치, VLOOKUP($G236, Factor!$B$5:$I$51, _xlpm.기본_색인번호, 0),
_xlpm.소모탄환보정치, VLOOKUP($H236, Factor!$T$5:$AA$51, _xlpm.기본_색인번호, 0),
_xlpm.지형보정치, VLOOKUP($I236, Factor!$K$12:$R$13, _xlpm.기본_색인번호, 0),
_xlpm.공격속성보정치, VLOOKUP($J236, Factor!$K$5:$R$7, _xlpm.기본_색인번호, 0),
_xlpm.피해범위보정치, INDEX(Factor!$AN$5:$AV$51, _xlfn.XMATCH(IF(OR($G236="blast", $G236="curved",  $G236= "debuff"), $L236, 0), Factor!$AN$5:$AN$51, -1), _xlpm.추가_색인번호)-IF(AND(OR($G236="blast", $G236="curved", $G236= "debuff"), MOD($L236,1)&lt;&gt;0),INDEX(Factor!$AN$5:$AV$51, _xlfn.XMATCH(IF(OR($G236="blast", $G236="curved", $G236= "debuff"), $L236, 0), Factor!$AN$5:$AN$51, -1), 2)*MOD($L236,1)*10,0),
_xlpm.상태이상보정치, VLOOKUP(IF($G236 = "debuff", $M236, "null"), Factor!$AX$5:$BE$51, _xlpm.기본_색인번호, 0),
_xlpm.지속시간보정치, INDEX(Factor!$BG$5:$BO$51, _xlfn.XMATCH(IF(OR($G236 ="debuff", $G236 = "shot", $G236 = "pierce"), $O236, 0), Factor!$BG$5:$BG$51, -1), _xlpm.추가_색인번호)-IF(AND(OR($G236 ="debuff", $G236 = "shot", $G236 = "pierce"), MOD($O236, 1)&lt;&gt;0), 10*MOD($O236, 1)*INDEX(Factor!$BG$5:$BO$51, _xlfn.XMATCH(IF(OR($G236 ="debuff", $G236 = "shot", $G236 = "pierce"), $O236, 0), Factor!$BG$5:$BG$51, -1), 2), 0),
_xlpm.탄환개수보정치, VLOOKUP(IF(OR($G236 = "curved", $G236 = "shot"), $Q236, 1), Factor!$BQ$5:$BX$51, _xlpm.기본_색인번호, 0),
_xlpm.상태이상탄환생성위치보정치, IF($G236 = "debuff", VLOOKUP($R236, Factor!$K$18:$R$19, _xlpm.기본_색인번호, 0),1),
_xlpm.상태이상탄환형태보정치, IF($G236 = "debuff", VLOOKUP($S236, Factor!$K$24:$R$25, _xlpm.기본_색인번호, 0),1),
_xlpm.가격보정치, INDEX(Factor!$AE$5:$AL$51, _xlfn.XMATCH($F236,Factor!$AE$5:$AE$51, -1), _xlpm.기본_색인번호),
_xlpm.구경보정치, VLOOKUP($D236,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237" spans="1:33" ht="15.75" customHeight="1">
      <c r="A237" s="24" t="str">
        <f>"weapon_"&amp;G237&amp;"_"&amp;VLOOKUP(H237, Factor!$T$5:$AB$7, 9, 0)&amp;"_"&amp;IF(COUNTIFS($G$4:G236, G237, $H$4:H236, H237)+1&gt;=100, COUNTIFS($G$4:G236, G237, $H$4:H236, H237)+1,IF(COUNTIFS($G$4:G236, G237, $H$4:H236, H237)+1&gt;=10, "0"&amp;COUNTIFS($G$4:G236, G237, $H$4:H236, H237)+1, "00"&amp;COUNTIFS($G$4:G236, G237, $H$4:H236, H237)+1))</f>
        <v>weapon_shot_Am_057</v>
      </c>
      <c r="B237" s="36" t="str">
        <f t="shared" si="3"/>
        <v>T3 5.56mm쌍열 대공포</v>
      </c>
      <c r="C237" s="36" t="s">
        <v>247</v>
      </c>
      <c r="D237" s="36" t="s">
        <v>241</v>
      </c>
      <c r="E237" s="36" t="s">
        <v>281</v>
      </c>
      <c r="F237" s="25">
        <f>VLOOKUP(C237, Factor!$AD$5:$AE$15, 2, 0)</f>
        <v>3000</v>
      </c>
      <c r="G237" s="26" t="str">
        <f>VLOOKUP(E237, Factor!$CL$5:$CV$50, 2, 0)</f>
        <v>shot</v>
      </c>
      <c r="H237" s="25" t="str">
        <f>VLOOKUP(E237, Factor!$CL$5:$CV$50, 3, 0)</f>
        <v>ammo</v>
      </c>
      <c r="I237" s="25" t="str">
        <f>VLOOKUP(E237, Factor!$CL$5:$CV$50, 4, 0)</f>
        <v>F</v>
      </c>
      <c r="J237" s="25" t="str">
        <f>VLOOKUP(E237, Factor!$CL$5:$CV$50, 5, 0)</f>
        <v>spread</v>
      </c>
      <c r="K237" s="25">
        <v>1</v>
      </c>
      <c r="L237" s="25">
        <f>VLOOKUP(E237, Factor!$CL$5:$CV$50, 6, 0)*K237*VLOOKUP(D237, Factor!$BZ$5:$CJ$49, 9, 0)</f>
        <v>0</v>
      </c>
      <c r="M237" s="25" t="str">
        <f>VLOOKUP(E237, Factor!$CL$5:$CV$50, 7, 0)</f>
        <v>null</v>
      </c>
      <c r="N237" s="25">
        <v>1</v>
      </c>
      <c r="O237" s="25">
        <f>VLOOKUP(E237, Factor!$CL$5:$CV$50, 8, 0)*N237*VLOOKUP(D237, Factor!$BZ$5:$CJ$49, 10, 0)</f>
        <v>6</v>
      </c>
      <c r="P237" s="25">
        <v>1</v>
      </c>
      <c r="Q237" s="25">
        <f>VLOOKUP(E237, Factor!$CL$5:$CV$50, 9, 0)*P237*VLOOKUP(D237, Factor!$BZ$5:$CJ$49, 11, 0)</f>
        <v>2</v>
      </c>
      <c r="R237" s="25" t="str">
        <f>VLOOKUP(E237, Factor!$CL$5:$CV$50, 10, 0)</f>
        <v>null</v>
      </c>
      <c r="S237" s="25" t="str">
        <f>VLOOKUP(E237, Factor!$CL$5:$CV$50, 11, 0)</f>
        <v>null</v>
      </c>
      <c r="T237" s="25">
        <v>1</v>
      </c>
      <c r="U237" s="25">
        <v>1</v>
      </c>
      <c r="V237" s="25">
        <v>1</v>
      </c>
      <c r="W237" s="25">
        <v>1</v>
      </c>
      <c r="X237" s="25">
        <v>1</v>
      </c>
      <c r="Y237" s="25">
        <v>1</v>
      </c>
      <c r="Z237" s="25">
        <v>1</v>
      </c>
      <c r="AA237" s="25" cm="1">
        <f t="array" ref="AA237">_xlfn.LET(_xlpm.기본_색인번호, 2,
_xlpm.추가_색인번호, 3,
_xlpm.개별보정치, T237,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960</v>
      </c>
      <c r="AB237" s="25" cm="1">
        <f t="array" ref="AB237">_xlfn.LET(_xlpm.기본_색인번호, 3,
_xlpm.추가_색인번호, 4,
_xlpm.개별보정치, U237,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C237" s="25" cm="1">
        <f t="array" ref="AC237">_xlfn.LET(_xlpm.기본_색인번호, 4,
_xlpm.추가_색인번호, 5,
_xlpm.개별보정치, V237,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37" s="25" cm="1">
        <f t="array" ref="AD237">_xlfn.LET(_xlpm.기본_색인번호, 5,
_xlpm.추가_색인번호, 6,
_xlpm.개별보정치, W237,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E237" s="25" cm="1">
        <f t="array" ref="AE237">_xlfn.LET(_xlpm.기본_색인번호, 6,
_xlpm.추가_색인번호, 7,
_xlpm.개별보정치, X237,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  <c r="AF237" s="25" cm="1">
        <f t="array" ref="AF237">_xlfn.LET(_xlpm.기본_색인번호, 7,
_xlpm.추가_색인번호, 8,
_xlpm.개별보정치, Y237,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37" s="27" cm="1">
        <f t="array" ref="AG237">_xlfn.LET(_xlpm.기본_색인번호, 8,
_xlpm.추가_색인번호, 9,
_xlpm.개별보정치, Z237,
_xlpm.패턴보정치, VLOOKUP($G237, Factor!$B$5:$I$51, _xlpm.기본_색인번호, 0),
_xlpm.소모탄환보정치, VLOOKUP($H237, Factor!$T$5:$AA$51, _xlpm.기본_색인번호, 0),
_xlpm.지형보정치, VLOOKUP($I237, Factor!$K$12:$R$13, _xlpm.기본_색인번호, 0),
_xlpm.공격속성보정치, VLOOKUP($J237, Factor!$K$5:$R$7, _xlpm.기본_색인번호, 0),
_xlpm.피해범위보정치, INDEX(Factor!$AN$5:$AV$51, _xlfn.XMATCH(IF(OR($G237="blast", $G237="curved",  $G237= "debuff"), $L237, 0), Factor!$AN$5:$AN$51, -1), _xlpm.추가_색인번호)-IF(AND(OR($G237="blast", $G237="curved", $G237= "debuff"), MOD($L237,1)&lt;&gt;0),INDEX(Factor!$AN$5:$AV$51, _xlfn.XMATCH(IF(OR($G237="blast", $G237="curved", $G237= "debuff"), $L237, 0), Factor!$AN$5:$AN$51, -1), 2)*MOD($L237,1)*10,0),
_xlpm.상태이상보정치, VLOOKUP(IF($G237 = "debuff", $M237, "null"), Factor!$AX$5:$BE$51, _xlpm.기본_색인번호, 0),
_xlpm.지속시간보정치, INDEX(Factor!$BG$5:$BO$51, _xlfn.XMATCH(IF(OR($G237 ="debuff", $G237 = "shot", $G237 = "pierce"), $O237, 0), Factor!$BG$5:$BG$51, -1), _xlpm.추가_색인번호)-IF(AND(OR($G237 ="debuff", $G237 = "shot", $G237 = "pierce"), MOD($O237, 1)&lt;&gt;0), 10*MOD($O237, 1)*INDEX(Factor!$BG$5:$BO$51, _xlfn.XMATCH(IF(OR($G237 ="debuff", $G237 = "shot", $G237 = "pierce"), $O237, 0), Factor!$BG$5:$BG$51, -1), 2), 0),
_xlpm.탄환개수보정치, VLOOKUP(IF(OR($G237 = "curved", $G237 = "shot"), $Q237, 1), Factor!$BQ$5:$BX$51, _xlpm.기본_색인번호, 0),
_xlpm.상태이상탄환생성위치보정치, IF($G237 = "debuff", VLOOKUP($R237, Factor!$K$18:$R$19, _xlpm.기본_색인번호, 0),1),
_xlpm.상태이상탄환형태보정치, IF($G237 = "debuff", VLOOKUP($S237, Factor!$K$24:$R$25, _xlpm.기본_색인번호, 0),1),
_xlpm.가격보정치, INDEX(Factor!$AE$5:$AL$51, _xlfn.XMATCH($F237,Factor!$AE$5:$AE$51, -1), _xlpm.기본_색인번호),
_xlpm.구경보정치, VLOOKUP($D237,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57.599999999999994</v>
      </c>
    </row>
    <row r="238" spans="1:33" ht="15.75" customHeight="1">
      <c r="A238" s="28" t="str">
        <f>"weapon_"&amp;G238&amp;"_"&amp;VLOOKUP(H238, Factor!$T$5:$AB$7, 9, 0)&amp;"_"&amp;IF(COUNTIFS($G$4:G237, G238, $H$4:H237, H238)+1&gt;=100, COUNTIFS($G$4:G237, G238, $H$4:H237, H238)+1,IF(COUNTIFS($G$4:G237, G238, $H$4:H237, H238)+1&gt;=10, "0"&amp;COUNTIFS($G$4:G237, G238, $H$4:H237, H238)+1, "00"&amp;COUNTIFS($G$4:G237, G238, $H$4:H237, H238)+1))</f>
        <v>weapon_shot_Am_058</v>
      </c>
      <c r="B238" s="37" t="str">
        <f t="shared" si="3"/>
        <v>T3 7.62mm쌍열 대공포</v>
      </c>
      <c r="C238" s="37" t="s">
        <v>247</v>
      </c>
      <c r="D238" s="37" t="s">
        <v>242</v>
      </c>
      <c r="E238" s="37" t="s">
        <v>281</v>
      </c>
      <c r="F238" s="29">
        <f>VLOOKUP(C238, Factor!$AD$5:$AE$15, 2, 0)</f>
        <v>3000</v>
      </c>
      <c r="G238" s="29" t="str">
        <f>VLOOKUP(E238, Factor!$CL$5:$CV$50, 2, 0)</f>
        <v>shot</v>
      </c>
      <c r="H238" s="29" t="str">
        <f>VLOOKUP(E238, Factor!$CL$5:$CV$50, 3, 0)</f>
        <v>ammo</v>
      </c>
      <c r="I238" s="29" t="str">
        <f>VLOOKUP(E238, Factor!$CL$5:$CV$50, 4, 0)</f>
        <v>F</v>
      </c>
      <c r="J238" s="29" t="str">
        <f>VLOOKUP(E238, Factor!$CL$5:$CV$50, 5, 0)</f>
        <v>spread</v>
      </c>
      <c r="K238" s="29">
        <v>1</v>
      </c>
      <c r="L238" s="29">
        <f>VLOOKUP(E238, Factor!$CL$5:$CV$50, 6, 0)*K238*VLOOKUP(D238, Factor!$BZ$5:$CJ$49, 9, 0)</f>
        <v>0</v>
      </c>
      <c r="M238" s="29" t="str">
        <f>VLOOKUP(E238, Factor!$CL$5:$CV$50, 7, 0)</f>
        <v>null</v>
      </c>
      <c r="N238" s="29">
        <v>1</v>
      </c>
      <c r="O238" s="29">
        <f>VLOOKUP(E238, Factor!$CL$5:$CV$50, 8, 0)*N238*VLOOKUP(D238, Factor!$BZ$5:$CJ$49, 10, 0)</f>
        <v>9</v>
      </c>
      <c r="P238" s="29">
        <v>1</v>
      </c>
      <c r="Q238" s="29">
        <f>VLOOKUP(E238, Factor!$CL$5:$CV$50, 9, 0)*P238*VLOOKUP(D238, Factor!$BZ$5:$CJ$49, 11, 0)</f>
        <v>3</v>
      </c>
      <c r="R238" s="29" t="str">
        <f>VLOOKUP(E238, Factor!$CL$5:$CV$50, 10, 0)</f>
        <v>null</v>
      </c>
      <c r="S238" s="29" t="str">
        <f>VLOOKUP(E238, Factor!$CL$5:$CV$50, 11, 0)</f>
        <v>null</v>
      </c>
      <c r="T238" s="29">
        <v>1</v>
      </c>
      <c r="U238" s="29">
        <v>1</v>
      </c>
      <c r="V238" s="29">
        <v>1</v>
      </c>
      <c r="W238" s="29">
        <v>1</v>
      </c>
      <c r="X238" s="29">
        <v>1</v>
      </c>
      <c r="Y238" s="29">
        <v>1</v>
      </c>
      <c r="Z238" s="29">
        <v>1</v>
      </c>
      <c r="AA238" s="29" cm="1">
        <f t="array" ref="AA238">_xlfn.LET(_xlpm.기본_색인번호, 2,
_xlpm.추가_색인번호, 3,
_xlpm.개별보정치, T238,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B238" s="29" cm="1">
        <f t="array" ref="AB238">_xlfn.LET(_xlpm.기본_색인번호, 3,
_xlpm.추가_색인번호, 4,
_xlpm.개별보정치, U238,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238" s="29" cm="1">
        <f t="array" ref="AC238">_xlfn.LET(_xlpm.기본_색인번호, 4,
_xlpm.추가_색인번호, 5,
_xlpm.개별보정치, V238,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38" s="29" cm="1">
        <f t="array" ref="AD238">_xlfn.LET(_xlpm.기본_색인번호, 5,
_xlpm.추가_색인번호, 6,
_xlpm.개별보정치, W238,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E238" s="29" cm="1">
        <f t="array" ref="AE238">_xlfn.LET(_xlpm.기본_색인번호, 6,
_xlpm.추가_색인번호, 7,
_xlpm.개별보정치, X238,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F238" s="29" cm="1">
        <f t="array" ref="AF238">_xlfn.LET(_xlpm.기본_색인번호, 7,
_xlpm.추가_색인번호, 8,
_xlpm.개별보정치, Y238,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38" s="30" cm="1">
        <f t="array" ref="AG238">_xlfn.LET(_xlpm.기본_색인번호, 8,
_xlpm.추가_색인번호, 9,
_xlpm.개별보정치, Z238,
_xlpm.패턴보정치, VLOOKUP($G238, Factor!$B$5:$I$51, _xlpm.기본_색인번호, 0),
_xlpm.소모탄환보정치, VLOOKUP($H238, Factor!$T$5:$AA$51, _xlpm.기본_색인번호, 0),
_xlpm.지형보정치, VLOOKUP($I238, Factor!$K$12:$R$13, _xlpm.기본_색인번호, 0),
_xlpm.공격속성보정치, VLOOKUP($J238, Factor!$K$5:$R$7, _xlpm.기본_색인번호, 0),
_xlpm.피해범위보정치, INDEX(Factor!$AN$5:$AV$51, _xlfn.XMATCH(IF(OR($G238="blast", $G238="curved",  $G238= "debuff"), $L238, 0), Factor!$AN$5:$AN$51, -1), _xlpm.추가_색인번호)-IF(AND(OR($G238="blast", $G238="curved", $G238= "debuff"), MOD($L238,1)&lt;&gt;0),INDEX(Factor!$AN$5:$AV$51, _xlfn.XMATCH(IF(OR($G238="blast", $G238="curved", $G238= "debuff"), $L238, 0), Factor!$AN$5:$AN$51, -1), 2)*MOD($L238,1)*10,0),
_xlpm.상태이상보정치, VLOOKUP(IF($G238 = "debuff", $M238, "null"), Factor!$AX$5:$BE$51, _xlpm.기본_색인번호, 0),
_xlpm.지속시간보정치, INDEX(Factor!$BG$5:$BO$51, _xlfn.XMATCH(IF(OR($G238 ="debuff", $G238 = "shot", $G238 = "pierce"), $O238, 0), Factor!$BG$5:$BG$51, -1), _xlpm.추가_색인번호)-IF(AND(OR($G238 ="debuff", $G238 = "shot", $G238 = "pierce"), MOD($O238, 1)&lt;&gt;0), 10*MOD($O238, 1)*INDEX(Factor!$BG$5:$BO$51, _xlfn.XMATCH(IF(OR($G238 ="debuff", $G238 = "shot", $G238 = "pierce"), $O238, 0), Factor!$BG$5:$BG$51, -1), 2), 0),
_xlpm.탄환개수보정치, VLOOKUP(IF(OR($G238 = "curved", $G238 = "shot"), $Q238, 1), Factor!$BQ$5:$BX$51, _xlpm.기본_색인번호, 0),
_xlpm.상태이상탄환생성위치보정치, IF($G238 = "debuff", VLOOKUP($R238, Factor!$K$18:$R$19, _xlpm.기본_색인번호, 0),1),
_xlpm.상태이상탄환형태보정치, IF($G238 = "debuff", VLOOKUP($S238, Factor!$K$24:$R$25, _xlpm.기본_색인번호, 0),1),
_xlpm.가격보정치, INDEX(Factor!$AE$5:$AL$51, _xlfn.XMATCH($F238,Factor!$AE$5:$AE$51, -1), _xlpm.기본_색인번호),
_xlpm.구경보정치, VLOOKUP($D238,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</row>
    <row r="239" spans="1:33" ht="15.75" customHeight="1">
      <c r="A239" s="24" t="str">
        <f>"weapon_"&amp;G239&amp;"_"&amp;VLOOKUP(H239, Factor!$T$5:$AB$7, 9, 0)&amp;"_"&amp;IF(COUNTIFS($G$4:G238, G239, $H$4:H238, H239)+1&gt;=100, COUNTIFS($G$4:G238, G239, $H$4:H238, H239)+1,IF(COUNTIFS($G$4:G238, G239, $H$4:H238, H239)+1&gt;=10, "0"&amp;COUNTIFS($G$4:G238, G239, $H$4:H238, H239)+1, "00"&amp;COUNTIFS($G$4:G238, G239, $H$4:H238, H239)+1))</f>
        <v>weapon_shot_Am_059</v>
      </c>
      <c r="B239" s="36" t="str">
        <f t="shared" si="3"/>
        <v>T3 12.7mm쌍열 대공포</v>
      </c>
      <c r="C239" s="36" t="s">
        <v>247</v>
      </c>
      <c r="D239" s="36" t="s">
        <v>243</v>
      </c>
      <c r="E239" s="36" t="s">
        <v>281</v>
      </c>
      <c r="F239" s="25">
        <f>VLOOKUP(C239, Factor!$AD$5:$AE$15, 2, 0)</f>
        <v>3000</v>
      </c>
      <c r="G239" s="26" t="str">
        <f>VLOOKUP(E239, Factor!$CL$5:$CV$50, 2, 0)</f>
        <v>shot</v>
      </c>
      <c r="H239" s="25" t="str">
        <f>VLOOKUP(E239, Factor!$CL$5:$CV$50, 3, 0)</f>
        <v>ammo</v>
      </c>
      <c r="I239" s="25" t="str">
        <f>VLOOKUP(E239, Factor!$CL$5:$CV$50, 4, 0)</f>
        <v>F</v>
      </c>
      <c r="J239" s="25" t="str">
        <f>VLOOKUP(E239, Factor!$CL$5:$CV$50, 5, 0)</f>
        <v>spread</v>
      </c>
      <c r="K239" s="25">
        <v>1</v>
      </c>
      <c r="L239" s="25">
        <f>VLOOKUP(E239, Factor!$CL$5:$CV$50, 6, 0)*K239*VLOOKUP(D239, Factor!$BZ$5:$CJ$49, 9, 0)</f>
        <v>0</v>
      </c>
      <c r="M239" s="25" t="str">
        <f>VLOOKUP(E239, Factor!$CL$5:$CV$50, 7, 0)</f>
        <v>null</v>
      </c>
      <c r="N239" s="25">
        <v>1</v>
      </c>
      <c r="O239" s="25">
        <f>VLOOKUP(E239, Factor!$CL$5:$CV$50, 8, 0)*N239*VLOOKUP(D239, Factor!$BZ$5:$CJ$49, 10, 0)</f>
        <v>12</v>
      </c>
      <c r="P239" s="25">
        <v>1</v>
      </c>
      <c r="Q239" s="25">
        <f>VLOOKUP(E239, Factor!$CL$5:$CV$50, 9, 0)*P239*VLOOKUP(D239, Factor!$BZ$5:$CJ$49, 11, 0)</f>
        <v>4</v>
      </c>
      <c r="R239" s="25" t="str">
        <f>VLOOKUP(E239, Factor!$CL$5:$CV$50, 10, 0)</f>
        <v>null</v>
      </c>
      <c r="S239" s="25" t="str">
        <f>VLOOKUP(E239, Factor!$CL$5:$CV$50, 11, 0)</f>
        <v>null</v>
      </c>
      <c r="T239" s="25">
        <v>1</v>
      </c>
      <c r="U239" s="25">
        <v>1</v>
      </c>
      <c r="V239" s="25">
        <v>1</v>
      </c>
      <c r="W239" s="25">
        <v>1</v>
      </c>
      <c r="X239" s="25">
        <v>1</v>
      </c>
      <c r="Y239" s="25">
        <v>1</v>
      </c>
      <c r="Z239" s="25">
        <v>1</v>
      </c>
      <c r="AA239" s="25" cm="1">
        <f t="array" ref="AA239">_xlfn.LET(_xlpm.기본_색인번호, 2,
_xlpm.추가_색인번호, 3,
_xlpm.개별보정치, T239,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239" s="25" cm="1">
        <f t="array" ref="AB239">_xlfn.LET(_xlpm.기본_색인번호, 3,
_xlpm.추가_색인번호, 4,
_xlpm.개별보정치, U239,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39" s="25" cm="1">
        <f t="array" ref="AC239">_xlfn.LET(_xlpm.기본_색인번호, 4,
_xlpm.추가_색인번호, 5,
_xlpm.개별보정치, V239,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39" s="25" cm="1">
        <f t="array" ref="AD239">_xlfn.LET(_xlpm.기본_색인번호, 5,
_xlpm.추가_색인번호, 6,
_xlpm.개별보정치, W239,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239" s="25" cm="1">
        <f t="array" ref="AE239">_xlfn.LET(_xlpm.기본_색인번호, 6,
_xlpm.추가_색인번호, 7,
_xlpm.개별보정치, X239,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239" s="25" cm="1">
        <f t="array" ref="AF239">_xlfn.LET(_xlpm.기본_색인번호, 7,
_xlpm.추가_색인번호, 8,
_xlpm.개별보정치, Y239,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39" s="27" cm="1">
        <f t="array" ref="AG239">_xlfn.LET(_xlpm.기본_색인번호, 8,
_xlpm.추가_색인번호, 9,
_xlpm.개별보정치, Z239,
_xlpm.패턴보정치, VLOOKUP($G239, Factor!$B$5:$I$51, _xlpm.기본_색인번호, 0),
_xlpm.소모탄환보정치, VLOOKUP($H239, Factor!$T$5:$AA$51, _xlpm.기본_색인번호, 0),
_xlpm.지형보정치, VLOOKUP($I239, Factor!$K$12:$R$13, _xlpm.기본_색인번호, 0),
_xlpm.공격속성보정치, VLOOKUP($J239, Factor!$K$5:$R$7, _xlpm.기본_색인번호, 0),
_xlpm.피해범위보정치, INDEX(Factor!$AN$5:$AV$51, _xlfn.XMATCH(IF(OR($G239="blast", $G239="curved",  $G239= "debuff"), $L239, 0), Factor!$AN$5:$AN$51, -1), _xlpm.추가_색인번호)-IF(AND(OR($G239="blast", $G239="curved", $G239= "debuff"), MOD($L239,1)&lt;&gt;0),INDEX(Factor!$AN$5:$AV$51, _xlfn.XMATCH(IF(OR($G239="blast", $G239="curved", $G239= "debuff"), $L239, 0), Factor!$AN$5:$AN$51, -1), 2)*MOD($L239,1)*10,0),
_xlpm.상태이상보정치, VLOOKUP(IF($G239 = "debuff", $M239, "null"), Factor!$AX$5:$BE$51, _xlpm.기본_색인번호, 0),
_xlpm.지속시간보정치, INDEX(Factor!$BG$5:$BO$51, _xlfn.XMATCH(IF(OR($G239 ="debuff", $G239 = "shot", $G239 = "pierce"), $O239, 0), Factor!$BG$5:$BG$51, -1), _xlpm.추가_색인번호)-IF(AND(OR($G239 ="debuff", $G239 = "shot", $G239 = "pierce"), MOD($O239, 1)&lt;&gt;0), 10*MOD($O239, 1)*INDEX(Factor!$BG$5:$BO$51, _xlfn.XMATCH(IF(OR($G239 ="debuff", $G239 = "shot", $G239 = "pierce"), $O239, 0), Factor!$BG$5:$BG$51, -1), 2), 0),
_xlpm.탄환개수보정치, VLOOKUP(IF(OR($G239 = "curved", $G239 = "shot"), $Q239, 1), Factor!$BQ$5:$BX$51, _xlpm.기본_색인번호, 0),
_xlpm.상태이상탄환생성위치보정치, IF($G239 = "debuff", VLOOKUP($R239, Factor!$K$18:$R$19, _xlpm.기본_색인번호, 0),1),
_xlpm.상태이상탄환형태보정치, IF($G239 = "debuff", VLOOKUP($S239, Factor!$K$24:$R$25, _xlpm.기본_색인번호, 0),1),
_xlpm.가격보정치, INDEX(Factor!$AE$5:$AL$51, _xlfn.XMATCH($F239,Factor!$AE$5:$AE$51, -1), _xlpm.기본_색인번호),
_xlpm.구경보정치, VLOOKUP($D239,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240" spans="1:33" ht="15.75" customHeight="1">
      <c r="A240" s="28" t="str">
        <f>"weapon_"&amp;G240&amp;"_"&amp;VLOOKUP(H240, Factor!$T$5:$AB$7, 9, 0)&amp;"_"&amp;IF(COUNTIFS($G$4:G239, G240, $H$4:H239, H240)+1&gt;=100, COUNTIFS($G$4:G239, G240, $H$4:H239, H240)+1,IF(COUNTIFS($G$4:G239, G240, $H$4:H239, H240)+1&gt;=10, "0"&amp;COUNTIFS($G$4:G239, G240, $H$4:H239, H240)+1, "00"&amp;COUNTIFS($G$4:G239, G240, $H$4:H239, H240)+1))</f>
        <v>weapon_shot_Am_060</v>
      </c>
      <c r="B240" s="37" t="str">
        <f t="shared" si="3"/>
        <v>T3 20mm쌍열 대공포</v>
      </c>
      <c r="C240" s="37" t="s">
        <v>247</v>
      </c>
      <c r="D240" s="37" t="s">
        <v>244</v>
      </c>
      <c r="E240" s="37" t="s">
        <v>281</v>
      </c>
      <c r="F240" s="29">
        <f>VLOOKUP(C240, Factor!$AD$5:$AE$15, 2, 0)</f>
        <v>3000</v>
      </c>
      <c r="G240" s="29" t="str">
        <f>VLOOKUP(E240, Factor!$CL$5:$CV$50, 2, 0)</f>
        <v>shot</v>
      </c>
      <c r="H240" s="29" t="str">
        <f>VLOOKUP(E240, Factor!$CL$5:$CV$50, 3, 0)</f>
        <v>ammo</v>
      </c>
      <c r="I240" s="29" t="str">
        <f>VLOOKUP(E240, Factor!$CL$5:$CV$50, 4, 0)</f>
        <v>F</v>
      </c>
      <c r="J240" s="29" t="str">
        <f>VLOOKUP(E240, Factor!$CL$5:$CV$50, 5, 0)</f>
        <v>spread</v>
      </c>
      <c r="K240" s="29">
        <v>1</v>
      </c>
      <c r="L240" s="29">
        <f>VLOOKUP(E240, Factor!$CL$5:$CV$50, 6, 0)*K240*VLOOKUP(D240, Factor!$BZ$5:$CJ$49, 9, 0)</f>
        <v>0</v>
      </c>
      <c r="M240" s="29" t="str">
        <f>VLOOKUP(E240, Factor!$CL$5:$CV$50, 7, 0)</f>
        <v>null</v>
      </c>
      <c r="N240" s="29">
        <v>1</v>
      </c>
      <c r="O240" s="29">
        <f>VLOOKUP(E240, Factor!$CL$5:$CV$50, 8, 0)*N240*VLOOKUP(D240, Factor!$BZ$5:$CJ$49, 10, 0)</f>
        <v>15</v>
      </c>
      <c r="P240" s="29">
        <v>1</v>
      </c>
      <c r="Q240" s="29">
        <f>VLOOKUP(E240, Factor!$CL$5:$CV$50, 9, 0)*P240*VLOOKUP(D240, Factor!$BZ$5:$CJ$49, 11, 0)</f>
        <v>5</v>
      </c>
      <c r="R240" s="29" t="str">
        <f>VLOOKUP(E240, Factor!$CL$5:$CV$50, 10, 0)</f>
        <v>null</v>
      </c>
      <c r="S240" s="29" t="str">
        <f>VLOOKUP(E240, Factor!$CL$5:$CV$50, 11, 0)</f>
        <v>null</v>
      </c>
      <c r="T240" s="29">
        <v>1</v>
      </c>
      <c r="U240" s="29">
        <v>1</v>
      </c>
      <c r="V240" s="29">
        <v>1</v>
      </c>
      <c r="W240" s="29">
        <v>1</v>
      </c>
      <c r="X240" s="29">
        <v>1</v>
      </c>
      <c r="Y240" s="29">
        <v>1</v>
      </c>
      <c r="Z240" s="29">
        <v>1</v>
      </c>
      <c r="AA240" s="29" cm="1">
        <f t="array" ref="AA240">_xlfn.LET(_xlpm.기본_색인번호, 2,
_xlpm.추가_색인번호, 3,
_xlpm.개별보정치, T240,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240" s="29" cm="1">
        <f t="array" ref="AB240">_xlfn.LET(_xlpm.기본_색인번호, 3,
_xlpm.추가_색인번호, 4,
_xlpm.개별보정치, U240,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C240" s="29" cm="1">
        <f t="array" ref="AC240">_xlfn.LET(_xlpm.기본_색인번호, 4,
_xlpm.추가_색인번호, 5,
_xlpm.개별보정치, V240,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40" s="29" cm="1">
        <f t="array" ref="AD240">_xlfn.LET(_xlpm.기본_색인번호, 5,
_xlpm.추가_색인번호, 6,
_xlpm.개별보정치, W240,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240" s="29" cm="1">
        <f t="array" ref="AE240">_xlfn.LET(_xlpm.기본_색인번호, 6,
_xlpm.추가_색인번호, 7,
_xlpm.개별보정치, X240,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240" s="29" cm="1">
        <f t="array" ref="AF240">_xlfn.LET(_xlpm.기본_색인번호, 7,
_xlpm.추가_색인번호, 8,
_xlpm.개별보정치, Y240,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40" s="30" cm="1">
        <f t="array" ref="AG240">_xlfn.LET(_xlpm.기본_색인번호, 8,
_xlpm.추가_색인번호, 9,
_xlpm.개별보정치, Z240,
_xlpm.패턴보정치, VLOOKUP($G240, Factor!$B$5:$I$51, _xlpm.기본_색인번호, 0),
_xlpm.소모탄환보정치, VLOOKUP($H240, Factor!$T$5:$AA$51, _xlpm.기본_색인번호, 0),
_xlpm.지형보정치, VLOOKUP($I240, Factor!$K$12:$R$13, _xlpm.기본_색인번호, 0),
_xlpm.공격속성보정치, VLOOKUP($J240, Factor!$K$5:$R$7, _xlpm.기본_색인번호, 0),
_xlpm.피해범위보정치, INDEX(Factor!$AN$5:$AV$51, _xlfn.XMATCH(IF(OR($G240="blast", $G240="curved",  $G240= "debuff"), $L240, 0), Factor!$AN$5:$AN$51, -1), _xlpm.추가_색인번호)-IF(AND(OR($G240="blast", $G240="curved", $G240= "debuff"), MOD($L240,1)&lt;&gt;0),INDEX(Factor!$AN$5:$AV$51, _xlfn.XMATCH(IF(OR($G240="blast", $G240="curved", $G240= "debuff"), $L240, 0), Factor!$AN$5:$AN$51, -1), 2)*MOD($L240,1)*10,0),
_xlpm.상태이상보정치, VLOOKUP(IF($G240 = "debuff", $M240, "null"), Factor!$AX$5:$BE$51, _xlpm.기본_색인번호, 0),
_xlpm.지속시간보정치, INDEX(Factor!$BG$5:$BO$51, _xlfn.XMATCH(IF(OR($G240 ="debuff", $G240 = "shot", $G240 = "pierce"), $O240, 0), Factor!$BG$5:$BG$51, -1), _xlpm.추가_색인번호)-IF(AND(OR($G240 ="debuff", $G240 = "shot", $G240 = "pierce"), MOD($O240, 1)&lt;&gt;0), 10*MOD($O240, 1)*INDEX(Factor!$BG$5:$BO$51, _xlfn.XMATCH(IF(OR($G240 ="debuff", $G240 = "shot", $G240 = "pierce"), $O240, 0), Factor!$BG$5:$BG$51, -1), 2), 0),
_xlpm.탄환개수보정치, VLOOKUP(IF(OR($G240 = "curved", $G240 = "shot"), $Q240, 1), Factor!$BQ$5:$BX$51, _xlpm.기본_색인번호, 0),
_xlpm.상태이상탄환생성위치보정치, IF($G240 = "debuff", VLOOKUP($R240, Factor!$K$18:$R$19, _xlpm.기본_색인번호, 0),1),
_xlpm.상태이상탄환형태보정치, IF($G240 = "debuff", VLOOKUP($S240, Factor!$K$24:$R$25, _xlpm.기본_색인번호, 0),1),
_xlpm.가격보정치, INDEX(Factor!$AE$5:$AL$51, _xlfn.XMATCH($F240,Factor!$AE$5:$AE$51, -1), _xlpm.기본_색인번호),
_xlpm.구경보정치, VLOOKUP($D240,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241" spans="1:33" ht="15.75" customHeight="1">
      <c r="A241" s="24" t="str">
        <f>"weapon_"&amp;G241&amp;"_"&amp;VLOOKUP(H241, Factor!$T$5:$AB$7, 9, 0)&amp;"_"&amp;IF(COUNTIFS($G$4:G240, G241, $H$4:H240, H241)+1&gt;=100, COUNTIFS($G$4:G240, G241, $H$4:H240, H241)+1,IF(COUNTIFS($G$4:G240, G241, $H$4:H240, H241)+1&gt;=10, "0"&amp;COUNTIFS($G$4:G240, G241, $H$4:H240, H241)+1, "00"&amp;COUNTIFS($G$4:G240, G241, $H$4:H240, H241)+1))</f>
        <v>weapon_shot_Am_061</v>
      </c>
      <c r="B241" s="36" t="str">
        <f t="shared" si="3"/>
        <v>T4 5.56mm쌍열 대공포</v>
      </c>
      <c r="C241" s="36" t="s">
        <v>249</v>
      </c>
      <c r="D241" s="36" t="s">
        <v>241</v>
      </c>
      <c r="E241" s="36" t="s">
        <v>281</v>
      </c>
      <c r="F241" s="25">
        <f>VLOOKUP(C241, Factor!$AD$5:$AE$15, 2, 0)</f>
        <v>4000</v>
      </c>
      <c r="G241" s="26" t="str">
        <f>VLOOKUP(E241, Factor!$CL$5:$CV$50, 2, 0)</f>
        <v>shot</v>
      </c>
      <c r="H241" s="25" t="str">
        <f>VLOOKUP(E241, Factor!$CL$5:$CV$50, 3, 0)</f>
        <v>ammo</v>
      </c>
      <c r="I241" s="25" t="str">
        <f>VLOOKUP(E241, Factor!$CL$5:$CV$50, 4, 0)</f>
        <v>F</v>
      </c>
      <c r="J241" s="25" t="str">
        <f>VLOOKUP(E241, Factor!$CL$5:$CV$50, 5, 0)</f>
        <v>spread</v>
      </c>
      <c r="K241" s="25">
        <v>1</v>
      </c>
      <c r="L241" s="25">
        <f>VLOOKUP(E241, Factor!$CL$5:$CV$50, 6, 0)*K241*VLOOKUP(D241, Factor!$BZ$5:$CJ$49, 9, 0)</f>
        <v>0</v>
      </c>
      <c r="M241" s="25" t="str">
        <f>VLOOKUP(E241, Factor!$CL$5:$CV$50, 7, 0)</f>
        <v>null</v>
      </c>
      <c r="N241" s="25">
        <v>1</v>
      </c>
      <c r="O241" s="25">
        <f>VLOOKUP(E241, Factor!$CL$5:$CV$50, 8, 0)*N241*VLOOKUP(D241, Factor!$BZ$5:$CJ$49, 10, 0)</f>
        <v>6</v>
      </c>
      <c r="P241" s="25">
        <v>1</v>
      </c>
      <c r="Q241" s="25">
        <f>VLOOKUP(E241, Factor!$CL$5:$CV$50, 9, 0)*P241*VLOOKUP(D241, Factor!$BZ$5:$CJ$49, 11, 0)</f>
        <v>2</v>
      </c>
      <c r="R241" s="25" t="str">
        <f>VLOOKUP(E241, Factor!$CL$5:$CV$50, 10, 0)</f>
        <v>null</v>
      </c>
      <c r="S241" s="25" t="str">
        <f>VLOOKUP(E241, Factor!$CL$5:$CV$50, 11, 0)</f>
        <v>null</v>
      </c>
      <c r="T241" s="25">
        <v>1</v>
      </c>
      <c r="U241" s="25">
        <v>1</v>
      </c>
      <c r="V241" s="25">
        <v>1</v>
      </c>
      <c r="W241" s="25">
        <v>1</v>
      </c>
      <c r="X241" s="25">
        <v>1</v>
      </c>
      <c r="Y241" s="25">
        <v>1</v>
      </c>
      <c r="Z241" s="25">
        <v>1</v>
      </c>
      <c r="AA241" s="25" cm="1">
        <f t="array" ref="AA241">_xlfn.LET(_xlpm.기본_색인번호, 2,
_xlpm.추가_색인번호, 3,
_xlpm.개별보정치, T241,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241" s="25" cm="1">
        <f t="array" ref="AB241">_xlfn.LET(_xlpm.기본_색인번호, 3,
_xlpm.추가_색인번호, 4,
_xlpm.개별보정치, U241,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C241" s="25" cm="1">
        <f t="array" ref="AC241">_xlfn.LET(_xlpm.기본_색인번호, 4,
_xlpm.추가_색인번호, 5,
_xlpm.개별보정치, V241,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41" s="25" cm="1">
        <f t="array" ref="AD241">_xlfn.LET(_xlpm.기본_색인번호, 5,
_xlpm.추가_색인번호, 6,
_xlpm.개별보정치, W241,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E241" s="25" cm="1">
        <f t="array" ref="AE241">_xlfn.LET(_xlpm.기본_색인번호, 6,
_xlpm.추가_색인번호, 7,
_xlpm.개별보정치, X241,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F241" s="25" cm="1">
        <f t="array" ref="AF241">_xlfn.LET(_xlpm.기본_색인번호, 7,
_xlpm.추가_색인번호, 8,
_xlpm.개별보정치, Y241,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41" s="27" cm="1">
        <f t="array" ref="AG241">_xlfn.LET(_xlpm.기본_색인번호, 8,
_xlpm.추가_색인번호, 9,
_xlpm.개별보정치, Z241,
_xlpm.패턴보정치, VLOOKUP($G241, Factor!$B$5:$I$51, _xlpm.기본_색인번호, 0),
_xlpm.소모탄환보정치, VLOOKUP($H241, Factor!$T$5:$AA$51, _xlpm.기본_색인번호, 0),
_xlpm.지형보정치, VLOOKUP($I241, Factor!$K$12:$R$13, _xlpm.기본_색인번호, 0),
_xlpm.공격속성보정치, VLOOKUP($J241, Factor!$K$5:$R$7, _xlpm.기본_색인번호, 0),
_xlpm.피해범위보정치, INDEX(Factor!$AN$5:$AV$51, _xlfn.XMATCH(IF(OR($G241="blast", $G241="curved",  $G241= "debuff"), $L241, 0), Factor!$AN$5:$AN$51, -1), _xlpm.추가_색인번호)-IF(AND(OR($G241="blast", $G241="curved", $G241= "debuff"), MOD($L241,1)&lt;&gt;0),INDEX(Factor!$AN$5:$AV$51, _xlfn.XMATCH(IF(OR($G241="blast", $G241="curved", $G241= "debuff"), $L241, 0), Factor!$AN$5:$AN$51, -1), 2)*MOD($L241,1)*10,0),
_xlpm.상태이상보정치, VLOOKUP(IF($G241 = "debuff", $M241, "null"), Factor!$AX$5:$BE$51, _xlpm.기본_색인번호, 0),
_xlpm.지속시간보정치, INDEX(Factor!$BG$5:$BO$51, _xlfn.XMATCH(IF(OR($G241 ="debuff", $G241 = "shot", $G241 = "pierce"), $O241, 0), Factor!$BG$5:$BG$51, -1), _xlpm.추가_색인번호)-IF(AND(OR($G241 ="debuff", $G241 = "shot", $G241 = "pierce"), MOD($O241, 1)&lt;&gt;0), 10*MOD($O241, 1)*INDEX(Factor!$BG$5:$BO$51, _xlfn.XMATCH(IF(OR($G241 ="debuff", $G241 = "shot", $G241 = "pierce"), $O241, 0), Factor!$BG$5:$BG$51, -1), 2), 0),
_xlpm.탄환개수보정치, VLOOKUP(IF(OR($G241 = "curved", $G241 = "shot"), $Q241, 1), Factor!$BQ$5:$BX$51, _xlpm.기본_색인번호, 0),
_xlpm.상태이상탄환생성위치보정치, IF($G241 = "debuff", VLOOKUP($R241, Factor!$K$18:$R$19, _xlpm.기본_색인번호, 0),1),
_xlpm.상태이상탄환형태보정치, IF($G241 = "debuff", VLOOKUP($S241, Factor!$K$24:$R$25, _xlpm.기본_색인번호, 0),1),
_xlpm.가격보정치, INDEX(Factor!$AE$5:$AL$51, _xlfn.XMATCH($F241,Factor!$AE$5:$AE$51, -1), _xlpm.기본_색인번호),
_xlpm.구경보정치, VLOOKUP($D241,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</row>
    <row r="242" spans="1:33" ht="15.75" customHeight="1">
      <c r="A242" s="28" t="str">
        <f>"weapon_"&amp;G242&amp;"_"&amp;VLOOKUP(H242, Factor!$T$5:$AB$7, 9, 0)&amp;"_"&amp;IF(COUNTIFS($G$4:G241, G242, $H$4:H241, H242)+1&gt;=100, COUNTIFS($G$4:G241, G242, $H$4:H241, H242)+1,IF(COUNTIFS($G$4:G241, G242, $H$4:H241, H242)+1&gt;=10, "0"&amp;COUNTIFS($G$4:G241, G242, $H$4:H241, H242)+1, "00"&amp;COUNTIFS($G$4:G241, G242, $H$4:H241, H242)+1))</f>
        <v>weapon_shot_Am_062</v>
      </c>
      <c r="B242" s="37" t="str">
        <f t="shared" si="3"/>
        <v>T4 7.62mm쌍열 대공포</v>
      </c>
      <c r="C242" s="37" t="s">
        <v>249</v>
      </c>
      <c r="D242" s="37" t="s">
        <v>242</v>
      </c>
      <c r="E242" s="37" t="s">
        <v>281</v>
      </c>
      <c r="F242" s="29">
        <f>VLOOKUP(C242, Factor!$AD$5:$AE$15, 2, 0)</f>
        <v>4000</v>
      </c>
      <c r="G242" s="29" t="str">
        <f>VLOOKUP(E242, Factor!$CL$5:$CV$50, 2, 0)</f>
        <v>shot</v>
      </c>
      <c r="H242" s="29" t="str">
        <f>VLOOKUP(E242, Factor!$CL$5:$CV$50, 3, 0)</f>
        <v>ammo</v>
      </c>
      <c r="I242" s="29" t="str">
        <f>VLOOKUP(E242, Factor!$CL$5:$CV$50, 4, 0)</f>
        <v>F</v>
      </c>
      <c r="J242" s="29" t="str">
        <f>VLOOKUP(E242, Factor!$CL$5:$CV$50, 5, 0)</f>
        <v>spread</v>
      </c>
      <c r="K242" s="29">
        <v>1</v>
      </c>
      <c r="L242" s="29">
        <f>VLOOKUP(E242, Factor!$CL$5:$CV$50, 6, 0)*K242*VLOOKUP(D242, Factor!$BZ$5:$CJ$49, 9, 0)</f>
        <v>0</v>
      </c>
      <c r="M242" s="29" t="str">
        <f>VLOOKUP(E242, Factor!$CL$5:$CV$50, 7, 0)</f>
        <v>null</v>
      </c>
      <c r="N242" s="29">
        <v>1</v>
      </c>
      <c r="O242" s="29">
        <f>VLOOKUP(E242, Factor!$CL$5:$CV$50, 8, 0)*N242*VLOOKUP(D242, Factor!$BZ$5:$CJ$49, 10, 0)</f>
        <v>9</v>
      </c>
      <c r="P242" s="29">
        <v>1</v>
      </c>
      <c r="Q242" s="29">
        <f>VLOOKUP(E242, Factor!$CL$5:$CV$50, 9, 0)*P242*VLOOKUP(D242, Factor!$BZ$5:$CJ$49, 11, 0)</f>
        <v>3</v>
      </c>
      <c r="R242" s="29" t="str">
        <f>VLOOKUP(E242, Factor!$CL$5:$CV$50, 10, 0)</f>
        <v>null</v>
      </c>
      <c r="S242" s="29" t="str">
        <f>VLOOKUP(E242, Factor!$CL$5:$CV$50, 11, 0)</f>
        <v>null</v>
      </c>
      <c r="T242" s="29">
        <v>1</v>
      </c>
      <c r="U242" s="29">
        <v>1</v>
      </c>
      <c r="V242" s="29">
        <v>1</v>
      </c>
      <c r="W242" s="29">
        <v>1</v>
      </c>
      <c r="X242" s="29">
        <v>1</v>
      </c>
      <c r="Y242" s="29">
        <v>1</v>
      </c>
      <c r="Z242" s="29">
        <v>1</v>
      </c>
      <c r="AA242" s="29" cm="1">
        <f t="array" ref="AA242">_xlfn.LET(_xlpm.기본_색인번호, 2,
_xlpm.추가_색인번호, 3,
_xlpm.개별보정치, T242,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2700</v>
      </c>
      <c r="AB242" s="29" cm="1">
        <f t="array" ref="AB242">_xlfn.LET(_xlpm.기본_색인번호, 3,
_xlpm.추가_색인번호, 4,
_xlpm.개별보정치, U242,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242" s="29" cm="1">
        <f t="array" ref="AC242">_xlfn.LET(_xlpm.기본_색인번호, 4,
_xlpm.추가_색인번호, 5,
_xlpm.개별보정치, V242,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42" s="29" cm="1">
        <f t="array" ref="AD242">_xlfn.LET(_xlpm.기본_색인번호, 5,
_xlpm.추가_색인번호, 6,
_xlpm.개별보정치, W242,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E242" s="29" cm="1">
        <f t="array" ref="AE242">_xlfn.LET(_xlpm.기본_색인번호, 6,
_xlpm.추가_색인번호, 7,
_xlpm.개별보정치, X242,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F242" s="29" cm="1">
        <f t="array" ref="AF242">_xlfn.LET(_xlpm.기본_색인번호, 7,
_xlpm.추가_색인번호, 8,
_xlpm.개별보정치, Y242,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42" s="30" cm="1">
        <f t="array" ref="AG242">_xlfn.LET(_xlpm.기본_색인번호, 8,
_xlpm.추가_색인번호, 9,
_xlpm.개별보정치, Z242,
_xlpm.패턴보정치, VLOOKUP($G242, Factor!$B$5:$I$51, _xlpm.기본_색인번호, 0),
_xlpm.소모탄환보정치, VLOOKUP($H242, Factor!$T$5:$AA$51, _xlpm.기본_색인번호, 0),
_xlpm.지형보정치, VLOOKUP($I242, Factor!$K$12:$R$13, _xlpm.기본_색인번호, 0),
_xlpm.공격속성보정치, VLOOKUP($J242, Factor!$K$5:$R$7, _xlpm.기본_색인번호, 0),
_xlpm.피해범위보정치, INDEX(Factor!$AN$5:$AV$51, _xlfn.XMATCH(IF(OR($G242="blast", $G242="curved",  $G242= "debuff"), $L242, 0), Factor!$AN$5:$AN$51, -1), _xlpm.추가_색인번호)-IF(AND(OR($G242="blast", $G242="curved", $G242= "debuff"), MOD($L242,1)&lt;&gt;0),INDEX(Factor!$AN$5:$AV$51, _xlfn.XMATCH(IF(OR($G242="blast", $G242="curved", $G242= "debuff"), $L242, 0), Factor!$AN$5:$AN$51, -1), 2)*MOD($L242,1)*10,0),
_xlpm.상태이상보정치, VLOOKUP(IF($G242 = "debuff", $M242, "null"), Factor!$AX$5:$BE$51, _xlpm.기본_색인번호, 0),
_xlpm.지속시간보정치, INDEX(Factor!$BG$5:$BO$51, _xlfn.XMATCH(IF(OR($G242 ="debuff", $G242 = "shot", $G242 = "pierce"), $O242, 0), Factor!$BG$5:$BG$51, -1), _xlpm.추가_색인번호)-IF(AND(OR($G242 ="debuff", $G242 = "shot", $G242 = "pierce"), MOD($O242, 1)&lt;&gt;0), 10*MOD($O242, 1)*INDEX(Factor!$BG$5:$BO$51, _xlfn.XMATCH(IF(OR($G242 ="debuff", $G242 = "shot", $G242 = "pierce"), $O242, 0), Factor!$BG$5:$BG$51, -1), 2), 0),
_xlpm.탄환개수보정치, VLOOKUP(IF(OR($G242 = "curved", $G242 = "shot"), $Q242, 1), Factor!$BQ$5:$BX$51, _xlpm.기본_색인번호, 0),
_xlpm.상태이상탄환생성위치보정치, IF($G242 = "debuff", VLOOKUP($R242, Factor!$K$18:$R$19, _xlpm.기본_색인번호, 0),1),
_xlpm.상태이상탄환형태보정치, IF($G242 = "debuff", VLOOKUP($S242, Factor!$K$24:$R$25, _xlpm.기본_색인번호, 0),1),
_xlpm.가격보정치, INDEX(Factor!$AE$5:$AL$51, _xlfn.XMATCH($F242,Factor!$AE$5:$AE$51, -1), _xlpm.기본_색인번호),
_xlpm.구경보정치, VLOOKUP($D242,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</row>
    <row r="243" spans="1:33" ht="15.75" customHeight="1">
      <c r="A243" s="24" t="str">
        <f>"weapon_"&amp;G243&amp;"_"&amp;VLOOKUP(H243, Factor!$T$5:$AB$7, 9, 0)&amp;"_"&amp;IF(COUNTIFS($G$4:G242, G243, $H$4:H242, H243)+1&gt;=100, COUNTIFS($G$4:G242, G243, $H$4:H242, H243)+1,IF(COUNTIFS($G$4:G242, G243, $H$4:H242, H243)+1&gt;=10, "0"&amp;COUNTIFS($G$4:G242, G243, $H$4:H242, H243)+1, "00"&amp;COUNTIFS($G$4:G242, G243, $H$4:H242, H243)+1))</f>
        <v>weapon_shot_Am_063</v>
      </c>
      <c r="B243" s="36" t="str">
        <f t="shared" si="3"/>
        <v>T4 12.7mm쌍열 대공포</v>
      </c>
      <c r="C243" s="36" t="s">
        <v>249</v>
      </c>
      <c r="D243" s="36" t="s">
        <v>243</v>
      </c>
      <c r="E243" s="36" t="s">
        <v>281</v>
      </c>
      <c r="F243" s="25">
        <f>VLOOKUP(C243, Factor!$AD$5:$AE$15, 2, 0)</f>
        <v>4000</v>
      </c>
      <c r="G243" s="26" t="str">
        <f>VLOOKUP(E243, Factor!$CL$5:$CV$50, 2, 0)</f>
        <v>shot</v>
      </c>
      <c r="H243" s="25" t="str">
        <f>VLOOKUP(E243, Factor!$CL$5:$CV$50, 3, 0)</f>
        <v>ammo</v>
      </c>
      <c r="I243" s="25" t="str">
        <f>VLOOKUP(E243, Factor!$CL$5:$CV$50, 4, 0)</f>
        <v>F</v>
      </c>
      <c r="J243" s="25" t="str">
        <f>VLOOKUP(E243, Factor!$CL$5:$CV$50, 5, 0)</f>
        <v>spread</v>
      </c>
      <c r="K243" s="25">
        <v>1</v>
      </c>
      <c r="L243" s="25">
        <f>VLOOKUP(E243, Factor!$CL$5:$CV$50, 6, 0)*K243*VLOOKUP(D243, Factor!$BZ$5:$CJ$49, 9, 0)</f>
        <v>0</v>
      </c>
      <c r="M243" s="25" t="str">
        <f>VLOOKUP(E243, Factor!$CL$5:$CV$50, 7, 0)</f>
        <v>null</v>
      </c>
      <c r="N243" s="25">
        <v>1</v>
      </c>
      <c r="O243" s="25">
        <f>VLOOKUP(E243, Factor!$CL$5:$CV$50, 8, 0)*N243*VLOOKUP(D243, Factor!$BZ$5:$CJ$49, 10, 0)</f>
        <v>12</v>
      </c>
      <c r="P243" s="25">
        <v>1</v>
      </c>
      <c r="Q243" s="25">
        <f>VLOOKUP(E243, Factor!$CL$5:$CV$50, 9, 0)*P243*VLOOKUP(D243, Factor!$BZ$5:$CJ$49, 11, 0)</f>
        <v>4</v>
      </c>
      <c r="R243" s="25" t="str">
        <f>VLOOKUP(E243, Factor!$CL$5:$CV$50, 10, 0)</f>
        <v>null</v>
      </c>
      <c r="S243" s="25" t="str">
        <f>VLOOKUP(E243, Factor!$CL$5:$CV$50, 11, 0)</f>
        <v>null</v>
      </c>
      <c r="T243" s="25">
        <v>1</v>
      </c>
      <c r="U243" s="25">
        <v>1</v>
      </c>
      <c r="V243" s="25">
        <v>1</v>
      </c>
      <c r="W243" s="25">
        <v>1</v>
      </c>
      <c r="X243" s="25">
        <v>1</v>
      </c>
      <c r="Y243" s="25">
        <v>1</v>
      </c>
      <c r="Z243" s="25">
        <v>1</v>
      </c>
      <c r="AA243" s="25" cm="1">
        <f t="array" ref="AA243">_xlfn.LET(_xlpm.기본_색인번호, 2,
_xlpm.추가_색인번호, 3,
_xlpm.개별보정치, T243,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243" s="25" cm="1">
        <f t="array" ref="AB243">_xlfn.LET(_xlpm.기본_색인번호, 3,
_xlpm.추가_색인번호, 4,
_xlpm.개별보정치, U243,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43" s="25" cm="1">
        <f t="array" ref="AC243">_xlfn.LET(_xlpm.기본_색인번호, 4,
_xlpm.추가_색인번호, 5,
_xlpm.개별보정치, V243,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43" s="25" cm="1">
        <f t="array" ref="AD243">_xlfn.LET(_xlpm.기본_색인번호, 5,
_xlpm.추가_색인번호, 6,
_xlpm.개별보정치, W243,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243" s="25" cm="1">
        <f t="array" ref="AE243">_xlfn.LET(_xlpm.기본_색인번호, 6,
_xlpm.추가_색인번호, 7,
_xlpm.개별보정치, X243,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243" s="25" cm="1">
        <f t="array" ref="AF243">_xlfn.LET(_xlpm.기본_색인번호, 7,
_xlpm.추가_색인번호, 8,
_xlpm.개별보정치, Y243,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43" s="27" cm="1">
        <f t="array" ref="AG243">_xlfn.LET(_xlpm.기본_색인번호, 8,
_xlpm.추가_색인번호, 9,
_xlpm.개별보정치, Z243,
_xlpm.패턴보정치, VLOOKUP($G243, Factor!$B$5:$I$51, _xlpm.기본_색인번호, 0),
_xlpm.소모탄환보정치, VLOOKUP($H243, Factor!$T$5:$AA$51, _xlpm.기본_색인번호, 0),
_xlpm.지형보정치, VLOOKUP($I243, Factor!$K$12:$R$13, _xlpm.기본_색인번호, 0),
_xlpm.공격속성보정치, VLOOKUP($J243, Factor!$K$5:$R$7, _xlpm.기본_색인번호, 0),
_xlpm.피해범위보정치, INDEX(Factor!$AN$5:$AV$51, _xlfn.XMATCH(IF(OR($G243="blast", $G243="curved",  $G243= "debuff"), $L243, 0), Factor!$AN$5:$AN$51, -1), _xlpm.추가_색인번호)-IF(AND(OR($G243="blast", $G243="curved", $G243= "debuff"), MOD($L243,1)&lt;&gt;0),INDEX(Factor!$AN$5:$AV$51, _xlfn.XMATCH(IF(OR($G243="blast", $G243="curved", $G243= "debuff"), $L243, 0), Factor!$AN$5:$AN$51, -1), 2)*MOD($L243,1)*10,0),
_xlpm.상태이상보정치, VLOOKUP(IF($G243 = "debuff", $M243, "null"), Factor!$AX$5:$BE$51, _xlpm.기본_색인번호, 0),
_xlpm.지속시간보정치, INDEX(Factor!$BG$5:$BO$51, _xlfn.XMATCH(IF(OR($G243 ="debuff", $G243 = "shot", $G243 = "pierce"), $O243, 0), Factor!$BG$5:$BG$51, -1), _xlpm.추가_색인번호)-IF(AND(OR($G243 ="debuff", $G243 = "shot", $G243 = "pierce"), MOD($O243, 1)&lt;&gt;0), 10*MOD($O243, 1)*INDEX(Factor!$BG$5:$BO$51, _xlfn.XMATCH(IF(OR($G243 ="debuff", $G243 = "shot", $G243 = "pierce"), $O243, 0), Factor!$BG$5:$BG$51, -1), 2), 0),
_xlpm.탄환개수보정치, VLOOKUP(IF(OR($G243 = "curved", $G243 = "shot"), $Q243, 1), Factor!$BQ$5:$BX$51, _xlpm.기본_색인번호, 0),
_xlpm.상태이상탄환생성위치보정치, IF($G243 = "debuff", VLOOKUP($R243, Factor!$K$18:$R$19, _xlpm.기본_색인번호, 0),1),
_xlpm.상태이상탄환형태보정치, IF($G243 = "debuff", VLOOKUP($S243, Factor!$K$24:$R$25, _xlpm.기본_색인번호, 0),1),
_xlpm.가격보정치, INDEX(Factor!$AE$5:$AL$51, _xlfn.XMATCH($F243,Factor!$AE$5:$AE$51, -1), _xlpm.기본_색인번호),
_xlpm.구경보정치, VLOOKUP($D243,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244" spans="1:33" ht="15.75" customHeight="1">
      <c r="A244" s="28" t="str">
        <f>"weapon_"&amp;G244&amp;"_"&amp;VLOOKUP(H244, Factor!$T$5:$AB$7, 9, 0)&amp;"_"&amp;IF(COUNTIFS($G$4:G243, G244, $H$4:H243, H244)+1&gt;=100, COUNTIFS($G$4:G243, G244, $H$4:H243, H244)+1,IF(COUNTIFS($G$4:G243, G244, $H$4:H243, H244)+1&gt;=10, "0"&amp;COUNTIFS($G$4:G243, G244, $H$4:H243, H244)+1, "00"&amp;COUNTIFS($G$4:G243, G244, $H$4:H243, H244)+1))</f>
        <v>weapon_shot_Am_064</v>
      </c>
      <c r="B244" s="37" t="str">
        <f t="shared" si="3"/>
        <v>T4 20mm쌍열 대공포</v>
      </c>
      <c r="C244" s="37" t="s">
        <v>249</v>
      </c>
      <c r="D244" s="37" t="s">
        <v>244</v>
      </c>
      <c r="E244" s="37" t="s">
        <v>281</v>
      </c>
      <c r="F244" s="29">
        <f>VLOOKUP(C244, Factor!$AD$5:$AE$15, 2, 0)</f>
        <v>4000</v>
      </c>
      <c r="G244" s="29" t="str">
        <f>VLOOKUP(E244, Factor!$CL$5:$CV$50, 2, 0)</f>
        <v>shot</v>
      </c>
      <c r="H244" s="29" t="str">
        <f>VLOOKUP(E244, Factor!$CL$5:$CV$50, 3, 0)</f>
        <v>ammo</v>
      </c>
      <c r="I244" s="29" t="str">
        <f>VLOOKUP(E244, Factor!$CL$5:$CV$50, 4, 0)</f>
        <v>F</v>
      </c>
      <c r="J244" s="29" t="str">
        <f>VLOOKUP(E244, Factor!$CL$5:$CV$50, 5, 0)</f>
        <v>spread</v>
      </c>
      <c r="K244" s="29">
        <v>1</v>
      </c>
      <c r="L244" s="29">
        <f>VLOOKUP(E244, Factor!$CL$5:$CV$50, 6, 0)*K244*VLOOKUP(D244, Factor!$BZ$5:$CJ$49, 9, 0)</f>
        <v>0</v>
      </c>
      <c r="M244" s="29" t="str">
        <f>VLOOKUP(E244, Factor!$CL$5:$CV$50, 7, 0)</f>
        <v>null</v>
      </c>
      <c r="N244" s="29">
        <v>1</v>
      </c>
      <c r="O244" s="29">
        <f>VLOOKUP(E244, Factor!$CL$5:$CV$50, 8, 0)*N244*VLOOKUP(D244, Factor!$BZ$5:$CJ$49, 10, 0)</f>
        <v>15</v>
      </c>
      <c r="P244" s="29">
        <v>1</v>
      </c>
      <c r="Q244" s="29">
        <f>VLOOKUP(E244, Factor!$CL$5:$CV$50, 9, 0)*P244*VLOOKUP(D244, Factor!$BZ$5:$CJ$49, 11, 0)</f>
        <v>5</v>
      </c>
      <c r="R244" s="29" t="str">
        <f>VLOOKUP(E244, Factor!$CL$5:$CV$50, 10, 0)</f>
        <v>null</v>
      </c>
      <c r="S244" s="29" t="str">
        <f>VLOOKUP(E244, Factor!$CL$5:$CV$50, 11, 0)</f>
        <v>null</v>
      </c>
      <c r="T244" s="29">
        <v>1</v>
      </c>
      <c r="U244" s="29">
        <v>1</v>
      </c>
      <c r="V244" s="29">
        <v>1</v>
      </c>
      <c r="W244" s="29">
        <v>1</v>
      </c>
      <c r="X244" s="29">
        <v>1</v>
      </c>
      <c r="Y244" s="29">
        <v>1</v>
      </c>
      <c r="Z244" s="29">
        <v>1</v>
      </c>
      <c r="AA244" s="29" cm="1">
        <f t="array" ref="AA244">_xlfn.LET(_xlpm.기본_색인번호, 2,
_xlpm.추가_색인번호, 3,
_xlpm.개별보정치, T244,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5000</v>
      </c>
      <c r="AB244" s="29" cm="1">
        <f t="array" ref="AB244">_xlfn.LET(_xlpm.기본_색인번호, 3,
_xlpm.추가_색인번호, 4,
_xlpm.개별보정치, U244,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C244" s="29" cm="1">
        <f t="array" ref="AC244">_xlfn.LET(_xlpm.기본_색인번호, 4,
_xlpm.추가_색인번호, 5,
_xlpm.개별보정치, V244,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44" s="29" cm="1">
        <f t="array" ref="AD244">_xlfn.LET(_xlpm.기본_색인번호, 5,
_xlpm.추가_색인번호, 6,
_xlpm.개별보정치, W244,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E244" s="29" cm="1">
        <f t="array" ref="AE244">_xlfn.LET(_xlpm.기본_색인번호, 6,
_xlpm.추가_색인번호, 7,
_xlpm.개별보정치, X244,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F244" s="29" cm="1">
        <f t="array" ref="AF244">_xlfn.LET(_xlpm.기본_색인번호, 7,
_xlpm.추가_색인번호, 8,
_xlpm.개별보정치, Y244,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44" s="30" cm="1">
        <f t="array" ref="AG244">_xlfn.LET(_xlpm.기본_색인번호, 8,
_xlpm.추가_색인번호, 9,
_xlpm.개별보정치, Z244,
_xlpm.패턴보정치, VLOOKUP($G244, Factor!$B$5:$I$51, _xlpm.기본_색인번호, 0),
_xlpm.소모탄환보정치, VLOOKUP($H244, Factor!$T$5:$AA$51, _xlpm.기본_색인번호, 0),
_xlpm.지형보정치, VLOOKUP($I244, Factor!$K$12:$R$13, _xlpm.기본_색인번호, 0),
_xlpm.공격속성보정치, VLOOKUP($J244, Factor!$K$5:$R$7, _xlpm.기본_색인번호, 0),
_xlpm.피해범위보정치, INDEX(Factor!$AN$5:$AV$51, _xlfn.XMATCH(IF(OR($G244="blast", $G244="curved",  $G244= "debuff"), $L244, 0), Factor!$AN$5:$AN$51, -1), _xlpm.추가_색인번호)-IF(AND(OR($G244="blast", $G244="curved", $G244= "debuff"), MOD($L244,1)&lt;&gt;0),INDEX(Factor!$AN$5:$AV$51, _xlfn.XMATCH(IF(OR($G244="blast", $G244="curved", $G244= "debuff"), $L244, 0), Factor!$AN$5:$AN$51, -1), 2)*MOD($L244,1)*10,0),
_xlpm.상태이상보정치, VLOOKUP(IF($G244 = "debuff", $M244, "null"), Factor!$AX$5:$BE$51, _xlpm.기본_색인번호, 0),
_xlpm.지속시간보정치, INDEX(Factor!$BG$5:$BO$51, _xlfn.XMATCH(IF(OR($G244 ="debuff", $G244 = "shot", $G244 = "pierce"), $O244, 0), Factor!$BG$5:$BG$51, -1), _xlpm.추가_색인번호)-IF(AND(OR($G244 ="debuff", $G244 = "shot", $G244 = "pierce"), MOD($O244, 1)&lt;&gt;0), 10*MOD($O244, 1)*INDEX(Factor!$BG$5:$BO$51, _xlfn.XMATCH(IF(OR($G244 ="debuff", $G244 = "shot", $G244 = "pierce"), $O244, 0), Factor!$BG$5:$BG$51, -1), 2), 0),
_xlpm.탄환개수보정치, VLOOKUP(IF(OR($G244 = "curved", $G244 = "shot"), $Q244, 1), Factor!$BQ$5:$BX$51, _xlpm.기본_색인번호, 0),
_xlpm.상태이상탄환생성위치보정치, IF($G244 = "debuff", VLOOKUP($R244, Factor!$K$18:$R$19, _xlpm.기본_색인번호, 0),1),
_xlpm.상태이상탄환형태보정치, IF($G244 = "debuff", VLOOKUP($S244, Factor!$K$24:$R$25, _xlpm.기본_색인번호, 0),1),
_xlpm.가격보정치, INDEX(Factor!$AE$5:$AL$51, _xlfn.XMATCH($F244,Factor!$AE$5:$AE$51, -1), _xlpm.기본_색인번호),
_xlpm.구경보정치, VLOOKUP($D244,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</row>
    <row r="245" spans="1:33" ht="15.75" customHeight="1">
      <c r="A245" s="24" t="str">
        <f>"weapon_"&amp;G245&amp;"_"&amp;VLOOKUP(H245, Factor!$T$5:$AB$7, 9, 0)&amp;"_"&amp;IF(COUNTIFS($G$4:G244, G245, $H$4:H244, H245)+1&gt;=100, COUNTIFS($G$4:G244, G245, $H$4:H244, H245)+1,IF(COUNTIFS($G$4:G244, G245, $H$4:H244, H245)+1&gt;=10, "0"&amp;COUNTIFS($G$4:G244, G245, $H$4:H244, H245)+1, "00"&amp;COUNTIFS($G$4:G244, G245, $H$4:H244, H245)+1))</f>
        <v>weapon_shot_Am_065</v>
      </c>
      <c r="B245" s="36" t="str">
        <f t="shared" si="3"/>
        <v>T5 5.56mm쌍열 대공포</v>
      </c>
      <c r="C245" s="36" t="s">
        <v>251</v>
      </c>
      <c r="D245" s="36" t="s">
        <v>241</v>
      </c>
      <c r="E245" s="36" t="s">
        <v>281</v>
      </c>
      <c r="F245" s="25">
        <f>VLOOKUP(C245, Factor!$AD$5:$AE$15, 2, 0)</f>
        <v>5000</v>
      </c>
      <c r="G245" s="26" t="str">
        <f>VLOOKUP(E245, Factor!$CL$5:$CV$50, 2, 0)</f>
        <v>shot</v>
      </c>
      <c r="H245" s="25" t="str">
        <f>VLOOKUP(E245, Factor!$CL$5:$CV$50, 3, 0)</f>
        <v>ammo</v>
      </c>
      <c r="I245" s="25" t="str">
        <f>VLOOKUP(E245, Factor!$CL$5:$CV$50, 4, 0)</f>
        <v>F</v>
      </c>
      <c r="J245" s="25" t="str">
        <f>VLOOKUP(E245, Factor!$CL$5:$CV$50, 5, 0)</f>
        <v>spread</v>
      </c>
      <c r="K245" s="25">
        <v>1</v>
      </c>
      <c r="L245" s="25">
        <f>VLOOKUP(E245, Factor!$CL$5:$CV$50, 6, 0)*K245*VLOOKUP(D245, Factor!$BZ$5:$CJ$49, 9, 0)</f>
        <v>0</v>
      </c>
      <c r="M245" s="25" t="str">
        <f>VLOOKUP(E245, Factor!$CL$5:$CV$50, 7, 0)</f>
        <v>null</v>
      </c>
      <c r="N245" s="25">
        <v>1</v>
      </c>
      <c r="O245" s="25">
        <f>VLOOKUP(E245, Factor!$CL$5:$CV$50, 8, 0)*N245*VLOOKUP(D245, Factor!$BZ$5:$CJ$49, 10, 0)</f>
        <v>6</v>
      </c>
      <c r="P245" s="25">
        <v>1</v>
      </c>
      <c r="Q245" s="25">
        <f>VLOOKUP(E245, Factor!$CL$5:$CV$50, 9, 0)*P245*VLOOKUP(D245, Factor!$BZ$5:$CJ$49, 11, 0)</f>
        <v>2</v>
      </c>
      <c r="R245" s="25" t="str">
        <f>VLOOKUP(E245, Factor!$CL$5:$CV$50, 10, 0)</f>
        <v>null</v>
      </c>
      <c r="S245" s="25" t="str">
        <f>VLOOKUP(E245, Factor!$CL$5:$CV$50, 11, 0)</f>
        <v>null</v>
      </c>
      <c r="T245" s="25">
        <v>1</v>
      </c>
      <c r="U245" s="25">
        <v>1</v>
      </c>
      <c r="V245" s="25">
        <v>1</v>
      </c>
      <c r="W245" s="25">
        <v>1</v>
      </c>
      <c r="X245" s="25">
        <v>1</v>
      </c>
      <c r="Y245" s="25">
        <v>1</v>
      </c>
      <c r="Z245" s="25">
        <v>1</v>
      </c>
      <c r="AA245" s="25" cm="1">
        <f t="array" ref="AA245">_xlfn.LET(_xlpm.기본_색인번호, 2,
_xlpm.추가_색인번호, 3,
_xlpm.개별보정치, T245,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B245" s="25" cm="1">
        <f t="array" ref="AB245">_xlfn.LET(_xlpm.기본_색인번호, 3,
_xlpm.추가_색인번호, 4,
_xlpm.개별보정치, U245,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C245" s="25" cm="1">
        <f t="array" ref="AC245">_xlfn.LET(_xlpm.기본_색인번호, 4,
_xlpm.추가_색인번호, 5,
_xlpm.개별보정치, V245,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45" s="25" cm="1">
        <f t="array" ref="AD245">_xlfn.LET(_xlpm.기본_색인번호, 5,
_xlpm.추가_색인번호, 6,
_xlpm.개별보정치, W245,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  <c r="AE245" s="25" cm="1">
        <f t="array" ref="AE245">_xlfn.LET(_xlpm.기본_색인번호, 6,
_xlpm.추가_색인번호, 7,
_xlpm.개별보정치, X245,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  <c r="AF245" s="25" cm="1">
        <f t="array" ref="AF245">_xlfn.LET(_xlpm.기본_색인번호, 7,
_xlpm.추가_색인번호, 8,
_xlpm.개별보정치, Y245,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45" s="27" cm="1">
        <f t="array" ref="AG245">_xlfn.LET(_xlpm.기본_색인번호, 8,
_xlpm.추가_색인번호, 9,
_xlpm.개별보정치, Z245,
_xlpm.패턴보정치, VLOOKUP($G245, Factor!$B$5:$I$51, _xlpm.기본_색인번호, 0),
_xlpm.소모탄환보정치, VLOOKUP($H245, Factor!$T$5:$AA$51, _xlpm.기본_색인번호, 0),
_xlpm.지형보정치, VLOOKUP($I245, Factor!$K$12:$R$13, _xlpm.기본_색인번호, 0),
_xlpm.공격속성보정치, VLOOKUP($J245, Factor!$K$5:$R$7, _xlpm.기본_색인번호, 0),
_xlpm.피해범위보정치, INDEX(Factor!$AN$5:$AV$51, _xlfn.XMATCH(IF(OR($G245="blast", $G245="curved",  $G245= "debuff"), $L245, 0), Factor!$AN$5:$AN$51, -1), _xlpm.추가_색인번호)-IF(AND(OR($G245="blast", $G245="curved", $G245= "debuff"), MOD($L245,1)&lt;&gt;0),INDEX(Factor!$AN$5:$AV$51, _xlfn.XMATCH(IF(OR($G245="blast", $G245="curved", $G245= "debuff"), $L245, 0), Factor!$AN$5:$AN$51, -1), 2)*MOD($L245,1)*10,0),
_xlpm.상태이상보정치, VLOOKUP(IF($G245 = "debuff", $M245, "null"), Factor!$AX$5:$BE$51, _xlpm.기본_색인번호, 0),
_xlpm.지속시간보정치, INDEX(Factor!$BG$5:$BO$51, _xlfn.XMATCH(IF(OR($G245 ="debuff", $G245 = "shot", $G245 = "pierce"), $O245, 0), Factor!$BG$5:$BG$51, -1), _xlpm.추가_색인번호)-IF(AND(OR($G245 ="debuff", $G245 = "shot", $G245 = "pierce"), MOD($O245, 1)&lt;&gt;0), 10*MOD($O245, 1)*INDEX(Factor!$BG$5:$BO$51, _xlfn.XMATCH(IF(OR($G245 ="debuff", $G245 = "shot", $G245 = "pierce"), $O245, 0), Factor!$BG$5:$BG$51, -1), 2), 0),
_xlpm.탄환개수보정치, VLOOKUP(IF(OR($G245 = "curved", $G245 = "shot"), $Q245, 1), Factor!$BQ$5:$BX$51, _xlpm.기본_색인번호, 0),
_xlpm.상태이상탄환생성위치보정치, IF($G245 = "debuff", VLOOKUP($R245, Factor!$K$18:$R$19, _xlpm.기본_색인번호, 0),1),
_xlpm.상태이상탄환형태보정치, IF($G245 = "debuff", VLOOKUP($S245, Factor!$K$24:$R$25, _xlpm.기본_색인번호, 0),1),
_xlpm.가격보정치, INDEX(Factor!$AE$5:$AL$51, _xlfn.XMATCH($F245,Factor!$AE$5:$AE$51, -1), _xlpm.기본_색인번호),
_xlpm.구경보정치, VLOOKUP($D245,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</row>
    <row r="246" spans="1:33" ht="15.75" customHeight="1">
      <c r="A246" s="28" t="str">
        <f>"weapon_"&amp;G246&amp;"_"&amp;VLOOKUP(H246, Factor!$T$5:$AB$7, 9, 0)&amp;"_"&amp;IF(COUNTIFS($G$4:G245, G246, $H$4:H245, H246)+1&gt;=100, COUNTIFS($G$4:G245, G246, $H$4:H245, H246)+1,IF(COUNTIFS($G$4:G245, G246, $H$4:H245, H246)+1&gt;=10, "0"&amp;COUNTIFS($G$4:G245, G246, $H$4:H245, H246)+1, "00"&amp;COUNTIFS($G$4:G245, G246, $H$4:H245, H246)+1))</f>
        <v>weapon_shot_Am_066</v>
      </c>
      <c r="B246" s="37" t="str">
        <f t="shared" si="3"/>
        <v>T5 7.62mm쌍열 대공포</v>
      </c>
      <c r="C246" s="37" t="s">
        <v>251</v>
      </c>
      <c r="D246" s="37" t="s">
        <v>242</v>
      </c>
      <c r="E246" s="37" t="s">
        <v>281</v>
      </c>
      <c r="F246" s="29">
        <f>VLOOKUP(C246, Factor!$AD$5:$AE$15, 2, 0)</f>
        <v>5000</v>
      </c>
      <c r="G246" s="29" t="str">
        <f>VLOOKUP(E246, Factor!$CL$5:$CV$50, 2, 0)</f>
        <v>shot</v>
      </c>
      <c r="H246" s="29" t="str">
        <f>VLOOKUP(E246, Factor!$CL$5:$CV$50, 3, 0)</f>
        <v>ammo</v>
      </c>
      <c r="I246" s="29" t="str">
        <f>VLOOKUP(E246, Factor!$CL$5:$CV$50, 4, 0)</f>
        <v>F</v>
      </c>
      <c r="J246" s="29" t="str">
        <f>VLOOKUP(E246, Factor!$CL$5:$CV$50, 5, 0)</f>
        <v>spread</v>
      </c>
      <c r="K246" s="29">
        <v>1</v>
      </c>
      <c r="L246" s="29">
        <f>VLOOKUP(E246, Factor!$CL$5:$CV$50, 6, 0)*K246*VLOOKUP(D246, Factor!$BZ$5:$CJ$49, 9, 0)</f>
        <v>0</v>
      </c>
      <c r="M246" s="29" t="str">
        <f>VLOOKUP(E246, Factor!$CL$5:$CV$50, 7, 0)</f>
        <v>null</v>
      </c>
      <c r="N246" s="29">
        <v>1</v>
      </c>
      <c r="O246" s="29">
        <f>VLOOKUP(E246, Factor!$CL$5:$CV$50, 8, 0)*N246*VLOOKUP(D246, Factor!$BZ$5:$CJ$49, 10, 0)</f>
        <v>9</v>
      </c>
      <c r="P246" s="29">
        <v>1</v>
      </c>
      <c r="Q246" s="29">
        <f>VLOOKUP(E246, Factor!$CL$5:$CV$50, 9, 0)*P246*VLOOKUP(D246, Factor!$BZ$5:$CJ$49, 11, 0)</f>
        <v>3</v>
      </c>
      <c r="R246" s="29" t="str">
        <f>VLOOKUP(E246, Factor!$CL$5:$CV$50, 10, 0)</f>
        <v>null</v>
      </c>
      <c r="S246" s="29" t="str">
        <f>VLOOKUP(E246, Factor!$CL$5:$CV$50, 11, 0)</f>
        <v>null</v>
      </c>
      <c r="T246" s="29">
        <v>1</v>
      </c>
      <c r="U246" s="29">
        <v>1</v>
      </c>
      <c r="V246" s="29">
        <v>1</v>
      </c>
      <c r="W246" s="29">
        <v>1</v>
      </c>
      <c r="X246" s="29">
        <v>1</v>
      </c>
      <c r="Y246" s="29">
        <v>1</v>
      </c>
      <c r="Z246" s="29">
        <v>1</v>
      </c>
      <c r="AA246" s="29" cm="1">
        <f t="array" ref="AA246">_xlfn.LET(_xlpm.기본_색인번호, 2,
_xlpm.추가_색인번호, 3,
_xlpm.개별보정치, T246,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B246" s="29" cm="1">
        <f t="array" ref="AB246">_xlfn.LET(_xlpm.기본_색인번호, 3,
_xlpm.추가_색인번호, 4,
_xlpm.개별보정치, U246,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</v>
      </c>
      <c r="AC246" s="29" cm="1">
        <f t="array" ref="AC246">_xlfn.LET(_xlpm.기본_색인번호, 4,
_xlpm.추가_색인번호, 5,
_xlpm.개별보정치, V246,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46" s="29" cm="1">
        <f t="array" ref="AD246">_xlfn.LET(_xlpm.기본_색인번호, 5,
_xlpm.추가_색인번호, 6,
_xlpm.개별보정치, W246,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  <c r="AE246" s="29" cm="1">
        <f t="array" ref="AE246">_xlfn.LET(_xlpm.기본_색인번호, 6,
_xlpm.추가_색인번호, 7,
_xlpm.개별보정치, X246,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  <c r="AF246" s="29" cm="1">
        <f t="array" ref="AF246">_xlfn.LET(_xlpm.기본_색인번호, 7,
_xlpm.추가_색인번호, 8,
_xlpm.개별보정치, Y246,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46" s="30" cm="1">
        <f t="array" ref="AG246">_xlfn.LET(_xlpm.기본_색인번호, 8,
_xlpm.추가_색인번호, 9,
_xlpm.개별보정치, Z246,
_xlpm.패턴보정치, VLOOKUP($G246, Factor!$B$5:$I$51, _xlpm.기본_색인번호, 0),
_xlpm.소모탄환보정치, VLOOKUP($H246, Factor!$T$5:$AA$51, _xlpm.기본_색인번호, 0),
_xlpm.지형보정치, VLOOKUP($I246, Factor!$K$12:$R$13, _xlpm.기본_색인번호, 0),
_xlpm.공격속성보정치, VLOOKUP($J246, Factor!$K$5:$R$7, _xlpm.기본_색인번호, 0),
_xlpm.피해범위보정치, INDEX(Factor!$AN$5:$AV$51, _xlfn.XMATCH(IF(OR($G246="blast", $G246="curved",  $G246= "debuff"), $L246, 0), Factor!$AN$5:$AN$51, -1), _xlpm.추가_색인번호)-IF(AND(OR($G246="blast", $G246="curved", $G246= "debuff"), MOD($L246,1)&lt;&gt;0),INDEX(Factor!$AN$5:$AV$51, _xlfn.XMATCH(IF(OR($G246="blast", $G246="curved", $G246= "debuff"), $L246, 0), Factor!$AN$5:$AN$51, -1), 2)*MOD($L246,1)*10,0),
_xlpm.상태이상보정치, VLOOKUP(IF($G246 = "debuff", $M246, "null"), Factor!$AX$5:$BE$51, _xlpm.기본_색인번호, 0),
_xlpm.지속시간보정치, INDEX(Factor!$BG$5:$BO$51, _xlfn.XMATCH(IF(OR($G246 ="debuff", $G246 = "shot", $G246 = "pierce"), $O246, 0), Factor!$BG$5:$BG$51, -1), _xlpm.추가_색인번호)-IF(AND(OR($G246 ="debuff", $G246 = "shot", $G246 = "pierce"), MOD($O246, 1)&lt;&gt;0), 10*MOD($O246, 1)*INDEX(Factor!$BG$5:$BO$51, _xlfn.XMATCH(IF(OR($G246 ="debuff", $G246 = "shot", $G246 = "pierce"), $O246, 0), Factor!$BG$5:$BG$51, -1), 2), 0),
_xlpm.탄환개수보정치, VLOOKUP(IF(OR($G246 = "curved", $G246 = "shot"), $Q246, 1), Factor!$BQ$5:$BX$51, _xlpm.기본_색인번호, 0),
_xlpm.상태이상탄환생성위치보정치, IF($G246 = "debuff", VLOOKUP($R246, Factor!$K$18:$R$19, _xlpm.기본_색인번호, 0),1),
_xlpm.상태이상탄환형태보정치, IF($G246 = "debuff", VLOOKUP($S246, Factor!$K$24:$R$25, _xlpm.기본_색인번호, 0),1),
_xlpm.가격보정치, INDEX(Factor!$AE$5:$AL$51, _xlfn.XMATCH($F246,Factor!$AE$5:$AE$51, -1), _xlpm.기본_색인번호),
_xlpm.구경보정치, VLOOKUP($D246,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</row>
    <row r="247" spans="1:33" ht="15.75" customHeight="1">
      <c r="A247" s="24" t="str">
        <f>"weapon_"&amp;G247&amp;"_"&amp;VLOOKUP(H247, Factor!$T$5:$AB$7, 9, 0)&amp;"_"&amp;IF(COUNTIFS($G$4:G246, G247, $H$4:H246, H247)+1&gt;=100, COUNTIFS($G$4:G246, G247, $H$4:H246, H247)+1,IF(COUNTIFS($G$4:G246, G247, $H$4:H246, H247)+1&gt;=10, "0"&amp;COUNTIFS($G$4:G246, G247, $H$4:H246, H247)+1, "00"&amp;COUNTIFS($G$4:G246, G247, $H$4:H246, H247)+1))</f>
        <v>weapon_shot_Am_067</v>
      </c>
      <c r="B247" s="36" t="str">
        <f t="shared" ref="B247:B310" si="4">C247&amp;" "&amp;IF(D247 = "none","", D247)&amp;E247</f>
        <v>T5 12.7mm쌍열 대공포</v>
      </c>
      <c r="C247" s="36" t="s">
        <v>251</v>
      </c>
      <c r="D247" s="36" t="s">
        <v>243</v>
      </c>
      <c r="E247" s="36" t="s">
        <v>281</v>
      </c>
      <c r="F247" s="25">
        <f>VLOOKUP(C247, Factor!$AD$5:$AE$15, 2, 0)</f>
        <v>5000</v>
      </c>
      <c r="G247" s="26" t="str">
        <f>VLOOKUP(E247, Factor!$CL$5:$CV$50, 2, 0)</f>
        <v>shot</v>
      </c>
      <c r="H247" s="25" t="str">
        <f>VLOOKUP(E247, Factor!$CL$5:$CV$50, 3, 0)</f>
        <v>ammo</v>
      </c>
      <c r="I247" s="25" t="str">
        <f>VLOOKUP(E247, Factor!$CL$5:$CV$50, 4, 0)</f>
        <v>F</v>
      </c>
      <c r="J247" s="25" t="str">
        <f>VLOOKUP(E247, Factor!$CL$5:$CV$50, 5, 0)</f>
        <v>spread</v>
      </c>
      <c r="K247" s="25">
        <v>1</v>
      </c>
      <c r="L247" s="25">
        <f>VLOOKUP(E247, Factor!$CL$5:$CV$50, 6, 0)*K247*VLOOKUP(D247, Factor!$BZ$5:$CJ$49, 9, 0)</f>
        <v>0</v>
      </c>
      <c r="M247" s="25" t="str">
        <f>VLOOKUP(E247, Factor!$CL$5:$CV$50, 7, 0)</f>
        <v>null</v>
      </c>
      <c r="N247" s="25">
        <v>1</v>
      </c>
      <c r="O247" s="25">
        <f>VLOOKUP(E247, Factor!$CL$5:$CV$50, 8, 0)*N247*VLOOKUP(D247, Factor!$BZ$5:$CJ$49, 10, 0)</f>
        <v>12</v>
      </c>
      <c r="P247" s="25">
        <v>1</v>
      </c>
      <c r="Q247" s="25">
        <f>VLOOKUP(E247, Factor!$CL$5:$CV$50, 9, 0)*P247*VLOOKUP(D247, Factor!$BZ$5:$CJ$49, 11, 0)</f>
        <v>4</v>
      </c>
      <c r="R247" s="25" t="str">
        <f>VLOOKUP(E247, Factor!$CL$5:$CV$50, 10, 0)</f>
        <v>null</v>
      </c>
      <c r="S247" s="25" t="str">
        <f>VLOOKUP(E247, Factor!$CL$5:$CV$50, 11, 0)</f>
        <v>null</v>
      </c>
      <c r="T247" s="25">
        <v>1</v>
      </c>
      <c r="U247" s="25">
        <v>1</v>
      </c>
      <c r="V247" s="25">
        <v>1</v>
      </c>
      <c r="W247" s="25">
        <v>1</v>
      </c>
      <c r="X247" s="25">
        <v>1</v>
      </c>
      <c r="Y247" s="25">
        <v>1</v>
      </c>
      <c r="Z247" s="25">
        <v>1</v>
      </c>
      <c r="AA247" s="25" cm="1">
        <f t="array" ref="AA247">_xlfn.LET(_xlpm.기본_색인번호, 2,
_xlpm.추가_색인번호, 3,
_xlpm.개별보정치, T247,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247" s="25" cm="1">
        <f t="array" ref="AB247">_xlfn.LET(_xlpm.기본_색인번호, 3,
_xlpm.추가_색인번호, 4,
_xlpm.개별보정치, U247,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C247" s="25" cm="1">
        <f t="array" ref="AC247">_xlfn.LET(_xlpm.기본_색인번호, 4,
_xlpm.추가_색인번호, 5,
_xlpm.개별보정치, V247,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47" s="25" cm="1">
        <f t="array" ref="AD247">_xlfn.LET(_xlpm.기본_색인번호, 5,
_xlpm.추가_색인번호, 6,
_xlpm.개별보정치, W247,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247" s="25" cm="1">
        <f t="array" ref="AE247">_xlfn.LET(_xlpm.기본_색인번호, 6,
_xlpm.추가_색인번호, 7,
_xlpm.개별보정치, X247,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247" s="25" cm="1">
        <f t="array" ref="AF247">_xlfn.LET(_xlpm.기본_색인번호, 7,
_xlpm.추가_색인번호, 8,
_xlpm.개별보정치, Y247,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47" s="27" cm="1">
        <f t="array" ref="AG247">_xlfn.LET(_xlpm.기본_색인번호, 8,
_xlpm.추가_색인번호, 9,
_xlpm.개별보정치, Z247,
_xlpm.패턴보정치, VLOOKUP($G247, Factor!$B$5:$I$51, _xlpm.기본_색인번호, 0),
_xlpm.소모탄환보정치, VLOOKUP($H247, Factor!$T$5:$AA$51, _xlpm.기본_색인번호, 0),
_xlpm.지형보정치, VLOOKUP($I247, Factor!$K$12:$R$13, _xlpm.기본_색인번호, 0),
_xlpm.공격속성보정치, VLOOKUP($J247, Factor!$K$5:$R$7, _xlpm.기본_색인번호, 0),
_xlpm.피해범위보정치, INDEX(Factor!$AN$5:$AV$51, _xlfn.XMATCH(IF(OR($G247="blast", $G247="curved",  $G247= "debuff"), $L247, 0), Factor!$AN$5:$AN$51, -1), _xlpm.추가_색인번호)-IF(AND(OR($G247="blast", $G247="curved", $G247= "debuff"), MOD($L247,1)&lt;&gt;0),INDEX(Factor!$AN$5:$AV$51, _xlfn.XMATCH(IF(OR($G247="blast", $G247="curved", $G247= "debuff"), $L247, 0), Factor!$AN$5:$AN$51, -1), 2)*MOD($L247,1)*10,0),
_xlpm.상태이상보정치, VLOOKUP(IF($G247 = "debuff", $M247, "null"), Factor!$AX$5:$BE$51, _xlpm.기본_색인번호, 0),
_xlpm.지속시간보정치, INDEX(Factor!$BG$5:$BO$51, _xlfn.XMATCH(IF(OR($G247 ="debuff", $G247 = "shot", $G247 = "pierce"), $O247, 0), Factor!$BG$5:$BG$51, -1), _xlpm.추가_색인번호)-IF(AND(OR($G247 ="debuff", $G247 = "shot", $G247 = "pierce"), MOD($O247, 1)&lt;&gt;0), 10*MOD($O247, 1)*INDEX(Factor!$BG$5:$BO$51, _xlfn.XMATCH(IF(OR($G247 ="debuff", $G247 = "shot", $G247 = "pierce"), $O247, 0), Factor!$BG$5:$BG$51, -1), 2), 0),
_xlpm.탄환개수보정치, VLOOKUP(IF(OR($G247 = "curved", $G247 = "shot"), $Q247, 1), Factor!$BQ$5:$BX$51, _xlpm.기본_색인번호, 0),
_xlpm.상태이상탄환생성위치보정치, IF($G247 = "debuff", VLOOKUP($R247, Factor!$K$18:$R$19, _xlpm.기본_색인번호, 0),1),
_xlpm.상태이상탄환형태보정치, IF($G247 = "debuff", VLOOKUP($S247, Factor!$K$24:$R$25, _xlpm.기본_색인번호, 0),1),
_xlpm.가격보정치, INDEX(Factor!$AE$5:$AL$51, _xlfn.XMATCH($F247,Factor!$AE$5:$AE$51, -1), _xlpm.기본_색인번호),
_xlpm.구경보정치, VLOOKUP($D247,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248" spans="1:33" ht="15.75" customHeight="1">
      <c r="A248" s="28" t="str">
        <f>"weapon_"&amp;G248&amp;"_"&amp;VLOOKUP(H248, Factor!$T$5:$AB$7, 9, 0)&amp;"_"&amp;IF(COUNTIFS($G$4:G247, G248, $H$4:H247, H248)+1&gt;=100, COUNTIFS($G$4:G247, G248, $H$4:H247, H248)+1,IF(COUNTIFS($G$4:G247, G248, $H$4:H247, H248)+1&gt;=10, "0"&amp;COUNTIFS($G$4:G247, G248, $H$4:H247, H248)+1, "00"&amp;COUNTIFS($G$4:G247, G248, $H$4:H247, H248)+1))</f>
        <v>weapon_shot_Am_068</v>
      </c>
      <c r="B248" s="37" t="str">
        <f t="shared" si="4"/>
        <v>T5 20mm쌍열 대공포</v>
      </c>
      <c r="C248" s="37" t="s">
        <v>251</v>
      </c>
      <c r="D248" s="37" t="s">
        <v>244</v>
      </c>
      <c r="E248" s="37" t="s">
        <v>281</v>
      </c>
      <c r="F248" s="29">
        <f>VLOOKUP(C248, Factor!$AD$5:$AE$15, 2, 0)</f>
        <v>5000</v>
      </c>
      <c r="G248" s="29" t="str">
        <f>VLOOKUP(E248, Factor!$CL$5:$CV$50, 2, 0)</f>
        <v>shot</v>
      </c>
      <c r="H248" s="29" t="str">
        <f>VLOOKUP(E248, Factor!$CL$5:$CV$50, 3, 0)</f>
        <v>ammo</v>
      </c>
      <c r="I248" s="29" t="str">
        <f>VLOOKUP(E248, Factor!$CL$5:$CV$50, 4, 0)</f>
        <v>F</v>
      </c>
      <c r="J248" s="29" t="str">
        <f>VLOOKUP(E248, Factor!$CL$5:$CV$50, 5, 0)</f>
        <v>spread</v>
      </c>
      <c r="K248" s="29">
        <v>1</v>
      </c>
      <c r="L248" s="29">
        <f>VLOOKUP(E248, Factor!$CL$5:$CV$50, 6, 0)*K248*VLOOKUP(D248, Factor!$BZ$5:$CJ$49, 9, 0)</f>
        <v>0</v>
      </c>
      <c r="M248" s="29" t="str">
        <f>VLOOKUP(E248, Factor!$CL$5:$CV$50, 7, 0)</f>
        <v>null</v>
      </c>
      <c r="N248" s="29">
        <v>1</v>
      </c>
      <c r="O248" s="29">
        <f>VLOOKUP(E248, Factor!$CL$5:$CV$50, 8, 0)*N248*VLOOKUP(D248, Factor!$BZ$5:$CJ$49, 10, 0)</f>
        <v>15</v>
      </c>
      <c r="P248" s="29">
        <v>1</v>
      </c>
      <c r="Q248" s="29">
        <f>VLOOKUP(E248, Factor!$CL$5:$CV$50, 9, 0)*P248*VLOOKUP(D248, Factor!$BZ$5:$CJ$49, 11, 0)</f>
        <v>5</v>
      </c>
      <c r="R248" s="29" t="str">
        <f>VLOOKUP(E248, Factor!$CL$5:$CV$50, 10, 0)</f>
        <v>null</v>
      </c>
      <c r="S248" s="29" t="str">
        <f>VLOOKUP(E248, Factor!$CL$5:$CV$50, 11, 0)</f>
        <v>null</v>
      </c>
      <c r="T248" s="29">
        <v>1</v>
      </c>
      <c r="U248" s="29">
        <v>1</v>
      </c>
      <c r="V248" s="29">
        <v>1</v>
      </c>
      <c r="W248" s="29">
        <v>1</v>
      </c>
      <c r="X248" s="29">
        <v>1</v>
      </c>
      <c r="Y248" s="29">
        <v>1</v>
      </c>
      <c r="Z248" s="29">
        <v>1</v>
      </c>
      <c r="AA248" s="29" cm="1">
        <f t="array" ref="AA248">_xlfn.LET(_xlpm.기본_색인번호, 2,
_xlpm.추가_색인번호, 3,
_xlpm.개별보정치, T248,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6000</v>
      </c>
      <c r="AB248" s="29" cm="1">
        <f t="array" ref="AB248">_xlfn.LET(_xlpm.기본_색인번호, 3,
_xlpm.추가_색인번호, 4,
_xlpm.개별보정치, U248,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C248" s="29" cm="1">
        <f t="array" ref="AC248">_xlfn.LET(_xlpm.기본_색인번호, 4,
_xlpm.추가_색인번호, 5,
_xlpm.개별보정치, V248,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48" s="29" cm="1">
        <f t="array" ref="AD248">_xlfn.LET(_xlpm.기본_색인번호, 5,
_xlpm.추가_색인번호, 6,
_xlpm.개별보정치, W248,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E248" s="29" cm="1">
        <f t="array" ref="AE248">_xlfn.LET(_xlpm.기본_색인번호, 6,
_xlpm.추가_색인번호, 7,
_xlpm.개별보정치, X248,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F248" s="29" cm="1">
        <f t="array" ref="AF248">_xlfn.LET(_xlpm.기본_색인번호, 7,
_xlpm.추가_색인번호, 8,
_xlpm.개별보정치, Y248,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48" s="30" cm="1">
        <f t="array" ref="AG248">_xlfn.LET(_xlpm.기본_색인번호, 8,
_xlpm.추가_색인번호, 9,
_xlpm.개별보정치, Z248,
_xlpm.패턴보정치, VLOOKUP($G248, Factor!$B$5:$I$51, _xlpm.기본_색인번호, 0),
_xlpm.소모탄환보정치, VLOOKUP($H248, Factor!$T$5:$AA$51, _xlpm.기본_색인번호, 0),
_xlpm.지형보정치, VLOOKUP($I248, Factor!$K$12:$R$13, _xlpm.기본_색인번호, 0),
_xlpm.공격속성보정치, VLOOKUP($J248, Factor!$K$5:$R$7, _xlpm.기본_색인번호, 0),
_xlpm.피해범위보정치, INDEX(Factor!$AN$5:$AV$51, _xlfn.XMATCH(IF(OR($G248="blast", $G248="curved",  $G248= "debuff"), $L248, 0), Factor!$AN$5:$AN$51, -1), _xlpm.추가_색인번호)-IF(AND(OR($G248="blast", $G248="curved", $G248= "debuff"), MOD($L248,1)&lt;&gt;0),INDEX(Factor!$AN$5:$AV$51, _xlfn.XMATCH(IF(OR($G248="blast", $G248="curved", $G248= "debuff"), $L248, 0), Factor!$AN$5:$AN$51, -1), 2)*MOD($L248,1)*10,0),
_xlpm.상태이상보정치, VLOOKUP(IF($G248 = "debuff", $M248, "null"), Factor!$AX$5:$BE$51, _xlpm.기본_색인번호, 0),
_xlpm.지속시간보정치, INDEX(Factor!$BG$5:$BO$51, _xlfn.XMATCH(IF(OR($G248 ="debuff", $G248 = "shot", $G248 = "pierce"), $O248, 0), Factor!$BG$5:$BG$51, -1), _xlpm.추가_색인번호)-IF(AND(OR($G248 ="debuff", $G248 = "shot", $G248 = "pierce"), MOD($O248, 1)&lt;&gt;0), 10*MOD($O248, 1)*INDEX(Factor!$BG$5:$BO$51, _xlfn.XMATCH(IF(OR($G248 ="debuff", $G248 = "shot", $G248 = "pierce"), $O248, 0), Factor!$BG$5:$BG$51, -1), 2), 0),
_xlpm.탄환개수보정치, VLOOKUP(IF(OR($G248 = "curved", $G248 = "shot"), $Q248, 1), Factor!$BQ$5:$BX$51, _xlpm.기본_색인번호, 0),
_xlpm.상태이상탄환생성위치보정치, IF($G248 = "debuff", VLOOKUP($R248, Factor!$K$18:$R$19, _xlpm.기본_색인번호, 0),1),
_xlpm.상태이상탄환형태보정치, IF($G248 = "debuff", VLOOKUP($S248, Factor!$K$24:$R$25, _xlpm.기본_색인번호, 0),1),
_xlpm.가격보정치, INDEX(Factor!$AE$5:$AL$51, _xlfn.XMATCH($F248,Factor!$AE$5:$AE$51, -1), _xlpm.기본_색인번호),
_xlpm.구경보정치, VLOOKUP($D248,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</row>
    <row r="249" spans="1:33" ht="15.75" customHeight="1">
      <c r="A249" s="24" t="str">
        <f>"weapon_"&amp;G249&amp;"_"&amp;VLOOKUP(H249, Factor!$T$5:$AB$7, 9, 0)&amp;"_"&amp;IF(COUNTIFS($G$4:G248, G249, $H$4:H248, H249)+1&gt;=100, COUNTIFS($G$4:G248, G249, $H$4:H248, H249)+1,IF(COUNTIFS($G$4:G248, G249, $H$4:H248, H249)+1&gt;=10, "0"&amp;COUNTIFS($G$4:G248, G249, $H$4:H248, H249)+1, "00"&amp;COUNTIFS($G$4:G248, G249, $H$4:H248, H249)+1))</f>
        <v>weapon_shot_Am_069</v>
      </c>
      <c r="B249" s="36" t="str">
        <f t="shared" si="4"/>
        <v>T6 5.56mm쌍열 대공포</v>
      </c>
      <c r="C249" s="36" t="s">
        <v>253</v>
      </c>
      <c r="D249" s="36" t="s">
        <v>241</v>
      </c>
      <c r="E249" s="36" t="s">
        <v>281</v>
      </c>
      <c r="F249" s="25">
        <f>VLOOKUP(C249, Factor!$AD$5:$AE$15, 2, 0)</f>
        <v>6000</v>
      </c>
      <c r="G249" s="26" t="str">
        <f>VLOOKUP(E249, Factor!$CL$5:$CV$50, 2, 0)</f>
        <v>shot</v>
      </c>
      <c r="H249" s="25" t="str">
        <f>VLOOKUP(E249, Factor!$CL$5:$CV$50, 3, 0)</f>
        <v>ammo</v>
      </c>
      <c r="I249" s="25" t="str">
        <f>VLOOKUP(E249, Factor!$CL$5:$CV$50, 4, 0)</f>
        <v>F</v>
      </c>
      <c r="J249" s="25" t="str">
        <f>VLOOKUP(E249, Factor!$CL$5:$CV$50, 5, 0)</f>
        <v>spread</v>
      </c>
      <c r="K249" s="25">
        <v>1</v>
      </c>
      <c r="L249" s="25">
        <f>VLOOKUP(E249, Factor!$CL$5:$CV$50, 6, 0)*K249*VLOOKUP(D249, Factor!$BZ$5:$CJ$49, 9, 0)</f>
        <v>0</v>
      </c>
      <c r="M249" s="25" t="str">
        <f>VLOOKUP(E249, Factor!$CL$5:$CV$50, 7, 0)</f>
        <v>null</v>
      </c>
      <c r="N249" s="25">
        <v>1</v>
      </c>
      <c r="O249" s="25">
        <f>VLOOKUP(E249, Factor!$CL$5:$CV$50, 8, 0)*N249*VLOOKUP(D249, Factor!$BZ$5:$CJ$49, 10, 0)</f>
        <v>6</v>
      </c>
      <c r="P249" s="25">
        <v>1</v>
      </c>
      <c r="Q249" s="25">
        <f>VLOOKUP(E249, Factor!$CL$5:$CV$50, 9, 0)*P249*VLOOKUP(D249, Factor!$BZ$5:$CJ$49, 11, 0)</f>
        <v>2</v>
      </c>
      <c r="R249" s="25" t="str">
        <f>VLOOKUP(E249, Factor!$CL$5:$CV$50, 10, 0)</f>
        <v>null</v>
      </c>
      <c r="S249" s="25" t="str">
        <f>VLOOKUP(E249, Factor!$CL$5:$CV$50, 11, 0)</f>
        <v>null</v>
      </c>
      <c r="T249" s="25">
        <v>1</v>
      </c>
      <c r="U249" s="25">
        <v>1</v>
      </c>
      <c r="V249" s="25">
        <v>1</v>
      </c>
      <c r="W249" s="25">
        <v>1</v>
      </c>
      <c r="X249" s="25">
        <v>1</v>
      </c>
      <c r="Y249" s="25">
        <v>1</v>
      </c>
      <c r="Z249" s="25">
        <v>1</v>
      </c>
      <c r="AA249" s="25" cm="1">
        <f t="array" ref="AA249">_xlfn.LET(_xlpm.기본_색인번호, 2,
_xlpm.추가_색인번호, 3,
_xlpm.개별보정치, T249,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1680</v>
      </c>
      <c r="AB249" s="25" cm="1">
        <f t="array" ref="AB249">_xlfn.LET(_xlpm.기본_색인번호, 3,
_xlpm.추가_색인번호, 4,
_xlpm.개별보정치, U249,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  <c r="AC249" s="25" cm="1">
        <f t="array" ref="AC249">_xlfn.LET(_xlpm.기본_색인번호, 4,
_xlpm.추가_색인번호, 5,
_xlpm.개별보정치, V249,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49" s="25" cm="1">
        <f t="array" ref="AD249">_xlfn.LET(_xlpm.기본_색인번호, 5,
_xlpm.추가_색인번호, 6,
_xlpm.개별보정치, W249,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100.79999999999998</v>
      </c>
      <c r="AE249" s="25" cm="1">
        <f t="array" ref="AE249">_xlfn.LET(_xlpm.기본_색인번호, 6,
_xlpm.추가_색인번호, 7,
_xlpm.개별보정치, X249,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100.79999999999998</v>
      </c>
      <c r="AF249" s="25" cm="1">
        <f t="array" ref="AF249">_xlfn.LET(_xlpm.기본_색인번호, 7,
_xlpm.추가_색인번호, 8,
_xlpm.개별보정치, Y249,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49" s="27" cm="1">
        <f t="array" ref="AG249">_xlfn.LET(_xlpm.기본_색인번호, 8,
_xlpm.추가_색인번호, 9,
_xlpm.개별보정치, Z249,
_xlpm.패턴보정치, VLOOKUP($G249, Factor!$B$5:$I$51, _xlpm.기본_색인번호, 0),
_xlpm.소모탄환보정치, VLOOKUP($H249, Factor!$T$5:$AA$51, _xlpm.기본_색인번호, 0),
_xlpm.지형보정치, VLOOKUP($I249, Factor!$K$12:$R$13, _xlpm.기본_색인번호, 0),
_xlpm.공격속성보정치, VLOOKUP($J249, Factor!$K$5:$R$7, _xlpm.기본_색인번호, 0),
_xlpm.피해범위보정치, INDEX(Factor!$AN$5:$AV$51, _xlfn.XMATCH(IF(OR($G249="blast", $G249="curved",  $G249= "debuff"), $L249, 0), Factor!$AN$5:$AN$51, -1), _xlpm.추가_색인번호)-IF(AND(OR($G249="blast", $G249="curved", $G249= "debuff"), MOD($L249,1)&lt;&gt;0),INDEX(Factor!$AN$5:$AV$51, _xlfn.XMATCH(IF(OR($G249="blast", $G249="curved", $G249= "debuff"), $L249, 0), Factor!$AN$5:$AN$51, -1), 2)*MOD($L249,1)*10,0),
_xlpm.상태이상보정치, VLOOKUP(IF($G249 = "debuff", $M249, "null"), Factor!$AX$5:$BE$51, _xlpm.기본_색인번호, 0),
_xlpm.지속시간보정치, INDEX(Factor!$BG$5:$BO$51, _xlfn.XMATCH(IF(OR($G249 ="debuff", $G249 = "shot", $G249 = "pierce"), $O249, 0), Factor!$BG$5:$BG$51, -1), _xlpm.추가_색인번호)-IF(AND(OR($G249 ="debuff", $G249 = "shot", $G249 = "pierce"), MOD($O249, 1)&lt;&gt;0), 10*MOD($O249, 1)*INDEX(Factor!$BG$5:$BO$51, _xlfn.XMATCH(IF(OR($G249 ="debuff", $G249 = "shot", $G249 = "pierce"), $O249, 0), Factor!$BG$5:$BG$51, -1), 2), 0),
_xlpm.탄환개수보정치, VLOOKUP(IF(OR($G249 = "curved", $G249 = "shot"), $Q249, 1), Factor!$BQ$5:$BX$51, _xlpm.기본_색인번호, 0),
_xlpm.상태이상탄환생성위치보정치, IF($G249 = "debuff", VLOOKUP($R249, Factor!$K$18:$R$19, _xlpm.기본_색인번호, 0),1),
_xlpm.상태이상탄환형태보정치, IF($G249 = "debuff", VLOOKUP($S249, Factor!$K$24:$R$25, _xlpm.기본_색인번호, 0),1),
_xlpm.가격보정치, INDEX(Factor!$AE$5:$AL$51, _xlfn.XMATCH($F249,Factor!$AE$5:$AE$51, -1), _xlpm.기본_색인번호),
_xlpm.구경보정치, VLOOKUP($D249,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100.79999999999998</v>
      </c>
    </row>
    <row r="250" spans="1:33" ht="15.75" customHeight="1">
      <c r="A250" s="28" t="str">
        <f>"weapon_"&amp;G250&amp;"_"&amp;VLOOKUP(H250, Factor!$T$5:$AB$7, 9, 0)&amp;"_"&amp;IF(COUNTIFS($G$4:G249, G250, $H$4:H249, H250)+1&gt;=100, COUNTIFS($G$4:G249, G250, $H$4:H249, H250)+1,IF(COUNTIFS($G$4:G249, G250, $H$4:H249, H250)+1&gt;=10, "0"&amp;COUNTIFS($G$4:G249, G250, $H$4:H249, H250)+1, "00"&amp;COUNTIFS($G$4:G249, G250, $H$4:H249, H250)+1))</f>
        <v>weapon_shot_Am_070</v>
      </c>
      <c r="B250" s="37" t="str">
        <f t="shared" si="4"/>
        <v>T6 7.62mm쌍열 대공포</v>
      </c>
      <c r="C250" s="37" t="s">
        <v>253</v>
      </c>
      <c r="D250" s="37" t="s">
        <v>242</v>
      </c>
      <c r="E250" s="37" t="s">
        <v>281</v>
      </c>
      <c r="F250" s="29">
        <f>VLOOKUP(C250, Factor!$AD$5:$AE$15, 2, 0)</f>
        <v>6000</v>
      </c>
      <c r="G250" s="29" t="str">
        <f>VLOOKUP(E250, Factor!$CL$5:$CV$50, 2, 0)</f>
        <v>shot</v>
      </c>
      <c r="H250" s="29" t="str">
        <f>VLOOKUP(E250, Factor!$CL$5:$CV$50, 3, 0)</f>
        <v>ammo</v>
      </c>
      <c r="I250" s="29" t="str">
        <f>VLOOKUP(E250, Factor!$CL$5:$CV$50, 4, 0)</f>
        <v>F</v>
      </c>
      <c r="J250" s="29" t="str">
        <f>VLOOKUP(E250, Factor!$CL$5:$CV$50, 5, 0)</f>
        <v>spread</v>
      </c>
      <c r="K250" s="29">
        <v>1</v>
      </c>
      <c r="L250" s="29">
        <f>VLOOKUP(E250, Factor!$CL$5:$CV$50, 6, 0)*K250*VLOOKUP(D250, Factor!$BZ$5:$CJ$49, 9, 0)</f>
        <v>0</v>
      </c>
      <c r="M250" s="29" t="str">
        <f>VLOOKUP(E250, Factor!$CL$5:$CV$50, 7, 0)</f>
        <v>null</v>
      </c>
      <c r="N250" s="29">
        <v>1</v>
      </c>
      <c r="O250" s="29">
        <f>VLOOKUP(E250, Factor!$CL$5:$CV$50, 8, 0)*N250*VLOOKUP(D250, Factor!$BZ$5:$CJ$49, 10, 0)</f>
        <v>9</v>
      </c>
      <c r="P250" s="29">
        <v>1</v>
      </c>
      <c r="Q250" s="29">
        <f>VLOOKUP(E250, Factor!$CL$5:$CV$50, 9, 0)*P250*VLOOKUP(D250, Factor!$BZ$5:$CJ$49, 11, 0)</f>
        <v>3</v>
      </c>
      <c r="R250" s="29" t="str">
        <f>VLOOKUP(E250, Factor!$CL$5:$CV$50, 10, 0)</f>
        <v>null</v>
      </c>
      <c r="S250" s="29" t="str">
        <f>VLOOKUP(E250, Factor!$CL$5:$CV$50, 11, 0)</f>
        <v>null</v>
      </c>
      <c r="T250" s="29">
        <v>1</v>
      </c>
      <c r="U250" s="29">
        <v>1</v>
      </c>
      <c r="V250" s="29">
        <v>1</v>
      </c>
      <c r="W250" s="29">
        <v>1</v>
      </c>
      <c r="X250" s="29">
        <v>1</v>
      </c>
      <c r="Y250" s="29">
        <v>1</v>
      </c>
      <c r="Z250" s="29">
        <v>1</v>
      </c>
      <c r="AA250" s="29" cm="1">
        <f t="array" ref="AA250">_xlfn.LET(_xlpm.기본_색인번호, 2,
_xlpm.추가_색인번호, 3,
_xlpm.개별보정치, T250,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3780</v>
      </c>
      <c r="AB250" s="29" cm="1">
        <f t="array" ref="AB250">_xlfn.LET(_xlpm.기본_색인번호, 3,
_xlpm.추가_색인번호, 4,
_xlpm.개별보정치, U250,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  <c r="AC250" s="29" cm="1">
        <f t="array" ref="AC250">_xlfn.LET(_xlpm.기본_색인번호, 4,
_xlpm.추가_색인번호, 5,
_xlpm.개별보정치, V250,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50" s="29" cm="1">
        <f t="array" ref="AD250">_xlfn.LET(_xlpm.기본_색인번호, 5,
_xlpm.추가_색인번호, 6,
_xlpm.개별보정치, W250,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226.79999999999998</v>
      </c>
      <c r="AE250" s="29" cm="1">
        <f t="array" ref="AE250">_xlfn.LET(_xlpm.기본_색인번호, 6,
_xlpm.추가_색인번호, 7,
_xlpm.개별보정치, X250,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226.79999999999998</v>
      </c>
      <c r="AF250" s="29" cm="1">
        <f t="array" ref="AF250">_xlfn.LET(_xlpm.기본_색인번호, 7,
_xlpm.추가_색인번호, 8,
_xlpm.개별보정치, Y250,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50" s="30" cm="1">
        <f t="array" ref="AG250">_xlfn.LET(_xlpm.기본_색인번호, 8,
_xlpm.추가_색인번호, 9,
_xlpm.개별보정치, Z250,
_xlpm.패턴보정치, VLOOKUP($G250, Factor!$B$5:$I$51, _xlpm.기본_색인번호, 0),
_xlpm.소모탄환보정치, VLOOKUP($H250, Factor!$T$5:$AA$51, _xlpm.기본_색인번호, 0),
_xlpm.지형보정치, VLOOKUP($I250, Factor!$K$12:$R$13, _xlpm.기본_색인번호, 0),
_xlpm.공격속성보정치, VLOOKUP($J250, Factor!$K$5:$R$7, _xlpm.기본_색인번호, 0),
_xlpm.피해범위보정치, INDEX(Factor!$AN$5:$AV$51, _xlfn.XMATCH(IF(OR($G250="blast", $G250="curved",  $G250= "debuff"), $L250, 0), Factor!$AN$5:$AN$51, -1), _xlpm.추가_색인번호)-IF(AND(OR($G250="blast", $G250="curved", $G250= "debuff"), MOD($L250,1)&lt;&gt;0),INDEX(Factor!$AN$5:$AV$51, _xlfn.XMATCH(IF(OR($G250="blast", $G250="curved", $G250= "debuff"), $L250, 0), Factor!$AN$5:$AN$51, -1), 2)*MOD($L250,1)*10,0),
_xlpm.상태이상보정치, VLOOKUP(IF($G250 = "debuff", $M250, "null"), Factor!$AX$5:$BE$51, _xlpm.기본_색인번호, 0),
_xlpm.지속시간보정치, INDEX(Factor!$BG$5:$BO$51, _xlfn.XMATCH(IF(OR($G250 ="debuff", $G250 = "shot", $G250 = "pierce"), $O250, 0), Factor!$BG$5:$BG$51, -1), _xlpm.추가_색인번호)-IF(AND(OR($G250 ="debuff", $G250 = "shot", $G250 = "pierce"), MOD($O250, 1)&lt;&gt;0), 10*MOD($O250, 1)*INDEX(Factor!$BG$5:$BO$51, _xlfn.XMATCH(IF(OR($G250 ="debuff", $G250 = "shot", $G250 = "pierce"), $O250, 0), Factor!$BG$5:$BG$51, -1), 2), 0),
_xlpm.탄환개수보정치, VLOOKUP(IF(OR($G250 = "curved", $G250 = "shot"), $Q250, 1), Factor!$BQ$5:$BX$51, _xlpm.기본_색인번호, 0),
_xlpm.상태이상탄환생성위치보정치, IF($G250 = "debuff", VLOOKUP($R250, Factor!$K$18:$R$19, _xlpm.기본_색인번호, 0),1),
_xlpm.상태이상탄환형태보정치, IF($G250 = "debuff", VLOOKUP($S250, Factor!$K$24:$R$25, _xlpm.기본_색인번호, 0),1),
_xlpm.가격보정치, INDEX(Factor!$AE$5:$AL$51, _xlfn.XMATCH($F250,Factor!$AE$5:$AE$51, -1), _xlpm.기본_색인번호),
_xlpm.구경보정치, VLOOKUP($D250,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226.79999999999998</v>
      </c>
    </row>
    <row r="251" spans="1:33" ht="15.75" customHeight="1">
      <c r="A251" s="24" t="str">
        <f>"weapon_"&amp;G251&amp;"_"&amp;VLOOKUP(H251, Factor!$T$5:$AB$7, 9, 0)&amp;"_"&amp;IF(COUNTIFS($G$4:G250, G251, $H$4:H250, H251)+1&gt;=100, COUNTIFS($G$4:G250, G251, $H$4:H250, H251)+1,IF(COUNTIFS($G$4:G250, G251, $H$4:H250, H251)+1&gt;=10, "0"&amp;COUNTIFS($G$4:G250, G251, $H$4:H250, H251)+1, "00"&amp;COUNTIFS($G$4:G250, G251, $H$4:H250, H251)+1))</f>
        <v>weapon_shot_Am_071</v>
      </c>
      <c r="B251" s="36" t="str">
        <f t="shared" si="4"/>
        <v>T6 12.7mm쌍열 대공포</v>
      </c>
      <c r="C251" s="36" t="s">
        <v>253</v>
      </c>
      <c r="D251" s="36" t="s">
        <v>243</v>
      </c>
      <c r="E251" s="36" t="s">
        <v>281</v>
      </c>
      <c r="F251" s="25">
        <f>VLOOKUP(C251, Factor!$AD$5:$AE$15, 2, 0)</f>
        <v>6000</v>
      </c>
      <c r="G251" s="26" t="str">
        <f>VLOOKUP(E251, Factor!$CL$5:$CV$50, 2, 0)</f>
        <v>shot</v>
      </c>
      <c r="H251" s="25" t="str">
        <f>VLOOKUP(E251, Factor!$CL$5:$CV$50, 3, 0)</f>
        <v>ammo</v>
      </c>
      <c r="I251" s="25" t="str">
        <f>VLOOKUP(E251, Factor!$CL$5:$CV$50, 4, 0)</f>
        <v>F</v>
      </c>
      <c r="J251" s="25" t="str">
        <f>VLOOKUP(E251, Factor!$CL$5:$CV$50, 5, 0)</f>
        <v>spread</v>
      </c>
      <c r="K251" s="25">
        <v>1</v>
      </c>
      <c r="L251" s="25">
        <f>VLOOKUP(E251, Factor!$CL$5:$CV$50, 6, 0)*K251*VLOOKUP(D251, Factor!$BZ$5:$CJ$49, 9, 0)</f>
        <v>0</v>
      </c>
      <c r="M251" s="25" t="str">
        <f>VLOOKUP(E251, Factor!$CL$5:$CV$50, 7, 0)</f>
        <v>null</v>
      </c>
      <c r="N251" s="25">
        <v>1</v>
      </c>
      <c r="O251" s="25">
        <f>VLOOKUP(E251, Factor!$CL$5:$CV$50, 8, 0)*N251*VLOOKUP(D251, Factor!$BZ$5:$CJ$49, 10, 0)</f>
        <v>12</v>
      </c>
      <c r="P251" s="25">
        <v>1</v>
      </c>
      <c r="Q251" s="25">
        <f>VLOOKUP(E251, Factor!$CL$5:$CV$50, 9, 0)*P251*VLOOKUP(D251, Factor!$BZ$5:$CJ$49, 11, 0)</f>
        <v>4</v>
      </c>
      <c r="R251" s="25" t="str">
        <f>VLOOKUP(E251, Factor!$CL$5:$CV$50, 10, 0)</f>
        <v>null</v>
      </c>
      <c r="S251" s="25" t="str">
        <f>VLOOKUP(E251, Factor!$CL$5:$CV$50, 11, 0)</f>
        <v>null</v>
      </c>
      <c r="T251" s="25">
        <v>1</v>
      </c>
      <c r="U251" s="25">
        <v>1</v>
      </c>
      <c r="V251" s="25">
        <v>1</v>
      </c>
      <c r="W251" s="25">
        <v>1</v>
      </c>
      <c r="X251" s="25">
        <v>1</v>
      </c>
      <c r="Y251" s="25">
        <v>1</v>
      </c>
      <c r="Z251" s="25">
        <v>1</v>
      </c>
      <c r="AA251" s="25" cm="1">
        <f t="array" ref="AA251">_xlfn.LET(_xlpm.기본_색인번호, 2,
_xlpm.추가_색인번호, 3,
_xlpm.개별보정치, T251,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5600</v>
      </c>
      <c r="AB251" s="25" cm="1">
        <f t="array" ref="AB251">_xlfn.LET(_xlpm.기본_색인번호, 3,
_xlpm.추가_색인번호, 4,
_xlpm.개별보정치, U251,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C251" s="25" cm="1">
        <f t="array" ref="AC251">_xlfn.LET(_xlpm.기본_색인번호, 4,
_xlpm.추가_색인번호, 5,
_xlpm.개별보정치, V251,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51" s="25" cm="1">
        <f t="array" ref="AD251">_xlfn.LET(_xlpm.기본_색인번호, 5,
_xlpm.추가_색인번호, 6,
_xlpm.개별보정치, W251,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E251" s="25" cm="1">
        <f t="array" ref="AE251">_xlfn.LET(_xlpm.기본_색인번호, 6,
_xlpm.추가_색인번호, 7,
_xlpm.개별보정치, X251,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F251" s="25" cm="1">
        <f t="array" ref="AF251">_xlfn.LET(_xlpm.기본_색인번호, 7,
_xlpm.추가_색인번호, 8,
_xlpm.개별보정치, Y251,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51" s="27" cm="1">
        <f t="array" ref="AG251">_xlfn.LET(_xlpm.기본_색인번호, 8,
_xlpm.추가_색인번호, 9,
_xlpm.개별보정치, Z251,
_xlpm.패턴보정치, VLOOKUP($G251, Factor!$B$5:$I$51, _xlpm.기본_색인번호, 0),
_xlpm.소모탄환보정치, VLOOKUP($H251, Factor!$T$5:$AA$51, _xlpm.기본_색인번호, 0),
_xlpm.지형보정치, VLOOKUP($I251, Factor!$K$12:$R$13, _xlpm.기본_색인번호, 0),
_xlpm.공격속성보정치, VLOOKUP($J251, Factor!$K$5:$R$7, _xlpm.기본_색인번호, 0),
_xlpm.피해범위보정치, INDEX(Factor!$AN$5:$AV$51, _xlfn.XMATCH(IF(OR($G251="blast", $G251="curved",  $G251= "debuff"), $L251, 0), Factor!$AN$5:$AN$51, -1), _xlpm.추가_색인번호)-IF(AND(OR($G251="blast", $G251="curved", $G251= "debuff"), MOD($L251,1)&lt;&gt;0),INDEX(Factor!$AN$5:$AV$51, _xlfn.XMATCH(IF(OR($G251="blast", $G251="curved", $G251= "debuff"), $L251, 0), Factor!$AN$5:$AN$51, -1), 2)*MOD($L251,1)*10,0),
_xlpm.상태이상보정치, VLOOKUP(IF($G251 = "debuff", $M251, "null"), Factor!$AX$5:$BE$51, _xlpm.기본_색인번호, 0),
_xlpm.지속시간보정치, INDEX(Factor!$BG$5:$BO$51, _xlfn.XMATCH(IF(OR($G251 ="debuff", $G251 = "shot", $G251 = "pierce"), $O251, 0), Factor!$BG$5:$BG$51, -1), _xlpm.추가_색인번호)-IF(AND(OR($G251 ="debuff", $G251 = "shot", $G251 = "pierce"), MOD($O251, 1)&lt;&gt;0), 10*MOD($O251, 1)*INDEX(Factor!$BG$5:$BO$51, _xlfn.XMATCH(IF(OR($G251 ="debuff", $G251 = "shot", $G251 = "pierce"), $O251, 0), Factor!$BG$5:$BG$51, -1), 2), 0),
_xlpm.탄환개수보정치, VLOOKUP(IF(OR($G251 = "curved", $G251 = "shot"), $Q251, 1), Factor!$BQ$5:$BX$51, _xlpm.기본_색인번호, 0),
_xlpm.상태이상탄환생성위치보정치, IF($G251 = "debuff", VLOOKUP($R251, Factor!$K$18:$R$19, _xlpm.기본_색인번호, 0),1),
_xlpm.상태이상탄환형태보정치, IF($G251 = "debuff", VLOOKUP($S251, Factor!$K$24:$R$25, _xlpm.기본_색인번호, 0),1),
_xlpm.가격보정치, INDEX(Factor!$AE$5:$AL$51, _xlfn.XMATCH($F251,Factor!$AE$5:$AE$51, -1), _xlpm.기본_색인번호),
_xlpm.구경보정치, VLOOKUP($D251,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</row>
    <row r="252" spans="1:33" ht="15.75" customHeight="1">
      <c r="A252" s="28" t="str">
        <f>"weapon_"&amp;G252&amp;"_"&amp;VLOOKUP(H252, Factor!$T$5:$AB$7, 9, 0)&amp;"_"&amp;IF(COUNTIFS($G$4:G251, G252, $H$4:H251, H252)+1&gt;=100, COUNTIFS($G$4:G251, G252, $H$4:H251, H252)+1,IF(COUNTIFS($G$4:G251, G252, $H$4:H251, H252)+1&gt;=10, "0"&amp;COUNTIFS($G$4:G251, G252, $H$4:H251, H252)+1, "00"&amp;COUNTIFS($G$4:G251, G252, $H$4:H251, H252)+1))</f>
        <v>weapon_shot_Am_072</v>
      </c>
      <c r="B252" s="37" t="str">
        <f t="shared" si="4"/>
        <v>T6 20mm쌍열 대공포</v>
      </c>
      <c r="C252" s="37" t="s">
        <v>253</v>
      </c>
      <c r="D252" s="37" t="s">
        <v>244</v>
      </c>
      <c r="E252" s="37" t="s">
        <v>281</v>
      </c>
      <c r="F252" s="29">
        <f>VLOOKUP(C252, Factor!$AD$5:$AE$15, 2, 0)</f>
        <v>6000</v>
      </c>
      <c r="G252" s="29" t="str">
        <f>VLOOKUP(E252, Factor!$CL$5:$CV$50, 2, 0)</f>
        <v>shot</v>
      </c>
      <c r="H252" s="29" t="str">
        <f>VLOOKUP(E252, Factor!$CL$5:$CV$50, 3, 0)</f>
        <v>ammo</v>
      </c>
      <c r="I252" s="29" t="str">
        <f>VLOOKUP(E252, Factor!$CL$5:$CV$50, 4, 0)</f>
        <v>F</v>
      </c>
      <c r="J252" s="29" t="str">
        <f>VLOOKUP(E252, Factor!$CL$5:$CV$50, 5, 0)</f>
        <v>spread</v>
      </c>
      <c r="K252" s="29">
        <v>1</v>
      </c>
      <c r="L252" s="29">
        <f>VLOOKUP(E252, Factor!$CL$5:$CV$50, 6, 0)*K252*VLOOKUP(D252, Factor!$BZ$5:$CJ$49, 9, 0)</f>
        <v>0</v>
      </c>
      <c r="M252" s="29" t="str">
        <f>VLOOKUP(E252, Factor!$CL$5:$CV$50, 7, 0)</f>
        <v>null</v>
      </c>
      <c r="N252" s="29">
        <v>1</v>
      </c>
      <c r="O252" s="29">
        <f>VLOOKUP(E252, Factor!$CL$5:$CV$50, 8, 0)*N252*VLOOKUP(D252, Factor!$BZ$5:$CJ$49, 10, 0)</f>
        <v>15</v>
      </c>
      <c r="P252" s="29">
        <v>1</v>
      </c>
      <c r="Q252" s="29">
        <f>VLOOKUP(E252, Factor!$CL$5:$CV$50, 9, 0)*P252*VLOOKUP(D252, Factor!$BZ$5:$CJ$49, 11, 0)</f>
        <v>5</v>
      </c>
      <c r="R252" s="29" t="str">
        <f>VLOOKUP(E252, Factor!$CL$5:$CV$50, 10, 0)</f>
        <v>null</v>
      </c>
      <c r="S252" s="29" t="str">
        <f>VLOOKUP(E252, Factor!$CL$5:$CV$50, 11, 0)</f>
        <v>null</v>
      </c>
      <c r="T252" s="29">
        <v>1</v>
      </c>
      <c r="U252" s="29">
        <v>1</v>
      </c>
      <c r="V252" s="29">
        <v>1</v>
      </c>
      <c r="W252" s="29">
        <v>1</v>
      </c>
      <c r="X252" s="29">
        <v>1</v>
      </c>
      <c r="Y252" s="29">
        <v>1</v>
      </c>
      <c r="Z252" s="29">
        <v>1</v>
      </c>
      <c r="AA252" s="29" cm="1">
        <f t="array" ref="AA252">_xlfn.LET(_xlpm.기본_색인번호, 2,
_xlpm.추가_색인번호, 3,
_xlpm.개별보정치, T252,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7000</v>
      </c>
      <c r="AB252" s="29" cm="1">
        <f t="array" ref="AB252">_xlfn.LET(_xlpm.기본_색인번호, 3,
_xlpm.추가_색인번호, 4,
_xlpm.개별보정치, U252,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252" s="29" cm="1">
        <f t="array" ref="AC252">_xlfn.LET(_xlpm.기본_색인번호, 4,
_xlpm.추가_색인번호, 5,
_xlpm.개별보정치, V252,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52" s="29" cm="1">
        <f t="array" ref="AD252">_xlfn.LET(_xlpm.기본_색인번호, 5,
_xlpm.추가_색인번호, 6,
_xlpm.개별보정치, W252,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</v>
      </c>
      <c r="AE252" s="29" cm="1">
        <f t="array" ref="AE252">_xlfn.LET(_xlpm.기본_색인번호, 6,
_xlpm.추가_색인번호, 7,
_xlpm.개별보정치, X252,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</v>
      </c>
      <c r="AF252" s="29" cm="1">
        <f t="array" ref="AF252">_xlfn.LET(_xlpm.기본_색인번호, 7,
_xlpm.추가_색인번호, 8,
_xlpm.개별보정치, Y252,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52" s="30" cm="1">
        <f t="array" ref="AG252">_xlfn.LET(_xlpm.기본_색인번호, 8,
_xlpm.추가_색인번호, 9,
_xlpm.개별보정치, Z252,
_xlpm.패턴보정치, VLOOKUP($G252, Factor!$B$5:$I$51, _xlpm.기본_색인번호, 0),
_xlpm.소모탄환보정치, VLOOKUP($H252, Factor!$T$5:$AA$51, _xlpm.기본_색인번호, 0),
_xlpm.지형보정치, VLOOKUP($I252, Factor!$K$12:$R$13, _xlpm.기본_색인번호, 0),
_xlpm.공격속성보정치, VLOOKUP($J252, Factor!$K$5:$R$7, _xlpm.기본_색인번호, 0),
_xlpm.피해범위보정치, INDEX(Factor!$AN$5:$AV$51, _xlfn.XMATCH(IF(OR($G252="blast", $G252="curved",  $G252= "debuff"), $L252, 0), Factor!$AN$5:$AN$51, -1), _xlpm.추가_색인번호)-IF(AND(OR($G252="blast", $G252="curved", $G252= "debuff"), MOD($L252,1)&lt;&gt;0),INDEX(Factor!$AN$5:$AV$51, _xlfn.XMATCH(IF(OR($G252="blast", $G252="curved", $G252= "debuff"), $L252, 0), Factor!$AN$5:$AN$51, -1), 2)*MOD($L252,1)*10,0),
_xlpm.상태이상보정치, VLOOKUP(IF($G252 = "debuff", $M252, "null"), Factor!$AX$5:$BE$51, _xlpm.기본_색인번호, 0),
_xlpm.지속시간보정치, INDEX(Factor!$BG$5:$BO$51, _xlfn.XMATCH(IF(OR($G252 ="debuff", $G252 = "shot", $G252 = "pierce"), $O252, 0), Factor!$BG$5:$BG$51, -1), _xlpm.추가_색인번호)-IF(AND(OR($G252 ="debuff", $G252 = "shot", $G252 = "pierce"), MOD($O252, 1)&lt;&gt;0), 10*MOD($O252, 1)*INDEX(Factor!$BG$5:$BO$51, _xlfn.XMATCH(IF(OR($G252 ="debuff", $G252 = "shot", $G252 = "pierce"), $O252, 0), Factor!$BG$5:$BG$51, -1), 2), 0),
_xlpm.탄환개수보정치, VLOOKUP(IF(OR($G252 = "curved", $G252 = "shot"), $Q252, 1), Factor!$BQ$5:$BX$51, _xlpm.기본_색인번호, 0),
_xlpm.상태이상탄환생성위치보정치, IF($G252 = "debuff", VLOOKUP($R252, Factor!$K$18:$R$19, _xlpm.기본_색인번호, 0),1),
_xlpm.상태이상탄환형태보정치, IF($G252 = "debuff", VLOOKUP($S252, Factor!$K$24:$R$25, _xlpm.기본_색인번호, 0),1),
_xlpm.가격보정치, INDEX(Factor!$AE$5:$AL$51, _xlfn.XMATCH($F252,Factor!$AE$5:$AE$51, -1), _xlpm.기본_색인번호),
_xlpm.구경보정치, VLOOKUP($D252,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</v>
      </c>
    </row>
    <row r="253" spans="1:33" ht="15.75" customHeight="1">
      <c r="A253" s="24" t="str">
        <f>"weapon_"&amp;G253&amp;"_"&amp;VLOOKUP(H253, Factor!$T$5:$AB$7, 9, 0)&amp;"_"&amp;IF(COUNTIFS($G$4:G252, G253, $H$4:H252, H253)+1&gt;=100, COUNTIFS($G$4:G252, G253, $H$4:H252, H253)+1,IF(COUNTIFS($G$4:G252, G253, $H$4:H252, H253)+1&gt;=10, "0"&amp;COUNTIFS($G$4:G252, G253, $H$4:H252, H253)+1, "00"&amp;COUNTIFS($G$4:G252, G253, $H$4:H252, H253)+1))</f>
        <v>weapon_shot_Am_073</v>
      </c>
      <c r="B253" s="36" t="str">
        <f t="shared" si="4"/>
        <v>T7 5.56mm쌍열 대공포</v>
      </c>
      <c r="C253" s="36" t="s">
        <v>254</v>
      </c>
      <c r="D253" s="36" t="s">
        <v>241</v>
      </c>
      <c r="E253" s="36" t="s">
        <v>281</v>
      </c>
      <c r="F253" s="25">
        <f>VLOOKUP(C253, Factor!$AD$5:$AE$15, 2, 0)</f>
        <v>7000</v>
      </c>
      <c r="G253" s="26" t="str">
        <f>VLOOKUP(E253, Factor!$CL$5:$CV$50, 2, 0)</f>
        <v>shot</v>
      </c>
      <c r="H253" s="25" t="str">
        <f>VLOOKUP(E253, Factor!$CL$5:$CV$50, 3, 0)</f>
        <v>ammo</v>
      </c>
      <c r="I253" s="25" t="str">
        <f>VLOOKUP(E253, Factor!$CL$5:$CV$50, 4, 0)</f>
        <v>F</v>
      </c>
      <c r="J253" s="25" t="str">
        <f>VLOOKUP(E253, Factor!$CL$5:$CV$50, 5, 0)</f>
        <v>spread</v>
      </c>
      <c r="K253" s="25">
        <v>1</v>
      </c>
      <c r="L253" s="25">
        <f>VLOOKUP(E253, Factor!$CL$5:$CV$50, 6, 0)*K253*VLOOKUP(D253, Factor!$BZ$5:$CJ$49, 9, 0)</f>
        <v>0</v>
      </c>
      <c r="M253" s="25" t="str">
        <f>VLOOKUP(E253, Factor!$CL$5:$CV$50, 7, 0)</f>
        <v>null</v>
      </c>
      <c r="N253" s="25">
        <v>1</v>
      </c>
      <c r="O253" s="25">
        <f>VLOOKUP(E253, Factor!$CL$5:$CV$50, 8, 0)*N253*VLOOKUP(D253, Factor!$BZ$5:$CJ$49, 10, 0)</f>
        <v>6</v>
      </c>
      <c r="P253" s="25">
        <v>1</v>
      </c>
      <c r="Q253" s="25">
        <f>VLOOKUP(E253, Factor!$CL$5:$CV$50, 9, 0)*P253*VLOOKUP(D253, Factor!$BZ$5:$CJ$49, 11, 0)</f>
        <v>2</v>
      </c>
      <c r="R253" s="25" t="str">
        <f>VLOOKUP(E253, Factor!$CL$5:$CV$50, 10, 0)</f>
        <v>null</v>
      </c>
      <c r="S253" s="25" t="str">
        <f>VLOOKUP(E253, Factor!$CL$5:$CV$50, 11, 0)</f>
        <v>null</v>
      </c>
      <c r="T253" s="25">
        <v>1</v>
      </c>
      <c r="U253" s="25">
        <v>1</v>
      </c>
      <c r="V253" s="25">
        <v>1</v>
      </c>
      <c r="W253" s="25">
        <v>1</v>
      </c>
      <c r="X253" s="25">
        <v>1</v>
      </c>
      <c r="Y253" s="25">
        <v>1</v>
      </c>
      <c r="Z253" s="25">
        <v>1</v>
      </c>
      <c r="AA253" s="25" cm="1">
        <f t="array" ref="AA253">_xlfn.LET(_xlpm.기본_색인번호, 2,
_xlpm.추가_색인번호, 3,
_xlpm.개별보정치, T253,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1920</v>
      </c>
      <c r="AB253" s="25" cm="1">
        <f t="array" ref="AB253">_xlfn.LET(_xlpm.기본_색인번호, 3,
_xlpm.추가_색인번호, 4,
_xlpm.개별보정치, U253,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  <c r="AC253" s="25" cm="1">
        <f t="array" ref="AC253">_xlfn.LET(_xlpm.기본_색인번호, 4,
_xlpm.추가_색인번호, 5,
_xlpm.개별보정치, V253,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53" s="25" cm="1">
        <f t="array" ref="AD253">_xlfn.LET(_xlpm.기본_색인번호, 5,
_xlpm.추가_색인번호, 6,
_xlpm.개별보정치, W253,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115.19999999999999</v>
      </c>
      <c r="AE253" s="25" cm="1">
        <f t="array" ref="AE253">_xlfn.LET(_xlpm.기본_색인번호, 6,
_xlpm.추가_색인번호, 7,
_xlpm.개별보정치, X253,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115.19999999999999</v>
      </c>
      <c r="AF253" s="25" cm="1">
        <f t="array" ref="AF253">_xlfn.LET(_xlpm.기본_색인번호, 7,
_xlpm.추가_색인번호, 8,
_xlpm.개별보정치, Y253,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53" s="27" cm="1">
        <f t="array" ref="AG253">_xlfn.LET(_xlpm.기본_색인번호, 8,
_xlpm.추가_색인번호, 9,
_xlpm.개별보정치, Z253,
_xlpm.패턴보정치, VLOOKUP($G253, Factor!$B$5:$I$51, _xlpm.기본_색인번호, 0),
_xlpm.소모탄환보정치, VLOOKUP($H253, Factor!$T$5:$AA$51, _xlpm.기본_색인번호, 0),
_xlpm.지형보정치, VLOOKUP($I253, Factor!$K$12:$R$13, _xlpm.기본_색인번호, 0),
_xlpm.공격속성보정치, VLOOKUP($J253, Factor!$K$5:$R$7, _xlpm.기본_색인번호, 0),
_xlpm.피해범위보정치, INDEX(Factor!$AN$5:$AV$51, _xlfn.XMATCH(IF(OR($G253="blast", $G253="curved",  $G253= "debuff"), $L253, 0), Factor!$AN$5:$AN$51, -1), _xlpm.추가_색인번호)-IF(AND(OR($G253="blast", $G253="curved", $G253= "debuff"), MOD($L253,1)&lt;&gt;0),INDEX(Factor!$AN$5:$AV$51, _xlfn.XMATCH(IF(OR($G253="blast", $G253="curved", $G253= "debuff"), $L253, 0), Factor!$AN$5:$AN$51, -1), 2)*MOD($L253,1)*10,0),
_xlpm.상태이상보정치, VLOOKUP(IF($G253 = "debuff", $M253, "null"), Factor!$AX$5:$BE$51, _xlpm.기본_색인번호, 0),
_xlpm.지속시간보정치, INDEX(Factor!$BG$5:$BO$51, _xlfn.XMATCH(IF(OR($G253 ="debuff", $G253 = "shot", $G253 = "pierce"), $O253, 0), Factor!$BG$5:$BG$51, -1), _xlpm.추가_색인번호)-IF(AND(OR($G253 ="debuff", $G253 = "shot", $G253 = "pierce"), MOD($O253, 1)&lt;&gt;0), 10*MOD($O253, 1)*INDEX(Factor!$BG$5:$BO$51, _xlfn.XMATCH(IF(OR($G253 ="debuff", $G253 = "shot", $G253 = "pierce"), $O253, 0), Factor!$BG$5:$BG$51, -1), 2), 0),
_xlpm.탄환개수보정치, VLOOKUP(IF(OR($G253 = "curved", $G253 = "shot"), $Q253, 1), Factor!$BQ$5:$BX$51, _xlpm.기본_색인번호, 0),
_xlpm.상태이상탄환생성위치보정치, IF($G253 = "debuff", VLOOKUP($R253, Factor!$K$18:$R$19, _xlpm.기본_색인번호, 0),1),
_xlpm.상태이상탄환형태보정치, IF($G253 = "debuff", VLOOKUP($S253, Factor!$K$24:$R$25, _xlpm.기본_색인번호, 0),1),
_xlpm.가격보정치, INDEX(Factor!$AE$5:$AL$51, _xlfn.XMATCH($F253,Factor!$AE$5:$AE$51, -1), _xlpm.기본_색인번호),
_xlpm.구경보정치, VLOOKUP($D253,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115.19999999999999</v>
      </c>
    </row>
    <row r="254" spans="1:33" ht="15.75" customHeight="1">
      <c r="A254" s="28" t="str">
        <f>"weapon_"&amp;G254&amp;"_"&amp;VLOOKUP(H254, Factor!$T$5:$AB$7, 9, 0)&amp;"_"&amp;IF(COUNTIFS($G$4:G253, G254, $H$4:H253, H254)+1&gt;=100, COUNTIFS($G$4:G253, G254, $H$4:H253, H254)+1,IF(COUNTIFS($G$4:G253, G254, $H$4:H253, H254)+1&gt;=10, "0"&amp;COUNTIFS($G$4:G253, G254, $H$4:H253, H254)+1, "00"&amp;COUNTIFS($G$4:G253, G254, $H$4:H253, H254)+1))</f>
        <v>weapon_shot_Am_074</v>
      </c>
      <c r="B254" s="37" t="str">
        <f t="shared" si="4"/>
        <v>T7 7.62mm쌍열 대공포</v>
      </c>
      <c r="C254" s="37" t="s">
        <v>254</v>
      </c>
      <c r="D254" s="37" t="s">
        <v>242</v>
      </c>
      <c r="E254" s="37" t="s">
        <v>281</v>
      </c>
      <c r="F254" s="29">
        <f>VLOOKUP(C254, Factor!$AD$5:$AE$15, 2, 0)</f>
        <v>7000</v>
      </c>
      <c r="G254" s="29" t="str">
        <f>VLOOKUP(E254, Factor!$CL$5:$CV$50, 2, 0)</f>
        <v>shot</v>
      </c>
      <c r="H254" s="29" t="str">
        <f>VLOOKUP(E254, Factor!$CL$5:$CV$50, 3, 0)</f>
        <v>ammo</v>
      </c>
      <c r="I254" s="29" t="str">
        <f>VLOOKUP(E254, Factor!$CL$5:$CV$50, 4, 0)</f>
        <v>F</v>
      </c>
      <c r="J254" s="29" t="str">
        <f>VLOOKUP(E254, Factor!$CL$5:$CV$50, 5, 0)</f>
        <v>spread</v>
      </c>
      <c r="K254" s="29">
        <v>1</v>
      </c>
      <c r="L254" s="29">
        <f>VLOOKUP(E254, Factor!$CL$5:$CV$50, 6, 0)*K254*VLOOKUP(D254, Factor!$BZ$5:$CJ$49, 9, 0)</f>
        <v>0</v>
      </c>
      <c r="M254" s="29" t="str">
        <f>VLOOKUP(E254, Factor!$CL$5:$CV$50, 7, 0)</f>
        <v>null</v>
      </c>
      <c r="N254" s="29">
        <v>1</v>
      </c>
      <c r="O254" s="29">
        <f>VLOOKUP(E254, Factor!$CL$5:$CV$50, 8, 0)*N254*VLOOKUP(D254, Factor!$BZ$5:$CJ$49, 10, 0)</f>
        <v>9</v>
      </c>
      <c r="P254" s="29">
        <v>1</v>
      </c>
      <c r="Q254" s="29">
        <f>VLOOKUP(E254, Factor!$CL$5:$CV$50, 9, 0)*P254*VLOOKUP(D254, Factor!$BZ$5:$CJ$49, 11, 0)</f>
        <v>3</v>
      </c>
      <c r="R254" s="29" t="str">
        <f>VLOOKUP(E254, Factor!$CL$5:$CV$50, 10, 0)</f>
        <v>null</v>
      </c>
      <c r="S254" s="29" t="str">
        <f>VLOOKUP(E254, Factor!$CL$5:$CV$50, 11, 0)</f>
        <v>null</v>
      </c>
      <c r="T254" s="29">
        <v>1</v>
      </c>
      <c r="U254" s="29">
        <v>1</v>
      </c>
      <c r="V254" s="29">
        <v>1</v>
      </c>
      <c r="W254" s="29">
        <v>1</v>
      </c>
      <c r="X254" s="29">
        <v>1</v>
      </c>
      <c r="Y254" s="29">
        <v>1</v>
      </c>
      <c r="Z254" s="29">
        <v>1</v>
      </c>
      <c r="AA254" s="29" cm="1">
        <f t="array" ref="AA254">_xlfn.LET(_xlpm.기본_색인번호, 2,
_xlpm.추가_색인번호, 3,
_xlpm.개별보정치, T254,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</v>
      </c>
      <c r="AB254" s="29" cm="1">
        <f t="array" ref="AB254">_xlfn.LET(_xlpm.기본_색인번호, 3,
_xlpm.추가_색인번호, 4,
_xlpm.개별보정치, U254,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  <c r="AC254" s="29" cm="1">
        <f t="array" ref="AC254">_xlfn.LET(_xlpm.기본_색인번호, 4,
_xlpm.추가_색인번호, 5,
_xlpm.개별보정치, V254,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54" s="29" cm="1">
        <f t="array" ref="AD254">_xlfn.LET(_xlpm.기본_색인번호, 5,
_xlpm.추가_색인번호, 6,
_xlpm.개별보정치, W254,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259.2</v>
      </c>
      <c r="AE254" s="29" cm="1">
        <f t="array" ref="AE254">_xlfn.LET(_xlpm.기본_색인번호, 6,
_xlpm.추가_색인번호, 7,
_xlpm.개별보정치, X254,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259.2</v>
      </c>
      <c r="AF254" s="29" cm="1">
        <f t="array" ref="AF254">_xlfn.LET(_xlpm.기본_색인번호, 7,
_xlpm.추가_색인번호, 8,
_xlpm.개별보정치, Y254,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54" s="30" cm="1">
        <f t="array" ref="AG254">_xlfn.LET(_xlpm.기본_색인번호, 8,
_xlpm.추가_색인번호, 9,
_xlpm.개별보정치, Z254,
_xlpm.패턴보정치, VLOOKUP($G254, Factor!$B$5:$I$51, _xlpm.기본_색인번호, 0),
_xlpm.소모탄환보정치, VLOOKUP($H254, Factor!$T$5:$AA$51, _xlpm.기본_색인번호, 0),
_xlpm.지형보정치, VLOOKUP($I254, Factor!$K$12:$R$13, _xlpm.기본_색인번호, 0),
_xlpm.공격속성보정치, VLOOKUP($J254, Factor!$K$5:$R$7, _xlpm.기본_색인번호, 0),
_xlpm.피해범위보정치, INDEX(Factor!$AN$5:$AV$51, _xlfn.XMATCH(IF(OR($G254="blast", $G254="curved",  $G254= "debuff"), $L254, 0), Factor!$AN$5:$AN$51, -1), _xlpm.추가_색인번호)-IF(AND(OR($G254="blast", $G254="curved", $G254= "debuff"), MOD($L254,1)&lt;&gt;0),INDEX(Factor!$AN$5:$AV$51, _xlfn.XMATCH(IF(OR($G254="blast", $G254="curved", $G254= "debuff"), $L254, 0), Factor!$AN$5:$AN$51, -1), 2)*MOD($L254,1)*10,0),
_xlpm.상태이상보정치, VLOOKUP(IF($G254 = "debuff", $M254, "null"), Factor!$AX$5:$BE$51, _xlpm.기본_색인번호, 0),
_xlpm.지속시간보정치, INDEX(Factor!$BG$5:$BO$51, _xlfn.XMATCH(IF(OR($G254 ="debuff", $G254 = "shot", $G254 = "pierce"), $O254, 0), Factor!$BG$5:$BG$51, -1), _xlpm.추가_색인번호)-IF(AND(OR($G254 ="debuff", $G254 = "shot", $G254 = "pierce"), MOD($O254, 1)&lt;&gt;0), 10*MOD($O254, 1)*INDEX(Factor!$BG$5:$BO$51, _xlfn.XMATCH(IF(OR($G254 ="debuff", $G254 = "shot", $G254 = "pierce"), $O254, 0), Factor!$BG$5:$BG$51, -1), 2), 0),
_xlpm.탄환개수보정치, VLOOKUP(IF(OR($G254 = "curved", $G254 = "shot"), $Q254, 1), Factor!$BQ$5:$BX$51, _xlpm.기본_색인번호, 0),
_xlpm.상태이상탄환생성위치보정치, IF($G254 = "debuff", VLOOKUP($R254, Factor!$K$18:$R$19, _xlpm.기본_색인번호, 0),1),
_xlpm.상태이상탄환형태보정치, IF($G254 = "debuff", VLOOKUP($S254, Factor!$K$24:$R$25, _xlpm.기본_색인번호, 0),1),
_xlpm.가격보정치, INDEX(Factor!$AE$5:$AL$51, _xlfn.XMATCH($F254,Factor!$AE$5:$AE$51, -1), _xlpm.기본_색인번호),
_xlpm.구경보정치, VLOOKUP($D254,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259.2</v>
      </c>
    </row>
    <row r="255" spans="1:33" ht="15.75" customHeight="1">
      <c r="A255" s="24" t="str">
        <f>"weapon_"&amp;G255&amp;"_"&amp;VLOOKUP(H255, Factor!$T$5:$AB$7, 9, 0)&amp;"_"&amp;IF(COUNTIFS($G$4:G254, G255, $H$4:H254, H255)+1&gt;=100, COUNTIFS($G$4:G254, G255, $H$4:H254, H255)+1,IF(COUNTIFS($G$4:G254, G255, $H$4:H254, H255)+1&gt;=10, "0"&amp;COUNTIFS($G$4:G254, G255, $H$4:H254, H255)+1, "00"&amp;COUNTIFS($G$4:G254, G255, $H$4:H254, H255)+1))</f>
        <v>weapon_shot_Am_075</v>
      </c>
      <c r="B255" s="36" t="str">
        <f t="shared" si="4"/>
        <v>T7 12.7mm쌍열 대공포</v>
      </c>
      <c r="C255" s="36" t="s">
        <v>254</v>
      </c>
      <c r="D255" s="36" t="s">
        <v>243</v>
      </c>
      <c r="E255" s="36" t="s">
        <v>281</v>
      </c>
      <c r="F255" s="25">
        <f>VLOOKUP(C255, Factor!$AD$5:$AE$15, 2, 0)</f>
        <v>7000</v>
      </c>
      <c r="G255" s="26" t="str">
        <f>VLOOKUP(E255, Factor!$CL$5:$CV$50, 2, 0)</f>
        <v>shot</v>
      </c>
      <c r="H255" s="25" t="str">
        <f>VLOOKUP(E255, Factor!$CL$5:$CV$50, 3, 0)</f>
        <v>ammo</v>
      </c>
      <c r="I255" s="25" t="str">
        <f>VLOOKUP(E255, Factor!$CL$5:$CV$50, 4, 0)</f>
        <v>F</v>
      </c>
      <c r="J255" s="25" t="str">
        <f>VLOOKUP(E255, Factor!$CL$5:$CV$50, 5, 0)</f>
        <v>spread</v>
      </c>
      <c r="K255" s="25">
        <v>1</v>
      </c>
      <c r="L255" s="25">
        <f>VLOOKUP(E255, Factor!$CL$5:$CV$50, 6, 0)*K255*VLOOKUP(D255, Factor!$BZ$5:$CJ$49, 9, 0)</f>
        <v>0</v>
      </c>
      <c r="M255" s="25" t="str">
        <f>VLOOKUP(E255, Factor!$CL$5:$CV$50, 7, 0)</f>
        <v>null</v>
      </c>
      <c r="N255" s="25">
        <v>1</v>
      </c>
      <c r="O255" s="25">
        <f>VLOOKUP(E255, Factor!$CL$5:$CV$50, 8, 0)*N255*VLOOKUP(D255, Factor!$BZ$5:$CJ$49, 10, 0)</f>
        <v>12</v>
      </c>
      <c r="P255" s="25">
        <v>1</v>
      </c>
      <c r="Q255" s="25">
        <f>VLOOKUP(E255, Factor!$CL$5:$CV$50, 9, 0)*P255*VLOOKUP(D255, Factor!$BZ$5:$CJ$49, 11, 0)</f>
        <v>4</v>
      </c>
      <c r="R255" s="25" t="str">
        <f>VLOOKUP(E255, Factor!$CL$5:$CV$50, 10, 0)</f>
        <v>null</v>
      </c>
      <c r="S255" s="25" t="str">
        <f>VLOOKUP(E255, Factor!$CL$5:$CV$50, 11, 0)</f>
        <v>null</v>
      </c>
      <c r="T255" s="25">
        <v>1</v>
      </c>
      <c r="U255" s="25">
        <v>1</v>
      </c>
      <c r="V255" s="25">
        <v>1</v>
      </c>
      <c r="W255" s="25">
        <v>1</v>
      </c>
      <c r="X255" s="25">
        <v>1</v>
      </c>
      <c r="Y255" s="25">
        <v>1</v>
      </c>
      <c r="Z255" s="25">
        <v>1</v>
      </c>
      <c r="AA255" s="25" cm="1">
        <f t="array" ref="AA255">_xlfn.LET(_xlpm.기본_색인번호, 2,
_xlpm.추가_색인번호, 3,
_xlpm.개별보정치, T255,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6400</v>
      </c>
      <c r="AB255" s="25" cm="1">
        <f t="array" ref="AB255">_xlfn.LET(_xlpm.기본_색인번호, 3,
_xlpm.추가_색인번호, 4,
_xlpm.개별보정치, U255,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C255" s="25" cm="1">
        <f t="array" ref="AC255">_xlfn.LET(_xlpm.기본_색인번호, 4,
_xlpm.추가_색인번호, 5,
_xlpm.개별보정치, V255,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55" s="25" cm="1">
        <f t="array" ref="AD255">_xlfn.LET(_xlpm.기본_색인번호, 5,
_xlpm.추가_색인번호, 6,
_xlpm.개별보정치, W255,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</v>
      </c>
      <c r="AE255" s="25" cm="1">
        <f t="array" ref="AE255">_xlfn.LET(_xlpm.기본_색인번호, 6,
_xlpm.추가_색인번호, 7,
_xlpm.개별보정치, X255,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</v>
      </c>
      <c r="AF255" s="25" cm="1">
        <f t="array" ref="AF255">_xlfn.LET(_xlpm.기본_색인번호, 7,
_xlpm.추가_색인번호, 8,
_xlpm.개별보정치, Y255,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55" s="27" cm="1">
        <f t="array" ref="AG255">_xlfn.LET(_xlpm.기본_색인번호, 8,
_xlpm.추가_색인번호, 9,
_xlpm.개별보정치, Z255,
_xlpm.패턴보정치, VLOOKUP($G255, Factor!$B$5:$I$51, _xlpm.기본_색인번호, 0),
_xlpm.소모탄환보정치, VLOOKUP($H255, Factor!$T$5:$AA$51, _xlpm.기본_색인번호, 0),
_xlpm.지형보정치, VLOOKUP($I255, Factor!$K$12:$R$13, _xlpm.기본_색인번호, 0),
_xlpm.공격속성보정치, VLOOKUP($J255, Factor!$K$5:$R$7, _xlpm.기본_색인번호, 0),
_xlpm.피해범위보정치, INDEX(Factor!$AN$5:$AV$51, _xlfn.XMATCH(IF(OR($G255="blast", $G255="curved",  $G255= "debuff"), $L255, 0), Factor!$AN$5:$AN$51, -1), _xlpm.추가_색인번호)-IF(AND(OR($G255="blast", $G255="curved", $G255= "debuff"), MOD($L255,1)&lt;&gt;0),INDEX(Factor!$AN$5:$AV$51, _xlfn.XMATCH(IF(OR($G255="blast", $G255="curved", $G255= "debuff"), $L255, 0), Factor!$AN$5:$AN$51, -1), 2)*MOD($L255,1)*10,0),
_xlpm.상태이상보정치, VLOOKUP(IF($G255 = "debuff", $M255, "null"), Factor!$AX$5:$BE$51, _xlpm.기본_색인번호, 0),
_xlpm.지속시간보정치, INDEX(Factor!$BG$5:$BO$51, _xlfn.XMATCH(IF(OR($G255 ="debuff", $G255 = "shot", $G255 = "pierce"), $O255, 0), Factor!$BG$5:$BG$51, -1), _xlpm.추가_색인번호)-IF(AND(OR($G255 ="debuff", $G255 = "shot", $G255 = "pierce"), MOD($O255, 1)&lt;&gt;0), 10*MOD($O255, 1)*INDEX(Factor!$BG$5:$BO$51, _xlfn.XMATCH(IF(OR($G255 ="debuff", $G255 = "shot", $G255 = "pierce"), $O255, 0), Factor!$BG$5:$BG$51, -1), 2), 0),
_xlpm.탄환개수보정치, VLOOKUP(IF(OR($G255 = "curved", $G255 = "shot"), $Q255, 1), Factor!$BQ$5:$BX$51, _xlpm.기본_색인번호, 0),
_xlpm.상태이상탄환생성위치보정치, IF($G255 = "debuff", VLOOKUP($R255, Factor!$K$18:$R$19, _xlpm.기본_색인번호, 0),1),
_xlpm.상태이상탄환형태보정치, IF($G255 = "debuff", VLOOKUP($S255, Factor!$K$24:$R$25, _xlpm.기본_색인번호, 0),1),
_xlpm.가격보정치, INDEX(Factor!$AE$5:$AL$51, _xlfn.XMATCH($F255,Factor!$AE$5:$AE$51, -1), _xlpm.기본_색인번호),
_xlpm.구경보정치, VLOOKUP($D255,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</v>
      </c>
    </row>
    <row r="256" spans="1:33" ht="15.75" customHeight="1">
      <c r="A256" s="28" t="str">
        <f>"weapon_"&amp;G256&amp;"_"&amp;VLOOKUP(H256, Factor!$T$5:$AB$7, 9, 0)&amp;"_"&amp;IF(COUNTIFS($G$4:G255, G256, $H$4:H255, H256)+1&gt;=100, COUNTIFS($G$4:G255, G256, $H$4:H255, H256)+1,IF(COUNTIFS($G$4:G255, G256, $H$4:H255, H256)+1&gt;=10, "0"&amp;COUNTIFS($G$4:G255, G256, $H$4:H255, H256)+1, "00"&amp;COUNTIFS($G$4:G255, G256, $H$4:H255, H256)+1))</f>
        <v>weapon_shot_Am_076</v>
      </c>
      <c r="B256" s="37" t="str">
        <f t="shared" si="4"/>
        <v>T7 20mm쌍열 대공포</v>
      </c>
      <c r="C256" s="37" t="s">
        <v>254</v>
      </c>
      <c r="D256" s="37" t="s">
        <v>244</v>
      </c>
      <c r="E256" s="37" t="s">
        <v>281</v>
      </c>
      <c r="F256" s="29">
        <f>VLOOKUP(C256, Factor!$AD$5:$AE$15, 2, 0)</f>
        <v>7000</v>
      </c>
      <c r="G256" s="29" t="str">
        <f>VLOOKUP(E256, Factor!$CL$5:$CV$50, 2, 0)</f>
        <v>shot</v>
      </c>
      <c r="H256" s="29" t="str">
        <f>VLOOKUP(E256, Factor!$CL$5:$CV$50, 3, 0)</f>
        <v>ammo</v>
      </c>
      <c r="I256" s="29" t="str">
        <f>VLOOKUP(E256, Factor!$CL$5:$CV$50, 4, 0)</f>
        <v>F</v>
      </c>
      <c r="J256" s="29" t="str">
        <f>VLOOKUP(E256, Factor!$CL$5:$CV$50, 5, 0)</f>
        <v>spread</v>
      </c>
      <c r="K256" s="29">
        <v>1</v>
      </c>
      <c r="L256" s="29">
        <f>VLOOKUP(E256, Factor!$CL$5:$CV$50, 6, 0)*K256*VLOOKUP(D256, Factor!$BZ$5:$CJ$49, 9, 0)</f>
        <v>0</v>
      </c>
      <c r="M256" s="29" t="str">
        <f>VLOOKUP(E256, Factor!$CL$5:$CV$50, 7, 0)</f>
        <v>null</v>
      </c>
      <c r="N256" s="29">
        <v>1</v>
      </c>
      <c r="O256" s="29">
        <f>VLOOKUP(E256, Factor!$CL$5:$CV$50, 8, 0)*N256*VLOOKUP(D256, Factor!$BZ$5:$CJ$49, 10, 0)</f>
        <v>15</v>
      </c>
      <c r="P256" s="29">
        <v>1</v>
      </c>
      <c r="Q256" s="29">
        <f>VLOOKUP(E256, Factor!$CL$5:$CV$50, 9, 0)*P256*VLOOKUP(D256, Factor!$BZ$5:$CJ$49, 11, 0)</f>
        <v>5</v>
      </c>
      <c r="R256" s="29" t="str">
        <f>VLOOKUP(E256, Factor!$CL$5:$CV$50, 10, 0)</f>
        <v>null</v>
      </c>
      <c r="S256" s="29" t="str">
        <f>VLOOKUP(E256, Factor!$CL$5:$CV$50, 11, 0)</f>
        <v>null</v>
      </c>
      <c r="T256" s="29">
        <v>1</v>
      </c>
      <c r="U256" s="29">
        <v>1</v>
      </c>
      <c r="V256" s="29">
        <v>1</v>
      </c>
      <c r="W256" s="29">
        <v>1</v>
      </c>
      <c r="X256" s="29">
        <v>1</v>
      </c>
      <c r="Y256" s="29">
        <v>1</v>
      </c>
      <c r="Z256" s="29">
        <v>1</v>
      </c>
      <c r="AA256" s="29" cm="1">
        <f t="array" ref="AA256">_xlfn.LET(_xlpm.기본_색인번호, 2,
_xlpm.추가_색인번호, 3,
_xlpm.개별보정치, T256,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8000</v>
      </c>
      <c r="AB256" s="29" cm="1">
        <f t="array" ref="AB256">_xlfn.LET(_xlpm.기본_색인번호, 3,
_xlpm.추가_색인번호, 4,
_xlpm.개별보정치, U256,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256" s="29" cm="1">
        <f t="array" ref="AC256">_xlfn.LET(_xlpm.기본_색인번호, 4,
_xlpm.추가_색인번호, 5,
_xlpm.개별보정치, V256,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56" s="29" cm="1">
        <f t="array" ref="AD256">_xlfn.LET(_xlpm.기본_색인번호, 5,
_xlpm.추가_색인번호, 6,
_xlpm.개별보정치, W256,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E256" s="29" cm="1">
        <f t="array" ref="AE256">_xlfn.LET(_xlpm.기본_색인번호, 6,
_xlpm.추가_색인번호, 7,
_xlpm.개별보정치, X256,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F256" s="29" cm="1">
        <f t="array" ref="AF256">_xlfn.LET(_xlpm.기본_색인번호, 7,
_xlpm.추가_색인번호, 8,
_xlpm.개별보정치, Y256,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56" s="30" cm="1">
        <f t="array" ref="AG256">_xlfn.LET(_xlpm.기본_색인번호, 8,
_xlpm.추가_색인번호, 9,
_xlpm.개별보정치, Z256,
_xlpm.패턴보정치, VLOOKUP($G256, Factor!$B$5:$I$51, _xlpm.기본_색인번호, 0),
_xlpm.소모탄환보정치, VLOOKUP($H256, Factor!$T$5:$AA$51, _xlpm.기본_색인번호, 0),
_xlpm.지형보정치, VLOOKUP($I256, Factor!$K$12:$R$13, _xlpm.기본_색인번호, 0),
_xlpm.공격속성보정치, VLOOKUP($J256, Factor!$K$5:$R$7, _xlpm.기본_색인번호, 0),
_xlpm.피해범위보정치, INDEX(Factor!$AN$5:$AV$51, _xlfn.XMATCH(IF(OR($G256="blast", $G256="curved",  $G256= "debuff"), $L256, 0), Factor!$AN$5:$AN$51, -1), _xlpm.추가_색인번호)-IF(AND(OR($G256="blast", $G256="curved", $G256= "debuff"), MOD($L256,1)&lt;&gt;0),INDEX(Factor!$AN$5:$AV$51, _xlfn.XMATCH(IF(OR($G256="blast", $G256="curved", $G256= "debuff"), $L256, 0), Factor!$AN$5:$AN$51, -1), 2)*MOD($L256,1)*10,0),
_xlpm.상태이상보정치, VLOOKUP(IF($G256 = "debuff", $M256, "null"), Factor!$AX$5:$BE$51, _xlpm.기본_색인번호, 0),
_xlpm.지속시간보정치, INDEX(Factor!$BG$5:$BO$51, _xlfn.XMATCH(IF(OR($G256 ="debuff", $G256 = "shot", $G256 = "pierce"), $O256, 0), Factor!$BG$5:$BG$51, -1), _xlpm.추가_색인번호)-IF(AND(OR($G256 ="debuff", $G256 = "shot", $G256 = "pierce"), MOD($O256, 1)&lt;&gt;0), 10*MOD($O256, 1)*INDEX(Factor!$BG$5:$BO$51, _xlfn.XMATCH(IF(OR($G256 ="debuff", $G256 = "shot", $G256 = "pierce"), $O256, 0), Factor!$BG$5:$BG$51, -1), 2), 0),
_xlpm.탄환개수보정치, VLOOKUP(IF(OR($G256 = "curved", $G256 = "shot"), $Q256, 1), Factor!$BQ$5:$BX$51, _xlpm.기본_색인번호, 0),
_xlpm.상태이상탄환생성위치보정치, IF($G256 = "debuff", VLOOKUP($R256, Factor!$K$18:$R$19, _xlpm.기본_색인번호, 0),1),
_xlpm.상태이상탄환형태보정치, IF($G256 = "debuff", VLOOKUP($S256, Factor!$K$24:$R$25, _xlpm.기본_색인번호, 0),1),
_xlpm.가격보정치, INDEX(Factor!$AE$5:$AL$51, _xlfn.XMATCH($F256,Factor!$AE$5:$AE$51, -1), _xlpm.기본_색인번호),
_xlpm.구경보정치, VLOOKUP($D256,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</row>
    <row r="257" spans="1:33" ht="15.75" customHeight="1">
      <c r="A257" s="24" t="str">
        <f>"weapon_"&amp;G257&amp;"_"&amp;VLOOKUP(H257, Factor!$T$5:$AB$7, 9, 0)&amp;"_"&amp;IF(COUNTIFS($G$4:G256, G257, $H$4:H256, H257)+1&gt;=100, COUNTIFS($G$4:G256, G257, $H$4:H256, H257)+1,IF(COUNTIFS($G$4:G256, G257, $H$4:H256, H257)+1&gt;=10, "0"&amp;COUNTIFS($G$4:G256, G257, $H$4:H256, H257)+1, "00"&amp;COUNTIFS($G$4:G256, G257, $H$4:H256, H257)+1))</f>
        <v>weapon_shot_Am_077</v>
      </c>
      <c r="B257" s="36" t="str">
        <f t="shared" si="4"/>
        <v>T8 5.56mm쌍열 대공포</v>
      </c>
      <c r="C257" s="36" t="s">
        <v>255</v>
      </c>
      <c r="D257" s="36" t="s">
        <v>241</v>
      </c>
      <c r="E257" s="36" t="s">
        <v>281</v>
      </c>
      <c r="F257" s="25">
        <f>VLOOKUP(C257, Factor!$AD$5:$AE$15, 2, 0)</f>
        <v>8000</v>
      </c>
      <c r="G257" s="26" t="str">
        <f>VLOOKUP(E257, Factor!$CL$5:$CV$50, 2, 0)</f>
        <v>shot</v>
      </c>
      <c r="H257" s="25" t="str">
        <f>VLOOKUP(E257, Factor!$CL$5:$CV$50, 3, 0)</f>
        <v>ammo</v>
      </c>
      <c r="I257" s="25" t="str">
        <f>VLOOKUP(E257, Factor!$CL$5:$CV$50, 4, 0)</f>
        <v>F</v>
      </c>
      <c r="J257" s="25" t="str">
        <f>VLOOKUP(E257, Factor!$CL$5:$CV$50, 5, 0)</f>
        <v>spread</v>
      </c>
      <c r="K257" s="25">
        <v>1</v>
      </c>
      <c r="L257" s="25">
        <f>VLOOKUP(E257, Factor!$CL$5:$CV$50, 6, 0)*K257*VLOOKUP(D257, Factor!$BZ$5:$CJ$49, 9, 0)</f>
        <v>0</v>
      </c>
      <c r="M257" s="25" t="str">
        <f>VLOOKUP(E257, Factor!$CL$5:$CV$50, 7, 0)</f>
        <v>null</v>
      </c>
      <c r="N257" s="25">
        <v>1</v>
      </c>
      <c r="O257" s="25">
        <f>VLOOKUP(E257, Factor!$CL$5:$CV$50, 8, 0)*N257*VLOOKUP(D257, Factor!$BZ$5:$CJ$49, 10, 0)</f>
        <v>6</v>
      </c>
      <c r="P257" s="25">
        <v>1</v>
      </c>
      <c r="Q257" s="25">
        <f>VLOOKUP(E257, Factor!$CL$5:$CV$50, 9, 0)*P257*VLOOKUP(D257, Factor!$BZ$5:$CJ$49, 11, 0)</f>
        <v>2</v>
      </c>
      <c r="R257" s="25" t="str">
        <f>VLOOKUP(E257, Factor!$CL$5:$CV$50, 10, 0)</f>
        <v>null</v>
      </c>
      <c r="S257" s="25" t="str">
        <f>VLOOKUP(E257, Factor!$CL$5:$CV$50, 11, 0)</f>
        <v>null</v>
      </c>
      <c r="T257" s="25">
        <v>1</v>
      </c>
      <c r="U257" s="25">
        <v>1</v>
      </c>
      <c r="V257" s="25">
        <v>1</v>
      </c>
      <c r="W257" s="25">
        <v>1</v>
      </c>
      <c r="X257" s="25">
        <v>1</v>
      </c>
      <c r="Y257" s="25">
        <v>1</v>
      </c>
      <c r="Z257" s="25">
        <v>1</v>
      </c>
      <c r="AA257" s="25" cm="1">
        <f t="array" ref="AA257">_xlfn.LET(_xlpm.기본_색인번호, 2,
_xlpm.추가_색인번호, 3,
_xlpm.개별보정치, T257,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B257" s="25" cm="1">
        <f t="array" ref="AB257">_xlfn.LET(_xlpm.기본_색인번호, 3,
_xlpm.추가_색인번호, 4,
_xlpm.개별보정치, U257,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86.399999999999991</v>
      </c>
      <c r="AC257" s="25" cm="1">
        <f t="array" ref="AC257">_xlfn.LET(_xlpm.기본_색인번호, 4,
_xlpm.추가_색인번호, 5,
_xlpm.개별보정치, V257,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57" s="25" cm="1">
        <f t="array" ref="AD257">_xlfn.LET(_xlpm.기본_색인번호, 5,
_xlpm.추가_색인번호, 6,
_xlpm.개별보정치, W257,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E257" s="25" cm="1">
        <f t="array" ref="AE257">_xlfn.LET(_xlpm.기본_색인번호, 6,
_xlpm.추가_색인번호, 7,
_xlpm.개별보정치, X257,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  <c r="AF257" s="25" cm="1">
        <f t="array" ref="AF257">_xlfn.LET(_xlpm.기본_색인번호, 7,
_xlpm.추가_색인번호, 8,
_xlpm.개별보정치, Y257,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57" s="27" cm="1">
        <f t="array" ref="AG257">_xlfn.LET(_xlpm.기본_색인번호, 8,
_xlpm.추가_색인번호, 9,
_xlpm.개별보정치, Z257,
_xlpm.패턴보정치, VLOOKUP($G257, Factor!$B$5:$I$51, _xlpm.기본_색인번호, 0),
_xlpm.소모탄환보정치, VLOOKUP($H257, Factor!$T$5:$AA$51, _xlpm.기본_색인번호, 0),
_xlpm.지형보정치, VLOOKUP($I257, Factor!$K$12:$R$13, _xlpm.기본_색인번호, 0),
_xlpm.공격속성보정치, VLOOKUP($J257, Factor!$K$5:$R$7, _xlpm.기본_색인번호, 0),
_xlpm.피해범위보정치, INDEX(Factor!$AN$5:$AV$51, _xlfn.XMATCH(IF(OR($G257="blast", $G257="curved",  $G257= "debuff"), $L257, 0), Factor!$AN$5:$AN$51, -1), _xlpm.추가_색인번호)-IF(AND(OR($G257="blast", $G257="curved", $G257= "debuff"), MOD($L257,1)&lt;&gt;0),INDEX(Factor!$AN$5:$AV$51, _xlfn.XMATCH(IF(OR($G257="blast", $G257="curved", $G257= "debuff"), $L257, 0), Factor!$AN$5:$AN$51, -1), 2)*MOD($L257,1)*10,0),
_xlpm.상태이상보정치, VLOOKUP(IF($G257 = "debuff", $M257, "null"), Factor!$AX$5:$BE$51, _xlpm.기본_색인번호, 0),
_xlpm.지속시간보정치, INDEX(Factor!$BG$5:$BO$51, _xlfn.XMATCH(IF(OR($G257 ="debuff", $G257 = "shot", $G257 = "pierce"), $O257, 0), Factor!$BG$5:$BG$51, -1), _xlpm.추가_색인번호)-IF(AND(OR($G257 ="debuff", $G257 = "shot", $G257 = "pierce"), MOD($O257, 1)&lt;&gt;0), 10*MOD($O257, 1)*INDEX(Factor!$BG$5:$BO$51, _xlfn.XMATCH(IF(OR($G257 ="debuff", $G257 = "shot", $G257 = "pierce"), $O257, 0), Factor!$BG$5:$BG$51, -1), 2), 0),
_xlpm.탄환개수보정치, VLOOKUP(IF(OR($G257 = "curved", $G257 = "shot"), $Q257, 1), Factor!$BQ$5:$BX$51, _xlpm.기본_색인번호, 0),
_xlpm.상태이상탄환생성위치보정치, IF($G257 = "debuff", VLOOKUP($R257, Factor!$K$18:$R$19, _xlpm.기본_색인번호, 0),1),
_xlpm.상태이상탄환형태보정치, IF($G257 = "debuff", VLOOKUP($S257, Factor!$K$24:$R$25, _xlpm.기본_색인번호, 0),1),
_xlpm.가격보정치, INDEX(Factor!$AE$5:$AL$51, _xlfn.XMATCH($F257,Factor!$AE$5:$AE$51, -1), _xlpm.기본_색인번호),
_xlpm.구경보정치, VLOOKUP($D257,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129.6</v>
      </c>
    </row>
    <row r="258" spans="1:33" ht="15.75" customHeight="1">
      <c r="A258" s="28" t="str">
        <f>"weapon_"&amp;G258&amp;"_"&amp;VLOOKUP(H258, Factor!$T$5:$AB$7, 9, 0)&amp;"_"&amp;IF(COUNTIFS($G$4:G257, G258, $H$4:H257, H258)+1&gt;=100, COUNTIFS($G$4:G257, G258, $H$4:H257, H258)+1,IF(COUNTIFS($G$4:G257, G258, $H$4:H257, H258)+1&gt;=10, "0"&amp;COUNTIFS($G$4:G257, G258, $H$4:H257, H258)+1, "00"&amp;COUNTIFS($G$4:G257, G258, $H$4:H257, H258)+1))</f>
        <v>weapon_shot_Am_078</v>
      </c>
      <c r="B258" s="37" t="str">
        <f t="shared" si="4"/>
        <v>T8 7.62mm쌍열 대공포</v>
      </c>
      <c r="C258" s="37" t="s">
        <v>255</v>
      </c>
      <c r="D258" s="37" t="s">
        <v>242</v>
      </c>
      <c r="E258" s="37" t="s">
        <v>281</v>
      </c>
      <c r="F258" s="29">
        <f>VLOOKUP(C258, Factor!$AD$5:$AE$15, 2, 0)</f>
        <v>8000</v>
      </c>
      <c r="G258" s="29" t="str">
        <f>VLOOKUP(E258, Factor!$CL$5:$CV$50, 2, 0)</f>
        <v>shot</v>
      </c>
      <c r="H258" s="29" t="str">
        <f>VLOOKUP(E258, Factor!$CL$5:$CV$50, 3, 0)</f>
        <v>ammo</v>
      </c>
      <c r="I258" s="29" t="str">
        <f>VLOOKUP(E258, Factor!$CL$5:$CV$50, 4, 0)</f>
        <v>F</v>
      </c>
      <c r="J258" s="29" t="str">
        <f>VLOOKUP(E258, Factor!$CL$5:$CV$50, 5, 0)</f>
        <v>spread</v>
      </c>
      <c r="K258" s="29">
        <v>1</v>
      </c>
      <c r="L258" s="29">
        <f>VLOOKUP(E258, Factor!$CL$5:$CV$50, 6, 0)*K258*VLOOKUP(D258, Factor!$BZ$5:$CJ$49, 9, 0)</f>
        <v>0</v>
      </c>
      <c r="M258" s="29" t="str">
        <f>VLOOKUP(E258, Factor!$CL$5:$CV$50, 7, 0)</f>
        <v>null</v>
      </c>
      <c r="N258" s="29">
        <v>1</v>
      </c>
      <c r="O258" s="29">
        <f>VLOOKUP(E258, Factor!$CL$5:$CV$50, 8, 0)*N258*VLOOKUP(D258, Factor!$BZ$5:$CJ$49, 10, 0)</f>
        <v>9</v>
      </c>
      <c r="P258" s="29">
        <v>1</v>
      </c>
      <c r="Q258" s="29">
        <f>VLOOKUP(E258, Factor!$CL$5:$CV$50, 9, 0)*P258*VLOOKUP(D258, Factor!$BZ$5:$CJ$49, 11, 0)</f>
        <v>3</v>
      </c>
      <c r="R258" s="29" t="str">
        <f>VLOOKUP(E258, Factor!$CL$5:$CV$50, 10, 0)</f>
        <v>null</v>
      </c>
      <c r="S258" s="29" t="str">
        <f>VLOOKUP(E258, Factor!$CL$5:$CV$50, 11, 0)</f>
        <v>null</v>
      </c>
      <c r="T258" s="29">
        <v>1</v>
      </c>
      <c r="U258" s="29">
        <v>1</v>
      </c>
      <c r="V258" s="29">
        <v>1</v>
      </c>
      <c r="W258" s="29">
        <v>1</v>
      </c>
      <c r="X258" s="29">
        <v>1</v>
      </c>
      <c r="Y258" s="29">
        <v>1</v>
      </c>
      <c r="Z258" s="29">
        <v>1</v>
      </c>
      <c r="AA258" s="29" cm="1">
        <f t="array" ref="AA258">_xlfn.LET(_xlpm.기본_색인번호, 2,
_xlpm.추가_색인번호, 3,
_xlpm.개별보정치, T258,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4860</v>
      </c>
      <c r="AB258" s="29" cm="1">
        <f t="array" ref="AB258">_xlfn.LET(_xlpm.기본_색인번호, 3,
_xlpm.추가_색인번호, 4,
_xlpm.개별보정치, U258,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194.39999999999998</v>
      </c>
      <c r="AC258" s="29" cm="1">
        <f t="array" ref="AC258">_xlfn.LET(_xlpm.기본_색인번호, 4,
_xlpm.추가_색인번호, 5,
_xlpm.개별보정치, V258,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58" s="29" cm="1">
        <f t="array" ref="AD258">_xlfn.LET(_xlpm.기본_색인번호, 5,
_xlpm.추가_색인번호, 6,
_xlpm.개별보정치, W258,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291.59999999999997</v>
      </c>
      <c r="AE258" s="29" cm="1">
        <f t="array" ref="AE258">_xlfn.LET(_xlpm.기본_색인번호, 6,
_xlpm.추가_색인번호, 7,
_xlpm.개별보정치, X258,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291.59999999999997</v>
      </c>
      <c r="AF258" s="29" cm="1">
        <f t="array" ref="AF258">_xlfn.LET(_xlpm.기본_색인번호, 7,
_xlpm.추가_색인번호, 8,
_xlpm.개별보정치, Y258,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58" s="30" cm="1">
        <f t="array" ref="AG258">_xlfn.LET(_xlpm.기본_색인번호, 8,
_xlpm.추가_색인번호, 9,
_xlpm.개별보정치, Z258,
_xlpm.패턴보정치, VLOOKUP($G258, Factor!$B$5:$I$51, _xlpm.기본_색인번호, 0),
_xlpm.소모탄환보정치, VLOOKUP($H258, Factor!$T$5:$AA$51, _xlpm.기본_색인번호, 0),
_xlpm.지형보정치, VLOOKUP($I258, Factor!$K$12:$R$13, _xlpm.기본_색인번호, 0),
_xlpm.공격속성보정치, VLOOKUP($J258, Factor!$K$5:$R$7, _xlpm.기본_색인번호, 0),
_xlpm.피해범위보정치, INDEX(Factor!$AN$5:$AV$51, _xlfn.XMATCH(IF(OR($G258="blast", $G258="curved",  $G258= "debuff"), $L258, 0), Factor!$AN$5:$AN$51, -1), _xlpm.추가_색인번호)-IF(AND(OR($G258="blast", $G258="curved", $G258= "debuff"), MOD($L258,1)&lt;&gt;0),INDEX(Factor!$AN$5:$AV$51, _xlfn.XMATCH(IF(OR($G258="blast", $G258="curved", $G258= "debuff"), $L258, 0), Factor!$AN$5:$AN$51, -1), 2)*MOD($L258,1)*10,0),
_xlpm.상태이상보정치, VLOOKUP(IF($G258 = "debuff", $M258, "null"), Factor!$AX$5:$BE$51, _xlpm.기본_색인번호, 0),
_xlpm.지속시간보정치, INDEX(Factor!$BG$5:$BO$51, _xlfn.XMATCH(IF(OR($G258 ="debuff", $G258 = "shot", $G258 = "pierce"), $O258, 0), Factor!$BG$5:$BG$51, -1), _xlpm.추가_색인번호)-IF(AND(OR($G258 ="debuff", $G258 = "shot", $G258 = "pierce"), MOD($O258, 1)&lt;&gt;0), 10*MOD($O258, 1)*INDEX(Factor!$BG$5:$BO$51, _xlfn.XMATCH(IF(OR($G258 ="debuff", $G258 = "shot", $G258 = "pierce"), $O258, 0), Factor!$BG$5:$BG$51, -1), 2), 0),
_xlpm.탄환개수보정치, VLOOKUP(IF(OR($G258 = "curved", $G258 = "shot"), $Q258, 1), Factor!$BQ$5:$BX$51, _xlpm.기본_색인번호, 0),
_xlpm.상태이상탄환생성위치보정치, IF($G258 = "debuff", VLOOKUP($R258, Factor!$K$18:$R$19, _xlpm.기본_색인번호, 0),1),
_xlpm.상태이상탄환형태보정치, IF($G258 = "debuff", VLOOKUP($S258, Factor!$K$24:$R$25, _xlpm.기본_색인번호, 0),1),
_xlpm.가격보정치, INDEX(Factor!$AE$5:$AL$51, _xlfn.XMATCH($F258,Factor!$AE$5:$AE$51, -1), _xlpm.기본_색인번호),
_xlpm.구경보정치, VLOOKUP($D258,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291.59999999999997</v>
      </c>
    </row>
    <row r="259" spans="1:33" ht="15.75" customHeight="1">
      <c r="A259" s="24" t="str">
        <f>"weapon_"&amp;G259&amp;"_"&amp;VLOOKUP(H259, Factor!$T$5:$AB$7, 9, 0)&amp;"_"&amp;IF(COUNTIFS($G$4:G258, G259, $H$4:H258, H259)+1&gt;=100, COUNTIFS($G$4:G258, G259, $H$4:H258, H259)+1,IF(COUNTIFS($G$4:G258, G259, $H$4:H258, H259)+1&gt;=10, "0"&amp;COUNTIFS($G$4:G258, G259, $H$4:H258, H259)+1, "00"&amp;COUNTIFS($G$4:G258, G259, $H$4:H258, H259)+1))</f>
        <v>weapon_shot_Am_079</v>
      </c>
      <c r="B259" s="36" t="str">
        <f t="shared" si="4"/>
        <v>T8 12.7mm쌍열 대공포</v>
      </c>
      <c r="C259" s="36" t="s">
        <v>255</v>
      </c>
      <c r="D259" s="36" t="s">
        <v>243</v>
      </c>
      <c r="E259" s="36" t="s">
        <v>281</v>
      </c>
      <c r="F259" s="25">
        <f>VLOOKUP(C259, Factor!$AD$5:$AE$15, 2, 0)</f>
        <v>8000</v>
      </c>
      <c r="G259" s="26" t="str">
        <f>VLOOKUP(E259, Factor!$CL$5:$CV$50, 2, 0)</f>
        <v>shot</v>
      </c>
      <c r="H259" s="25" t="str">
        <f>VLOOKUP(E259, Factor!$CL$5:$CV$50, 3, 0)</f>
        <v>ammo</v>
      </c>
      <c r="I259" s="25" t="str">
        <f>VLOOKUP(E259, Factor!$CL$5:$CV$50, 4, 0)</f>
        <v>F</v>
      </c>
      <c r="J259" s="25" t="str">
        <f>VLOOKUP(E259, Factor!$CL$5:$CV$50, 5, 0)</f>
        <v>spread</v>
      </c>
      <c r="K259" s="25">
        <v>1</v>
      </c>
      <c r="L259" s="25">
        <f>VLOOKUP(E259, Factor!$CL$5:$CV$50, 6, 0)*K259*VLOOKUP(D259, Factor!$BZ$5:$CJ$49, 9, 0)</f>
        <v>0</v>
      </c>
      <c r="M259" s="25" t="str">
        <f>VLOOKUP(E259, Factor!$CL$5:$CV$50, 7, 0)</f>
        <v>null</v>
      </c>
      <c r="N259" s="25">
        <v>1</v>
      </c>
      <c r="O259" s="25">
        <f>VLOOKUP(E259, Factor!$CL$5:$CV$50, 8, 0)*N259*VLOOKUP(D259, Factor!$BZ$5:$CJ$49, 10, 0)</f>
        <v>12</v>
      </c>
      <c r="P259" s="25">
        <v>1</v>
      </c>
      <c r="Q259" s="25">
        <f>VLOOKUP(E259, Factor!$CL$5:$CV$50, 9, 0)*P259*VLOOKUP(D259, Factor!$BZ$5:$CJ$49, 11, 0)</f>
        <v>4</v>
      </c>
      <c r="R259" s="25" t="str">
        <f>VLOOKUP(E259, Factor!$CL$5:$CV$50, 10, 0)</f>
        <v>null</v>
      </c>
      <c r="S259" s="25" t="str">
        <f>VLOOKUP(E259, Factor!$CL$5:$CV$50, 11, 0)</f>
        <v>null</v>
      </c>
      <c r="T259" s="25">
        <v>1</v>
      </c>
      <c r="U259" s="25">
        <v>1</v>
      </c>
      <c r="V259" s="25">
        <v>1</v>
      </c>
      <c r="W259" s="25">
        <v>1</v>
      </c>
      <c r="X259" s="25">
        <v>1</v>
      </c>
      <c r="Y259" s="25">
        <v>1</v>
      </c>
      <c r="Z259" s="25">
        <v>1</v>
      </c>
      <c r="AA259" s="25" cm="1">
        <f t="array" ref="AA259">_xlfn.LET(_xlpm.기본_색인번호, 2,
_xlpm.추가_색인번호, 3,
_xlpm.개별보정치, T259,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259" s="25" cm="1">
        <f t="array" ref="AB259">_xlfn.LET(_xlpm.기본_색인번호, 3,
_xlpm.추가_색인번호, 4,
_xlpm.개별보정치, U259,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C259" s="25" cm="1">
        <f t="array" ref="AC259">_xlfn.LET(_xlpm.기본_색인번호, 4,
_xlpm.추가_색인번호, 5,
_xlpm.개별보정치, V259,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59" s="25" cm="1">
        <f t="array" ref="AD259">_xlfn.LET(_xlpm.기본_색인번호, 5,
_xlpm.추가_색인번호, 6,
_xlpm.개별보정치, W259,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</v>
      </c>
      <c r="AE259" s="25" cm="1">
        <f t="array" ref="AE259">_xlfn.LET(_xlpm.기본_색인번호, 6,
_xlpm.추가_색인번호, 7,
_xlpm.개별보정치, X259,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</v>
      </c>
      <c r="AF259" s="25" cm="1">
        <f t="array" ref="AF259">_xlfn.LET(_xlpm.기본_색인번호, 7,
_xlpm.추가_색인번호, 8,
_xlpm.개별보정치, Y259,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59" s="27" cm="1">
        <f t="array" ref="AG259">_xlfn.LET(_xlpm.기본_색인번호, 8,
_xlpm.추가_색인번호, 9,
_xlpm.개별보정치, Z259,
_xlpm.패턴보정치, VLOOKUP($G259, Factor!$B$5:$I$51, _xlpm.기본_색인번호, 0),
_xlpm.소모탄환보정치, VLOOKUP($H259, Factor!$T$5:$AA$51, _xlpm.기본_색인번호, 0),
_xlpm.지형보정치, VLOOKUP($I259, Factor!$K$12:$R$13, _xlpm.기본_색인번호, 0),
_xlpm.공격속성보정치, VLOOKUP($J259, Factor!$K$5:$R$7, _xlpm.기본_색인번호, 0),
_xlpm.피해범위보정치, INDEX(Factor!$AN$5:$AV$51, _xlfn.XMATCH(IF(OR($G259="blast", $G259="curved",  $G259= "debuff"), $L259, 0), Factor!$AN$5:$AN$51, -1), _xlpm.추가_색인번호)-IF(AND(OR($G259="blast", $G259="curved", $G259= "debuff"), MOD($L259,1)&lt;&gt;0),INDEX(Factor!$AN$5:$AV$51, _xlfn.XMATCH(IF(OR($G259="blast", $G259="curved", $G259= "debuff"), $L259, 0), Factor!$AN$5:$AN$51, -1), 2)*MOD($L259,1)*10,0),
_xlpm.상태이상보정치, VLOOKUP(IF($G259 = "debuff", $M259, "null"), Factor!$AX$5:$BE$51, _xlpm.기본_색인번호, 0),
_xlpm.지속시간보정치, INDEX(Factor!$BG$5:$BO$51, _xlfn.XMATCH(IF(OR($G259 ="debuff", $G259 = "shot", $G259 = "pierce"), $O259, 0), Factor!$BG$5:$BG$51, -1), _xlpm.추가_색인번호)-IF(AND(OR($G259 ="debuff", $G259 = "shot", $G259 = "pierce"), MOD($O259, 1)&lt;&gt;0), 10*MOD($O259, 1)*INDEX(Factor!$BG$5:$BO$51, _xlfn.XMATCH(IF(OR($G259 ="debuff", $G259 = "shot", $G259 = "pierce"), $O259, 0), Factor!$BG$5:$BG$51, -1), 2), 0),
_xlpm.탄환개수보정치, VLOOKUP(IF(OR($G259 = "curved", $G259 = "shot"), $Q259, 1), Factor!$BQ$5:$BX$51, _xlpm.기본_색인번호, 0),
_xlpm.상태이상탄환생성위치보정치, IF($G259 = "debuff", VLOOKUP($R259, Factor!$K$18:$R$19, _xlpm.기본_색인번호, 0),1),
_xlpm.상태이상탄환형태보정치, IF($G259 = "debuff", VLOOKUP($S259, Factor!$K$24:$R$25, _xlpm.기본_색인번호, 0),1),
_xlpm.가격보정치, INDEX(Factor!$AE$5:$AL$51, _xlfn.XMATCH($F259,Factor!$AE$5:$AE$51, -1), _xlpm.기본_색인번호),
_xlpm.구경보정치, VLOOKUP($D259,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</v>
      </c>
    </row>
    <row r="260" spans="1:33" ht="15.75" customHeight="1">
      <c r="A260" s="28" t="str">
        <f>"weapon_"&amp;G260&amp;"_"&amp;VLOOKUP(H260, Factor!$T$5:$AB$7, 9, 0)&amp;"_"&amp;IF(COUNTIFS($G$4:G259, G260, $H$4:H259, H260)+1&gt;=100, COUNTIFS($G$4:G259, G260, $H$4:H259, H260)+1,IF(COUNTIFS($G$4:G259, G260, $H$4:H259, H260)+1&gt;=10, "0"&amp;COUNTIFS($G$4:G259, G260, $H$4:H259, H260)+1, "00"&amp;COUNTIFS($G$4:G259, G260, $H$4:H259, H260)+1))</f>
        <v>weapon_shot_Am_080</v>
      </c>
      <c r="B260" s="37" t="str">
        <f t="shared" si="4"/>
        <v>T8 20mm쌍열 대공포</v>
      </c>
      <c r="C260" s="37" t="s">
        <v>255</v>
      </c>
      <c r="D260" s="37" t="s">
        <v>244</v>
      </c>
      <c r="E260" s="37" t="s">
        <v>281</v>
      </c>
      <c r="F260" s="29">
        <f>VLOOKUP(C260, Factor!$AD$5:$AE$15, 2, 0)</f>
        <v>8000</v>
      </c>
      <c r="G260" s="29" t="str">
        <f>VLOOKUP(E260, Factor!$CL$5:$CV$50, 2, 0)</f>
        <v>shot</v>
      </c>
      <c r="H260" s="29" t="str">
        <f>VLOOKUP(E260, Factor!$CL$5:$CV$50, 3, 0)</f>
        <v>ammo</v>
      </c>
      <c r="I260" s="29" t="str">
        <f>VLOOKUP(E260, Factor!$CL$5:$CV$50, 4, 0)</f>
        <v>F</v>
      </c>
      <c r="J260" s="29" t="str">
        <f>VLOOKUP(E260, Factor!$CL$5:$CV$50, 5, 0)</f>
        <v>spread</v>
      </c>
      <c r="K260" s="29">
        <v>1</v>
      </c>
      <c r="L260" s="29">
        <f>VLOOKUP(E260, Factor!$CL$5:$CV$50, 6, 0)*K260*VLOOKUP(D260, Factor!$BZ$5:$CJ$49, 9, 0)</f>
        <v>0</v>
      </c>
      <c r="M260" s="29" t="str">
        <f>VLOOKUP(E260, Factor!$CL$5:$CV$50, 7, 0)</f>
        <v>null</v>
      </c>
      <c r="N260" s="29">
        <v>1</v>
      </c>
      <c r="O260" s="29">
        <f>VLOOKUP(E260, Factor!$CL$5:$CV$50, 8, 0)*N260*VLOOKUP(D260, Factor!$BZ$5:$CJ$49, 10, 0)</f>
        <v>15</v>
      </c>
      <c r="P260" s="29">
        <v>1</v>
      </c>
      <c r="Q260" s="29">
        <f>VLOOKUP(E260, Factor!$CL$5:$CV$50, 9, 0)*P260*VLOOKUP(D260, Factor!$BZ$5:$CJ$49, 11, 0)</f>
        <v>5</v>
      </c>
      <c r="R260" s="29" t="str">
        <f>VLOOKUP(E260, Factor!$CL$5:$CV$50, 10, 0)</f>
        <v>null</v>
      </c>
      <c r="S260" s="29" t="str">
        <f>VLOOKUP(E260, Factor!$CL$5:$CV$50, 11, 0)</f>
        <v>null</v>
      </c>
      <c r="T260" s="29">
        <v>1</v>
      </c>
      <c r="U260" s="29">
        <v>1</v>
      </c>
      <c r="V260" s="29">
        <v>1</v>
      </c>
      <c r="W260" s="29">
        <v>1</v>
      </c>
      <c r="X260" s="29">
        <v>1</v>
      </c>
      <c r="Y260" s="29">
        <v>1</v>
      </c>
      <c r="Z260" s="29">
        <v>1</v>
      </c>
      <c r="AA260" s="29" cm="1">
        <f t="array" ref="AA260">_xlfn.LET(_xlpm.기본_색인번호, 2,
_xlpm.추가_색인번호, 3,
_xlpm.개별보정치, T260,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9000</v>
      </c>
      <c r="AB260" s="29" cm="1">
        <f t="array" ref="AB260">_xlfn.LET(_xlpm.기본_색인번호, 3,
_xlpm.추가_색인번호, 4,
_xlpm.개별보정치, U260,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260" s="29" cm="1">
        <f t="array" ref="AC260">_xlfn.LET(_xlpm.기본_색인번호, 4,
_xlpm.추가_색인번호, 5,
_xlpm.개별보정치, V260,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60" s="29" cm="1">
        <f t="array" ref="AD260">_xlfn.LET(_xlpm.기본_색인번호, 5,
_xlpm.추가_색인번호, 6,
_xlpm.개별보정치, W260,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E260" s="29" cm="1">
        <f t="array" ref="AE260">_xlfn.LET(_xlpm.기본_색인번호, 6,
_xlpm.추가_색인번호, 7,
_xlpm.개별보정치, X260,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F260" s="29" cm="1">
        <f t="array" ref="AF260">_xlfn.LET(_xlpm.기본_색인번호, 7,
_xlpm.추가_색인번호, 8,
_xlpm.개별보정치, Y260,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60" s="30" cm="1">
        <f t="array" ref="AG260">_xlfn.LET(_xlpm.기본_색인번호, 8,
_xlpm.추가_색인번호, 9,
_xlpm.개별보정치, Z260,
_xlpm.패턴보정치, VLOOKUP($G260, Factor!$B$5:$I$51, _xlpm.기본_색인번호, 0),
_xlpm.소모탄환보정치, VLOOKUP($H260, Factor!$T$5:$AA$51, _xlpm.기본_색인번호, 0),
_xlpm.지형보정치, VLOOKUP($I260, Factor!$K$12:$R$13, _xlpm.기본_색인번호, 0),
_xlpm.공격속성보정치, VLOOKUP($J260, Factor!$K$5:$R$7, _xlpm.기본_색인번호, 0),
_xlpm.피해범위보정치, INDEX(Factor!$AN$5:$AV$51, _xlfn.XMATCH(IF(OR($G260="blast", $G260="curved",  $G260= "debuff"), $L260, 0), Factor!$AN$5:$AN$51, -1), _xlpm.추가_색인번호)-IF(AND(OR($G260="blast", $G260="curved", $G260= "debuff"), MOD($L260,1)&lt;&gt;0),INDEX(Factor!$AN$5:$AV$51, _xlfn.XMATCH(IF(OR($G260="blast", $G260="curved", $G260= "debuff"), $L260, 0), Factor!$AN$5:$AN$51, -1), 2)*MOD($L260,1)*10,0),
_xlpm.상태이상보정치, VLOOKUP(IF($G260 = "debuff", $M260, "null"), Factor!$AX$5:$BE$51, _xlpm.기본_색인번호, 0),
_xlpm.지속시간보정치, INDEX(Factor!$BG$5:$BO$51, _xlfn.XMATCH(IF(OR($G260 ="debuff", $G260 = "shot", $G260 = "pierce"), $O260, 0), Factor!$BG$5:$BG$51, -1), _xlpm.추가_색인번호)-IF(AND(OR($G260 ="debuff", $G260 = "shot", $G260 = "pierce"), MOD($O260, 1)&lt;&gt;0), 10*MOD($O260, 1)*INDEX(Factor!$BG$5:$BO$51, _xlfn.XMATCH(IF(OR($G260 ="debuff", $G260 = "shot", $G260 = "pierce"), $O260, 0), Factor!$BG$5:$BG$51, -1), 2), 0),
_xlpm.탄환개수보정치, VLOOKUP(IF(OR($G260 = "curved", $G260 = "shot"), $Q260, 1), Factor!$BQ$5:$BX$51, _xlpm.기본_색인번호, 0),
_xlpm.상태이상탄환생성위치보정치, IF($G260 = "debuff", VLOOKUP($R260, Factor!$K$18:$R$19, _xlpm.기본_색인번호, 0),1),
_xlpm.상태이상탄환형태보정치, IF($G260 = "debuff", VLOOKUP($S260, Factor!$K$24:$R$25, _xlpm.기본_색인번호, 0),1),
_xlpm.가격보정치, INDEX(Factor!$AE$5:$AL$51, _xlfn.XMATCH($F260,Factor!$AE$5:$AE$51, -1), _xlpm.기본_색인번호),
_xlpm.구경보정치, VLOOKUP($D260,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</row>
    <row r="261" spans="1:33" ht="15.75" customHeight="1">
      <c r="A261" s="24" t="str">
        <f>"weapon_"&amp;G261&amp;"_"&amp;VLOOKUP(H261, Factor!$T$5:$AB$7, 9, 0)&amp;"_"&amp;IF(COUNTIFS($G$4:G260, G261, $H$4:H260, H261)+1&gt;=100, COUNTIFS($G$4:G260, G261, $H$4:H260, H261)+1,IF(COUNTIFS($G$4:G260, G261, $H$4:H260, H261)+1&gt;=10, "0"&amp;COUNTIFS($G$4:G260, G261, $H$4:H260, H261)+1, "00"&amp;COUNTIFS($G$4:G260, G261, $H$4:H260, H261)+1))</f>
        <v>weapon_shot_Am_081</v>
      </c>
      <c r="B261" s="36" t="str">
        <f t="shared" si="4"/>
        <v>T9 5.56mm쌍열 대공포</v>
      </c>
      <c r="C261" s="36" t="s">
        <v>256</v>
      </c>
      <c r="D261" s="36" t="s">
        <v>241</v>
      </c>
      <c r="E261" s="36" t="s">
        <v>281</v>
      </c>
      <c r="F261" s="25">
        <f>VLOOKUP(C261, Factor!$AD$5:$AE$15, 2, 0)</f>
        <v>9000</v>
      </c>
      <c r="G261" s="26" t="str">
        <f>VLOOKUP(E261, Factor!$CL$5:$CV$50, 2, 0)</f>
        <v>shot</v>
      </c>
      <c r="H261" s="25" t="str">
        <f>VLOOKUP(E261, Factor!$CL$5:$CV$50, 3, 0)</f>
        <v>ammo</v>
      </c>
      <c r="I261" s="25" t="str">
        <f>VLOOKUP(E261, Factor!$CL$5:$CV$50, 4, 0)</f>
        <v>F</v>
      </c>
      <c r="J261" s="25" t="str">
        <f>VLOOKUP(E261, Factor!$CL$5:$CV$50, 5, 0)</f>
        <v>spread</v>
      </c>
      <c r="K261" s="25">
        <v>1</v>
      </c>
      <c r="L261" s="25">
        <f>VLOOKUP(E261, Factor!$CL$5:$CV$50, 6, 0)*K261*VLOOKUP(D261, Factor!$BZ$5:$CJ$49, 9, 0)</f>
        <v>0</v>
      </c>
      <c r="M261" s="25" t="str">
        <f>VLOOKUP(E261, Factor!$CL$5:$CV$50, 7, 0)</f>
        <v>null</v>
      </c>
      <c r="N261" s="25">
        <v>1</v>
      </c>
      <c r="O261" s="25">
        <f>VLOOKUP(E261, Factor!$CL$5:$CV$50, 8, 0)*N261*VLOOKUP(D261, Factor!$BZ$5:$CJ$49, 10, 0)</f>
        <v>6</v>
      </c>
      <c r="P261" s="25">
        <v>1</v>
      </c>
      <c r="Q261" s="25">
        <f>VLOOKUP(E261, Factor!$CL$5:$CV$50, 9, 0)*P261*VLOOKUP(D261, Factor!$BZ$5:$CJ$49, 11, 0)</f>
        <v>2</v>
      </c>
      <c r="R261" s="25" t="str">
        <f>VLOOKUP(E261, Factor!$CL$5:$CV$50, 10, 0)</f>
        <v>null</v>
      </c>
      <c r="S261" s="25" t="str">
        <f>VLOOKUP(E261, Factor!$CL$5:$CV$50, 11, 0)</f>
        <v>null</v>
      </c>
      <c r="T261" s="25">
        <v>1</v>
      </c>
      <c r="U261" s="25">
        <v>1</v>
      </c>
      <c r="V261" s="25">
        <v>1</v>
      </c>
      <c r="W261" s="25">
        <v>1</v>
      </c>
      <c r="X261" s="25">
        <v>1</v>
      </c>
      <c r="Y261" s="25">
        <v>1</v>
      </c>
      <c r="Z261" s="25">
        <v>1</v>
      </c>
      <c r="AA261" s="25" cm="1">
        <f t="array" ref="AA261">_xlfn.LET(_xlpm.기본_색인번호, 2,
_xlpm.추가_색인번호, 3,
_xlpm.개별보정치, T261,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61" s="25" cm="1">
        <f t="array" ref="AB261">_xlfn.LET(_xlpm.기본_색인번호, 3,
_xlpm.추가_색인번호, 4,
_xlpm.개별보정치, U261,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100.79999999999998</v>
      </c>
      <c r="AC261" s="25" cm="1">
        <f t="array" ref="AC261">_xlfn.LET(_xlpm.기본_색인번호, 4,
_xlpm.추가_색인번호, 5,
_xlpm.개별보정치, V261,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61" s="25" cm="1">
        <f t="array" ref="AD261">_xlfn.LET(_xlpm.기본_색인번호, 5,
_xlpm.추가_색인번호, 6,
_xlpm.개별보정치, W261,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E261" s="25" cm="1">
        <f t="array" ref="AE261">_xlfn.LET(_xlpm.기본_색인번호, 6,
_xlpm.추가_색인번호, 7,
_xlpm.개별보정치, X261,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  <c r="AF261" s="25" cm="1">
        <f t="array" ref="AF261">_xlfn.LET(_xlpm.기본_색인번호, 7,
_xlpm.추가_색인번호, 8,
_xlpm.개별보정치, Y261,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61" s="27" cm="1">
        <f t="array" ref="AG261">_xlfn.LET(_xlpm.기본_색인번호, 8,
_xlpm.추가_색인번호, 9,
_xlpm.개별보정치, Z261,
_xlpm.패턴보정치, VLOOKUP($G261, Factor!$B$5:$I$51, _xlpm.기본_색인번호, 0),
_xlpm.소모탄환보정치, VLOOKUP($H261, Factor!$T$5:$AA$51, _xlpm.기본_색인번호, 0),
_xlpm.지형보정치, VLOOKUP($I261, Factor!$K$12:$R$13, _xlpm.기본_색인번호, 0),
_xlpm.공격속성보정치, VLOOKUP($J261, Factor!$K$5:$R$7, _xlpm.기본_색인번호, 0),
_xlpm.피해범위보정치, INDEX(Factor!$AN$5:$AV$51, _xlfn.XMATCH(IF(OR($G261="blast", $G261="curved",  $G261= "debuff"), $L261, 0), Factor!$AN$5:$AN$51, -1), _xlpm.추가_색인번호)-IF(AND(OR($G261="blast", $G261="curved", $G261= "debuff"), MOD($L261,1)&lt;&gt;0),INDEX(Factor!$AN$5:$AV$51, _xlfn.XMATCH(IF(OR($G261="blast", $G261="curved", $G261= "debuff"), $L261, 0), Factor!$AN$5:$AN$51, -1), 2)*MOD($L261,1)*10,0),
_xlpm.상태이상보정치, VLOOKUP(IF($G261 = "debuff", $M261, "null"), Factor!$AX$5:$BE$51, _xlpm.기본_색인번호, 0),
_xlpm.지속시간보정치, INDEX(Factor!$BG$5:$BO$51, _xlfn.XMATCH(IF(OR($G261 ="debuff", $G261 = "shot", $G261 = "pierce"), $O261, 0), Factor!$BG$5:$BG$51, -1), _xlpm.추가_색인번호)-IF(AND(OR($G261 ="debuff", $G261 = "shot", $G261 = "pierce"), MOD($O261, 1)&lt;&gt;0), 10*MOD($O261, 1)*INDEX(Factor!$BG$5:$BO$51, _xlfn.XMATCH(IF(OR($G261 ="debuff", $G261 = "shot", $G261 = "pierce"), $O261, 0), Factor!$BG$5:$BG$51, -1), 2), 0),
_xlpm.탄환개수보정치, VLOOKUP(IF(OR($G261 = "curved", $G261 = "shot"), $Q261, 1), Factor!$BQ$5:$BX$51, _xlpm.기본_색인번호, 0),
_xlpm.상태이상탄환생성위치보정치, IF($G261 = "debuff", VLOOKUP($R261, Factor!$K$18:$R$19, _xlpm.기본_색인번호, 0),1),
_xlpm.상태이상탄환형태보정치, IF($G261 = "debuff", VLOOKUP($S261, Factor!$K$24:$R$25, _xlpm.기본_색인번호, 0),1),
_xlpm.가격보정치, INDEX(Factor!$AE$5:$AL$51, _xlfn.XMATCH($F261,Factor!$AE$5:$AE$51, -1), _xlpm.기본_색인번호),
_xlpm.구경보정치, VLOOKUP($D261,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</v>
      </c>
    </row>
    <row r="262" spans="1:33" ht="15.75" customHeight="1">
      <c r="A262" s="28" t="str">
        <f>"weapon_"&amp;G262&amp;"_"&amp;VLOOKUP(H262, Factor!$T$5:$AB$7, 9, 0)&amp;"_"&amp;IF(COUNTIFS($G$4:G261, G262, $H$4:H261, H262)+1&gt;=100, COUNTIFS($G$4:G261, G262, $H$4:H261, H262)+1,IF(COUNTIFS($G$4:G261, G262, $H$4:H261, H262)+1&gt;=10, "0"&amp;COUNTIFS($G$4:G261, G262, $H$4:H261, H262)+1, "00"&amp;COUNTIFS($G$4:G261, G262, $H$4:H261, H262)+1))</f>
        <v>weapon_shot_Am_082</v>
      </c>
      <c r="B262" s="37" t="str">
        <f t="shared" si="4"/>
        <v>T9 7.62mm쌍열 대공포</v>
      </c>
      <c r="C262" s="37" t="s">
        <v>256</v>
      </c>
      <c r="D262" s="37" t="s">
        <v>242</v>
      </c>
      <c r="E262" s="37" t="s">
        <v>281</v>
      </c>
      <c r="F262" s="29">
        <f>VLOOKUP(C262, Factor!$AD$5:$AE$15, 2, 0)</f>
        <v>9000</v>
      </c>
      <c r="G262" s="29" t="str">
        <f>VLOOKUP(E262, Factor!$CL$5:$CV$50, 2, 0)</f>
        <v>shot</v>
      </c>
      <c r="H262" s="29" t="str">
        <f>VLOOKUP(E262, Factor!$CL$5:$CV$50, 3, 0)</f>
        <v>ammo</v>
      </c>
      <c r="I262" s="29" t="str">
        <f>VLOOKUP(E262, Factor!$CL$5:$CV$50, 4, 0)</f>
        <v>F</v>
      </c>
      <c r="J262" s="29" t="str">
        <f>VLOOKUP(E262, Factor!$CL$5:$CV$50, 5, 0)</f>
        <v>spread</v>
      </c>
      <c r="K262" s="29">
        <v>1</v>
      </c>
      <c r="L262" s="29">
        <f>VLOOKUP(E262, Factor!$CL$5:$CV$50, 6, 0)*K262*VLOOKUP(D262, Factor!$BZ$5:$CJ$49, 9, 0)</f>
        <v>0</v>
      </c>
      <c r="M262" s="29" t="str">
        <f>VLOOKUP(E262, Factor!$CL$5:$CV$50, 7, 0)</f>
        <v>null</v>
      </c>
      <c r="N262" s="29">
        <v>1</v>
      </c>
      <c r="O262" s="29">
        <f>VLOOKUP(E262, Factor!$CL$5:$CV$50, 8, 0)*N262*VLOOKUP(D262, Factor!$BZ$5:$CJ$49, 10, 0)</f>
        <v>9</v>
      </c>
      <c r="P262" s="29">
        <v>1</v>
      </c>
      <c r="Q262" s="29">
        <f>VLOOKUP(E262, Factor!$CL$5:$CV$50, 9, 0)*P262*VLOOKUP(D262, Factor!$BZ$5:$CJ$49, 11, 0)</f>
        <v>3</v>
      </c>
      <c r="R262" s="29" t="str">
        <f>VLOOKUP(E262, Factor!$CL$5:$CV$50, 10, 0)</f>
        <v>null</v>
      </c>
      <c r="S262" s="29" t="str">
        <f>VLOOKUP(E262, Factor!$CL$5:$CV$50, 11, 0)</f>
        <v>null</v>
      </c>
      <c r="T262" s="29">
        <v>1</v>
      </c>
      <c r="U262" s="29">
        <v>1</v>
      </c>
      <c r="V262" s="29">
        <v>1</v>
      </c>
      <c r="W262" s="29">
        <v>1</v>
      </c>
      <c r="X262" s="29">
        <v>1</v>
      </c>
      <c r="Y262" s="29">
        <v>1</v>
      </c>
      <c r="Z262" s="29">
        <v>1</v>
      </c>
      <c r="AA262" s="29" cm="1">
        <f t="array" ref="AA262">_xlfn.LET(_xlpm.기본_색인번호, 2,
_xlpm.추가_색인번호, 3,
_xlpm.개별보정치, T262,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262" s="29" cm="1">
        <f t="array" ref="AB262">_xlfn.LET(_xlpm.기본_색인번호, 3,
_xlpm.추가_색인번호, 4,
_xlpm.개별보정치, U262,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226.79999999999998</v>
      </c>
      <c r="AC262" s="29" cm="1">
        <f t="array" ref="AC262">_xlfn.LET(_xlpm.기본_색인번호, 4,
_xlpm.추가_색인번호, 5,
_xlpm.개별보정치, V262,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62" s="29" cm="1">
        <f t="array" ref="AD262">_xlfn.LET(_xlpm.기본_색인번호, 5,
_xlpm.추가_색인번호, 6,
_xlpm.개별보정치, W262,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</v>
      </c>
      <c r="AE262" s="29" cm="1">
        <f t="array" ref="AE262">_xlfn.LET(_xlpm.기본_색인번호, 6,
_xlpm.추가_색인번호, 7,
_xlpm.개별보정치, X262,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</v>
      </c>
      <c r="AF262" s="29" cm="1">
        <f t="array" ref="AF262">_xlfn.LET(_xlpm.기본_색인번호, 7,
_xlpm.추가_색인번호, 8,
_xlpm.개별보정치, Y262,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62" s="30" cm="1">
        <f t="array" ref="AG262">_xlfn.LET(_xlpm.기본_색인번호, 8,
_xlpm.추가_색인번호, 9,
_xlpm.개별보정치, Z262,
_xlpm.패턴보정치, VLOOKUP($G262, Factor!$B$5:$I$51, _xlpm.기본_색인번호, 0),
_xlpm.소모탄환보정치, VLOOKUP($H262, Factor!$T$5:$AA$51, _xlpm.기본_색인번호, 0),
_xlpm.지형보정치, VLOOKUP($I262, Factor!$K$12:$R$13, _xlpm.기본_색인번호, 0),
_xlpm.공격속성보정치, VLOOKUP($J262, Factor!$K$5:$R$7, _xlpm.기본_색인번호, 0),
_xlpm.피해범위보정치, INDEX(Factor!$AN$5:$AV$51, _xlfn.XMATCH(IF(OR($G262="blast", $G262="curved",  $G262= "debuff"), $L262, 0), Factor!$AN$5:$AN$51, -1), _xlpm.추가_색인번호)-IF(AND(OR($G262="blast", $G262="curved", $G262= "debuff"), MOD($L262,1)&lt;&gt;0),INDEX(Factor!$AN$5:$AV$51, _xlfn.XMATCH(IF(OR($G262="blast", $G262="curved", $G262= "debuff"), $L262, 0), Factor!$AN$5:$AN$51, -1), 2)*MOD($L262,1)*10,0),
_xlpm.상태이상보정치, VLOOKUP(IF($G262 = "debuff", $M262, "null"), Factor!$AX$5:$BE$51, _xlpm.기본_색인번호, 0),
_xlpm.지속시간보정치, INDEX(Factor!$BG$5:$BO$51, _xlfn.XMATCH(IF(OR($G262 ="debuff", $G262 = "shot", $G262 = "pierce"), $O262, 0), Factor!$BG$5:$BG$51, -1), _xlpm.추가_색인번호)-IF(AND(OR($G262 ="debuff", $G262 = "shot", $G262 = "pierce"), MOD($O262, 1)&lt;&gt;0), 10*MOD($O262, 1)*INDEX(Factor!$BG$5:$BO$51, _xlfn.XMATCH(IF(OR($G262 ="debuff", $G262 = "shot", $G262 = "pierce"), $O262, 0), Factor!$BG$5:$BG$51, -1), 2), 0),
_xlpm.탄환개수보정치, VLOOKUP(IF(OR($G262 = "curved", $G262 = "shot"), $Q262, 1), Factor!$BQ$5:$BX$51, _xlpm.기본_색인번호, 0),
_xlpm.상태이상탄환생성위치보정치, IF($G262 = "debuff", VLOOKUP($R262, Factor!$K$18:$R$19, _xlpm.기본_색인번호, 0),1),
_xlpm.상태이상탄환형태보정치, IF($G262 = "debuff", VLOOKUP($S262, Factor!$K$24:$R$25, _xlpm.기본_색인번호, 0),1),
_xlpm.가격보정치, INDEX(Factor!$AE$5:$AL$51, _xlfn.XMATCH($F262,Factor!$AE$5:$AE$51, -1), _xlpm.기본_색인번호),
_xlpm.구경보정치, VLOOKUP($D262,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</v>
      </c>
    </row>
    <row r="263" spans="1:33" ht="15.75" customHeight="1">
      <c r="A263" s="24" t="str">
        <f>"weapon_"&amp;G263&amp;"_"&amp;VLOOKUP(H263, Factor!$T$5:$AB$7, 9, 0)&amp;"_"&amp;IF(COUNTIFS($G$4:G262, G263, $H$4:H262, H263)+1&gt;=100, COUNTIFS($G$4:G262, G263, $H$4:H262, H263)+1,IF(COUNTIFS($G$4:G262, G263, $H$4:H262, H263)+1&gt;=10, "0"&amp;COUNTIFS($G$4:G262, G263, $H$4:H262, H263)+1, "00"&amp;COUNTIFS($G$4:G262, G263, $H$4:H262, H263)+1))</f>
        <v>weapon_shot_Am_083</v>
      </c>
      <c r="B263" s="36" t="str">
        <f t="shared" si="4"/>
        <v>T9 12.7mm쌍열 대공포</v>
      </c>
      <c r="C263" s="36" t="s">
        <v>256</v>
      </c>
      <c r="D263" s="36" t="s">
        <v>243</v>
      </c>
      <c r="E263" s="36" t="s">
        <v>281</v>
      </c>
      <c r="F263" s="25">
        <f>VLOOKUP(C263, Factor!$AD$5:$AE$15, 2, 0)</f>
        <v>9000</v>
      </c>
      <c r="G263" s="26" t="str">
        <f>VLOOKUP(E263, Factor!$CL$5:$CV$50, 2, 0)</f>
        <v>shot</v>
      </c>
      <c r="H263" s="25" t="str">
        <f>VLOOKUP(E263, Factor!$CL$5:$CV$50, 3, 0)</f>
        <v>ammo</v>
      </c>
      <c r="I263" s="25" t="str">
        <f>VLOOKUP(E263, Factor!$CL$5:$CV$50, 4, 0)</f>
        <v>F</v>
      </c>
      <c r="J263" s="25" t="str">
        <f>VLOOKUP(E263, Factor!$CL$5:$CV$50, 5, 0)</f>
        <v>spread</v>
      </c>
      <c r="K263" s="25">
        <v>1</v>
      </c>
      <c r="L263" s="25">
        <f>VLOOKUP(E263, Factor!$CL$5:$CV$50, 6, 0)*K263*VLOOKUP(D263, Factor!$BZ$5:$CJ$49, 9, 0)</f>
        <v>0</v>
      </c>
      <c r="M263" s="25" t="str">
        <f>VLOOKUP(E263, Factor!$CL$5:$CV$50, 7, 0)</f>
        <v>null</v>
      </c>
      <c r="N263" s="25">
        <v>1</v>
      </c>
      <c r="O263" s="25">
        <f>VLOOKUP(E263, Factor!$CL$5:$CV$50, 8, 0)*N263*VLOOKUP(D263, Factor!$BZ$5:$CJ$49, 10, 0)</f>
        <v>12</v>
      </c>
      <c r="P263" s="25">
        <v>1</v>
      </c>
      <c r="Q263" s="25">
        <f>VLOOKUP(E263, Factor!$CL$5:$CV$50, 9, 0)*P263*VLOOKUP(D263, Factor!$BZ$5:$CJ$49, 11, 0)</f>
        <v>4</v>
      </c>
      <c r="R263" s="25" t="str">
        <f>VLOOKUP(E263, Factor!$CL$5:$CV$50, 10, 0)</f>
        <v>null</v>
      </c>
      <c r="S263" s="25" t="str">
        <f>VLOOKUP(E263, Factor!$CL$5:$CV$50, 11, 0)</f>
        <v>null</v>
      </c>
      <c r="T263" s="25">
        <v>1</v>
      </c>
      <c r="U263" s="25">
        <v>1</v>
      </c>
      <c r="V263" s="25">
        <v>1</v>
      </c>
      <c r="W263" s="25">
        <v>1</v>
      </c>
      <c r="X263" s="25">
        <v>1</v>
      </c>
      <c r="Y263" s="25">
        <v>1</v>
      </c>
      <c r="Z263" s="25">
        <v>1</v>
      </c>
      <c r="AA263" s="25" cm="1">
        <f t="array" ref="AA263">_xlfn.LET(_xlpm.기본_색인번호, 2,
_xlpm.추가_색인번호, 3,
_xlpm.개별보정치, T263,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8000</v>
      </c>
      <c r="AB263" s="25" cm="1">
        <f t="array" ref="AB263">_xlfn.LET(_xlpm.기본_색인번호, 3,
_xlpm.추가_색인번호, 4,
_xlpm.개별보정치, U263,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C263" s="25" cm="1">
        <f t="array" ref="AC263">_xlfn.LET(_xlpm.기본_색인번호, 4,
_xlpm.추가_색인번호, 5,
_xlpm.개별보정치, V263,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63" s="25" cm="1">
        <f t="array" ref="AD263">_xlfn.LET(_xlpm.기본_색인번호, 5,
_xlpm.추가_색인번호, 6,
_xlpm.개별보정치, W263,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E263" s="25" cm="1">
        <f t="array" ref="AE263">_xlfn.LET(_xlpm.기본_색인번호, 6,
_xlpm.추가_색인번호, 7,
_xlpm.개별보정치, X263,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  <c r="AF263" s="25" cm="1">
        <f t="array" ref="AF263">_xlfn.LET(_xlpm.기본_색인번호, 7,
_xlpm.추가_색인번호, 8,
_xlpm.개별보정치, Y263,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63" s="27" cm="1">
        <f t="array" ref="AG263">_xlfn.LET(_xlpm.기본_색인번호, 8,
_xlpm.추가_색인번호, 9,
_xlpm.개별보정치, Z263,
_xlpm.패턴보정치, VLOOKUP($G263, Factor!$B$5:$I$51, _xlpm.기본_색인번호, 0),
_xlpm.소모탄환보정치, VLOOKUP($H263, Factor!$T$5:$AA$51, _xlpm.기본_색인번호, 0),
_xlpm.지형보정치, VLOOKUP($I263, Factor!$K$12:$R$13, _xlpm.기본_색인번호, 0),
_xlpm.공격속성보정치, VLOOKUP($J263, Factor!$K$5:$R$7, _xlpm.기본_색인번호, 0),
_xlpm.피해범위보정치, INDEX(Factor!$AN$5:$AV$51, _xlfn.XMATCH(IF(OR($G263="blast", $G263="curved",  $G263= "debuff"), $L263, 0), Factor!$AN$5:$AN$51, -1), _xlpm.추가_색인번호)-IF(AND(OR($G263="blast", $G263="curved", $G263= "debuff"), MOD($L263,1)&lt;&gt;0),INDEX(Factor!$AN$5:$AV$51, _xlfn.XMATCH(IF(OR($G263="blast", $G263="curved", $G263= "debuff"), $L263, 0), Factor!$AN$5:$AN$51, -1), 2)*MOD($L263,1)*10,0),
_xlpm.상태이상보정치, VLOOKUP(IF($G263 = "debuff", $M263, "null"), Factor!$AX$5:$BE$51, _xlpm.기본_색인번호, 0),
_xlpm.지속시간보정치, INDEX(Factor!$BG$5:$BO$51, _xlfn.XMATCH(IF(OR($G263 ="debuff", $G263 = "shot", $G263 = "pierce"), $O263, 0), Factor!$BG$5:$BG$51, -1), _xlpm.추가_색인번호)-IF(AND(OR($G263 ="debuff", $G263 = "shot", $G263 = "pierce"), MOD($O263, 1)&lt;&gt;0), 10*MOD($O263, 1)*INDEX(Factor!$BG$5:$BO$51, _xlfn.XMATCH(IF(OR($G263 ="debuff", $G263 = "shot", $G263 = "pierce"), $O263, 0), Factor!$BG$5:$BG$51, -1), 2), 0),
_xlpm.탄환개수보정치, VLOOKUP(IF(OR($G263 = "curved", $G263 = "shot"), $Q263, 1), Factor!$BQ$5:$BX$51, _xlpm.기본_색인번호, 0),
_xlpm.상태이상탄환생성위치보정치, IF($G263 = "debuff", VLOOKUP($R263, Factor!$K$18:$R$19, _xlpm.기본_색인번호, 0),1),
_xlpm.상태이상탄환형태보정치, IF($G263 = "debuff", VLOOKUP($S263, Factor!$K$24:$R$25, _xlpm.기본_색인번호, 0),1),
_xlpm.가격보정치, INDEX(Factor!$AE$5:$AL$51, _xlfn.XMATCH($F263,Factor!$AE$5:$AE$51, -1), _xlpm.기본_색인번호),
_xlpm.구경보정치, VLOOKUP($D263,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</v>
      </c>
    </row>
    <row r="264" spans="1:33" ht="15.75" customHeight="1">
      <c r="A264" s="28" t="str">
        <f>"weapon_"&amp;G264&amp;"_"&amp;VLOOKUP(H264, Factor!$T$5:$AB$7, 9, 0)&amp;"_"&amp;IF(COUNTIFS($G$4:G263, G264, $H$4:H263, H264)+1&gt;=100, COUNTIFS($G$4:G263, G264, $H$4:H263, H264)+1,IF(COUNTIFS($G$4:G263, G264, $H$4:H263, H264)+1&gt;=10, "0"&amp;COUNTIFS($G$4:G263, G264, $H$4:H263, H264)+1, "00"&amp;COUNTIFS($G$4:G263, G264, $H$4:H263, H264)+1))</f>
        <v>weapon_shot_Am_084</v>
      </c>
      <c r="B264" s="37" t="str">
        <f t="shared" si="4"/>
        <v>T9 20mm쌍열 대공포</v>
      </c>
      <c r="C264" s="37" t="s">
        <v>256</v>
      </c>
      <c r="D264" s="37" t="s">
        <v>244</v>
      </c>
      <c r="E264" s="37" t="s">
        <v>281</v>
      </c>
      <c r="F264" s="29">
        <f>VLOOKUP(C264, Factor!$AD$5:$AE$15, 2, 0)</f>
        <v>9000</v>
      </c>
      <c r="G264" s="29" t="str">
        <f>VLOOKUP(E264, Factor!$CL$5:$CV$50, 2, 0)</f>
        <v>shot</v>
      </c>
      <c r="H264" s="29" t="str">
        <f>VLOOKUP(E264, Factor!$CL$5:$CV$50, 3, 0)</f>
        <v>ammo</v>
      </c>
      <c r="I264" s="29" t="str">
        <f>VLOOKUP(E264, Factor!$CL$5:$CV$50, 4, 0)</f>
        <v>F</v>
      </c>
      <c r="J264" s="29" t="str">
        <f>VLOOKUP(E264, Factor!$CL$5:$CV$50, 5, 0)</f>
        <v>spread</v>
      </c>
      <c r="K264" s="29">
        <v>1</v>
      </c>
      <c r="L264" s="29">
        <f>VLOOKUP(E264, Factor!$CL$5:$CV$50, 6, 0)*K264*VLOOKUP(D264, Factor!$BZ$5:$CJ$49, 9, 0)</f>
        <v>0</v>
      </c>
      <c r="M264" s="29" t="str">
        <f>VLOOKUP(E264, Factor!$CL$5:$CV$50, 7, 0)</f>
        <v>null</v>
      </c>
      <c r="N264" s="29">
        <v>1</v>
      </c>
      <c r="O264" s="29">
        <f>VLOOKUP(E264, Factor!$CL$5:$CV$50, 8, 0)*N264*VLOOKUP(D264, Factor!$BZ$5:$CJ$49, 10, 0)</f>
        <v>15</v>
      </c>
      <c r="P264" s="29">
        <v>1</v>
      </c>
      <c r="Q264" s="29">
        <f>VLOOKUP(E264, Factor!$CL$5:$CV$50, 9, 0)*P264*VLOOKUP(D264, Factor!$BZ$5:$CJ$49, 11, 0)</f>
        <v>5</v>
      </c>
      <c r="R264" s="29" t="str">
        <f>VLOOKUP(E264, Factor!$CL$5:$CV$50, 10, 0)</f>
        <v>null</v>
      </c>
      <c r="S264" s="29" t="str">
        <f>VLOOKUP(E264, Factor!$CL$5:$CV$50, 11, 0)</f>
        <v>null</v>
      </c>
      <c r="T264" s="29">
        <v>1</v>
      </c>
      <c r="U264" s="29">
        <v>1</v>
      </c>
      <c r="V264" s="29">
        <v>1</v>
      </c>
      <c r="W264" s="29">
        <v>1</v>
      </c>
      <c r="X264" s="29">
        <v>1</v>
      </c>
      <c r="Y264" s="29">
        <v>1</v>
      </c>
      <c r="Z264" s="29">
        <v>1</v>
      </c>
      <c r="AA264" s="29" cm="1">
        <f t="array" ref="AA264">_xlfn.LET(_xlpm.기본_색인번호, 2,
_xlpm.추가_색인번호, 3,
_xlpm.개별보정치, T264,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10000</v>
      </c>
      <c r="AB264" s="29" cm="1">
        <f t="array" ref="AB264">_xlfn.LET(_xlpm.기본_색인번호, 3,
_xlpm.추가_색인번호, 4,
_xlpm.개별보정치, U264,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</v>
      </c>
      <c r="AC264" s="29" cm="1">
        <f t="array" ref="AC264">_xlfn.LET(_xlpm.기본_색인번호, 4,
_xlpm.추가_색인번호, 5,
_xlpm.개별보정치, V264,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64" s="29" cm="1">
        <f t="array" ref="AD264">_xlfn.LET(_xlpm.기본_색인번호, 5,
_xlpm.추가_색인번호, 6,
_xlpm.개별보정치, W264,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E264" s="29" cm="1">
        <f t="array" ref="AE264">_xlfn.LET(_xlpm.기본_색인번호, 6,
_xlpm.추가_색인번호, 7,
_xlpm.개별보정치, X264,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F264" s="29" cm="1">
        <f t="array" ref="AF264">_xlfn.LET(_xlpm.기본_색인번호, 7,
_xlpm.추가_색인번호, 8,
_xlpm.개별보정치, Y264,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64" s="30" cm="1">
        <f t="array" ref="AG264">_xlfn.LET(_xlpm.기본_색인번호, 8,
_xlpm.추가_색인번호, 9,
_xlpm.개별보정치, Z264,
_xlpm.패턴보정치, VLOOKUP($G264, Factor!$B$5:$I$51, _xlpm.기본_색인번호, 0),
_xlpm.소모탄환보정치, VLOOKUP($H264, Factor!$T$5:$AA$51, _xlpm.기본_색인번호, 0),
_xlpm.지형보정치, VLOOKUP($I264, Factor!$K$12:$R$13, _xlpm.기본_색인번호, 0),
_xlpm.공격속성보정치, VLOOKUP($J264, Factor!$K$5:$R$7, _xlpm.기본_색인번호, 0),
_xlpm.피해범위보정치, INDEX(Factor!$AN$5:$AV$51, _xlfn.XMATCH(IF(OR($G264="blast", $G264="curved",  $G264= "debuff"), $L264, 0), Factor!$AN$5:$AN$51, -1), _xlpm.추가_색인번호)-IF(AND(OR($G264="blast", $G264="curved", $G264= "debuff"), MOD($L264,1)&lt;&gt;0),INDEX(Factor!$AN$5:$AV$51, _xlfn.XMATCH(IF(OR($G264="blast", $G264="curved", $G264= "debuff"), $L264, 0), Factor!$AN$5:$AN$51, -1), 2)*MOD($L264,1)*10,0),
_xlpm.상태이상보정치, VLOOKUP(IF($G264 = "debuff", $M264, "null"), Factor!$AX$5:$BE$51, _xlpm.기본_색인번호, 0),
_xlpm.지속시간보정치, INDEX(Factor!$BG$5:$BO$51, _xlfn.XMATCH(IF(OR($G264 ="debuff", $G264 = "shot", $G264 = "pierce"), $O264, 0), Factor!$BG$5:$BG$51, -1), _xlpm.추가_색인번호)-IF(AND(OR($G264 ="debuff", $G264 = "shot", $G264 = "pierce"), MOD($O264, 1)&lt;&gt;0), 10*MOD($O264, 1)*INDEX(Factor!$BG$5:$BO$51, _xlfn.XMATCH(IF(OR($G264 ="debuff", $G264 = "shot", $G264 = "pierce"), $O264, 0), Factor!$BG$5:$BG$51, -1), 2), 0),
_xlpm.탄환개수보정치, VLOOKUP(IF(OR($G264 = "curved", $G264 = "shot"), $Q264, 1), Factor!$BQ$5:$BX$51, _xlpm.기본_색인번호, 0),
_xlpm.상태이상탄환생성위치보정치, IF($G264 = "debuff", VLOOKUP($R264, Factor!$K$18:$R$19, _xlpm.기본_색인번호, 0),1),
_xlpm.상태이상탄환형태보정치, IF($G264 = "debuff", VLOOKUP($S264, Factor!$K$24:$R$25, _xlpm.기본_색인번호, 0),1),
_xlpm.가격보정치, INDEX(Factor!$AE$5:$AL$51, _xlfn.XMATCH($F264,Factor!$AE$5:$AE$51, -1), _xlpm.기본_색인번호),
_xlpm.구경보정치, VLOOKUP($D264,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</row>
    <row r="265" spans="1:33" ht="15.75" customHeight="1">
      <c r="A265" s="24" t="str">
        <f>"weapon_"&amp;G265&amp;"_"&amp;VLOOKUP(H265, Factor!$T$5:$AB$7, 9, 0)&amp;"_"&amp;IF(COUNTIFS($G$4:G264, G265, $H$4:H264, H265)+1&gt;=100, COUNTIFS($G$4:G264, G265, $H$4:H264, H265)+1,IF(COUNTIFS($G$4:G264, G265, $H$4:H264, H265)+1&gt;=10, "0"&amp;COUNTIFS($G$4:G264, G265, $H$4:H264, H265)+1, "00"&amp;COUNTIFS($G$4:G264, G265, $H$4:H264, H265)+1))</f>
        <v>weapon_shot_Am_085</v>
      </c>
      <c r="B265" s="36" t="str">
        <f t="shared" si="4"/>
        <v>T10 5.56mm쌍열 대공포</v>
      </c>
      <c r="C265" s="36" t="s">
        <v>268</v>
      </c>
      <c r="D265" s="36" t="s">
        <v>241</v>
      </c>
      <c r="E265" s="36" t="s">
        <v>281</v>
      </c>
      <c r="F265" s="25">
        <f>VLOOKUP(C265, Factor!$AD$5:$AE$15, 2, 0)</f>
        <v>10000</v>
      </c>
      <c r="G265" s="26" t="str">
        <f>VLOOKUP(E265, Factor!$CL$5:$CV$50, 2, 0)</f>
        <v>shot</v>
      </c>
      <c r="H265" s="25" t="str">
        <f>VLOOKUP(E265, Factor!$CL$5:$CV$50, 3, 0)</f>
        <v>ammo</v>
      </c>
      <c r="I265" s="25" t="str">
        <f>VLOOKUP(E265, Factor!$CL$5:$CV$50, 4, 0)</f>
        <v>F</v>
      </c>
      <c r="J265" s="25" t="str">
        <f>VLOOKUP(E265, Factor!$CL$5:$CV$50, 5, 0)</f>
        <v>spread</v>
      </c>
      <c r="K265" s="25">
        <v>1</v>
      </c>
      <c r="L265" s="25">
        <f>VLOOKUP(E265, Factor!$CL$5:$CV$50, 6, 0)*K265*VLOOKUP(D265, Factor!$BZ$5:$CJ$49, 9, 0)</f>
        <v>0</v>
      </c>
      <c r="M265" s="25" t="str">
        <f>VLOOKUP(E265, Factor!$CL$5:$CV$50, 7, 0)</f>
        <v>null</v>
      </c>
      <c r="N265" s="25">
        <v>1</v>
      </c>
      <c r="O265" s="25">
        <f>VLOOKUP(E265, Factor!$CL$5:$CV$50, 8, 0)*N265*VLOOKUP(D265, Factor!$BZ$5:$CJ$49, 10, 0)</f>
        <v>6</v>
      </c>
      <c r="P265" s="25">
        <v>1</v>
      </c>
      <c r="Q265" s="25">
        <f>VLOOKUP(E265, Factor!$CL$5:$CV$50, 9, 0)*P265*VLOOKUP(D265, Factor!$BZ$5:$CJ$49, 11, 0)</f>
        <v>2</v>
      </c>
      <c r="R265" s="25" t="str">
        <f>VLOOKUP(E265, Factor!$CL$5:$CV$50, 10, 0)</f>
        <v>null</v>
      </c>
      <c r="S265" s="25" t="str">
        <f>VLOOKUP(E265, Factor!$CL$5:$CV$50, 11, 0)</f>
        <v>null</v>
      </c>
      <c r="T265" s="25">
        <v>1</v>
      </c>
      <c r="U265" s="25">
        <v>1</v>
      </c>
      <c r="V265" s="25">
        <v>1</v>
      </c>
      <c r="W265" s="25">
        <v>1</v>
      </c>
      <c r="X265" s="25">
        <v>1</v>
      </c>
      <c r="Y265" s="25">
        <v>1</v>
      </c>
      <c r="Z265" s="25">
        <v>1</v>
      </c>
      <c r="AA265" s="25" cm="1">
        <f t="array" ref="AA265">_xlfn.LET(_xlpm.기본_색인번호, 2,
_xlpm.추가_색인번호, 3,
_xlpm.개별보정치, T265,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2640</v>
      </c>
      <c r="AB265" s="25" cm="1">
        <f t="array" ref="AB265">_xlfn.LET(_xlpm.기본_색인번호, 3,
_xlpm.추가_색인번호, 4,
_xlpm.개별보정치, U265,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100.79999999999998</v>
      </c>
      <c r="AC265" s="25" cm="1">
        <f t="array" ref="AC265">_xlfn.LET(_xlpm.기본_색인번호, 4,
_xlpm.추가_색인번호, 5,
_xlpm.개별보정치, V265,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14.399999999999999</v>
      </c>
      <c r="AD265" s="25" cm="1">
        <f t="array" ref="AD265">_xlfn.LET(_xlpm.기본_색인번호, 5,
_xlpm.추가_색인번호, 6,
_xlpm.개별보정치, W265,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158.39999999999998</v>
      </c>
      <c r="AE265" s="25" cm="1">
        <f t="array" ref="AE265">_xlfn.LET(_xlpm.기본_색인번호, 6,
_xlpm.추가_색인번호, 7,
_xlpm.개별보정치, X265,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158.39999999999998</v>
      </c>
      <c r="AF265" s="25" cm="1">
        <f t="array" ref="AF265">_xlfn.LET(_xlpm.기본_색인번호, 7,
_xlpm.추가_색인번호, 8,
_xlpm.개별보정치, Y265,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1727.9999999999998</v>
      </c>
      <c r="AG265" s="27" cm="1">
        <f t="array" ref="AG265">_xlfn.LET(_xlpm.기본_색인번호, 8,
_xlpm.추가_색인번호, 9,
_xlpm.개별보정치, Z265,
_xlpm.패턴보정치, VLOOKUP($G265, Factor!$B$5:$I$51, _xlpm.기본_색인번호, 0),
_xlpm.소모탄환보정치, VLOOKUP($H265, Factor!$T$5:$AA$51, _xlpm.기본_색인번호, 0),
_xlpm.지형보정치, VLOOKUP($I265, Factor!$K$12:$R$13, _xlpm.기본_색인번호, 0),
_xlpm.공격속성보정치, VLOOKUP($J265, Factor!$K$5:$R$7, _xlpm.기본_색인번호, 0),
_xlpm.피해범위보정치, INDEX(Factor!$AN$5:$AV$51, _xlfn.XMATCH(IF(OR($G265="blast", $G265="curved",  $G265= "debuff"), $L265, 0), Factor!$AN$5:$AN$51, -1), _xlpm.추가_색인번호)-IF(AND(OR($G265="blast", $G265="curved", $G265= "debuff"), MOD($L265,1)&lt;&gt;0),INDEX(Factor!$AN$5:$AV$51, _xlfn.XMATCH(IF(OR($G265="blast", $G265="curved", $G265= "debuff"), $L265, 0), Factor!$AN$5:$AN$51, -1), 2)*MOD($L265,1)*10,0),
_xlpm.상태이상보정치, VLOOKUP(IF($G265 = "debuff", $M265, "null"), Factor!$AX$5:$BE$51, _xlpm.기본_색인번호, 0),
_xlpm.지속시간보정치, INDEX(Factor!$BG$5:$BO$51, _xlfn.XMATCH(IF(OR($G265 ="debuff", $G265 = "shot", $G265 = "pierce"), $O265, 0), Factor!$BG$5:$BG$51, -1), _xlpm.추가_색인번호)-IF(AND(OR($G265 ="debuff", $G265 = "shot", $G265 = "pierce"), MOD($O265, 1)&lt;&gt;0), 10*MOD($O265, 1)*INDEX(Factor!$BG$5:$BO$51, _xlfn.XMATCH(IF(OR($G265 ="debuff", $G265 = "shot", $G265 = "pierce"), $O265, 0), Factor!$BG$5:$BG$51, -1), 2), 0),
_xlpm.탄환개수보정치, VLOOKUP(IF(OR($G265 = "curved", $G265 = "shot"), $Q265, 1), Factor!$BQ$5:$BX$51, _xlpm.기본_색인번호, 0),
_xlpm.상태이상탄환생성위치보정치, IF($G265 = "debuff", VLOOKUP($R265, Factor!$K$18:$R$19, _xlpm.기본_색인번호, 0),1),
_xlpm.상태이상탄환형태보정치, IF($G265 = "debuff", VLOOKUP($S265, Factor!$K$24:$R$25, _xlpm.기본_색인번호, 0),1),
_xlpm.가격보정치, INDEX(Factor!$AE$5:$AL$51, _xlfn.XMATCH($F265,Factor!$AE$5:$AE$51, -1), _xlpm.기본_색인번호),
_xlpm.구경보정치, VLOOKUP($D265,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158.39999999999998</v>
      </c>
    </row>
    <row r="266" spans="1:33" ht="15.75" customHeight="1">
      <c r="A266" s="28" t="str">
        <f>"weapon_"&amp;G266&amp;"_"&amp;VLOOKUP(H266, Factor!$T$5:$AB$7, 9, 0)&amp;"_"&amp;IF(COUNTIFS($G$4:G265, G266, $H$4:H265, H266)+1&gt;=100, COUNTIFS($G$4:G265, G266, $H$4:H265, H266)+1,IF(COUNTIFS($G$4:G265, G266, $H$4:H265, H266)+1&gt;=10, "0"&amp;COUNTIFS($G$4:G265, G266, $H$4:H265, H266)+1, "00"&amp;COUNTIFS($G$4:G265, G266, $H$4:H265, H266)+1))</f>
        <v>weapon_shot_Am_086</v>
      </c>
      <c r="B266" s="37" t="str">
        <f t="shared" si="4"/>
        <v>T10 7.62mm쌍열 대공포</v>
      </c>
      <c r="C266" s="37" t="s">
        <v>268</v>
      </c>
      <c r="D266" s="37" t="s">
        <v>242</v>
      </c>
      <c r="E266" s="37" t="s">
        <v>281</v>
      </c>
      <c r="F266" s="29">
        <f>VLOOKUP(C266, Factor!$AD$5:$AE$15, 2, 0)</f>
        <v>10000</v>
      </c>
      <c r="G266" s="29" t="str">
        <f>VLOOKUP(E266, Factor!$CL$5:$CV$50, 2, 0)</f>
        <v>shot</v>
      </c>
      <c r="H266" s="29" t="str">
        <f>VLOOKUP(E266, Factor!$CL$5:$CV$50, 3, 0)</f>
        <v>ammo</v>
      </c>
      <c r="I266" s="29" t="str">
        <f>VLOOKUP(E266, Factor!$CL$5:$CV$50, 4, 0)</f>
        <v>F</v>
      </c>
      <c r="J266" s="29" t="str">
        <f>VLOOKUP(E266, Factor!$CL$5:$CV$50, 5, 0)</f>
        <v>spread</v>
      </c>
      <c r="K266" s="29">
        <v>1</v>
      </c>
      <c r="L266" s="29">
        <f>VLOOKUP(E266, Factor!$CL$5:$CV$50, 6, 0)*K266*VLOOKUP(D266, Factor!$BZ$5:$CJ$49, 9, 0)</f>
        <v>0</v>
      </c>
      <c r="M266" s="29" t="str">
        <f>VLOOKUP(E266, Factor!$CL$5:$CV$50, 7, 0)</f>
        <v>null</v>
      </c>
      <c r="N266" s="29">
        <v>1</v>
      </c>
      <c r="O266" s="29">
        <f>VLOOKUP(E266, Factor!$CL$5:$CV$50, 8, 0)*N266*VLOOKUP(D266, Factor!$BZ$5:$CJ$49, 10, 0)</f>
        <v>9</v>
      </c>
      <c r="P266" s="29">
        <v>1</v>
      </c>
      <c r="Q266" s="29">
        <f>VLOOKUP(E266, Factor!$CL$5:$CV$50, 9, 0)*P266*VLOOKUP(D266, Factor!$BZ$5:$CJ$49, 11, 0)</f>
        <v>3</v>
      </c>
      <c r="R266" s="29" t="str">
        <f>VLOOKUP(E266, Factor!$CL$5:$CV$50, 10, 0)</f>
        <v>null</v>
      </c>
      <c r="S266" s="29" t="str">
        <f>VLOOKUP(E266, Factor!$CL$5:$CV$50, 11, 0)</f>
        <v>null</v>
      </c>
      <c r="T266" s="29">
        <v>1</v>
      </c>
      <c r="U266" s="29">
        <v>1</v>
      </c>
      <c r="V266" s="29">
        <v>1</v>
      </c>
      <c r="W266" s="29">
        <v>1</v>
      </c>
      <c r="X266" s="29">
        <v>1</v>
      </c>
      <c r="Y266" s="29">
        <v>1</v>
      </c>
      <c r="Z266" s="29">
        <v>1</v>
      </c>
      <c r="AA266" s="29" cm="1">
        <f t="array" ref="AA266">_xlfn.LET(_xlpm.기본_색인번호, 2,
_xlpm.추가_색인번호, 3,
_xlpm.개별보정치, T266,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5940</v>
      </c>
      <c r="AB266" s="29" cm="1">
        <f t="array" ref="AB266">_xlfn.LET(_xlpm.기본_색인번호, 3,
_xlpm.추가_색인번호, 4,
_xlpm.개별보정치, U266,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226.79999999999998</v>
      </c>
      <c r="AC266" s="29" cm="1">
        <f t="array" ref="AC266">_xlfn.LET(_xlpm.기본_색인번호, 4,
_xlpm.추가_색인번호, 5,
_xlpm.개별보정치, V266,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32.4</v>
      </c>
      <c r="AD266" s="29" cm="1">
        <f t="array" ref="AD266">_xlfn.LET(_xlpm.기본_색인번호, 5,
_xlpm.추가_색인번호, 6,
_xlpm.개별보정치, W266,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356.4</v>
      </c>
      <c r="AE266" s="29" cm="1">
        <f t="array" ref="AE266">_xlfn.LET(_xlpm.기본_색인번호, 6,
_xlpm.추가_색인번호, 7,
_xlpm.개별보정치, X266,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356.4</v>
      </c>
      <c r="AF266" s="29" cm="1">
        <f t="array" ref="AF266">_xlfn.LET(_xlpm.기본_색인번호, 7,
_xlpm.추가_색인번호, 8,
_xlpm.개별보정치, Y266,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3888</v>
      </c>
      <c r="AG266" s="30" cm="1">
        <f t="array" ref="AG266">_xlfn.LET(_xlpm.기본_색인번호, 8,
_xlpm.추가_색인번호, 9,
_xlpm.개별보정치, Z266,
_xlpm.패턴보정치, VLOOKUP($G266, Factor!$B$5:$I$51, _xlpm.기본_색인번호, 0),
_xlpm.소모탄환보정치, VLOOKUP($H266, Factor!$T$5:$AA$51, _xlpm.기본_색인번호, 0),
_xlpm.지형보정치, VLOOKUP($I266, Factor!$K$12:$R$13, _xlpm.기본_색인번호, 0),
_xlpm.공격속성보정치, VLOOKUP($J266, Factor!$K$5:$R$7, _xlpm.기본_색인번호, 0),
_xlpm.피해범위보정치, INDEX(Factor!$AN$5:$AV$51, _xlfn.XMATCH(IF(OR($G266="blast", $G266="curved",  $G266= "debuff"), $L266, 0), Factor!$AN$5:$AN$51, -1), _xlpm.추가_색인번호)-IF(AND(OR($G266="blast", $G266="curved", $G266= "debuff"), MOD($L266,1)&lt;&gt;0),INDEX(Factor!$AN$5:$AV$51, _xlfn.XMATCH(IF(OR($G266="blast", $G266="curved", $G266= "debuff"), $L266, 0), Factor!$AN$5:$AN$51, -1), 2)*MOD($L266,1)*10,0),
_xlpm.상태이상보정치, VLOOKUP(IF($G266 = "debuff", $M266, "null"), Factor!$AX$5:$BE$51, _xlpm.기본_색인번호, 0),
_xlpm.지속시간보정치, INDEX(Factor!$BG$5:$BO$51, _xlfn.XMATCH(IF(OR($G266 ="debuff", $G266 = "shot", $G266 = "pierce"), $O266, 0), Factor!$BG$5:$BG$51, -1), _xlpm.추가_색인번호)-IF(AND(OR($G266 ="debuff", $G266 = "shot", $G266 = "pierce"), MOD($O266, 1)&lt;&gt;0), 10*MOD($O266, 1)*INDEX(Factor!$BG$5:$BO$51, _xlfn.XMATCH(IF(OR($G266 ="debuff", $G266 = "shot", $G266 = "pierce"), $O266, 0), Factor!$BG$5:$BG$51, -1), 2), 0),
_xlpm.탄환개수보정치, VLOOKUP(IF(OR($G266 = "curved", $G266 = "shot"), $Q266, 1), Factor!$BQ$5:$BX$51, _xlpm.기본_색인번호, 0),
_xlpm.상태이상탄환생성위치보정치, IF($G266 = "debuff", VLOOKUP($R266, Factor!$K$18:$R$19, _xlpm.기본_색인번호, 0),1),
_xlpm.상태이상탄환형태보정치, IF($G266 = "debuff", VLOOKUP($S266, Factor!$K$24:$R$25, _xlpm.기본_색인번호, 0),1),
_xlpm.가격보정치, INDEX(Factor!$AE$5:$AL$51, _xlfn.XMATCH($F266,Factor!$AE$5:$AE$51, -1), _xlpm.기본_색인번호),
_xlpm.구경보정치, VLOOKUP($D266,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356.4</v>
      </c>
    </row>
    <row r="267" spans="1:33" ht="15.75" customHeight="1">
      <c r="A267" s="24" t="str">
        <f>"weapon_"&amp;G267&amp;"_"&amp;VLOOKUP(H267, Factor!$T$5:$AB$7, 9, 0)&amp;"_"&amp;IF(COUNTIFS($G$4:G266, G267, $H$4:H266, H267)+1&gt;=100, COUNTIFS($G$4:G266, G267, $H$4:H266, H267)+1,IF(COUNTIFS($G$4:G266, G267, $H$4:H266, H267)+1&gt;=10, "0"&amp;COUNTIFS($G$4:G266, G267, $H$4:H266, H267)+1, "00"&amp;COUNTIFS($G$4:G266, G267, $H$4:H266, H267)+1))</f>
        <v>weapon_shot_Am_087</v>
      </c>
      <c r="B267" s="36" t="str">
        <f t="shared" si="4"/>
        <v>T10 12.7mm쌍열 대공포</v>
      </c>
      <c r="C267" s="36" t="s">
        <v>268</v>
      </c>
      <c r="D267" s="36" t="s">
        <v>243</v>
      </c>
      <c r="E267" s="36" t="s">
        <v>281</v>
      </c>
      <c r="F267" s="25">
        <f>VLOOKUP(C267, Factor!$AD$5:$AE$15, 2, 0)</f>
        <v>10000</v>
      </c>
      <c r="G267" s="26" t="str">
        <f>VLOOKUP(E267, Factor!$CL$5:$CV$50, 2, 0)</f>
        <v>shot</v>
      </c>
      <c r="H267" s="25" t="str">
        <f>VLOOKUP(E267, Factor!$CL$5:$CV$50, 3, 0)</f>
        <v>ammo</v>
      </c>
      <c r="I267" s="25" t="str">
        <f>VLOOKUP(E267, Factor!$CL$5:$CV$50, 4, 0)</f>
        <v>F</v>
      </c>
      <c r="J267" s="25" t="str">
        <f>VLOOKUP(E267, Factor!$CL$5:$CV$50, 5, 0)</f>
        <v>spread</v>
      </c>
      <c r="K267" s="25">
        <v>1</v>
      </c>
      <c r="L267" s="25">
        <f>VLOOKUP(E267, Factor!$CL$5:$CV$50, 6, 0)*K267*VLOOKUP(D267, Factor!$BZ$5:$CJ$49, 9, 0)</f>
        <v>0</v>
      </c>
      <c r="M267" s="25" t="str">
        <f>VLOOKUP(E267, Factor!$CL$5:$CV$50, 7, 0)</f>
        <v>null</v>
      </c>
      <c r="N267" s="25">
        <v>1</v>
      </c>
      <c r="O267" s="25">
        <f>VLOOKUP(E267, Factor!$CL$5:$CV$50, 8, 0)*N267*VLOOKUP(D267, Factor!$BZ$5:$CJ$49, 10, 0)</f>
        <v>12</v>
      </c>
      <c r="P267" s="25">
        <v>1</v>
      </c>
      <c r="Q267" s="25">
        <f>VLOOKUP(E267, Factor!$CL$5:$CV$50, 9, 0)*P267*VLOOKUP(D267, Factor!$BZ$5:$CJ$49, 11, 0)</f>
        <v>4</v>
      </c>
      <c r="R267" s="25" t="str">
        <f>VLOOKUP(E267, Factor!$CL$5:$CV$50, 10, 0)</f>
        <v>null</v>
      </c>
      <c r="S267" s="25" t="str">
        <f>VLOOKUP(E267, Factor!$CL$5:$CV$50, 11, 0)</f>
        <v>null</v>
      </c>
      <c r="T267" s="25">
        <v>1</v>
      </c>
      <c r="U267" s="25">
        <v>1</v>
      </c>
      <c r="V267" s="25">
        <v>1</v>
      </c>
      <c r="W267" s="25">
        <v>1</v>
      </c>
      <c r="X267" s="25">
        <v>1</v>
      </c>
      <c r="Y267" s="25">
        <v>1</v>
      </c>
      <c r="Z267" s="25">
        <v>1</v>
      </c>
      <c r="AA267" s="25" cm="1">
        <f t="array" ref="AA267">_xlfn.LET(_xlpm.기본_색인번호, 2,
_xlpm.추가_색인번호, 3,
_xlpm.개별보정치, T267,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8800</v>
      </c>
      <c r="AB267" s="25" cm="1">
        <f t="array" ref="AB267">_xlfn.LET(_xlpm.기본_색인번호, 3,
_xlpm.추가_색인번호, 4,
_xlpm.개별보정치, U267,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C267" s="25" cm="1">
        <f t="array" ref="AC267">_xlfn.LET(_xlpm.기본_색인번호, 4,
_xlpm.추가_색인번호, 5,
_xlpm.개별보정치, V267,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</v>
      </c>
      <c r="AD267" s="25" cm="1">
        <f t="array" ref="AD267">_xlfn.LET(_xlpm.기본_색인번호, 5,
_xlpm.추가_색인번호, 6,
_xlpm.개별보정치, W267,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528</v>
      </c>
      <c r="AE267" s="25" cm="1">
        <f t="array" ref="AE267">_xlfn.LET(_xlpm.기본_색인번호, 6,
_xlpm.추가_색인번호, 7,
_xlpm.개별보정치, X267,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528</v>
      </c>
      <c r="AF267" s="25" cm="1">
        <f t="array" ref="AF267">_xlfn.LET(_xlpm.기본_색인번호, 7,
_xlpm.추가_색인번호, 8,
_xlpm.개별보정치, Y267,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</v>
      </c>
      <c r="AG267" s="27" cm="1">
        <f t="array" ref="AG267">_xlfn.LET(_xlpm.기본_색인번호, 8,
_xlpm.추가_색인번호, 9,
_xlpm.개별보정치, Z267,
_xlpm.패턴보정치, VLOOKUP($G267, Factor!$B$5:$I$51, _xlpm.기본_색인번호, 0),
_xlpm.소모탄환보정치, VLOOKUP($H267, Factor!$T$5:$AA$51, _xlpm.기본_색인번호, 0),
_xlpm.지형보정치, VLOOKUP($I267, Factor!$K$12:$R$13, _xlpm.기본_색인번호, 0),
_xlpm.공격속성보정치, VLOOKUP($J267, Factor!$K$5:$R$7, _xlpm.기본_색인번호, 0),
_xlpm.피해범위보정치, INDEX(Factor!$AN$5:$AV$51, _xlfn.XMATCH(IF(OR($G267="blast", $G267="curved",  $G267= "debuff"), $L267, 0), Factor!$AN$5:$AN$51, -1), _xlpm.추가_색인번호)-IF(AND(OR($G267="blast", $G267="curved", $G267= "debuff"), MOD($L267,1)&lt;&gt;0),INDEX(Factor!$AN$5:$AV$51, _xlfn.XMATCH(IF(OR($G267="blast", $G267="curved", $G267= "debuff"), $L267, 0), Factor!$AN$5:$AN$51, -1), 2)*MOD($L267,1)*10,0),
_xlpm.상태이상보정치, VLOOKUP(IF($G267 = "debuff", $M267, "null"), Factor!$AX$5:$BE$51, _xlpm.기본_색인번호, 0),
_xlpm.지속시간보정치, INDEX(Factor!$BG$5:$BO$51, _xlfn.XMATCH(IF(OR($G267 ="debuff", $G267 = "shot", $G267 = "pierce"), $O267, 0), Factor!$BG$5:$BG$51, -1), _xlpm.추가_색인번호)-IF(AND(OR($G267 ="debuff", $G267 = "shot", $G267 = "pierce"), MOD($O267, 1)&lt;&gt;0), 10*MOD($O267, 1)*INDEX(Factor!$BG$5:$BO$51, _xlfn.XMATCH(IF(OR($G267 ="debuff", $G267 = "shot", $G267 = "pierce"), $O267, 0), Factor!$BG$5:$BG$51, -1), 2), 0),
_xlpm.탄환개수보정치, VLOOKUP(IF(OR($G267 = "curved", $G267 = "shot"), $Q267, 1), Factor!$BQ$5:$BX$51, _xlpm.기본_색인번호, 0),
_xlpm.상태이상탄환생성위치보정치, IF($G267 = "debuff", VLOOKUP($R267, Factor!$K$18:$R$19, _xlpm.기본_색인번호, 0),1),
_xlpm.상태이상탄환형태보정치, IF($G267 = "debuff", VLOOKUP($S267, Factor!$K$24:$R$25, _xlpm.기본_색인번호, 0),1),
_xlpm.가격보정치, INDEX(Factor!$AE$5:$AL$51, _xlfn.XMATCH($F267,Factor!$AE$5:$AE$51, -1), _xlpm.기본_색인번호),
_xlpm.구경보정치, VLOOKUP($D267,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528</v>
      </c>
    </row>
    <row r="268" spans="1:33" ht="15.75" customHeight="1">
      <c r="A268" s="28" t="str">
        <f>"weapon_"&amp;G268&amp;"_"&amp;VLOOKUP(H268, Factor!$T$5:$AB$7, 9, 0)&amp;"_"&amp;IF(COUNTIFS($G$4:G267, G268, $H$4:H267, H268)+1&gt;=100, COUNTIFS($G$4:G267, G268, $H$4:H267, H268)+1,IF(COUNTIFS($G$4:G267, G268, $H$4:H267, H268)+1&gt;=10, "0"&amp;COUNTIFS($G$4:G267, G268, $H$4:H267, H268)+1, "00"&amp;COUNTIFS($G$4:G267, G268, $H$4:H267, H268)+1))</f>
        <v>weapon_shot_Am_088</v>
      </c>
      <c r="B268" s="37" t="str">
        <f t="shared" si="4"/>
        <v>T10 20mm쌍열 대공포</v>
      </c>
      <c r="C268" s="37" t="s">
        <v>268</v>
      </c>
      <c r="D268" s="37" t="s">
        <v>244</v>
      </c>
      <c r="E268" s="37" t="s">
        <v>281</v>
      </c>
      <c r="F268" s="29">
        <f>VLOOKUP(C268, Factor!$AD$5:$AE$15, 2, 0)</f>
        <v>10000</v>
      </c>
      <c r="G268" s="29" t="str">
        <f>VLOOKUP(E268, Factor!$CL$5:$CV$50, 2, 0)</f>
        <v>shot</v>
      </c>
      <c r="H268" s="29" t="str">
        <f>VLOOKUP(E268, Factor!$CL$5:$CV$50, 3, 0)</f>
        <v>ammo</v>
      </c>
      <c r="I268" s="29" t="str">
        <f>VLOOKUP(E268, Factor!$CL$5:$CV$50, 4, 0)</f>
        <v>F</v>
      </c>
      <c r="J268" s="29" t="str">
        <f>VLOOKUP(E268, Factor!$CL$5:$CV$50, 5, 0)</f>
        <v>spread</v>
      </c>
      <c r="K268" s="29">
        <v>1</v>
      </c>
      <c r="L268" s="29">
        <f>VLOOKUP(E268, Factor!$CL$5:$CV$50, 6, 0)*K268*VLOOKUP(D268, Factor!$BZ$5:$CJ$49, 9, 0)</f>
        <v>0</v>
      </c>
      <c r="M268" s="29" t="str">
        <f>VLOOKUP(E268, Factor!$CL$5:$CV$50, 7, 0)</f>
        <v>null</v>
      </c>
      <c r="N268" s="29">
        <v>1</v>
      </c>
      <c r="O268" s="29">
        <f>VLOOKUP(E268, Factor!$CL$5:$CV$50, 8, 0)*N268*VLOOKUP(D268, Factor!$BZ$5:$CJ$49, 10, 0)</f>
        <v>15</v>
      </c>
      <c r="P268" s="29">
        <v>1</v>
      </c>
      <c r="Q268" s="29">
        <f>VLOOKUP(E268, Factor!$CL$5:$CV$50, 9, 0)*P268*VLOOKUP(D268, Factor!$BZ$5:$CJ$49, 11, 0)</f>
        <v>5</v>
      </c>
      <c r="R268" s="29" t="str">
        <f>VLOOKUP(E268, Factor!$CL$5:$CV$50, 10, 0)</f>
        <v>null</v>
      </c>
      <c r="S268" s="29" t="str">
        <f>VLOOKUP(E268, Factor!$CL$5:$CV$50, 11, 0)</f>
        <v>null</v>
      </c>
      <c r="T268" s="29">
        <v>1</v>
      </c>
      <c r="U268" s="29">
        <v>1</v>
      </c>
      <c r="V268" s="29">
        <v>1</v>
      </c>
      <c r="W268" s="29">
        <v>1</v>
      </c>
      <c r="X268" s="29">
        <v>1</v>
      </c>
      <c r="Y268" s="29">
        <v>1</v>
      </c>
      <c r="Z268" s="29">
        <v>1</v>
      </c>
      <c r="AA268" s="29" cm="1">
        <f t="array" ref="AA268">_xlfn.LET(_xlpm.기본_색인번호, 2,
_xlpm.추가_색인번호, 3,
_xlpm.개별보정치, T268,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11000</v>
      </c>
      <c r="AB268" s="29" cm="1">
        <f t="array" ref="AB268">_xlfn.LET(_xlpm.기본_색인번호, 3,
_xlpm.추가_색인번호, 4,
_xlpm.개별보정치, U268,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</v>
      </c>
      <c r="AC268" s="29" cm="1">
        <f t="array" ref="AC268">_xlfn.LET(_xlpm.기본_색인번호, 4,
_xlpm.추가_색인번호, 5,
_xlpm.개별보정치, V268,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D268" s="29" cm="1">
        <f t="array" ref="AD268">_xlfn.LET(_xlpm.기본_색인번호, 5,
_xlpm.추가_색인번호, 6,
_xlpm.개별보정치, W268,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</v>
      </c>
      <c r="AE268" s="29" cm="1">
        <f t="array" ref="AE268">_xlfn.LET(_xlpm.기본_색인번호, 6,
_xlpm.추가_색인번호, 7,
_xlpm.개별보정치, X268,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</v>
      </c>
      <c r="AF268" s="29" cm="1">
        <f t="array" ref="AF268">_xlfn.LET(_xlpm.기본_색인번호, 7,
_xlpm.추가_색인번호, 8,
_xlpm.개별보정치, Y268,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G268" s="30" cm="1">
        <f t="array" ref="AG268">_xlfn.LET(_xlpm.기본_색인번호, 8,
_xlpm.추가_색인번호, 9,
_xlpm.개별보정치, Z268,
_xlpm.패턴보정치, VLOOKUP($G268, Factor!$B$5:$I$51, _xlpm.기본_색인번호, 0),
_xlpm.소모탄환보정치, VLOOKUP($H268, Factor!$T$5:$AA$51, _xlpm.기본_색인번호, 0),
_xlpm.지형보정치, VLOOKUP($I268, Factor!$K$12:$R$13, _xlpm.기본_색인번호, 0),
_xlpm.공격속성보정치, VLOOKUP($J268, Factor!$K$5:$R$7, _xlpm.기본_색인번호, 0),
_xlpm.피해범위보정치, INDEX(Factor!$AN$5:$AV$51, _xlfn.XMATCH(IF(OR($G268="blast", $G268="curved",  $G268= "debuff"), $L268, 0), Factor!$AN$5:$AN$51, -1), _xlpm.추가_색인번호)-IF(AND(OR($G268="blast", $G268="curved", $G268= "debuff"), MOD($L268,1)&lt;&gt;0),INDEX(Factor!$AN$5:$AV$51, _xlfn.XMATCH(IF(OR($G268="blast", $G268="curved", $G268= "debuff"), $L268, 0), Factor!$AN$5:$AN$51, -1), 2)*MOD($L268,1)*10,0),
_xlpm.상태이상보정치, VLOOKUP(IF($G268 = "debuff", $M268, "null"), Factor!$AX$5:$BE$51, _xlpm.기본_색인번호, 0),
_xlpm.지속시간보정치, INDEX(Factor!$BG$5:$BO$51, _xlfn.XMATCH(IF(OR($G268 ="debuff", $G268 = "shot", $G268 = "pierce"), $O268, 0), Factor!$BG$5:$BG$51, -1), _xlpm.추가_색인번호)-IF(AND(OR($G268 ="debuff", $G268 = "shot", $G268 = "pierce"), MOD($O268, 1)&lt;&gt;0), 10*MOD($O268, 1)*INDEX(Factor!$BG$5:$BO$51, _xlfn.XMATCH(IF(OR($G268 ="debuff", $G268 = "shot", $G268 = "pierce"), $O268, 0), Factor!$BG$5:$BG$51, -1), 2), 0),
_xlpm.탄환개수보정치, VLOOKUP(IF(OR($G268 = "curved", $G268 = "shot"), $Q268, 1), Factor!$BQ$5:$BX$51, _xlpm.기본_색인번호, 0),
_xlpm.상태이상탄환생성위치보정치, IF($G268 = "debuff", VLOOKUP($R268, Factor!$K$18:$R$19, _xlpm.기본_색인번호, 0),1),
_xlpm.상태이상탄환형태보정치, IF($G268 = "debuff", VLOOKUP($S268, Factor!$K$24:$R$25, _xlpm.기본_색인번호, 0),1),
_xlpm.가격보정치, INDEX(Factor!$AE$5:$AL$51, _xlfn.XMATCH($F268,Factor!$AE$5:$AE$51, -1), _xlpm.기본_색인번호),
_xlpm.구경보정치, VLOOKUP($D268,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</v>
      </c>
    </row>
    <row r="269" spans="1:33" ht="15.75" customHeight="1">
      <c r="A269" s="24" t="str">
        <f>"weapon_"&amp;G269&amp;"_"&amp;VLOOKUP(H269, Factor!$T$5:$AB$7, 9, 0)&amp;"_"&amp;IF(COUNTIFS($G$4:G268, G269, $H$4:H268, H269)+1&gt;=100, COUNTIFS($G$4:G268, G269, $H$4:H268, H269)+1,IF(COUNTIFS($G$4:G268, G269, $H$4:H268, H269)+1&gt;=10, "0"&amp;COUNTIFS($G$4:G268, G269, $H$4:H268, H269)+1, "00"&amp;COUNTIFS($G$4:G268, G269, $H$4:H268, H269)+1))</f>
        <v>weapon_curved_Sh_001</v>
      </c>
      <c r="B269" s="36" t="str">
        <f t="shared" si="4"/>
        <v>녹슨 81mm박격포탑</v>
      </c>
      <c r="C269" s="36" t="s">
        <v>240</v>
      </c>
      <c r="D269" s="36" t="s">
        <v>271</v>
      </c>
      <c r="E269" s="36" t="s">
        <v>282</v>
      </c>
      <c r="F269" s="25">
        <f>VLOOKUP(C269, Factor!$AD$5:$AE$15, 2, 0)</f>
        <v>0</v>
      </c>
      <c r="G269" s="26" t="str">
        <f>VLOOKUP(E269, Factor!$CL$5:$CV$50, 2, 0)</f>
        <v>curved</v>
      </c>
      <c r="H269" s="25" t="str">
        <f>VLOOKUP(E269, Factor!$CL$5:$CV$50, 3, 0)</f>
        <v>shell</v>
      </c>
      <c r="I269" s="25" t="str">
        <f>VLOOKUP(E269, Factor!$CL$5:$CV$50, 4, 0)</f>
        <v>L</v>
      </c>
      <c r="J269" s="25" t="str">
        <f>VLOOKUP(E269, Factor!$CL$5:$CV$50, 5, 0)</f>
        <v>spread</v>
      </c>
      <c r="K269" s="25">
        <v>1</v>
      </c>
      <c r="L269" s="25">
        <f>VLOOKUP(E269, Factor!$CL$5:$CV$50, 6, 0)*K269*VLOOKUP(D269, Factor!$BZ$5:$CJ$49, 9, 0)</f>
        <v>24</v>
      </c>
      <c r="M269" s="25" t="str">
        <f>VLOOKUP(E269, Factor!$CL$5:$CV$50, 7, 0)</f>
        <v>null</v>
      </c>
      <c r="N269" s="25">
        <v>1</v>
      </c>
      <c r="O269" s="25">
        <f>VLOOKUP(E269, Factor!$CL$5:$CV$50, 8, 0)*N269*VLOOKUP(D269, Factor!$BZ$5:$CJ$49, 10, 0)</f>
        <v>0</v>
      </c>
      <c r="P269" s="25">
        <v>1</v>
      </c>
      <c r="Q269" s="25">
        <f>VLOOKUP(E269, Factor!$CL$5:$CV$50, 9, 0)*P269*VLOOKUP(D269, Factor!$BZ$5:$CJ$49, 11, 0)</f>
        <v>8</v>
      </c>
      <c r="R269" s="25" t="str">
        <f>VLOOKUP(E269, Factor!$CL$5:$CV$50, 10, 0)</f>
        <v>null</v>
      </c>
      <c r="S269" s="25" t="str">
        <f>VLOOKUP(E269, Factor!$CL$5:$CV$50, 11, 0)</f>
        <v>null</v>
      </c>
      <c r="T269" s="25">
        <v>1</v>
      </c>
      <c r="U269" s="25">
        <v>1</v>
      </c>
      <c r="V269" s="25">
        <v>1</v>
      </c>
      <c r="W269" s="25">
        <v>1</v>
      </c>
      <c r="X269" s="25">
        <v>1</v>
      </c>
      <c r="Y269" s="25">
        <v>1</v>
      </c>
      <c r="Z269" s="25">
        <v>1</v>
      </c>
      <c r="AA269" s="25" cm="1">
        <f t="array" ref="AA269">_xlfn.LET(_xlpm.기본_색인번호, 2,
_xlpm.추가_색인번호, 3,
_xlpm.개별보정치, T269,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269" s="25" cm="1">
        <f t="array" ref="AB269">_xlfn.LET(_xlpm.기본_색인번호, 3,
_xlpm.추가_색인번호, 4,
_xlpm.개별보정치, U269,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269" s="25" cm="1">
        <f t="array" ref="AC269">_xlfn.LET(_xlpm.기본_색인번호, 4,
_xlpm.추가_색인번호, 5,
_xlpm.개별보정치, V269,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69" s="25" cm="1">
        <f t="array" ref="AD269">_xlfn.LET(_xlpm.기본_색인번호, 5,
_xlpm.추가_색인번호, 6,
_xlpm.개별보정치, W269,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E269" s="25" cm="1">
        <f t="array" ref="AE269">_xlfn.LET(_xlpm.기본_색인번호, 6,
_xlpm.추가_색인번호, 7,
_xlpm.개별보정치, X269,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F269" s="25" cm="1">
        <f t="array" ref="AF269">_xlfn.LET(_xlpm.기본_색인번호, 7,
_xlpm.추가_색인번호, 8,
_xlpm.개별보정치, Y269,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69" s="27" cm="1">
        <f t="array" ref="AG269">_xlfn.LET(_xlpm.기본_색인번호, 8,
_xlpm.추가_색인번호, 9,
_xlpm.개별보정치, Z269,
_xlpm.패턴보정치, VLOOKUP($G269, Factor!$B$5:$I$51, _xlpm.기본_색인번호, 0),
_xlpm.소모탄환보정치, VLOOKUP($H269, Factor!$T$5:$AA$51, _xlpm.기본_색인번호, 0),
_xlpm.지형보정치, VLOOKUP($I269, Factor!$K$12:$R$13, _xlpm.기본_색인번호, 0),
_xlpm.공격속성보정치, VLOOKUP($J269, Factor!$K$5:$R$7, _xlpm.기본_색인번호, 0),
_xlpm.피해범위보정치, INDEX(Factor!$AN$5:$AV$51, _xlfn.XMATCH(IF(OR($G269="blast", $G269="curved",  $G269= "debuff"), $L269, 0), Factor!$AN$5:$AN$51, -1), _xlpm.추가_색인번호)-IF(AND(OR($G269="blast", $G269="curved", $G269= "debuff"), MOD($L269,1)&lt;&gt;0),INDEX(Factor!$AN$5:$AV$51, _xlfn.XMATCH(IF(OR($G269="blast", $G269="curved", $G269= "debuff"), $L269, 0), Factor!$AN$5:$AN$51, -1), 2)*MOD($L269,1)*10,0),
_xlpm.상태이상보정치, VLOOKUP(IF($G269 = "debuff", $M269, "null"), Factor!$AX$5:$BE$51, _xlpm.기본_색인번호, 0),
_xlpm.지속시간보정치, INDEX(Factor!$BG$5:$BO$51, _xlfn.XMATCH(IF(OR($G269 ="debuff", $G269 = "shot", $G269 = "pierce"), $O269, 0), Factor!$BG$5:$BG$51, -1), _xlpm.추가_색인번호)-IF(AND(OR($G269 ="debuff", $G269 = "shot", $G269 = "pierce"), MOD($O269, 1)&lt;&gt;0), 10*MOD($O269, 1)*INDEX(Factor!$BG$5:$BO$51, _xlfn.XMATCH(IF(OR($G269 ="debuff", $G269 = "shot", $G269 = "pierce"), $O269, 0), Factor!$BG$5:$BG$51, -1), 2), 0),
_xlpm.탄환개수보정치, VLOOKUP(IF(OR($G269 = "curved", $G269 = "shot"), $Q269, 1), Factor!$BQ$5:$BX$51, _xlpm.기본_색인번호, 0),
_xlpm.상태이상탄환생성위치보정치, IF($G269 = "debuff", VLOOKUP($R269, Factor!$K$18:$R$19, _xlpm.기본_색인번호, 0),1),
_xlpm.상태이상탄환형태보정치, IF($G269 = "debuff", VLOOKUP($S269, Factor!$K$24:$R$25, _xlpm.기본_색인번호, 0),1),
_xlpm.가격보정치, INDEX(Factor!$AE$5:$AL$51, _xlfn.XMATCH($F269,Factor!$AE$5:$AE$51, -1), _xlpm.기본_색인번호),
_xlpm.구경보정치, VLOOKUP($D269,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</row>
    <row r="270" spans="1:33" ht="15.75" customHeight="1">
      <c r="A270" s="28" t="str">
        <f>"weapon_"&amp;G270&amp;"_"&amp;VLOOKUP(H270, Factor!$T$5:$AB$7, 9, 0)&amp;"_"&amp;IF(COUNTIFS($G$4:G269, G270, $H$4:H269, H270)+1&gt;=100, COUNTIFS($G$4:G269, G270, $H$4:H269, H270)+1,IF(COUNTIFS($G$4:G269, G270, $H$4:H269, H270)+1&gt;=10, "0"&amp;COUNTIFS($G$4:G269, G270, $H$4:H269, H270)+1, "00"&amp;COUNTIFS($G$4:G269, G270, $H$4:H269, H270)+1))</f>
        <v>weapon_curved_Sh_002</v>
      </c>
      <c r="B270" s="37" t="str">
        <f t="shared" si="4"/>
        <v>T1 81mm박격포탑</v>
      </c>
      <c r="C270" s="37" t="s">
        <v>238</v>
      </c>
      <c r="D270" s="37" t="s">
        <v>271</v>
      </c>
      <c r="E270" s="37" t="s">
        <v>282</v>
      </c>
      <c r="F270" s="29">
        <f>VLOOKUP(C270, Factor!$AD$5:$AE$15, 2, 0)</f>
        <v>1000</v>
      </c>
      <c r="G270" s="29" t="str">
        <f>VLOOKUP(E270, Factor!$CL$5:$CV$50, 2, 0)</f>
        <v>curved</v>
      </c>
      <c r="H270" s="29" t="str">
        <f>VLOOKUP(E270, Factor!$CL$5:$CV$50, 3, 0)</f>
        <v>shell</v>
      </c>
      <c r="I270" s="29" t="str">
        <f>VLOOKUP(E270, Factor!$CL$5:$CV$50, 4, 0)</f>
        <v>L</v>
      </c>
      <c r="J270" s="29" t="str">
        <f>VLOOKUP(E270, Factor!$CL$5:$CV$50, 5, 0)</f>
        <v>spread</v>
      </c>
      <c r="K270" s="29">
        <v>1</v>
      </c>
      <c r="L270" s="29">
        <f>VLOOKUP(E270, Factor!$CL$5:$CV$50, 6, 0)*K270*VLOOKUP(D270, Factor!$BZ$5:$CJ$49, 9, 0)</f>
        <v>24</v>
      </c>
      <c r="M270" s="29" t="str">
        <f>VLOOKUP(E270, Factor!$CL$5:$CV$50, 7, 0)</f>
        <v>null</v>
      </c>
      <c r="N270" s="29">
        <v>1</v>
      </c>
      <c r="O270" s="29">
        <f>VLOOKUP(E270, Factor!$CL$5:$CV$50, 8, 0)*N270*VLOOKUP(D270, Factor!$BZ$5:$CJ$49, 10, 0)</f>
        <v>0</v>
      </c>
      <c r="P270" s="29">
        <v>1</v>
      </c>
      <c r="Q270" s="29">
        <f>VLOOKUP(E270, Factor!$CL$5:$CV$50, 9, 0)*P270*VLOOKUP(D270, Factor!$BZ$5:$CJ$49, 11, 0)</f>
        <v>8</v>
      </c>
      <c r="R270" s="29" t="str">
        <f>VLOOKUP(E270, Factor!$CL$5:$CV$50, 10, 0)</f>
        <v>null</v>
      </c>
      <c r="S270" s="29" t="str">
        <f>VLOOKUP(E270, Factor!$CL$5:$CV$50, 11, 0)</f>
        <v>null</v>
      </c>
      <c r="T270" s="29">
        <v>1</v>
      </c>
      <c r="U270" s="29">
        <v>1</v>
      </c>
      <c r="V270" s="29">
        <v>1</v>
      </c>
      <c r="W270" s="29">
        <v>1</v>
      </c>
      <c r="X270" s="29">
        <v>1</v>
      </c>
      <c r="Y270" s="29">
        <v>1</v>
      </c>
      <c r="Z270" s="29">
        <v>1</v>
      </c>
      <c r="AA270" s="29" cm="1">
        <f t="array" ref="AA270">_xlfn.LET(_xlpm.기본_색인번호, 2,
_xlpm.추가_색인번호, 3,
_xlpm.개별보정치, T270,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270" s="29" cm="1">
        <f t="array" ref="AB270">_xlfn.LET(_xlpm.기본_색인번호, 3,
_xlpm.추가_색인번호, 4,
_xlpm.개별보정치, U270,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270" s="29" cm="1">
        <f t="array" ref="AC270">_xlfn.LET(_xlpm.기본_색인번호, 4,
_xlpm.추가_색인번호, 5,
_xlpm.개별보정치, V270,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0" s="29" cm="1">
        <f t="array" ref="AD270">_xlfn.LET(_xlpm.기본_색인번호, 5,
_xlpm.추가_색인번호, 6,
_xlpm.개별보정치, W270,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E270" s="29" cm="1">
        <f t="array" ref="AE270">_xlfn.LET(_xlpm.기본_색인번호, 6,
_xlpm.추가_색인번호, 7,
_xlpm.개별보정치, X270,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F270" s="29" cm="1">
        <f t="array" ref="AF270">_xlfn.LET(_xlpm.기본_색인번호, 7,
_xlpm.추가_색인번호, 8,
_xlpm.개별보정치, Y270,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0" s="30" cm="1">
        <f t="array" ref="AG270">_xlfn.LET(_xlpm.기본_색인번호, 8,
_xlpm.추가_색인번호, 9,
_xlpm.개별보정치, Z270,
_xlpm.패턴보정치, VLOOKUP($G270, Factor!$B$5:$I$51, _xlpm.기본_색인번호, 0),
_xlpm.소모탄환보정치, VLOOKUP($H270, Factor!$T$5:$AA$51, _xlpm.기본_색인번호, 0),
_xlpm.지형보정치, VLOOKUP($I270, Factor!$K$12:$R$13, _xlpm.기본_색인번호, 0),
_xlpm.공격속성보정치, VLOOKUP($J270, Factor!$K$5:$R$7, _xlpm.기본_색인번호, 0),
_xlpm.피해범위보정치, INDEX(Factor!$AN$5:$AV$51, _xlfn.XMATCH(IF(OR($G270="blast", $G270="curved",  $G270= "debuff"), $L270, 0), Factor!$AN$5:$AN$51, -1), _xlpm.추가_색인번호)-IF(AND(OR($G270="blast", $G270="curved", $G270= "debuff"), MOD($L270,1)&lt;&gt;0),INDEX(Factor!$AN$5:$AV$51, _xlfn.XMATCH(IF(OR($G270="blast", $G270="curved", $G270= "debuff"), $L270, 0), Factor!$AN$5:$AN$51, -1), 2)*MOD($L270,1)*10,0),
_xlpm.상태이상보정치, VLOOKUP(IF($G270 = "debuff", $M270, "null"), Factor!$AX$5:$BE$51, _xlpm.기본_색인번호, 0),
_xlpm.지속시간보정치, INDEX(Factor!$BG$5:$BO$51, _xlfn.XMATCH(IF(OR($G270 ="debuff", $G270 = "shot", $G270 = "pierce"), $O270, 0), Factor!$BG$5:$BG$51, -1), _xlpm.추가_색인번호)-IF(AND(OR($G270 ="debuff", $G270 = "shot", $G270 = "pierce"), MOD($O270, 1)&lt;&gt;0), 10*MOD($O270, 1)*INDEX(Factor!$BG$5:$BO$51, _xlfn.XMATCH(IF(OR($G270 ="debuff", $G270 = "shot", $G270 = "pierce"), $O270, 0), Factor!$BG$5:$BG$51, -1), 2), 0),
_xlpm.탄환개수보정치, VLOOKUP(IF(OR($G270 = "curved", $G270 = "shot"), $Q270, 1), Factor!$BQ$5:$BX$51, _xlpm.기본_색인번호, 0),
_xlpm.상태이상탄환생성위치보정치, IF($G270 = "debuff", VLOOKUP($R270, Factor!$K$18:$R$19, _xlpm.기본_색인번호, 0),1),
_xlpm.상태이상탄환형태보정치, IF($G270 = "debuff", VLOOKUP($S270, Factor!$K$24:$R$25, _xlpm.기본_색인번호, 0),1),
_xlpm.가격보정치, INDEX(Factor!$AE$5:$AL$51, _xlfn.XMATCH($F270,Factor!$AE$5:$AE$51, -1), _xlpm.기본_색인번호),
_xlpm.구경보정치, VLOOKUP($D270,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</row>
    <row r="271" spans="1:33" ht="15.75" customHeight="1">
      <c r="A271" s="24" t="str">
        <f>"weapon_"&amp;G271&amp;"_"&amp;VLOOKUP(H271, Factor!$T$5:$AB$7, 9, 0)&amp;"_"&amp;IF(COUNTIFS($G$4:G270, G271, $H$4:H270, H271)+1&gt;=100, COUNTIFS($G$4:G270, G271, $H$4:H270, H271)+1,IF(COUNTIFS($G$4:G270, G271, $H$4:H270, H271)+1&gt;=10, "0"&amp;COUNTIFS($G$4:G270, G271, $H$4:H270, H271)+1, "00"&amp;COUNTIFS($G$4:G270, G271, $H$4:H270, H271)+1))</f>
        <v>weapon_curved_Sh_003</v>
      </c>
      <c r="B271" s="36" t="str">
        <f t="shared" si="4"/>
        <v>T2 81mm박격포탑</v>
      </c>
      <c r="C271" s="36" t="s">
        <v>246</v>
      </c>
      <c r="D271" s="36" t="s">
        <v>264</v>
      </c>
      <c r="E271" s="36" t="s">
        <v>282</v>
      </c>
      <c r="F271" s="25">
        <f>VLOOKUP(C271, Factor!$AD$5:$AE$15, 2, 0)</f>
        <v>2000</v>
      </c>
      <c r="G271" s="26" t="str">
        <f>VLOOKUP(E271, Factor!$CL$5:$CV$50, 2, 0)</f>
        <v>curved</v>
      </c>
      <c r="H271" s="25" t="str">
        <f>VLOOKUP(E271, Factor!$CL$5:$CV$50, 3, 0)</f>
        <v>shell</v>
      </c>
      <c r="I271" s="25" t="str">
        <f>VLOOKUP(E271, Factor!$CL$5:$CV$50, 4, 0)</f>
        <v>L</v>
      </c>
      <c r="J271" s="25" t="str">
        <f>VLOOKUP(E271, Factor!$CL$5:$CV$50, 5, 0)</f>
        <v>spread</v>
      </c>
      <c r="K271" s="25">
        <v>1</v>
      </c>
      <c r="L271" s="25">
        <f>VLOOKUP(E271, Factor!$CL$5:$CV$50, 6, 0)*K271*VLOOKUP(D271, Factor!$BZ$5:$CJ$49, 9, 0)</f>
        <v>24</v>
      </c>
      <c r="M271" s="25" t="str">
        <f>VLOOKUP(E271, Factor!$CL$5:$CV$50, 7, 0)</f>
        <v>null</v>
      </c>
      <c r="N271" s="25">
        <v>1</v>
      </c>
      <c r="O271" s="25">
        <f>VLOOKUP(E271, Factor!$CL$5:$CV$50, 8, 0)*N271*VLOOKUP(D271, Factor!$BZ$5:$CJ$49, 10, 0)</f>
        <v>0</v>
      </c>
      <c r="P271" s="25">
        <v>1</v>
      </c>
      <c r="Q271" s="25">
        <f>VLOOKUP(E271, Factor!$CL$5:$CV$50, 9, 0)*P271*VLOOKUP(D271, Factor!$BZ$5:$CJ$49, 11, 0)</f>
        <v>8</v>
      </c>
      <c r="R271" s="25" t="str">
        <f>VLOOKUP(E271, Factor!$CL$5:$CV$50, 10, 0)</f>
        <v>null</v>
      </c>
      <c r="S271" s="25" t="str">
        <f>VLOOKUP(E271, Factor!$CL$5:$CV$50, 11, 0)</f>
        <v>null</v>
      </c>
      <c r="T271" s="25">
        <v>1</v>
      </c>
      <c r="U271" s="25">
        <v>1</v>
      </c>
      <c r="V271" s="25">
        <v>1</v>
      </c>
      <c r="W271" s="25">
        <v>1</v>
      </c>
      <c r="X271" s="25">
        <v>1</v>
      </c>
      <c r="Y271" s="25">
        <v>1</v>
      </c>
      <c r="Z271" s="25">
        <v>1</v>
      </c>
      <c r="AA271" s="25" cm="1">
        <f t="array" ref="AA271">_xlfn.LET(_xlpm.기본_색인번호, 2,
_xlpm.추가_색인번호, 3,
_xlpm.개별보정치, T271,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71" s="25" cm="1">
        <f t="array" ref="AB271">_xlfn.LET(_xlpm.기본_색인번호, 3,
_xlpm.추가_색인번호, 4,
_xlpm.개별보정치, U271,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271" s="25" cm="1">
        <f t="array" ref="AC271">_xlfn.LET(_xlpm.기본_색인번호, 4,
_xlpm.추가_색인번호, 5,
_xlpm.개별보정치, V271,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1" s="25" cm="1">
        <f t="array" ref="AD271">_xlfn.LET(_xlpm.기본_색인번호, 5,
_xlpm.추가_색인번호, 6,
_xlpm.개별보정치, W271,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E271" s="25" cm="1">
        <f t="array" ref="AE271">_xlfn.LET(_xlpm.기본_색인번호, 6,
_xlpm.추가_색인번호, 7,
_xlpm.개별보정치, X271,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  <c r="AF271" s="25" cm="1">
        <f t="array" ref="AF271">_xlfn.LET(_xlpm.기본_색인번호, 7,
_xlpm.추가_색인번호, 8,
_xlpm.개별보정치, Y271,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1" s="27" cm="1">
        <f t="array" ref="AG271">_xlfn.LET(_xlpm.기본_색인번호, 8,
_xlpm.추가_색인번호, 9,
_xlpm.개별보정치, Z271,
_xlpm.패턴보정치, VLOOKUP($G271, Factor!$B$5:$I$51, _xlpm.기본_색인번호, 0),
_xlpm.소모탄환보정치, VLOOKUP($H271, Factor!$T$5:$AA$51, _xlpm.기본_색인번호, 0),
_xlpm.지형보정치, VLOOKUP($I271, Factor!$K$12:$R$13, _xlpm.기본_색인번호, 0),
_xlpm.공격속성보정치, VLOOKUP($J271, Factor!$K$5:$R$7, _xlpm.기본_색인번호, 0),
_xlpm.피해범위보정치, INDEX(Factor!$AN$5:$AV$51, _xlfn.XMATCH(IF(OR($G271="blast", $G271="curved",  $G271= "debuff"), $L271, 0), Factor!$AN$5:$AN$51, -1), _xlpm.추가_색인번호)-IF(AND(OR($G271="blast", $G271="curved", $G271= "debuff"), MOD($L271,1)&lt;&gt;0),INDEX(Factor!$AN$5:$AV$51, _xlfn.XMATCH(IF(OR($G271="blast", $G271="curved", $G271= "debuff"), $L271, 0), Factor!$AN$5:$AN$51, -1), 2)*MOD($L271,1)*10,0),
_xlpm.상태이상보정치, VLOOKUP(IF($G271 = "debuff", $M271, "null"), Factor!$AX$5:$BE$51, _xlpm.기본_색인번호, 0),
_xlpm.지속시간보정치, INDEX(Factor!$BG$5:$BO$51, _xlfn.XMATCH(IF(OR($G271 ="debuff", $G271 = "shot", $G271 = "pierce"), $O271, 0), Factor!$BG$5:$BG$51, -1), _xlpm.추가_색인번호)-IF(AND(OR($G271 ="debuff", $G271 = "shot", $G271 = "pierce"), MOD($O271, 1)&lt;&gt;0), 10*MOD($O271, 1)*INDEX(Factor!$BG$5:$BO$51, _xlfn.XMATCH(IF(OR($G271 ="debuff", $G271 = "shot", $G271 = "pierce"), $O271, 0), Factor!$BG$5:$BG$51, -1), 2), 0),
_xlpm.탄환개수보정치, VLOOKUP(IF(OR($G271 = "curved", $G271 = "shot"), $Q271, 1), Factor!$BQ$5:$BX$51, _xlpm.기본_색인번호, 0),
_xlpm.상태이상탄환생성위치보정치, IF($G271 = "debuff", VLOOKUP($R271, Factor!$K$18:$R$19, _xlpm.기본_색인번호, 0),1),
_xlpm.상태이상탄환형태보정치, IF($G271 = "debuff", VLOOKUP($S271, Factor!$K$24:$R$25, _xlpm.기본_색인번호, 0),1),
_xlpm.가격보정치, INDEX(Factor!$AE$5:$AL$51, _xlfn.XMATCH($F271,Factor!$AE$5:$AE$51, -1), _xlpm.기본_색인번호),
_xlpm.구경보정치, VLOOKUP($D271,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168</v>
      </c>
    </row>
    <row r="272" spans="1:33" ht="15.75" customHeight="1">
      <c r="A272" s="28" t="str">
        <f>"weapon_"&amp;G272&amp;"_"&amp;VLOOKUP(H272, Factor!$T$5:$AB$7, 9, 0)&amp;"_"&amp;IF(COUNTIFS($G$4:G271, G272, $H$4:H271, H272)+1&gt;=100, COUNTIFS($G$4:G271, G272, $H$4:H271, H272)+1,IF(COUNTIFS($G$4:G271, G272, $H$4:H271, H272)+1&gt;=10, "0"&amp;COUNTIFS($G$4:G271, G272, $H$4:H271, H272)+1, "00"&amp;COUNTIFS($G$4:G271, G272, $H$4:H271, H272)+1))</f>
        <v>weapon_curved_Sh_004</v>
      </c>
      <c r="B272" s="37" t="str">
        <f t="shared" si="4"/>
        <v>T3 81mm박격포탑</v>
      </c>
      <c r="C272" s="37" t="s">
        <v>247</v>
      </c>
      <c r="D272" s="37" t="s">
        <v>264</v>
      </c>
      <c r="E272" s="37" t="s">
        <v>282</v>
      </c>
      <c r="F272" s="29">
        <f>VLOOKUP(C272, Factor!$AD$5:$AE$15, 2, 0)</f>
        <v>3000</v>
      </c>
      <c r="G272" s="29" t="str">
        <f>VLOOKUP(E272, Factor!$CL$5:$CV$50, 2, 0)</f>
        <v>curved</v>
      </c>
      <c r="H272" s="29" t="str">
        <f>VLOOKUP(E272, Factor!$CL$5:$CV$50, 3, 0)</f>
        <v>shell</v>
      </c>
      <c r="I272" s="29" t="str">
        <f>VLOOKUP(E272, Factor!$CL$5:$CV$50, 4, 0)</f>
        <v>L</v>
      </c>
      <c r="J272" s="29" t="str">
        <f>VLOOKUP(E272, Factor!$CL$5:$CV$50, 5, 0)</f>
        <v>spread</v>
      </c>
      <c r="K272" s="29">
        <v>1</v>
      </c>
      <c r="L272" s="29">
        <f>VLOOKUP(E272, Factor!$CL$5:$CV$50, 6, 0)*K272*VLOOKUP(D272, Factor!$BZ$5:$CJ$49, 9, 0)</f>
        <v>24</v>
      </c>
      <c r="M272" s="29" t="str">
        <f>VLOOKUP(E272, Factor!$CL$5:$CV$50, 7, 0)</f>
        <v>null</v>
      </c>
      <c r="N272" s="29">
        <v>1</v>
      </c>
      <c r="O272" s="29">
        <f>VLOOKUP(E272, Factor!$CL$5:$CV$50, 8, 0)*N272*VLOOKUP(D272, Factor!$BZ$5:$CJ$49, 10, 0)</f>
        <v>0</v>
      </c>
      <c r="P272" s="29">
        <v>1</v>
      </c>
      <c r="Q272" s="29">
        <f>VLOOKUP(E272, Factor!$CL$5:$CV$50, 9, 0)*P272*VLOOKUP(D272, Factor!$BZ$5:$CJ$49, 11, 0)</f>
        <v>8</v>
      </c>
      <c r="R272" s="29" t="str">
        <f>VLOOKUP(E272, Factor!$CL$5:$CV$50, 10, 0)</f>
        <v>null</v>
      </c>
      <c r="S272" s="29" t="str">
        <f>VLOOKUP(E272, Factor!$CL$5:$CV$50, 11, 0)</f>
        <v>null</v>
      </c>
      <c r="T272" s="29">
        <v>1</v>
      </c>
      <c r="U272" s="29">
        <v>1</v>
      </c>
      <c r="V272" s="29">
        <v>1</v>
      </c>
      <c r="W272" s="29">
        <v>1</v>
      </c>
      <c r="X272" s="29">
        <v>1</v>
      </c>
      <c r="Y272" s="29">
        <v>1</v>
      </c>
      <c r="Z272" s="29">
        <v>1</v>
      </c>
      <c r="AA272" s="29" cm="1">
        <f t="array" ref="AA272">_xlfn.LET(_xlpm.기본_색인번호, 2,
_xlpm.추가_색인번호, 3,
_xlpm.개별보정치, T272,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272" s="29" cm="1">
        <f t="array" ref="AB272">_xlfn.LET(_xlpm.기본_색인번호, 3,
_xlpm.추가_색인번호, 4,
_xlpm.개별보정치, U272,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  <c r="AC272" s="29" cm="1">
        <f t="array" ref="AC272">_xlfn.LET(_xlpm.기본_색인번호, 4,
_xlpm.추가_색인번호, 5,
_xlpm.개별보정치, V272,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2" s="29" cm="1">
        <f t="array" ref="AD272">_xlfn.LET(_xlpm.기본_색인번호, 5,
_xlpm.추가_색인번호, 6,
_xlpm.개별보정치, W272,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272" s="29" cm="1">
        <f t="array" ref="AE272">_xlfn.LET(_xlpm.기본_색인번호, 6,
_xlpm.추가_색인번호, 7,
_xlpm.개별보정치, X272,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272" s="29" cm="1">
        <f t="array" ref="AF272">_xlfn.LET(_xlpm.기본_색인번호, 7,
_xlpm.추가_색인번호, 8,
_xlpm.개별보정치, Y272,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2" s="30" cm="1">
        <f t="array" ref="AG272">_xlfn.LET(_xlpm.기본_색인번호, 8,
_xlpm.추가_색인번호, 9,
_xlpm.개별보정치, Z272,
_xlpm.패턴보정치, VLOOKUP($G272, Factor!$B$5:$I$51, _xlpm.기본_색인번호, 0),
_xlpm.소모탄환보정치, VLOOKUP($H272, Factor!$T$5:$AA$51, _xlpm.기본_색인번호, 0),
_xlpm.지형보정치, VLOOKUP($I272, Factor!$K$12:$R$13, _xlpm.기본_색인번호, 0),
_xlpm.공격속성보정치, VLOOKUP($J272, Factor!$K$5:$R$7, _xlpm.기본_색인번호, 0),
_xlpm.피해범위보정치, INDEX(Factor!$AN$5:$AV$51, _xlfn.XMATCH(IF(OR($G272="blast", $G272="curved",  $G272= "debuff"), $L272, 0), Factor!$AN$5:$AN$51, -1), _xlpm.추가_색인번호)-IF(AND(OR($G272="blast", $G272="curved", $G272= "debuff"), MOD($L272,1)&lt;&gt;0),INDEX(Factor!$AN$5:$AV$51, _xlfn.XMATCH(IF(OR($G272="blast", $G272="curved", $G272= "debuff"), $L272, 0), Factor!$AN$5:$AN$51, -1), 2)*MOD($L272,1)*10,0),
_xlpm.상태이상보정치, VLOOKUP(IF($G272 = "debuff", $M272, "null"), Factor!$AX$5:$BE$51, _xlpm.기본_색인번호, 0),
_xlpm.지속시간보정치, INDEX(Factor!$BG$5:$BO$51, _xlfn.XMATCH(IF(OR($G272 ="debuff", $G272 = "shot", $G272 = "pierce"), $O272, 0), Factor!$BG$5:$BG$51, -1), _xlpm.추가_색인번호)-IF(AND(OR($G272 ="debuff", $G272 = "shot", $G272 = "pierce"), MOD($O272, 1)&lt;&gt;0), 10*MOD($O272, 1)*INDEX(Factor!$BG$5:$BO$51, _xlfn.XMATCH(IF(OR($G272 ="debuff", $G272 = "shot", $G272 = "pierce"), $O272, 0), Factor!$BG$5:$BG$51, -1), 2), 0),
_xlpm.탄환개수보정치, VLOOKUP(IF(OR($G272 = "curved", $G272 = "shot"), $Q272, 1), Factor!$BQ$5:$BX$51, _xlpm.기본_색인번호, 0),
_xlpm.상태이상탄환생성위치보정치, IF($G272 = "debuff", VLOOKUP($R272, Factor!$K$18:$R$19, _xlpm.기본_색인번호, 0),1),
_xlpm.상태이상탄환형태보정치, IF($G272 = "debuff", VLOOKUP($S272, Factor!$K$24:$R$25, _xlpm.기본_색인번호, 0),1),
_xlpm.가격보정치, INDEX(Factor!$AE$5:$AL$51, _xlfn.XMATCH($F272,Factor!$AE$5:$AE$51, -1), _xlpm.기본_색인번호),
_xlpm.구경보정치, VLOOKUP($D272,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273" spans="1:33" ht="15.75" customHeight="1">
      <c r="A273" s="24" t="str">
        <f>"weapon_"&amp;G273&amp;"_"&amp;VLOOKUP(H273, Factor!$T$5:$AB$7, 9, 0)&amp;"_"&amp;IF(COUNTIFS($G$4:G272, G273, $H$4:H272, H273)+1&gt;=100, COUNTIFS($G$4:G272, G273, $H$4:H272, H273)+1,IF(COUNTIFS($G$4:G272, G273, $H$4:H272, H273)+1&gt;=10, "0"&amp;COUNTIFS($G$4:G272, G273, $H$4:H272, H273)+1, "00"&amp;COUNTIFS($G$4:G272, G273, $H$4:H272, H273)+1))</f>
        <v>weapon_curved_Sh_005</v>
      </c>
      <c r="B273" s="36" t="str">
        <f t="shared" si="4"/>
        <v>T4 81mm박격포탑</v>
      </c>
      <c r="C273" s="36" t="s">
        <v>249</v>
      </c>
      <c r="D273" s="36" t="s">
        <v>264</v>
      </c>
      <c r="E273" s="36" t="s">
        <v>282</v>
      </c>
      <c r="F273" s="25">
        <f>VLOOKUP(C273, Factor!$AD$5:$AE$15, 2, 0)</f>
        <v>4000</v>
      </c>
      <c r="G273" s="26" t="str">
        <f>VLOOKUP(E273, Factor!$CL$5:$CV$50, 2, 0)</f>
        <v>curved</v>
      </c>
      <c r="H273" s="25" t="str">
        <f>VLOOKUP(E273, Factor!$CL$5:$CV$50, 3, 0)</f>
        <v>shell</v>
      </c>
      <c r="I273" s="25" t="str">
        <f>VLOOKUP(E273, Factor!$CL$5:$CV$50, 4, 0)</f>
        <v>L</v>
      </c>
      <c r="J273" s="25" t="str">
        <f>VLOOKUP(E273, Factor!$CL$5:$CV$50, 5, 0)</f>
        <v>spread</v>
      </c>
      <c r="K273" s="25">
        <v>1</v>
      </c>
      <c r="L273" s="25">
        <f>VLOOKUP(E273, Factor!$CL$5:$CV$50, 6, 0)*K273*VLOOKUP(D273, Factor!$BZ$5:$CJ$49, 9, 0)</f>
        <v>24</v>
      </c>
      <c r="M273" s="25" t="str">
        <f>VLOOKUP(E273, Factor!$CL$5:$CV$50, 7, 0)</f>
        <v>null</v>
      </c>
      <c r="N273" s="25">
        <v>1</v>
      </c>
      <c r="O273" s="25">
        <f>VLOOKUP(E273, Factor!$CL$5:$CV$50, 8, 0)*N273*VLOOKUP(D273, Factor!$BZ$5:$CJ$49, 10, 0)</f>
        <v>0</v>
      </c>
      <c r="P273" s="25">
        <v>1</v>
      </c>
      <c r="Q273" s="25">
        <f>VLOOKUP(E273, Factor!$CL$5:$CV$50, 9, 0)*P273*VLOOKUP(D273, Factor!$BZ$5:$CJ$49, 11, 0)</f>
        <v>8</v>
      </c>
      <c r="R273" s="25" t="str">
        <f>VLOOKUP(E273, Factor!$CL$5:$CV$50, 10, 0)</f>
        <v>null</v>
      </c>
      <c r="S273" s="25" t="str">
        <f>VLOOKUP(E273, Factor!$CL$5:$CV$50, 11, 0)</f>
        <v>null</v>
      </c>
      <c r="T273" s="25">
        <v>1</v>
      </c>
      <c r="U273" s="25">
        <v>1</v>
      </c>
      <c r="V273" s="25">
        <v>1</v>
      </c>
      <c r="W273" s="25">
        <v>1</v>
      </c>
      <c r="X273" s="25">
        <v>1</v>
      </c>
      <c r="Y273" s="25">
        <v>1</v>
      </c>
      <c r="Z273" s="25">
        <v>1</v>
      </c>
      <c r="AA273" s="25" cm="1">
        <f t="array" ref="AA273">_xlfn.LET(_xlpm.기본_색인번호, 2,
_xlpm.추가_색인번호, 3,
_xlpm.개별보정치, T273,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273" s="25" cm="1">
        <f t="array" ref="AB273">_xlfn.LET(_xlpm.기본_색인번호, 3,
_xlpm.추가_색인번호, 4,
_xlpm.개별보정치, U273,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  <c r="AC273" s="25" cm="1">
        <f t="array" ref="AC273">_xlfn.LET(_xlpm.기본_색인번호, 4,
_xlpm.추가_색인번호, 5,
_xlpm.개별보정치, V273,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3" s="25" cm="1">
        <f t="array" ref="AD273">_xlfn.LET(_xlpm.기본_색인번호, 5,
_xlpm.추가_색인번호, 6,
_xlpm.개별보정치, W273,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  <c r="AE273" s="25" cm="1">
        <f t="array" ref="AE273">_xlfn.LET(_xlpm.기본_색인번호, 6,
_xlpm.추가_색인번호, 7,
_xlpm.개별보정치, X273,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  <c r="AF273" s="25" cm="1">
        <f t="array" ref="AF273">_xlfn.LET(_xlpm.기본_색인번호, 7,
_xlpm.추가_색인번호, 8,
_xlpm.개별보정치, Y273,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3" s="27" cm="1">
        <f t="array" ref="AG273">_xlfn.LET(_xlpm.기본_색인번호, 8,
_xlpm.추가_색인번호, 9,
_xlpm.개별보정치, Z273,
_xlpm.패턴보정치, VLOOKUP($G273, Factor!$B$5:$I$51, _xlpm.기본_색인번호, 0),
_xlpm.소모탄환보정치, VLOOKUP($H273, Factor!$T$5:$AA$51, _xlpm.기본_색인번호, 0),
_xlpm.지형보정치, VLOOKUP($I273, Factor!$K$12:$R$13, _xlpm.기본_색인번호, 0),
_xlpm.공격속성보정치, VLOOKUP($J273, Factor!$K$5:$R$7, _xlpm.기본_색인번호, 0),
_xlpm.피해범위보정치, INDEX(Factor!$AN$5:$AV$51, _xlfn.XMATCH(IF(OR($G273="blast", $G273="curved",  $G273= "debuff"), $L273, 0), Factor!$AN$5:$AN$51, -1), _xlpm.추가_색인번호)-IF(AND(OR($G273="blast", $G273="curved", $G273= "debuff"), MOD($L273,1)&lt;&gt;0),INDEX(Factor!$AN$5:$AV$51, _xlfn.XMATCH(IF(OR($G273="blast", $G273="curved", $G273= "debuff"), $L273, 0), Factor!$AN$5:$AN$51, -1), 2)*MOD($L273,1)*10,0),
_xlpm.상태이상보정치, VLOOKUP(IF($G273 = "debuff", $M273, "null"), Factor!$AX$5:$BE$51, _xlpm.기본_색인번호, 0),
_xlpm.지속시간보정치, INDEX(Factor!$BG$5:$BO$51, _xlfn.XMATCH(IF(OR($G273 ="debuff", $G273 = "shot", $G273 = "pierce"), $O273, 0), Factor!$BG$5:$BG$51, -1), _xlpm.추가_색인번호)-IF(AND(OR($G273 ="debuff", $G273 = "shot", $G273 = "pierce"), MOD($O273, 1)&lt;&gt;0), 10*MOD($O273, 1)*INDEX(Factor!$BG$5:$BO$51, _xlfn.XMATCH(IF(OR($G273 ="debuff", $G273 = "shot", $G273 = "pierce"), $O273, 0), Factor!$BG$5:$BG$51, -1), 2), 0),
_xlpm.탄환개수보정치, VLOOKUP(IF(OR($G273 = "curved", $G273 = "shot"), $Q273, 1), Factor!$BQ$5:$BX$51, _xlpm.기본_색인번호, 0),
_xlpm.상태이상탄환생성위치보정치, IF($G273 = "debuff", VLOOKUP($R273, Factor!$K$18:$R$19, _xlpm.기본_색인번호, 0),1),
_xlpm.상태이상탄환형태보정치, IF($G273 = "debuff", VLOOKUP($S273, Factor!$K$24:$R$25, _xlpm.기본_색인번호, 0),1),
_xlpm.가격보정치, INDEX(Factor!$AE$5:$AL$51, _xlfn.XMATCH($F273,Factor!$AE$5:$AE$51, -1), _xlpm.기본_색인번호),
_xlpm.구경보정치, VLOOKUP($D273,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</row>
    <row r="274" spans="1:33" ht="15.75" customHeight="1">
      <c r="A274" s="28" t="str">
        <f>"weapon_"&amp;G274&amp;"_"&amp;VLOOKUP(H274, Factor!$T$5:$AB$7, 9, 0)&amp;"_"&amp;IF(COUNTIFS($G$4:G273, G274, $H$4:H273, H274)+1&gt;=100, COUNTIFS($G$4:G273, G274, $H$4:H273, H274)+1,IF(COUNTIFS($G$4:G273, G274, $H$4:H273, H274)+1&gt;=10, "0"&amp;COUNTIFS($G$4:G273, G274, $H$4:H273, H274)+1, "00"&amp;COUNTIFS($G$4:G273, G274, $H$4:H273, H274)+1))</f>
        <v>weapon_curved_Sh_006</v>
      </c>
      <c r="B274" s="37" t="str">
        <f t="shared" si="4"/>
        <v>T5 81mm박격포탑</v>
      </c>
      <c r="C274" s="37" t="s">
        <v>251</v>
      </c>
      <c r="D274" s="37" t="s">
        <v>264</v>
      </c>
      <c r="E274" s="37" t="s">
        <v>282</v>
      </c>
      <c r="F274" s="29">
        <f>VLOOKUP(C274, Factor!$AD$5:$AE$15, 2, 0)</f>
        <v>5000</v>
      </c>
      <c r="G274" s="29" t="str">
        <f>VLOOKUP(E274, Factor!$CL$5:$CV$50, 2, 0)</f>
        <v>curved</v>
      </c>
      <c r="H274" s="29" t="str">
        <f>VLOOKUP(E274, Factor!$CL$5:$CV$50, 3, 0)</f>
        <v>shell</v>
      </c>
      <c r="I274" s="29" t="str">
        <f>VLOOKUP(E274, Factor!$CL$5:$CV$50, 4, 0)</f>
        <v>L</v>
      </c>
      <c r="J274" s="29" t="str">
        <f>VLOOKUP(E274, Factor!$CL$5:$CV$50, 5, 0)</f>
        <v>spread</v>
      </c>
      <c r="K274" s="29">
        <v>1</v>
      </c>
      <c r="L274" s="29">
        <f>VLOOKUP(E274, Factor!$CL$5:$CV$50, 6, 0)*K274*VLOOKUP(D274, Factor!$BZ$5:$CJ$49, 9, 0)</f>
        <v>24</v>
      </c>
      <c r="M274" s="29" t="str">
        <f>VLOOKUP(E274, Factor!$CL$5:$CV$50, 7, 0)</f>
        <v>null</v>
      </c>
      <c r="N274" s="29">
        <v>1</v>
      </c>
      <c r="O274" s="29">
        <f>VLOOKUP(E274, Factor!$CL$5:$CV$50, 8, 0)*N274*VLOOKUP(D274, Factor!$BZ$5:$CJ$49, 10, 0)</f>
        <v>0</v>
      </c>
      <c r="P274" s="29">
        <v>1</v>
      </c>
      <c r="Q274" s="29">
        <f>VLOOKUP(E274, Factor!$CL$5:$CV$50, 9, 0)*P274*VLOOKUP(D274, Factor!$BZ$5:$CJ$49, 11, 0)</f>
        <v>8</v>
      </c>
      <c r="R274" s="29" t="str">
        <f>VLOOKUP(E274, Factor!$CL$5:$CV$50, 10, 0)</f>
        <v>null</v>
      </c>
      <c r="S274" s="29" t="str">
        <f>VLOOKUP(E274, Factor!$CL$5:$CV$50, 11, 0)</f>
        <v>null</v>
      </c>
      <c r="T274" s="29">
        <v>1</v>
      </c>
      <c r="U274" s="29">
        <v>1</v>
      </c>
      <c r="V274" s="29">
        <v>1</v>
      </c>
      <c r="W274" s="29">
        <v>1</v>
      </c>
      <c r="X274" s="29">
        <v>1</v>
      </c>
      <c r="Y274" s="29">
        <v>1</v>
      </c>
      <c r="Z274" s="29">
        <v>1</v>
      </c>
      <c r="AA274" s="29" cm="1">
        <f t="array" ref="AA274">_xlfn.LET(_xlpm.기본_색인번호, 2,
_xlpm.추가_색인번호, 3,
_xlpm.개별보정치, T274,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274" s="29" cm="1">
        <f t="array" ref="AB274">_xlfn.LET(_xlpm.기본_색인번호, 3,
_xlpm.추가_색인번호, 4,
_xlpm.개별보정치, U274,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</v>
      </c>
      <c r="AC274" s="29" cm="1">
        <f t="array" ref="AC274">_xlfn.LET(_xlpm.기본_색인번호, 4,
_xlpm.추가_색인번호, 5,
_xlpm.개별보정치, V274,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4" s="29" cm="1">
        <f t="array" ref="AD274">_xlfn.LET(_xlpm.기본_색인번호, 5,
_xlpm.추가_색인번호, 6,
_xlpm.개별보정치, W274,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E274" s="29" cm="1">
        <f t="array" ref="AE274">_xlfn.LET(_xlpm.기본_색인번호, 6,
_xlpm.추가_색인번호, 7,
_xlpm.개별보정치, X274,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F274" s="29" cm="1">
        <f t="array" ref="AF274">_xlfn.LET(_xlpm.기본_색인번호, 7,
_xlpm.추가_색인번호, 8,
_xlpm.개별보정치, Y274,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4" s="30" cm="1">
        <f t="array" ref="AG274">_xlfn.LET(_xlpm.기본_색인번호, 8,
_xlpm.추가_색인번호, 9,
_xlpm.개별보정치, Z274,
_xlpm.패턴보정치, VLOOKUP($G274, Factor!$B$5:$I$51, _xlpm.기본_색인번호, 0),
_xlpm.소모탄환보정치, VLOOKUP($H274, Factor!$T$5:$AA$51, _xlpm.기본_색인번호, 0),
_xlpm.지형보정치, VLOOKUP($I274, Factor!$K$12:$R$13, _xlpm.기본_색인번호, 0),
_xlpm.공격속성보정치, VLOOKUP($J274, Factor!$K$5:$R$7, _xlpm.기본_색인번호, 0),
_xlpm.피해범위보정치, INDEX(Factor!$AN$5:$AV$51, _xlfn.XMATCH(IF(OR($G274="blast", $G274="curved",  $G274= "debuff"), $L274, 0), Factor!$AN$5:$AN$51, -1), _xlpm.추가_색인번호)-IF(AND(OR($G274="blast", $G274="curved", $G274= "debuff"), MOD($L274,1)&lt;&gt;0),INDEX(Factor!$AN$5:$AV$51, _xlfn.XMATCH(IF(OR($G274="blast", $G274="curved", $G274= "debuff"), $L274, 0), Factor!$AN$5:$AN$51, -1), 2)*MOD($L274,1)*10,0),
_xlpm.상태이상보정치, VLOOKUP(IF($G274 = "debuff", $M274, "null"), Factor!$AX$5:$BE$51, _xlpm.기본_색인번호, 0),
_xlpm.지속시간보정치, INDEX(Factor!$BG$5:$BO$51, _xlfn.XMATCH(IF(OR($G274 ="debuff", $G274 = "shot", $G274 = "pierce"), $O274, 0), Factor!$BG$5:$BG$51, -1), _xlpm.추가_색인번호)-IF(AND(OR($G274 ="debuff", $G274 = "shot", $G274 = "pierce"), MOD($O274, 1)&lt;&gt;0), 10*MOD($O274, 1)*INDEX(Factor!$BG$5:$BO$51, _xlfn.XMATCH(IF(OR($G274 ="debuff", $G274 = "shot", $G274 = "pierce"), $O274, 0), Factor!$BG$5:$BG$51, -1), 2), 0),
_xlpm.탄환개수보정치, VLOOKUP(IF(OR($G274 = "curved", $G274 = "shot"), $Q274, 1), Factor!$BQ$5:$BX$51, _xlpm.기본_색인번호, 0),
_xlpm.상태이상탄환생성위치보정치, IF($G274 = "debuff", VLOOKUP($R274, Factor!$K$18:$R$19, _xlpm.기본_색인번호, 0),1),
_xlpm.상태이상탄환형태보정치, IF($G274 = "debuff", VLOOKUP($S274, Factor!$K$24:$R$25, _xlpm.기본_색인번호, 0),1),
_xlpm.가격보정치, INDEX(Factor!$AE$5:$AL$51, _xlfn.XMATCH($F274,Factor!$AE$5:$AE$51, -1), _xlpm.기본_색인번호),
_xlpm.구경보정치, VLOOKUP($D274,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</row>
    <row r="275" spans="1:33" ht="15.75" customHeight="1">
      <c r="A275" s="24" t="str">
        <f>"weapon_"&amp;G275&amp;"_"&amp;VLOOKUP(H275, Factor!$T$5:$AB$7, 9, 0)&amp;"_"&amp;IF(COUNTIFS($G$4:G274, G275, $H$4:H274, H275)+1&gt;=100, COUNTIFS($G$4:G274, G275, $H$4:H274, H275)+1,IF(COUNTIFS($G$4:G274, G275, $H$4:H274, H275)+1&gt;=10, "0"&amp;COUNTIFS($G$4:G274, G275, $H$4:H274, H275)+1, "00"&amp;COUNTIFS($G$4:G274, G275, $H$4:H274, H275)+1))</f>
        <v>weapon_curved_Sh_007</v>
      </c>
      <c r="B275" s="36" t="str">
        <f t="shared" si="4"/>
        <v>T6 81mm박격포탑</v>
      </c>
      <c r="C275" s="36" t="s">
        <v>253</v>
      </c>
      <c r="D275" s="36" t="s">
        <v>264</v>
      </c>
      <c r="E275" s="36" t="s">
        <v>282</v>
      </c>
      <c r="F275" s="25">
        <f>VLOOKUP(C275, Factor!$AD$5:$AE$15, 2, 0)</f>
        <v>6000</v>
      </c>
      <c r="G275" s="26" t="str">
        <f>VLOOKUP(E275, Factor!$CL$5:$CV$50, 2, 0)</f>
        <v>curved</v>
      </c>
      <c r="H275" s="25" t="str">
        <f>VLOOKUP(E275, Factor!$CL$5:$CV$50, 3, 0)</f>
        <v>shell</v>
      </c>
      <c r="I275" s="25" t="str">
        <f>VLOOKUP(E275, Factor!$CL$5:$CV$50, 4, 0)</f>
        <v>L</v>
      </c>
      <c r="J275" s="25" t="str">
        <f>VLOOKUP(E275, Factor!$CL$5:$CV$50, 5, 0)</f>
        <v>spread</v>
      </c>
      <c r="K275" s="25">
        <v>1</v>
      </c>
      <c r="L275" s="25">
        <f>VLOOKUP(E275, Factor!$CL$5:$CV$50, 6, 0)*K275*VLOOKUP(D275, Factor!$BZ$5:$CJ$49, 9, 0)</f>
        <v>24</v>
      </c>
      <c r="M275" s="25" t="str">
        <f>VLOOKUP(E275, Factor!$CL$5:$CV$50, 7, 0)</f>
        <v>null</v>
      </c>
      <c r="N275" s="25">
        <v>1</v>
      </c>
      <c r="O275" s="25">
        <f>VLOOKUP(E275, Factor!$CL$5:$CV$50, 8, 0)*N275*VLOOKUP(D275, Factor!$BZ$5:$CJ$49, 10, 0)</f>
        <v>0</v>
      </c>
      <c r="P275" s="25">
        <v>1</v>
      </c>
      <c r="Q275" s="25">
        <f>VLOOKUP(E275, Factor!$CL$5:$CV$50, 9, 0)*P275*VLOOKUP(D275, Factor!$BZ$5:$CJ$49, 11, 0)</f>
        <v>8</v>
      </c>
      <c r="R275" s="25" t="str">
        <f>VLOOKUP(E275, Factor!$CL$5:$CV$50, 10, 0)</f>
        <v>null</v>
      </c>
      <c r="S275" s="25" t="str">
        <f>VLOOKUP(E275, Factor!$CL$5:$CV$50, 11, 0)</f>
        <v>null</v>
      </c>
      <c r="T275" s="25">
        <v>1</v>
      </c>
      <c r="U275" s="25">
        <v>1</v>
      </c>
      <c r="V275" s="25">
        <v>1</v>
      </c>
      <c r="W275" s="25">
        <v>1</v>
      </c>
      <c r="X275" s="25">
        <v>1</v>
      </c>
      <c r="Y275" s="25">
        <v>1</v>
      </c>
      <c r="Z275" s="25">
        <v>1</v>
      </c>
      <c r="AA275" s="25" cm="1">
        <f t="array" ref="AA275">_xlfn.LET(_xlpm.기본_색인번호, 2,
_xlpm.추가_색인번호, 3,
_xlpm.개별보정치, T275,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5600</v>
      </c>
      <c r="AB275" s="25" cm="1">
        <f t="array" ref="AB275">_xlfn.LET(_xlpm.기본_색인번호, 3,
_xlpm.추가_색인번호, 4,
_xlpm.개별보정치, U275,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C275" s="25" cm="1">
        <f t="array" ref="AC275">_xlfn.LET(_xlpm.기본_색인번호, 4,
_xlpm.추가_색인번호, 5,
_xlpm.개별보정치, V275,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5" s="25" cm="1">
        <f t="array" ref="AD275">_xlfn.LET(_xlpm.기본_색인번호, 5,
_xlpm.추가_색인번호, 6,
_xlpm.개별보정치, W275,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392</v>
      </c>
      <c r="AE275" s="25" cm="1">
        <f t="array" ref="AE275">_xlfn.LET(_xlpm.기본_색인번호, 6,
_xlpm.추가_색인번호, 7,
_xlpm.개별보정치, X275,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392</v>
      </c>
      <c r="AF275" s="25" cm="1">
        <f t="array" ref="AF275">_xlfn.LET(_xlpm.기본_색인번호, 7,
_xlpm.추가_색인번호, 8,
_xlpm.개별보정치, Y275,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5" s="27" cm="1">
        <f t="array" ref="AG275">_xlfn.LET(_xlpm.기본_색인번호, 8,
_xlpm.추가_색인번호, 9,
_xlpm.개별보정치, Z275,
_xlpm.패턴보정치, VLOOKUP($G275, Factor!$B$5:$I$51, _xlpm.기본_색인번호, 0),
_xlpm.소모탄환보정치, VLOOKUP($H275, Factor!$T$5:$AA$51, _xlpm.기본_색인번호, 0),
_xlpm.지형보정치, VLOOKUP($I275, Factor!$K$12:$R$13, _xlpm.기본_색인번호, 0),
_xlpm.공격속성보정치, VLOOKUP($J275, Factor!$K$5:$R$7, _xlpm.기본_색인번호, 0),
_xlpm.피해범위보정치, INDEX(Factor!$AN$5:$AV$51, _xlfn.XMATCH(IF(OR($G275="blast", $G275="curved",  $G275= "debuff"), $L275, 0), Factor!$AN$5:$AN$51, -1), _xlpm.추가_색인번호)-IF(AND(OR($G275="blast", $G275="curved", $G275= "debuff"), MOD($L275,1)&lt;&gt;0),INDEX(Factor!$AN$5:$AV$51, _xlfn.XMATCH(IF(OR($G275="blast", $G275="curved", $G275= "debuff"), $L275, 0), Factor!$AN$5:$AN$51, -1), 2)*MOD($L275,1)*10,0),
_xlpm.상태이상보정치, VLOOKUP(IF($G275 = "debuff", $M275, "null"), Factor!$AX$5:$BE$51, _xlpm.기본_색인번호, 0),
_xlpm.지속시간보정치, INDEX(Factor!$BG$5:$BO$51, _xlfn.XMATCH(IF(OR($G275 ="debuff", $G275 = "shot", $G275 = "pierce"), $O275, 0), Factor!$BG$5:$BG$51, -1), _xlpm.추가_색인번호)-IF(AND(OR($G275 ="debuff", $G275 = "shot", $G275 = "pierce"), MOD($O275, 1)&lt;&gt;0), 10*MOD($O275, 1)*INDEX(Factor!$BG$5:$BO$51, _xlfn.XMATCH(IF(OR($G275 ="debuff", $G275 = "shot", $G275 = "pierce"), $O275, 0), Factor!$BG$5:$BG$51, -1), 2), 0),
_xlpm.탄환개수보정치, VLOOKUP(IF(OR($G275 = "curved", $G275 = "shot"), $Q275, 1), Factor!$BQ$5:$BX$51, _xlpm.기본_색인번호, 0),
_xlpm.상태이상탄환생성위치보정치, IF($G275 = "debuff", VLOOKUP($R275, Factor!$K$18:$R$19, _xlpm.기본_색인번호, 0),1),
_xlpm.상태이상탄환형태보정치, IF($G275 = "debuff", VLOOKUP($S275, Factor!$K$24:$R$25, _xlpm.기본_색인번호, 0),1),
_xlpm.가격보정치, INDEX(Factor!$AE$5:$AL$51, _xlfn.XMATCH($F275,Factor!$AE$5:$AE$51, -1), _xlpm.기본_색인번호),
_xlpm.구경보정치, VLOOKUP($D275,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392</v>
      </c>
    </row>
    <row r="276" spans="1:33" ht="15.75" customHeight="1">
      <c r="A276" s="28" t="str">
        <f>"weapon_"&amp;G276&amp;"_"&amp;VLOOKUP(H276, Factor!$T$5:$AB$7, 9, 0)&amp;"_"&amp;IF(COUNTIFS($G$4:G275, G276, $H$4:H275, H276)+1&gt;=100, COUNTIFS($G$4:G275, G276, $H$4:H275, H276)+1,IF(COUNTIFS($G$4:G275, G276, $H$4:H275, H276)+1&gt;=10, "0"&amp;COUNTIFS($G$4:G275, G276, $H$4:H275, H276)+1, "00"&amp;COUNTIFS($G$4:G275, G276, $H$4:H275, H276)+1))</f>
        <v>weapon_curved_Sh_008</v>
      </c>
      <c r="B276" s="37" t="str">
        <f t="shared" si="4"/>
        <v>T7 81mm박격포탑</v>
      </c>
      <c r="C276" s="37" t="s">
        <v>254</v>
      </c>
      <c r="D276" s="37" t="s">
        <v>264</v>
      </c>
      <c r="E276" s="37" t="s">
        <v>282</v>
      </c>
      <c r="F276" s="29">
        <f>VLOOKUP(C276, Factor!$AD$5:$AE$15, 2, 0)</f>
        <v>7000</v>
      </c>
      <c r="G276" s="29" t="str">
        <f>VLOOKUP(E276, Factor!$CL$5:$CV$50, 2, 0)</f>
        <v>curved</v>
      </c>
      <c r="H276" s="29" t="str">
        <f>VLOOKUP(E276, Factor!$CL$5:$CV$50, 3, 0)</f>
        <v>shell</v>
      </c>
      <c r="I276" s="29" t="str">
        <f>VLOOKUP(E276, Factor!$CL$5:$CV$50, 4, 0)</f>
        <v>L</v>
      </c>
      <c r="J276" s="29" t="str">
        <f>VLOOKUP(E276, Factor!$CL$5:$CV$50, 5, 0)</f>
        <v>spread</v>
      </c>
      <c r="K276" s="29">
        <v>1</v>
      </c>
      <c r="L276" s="29">
        <f>VLOOKUP(E276, Factor!$CL$5:$CV$50, 6, 0)*K276*VLOOKUP(D276, Factor!$BZ$5:$CJ$49, 9, 0)</f>
        <v>24</v>
      </c>
      <c r="M276" s="29" t="str">
        <f>VLOOKUP(E276, Factor!$CL$5:$CV$50, 7, 0)</f>
        <v>null</v>
      </c>
      <c r="N276" s="29">
        <v>1</v>
      </c>
      <c r="O276" s="29">
        <f>VLOOKUP(E276, Factor!$CL$5:$CV$50, 8, 0)*N276*VLOOKUP(D276, Factor!$BZ$5:$CJ$49, 10, 0)</f>
        <v>0</v>
      </c>
      <c r="P276" s="29">
        <v>1</v>
      </c>
      <c r="Q276" s="29">
        <f>VLOOKUP(E276, Factor!$CL$5:$CV$50, 9, 0)*P276*VLOOKUP(D276, Factor!$BZ$5:$CJ$49, 11, 0)</f>
        <v>8</v>
      </c>
      <c r="R276" s="29" t="str">
        <f>VLOOKUP(E276, Factor!$CL$5:$CV$50, 10, 0)</f>
        <v>null</v>
      </c>
      <c r="S276" s="29" t="str">
        <f>VLOOKUP(E276, Factor!$CL$5:$CV$50, 11, 0)</f>
        <v>null</v>
      </c>
      <c r="T276" s="29">
        <v>1</v>
      </c>
      <c r="U276" s="29">
        <v>1</v>
      </c>
      <c r="V276" s="29">
        <v>1</v>
      </c>
      <c r="W276" s="29">
        <v>1</v>
      </c>
      <c r="X276" s="29">
        <v>1</v>
      </c>
      <c r="Y276" s="29">
        <v>1</v>
      </c>
      <c r="Z276" s="29">
        <v>1</v>
      </c>
      <c r="AA276" s="29" cm="1">
        <f t="array" ref="AA276">_xlfn.LET(_xlpm.기본_색인번호, 2,
_xlpm.추가_색인번호, 3,
_xlpm.개별보정치, T276,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6400</v>
      </c>
      <c r="AB276" s="29" cm="1">
        <f t="array" ref="AB276">_xlfn.LET(_xlpm.기본_색인번호, 3,
_xlpm.추가_색인번호, 4,
_xlpm.개별보정치, U276,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C276" s="29" cm="1">
        <f t="array" ref="AC276">_xlfn.LET(_xlpm.기본_색인번호, 4,
_xlpm.추가_색인번호, 5,
_xlpm.개별보정치, V276,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6" s="29" cm="1">
        <f t="array" ref="AD276">_xlfn.LET(_xlpm.기본_색인번호, 5,
_xlpm.추가_색인번호, 6,
_xlpm.개별보정치, W276,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E276" s="29" cm="1">
        <f t="array" ref="AE276">_xlfn.LET(_xlpm.기본_색인번호, 6,
_xlpm.추가_색인번호, 7,
_xlpm.개별보정치, X276,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F276" s="29" cm="1">
        <f t="array" ref="AF276">_xlfn.LET(_xlpm.기본_색인번호, 7,
_xlpm.추가_색인번호, 8,
_xlpm.개별보정치, Y276,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6" s="30" cm="1">
        <f t="array" ref="AG276">_xlfn.LET(_xlpm.기본_색인번호, 8,
_xlpm.추가_색인번호, 9,
_xlpm.개별보정치, Z276,
_xlpm.패턴보정치, VLOOKUP($G276, Factor!$B$5:$I$51, _xlpm.기본_색인번호, 0),
_xlpm.소모탄환보정치, VLOOKUP($H276, Factor!$T$5:$AA$51, _xlpm.기본_색인번호, 0),
_xlpm.지형보정치, VLOOKUP($I276, Factor!$K$12:$R$13, _xlpm.기본_색인번호, 0),
_xlpm.공격속성보정치, VLOOKUP($J276, Factor!$K$5:$R$7, _xlpm.기본_색인번호, 0),
_xlpm.피해범위보정치, INDEX(Factor!$AN$5:$AV$51, _xlfn.XMATCH(IF(OR($G276="blast", $G276="curved",  $G276= "debuff"), $L276, 0), Factor!$AN$5:$AN$51, -1), _xlpm.추가_색인번호)-IF(AND(OR($G276="blast", $G276="curved", $G276= "debuff"), MOD($L276,1)&lt;&gt;0),INDEX(Factor!$AN$5:$AV$51, _xlfn.XMATCH(IF(OR($G276="blast", $G276="curved", $G276= "debuff"), $L276, 0), Factor!$AN$5:$AN$51, -1), 2)*MOD($L276,1)*10,0),
_xlpm.상태이상보정치, VLOOKUP(IF($G276 = "debuff", $M276, "null"), Factor!$AX$5:$BE$51, _xlpm.기본_색인번호, 0),
_xlpm.지속시간보정치, INDEX(Factor!$BG$5:$BO$51, _xlfn.XMATCH(IF(OR($G276 ="debuff", $G276 = "shot", $G276 = "pierce"), $O276, 0), Factor!$BG$5:$BG$51, -1), _xlpm.추가_색인번호)-IF(AND(OR($G276 ="debuff", $G276 = "shot", $G276 = "pierce"), MOD($O276, 1)&lt;&gt;0), 10*MOD($O276, 1)*INDEX(Factor!$BG$5:$BO$51, _xlfn.XMATCH(IF(OR($G276 ="debuff", $G276 = "shot", $G276 = "pierce"), $O276, 0), Factor!$BG$5:$BG$51, -1), 2), 0),
_xlpm.탄환개수보정치, VLOOKUP(IF(OR($G276 = "curved", $G276 = "shot"), $Q276, 1), Factor!$BQ$5:$BX$51, _xlpm.기본_색인번호, 0),
_xlpm.상태이상탄환생성위치보정치, IF($G276 = "debuff", VLOOKUP($R276, Factor!$K$18:$R$19, _xlpm.기본_색인번호, 0),1),
_xlpm.상태이상탄환형태보정치, IF($G276 = "debuff", VLOOKUP($S276, Factor!$K$24:$R$25, _xlpm.기본_색인번호, 0),1),
_xlpm.가격보정치, INDEX(Factor!$AE$5:$AL$51, _xlfn.XMATCH($F276,Factor!$AE$5:$AE$51, -1), _xlpm.기본_색인번호),
_xlpm.구경보정치, VLOOKUP($D276,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</row>
    <row r="277" spans="1:33" ht="15.75" customHeight="1">
      <c r="A277" s="24" t="str">
        <f>"weapon_"&amp;G277&amp;"_"&amp;VLOOKUP(H277, Factor!$T$5:$AB$7, 9, 0)&amp;"_"&amp;IF(COUNTIFS($G$4:G276, G277, $H$4:H276, H277)+1&gt;=100, COUNTIFS($G$4:G276, G277, $H$4:H276, H277)+1,IF(COUNTIFS($G$4:G276, G277, $H$4:H276, H277)+1&gt;=10, "0"&amp;COUNTIFS($G$4:G276, G277, $H$4:H276, H277)+1, "00"&amp;COUNTIFS($G$4:G276, G277, $H$4:H276, H277)+1))</f>
        <v>weapon_curved_Sh_009</v>
      </c>
      <c r="B277" s="36" t="str">
        <f t="shared" si="4"/>
        <v>T8 81mm박격포탑</v>
      </c>
      <c r="C277" s="36" t="s">
        <v>255</v>
      </c>
      <c r="D277" s="36" t="s">
        <v>264</v>
      </c>
      <c r="E277" s="36" t="s">
        <v>282</v>
      </c>
      <c r="F277" s="25">
        <f>VLOOKUP(C277, Factor!$AD$5:$AE$15, 2, 0)</f>
        <v>8000</v>
      </c>
      <c r="G277" s="26" t="str">
        <f>VLOOKUP(E277, Factor!$CL$5:$CV$50, 2, 0)</f>
        <v>curved</v>
      </c>
      <c r="H277" s="25" t="str">
        <f>VLOOKUP(E277, Factor!$CL$5:$CV$50, 3, 0)</f>
        <v>shell</v>
      </c>
      <c r="I277" s="25" t="str">
        <f>VLOOKUP(E277, Factor!$CL$5:$CV$50, 4, 0)</f>
        <v>L</v>
      </c>
      <c r="J277" s="25" t="str">
        <f>VLOOKUP(E277, Factor!$CL$5:$CV$50, 5, 0)</f>
        <v>spread</v>
      </c>
      <c r="K277" s="25">
        <v>1</v>
      </c>
      <c r="L277" s="25">
        <f>VLOOKUP(E277, Factor!$CL$5:$CV$50, 6, 0)*K277*VLOOKUP(D277, Factor!$BZ$5:$CJ$49, 9, 0)</f>
        <v>24</v>
      </c>
      <c r="M277" s="25" t="str">
        <f>VLOOKUP(E277, Factor!$CL$5:$CV$50, 7, 0)</f>
        <v>null</v>
      </c>
      <c r="N277" s="25">
        <v>1</v>
      </c>
      <c r="O277" s="25">
        <f>VLOOKUP(E277, Factor!$CL$5:$CV$50, 8, 0)*N277*VLOOKUP(D277, Factor!$BZ$5:$CJ$49, 10, 0)</f>
        <v>0</v>
      </c>
      <c r="P277" s="25">
        <v>1</v>
      </c>
      <c r="Q277" s="25">
        <f>VLOOKUP(E277, Factor!$CL$5:$CV$50, 9, 0)*P277*VLOOKUP(D277, Factor!$BZ$5:$CJ$49, 11, 0)</f>
        <v>8</v>
      </c>
      <c r="R277" s="25" t="str">
        <f>VLOOKUP(E277, Factor!$CL$5:$CV$50, 10, 0)</f>
        <v>null</v>
      </c>
      <c r="S277" s="25" t="str">
        <f>VLOOKUP(E277, Factor!$CL$5:$CV$50, 11, 0)</f>
        <v>null</v>
      </c>
      <c r="T277" s="25">
        <v>1</v>
      </c>
      <c r="U277" s="25">
        <v>1</v>
      </c>
      <c r="V277" s="25">
        <v>1</v>
      </c>
      <c r="W277" s="25">
        <v>1</v>
      </c>
      <c r="X277" s="25">
        <v>1</v>
      </c>
      <c r="Y277" s="25">
        <v>1</v>
      </c>
      <c r="Z277" s="25">
        <v>1</v>
      </c>
      <c r="AA277" s="25" cm="1">
        <f t="array" ref="AA277">_xlfn.LET(_xlpm.기본_색인번호, 2,
_xlpm.추가_색인번호, 3,
_xlpm.개별보정치, T277,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277" s="25" cm="1">
        <f t="array" ref="AB277">_xlfn.LET(_xlpm.기본_색인번호, 3,
_xlpm.추가_색인번호, 4,
_xlpm.개별보정치, U277,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C277" s="25" cm="1">
        <f t="array" ref="AC277">_xlfn.LET(_xlpm.기본_색인번호, 4,
_xlpm.추가_색인번호, 5,
_xlpm.개별보정치, V277,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7" s="25" cm="1">
        <f t="array" ref="AD277">_xlfn.LET(_xlpm.기본_색인번호, 5,
_xlpm.추가_색인번호, 6,
_xlpm.개별보정치, W277,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504</v>
      </c>
      <c r="AE277" s="25" cm="1">
        <f t="array" ref="AE277">_xlfn.LET(_xlpm.기본_색인번호, 6,
_xlpm.추가_색인번호, 7,
_xlpm.개별보정치, X277,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504</v>
      </c>
      <c r="AF277" s="25" cm="1">
        <f t="array" ref="AF277">_xlfn.LET(_xlpm.기본_색인번호, 7,
_xlpm.추가_색인번호, 8,
_xlpm.개별보정치, Y277,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7" s="27" cm="1">
        <f t="array" ref="AG277">_xlfn.LET(_xlpm.기본_색인번호, 8,
_xlpm.추가_색인번호, 9,
_xlpm.개별보정치, Z277,
_xlpm.패턴보정치, VLOOKUP($G277, Factor!$B$5:$I$51, _xlpm.기본_색인번호, 0),
_xlpm.소모탄환보정치, VLOOKUP($H277, Factor!$T$5:$AA$51, _xlpm.기본_색인번호, 0),
_xlpm.지형보정치, VLOOKUP($I277, Factor!$K$12:$R$13, _xlpm.기본_색인번호, 0),
_xlpm.공격속성보정치, VLOOKUP($J277, Factor!$K$5:$R$7, _xlpm.기본_색인번호, 0),
_xlpm.피해범위보정치, INDEX(Factor!$AN$5:$AV$51, _xlfn.XMATCH(IF(OR($G277="blast", $G277="curved",  $G277= "debuff"), $L277, 0), Factor!$AN$5:$AN$51, -1), _xlpm.추가_색인번호)-IF(AND(OR($G277="blast", $G277="curved", $G277= "debuff"), MOD($L277,1)&lt;&gt;0),INDEX(Factor!$AN$5:$AV$51, _xlfn.XMATCH(IF(OR($G277="blast", $G277="curved", $G277= "debuff"), $L277, 0), Factor!$AN$5:$AN$51, -1), 2)*MOD($L277,1)*10,0),
_xlpm.상태이상보정치, VLOOKUP(IF($G277 = "debuff", $M277, "null"), Factor!$AX$5:$BE$51, _xlpm.기본_색인번호, 0),
_xlpm.지속시간보정치, INDEX(Factor!$BG$5:$BO$51, _xlfn.XMATCH(IF(OR($G277 ="debuff", $G277 = "shot", $G277 = "pierce"), $O277, 0), Factor!$BG$5:$BG$51, -1), _xlpm.추가_색인번호)-IF(AND(OR($G277 ="debuff", $G277 = "shot", $G277 = "pierce"), MOD($O277, 1)&lt;&gt;0), 10*MOD($O277, 1)*INDEX(Factor!$BG$5:$BO$51, _xlfn.XMATCH(IF(OR($G277 ="debuff", $G277 = "shot", $G277 = "pierce"), $O277, 0), Factor!$BG$5:$BG$51, -1), 2), 0),
_xlpm.탄환개수보정치, VLOOKUP(IF(OR($G277 = "curved", $G277 = "shot"), $Q277, 1), Factor!$BQ$5:$BX$51, _xlpm.기본_색인번호, 0),
_xlpm.상태이상탄환생성위치보정치, IF($G277 = "debuff", VLOOKUP($R277, Factor!$K$18:$R$19, _xlpm.기본_색인번호, 0),1),
_xlpm.상태이상탄환형태보정치, IF($G277 = "debuff", VLOOKUP($S277, Factor!$K$24:$R$25, _xlpm.기본_색인번호, 0),1),
_xlpm.가격보정치, INDEX(Factor!$AE$5:$AL$51, _xlfn.XMATCH($F277,Factor!$AE$5:$AE$51, -1), _xlpm.기본_색인번호),
_xlpm.구경보정치, VLOOKUP($D277,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504</v>
      </c>
    </row>
    <row r="278" spans="1:33" ht="15.75" customHeight="1">
      <c r="A278" s="28" t="str">
        <f>"weapon_"&amp;G278&amp;"_"&amp;VLOOKUP(H278, Factor!$T$5:$AB$7, 9, 0)&amp;"_"&amp;IF(COUNTIFS($G$4:G277, G278, $H$4:H277, H278)+1&gt;=100, COUNTIFS($G$4:G277, G278, $H$4:H277, H278)+1,IF(COUNTIFS($G$4:G277, G278, $H$4:H277, H278)+1&gt;=10, "0"&amp;COUNTIFS($G$4:G277, G278, $H$4:H277, H278)+1, "00"&amp;COUNTIFS($G$4:G277, G278, $H$4:H277, H278)+1))</f>
        <v>weapon_curved_Sh_010</v>
      </c>
      <c r="B278" s="37" t="str">
        <f t="shared" si="4"/>
        <v>T9 81mm박격포탑</v>
      </c>
      <c r="C278" s="37" t="s">
        <v>256</v>
      </c>
      <c r="D278" s="37" t="s">
        <v>264</v>
      </c>
      <c r="E278" s="37" t="s">
        <v>282</v>
      </c>
      <c r="F278" s="29">
        <f>VLOOKUP(C278, Factor!$AD$5:$AE$15, 2, 0)</f>
        <v>9000</v>
      </c>
      <c r="G278" s="29" t="str">
        <f>VLOOKUP(E278, Factor!$CL$5:$CV$50, 2, 0)</f>
        <v>curved</v>
      </c>
      <c r="H278" s="29" t="str">
        <f>VLOOKUP(E278, Factor!$CL$5:$CV$50, 3, 0)</f>
        <v>shell</v>
      </c>
      <c r="I278" s="29" t="str">
        <f>VLOOKUP(E278, Factor!$CL$5:$CV$50, 4, 0)</f>
        <v>L</v>
      </c>
      <c r="J278" s="29" t="str">
        <f>VLOOKUP(E278, Factor!$CL$5:$CV$50, 5, 0)</f>
        <v>spread</v>
      </c>
      <c r="K278" s="29">
        <v>1</v>
      </c>
      <c r="L278" s="29">
        <f>VLOOKUP(E278, Factor!$CL$5:$CV$50, 6, 0)*K278*VLOOKUP(D278, Factor!$BZ$5:$CJ$49, 9, 0)</f>
        <v>24</v>
      </c>
      <c r="M278" s="29" t="str">
        <f>VLOOKUP(E278, Factor!$CL$5:$CV$50, 7, 0)</f>
        <v>null</v>
      </c>
      <c r="N278" s="29">
        <v>1</v>
      </c>
      <c r="O278" s="29">
        <f>VLOOKUP(E278, Factor!$CL$5:$CV$50, 8, 0)*N278*VLOOKUP(D278, Factor!$BZ$5:$CJ$49, 10, 0)</f>
        <v>0</v>
      </c>
      <c r="P278" s="29">
        <v>1</v>
      </c>
      <c r="Q278" s="29">
        <f>VLOOKUP(E278, Factor!$CL$5:$CV$50, 9, 0)*P278*VLOOKUP(D278, Factor!$BZ$5:$CJ$49, 11, 0)</f>
        <v>8</v>
      </c>
      <c r="R278" s="29" t="str">
        <f>VLOOKUP(E278, Factor!$CL$5:$CV$50, 10, 0)</f>
        <v>null</v>
      </c>
      <c r="S278" s="29" t="str">
        <f>VLOOKUP(E278, Factor!$CL$5:$CV$50, 11, 0)</f>
        <v>null</v>
      </c>
      <c r="T278" s="29">
        <v>1</v>
      </c>
      <c r="U278" s="29">
        <v>1</v>
      </c>
      <c r="V278" s="29">
        <v>1</v>
      </c>
      <c r="W278" s="29">
        <v>1</v>
      </c>
      <c r="X278" s="29">
        <v>1</v>
      </c>
      <c r="Y278" s="29">
        <v>1</v>
      </c>
      <c r="Z278" s="29">
        <v>1</v>
      </c>
      <c r="AA278" s="29" cm="1">
        <f t="array" ref="AA278">_xlfn.LET(_xlpm.기본_색인번호, 2,
_xlpm.추가_색인번호, 3,
_xlpm.개별보정치, T278,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8000</v>
      </c>
      <c r="AB278" s="29" cm="1">
        <f t="array" ref="AB278">_xlfn.LET(_xlpm.기본_색인번호, 3,
_xlpm.추가_색인번호, 4,
_xlpm.개별보정치, U278,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392</v>
      </c>
      <c r="AC278" s="29" cm="1">
        <f t="array" ref="AC278">_xlfn.LET(_xlpm.기본_색인번호, 4,
_xlpm.추가_색인번호, 5,
_xlpm.개별보정치, V278,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8" s="29" cm="1">
        <f t="array" ref="AD278">_xlfn.LET(_xlpm.기본_색인번호, 5,
_xlpm.추가_색인번호, 6,
_xlpm.개별보정치, W278,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E278" s="29" cm="1">
        <f t="array" ref="AE278">_xlfn.LET(_xlpm.기본_색인번호, 6,
_xlpm.추가_색인번호, 7,
_xlpm.개별보정치, X278,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F278" s="29" cm="1">
        <f t="array" ref="AF278">_xlfn.LET(_xlpm.기본_색인번호, 7,
_xlpm.추가_색인번호, 8,
_xlpm.개별보정치, Y278,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8" s="30" cm="1">
        <f t="array" ref="AG278">_xlfn.LET(_xlpm.기본_색인번호, 8,
_xlpm.추가_색인번호, 9,
_xlpm.개별보정치, Z278,
_xlpm.패턴보정치, VLOOKUP($G278, Factor!$B$5:$I$51, _xlpm.기본_색인번호, 0),
_xlpm.소모탄환보정치, VLOOKUP($H278, Factor!$T$5:$AA$51, _xlpm.기본_색인번호, 0),
_xlpm.지형보정치, VLOOKUP($I278, Factor!$K$12:$R$13, _xlpm.기본_색인번호, 0),
_xlpm.공격속성보정치, VLOOKUP($J278, Factor!$K$5:$R$7, _xlpm.기본_색인번호, 0),
_xlpm.피해범위보정치, INDEX(Factor!$AN$5:$AV$51, _xlfn.XMATCH(IF(OR($G278="blast", $G278="curved",  $G278= "debuff"), $L278, 0), Factor!$AN$5:$AN$51, -1), _xlpm.추가_색인번호)-IF(AND(OR($G278="blast", $G278="curved", $G278= "debuff"), MOD($L278,1)&lt;&gt;0),INDEX(Factor!$AN$5:$AV$51, _xlfn.XMATCH(IF(OR($G278="blast", $G278="curved", $G278= "debuff"), $L278, 0), Factor!$AN$5:$AN$51, -1), 2)*MOD($L278,1)*10,0),
_xlpm.상태이상보정치, VLOOKUP(IF($G278 = "debuff", $M278, "null"), Factor!$AX$5:$BE$51, _xlpm.기본_색인번호, 0),
_xlpm.지속시간보정치, INDEX(Factor!$BG$5:$BO$51, _xlfn.XMATCH(IF(OR($G278 ="debuff", $G278 = "shot", $G278 = "pierce"), $O278, 0), Factor!$BG$5:$BG$51, -1), _xlpm.추가_색인번호)-IF(AND(OR($G278 ="debuff", $G278 = "shot", $G278 = "pierce"), MOD($O278, 1)&lt;&gt;0), 10*MOD($O278, 1)*INDEX(Factor!$BG$5:$BO$51, _xlfn.XMATCH(IF(OR($G278 ="debuff", $G278 = "shot", $G278 = "pierce"), $O278, 0), Factor!$BG$5:$BG$51, -1), 2), 0),
_xlpm.탄환개수보정치, VLOOKUP(IF(OR($G278 = "curved", $G278 = "shot"), $Q278, 1), Factor!$BQ$5:$BX$51, _xlpm.기본_색인번호, 0),
_xlpm.상태이상탄환생성위치보정치, IF($G278 = "debuff", VLOOKUP($R278, Factor!$K$18:$R$19, _xlpm.기본_색인번호, 0),1),
_xlpm.상태이상탄환형태보정치, IF($G278 = "debuff", VLOOKUP($S278, Factor!$K$24:$R$25, _xlpm.기본_색인번호, 0),1),
_xlpm.가격보정치, INDEX(Factor!$AE$5:$AL$51, _xlfn.XMATCH($F278,Factor!$AE$5:$AE$51, -1), _xlpm.기본_색인번호),
_xlpm.구경보정치, VLOOKUP($D278,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</row>
    <row r="279" spans="1:33" ht="15.75" customHeight="1">
      <c r="A279" s="24" t="str">
        <f>"weapon_"&amp;G279&amp;"_"&amp;VLOOKUP(H279, Factor!$T$5:$AB$7, 9, 0)&amp;"_"&amp;IF(COUNTIFS($G$4:G278, G279, $H$4:H278, H279)+1&gt;=100, COUNTIFS($G$4:G278, G279, $H$4:H278, H279)+1,IF(COUNTIFS($G$4:G278, G279, $H$4:H278, H279)+1&gt;=10, "0"&amp;COUNTIFS($G$4:G278, G279, $H$4:H278, H279)+1, "00"&amp;COUNTIFS($G$4:G278, G279, $H$4:H278, H279)+1))</f>
        <v>weapon_curved_Sh_011</v>
      </c>
      <c r="B279" s="36" t="str">
        <f t="shared" si="4"/>
        <v>T10 81mm박격포탑</v>
      </c>
      <c r="C279" s="36" t="s">
        <v>268</v>
      </c>
      <c r="D279" s="36" t="s">
        <v>264</v>
      </c>
      <c r="E279" s="36" t="s">
        <v>282</v>
      </c>
      <c r="F279" s="25">
        <f>VLOOKUP(C279, Factor!$AD$5:$AE$15, 2, 0)</f>
        <v>10000</v>
      </c>
      <c r="G279" s="26" t="str">
        <f>VLOOKUP(E279, Factor!$CL$5:$CV$50, 2, 0)</f>
        <v>curved</v>
      </c>
      <c r="H279" s="25" t="str">
        <f>VLOOKUP(E279, Factor!$CL$5:$CV$50, 3, 0)</f>
        <v>shell</v>
      </c>
      <c r="I279" s="25" t="str">
        <f>VLOOKUP(E279, Factor!$CL$5:$CV$50, 4, 0)</f>
        <v>L</v>
      </c>
      <c r="J279" s="25" t="str">
        <f>VLOOKUP(E279, Factor!$CL$5:$CV$50, 5, 0)</f>
        <v>spread</v>
      </c>
      <c r="K279" s="25">
        <v>1</v>
      </c>
      <c r="L279" s="25">
        <f>VLOOKUP(E279, Factor!$CL$5:$CV$50, 6, 0)*K279*VLOOKUP(D279, Factor!$BZ$5:$CJ$49, 9, 0)</f>
        <v>24</v>
      </c>
      <c r="M279" s="25" t="str">
        <f>VLOOKUP(E279, Factor!$CL$5:$CV$50, 7, 0)</f>
        <v>null</v>
      </c>
      <c r="N279" s="25">
        <v>1</v>
      </c>
      <c r="O279" s="25">
        <f>VLOOKUP(E279, Factor!$CL$5:$CV$50, 8, 0)*N279*VLOOKUP(D279, Factor!$BZ$5:$CJ$49, 10, 0)</f>
        <v>0</v>
      </c>
      <c r="P279" s="25">
        <v>1</v>
      </c>
      <c r="Q279" s="25">
        <f>VLOOKUP(E279, Factor!$CL$5:$CV$50, 9, 0)*P279*VLOOKUP(D279, Factor!$BZ$5:$CJ$49, 11, 0)</f>
        <v>8</v>
      </c>
      <c r="R279" s="25" t="str">
        <f>VLOOKUP(E279, Factor!$CL$5:$CV$50, 10, 0)</f>
        <v>null</v>
      </c>
      <c r="S279" s="25" t="str">
        <f>VLOOKUP(E279, Factor!$CL$5:$CV$50, 11, 0)</f>
        <v>null</v>
      </c>
      <c r="T279" s="25">
        <v>1</v>
      </c>
      <c r="U279" s="25">
        <v>1</v>
      </c>
      <c r="V279" s="25">
        <v>1</v>
      </c>
      <c r="W279" s="25">
        <v>1</v>
      </c>
      <c r="X279" s="25">
        <v>1</v>
      </c>
      <c r="Y279" s="25">
        <v>1</v>
      </c>
      <c r="Z279" s="25">
        <v>1</v>
      </c>
      <c r="AA279" s="25" cm="1">
        <f t="array" ref="AA279">_xlfn.LET(_xlpm.기본_색인번호, 2,
_xlpm.추가_색인번호, 3,
_xlpm.개별보정치, T279,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8800</v>
      </c>
      <c r="AB279" s="25" cm="1">
        <f t="array" ref="AB279">_xlfn.LET(_xlpm.기본_색인번호, 3,
_xlpm.추가_색인번호, 4,
_xlpm.개별보정치, U279,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392</v>
      </c>
      <c r="AC279" s="25" cm="1">
        <f t="array" ref="AC279">_xlfn.LET(_xlpm.기본_색인번호, 4,
_xlpm.추가_색인번호, 5,
_xlpm.개별보정치, V279,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</v>
      </c>
      <c r="AD279" s="25" cm="1">
        <f t="array" ref="AD279">_xlfn.LET(_xlpm.기본_색인번호, 5,
_xlpm.추가_색인번호, 6,
_xlpm.개별보정치, W279,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616</v>
      </c>
      <c r="AE279" s="25" cm="1">
        <f t="array" ref="AE279">_xlfn.LET(_xlpm.기본_색인번호, 6,
_xlpm.추가_색인번호, 7,
_xlpm.개별보정치, X279,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616</v>
      </c>
      <c r="AF279" s="25" cm="1">
        <f t="array" ref="AF279">_xlfn.LET(_xlpm.기본_색인번호, 7,
_xlpm.추가_색인번호, 8,
_xlpm.개별보정치, Y279,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6720</v>
      </c>
      <c r="AG279" s="27" cm="1">
        <f t="array" ref="AG279">_xlfn.LET(_xlpm.기본_색인번호, 8,
_xlpm.추가_색인번호, 9,
_xlpm.개별보정치, Z279,
_xlpm.패턴보정치, VLOOKUP($G279, Factor!$B$5:$I$51, _xlpm.기본_색인번호, 0),
_xlpm.소모탄환보정치, VLOOKUP($H279, Factor!$T$5:$AA$51, _xlpm.기본_색인번호, 0),
_xlpm.지형보정치, VLOOKUP($I279, Factor!$K$12:$R$13, _xlpm.기본_색인번호, 0),
_xlpm.공격속성보정치, VLOOKUP($J279, Factor!$K$5:$R$7, _xlpm.기본_색인번호, 0),
_xlpm.피해범위보정치, INDEX(Factor!$AN$5:$AV$51, _xlfn.XMATCH(IF(OR($G279="blast", $G279="curved",  $G279= "debuff"), $L279, 0), Factor!$AN$5:$AN$51, -1), _xlpm.추가_색인번호)-IF(AND(OR($G279="blast", $G279="curved", $G279= "debuff"), MOD($L279,1)&lt;&gt;0),INDEX(Factor!$AN$5:$AV$51, _xlfn.XMATCH(IF(OR($G279="blast", $G279="curved", $G279= "debuff"), $L279, 0), Factor!$AN$5:$AN$51, -1), 2)*MOD($L279,1)*10,0),
_xlpm.상태이상보정치, VLOOKUP(IF($G279 = "debuff", $M279, "null"), Factor!$AX$5:$BE$51, _xlpm.기본_색인번호, 0),
_xlpm.지속시간보정치, INDEX(Factor!$BG$5:$BO$51, _xlfn.XMATCH(IF(OR($G279 ="debuff", $G279 = "shot", $G279 = "pierce"), $O279, 0), Factor!$BG$5:$BG$51, -1), _xlpm.추가_색인번호)-IF(AND(OR($G279 ="debuff", $G279 = "shot", $G279 = "pierce"), MOD($O279, 1)&lt;&gt;0), 10*MOD($O279, 1)*INDEX(Factor!$BG$5:$BO$51, _xlfn.XMATCH(IF(OR($G279 ="debuff", $G279 = "shot", $G279 = "pierce"), $O279, 0), Factor!$BG$5:$BG$51, -1), 2), 0),
_xlpm.탄환개수보정치, VLOOKUP(IF(OR($G279 = "curved", $G279 = "shot"), $Q279, 1), Factor!$BQ$5:$BX$51, _xlpm.기본_색인번호, 0),
_xlpm.상태이상탄환생성위치보정치, IF($G279 = "debuff", VLOOKUP($R279, Factor!$K$18:$R$19, _xlpm.기본_색인번호, 0),1),
_xlpm.상태이상탄환형태보정치, IF($G279 = "debuff", VLOOKUP($S279, Factor!$K$24:$R$25, _xlpm.기본_색인번호, 0),1),
_xlpm.가격보정치, INDEX(Factor!$AE$5:$AL$51, _xlfn.XMATCH($F279,Factor!$AE$5:$AE$51, -1), _xlpm.기본_색인번호),
_xlpm.구경보정치, VLOOKUP($D279,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616</v>
      </c>
    </row>
    <row r="280" spans="1:33" ht="15.75" customHeight="1">
      <c r="A280" s="28" t="str">
        <f>"weapon_"&amp;G280&amp;"_"&amp;VLOOKUP(H280, Factor!$T$5:$AB$7, 9, 0)&amp;"_"&amp;IF(COUNTIFS($G$4:G279, G280, $H$4:H279, H280)+1&gt;=100, COUNTIFS($G$4:G279, G280, $H$4:H279, H280)+1,IF(COUNTIFS($G$4:G279, G280, $H$4:H279, H280)+1&gt;=10, "0"&amp;COUNTIFS($G$4:G279, G280, $H$4:H279, H280)+1, "00"&amp;COUNTIFS($G$4:G279, G280, $H$4:H279, H280)+1))</f>
        <v>weapon_pierce_Sh_023</v>
      </c>
      <c r="B280" s="37" t="str">
        <f t="shared" si="4"/>
        <v>녹슨 55mm함포</v>
      </c>
      <c r="C280" s="37" t="s">
        <v>240</v>
      </c>
      <c r="D280" s="37" t="s">
        <v>270</v>
      </c>
      <c r="E280" s="37" t="s">
        <v>283</v>
      </c>
      <c r="F280" s="29">
        <f>VLOOKUP(C280, Factor!$AD$5:$AE$15, 2, 0)</f>
        <v>0</v>
      </c>
      <c r="G280" s="29" t="str">
        <f>VLOOKUP(E280, Factor!$CL$5:$CV$50, 2, 0)</f>
        <v>pierce</v>
      </c>
      <c r="H280" s="29" t="str">
        <f>VLOOKUP(E280, Factor!$CL$5:$CV$50, 3, 0)</f>
        <v>shell</v>
      </c>
      <c r="I280" s="29" t="str">
        <f>VLOOKUP(E280, Factor!$CL$5:$CV$50, 4, 0)</f>
        <v>L</v>
      </c>
      <c r="J280" s="29" t="str">
        <f>VLOOKUP(E280, Factor!$CL$5:$CV$50, 5, 0)</f>
        <v>normal</v>
      </c>
      <c r="K280" s="29">
        <v>1</v>
      </c>
      <c r="L280" s="29">
        <f>VLOOKUP(E280, Factor!$CL$5:$CV$50, 6, 0)*K280*VLOOKUP(D280, Factor!$BZ$5:$CJ$49, 9, 0)</f>
        <v>0</v>
      </c>
      <c r="M280" s="29" t="str">
        <f>VLOOKUP(E280, Factor!$CL$5:$CV$50, 7, 0)</f>
        <v>null</v>
      </c>
      <c r="N280" s="29">
        <v>1</v>
      </c>
      <c r="O280" s="29">
        <f>VLOOKUP(E280, Factor!$CL$5:$CV$50, 8, 0)*N280*VLOOKUP(D280, Factor!$BZ$5:$CJ$49, 10, 0)</f>
        <v>21</v>
      </c>
      <c r="P280" s="29">
        <v>1</v>
      </c>
      <c r="Q280" s="29">
        <f>VLOOKUP(E280, Factor!$CL$5:$CV$50, 9, 0)*P280*VLOOKUP(D280, Factor!$BZ$5:$CJ$49, 11, 0)</f>
        <v>7</v>
      </c>
      <c r="R280" s="29" t="str">
        <f>VLOOKUP(E280, Factor!$CL$5:$CV$50, 10, 0)</f>
        <v>null</v>
      </c>
      <c r="S280" s="29" t="str">
        <f>VLOOKUP(E280, Factor!$CL$5:$CV$50, 11, 0)</f>
        <v>null</v>
      </c>
      <c r="T280" s="29">
        <v>1</v>
      </c>
      <c r="U280" s="29">
        <v>1</v>
      </c>
      <c r="V280" s="29">
        <v>1</v>
      </c>
      <c r="W280" s="29">
        <v>1</v>
      </c>
      <c r="X280" s="29">
        <v>1</v>
      </c>
      <c r="Y280" s="29">
        <v>1</v>
      </c>
      <c r="Z280" s="29">
        <v>1</v>
      </c>
      <c r="AA280" s="29" cm="1">
        <f t="array" ref="AA280">_xlfn.LET(_xlpm.기본_색인번호, 2,
_xlpm.추가_색인번호, 3,
_xlpm.개별보정치, T280,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280" s="29" cm="1">
        <f t="array" ref="AB280">_xlfn.LET(_xlpm.기본_색인번호, 3,
_xlpm.추가_색인번호, 4,
_xlpm.개별보정치, U280,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0" s="29" cm="1">
        <f t="array" ref="AC280">_xlfn.LET(_xlpm.기본_색인번호, 4,
_xlpm.추가_색인번호, 5,
_xlpm.개별보정치, V280,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0" s="29" cm="1">
        <f t="array" ref="AD280">_xlfn.LET(_xlpm.기본_색인번호, 5,
_xlpm.추가_색인번호, 6,
_xlpm.개별보정치, W280,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E280" s="29" cm="1">
        <f t="array" ref="AE280">_xlfn.LET(_xlpm.기본_색인번호, 6,
_xlpm.추가_색인번호, 7,
_xlpm.개별보정치, X280,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F280" s="29" cm="1">
        <f t="array" ref="AF280">_xlfn.LET(_xlpm.기본_색인번호, 7,
_xlpm.추가_색인번호, 8,
_xlpm.개별보정치, Y280,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0" s="30" cm="1">
        <f t="array" ref="AG280">_xlfn.LET(_xlpm.기본_색인번호, 8,
_xlpm.추가_색인번호, 9,
_xlpm.개별보정치, Z280,
_xlpm.패턴보정치, VLOOKUP($G280, Factor!$B$5:$I$51, _xlpm.기본_색인번호, 0),
_xlpm.소모탄환보정치, VLOOKUP($H280, Factor!$T$5:$AA$51, _xlpm.기본_색인번호, 0),
_xlpm.지형보정치, VLOOKUP($I280, Factor!$K$12:$R$13, _xlpm.기본_색인번호, 0),
_xlpm.공격속성보정치, VLOOKUP($J280, Factor!$K$5:$R$7, _xlpm.기본_색인번호, 0),
_xlpm.피해범위보정치, INDEX(Factor!$AN$5:$AV$51, _xlfn.XMATCH(IF(OR($G280="blast", $G280="curved",  $G280= "debuff"), $L280, 0), Factor!$AN$5:$AN$51, -1), _xlpm.추가_색인번호)-IF(AND(OR($G280="blast", $G280="curved", $G280= "debuff"), MOD($L280,1)&lt;&gt;0),INDEX(Factor!$AN$5:$AV$51, _xlfn.XMATCH(IF(OR($G280="blast", $G280="curved", $G280= "debuff"), $L280, 0), Factor!$AN$5:$AN$51, -1), 2)*MOD($L280,1)*10,0),
_xlpm.상태이상보정치, VLOOKUP(IF($G280 = "debuff", $M280, "null"), Factor!$AX$5:$BE$51, _xlpm.기본_색인번호, 0),
_xlpm.지속시간보정치, INDEX(Factor!$BG$5:$BO$51, _xlfn.XMATCH(IF(OR($G280 ="debuff", $G280 = "shot", $G280 = "pierce"), $O280, 0), Factor!$BG$5:$BG$51, -1), _xlpm.추가_색인번호)-IF(AND(OR($G280 ="debuff", $G280 = "shot", $G280 = "pierce"), MOD($O280, 1)&lt;&gt;0), 10*MOD($O280, 1)*INDEX(Factor!$BG$5:$BO$51, _xlfn.XMATCH(IF(OR($G280 ="debuff", $G280 = "shot", $G280 = "pierce"), $O280, 0), Factor!$BG$5:$BG$51, -1), 2), 0),
_xlpm.탄환개수보정치, VLOOKUP(IF(OR($G280 = "curved", $G280 = "shot"), $Q280, 1), Factor!$BQ$5:$BX$51, _xlpm.기본_색인번호, 0),
_xlpm.상태이상탄환생성위치보정치, IF($G280 = "debuff", VLOOKUP($R280, Factor!$K$18:$R$19, _xlpm.기본_색인번호, 0),1),
_xlpm.상태이상탄환형태보정치, IF($G280 = "debuff", VLOOKUP($S280, Factor!$K$24:$R$25, _xlpm.기본_색인번호, 0),1),
_xlpm.가격보정치, INDEX(Factor!$AE$5:$AL$51, _xlfn.XMATCH($F280,Factor!$AE$5:$AE$51, -1), _xlpm.기본_색인번호),
_xlpm.구경보정치, VLOOKUP($D280,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</row>
    <row r="281" spans="1:33" ht="15.75" customHeight="1">
      <c r="A281" s="24" t="str">
        <f>"weapon_"&amp;G281&amp;"_"&amp;VLOOKUP(H281, Factor!$T$5:$AB$7, 9, 0)&amp;"_"&amp;IF(COUNTIFS($G$4:G280, G281, $H$4:H280, H281)+1&gt;=100, COUNTIFS($G$4:G280, G281, $H$4:H280, H281)+1,IF(COUNTIFS($G$4:G280, G281, $H$4:H280, H281)+1&gt;=10, "0"&amp;COUNTIFS($G$4:G280, G281, $H$4:H280, H281)+1, "00"&amp;COUNTIFS($G$4:G280, G281, $H$4:H280, H281)+1))</f>
        <v>weapon_pierce_Sh_024</v>
      </c>
      <c r="B281" s="36" t="str">
        <f t="shared" si="4"/>
        <v>녹슨 105mm함포</v>
      </c>
      <c r="C281" s="36" t="s">
        <v>240</v>
      </c>
      <c r="D281" s="36" t="s">
        <v>272</v>
      </c>
      <c r="E281" s="36" t="s">
        <v>283</v>
      </c>
      <c r="F281" s="25">
        <f>VLOOKUP(C281, Factor!$AD$5:$AE$15, 2, 0)</f>
        <v>0</v>
      </c>
      <c r="G281" s="26" t="str">
        <f>VLOOKUP(E281, Factor!$CL$5:$CV$50, 2, 0)</f>
        <v>pierce</v>
      </c>
      <c r="H281" s="25" t="str">
        <f>VLOOKUP(E281, Factor!$CL$5:$CV$50, 3, 0)</f>
        <v>shell</v>
      </c>
      <c r="I281" s="25" t="str">
        <f>VLOOKUP(E281, Factor!$CL$5:$CV$50, 4, 0)</f>
        <v>L</v>
      </c>
      <c r="J281" s="25" t="str">
        <f>VLOOKUP(E281, Factor!$CL$5:$CV$50, 5, 0)</f>
        <v>normal</v>
      </c>
      <c r="K281" s="25">
        <v>1</v>
      </c>
      <c r="L281" s="25">
        <f>VLOOKUP(E281, Factor!$CL$5:$CV$50, 6, 0)*K281*VLOOKUP(D281, Factor!$BZ$5:$CJ$49, 9, 0)</f>
        <v>0</v>
      </c>
      <c r="M281" s="25" t="str">
        <f>VLOOKUP(E281, Factor!$CL$5:$CV$50, 7, 0)</f>
        <v>null</v>
      </c>
      <c r="N281" s="25">
        <v>1</v>
      </c>
      <c r="O281" s="25">
        <f>VLOOKUP(E281, Factor!$CL$5:$CV$50, 8, 0)*N281*VLOOKUP(D281, Factor!$BZ$5:$CJ$49, 10, 0)</f>
        <v>24</v>
      </c>
      <c r="P281" s="25">
        <v>1</v>
      </c>
      <c r="Q281" s="25">
        <f>VLOOKUP(E281, Factor!$CL$5:$CV$50, 9, 0)*P281*VLOOKUP(D281, Factor!$BZ$5:$CJ$49, 11, 0)</f>
        <v>8</v>
      </c>
      <c r="R281" s="25" t="str">
        <f>VLOOKUP(E281, Factor!$CL$5:$CV$50, 10, 0)</f>
        <v>null</v>
      </c>
      <c r="S281" s="25" t="str">
        <f>VLOOKUP(E281, Factor!$CL$5:$CV$50, 11, 0)</f>
        <v>null</v>
      </c>
      <c r="T281" s="25">
        <v>1</v>
      </c>
      <c r="U281" s="25">
        <v>1</v>
      </c>
      <c r="V281" s="25">
        <v>1</v>
      </c>
      <c r="W281" s="25">
        <v>1</v>
      </c>
      <c r="X281" s="25">
        <v>1</v>
      </c>
      <c r="Y281" s="25">
        <v>1</v>
      </c>
      <c r="Z281" s="25">
        <v>1</v>
      </c>
      <c r="AA281" s="25" cm="1">
        <f t="array" ref="AA281">_xlfn.LET(_xlpm.기본_색인번호, 2,
_xlpm.추가_색인번호, 3,
_xlpm.개별보정치, T281,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281" s="25" cm="1">
        <f t="array" ref="AB281">_xlfn.LET(_xlpm.기본_색인번호, 3,
_xlpm.추가_색인번호, 4,
_xlpm.개별보정치, U281,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1" s="25" cm="1">
        <f t="array" ref="AC281">_xlfn.LET(_xlpm.기본_색인번호, 4,
_xlpm.추가_색인번호, 5,
_xlpm.개별보정치, V281,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1" s="25" cm="1">
        <f t="array" ref="AD281">_xlfn.LET(_xlpm.기본_색인번호, 5,
_xlpm.추가_색인번호, 6,
_xlpm.개별보정치, W281,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E281" s="25" cm="1">
        <f t="array" ref="AE281">_xlfn.LET(_xlpm.기본_색인번호, 6,
_xlpm.추가_색인번호, 7,
_xlpm.개별보정치, X281,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F281" s="25" cm="1">
        <f t="array" ref="AF281">_xlfn.LET(_xlpm.기본_색인번호, 7,
_xlpm.추가_색인번호, 8,
_xlpm.개별보정치, Y281,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1" s="27" cm="1">
        <f t="array" ref="AG281">_xlfn.LET(_xlpm.기본_색인번호, 8,
_xlpm.추가_색인번호, 9,
_xlpm.개별보정치, Z281,
_xlpm.패턴보정치, VLOOKUP($G281, Factor!$B$5:$I$51, _xlpm.기본_색인번호, 0),
_xlpm.소모탄환보정치, VLOOKUP($H281, Factor!$T$5:$AA$51, _xlpm.기본_색인번호, 0),
_xlpm.지형보정치, VLOOKUP($I281, Factor!$K$12:$R$13, _xlpm.기본_색인번호, 0),
_xlpm.공격속성보정치, VLOOKUP($J281, Factor!$K$5:$R$7, _xlpm.기본_색인번호, 0),
_xlpm.피해범위보정치, INDEX(Factor!$AN$5:$AV$51, _xlfn.XMATCH(IF(OR($G281="blast", $G281="curved",  $G281= "debuff"), $L281, 0), Factor!$AN$5:$AN$51, -1), _xlpm.추가_색인번호)-IF(AND(OR($G281="blast", $G281="curved", $G281= "debuff"), MOD($L281,1)&lt;&gt;0),INDEX(Factor!$AN$5:$AV$51, _xlfn.XMATCH(IF(OR($G281="blast", $G281="curved", $G281= "debuff"), $L281, 0), Factor!$AN$5:$AN$51, -1), 2)*MOD($L281,1)*10,0),
_xlpm.상태이상보정치, VLOOKUP(IF($G281 = "debuff", $M281, "null"), Factor!$AX$5:$BE$51, _xlpm.기본_색인번호, 0),
_xlpm.지속시간보정치, INDEX(Factor!$BG$5:$BO$51, _xlfn.XMATCH(IF(OR($G281 ="debuff", $G281 = "shot", $G281 = "pierce"), $O281, 0), Factor!$BG$5:$BG$51, -1), _xlpm.추가_색인번호)-IF(AND(OR($G281 ="debuff", $G281 = "shot", $G281 = "pierce"), MOD($O281, 1)&lt;&gt;0), 10*MOD($O281, 1)*INDEX(Factor!$BG$5:$BO$51, _xlfn.XMATCH(IF(OR($G281 ="debuff", $G281 = "shot", $G281 = "pierce"), $O281, 0), Factor!$BG$5:$BG$51, -1), 2), 0),
_xlpm.탄환개수보정치, VLOOKUP(IF(OR($G281 = "curved", $G281 = "shot"), $Q281, 1), Factor!$BQ$5:$BX$51, _xlpm.기본_색인번호, 0),
_xlpm.상태이상탄환생성위치보정치, IF($G281 = "debuff", VLOOKUP($R281, Factor!$K$18:$R$19, _xlpm.기본_색인번호, 0),1),
_xlpm.상태이상탄환형태보정치, IF($G281 = "debuff", VLOOKUP($S281, Factor!$K$24:$R$25, _xlpm.기본_색인번호, 0),1),
_xlpm.가격보정치, INDEX(Factor!$AE$5:$AL$51, _xlfn.XMATCH($F281,Factor!$AE$5:$AE$51, -1), _xlpm.기본_색인번호),
_xlpm.구경보정치, VLOOKUP($D281,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</row>
    <row r="282" spans="1:33" ht="15.75" customHeight="1">
      <c r="A282" s="28" t="str">
        <f>"weapon_"&amp;G282&amp;"_"&amp;VLOOKUP(H282, Factor!$T$5:$AB$7, 9, 0)&amp;"_"&amp;IF(COUNTIFS($G$4:G281, G282, $H$4:H281, H282)+1&gt;=100, COUNTIFS($G$4:G281, G282, $H$4:H281, H282)+1,IF(COUNTIFS($G$4:G281, G282, $H$4:H281, H282)+1&gt;=10, "0"&amp;COUNTIFS($G$4:G281, G282, $H$4:H281, H282)+1, "00"&amp;COUNTIFS($G$4:G281, G282, $H$4:H281, H282)+1))</f>
        <v>weapon_pierce_Sh_025</v>
      </c>
      <c r="B282" s="37" t="str">
        <f t="shared" si="4"/>
        <v>녹슨 155mm함포</v>
      </c>
      <c r="C282" s="37" t="s">
        <v>240</v>
      </c>
      <c r="D282" s="37" t="s">
        <v>273</v>
      </c>
      <c r="E282" s="37" t="s">
        <v>283</v>
      </c>
      <c r="F282" s="29">
        <f>VLOOKUP(C282, Factor!$AD$5:$AE$15, 2, 0)</f>
        <v>0</v>
      </c>
      <c r="G282" s="29" t="str">
        <f>VLOOKUP(E282, Factor!$CL$5:$CV$50, 2, 0)</f>
        <v>pierce</v>
      </c>
      <c r="H282" s="29" t="str">
        <f>VLOOKUP(E282, Factor!$CL$5:$CV$50, 3, 0)</f>
        <v>shell</v>
      </c>
      <c r="I282" s="29" t="str">
        <f>VLOOKUP(E282, Factor!$CL$5:$CV$50, 4, 0)</f>
        <v>L</v>
      </c>
      <c r="J282" s="29" t="str">
        <f>VLOOKUP(E282, Factor!$CL$5:$CV$50, 5, 0)</f>
        <v>normal</v>
      </c>
      <c r="K282" s="29">
        <v>1</v>
      </c>
      <c r="L282" s="29">
        <f>VLOOKUP(E282, Factor!$CL$5:$CV$50, 6, 0)*K282*VLOOKUP(D282, Factor!$BZ$5:$CJ$49, 9, 0)</f>
        <v>0</v>
      </c>
      <c r="M282" s="29" t="str">
        <f>VLOOKUP(E282, Factor!$CL$5:$CV$50, 7, 0)</f>
        <v>null</v>
      </c>
      <c r="N282" s="29">
        <v>1</v>
      </c>
      <c r="O282" s="29">
        <f>VLOOKUP(E282, Factor!$CL$5:$CV$50, 8, 0)*N282*VLOOKUP(D282, Factor!$BZ$5:$CJ$49, 10, 0)</f>
        <v>24</v>
      </c>
      <c r="P282" s="29">
        <v>1</v>
      </c>
      <c r="Q282" s="29">
        <f>VLOOKUP(E282, Factor!$CL$5:$CV$50, 9, 0)*P282*VLOOKUP(D282, Factor!$BZ$5:$CJ$49, 11, 0)</f>
        <v>8</v>
      </c>
      <c r="R282" s="29" t="str">
        <f>VLOOKUP(E282, Factor!$CL$5:$CV$50, 10, 0)</f>
        <v>null</v>
      </c>
      <c r="S282" s="29" t="str">
        <f>VLOOKUP(E282, Factor!$CL$5:$CV$50, 11, 0)</f>
        <v>null</v>
      </c>
      <c r="T282" s="29">
        <v>1</v>
      </c>
      <c r="U282" s="29">
        <v>1</v>
      </c>
      <c r="V282" s="29">
        <v>1</v>
      </c>
      <c r="W282" s="29">
        <v>1</v>
      </c>
      <c r="X282" s="29">
        <v>1</v>
      </c>
      <c r="Y282" s="29">
        <v>1</v>
      </c>
      <c r="Z282" s="29">
        <v>1</v>
      </c>
      <c r="AA282" s="29" cm="1">
        <f t="array" ref="AA282">_xlfn.LET(_xlpm.기본_색인번호, 2,
_xlpm.추가_색인번호, 3,
_xlpm.개별보정치, T282,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282" s="29" cm="1">
        <f t="array" ref="AB282">_xlfn.LET(_xlpm.기본_색인번호, 3,
_xlpm.추가_색인번호, 4,
_xlpm.개별보정치, U282,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2" s="29" cm="1">
        <f t="array" ref="AC282">_xlfn.LET(_xlpm.기본_색인번호, 4,
_xlpm.추가_색인번호, 5,
_xlpm.개별보정치, V282,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2" s="29" cm="1">
        <f t="array" ref="AD282">_xlfn.LET(_xlpm.기본_색인번호, 5,
_xlpm.추가_색인번호, 6,
_xlpm.개별보정치, W282,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E282" s="29" cm="1">
        <f t="array" ref="AE282">_xlfn.LET(_xlpm.기본_색인번호, 6,
_xlpm.추가_색인번호, 7,
_xlpm.개별보정치, X282,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F282" s="29" cm="1">
        <f t="array" ref="AF282">_xlfn.LET(_xlpm.기본_색인번호, 7,
_xlpm.추가_색인번호, 8,
_xlpm.개별보정치, Y282,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2" s="30" cm="1">
        <f t="array" ref="AG282">_xlfn.LET(_xlpm.기본_색인번호, 8,
_xlpm.추가_색인번호, 9,
_xlpm.개별보정치, Z282,
_xlpm.패턴보정치, VLOOKUP($G282, Factor!$B$5:$I$51, _xlpm.기본_색인번호, 0),
_xlpm.소모탄환보정치, VLOOKUP($H282, Factor!$T$5:$AA$51, _xlpm.기본_색인번호, 0),
_xlpm.지형보정치, VLOOKUP($I282, Factor!$K$12:$R$13, _xlpm.기본_색인번호, 0),
_xlpm.공격속성보정치, VLOOKUP($J282, Factor!$K$5:$R$7, _xlpm.기본_색인번호, 0),
_xlpm.피해범위보정치, INDEX(Factor!$AN$5:$AV$51, _xlfn.XMATCH(IF(OR($G282="blast", $G282="curved",  $G282= "debuff"), $L282, 0), Factor!$AN$5:$AN$51, -1), _xlpm.추가_색인번호)-IF(AND(OR($G282="blast", $G282="curved", $G282= "debuff"), MOD($L282,1)&lt;&gt;0),INDEX(Factor!$AN$5:$AV$51, _xlfn.XMATCH(IF(OR($G282="blast", $G282="curved", $G282= "debuff"), $L282, 0), Factor!$AN$5:$AN$51, -1), 2)*MOD($L282,1)*10,0),
_xlpm.상태이상보정치, VLOOKUP(IF($G282 = "debuff", $M282, "null"), Factor!$AX$5:$BE$51, _xlpm.기본_색인번호, 0),
_xlpm.지속시간보정치, INDEX(Factor!$BG$5:$BO$51, _xlfn.XMATCH(IF(OR($G282 ="debuff", $G282 = "shot", $G282 = "pierce"), $O282, 0), Factor!$BG$5:$BG$51, -1), _xlpm.추가_색인번호)-IF(AND(OR($G282 ="debuff", $G282 = "shot", $G282 = "pierce"), MOD($O282, 1)&lt;&gt;0), 10*MOD($O282, 1)*INDEX(Factor!$BG$5:$BO$51, _xlfn.XMATCH(IF(OR($G282 ="debuff", $G282 = "shot", $G282 = "pierce"), $O282, 0), Factor!$BG$5:$BG$51, -1), 2), 0),
_xlpm.탄환개수보정치, VLOOKUP(IF(OR($G282 = "curved", $G282 = "shot"), $Q282, 1), Factor!$BQ$5:$BX$51, _xlpm.기본_색인번호, 0),
_xlpm.상태이상탄환생성위치보정치, IF($G282 = "debuff", VLOOKUP($R282, Factor!$K$18:$R$19, _xlpm.기본_색인번호, 0),1),
_xlpm.상태이상탄환형태보정치, IF($G282 = "debuff", VLOOKUP($S282, Factor!$K$24:$R$25, _xlpm.기본_색인번호, 0),1),
_xlpm.가격보정치, INDEX(Factor!$AE$5:$AL$51, _xlfn.XMATCH($F282,Factor!$AE$5:$AE$51, -1), _xlpm.기본_색인번호),
_xlpm.구경보정치, VLOOKUP($D282,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</row>
    <row r="283" spans="1:33" ht="15.75" customHeight="1">
      <c r="A283" s="24" t="str">
        <f>"weapon_"&amp;G283&amp;"_"&amp;VLOOKUP(H283, Factor!$T$5:$AB$7, 9, 0)&amp;"_"&amp;IF(COUNTIFS($G$4:G282, G283, $H$4:H282, H283)+1&gt;=100, COUNTIFS($G$4:G282, G283, $H$4:H282, H283)+1,IF(COUNTIFS($G$4:G282, G283, $H$4:H282, H283)+1&gt;=10, "0"&amp;COUNTIFS($G$4:G282, G283, $H$4:H282, H283)+1, "00"&amp;COUNTIFS($G$4:G282, G283, $H$4:H282, H283)+1))</f>
        <v>weapon_pierce_Sh_026</v>
      </c>
      <c r="B283" s="36" t="str">
        <f t="shared" si="4"/>
        <v>T1 55mm함포</v>
      </c>
      <c r="C283" s="36" t="s">
        <v>238</v>
      </c>
      <c r="D283" s="36" t="s">
        <v>270</v>
      </c>
      <c r="E283" s="36" t="s">
        <v>283</v>
      </c>
      <c r="F283" s="25">
        <f>VLOOKUP(C283, Factor!$AD$5:$AE$15, 2, 0)</f>
        <v>1000</v>
      </c>
      <c r="G283" s="26" t="str">
        <f>VLOOKUP(E283, Factor!$CL$5:$CV$50, 2, 0)</f>
        <v>pierce</v>
      </c>
      <c r="H283" s="25" t="str">
        <f>VLOOKUP(E283, Factor!$CL$5:$CV$50, 3, 0)</f>
        <v>shell</v>
      </c>
      <c r="I283" s="25" t="str">
        <f>VLOOKUP(E283, Factor!$CL$5:$CV$50, 4, 0)</f>
        <v>L</v>
      </c>
      <c r="J283" s="25" t="str">
        <f>VLOOKUP(E283, Factor!$CL$5:$CV$50, 5, 0)</f>
        <v>normal</v>
      </c>
      <c r="K283" s="25">
        <v>1</v>
      </c>
      <c r="L283" s="25">
        <f>VLOOKUP(E283, Factor!$CL$5:$CV$50, 6, 0)*K283*VLOOKUP(D283, Factor!$BZ$5:$CJ$49, 9, 0)</f>
        <v>0</v>
      </c>
      <c r="M283" s="25" t="str">
        <f>VLOOKUP(E283, Factor!$CL$5:$CV$50, 7, 0)</f>
        <v>null</v>
      </c>
      <c r="N283" s="25">
        <v>1</v>
      </c>
      <c r="O283" s="25">
        <f>VLOOKUP(E283, Factor!$CL$5:$CV$50, 8, 0)*N283*VLOOKUP(D283, Factor!$BZ$5:$CJ$49, 10, 0)</f>
        <v>21</v>
      </c>
      <c r="P283" s="25">
        <v>1</v>
      </c>
      <c r="Q283" s="25">
        <f>VLOOKUP(E283, Factor!$CL$5:$CV$50, 9, 0)*P283*VLOOKUP(D283, Factor!$BZ$5:$CJ$49, 11, 0)</f>
        <v>7</v>
      </c>
      <c r="R283" s="25" t="str">
        <f>VLOOKUP(E283, Factor!$CL$5:$CV$50, 10, 0)</f>
        <v>null</v>
      </c>
      <c r="S283" s="25" t="str">
        <f>VLOOKUP(E283, Factor!$CL$5:$CV$50, 11, 0)</f>
        <v>null</v>
      </c>
      <c r="T283" s="25">
        <v>1</v>
      </c>
      <c r="U283" s="25">
        <v>1</v>
      </c>
      <c r="V283" s="25">
        <v>1</v>
      </c>
      <c r="W283" s="25">
        <v>1</v>
      </c>
      <c r="X283" s="25">
        <v>1</v>
      </c>
      <c r="Y283" s="25">
        <v>1</v>
      </c>
      <c r="Z283" s="25">
        <v>1</v>
      </c>
      <c r="AA283" s="25" cm="1">
        <f t="array" ref="AA283">_xlfn.LET(_xlpm.기본_색인번호, 2,
_xlpm.추가_색인번호, 3,
_xlpm.개별보정치, T283,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283" s="25" cm="1">
        <f t="array" ref="AB283">_xlfn.LET(_xlpm.기본_색인번호, 3,
_xlpm.추가_색인번호, 4,
_xlpm.개별보정치, U283,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3" s="25" cm="1">
        <f t="array" ref="AC283">_xlfn.LET(_xlpm.기본_색인번호, 4,
_xlpm.추가_색인번호, 5,
_xlpm.개별보정치, V283,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3" s="25" cm="1">
        <f t="array" ref="AD283">_xlfn.LET(_xlpm.기본_색인번호, 5,
_xlpm.추가_색인번호, 6,
_xlpm.개별보정치, W283,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E283" s="25" cm="1">
        <f t="array" ref="AE283">_xlfn.LET(_xlpm.기본_색인번호, 6,
_xlpm.추가_색인번호, 7,
_xlpm.개별보정치, X283,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F283" s="25" cm="1">
        <f t="array" ref="AF283">_xlfn.LET(_xlpm.기본_색인번호, 7,
_xlpm.추가_색인번호, 8,
_xlpm.개별보정치, Y283,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3" s="27" cm="1">
        <f t="array" ref="AG283">_xlfn.LET(_xlpm.기본_색인번호, 8,
_xlpm.추가_색인번호, 9,
_xlpm.개별보정치, Z283,
_xlpm.패턴보정치, VLOOKUP($G283, Factor!$B$5:$I$51, _xlpm.기본_색인번호, 0),
_xlpm.소모탄환보정치, VLOOKUP($H283, Factor!$T$5:$AA$51, _xlpm.기본_색인번호, 0),
_xlpm.지형보정치, VLOOKUP($I283, Factor!$K$12:$R$13, _xlpm.기본_색인번호, 0),
_xlpm.공격속성보정치, VLOOKUP($J283, Factor!$K$5:$R$7, _xlpm.기본_색인번호, 0),
_xlpm.피해범위보정치, INDEX(Factor!$AN$5:$AV$51, _xlfn.XMATCH(IF(OR($G283="blast", $G283="curved",  $G283= "debuff"), $L283, 0), Factor!$AN$5:$AN$51, -1), _xlpm.추가_색인번호)-IF(AND(OR($G283="blast", $G283="curved", $G283= "debuff"), MOD($L283,1)&lt;&gt;0),INDEX(Factor!$AN$5:$AV$51, _xlfn.XMATCH(IF(OR($G283="blast", $G283="curved", $G283= "debuff"), $L283, 0), Factor!$AN$5:$AN$51, -1), 2)*MOD($L283,1)*10,0),
_xlpm.상태이상보정치, VLOOKUP(IF($G283 = "debuff", $M283, "null"), Factor!$AX$5:$BE$51, _xlpm.기본_색인번호, 0),
_xlpm.지속시간보정치, INDEX(Factor!$BG$5:$BO$51, _xlfn.XMATCH(IF(OR($G283 ="debuff", $G283 = "shot", $G283 = "pierce"), $O283, 0), Factor!$BG$5:$BG$51, -1), _xlpm.추가_색인번호)-IF(AND(OR($G283 ="debuff", $G283 = "shot", $G283 = "pierce"), MOD($O283, 1)&lt;&gt;0), 10*MOD($O283, 1)*INDEX(Factor!$BG$5:$BO$51, _xlfn.XMATCH(IF(OR($G283 ="debuff", $G283 = "shot", $G283 = "pierce"), $O283, 0), Factor!$BG$5:$BG$51, -1), 2), 0),
_xlpm.탄환개수보정치, VLOOKUP(IF(OR($G283 = "curved", $G283 = "shot"), $Q283, 1), Factor!$BQ$5:$BX$51, _xlpm.기본_색인번호, 0),
_xlpm.상태이상탄환생성위치보정치, IF($G283 = "debuff", VLOOKUP($R283, Factor!$K$18:$R$19, _xlpm.기본_색인번호, 0),1),
_xlpm.상태이상탄환형태보정치, IF($G283 = "debuff", VLOOKUP($S283, Factor!$K$24:$R$25, _xlpm.기본_색인번호, 0),1),
_xlpm.가격보정치, INDEX(Factor!$AE$5:$AL$51, _xlfn.XMATCH($F283,Factor!$AE$5:$AE$51, -1), _xlpm.기본_색인번호),
_xlpm.구경보정치, VLOOKUP($D283,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</row>
    <row r="284" spans="1:33" ht="15.75" customHeight="1">
      <c r="A284" s="28" t="str">
        <f>"weapon_"&amp;G284&amp;"_"&amp;VLOOKUP(H284, Factor!$T$5:$AB$7, 9, 0)&amp;"_"&amp;IF(COUNTIFS($G$4:G283, G284, $H$4:H283, H284)+1&gt;=100, COUNTIFS($G$4:G283, G284, $H$4:H283, H284)+1,IF(COUNTIFS($G$4:G283, G284, $H$4:H283, H284)+1&gt;=10, "0"&amp;COUNTIFS($G$4:G283, G284, $H$4:H283, H284)+1, "00"&amp;COUNTIFS($G$4:G283, G284, $H$4:H283, H284)+1))</f>
        <v>weapon_pierce_Sh_027</v>
      </c>
      <c r="B284" s="37" t="str">
        <f t="shared" si="4"/>
        <v>T1 105mm함포</v>
      </c>
      <c r="C284" s="37" t="s">
        <v>238</v>
      </c>
      <c r="D284" s="37" t="s">
        <v>272</v>
      </c>
      <c r="E284" s="37" t="s">
        <v>283</v>
      </c>
      <c r="F284" s="29">
        <f>VLOOKUP(C284, Factor!$AD$5:$AE$15, 2, 0)</f>
        <v>1000</v>
      </c>
      <c r="G284" s="29" t="str">
        <f>VLOOKUP(E284, Factor!$CL$5:$CV$50, 2, 0)</f>
        <v>pierce</v>
      </c>
      <c r="H284" s="29" t="str">
        <f>VLOOKUP(E284, Factor!$CL$5:$CV$50, 3, 0)</f>
        <v>shell</v>
      </c>
      <c r="I284" s="29" t="str">
        <f>VLOOKUP(E284, Factor!$CL$5:$CV$50, 4, 0)</f>
        <v>L</v>
      </c>
      <c r="J284" s="29" t="str">
        <f>VLOOKUP(E284, Factor!$CL$5:$CV$50, 5, 0)</f>
        <v>normal</v>
      </c>
      <c r="K284" s="29">
        <v>1</v>
      </c>
      <c r="L284" s="29">
        <f>VLOOKUP(E284, Factor!$CL$5:$CV$50, 6, 0)*K284*VLOOKUP(D284, Factor!$BZ$5:$CJ$49, 9, 0)</f>
        <v>0</v>
      </c>
      <c r="M284" s="29" t="str">
        <f>VLOOKUP(E284, Factor!$CL$5:$CV$50, 7, 0)</f>
        <v>null</v>
      </c>
      <c r="N284" s="29">
        <v>1</v>
      </c>
      <c r="O284" s="29">
        <f>VLOOKUP(E284, Factor!$CL$5:$CV$50, 8, 0)*N284*VLOOKUP(D284, Factor!$BZ$5:$CJ$49, 10, 0)</f>
        <v>24</v>
      </c>
      <c r="P284" s="29">
        <v>1</v>
      </c>
      <c r="Q284" s="29">
        <f>VLOOKUP(E284, Factor!$CL$5:$CV$50, 9, 0)*P284*VLOOKUP(D284, Factor!$BZ$5:$CJ$49, 11, 0)</f>
        <v>8</v>
      </c>
      <c r="R284" s="29" t="str">
        <f>VLOOKUP(E284, Factor!$CL$5:$CV$50, 10, 0)</f>
        <v>null</v>
      </c>
      <c r="S284" s="29" t="str">
        <f>VLOOKUP(E284, Factor!$CL$5:$CV$50, 11, 0)</f>
        <v>null</v>
      </c>
      <c r="T284" s="29">
        <v>1</v>
      </c>
      <c r="U284" s="29">
        <v>1</v>
      </c>
      <c r="V284" s="29">
        <v>1</v>
      </c>
      <c r="W284" s="29">
        <v>1</v>
      </c>
      <c r="X284" s="29">
        <v>1</v>
      </c>
      <c r="Y284" s="29">
        <v>1</v>
      </c>
      <c r="Z284" s="29">
        <v>1</v>
      </c>
      <c r="AA284" s="29" cm="1">
        <f t="array" ref="AA284">_xlfn.LET(_xlpm.기본_색인번호, 2,
_xlpm.추가_색인번호, 3,
_xlpm.개별보정치, T284,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284" s="29" cm="1">
        <f t="array" ref="AB284">_xlfn.LET(_xlpm.기본_색인번호, 3,
_xlpm.추가_색인번호, 4,
_xlpm.개별보정치, U284,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4" s="29" cm="1">
        <f t="array" ref="AC284">_xlfn.LET(_xlpm.기본_색인번호, 4,
_xlpm.추가_색인번호, 5,
_xlpm.개별보정치, V284,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4" s="29" cm="1">
        <f t="array" ref="AD284">_xlfn.LET(_xlpm.기본_색인번호, 5,
_xlpm.추가_색인번호, 6,
_xlpm.개별보정치, W284,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E284" s="29" cm="1">
        <f t="array" ref="AE284">_xlfn.LET(_xlpm.기본_색인번호, 6,
_xlpm.추가_색인번호, 7,
_xlpm.개별보정치, X284,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F284" s="29" cm="1">
        <f t="array" ref="AF284">_xlfn.LET(_xlpm.기본_색인번호, 7,
_xlpm.추가_색인번호, 8,
_xlpm.개별보정치, Y284,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4" s="30" cm="1">
        <f t="array" ref="AG284">_xlfn.LET(_xlpm.기본_색인번호, 8,
_xlpm.추가_색인번호, 9,
_xlpm.개별보정치, Z284,
_xlpm.패턴보정치, VLOOKUP($G284, Factor!$B$5:$I$51, _xlpm.기본_색인번호, 0),
_xlpm.소모탄환보정치, VLOOKUP($H284, Factor!$T$5:$AA$51, _xlpm.기본_색인번호, 0),
_xlpm.지형보정치, VLOOKUP($I284, Factor!$K$12:$R$13, _xlpm.기본_색인번호, 0),
_xlpm.공격속성보정치, VLOOKUP($J284, Factor!$K$5:$R$7, _xlpm.기본_색인번호, 0),
_xlpm.피해범위보정치, INDEX(Factor!$AN$5:$AV$51, _xlfn.XMATCH(IF(OR($G284="blast", $G284="curved",  $G284= "debuff"), $L284, 0), Factor!$AN$5:$AN$51, -1), _xlpm.추가_색인번호)-IF(AND(OR($G284="blast", $G284="curved", $G284= "debuff"), MOD($L284,1)&lt;&gt;0),INDEX(Factor!$AN$5:$AV$51, _xlfn.XMATCH(IF(OR($G284="blast", $G284="curved", $G284= "debuff"), $L284, 0), Factor!$AN$5:$AN$51, -1), 2)*MOD($L284,1)*10,0),
_xlpm.상태이상보정치, VLOOKUP(IF($G284 = "debuff", $M284, "null"), Factor!$AX$5:$BE$51, _xlpm.기본_색인번호, 0),
_xlpm.지속시간보정치, INDEX(Factor!$BG$5:$BO$51, _xlfn.XMATCH(IF(OR($G284 ="debuff", $G284 = "shot", $G284 = "pierce"), $O284, 0), Factor!$BG$5:$BG$51, -1), _xlpm.추가_색인번호)-IF(AND(OR($G284 ="debuff", $G284 = "shot", $G284 = "pierce"), MOD($O284, 1)&lt;&gt;0), 10*MOD($O284, 1)*INDEX(Factor!$BG$5:$BO$51, _xlfn.XMATCH(IF(OR($G284 ="debuff", $G284 = "shot", $G284 = "pierce"), $O284, 0), Factor!$BG$5:$BG$51, -1), 2), 0),
_xlpm.탄환개수보정치, VLOOKUP(IF(OR($G284 = "curved", $G284 = "shot"), $Q284, 1), Factor!$BQ$5:$BX$51, _xlpm.기본_색인번호, 0),
_xlpm.상태이상탄환생성위치보정치, IF($G284 = "debuff", VLOOKUP($R284, Factor!$K$18:$R$19, _xlpm.기본_색인번호, 0),1),
_xlpm.상태이상탄환형태보정치, IF($G284 = "debuff", VLOOKUP($S284, Factor!$K$24:$R$25, _xlpm.기본_색인번호, 0),1),
_xlpm.가격보정치, INDEX(Factor!$AE$5:$AL$51, _xlfn.XMATCH($F284,Factor!$AE$5:$AE$51, -1), _xlpm.기본_색인번호),
_xlpm.구경보정치, VLOOKUP($D284,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</row>
    <row r="285" spans="1:33" ht="15.75" customHeight="1">
      <c r="A285" s="24" t="str">
        <f>"weapon_"&amp;G285&amp;"_"&amp;VLOOKUP(H285, Factor!$T$5:$AB$7, 9, 0)&amp;"_"&amp;IF(COUNTIFS($G$4:G284, G285, $H$4:H284, H285)+1&gt;=100, COUNTIFS($G$4:G284, G285, $H$4:H284, H285)+1,IF(COUNTIFS($G$4:G284, G285, $H$4:H284, H285)+1&gt;=10, "0"&amp;COUNTIFS($G$4:G284, G285, $H$4:H284, H285)+1, "00"&amp;COUNTIFS($G$4:G284, G285, $H$4:H284, H285)+1))</f>
        <v>weapon_pierce_Sh_028</v>
      </c>
      <c r="B285" s="36" t="str">
        <f t="shared" si="4"/>
        <v>T1 155mm함포</v>
      </c>
      <c r="C285" s="36" t="s">
        <v>238</v>
      </c>
      <c r="D285" s="36" t="s">
        <v>273</v>
      </c>
      <c r="E285" s="36" t="s">
        <v>283</v>
      </c>
      <c r="F285" s="25">
        <f>VLOOKUP(C285, Factor!$AD$5:$AE$15, 2, 0)</f>
        <v>1000</v>
      </c>
      <c r="G285" s="26" t="str">
        <f>VLOOKUP(E285, Factor!$CL$5:$CV$50, 2, 0)</f>
        <v>pierce</v>
      </c>
      <c r="H285" s="25" t="str">
        <f>VLOOKUP(E285, Factor!$CL$5:$CV$50, 3, 0)</f>
        <v>shell</v>
      </c>
      <c r="I285" s="25" t="str">
        <f>VLOOKUP(E285, Factor!$CL$5:$CV$50, 4, 0)</f>
        <v>L</v>
      </c>
      <c r="J285" s="25" t="str">
        <f>VLOOKUP(E285, Factor!$CL$5:$CV$50, 5, 0)</f>
        <v>normal</v>
      </c>
      <c r="K285" s="25">
        <v>1</v>
      </c>
      <c r="L285" s="25">
        <f>VLOOKUP(E285, Factor!$CL$5:$CV$50, 6, 0)*K285*VLOOKUP(D285, Factor!$BZ$5:$CJ$49, 9, 0)</f>
        <v>0</v>
      </c>
      <c r="M285" s="25" t="str">
        <f>VLOOKUP(E285, Factor!$CL$5:$CV$50, 7, 0)</f>
        <v>null</v>
      </c>
      <c r="N285" s="25">
        <v>1</v>
      </c>
      <c r="O285" s="25">
        <f>VLOOKUP(E285, Factor!$CL$5:$CV$50, 8, 0)*N285*VLOOKUP(D285, Factor!$BZ$5:$CJ$49, 10, 0)</f>
        <v>24</v>
      </c>
      <c r="P285" s="25">
        <v>1</v>
      </c>
      <c r="Q285" s="25">
        <f>VLOOKUP(E285, Factor!$CL$5:$CV$50, 9, 0)*P285*VLOOKUP(D285, Factor!$BZ$5:$CJ$49, 11, 0)</f>
        <v>8</v>
      </c>
      <c r="R285" s="25" t="str">
        <f>VLOOKUP(E285, Factor!$CL$5:$CV$50, 10, 0)</f>
        <v>null</v>
      </c>
      <c r="S285" s="25" t="str">
        <f>VLOOKUP(E285, Factor!$CL$5:$CV$50, 11, 0)</f>
        <v>null</v>
      </c>
      <c r="T285" s="25">
        <v>1</v>
      </c>
      <c r="U285" s="25">
        <v>1</v>
      </c>
      <c r="V285" s="25">
        <v>1</v>
      </c>
      <c r="W285" s="25">
        <v>1</v>
      </c>
      <c r="X285" s="25">
        <v>1</v>
      </c>
      <c r="Y285" s="25">
        <v>1</v>
      </c>
      <c r="Z285" s="25">
        <v>1</v>
      </c>
      <c r="AA285" s="25" cm="1">
        <f t="array" ref="AA285">_xlfn.LET(_xlpm.기본_색인번호, 2,
_xlpm.추가_색인번호, 3,
_xlpm.개별보정치, T285,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285" s="25" cm="1">
        <f t="array" ref="AB285">_xlfn.LET(_xlpm.기본_색인번호, 3,
_xlpm.추가_색인번호, 4,
_xlpm.개별보정치, U285,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5" s="25" cm="1">
        <f t="array" ref="AC285">_xlfn.LET(_xlpm.기본_색인번호, 4,
_xlpm.추가_색인번호, 5,
_xlpm.개별보정치, V285,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5" s="25" cm="1">
        <f t="array" ref="AD285">_xlfn.LET(_xlpm.기본_색인번호, 5,
_xlpm.추가_색인번호, 6,
_xlpm.개별보정치, W285,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E285" s="25" cm="1">
        <f t="array" ref="AE285">_xlfn.LET(_xlpm.기본_색인번호, 6,
_xlpm.추가_색인번호, 7,
_xlpm.개별보정치, X285,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  <c r="AF285" s="25" cm="1">
        <f t="array" ref="AF285">_xlfn.LET(_xlpm.기본_색인번호, 7,
_xlpm.추가_색인번호, 8,
_xlpm.개별보정치, Y285,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5" s="27" cm="1">
        <f t="array" ref="AG285">_xlfn.LET(_xlpm.기본_색인번호, 8,
_xlpm.추가_색인번호, 9,
_xlpm.개별보정치, Z285,
_xlpm.패턴보정치, VLOOKUP($G285, Factor!$B$5:$I$51, _xlpm.기본_색인번호, 0),
_xlpm.소모탄환보정치, VLOOKUP($H285, Factor!$T$5:$AA$51, _xlpm.기본_색인번호, 0),
_xlpm.지형보정치, VLOOKUP($I285, Factor!$K$12:$R$13, _xlpm.기본_색인번호, 0),
_xlpm.공격속성보정치, VLOOKUP($J285, Factor!$K$5:$R$7, _xlpm.기본_색인번호, 0),
_xlpm.피해범위보정치, INDEX(Factor!$AN$5:$AV$51, _xlfn.XMATCH(IF(OR($G285="blast", $G285="curved",  $G285= "debuff"), $L285, 0), Factor!$AN$5:$AN$51, -1), _xlpm.추가_색인번호)-IF(AND(OR($G285="blast", $G285="curved", $G285= "debuff"), MOD($L285,1)&lt;&gt;0),INDEX(Factor!$AN$5:$AV$51, _xlfn.XMATCH(IF(OR($G285="blast", $G285="curved", $G285= "debuff"), $L285, 0), Factor!$AN$5:$AN$51, -1), 2)*MOD($L285,1)*10,0),
_xlpm.상태이상보정치, VLOOKUP(IF($G285 = "debuff", $M285, "null"), Factor!$AX$5:$BE$51, _xlpm.기본_색인번호, 0),
_xlpm.지속시간보정치, INDEX(Factor!$BG$5:$BO$51, _xlfn.XMATCH(IF(OR($G285 ="debuff", $G285 = "shot", $G285 = "pierce"), $O285, 0), Factor!$BG$5:$BG$51, -1), _xlpm.추가_색인번호)-IF(AND(OR($G285 ="debuff", $G285 = "shot", $G285 = "pierce"), MOD($O285, 1)&lt;&gt;0), 10*MOD($O285, 1)*INDEX(Factor!$BG$5:$BO$51, _xlfn.XMATCH(IF(OR($G285 ="debuff", $G285 = "shot", $G285 = "pierce"), $O285, 0), Factor!$BG$5:$BG$51, -1), 2), 0),
_xlpm.탄환개수보정치, VLOOKUP(IF(OR($G285 = "curved", $G285 = "shot"), $Q285, 1), Factor!$BQ$5:$BX$51, _xlpm.기본_색인번호, 0),
_xlpm.상태이상탄환생성위치보정치, IF($G285 = "debuff", VLOOKUP($R285, Factor!$K$18:$R$19, _xlpm.기본_색인번호, 0),1),
_xlpm.상태이상탄환형태보정치, IF($G285 = "debuff", VLOOKUP($S285, Factor!$K$24:$R$25, _xlpm.기본_색인번호, 0),1),
_xlpm.가격보정치, INDEX(Factor!$AE$5:$AL$51, _xlfn.XMATCH($F285,Factor!$AE$5:$AE$51, -1), _xlpm.기본_색인번호),
_xlpm.구경보정치, VLOOKUP($D285,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</v>
      </c>
    </row>
    <row r="286" spans="1:33" ht="15.75" customHeight="1">
      <c r="A286" s="28" t="str">
        <f>"weapon_"&amp;G286&amp;"_"&amp;VLOOKUP(H286, Factor!$T$5:$AB$7, 9, 0)&amp;"_"&amp;IF(COUNTIFS($G$4:G285, G286, $H$4:H285, H286)+1&gt;=100, COUNTIFS($G$4:G285, G286, $H$4:H285, H286)+1,IF(COUNTIFS($G$4:G285, G286, $H$4:H285, H286)+1&gt;=10, "0"&amp;COUNTIFS($G$4:G285, G286, $H$4:H285, H286)+1, "00"&amp;COUNTIFS($G$4:G285, G286, $H$4:H285, H286)+1))</f>
        <v>weapon_pierce_Sh_029</v>
      </c>
      <c r="B286" s="37" t="str">
        <f t="shared" si="4"/>
        <v>T2 55mm함포</v>
      </c>
      <c r="C286" s="37" t="s">
        <v>246</v>
      </c>
      <c r="D286" s="37" t="s">
        <v>270</v>
      </c>
      <c r="E286" s="37" t="s">
        <v>283</v>
      </c>
      <c r="F286" s="29">
        <f>VLOOKUP(C286, Factor!$AD$5:$AE$15, 2, 0)</f>
        <v>2000</v>
      </c>
      <c r="G286" s="29" t="str">
        <f>VLOOKUP(E286, Factor!$CL$5:$CV$50, 2, 0)</f>
        <v>pierce</v>
      </c>
      <c r="H286" s="29" t="str">
        <f>VLOOKUP(E286, Factor!$CL$5:$CV$50, 3, 0)</f>
        <v>shell</v>
      </c>
      <c r="I286" s="29" t="str">
        <f>VLOOKUP(E286, Factor!$CL$5:$CV$50, 4, 0)</f>
        <v>L</v>
      </c>
      <c r="J286" s="29" t="str">
        <f>VLOOKUP(E286, Factor!$CL$5:$CV$50, 5, 0)</f>
        <v>normal</v>
      </c>
      <c r="K286" s="29">
        <v>1</v>
      </c>
      <c r="L286" s="29">
        <f>VLOOKUP(E286, Factor!$CL$5:$CV$50, 6, 0)*K286*VLOOKUP(D286, Factor!$BZ$5:$CJ$49, 9, 0)</f>
        <v>0</v>
      </c>
      <c r="M286" s="29" t="str">
        <f>VLOOKUP(E286, Factor!$CL$5:$CV$50, 7, 0)</f>
        <v>null</v>
      </c>
      <c r="N286" s="29">
        <v>1</v>
      </c>
      <c r="O286" s="29">
        <f>VLOOKUP(E286, Factor!$CL$5:$CV$50, 8, 0)*N286*VLOOKUP(D286, Factor!$BZ$5:$CJ$49, 10, 0)</f>
        <v>21</v>
      </c>
      <c r="P286" s="29">
        <v>1</v>
      </c>
      <c r="Q286" s="29">
        <f>VLOOKUP(E286, Factor!$CL$5:$CV$50, 9, 0)*P286*VLOOKUP(D286, Factor!$BZ$5:$CJ$49, 11, 0)</f>
        <v>7</v>
      </c>
      <c r="R286" s="29" t="str">
        <f>VLOOKUP(E286, Factor!$CL$5:$CV$50, 10, 0)</f>
        <v>null</v>
      </c>
      <c r="S286" s="29" t="str">
        <f>VLOOKUP(E286, Factor!$CL$5:$CV$50, 11, 0)</f>
        <v>null</v>
      </c>
      <c r="T286" s="29">
        <v>1</v>
      </c>
      <c r="U286" s="29">
        <v>1</v>
      </c>
      <c r="V286" s="29">
        <v>1</v>
      </c>
      <c r="W286" s="29">
        <v>1</v>
      </c>
      <c r="X286" s="29">
        <v>1</v>
      </c>
      <c r="Y286" s="29">
        <v>1</v>
      </c>
      <c r="Z286" s="29">
        <v>1</v>
      </c>
      <c r="AA286" s="29" cm="1">
        <f t="array" ref="AA286">_xlfn.LET(_xlpm.기본_색인번호, 2,
_xlpm.추가_색인번호, 3,
_xlpm.개별보정치, T286,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286" s="29" cm="1">
        <f t="array" ref="AB286">_xlfn.LET(_xlpm.기본_색인번호, 3,
_xlpm.추가_색인번호, 4,
_xlpm.개별보정치, U286,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6" s="29" cm="1">
        <f t="array" ref="AC286">_xlfn.LET(_xlpm.기본_색인번호, 4,
_xlpm.추가_색인번호, 5,
_xlpm.개별보정치, V286,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6" s="29" cm="1">
        <f t="array" ref="AD286">_xlfn.LET(_xlpm.기본_색인번호, 5,
_xlpm.추가_색인번호, 6,
_xlpm.개별보정치, W286,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286" s="29" cm="1">
        <f t="array" ref="AE286">_xlfn.LET(_xlpm.기본_색인번호, 6,
_xlpm.추가_색인번호, 7,
_xlpm.개별보정치, X286,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286" s="29" cm="1">
        <f t="array" ref="AF286">_xlfn.LET(_xlpm.기본_색인번호, 7,
_xlpm.추가_색인번호, 8,
_xlpm.개별보정치, Y286,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6" s="30" cm="1">
        <f t="array" ref="AG286">_xlfn.LET(_xlpm.기본_색인번호, 8,
_xlpm.추가_색인번호, 9,
_xlpm.개별보정치, Z286,
_xlpm.패턴보정치, VLOOKUP($G286, Factor!$B$5:$I$51, _xlpm.기본_색인번호, 0),
_xlpm.소모탄환보정치, VLOOKUP($H286, Factor!$T$5:$AA$51, _xlpm.기본_색인번호, 0),
_xlpm.지형보정치, VLOOKUP($I286, Factor!$K$12:$R$13, _xlpm.기본_색인번호, 0),
_xlpm.공격속성보정치, VLOOKUP($J286, Factor!$K$5:$R$7, _xlpm.기본_색인번호, 0),
_xlpm.피해범위보정치, INDEX(Factor!$AN$5:$AV$51, _xlfn.XMATCH(IF(OR($G286="blast", $G286="curved",  $G286= "debuff"), $L286, 0), Factor!$AN$5:$AN$51, -1), _xlpm.추가_색인번호)-IF(AND(OR($G286="blast", $G286="curved", $G286= "debuff"), MOD($L286,1)&lt;&gt;0),INDEX(Factor!$AN$5:$AV$51, _xlfn.XMATCH(IF(OR($G286="blast", $G286="curved", $G286= "debuff"), $L286, 0), Factor!$AN$5:$AN$51, -1), 2)*MOD($L286,1)*10,0),
_xlpm.상태이상보정치, VLOOKUP(IF($G286 = "debuff", $M286, "null"), Factor!$AX$5:$BE$51, _xlpm.기본_색인번호, 0),
_xlpm.지속시간보정치, INDEX(Factor!$BG$5:$BO$51, _xlfn.XMATCH(IF(OR($G286 ="debuff", $G286 = "shot", $G286 = "pierce"), $O286, 0), Factor!$BG$5:$BG$51, -1), _xlpm.추가_색인번호)-IF(AND(OR($G286 ="debuff", $G286 = "shot", $G286 = "pierce"), MOD($O286, 1)&lt;&gt;0), 10*MOD($O286, 1)*INDEX(Factor!$BG$5:$BO$51, _xlfn.XMATCH(IF(OR($G286 ="debuff", $G286 = "shot", $G286 = "pierce"), $O286, 0), Factor!$BG$5:$BG$51, -1), 2), 0),
_xlpm.탄환개수보정치, VLOOKUP(IF(OR($G286 = "curved", $G286 = "shot"), $Q286, 1), Factor!$BQ$5:$BX$51, _xlpm.기본_색인번호, 0),
_xlpm.상태이상탄환생성위치보정치, IF($G286 = "debuff", VLOOKUP($R286, Factor!$K$18:$R$19, _xlpm.기본_색인번호, 0),1),
_xlpm.상태이상탄환형태보정치, IF($G286 = "debuff", VLOOKUP($S286, Factor!$K$24:$R$25, _xlpm.기본_색인번호, 0),1),
_xlpm.가격보정치, INDEX(Factor!$AE$5:$AL$51, _xlfn.XMATCH($F286,Factor!$AE$5:$AE$51, -1), _xlpm.기본_색인번호),
_xlpm.구경보정치, VLOOKUP($D286,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287" spans="1:33" ht="15.75" customHeight="1">
      <c r="A287" s="24" t="str">
        <f>"weapon_"&amp;G287&amp;"_"&amp;VLOOKUP(H287, Factor!$T$5:$AB$7, 9, 0)&amp;"_"&amp;IF(COUNTIFS($G$4:G286, G287, $H$4:H286, H287)+1&gt;=100, COUNTIFS($G$4:G286, G287, $H$4:H286, H287)+1,IF(COUNTIFS($G$4:G286, G287, $H$4:H286, H287)+1&gt;=10, "0"&amp;COUNTIFS($G$4:G286, G287, $H$4:H286, H287)+1, "00"&amp;COUNTIFS($G$4:G286, G287, $H$4:H286, H287)+1))</f>
        <v>weapon_pierce_Sh_030</v>
      </c>
      <c r="B287" s="36" t="str">
        <f t="shared" si="4"/>
        <v>T2 105mm함포</v>
      </c>
      <c r="C287" s="36" t="s">
        <v>246</v>
      </c>
      <c r="D287" s="36" t="s">
        <v>272</v>
      </c>
      <c r="E287" s="36" t="s">
        <v>283</v>
      </c>
      <c r="F287" s="25">
        <f>VLOOKUP(C287, Factor!$AD$5:$AE$15, 2, 0)</f>
        <v>2000</v>
      </c>
      <c r="G287" s="26" t="str">
        <f>VLOOKUP(E287, Factor!$CL$5:$CV$50, 2, 0)</f>
        <v>pierce</v>
      </c>
      <c r="H287" s="25" t="str">
        <f>VLOOKUP(E287, Factor!$CL$5:$CV$50, 3, 0)</f>
        <v>shell</v>
      </c>
      <c r="I287" s="25" t="str">
        <f>VLOOKUP(E287, Factor!$CL$5:$CV$50, 4, 0)</f>
        <v>L</v>
      </c>
      <c r="J287" s="25" t="str">
        <f>VLOOKUP(E287, Factor!$CL$5:$CV$50, 5, 0)</f>
        <v>normal</v>
      </c>
      <c r="K287" s="25">
        <v>1</v>
      </c>
      <c r="L287" s="25">
        <f>VLOOKUP(E287, Factor!$CL$5:$CV$50, 6, 0)*K287*VLOOKUP(D287, Factor!$BZ$5:$CJ$49, 9, 0)</f>
        <v>0</v>
      </c>
      <c r="M287" s="25" t="str">
        <f>VLOOKUP(E287, Factor!$CL$5:$CV$50, 7, 0)</f>
        <v>null</v>
      </c>
      <c r="N287" s="25">
        <v>1</v>
      </c>
      <c r="O287" s="25">
        <f>VLOOKUP(E287, Factor!$CL$5:$CV$50, 8, 0)*N287*VLOOKUP(D287, Factor!$BZ$5:$CJ$49, 10, 0)</f>
        <v>24</v>
      </c>
      <c r="P287" s="25">
        <v>1</v>
      </c>
      <c r="Q287" s="25">
        <f>VLOOKUP(E287, Factor!$CL$5:$CV$50, 9, 0)*P287*VLOOKUP(D287, Factor!$BZ$5:$CJ$49, 11, 0)</f>
        <v>8</v>
      </c>
      <c r="R287" s="25" t="str">
        <f>VLOOKUP(E287, Factor!$CL$5:$CV$50, 10, 0)</f>
        <v>null</v>
      </c>
      <c r="S287" s="25" t="str">
        <f>VLOOKUP(E287, Factor!$CL$5:$CV$50, 11, 0)</f>
        <v>null</v>
      </c>
      <c r="T287" s="25">
        <v>1</v>
      </c>
      <c r="U287" s="25">
        <v>1</v>
      </c>
      <c r="V287" s="25">
        <v>1</v>
      </c>
      <c r="W287" s="25">
        <v>1</v>
      </c>
      <c r="X287" s="25">
        <v>1</v>
      </c>
      <c r="Y287" s="25">
        <v>1</v>
      </c>
      <c r="Z287" s="25">
        <v>1</v>
      </c>
      <c r="AA287" s="25" cm="1">
        <f t="array" ref="AA287">_xlfn.LET(_xlpm.기본_색인번호, 2,
_xlpm.추가_색인번호, 3,
_xlpm.개별보정치, T287,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287" s="25" cm="1">
        <f t="array" ref="AB287">_xlfn.LET(_xlpm.기본_색인번호, 3,
_xlpm.추가_색인번호, 4,
_xlpm.개별보정치, U287,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7" s="25" cm="1">
        <f t="array" ref="AC287">_xlfn.LET(_xlpm.기본_색인번호, 4,
_xlpm.추가_색인번호, 5,
_xlpm.개별보정치, V287,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7" s="25" cm="1">
        <f t="array" ref="AD287">_xlfn.LET(_xlpm.기본_색인번호, 5,
_xlpm.추가_색인번호, 6,
_xlpm.개별보정치, W287,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287" s="25" cm="1">
        <f t="array" ref="AE287">_xlfn.LET(_xlpm.기본_색인번호, 6,
_xlpm.추가_색인번호, 7,
_xlpm.개별보정치, X287,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287" s="25" cm="1">
        <f t="array" ref="AF287">_xlfn.LET(_xlpm.기본_색인번호, 7,
_xlpm.추가_색인번호, 8,
_xlpm.개별보정치, Y287,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7" s="27" cm="1">
        <f t="array" ref="AG287">_xlfn.LET(_xlpm.기본_색인번호, 8,
_xlpm.추가_색인번호, 9,
_xlpm.개별보정치, Z287,
_xlpm.패턴보정치, VLOOKUP($G287, Factor!$B$5:$I$51, _xlpm.기본_색인번호, 0),
_xlpm.소모탄환보정치, VLOOKUP($H287, Factor!$T$5:$AA$51, _xlpm.기본_색인번호, 0),
_xlpm.지형보정치, VLOOKUP($I287, Factor!$K$12:$R$13, _xlpm.기본_색인번호, 0),
_xlpm.공격속성보정치, VLOOKUP($J287, Factor!$K$5:$R$7, _xlpm.기본_색인번호, 0),
_xlpm.피해범위보정치, INDEX(Factor!$AN$5:$AV$51, _xlfn.XMATCH(IF(OR($G287="blast", $G287="curved",  $G287= "debuff"), $L287, 0), Factor!$AN$5:$AN$51, -1), _xlpm.추가_색인번호)-IF(AND(OR($G287="blast", $G287="curved", $G287= "debuff"), MOD($L287,1)&lt;&gt;0),INDEX(Factor!$AN$5:$AV$51, _xlfn.XMATCH(IF(OR($G287="blast", $G287="curved", $G287= "debuff"), $L287, 0), Factor!$AN$5:$AN$51, -1), 2)*MOD($L287,1)*10,0),
_xlpm.상태이상보정치, VLOOKUP(IF($G287 = "debuff", $M287, "null"), Factor!$AX$5:$BE$51, _xlpm.기본_색인번호, 0),
_xlpm.지속시간보정치, INDEX(Factor!$BG$5:$BO$51, _xlfn.XMATCH(IF(OR($G287 ="debuff", $G287 = "shot", $G287 = "pierce"), $O287, 0), Factor!$BG$5:$BG$51, -1), _xlpm.추가_색인번호)-IF(AND(OR($G287 ="debuff", $G287 = "shot", $G287 = "pierce"), MOD($O287, 1)&lt;&gt;0), 10*MOD($O287, 1)*INDEX(Factor!$BG$5:$BO$51, _xlfn.XMATCH(IF(OR($G287 ="debuff", $G287 = "shot", $G287 = "pierce"), $O287, 0), Factor!$BG$5:$BG$51, -1), 2), 0),
_xlpm.탄환개수보정치, VLOOKUP(IF(OR($G287 = "curved", $G287 = "shot"), $Q287, 1), Factor!$BQ$5:$BX$51, _xlpm.기본_색인번호, 0),
_xlpm.상태이상탄환생성위치보정치, IF($G287 = "debuff", VLOOKUP($R287, Factor!$K$18:$R$19, _xlpm.기본_색인번호, 0),1),
_xlpm.상태이상탄환형태보정치, IF($G287 = "debuff", VLOOKUP($S287, Factor!$K$24:$R$25, _xlpm.기본_색인번호, 0),1),
_xlpm.가격보정치, INDEX(Factor!$AE$5:$AL$51, _xlfn.XMATCH($F287,Factor!$AE$5:$AE$51, -1), _xlpm.기본_색인번호),
_xlpm.구경보정치, VLOOKUP($D287,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288" spans="1:33" ht="15.75" customHeight="1">
      <c r="A288" s="28" t="str">
        <f>"weapon_"&amp;G288&amp;"_"&amp;VLOOKUP(H288, Factor!$T$5:$AB$7, 9, 0)&amp;"_"&amp;IF(COUNTIFS($G$4:G287, G288, $H$4:H287, H288)+1&gt;=100, COUNTIFS($G$4:G287, G288, $H$4:H287, H288)+1,IF(COUNTIFS($G$4:G287, G288, $H$4:H287, H288)+1&gt;=10, "0"&amp;COUNTIFS($G$4:G287, G288, $H$4:H287, H288)+1, "00"&amp;COUNTIFS($G$4:G287, G288, $H$4:H287, H288)+1))</f>
        <v>weapon_pierce_Sh_031</v>
      </c>
      <c r="B288" s="37" t="str">
        <f t="shared" si="4"/>
        <v>T2 155mm함포</v>
      </c>
      <c r="C288" s="37" t="s">
        <v>246</v>
      </c>
      <c r="D288" s="37" t="s">
        <v>273</v>
      </c>
      <c r="E288" s="37" t="s">
        <v>283</v>
      </c>
      <c r="F288" s="29">
        <f>VLOOKUP(C288, Factor!$AD$5:$AE$15, 2, 0)</f>
        <v>2000</v>
      </c>
      <c r="G288" s="29" t="str">
        <f>VLOOKUP(E288, Factor!$CL$5:$CV$50, 2, 0)</f>
        <v>pierce</v>
      </c>
      <c r="H288" s="29" t="str">
        <f>VLOOKUP(E288, Factor!$CL$5:$CV$50, 3, 0)</f>
        <v>shell</v>
      </c>
      <c r="I288" s="29" t="str">
        <f>VLOOKUP(E288, Factor!$CL$5:$CV$50, 4, 0)</f>
        <v>L</v>
      </c>
      <c r="J288" s="29" t="str">
        <f>VLOOKUP(E288, Factor!$CL$5:$CV$50, 5, 0)</f>
        <v>normal</v>
      </c>
      <c r="K288" s="29">
        <v>1</v>
      </c>
      <c r="L288" s="29">
        <f>VLOOKUP(E288, Factor!$CL$5:$CV$50, 6, 0)*K288*VLOOKUP(D288, Factor!$BZ$5:$CJ$49, 9, 0)</f>
        <v>0</v>
      </c>
      <c r="M288" s="29" t="str">
        <f>VLOOKUP(E288, Factor!$CL$5:$CV$50, 7, 0)</f>
        <v>null</v>
      </c>
      <c r="N288" s="29">
        <v>1</v>
      </c>
      <c r="O288" s="29">
        <f>VLOOKUP(E288, Factor!$CL$5:$CV$50, 8, 0)*N288*VLOOKUP(D288, Factor!$BZ$5:$CJ$49, 10, 0)</f>
        <v>24</v>
      </c>
      <c r="P288" s="29">
        <v>1</v>
      </c>
      <c r="Q288" s="29">
        <f>VLOOKUP(E288, Factor!$CL$5:$CV$50, 9, 0)*P288*VLOOKUP(D288, Factor!$BZ$5:$CJ$49, 11, 0)</f>
        <v>8</v>
      </c>
      <c r="R288" s="29" t="str">
        <f>VLOOKUP(E288, Factor!$CL$5:$CV$50, 10, 0)</f>
        <v>null</v>
      </c>
      <c r="S288" s="29" t="str">
        <f>VLOOKUP(E288, Factor!$CL$5:$CV$50, 11, 0)</f>
        <v>null</v>
      </c>
      <c r="T288" s="29">
        <v>1</v>
      </c>
      <c r="U288" s="29">
        <v>1</v>
      </c>
      <c r="V288" s="29">
        <v>1</v>
      </c>
      <c r="W288" s="29">
        <v>1</v>
      </c>
      <c r="X288" s="29">
        <v>1</v>
      </c>
      <c r="Y288" s="29">
        <v>1</v>
      </c>
      <c r="Z288" s="29">
        <v>1</v>
      </c>
      <c r="AA288" s="29" cm="1">
        <f t="array" ref="AA288">_xlfn.LET(_xlpm.기본_색인번호, 2,
_xlpm.추가_색인번호, 3,
_xlpm.개별보정치, T288,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288" s="29" cm="1">
        <f t="array" ref="AB288">_xlfn.LET(_xlpm.기본_색인번호, 3,
_xlpm.추가_색인번호, 4,
_xlpm.개별보정치, U288,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C288" s="29" cm="1">
        <f t="array" ref="AC288">_xlfn.LET(_xlpm.기본_색인번호, 4,
_xlpm.추가_색인번호, 5,
_xlpm.개별보정치, V288,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8" s="29" cm="1">
        <f t="array" ref="AD288">_xlfn.LET(_xlpm.기본_색인번호, 5,
_xlpm.추가_색인번호, 6,
_xlpm.개별보정치, W288,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E288" s="29" cm="1">
        <f t="array" ref="AE288">_xlfn.LET(_xlpm.기본_색인번호, 6,
_xlpm.추가_색인번호, 7,
_xlpm.개별보정치, X288,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  <c r="AF288" s="29" cm="1">
        <f t="array" ref="AF288">_xlfn.LET(_xlpm.기본_색인번호, 7,
_xlpm.추가_색인번호, 8,
_xlpm.개별보정치, Y288,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8" s="30" cm="1">
        <f t="array" ref="AG288">_xlfn.LET(_xlpm.기본_색인번호, 8,
_xlpm.추가_색인번호, 9,
_xlpm.개별보정치, Z288,
_xlpm.패턴보정치, VLOOKUP($G288, Factor!$B$5:$I$51, _xlpm.기본_색인번호, 0),
_xlpm.소모탄환보정치, VLOOKUP($H288, Factor!$T$5:$AA$51, _xlpm.기본_색인번호, 0),
_xlpm.지형보정치, VLOOKUP($I288, Factor!$K$12:$R$13, _xlpm.기본_색인번호, 0),
_xlpm.공격속성보정치, VLOOKUP($J288, Factor!$K$5:$R$7, _xlpm.기본_색인번호, 0),
_xlpm.피해범위보정치, INDEX(Factor!$AN$5:$AV$51, _xlfn.XMATCH(IF(OR($G288="blast", $G288="curved",  $G288= "debuff"), $L288, 0), Factor!$AN$5:$AN$51, -1), _xlpm.추가_색인번호)-IF(AND(OR($G288="blast", $G288="curved", $G288= "debuff"), MOD($L288,1)&lt;&gt;0),INDEX(Factor!$AN$5:$AV$51, _xlfn.XMATCH(IF(OR($G288="blast", $G288="curved", $G288= "debuff"), $L288, 0), Factor!$AN$5:$AN$51, -1), 2)*MOD($L288,1)*10,0),
_xlpm.상태이상보정치, VLOOKUP(IF($G288 = "debuff", $M288, "null"), Factor!$AX$5:$BE$51, _xlpm.기본_색인번호, 0),
_xlpm.지속시간보정치, INDEX(Factor!$BG$5:$BO$51, _xlfn.XMATCH(IF(OR($G288 ="debuff", $G288 = "shot", $G288 = "pierce"), $O288, 0), Factor!$BG$5:$BG$51, -1), _xlpm.추가_색인번호)-IF(AND(OR($G288 ="debuff", $G288 = "shot", $G288 = "pierce"), MOD($O288, 1)&lt;&gt;0), 10*MOD($O288, 1)*INDEX(Factor!$BG$5:$BO$51, _xlfn.XMATCH(IF(OR($G288 ="debuff", $G288 = "shot", $G288 = "pierce"), $O288, 0), Factor!$BG$5:$BG$51, -1), 2), 0),
_xlpm.탄환개수보정치, VLOOKUP(IF(OR($G288 = "curved", $G288 = "shot"), $Q288, 1), Factor!$BQ$5:$BX$51, _xlpm.기본_색인번호, 0),
_xlpm.상태이상탄환생성위치보정치, IF($G288 = "debuff", VLOOKUP($R288, Factor!$K$18:$R$19, _xlpm.기본_색인번호, 0),1),
_xlpm.상태이상탄환형태보정치, IF($G288 = "debuff", VLOOKUP($S288, Factor!$K$24:$R$25, _xlpm.기본_색인번호, 0),1),
_xlpm.가격보정치, INDEX(Factor!$AE$5:$AL$51, _xlfn.XMATCH($F288,Factor!$AE$5:$AE$51, -1), _xlpm.기본_색인번호),
_xlpm.구경보정치, VLOOKUP($D288,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</v>
      </c>
    </row>
    <row r="289" spans="1:33" ht="15.75" customHeight="1">
      <c r="A289" s="24" t="str">
        <f>"weapon_"&amp;G289&amp;"_"&amp;VLOOKUP(H289, Factor!$T$5:$AB$7, 9, 0)&amp;"_"&amp;IF(COUNTIFS($G$4:G288, G289, $H$4:H288, H289)+1&gt;=100, COUNTIFS($G$4:G288, G289, $H$4:H288, H289)+1,IF(COUNTIFS($G$4:G288, G289, $H$4:H288, H289)+1&gt;=10, "0"&amp;COUNTIFS($G$4:G288, G289, $H$4:H288, H289)+1, "00"&amp;COUNTIFS($G$4:G288, G289, $H$4:H288, H289)+1))</f>
        <v>weapon_pierce_Sh_032</v>
      </c>
      <c r="B289" s="36" t="str">
        <f t="shared" si="4"/>
        <v>T3 55mm함포</v>
      </c>
      <c r="C289" s="36" t="s">
        <v>247</v>
      </c>
      <c r="D289" s="36" t="s">
        <v>270</v>
      </c>
      <c r="E289" s="36" t="s">
        <v>283</v>
      </c>
      <c r="F289" s="25">
        <f>VLOOKUP(C289, Factor!$AD$5:$AE$15, 2, 0)</f>
        <v>3000</v>
      </c>
      <c r="G289" s="26" t="str">
        <f>VLOOKUP(E289, Factor!$CL$5:$CV$50, 2, 0)</f>
        <v>pierce</v>
      </c>
      <c r="H289" s="25" t="str">
        <f>VLOOKUP(E289, Factor!$CL$5:$CV$50, 3, 0)</f>
        <v>shell</v>
      </c>
      <c r="I289" s="25" t="str">
        <f>VLOOKUP(E289, Factor!$CL$5:$CV$50, 4, 0)</f>
        <v>L</v>
      </c>
      <c r="J289" s="25" t="str">
        <f>VLOOKUP(E289, Factor!$CL$5:$CV$50, 5, 0)</f>
        <v>normal</v>
      </c>
      <c r="K289" s="25">
        <v>1</v>
      </c>
      <c r="L289" s="25">
        <f>VLOOKUP(E289, Factor!$CL$5:$CV$50, 6, 0)*K289*VLOOKUP(D289, Factor!$BZ$5:$CJ$49, 9, 0)</f>
        <v>0</v>
      </c>
      <c r="M289" s="25" t="str">
        <f>VLOOKUP(E289, Factor!$CL$5:$CV$50, 7, 0)</f>
        <v>null</v>
      </c>
      <c r="N289" s="25">
        <v>1</v>
      </c>
      <c r="O289" s="25">
        <f>VLOOKUP(E289, Factor!$CL$5:$CV$50, 8, 0)*N289*VLOOKUP(D289, Factor!$BZ$5:$CJ$49, 10, 0)</f>
        <v>21</v>
      </c>
      <c r="P289" s="25">
        <v>1</v>
      </c>
      <c r="Q289" s="25">
        <f>VLOOKUP(E289, Factor!$CL$5:$CV$50, 9, 0)*P289*VLOOKUP(D289, Factor!$BZ$5:$CJ$49, 11, 0)</f>
        <v>7</v>
      </c>
      <c r="R289" s="25" t="str">
        <f>VLOOKUP(E289, Factor!$CL$5:$CV$50, 10, 0)</f>
        <v>null</v>
      </c>
      <c r="S289" s="25" t="str">
        <f>VLOOKUP(E289, Factor!$CL$5:$CV$50, 11, 0)</f>
        <v>null</v>
      </c>
      <c r="T289" s="25">
        <v>1</v>
      </c>
      <c r="U289" s="25">
        <v>1</v>
      </c>
      <c r="V289" s="25">
        <v>1</v>
      </c>
      <c r="W289" s="25">
        <v>1</v>
      </c>
      <c r="X289" s="25">
        <v>1</v>
      </c>
      <c r="Y289" s="25">
        <v>1</v>
      </c>
      <c r="Z289" s="25">
        <v>1</v>
      </c>
      <c r="AA289" s="25" cm="1">
        <f t="array" ref="AA289">_xlfn.LET(_xlpm.기본_색인번호, 2,
_xlpm.추가_색인번호, 3,
_xlpm.개별보정치, T289,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289" s="25" cm="1">
        <f t="array" ref="AB289">_xlfn.LET(_xlpm.기본_색인번호, 3,
_xlpm.추가_색인번호, 4,
_xlpm.개별보정치, U289,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89" s="25" cm="1">
        <f t="array" ref="AC289">_xlfn.LET(_xlpm.기본_색인번호, 4,
_xlpm.추가_색인번호, 5,
_xlpm.개별보정치, V289,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89" s="25" cm="1">
        <f t="array" ref="AD289">_xlfn.LET(_xlpm.기본_색인번호, 5,
_xlpm.추가_색인번호, 6,
_xlpm.개별보정치, W289,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E289" s="25" cm="1">
        <f t="array" ref="AE289">_xlfn.LET(_xlpm.기본_색인번호, 6,
_xlpm.추가_색인번호, 7,
_xlpm.개별보정치, X289,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F289" s="25" cm="1">
        <f t="array" ref="AF289">_xlfn.LET(_xlpm.기본_색인번호, 7,
_xlpm.추가_색인번호, 8,
_xlpm.개별보정치, Y289,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89" s="27" cm="1">
        <f t="array" ref="AG289">_xlfn.LET(_xlpm.기본_색인번호, 8,
_xlpm.추가_색인번호, 9,
_xlpm.개별보정치, Z289,
_xlpm.패턴보정치, VLOOKUP($G289, Factor!$B$5:$I$51, _xlpm.기본_색인번호, 0),
_xlpm.소모탄환보정치, VLOOKUP($H289, Factor!$T$5:$AA$51, _xlpm.기본_색인번호, 0),
_xlpm.지형보정치, VLOOKUP($I289, Factor!$K$12:$R$13, _xlpm.기본_색인번호, 0),
_xlpm.공격속성보정치, VLOOKUP($J289, Factor!$K$5:$R$7, _xlpm.기본_색인번호, 0),
_xlpm.피해범위보정치, INDEX(Factor!$AN$5:$AV$51, _xlfn.XMATCH(IF(OR($G289="blast", $G289="curved",  $G289= "debuff"), $L289, 0), Factor!$AN$5:$AN$51, -1), _xlpm.추가_색인번호)-IF(AND(OR($G289="blast", $G289="curved", $G289= "debuff"), MOD($L289,1)&lt;&gt;0),INDEX(Factor!$AN$5:$AV$51, _xlfn.XMATCH(IF(OR($G289="blast", $G289="curved", $G289= "debuff"), $L289, 0), Factor!$AN$5:$AN$51, -1), 2)*MOD($L289,1)*10,0),
_xlpm.상태이상보정치, VLOOKUP(IF($G289 = "debuff", $M289, "null"), Factor!$AX$5:$BE$51, _xlpm.기본_색인번호, 0),
_xlpm.지속시간보정치, INDEX(Factor!$BG$5:$BO$51, _xlfn.XMATCH(IF(OR($G289 ="debuff", $G289 = "shot", $G289 = "pierce"), $O289, 0), Factor!$BG$5:$BG$51, -1), _xlpm.추가_색인번호)-IF(AND(OR($G289 ="debuff", $G289 = "shot", $G289 = "pierce"), MOD($O289, 1)&lt;&gt;0), 10*MOD($O289, 1)*INDEX(Factor!$BG$5:$BO$51, _xlfn.XMATCH(IF(OR($G289 ="debuff", $G289 = "shot", $G289 = "pierce"), $O289, 0), Factor!$BG$5:$BG$51, -1), 2), 0),
_xlpm.탄환개수보정치, VLOOKUP(IF(OR($G289 = "curved", $G289 = "shot"), $Q289, 1), Factor!$BQ$5:$BX$51, _xlpm.기본_색인번호, 0),
_xlpm.상태이상탄환생성위치보정치, IF($G289 = "debuff", VLOOKUP($R289, Factor!$K$18:$R$19, _xlpm.기본_색인번호, 0),1),
_xlpm.상태이상탄환형태보정치, IF($G289 = "debuff", VLOOKUP($S289, Factor!$K$24:$R$25, _xlpm.기본_색인번호, 0),1),
_xlpm.가격보정치, INDEX(Factor!$AE$5:$AL$51, _xlfn.XMATCH($F289,Factor!$AE$5:$AE$51, -1), _xlpm.기본_색인번호),
_xlpm.구경보정치, VLOOKUP($D289,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</row>
    <row r="290" spans="1:33" ht="15.75" customHeight="1">
      <c r="A290" s="28" t="str">
        <f>"weapon_"&amp;G290&amp;"_"&amp;VLOOKUP(H290, Factor!$T$5:$AB$7, 9, 0)&amp;"_"&amp;IF(COUNTIFS($G$4:G289, G290, $H$4:H289, H290)+1&gt;=100, COUNTIFS($G$4:G289, G290, $H$4:H289, H290)+1,IF(COUNTIFS($G$4:G289, G290, $H$4:H289, H290)+1&gt;=10, "0"&amp;COUNTIFS($G$4:G289, G290, $H$4:H289, H290)+1, "00"&amp;COUNTIFS($G$4:G289, G290, $H$4:H289, H290)+1))</f>
        <v>weapon_pierce_Sh_033</v>
      </c>
      <c r="B290" s="37" t="str">
        <f t="shared" si="4"/>
        <v>T3 105mm함포</v>
      </c>
      <c r="C290" s="37" t="s">
        <v>247</v>
      </c>
      <c r="D290" s="37" t="s">
        <v>272</v>
      </c>
      <c r="E290" s="37" t="s">
        <v>283</v>
      </c>
      <c r="F290" s="29">
        <f>VLOOKUP(C290, Factor!$AD$5:$AE$15, 2, 0)</f>
        <v>3000</v>
      </c>
      <c r="G290" s="29" t="str">
        <f>VLOOKUP(E290, Factor!$CL$5:$CV$50, 2, 0)</f>
        <v>pierce</v>
      </c>
      <c r="H290" s="29" t="str">
        <f>VLOOKUP(E290, Factor!$CL$5:$CV$50, 3, 0)</f>
        <v>shell</v>
      </c>
      <c r="I290" s="29" t="str">
        <f>VLOOKUP(E290, Factor!$CL$5:$CV$50, 4, 0)</f>
        <v>L</v>
      </c>
      <c r="J290" s="29" t="str">
        <f>VLOOKUP(E290, Factor!$CL$5:$CV$50, 5, 0)</f>
        <v>normal</v>
      </c>
      <c r="K290" s="29">
        <v>1</v>
      </c>
      <c r="L290" s="29">
        <f>VLOOKUP(E290, Factor!$CL$5:$CV$50, 6, 0)*K290*VLOOKUP(D290, Factor!$BZ$5:$CJ$49, 9, 0)</f>
        <v>0</v>
      </c>
      <c r="M290" s="29" t="str">
        <f>VLOOKUP(E290, Factor!$CL$5:$CV$50, 7, 0)</f>
        <v>null</v>
      </c>
      <c r="N290" s="29">
        <v>1</v>
      </c>
      <c r="O290" s="29">
        <f>VLOOKUP(E290, Factor!$CL$5:$CV$50, 8, 0)*N290*VLOOKUP(D290, Factor!$BZ$5:$CJ$49, 10, 0)</f>
        <v>24</v>
      </c>
      <c r="P290" s="29">
        <v>1</v>
      </c>
      <c r="Q290" s="29">
        <f>VLOOKUP(E290, Factor!$CL$5:$CV$50, 9, 0)*P290*VLOOKUP(D290, Factor!$BZ$5:$CJ$49, 11, 0)</f>
        <v>8</v>
      </c>
      <c r="R290" s="29" t="str">
        <f>VLOOKUP(E290, Factor!$CL$5:$CV$50, 10, 0)</f>
        <v>null</v>
      </c>
      <c r="S290" s="29" t="str">
        <f>VLOOKUP(E290, Factor!$CL$5:$CV$50, 11, 0)</f>
        <v>null</v>
      </c>
      <c r="T290" s="29">
        <v>1</v>
      </c>
      <c r="U290" s="29">
        <v>1</v>
      </c>
      <c r="V290" s="29">
        <v>1</v>
      </c>
      <c r="W290" s="29">
        <v>1</v>
      </c>
      <c r="X290" s="29">
        <v>1</v>
      </c>
      <c r="Y290" s="29">
        <v>1</v>
      </c>
      <c r="Z290" s="29">
        <v>1</v>
      </c>
      <c r="AA290" s="29" cm="1">
        <f t="array" ref="AA290">_xlfn.LET(_xlpm.기본_색인번호, 2,
_xlpm.추가_색인번호, 3,
_xlpm.개별보정치, T290,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290" s="29" cm="1">
        <f t="array" ref="AB290">_xlfn.LET(_xlpm.기본_색인번호, 3,
_xlpm.추가_색인번호, 4,
_xlpm.개별보정치, U290,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0" s="29" cm="1">
        <f t="array" ref="AC290">_xlfn.LET(_xlpm.기본_색인번호, 4,
_xlpm.추가_색인번호, 5,
_xlpm.개별보정치, V290,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0" s="29" cm="1">
        <f t="array" ref="AD290">_xlfn.LET(_xlpm.기본_색인번호, 5,
_xlpm.추가_색인번호, 6,
_xlpm.개별보정치, W290,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E290" s="29" cm="1">
        <f t="array" ref="AE290">_xlfn.LET(_xlpm.기본_색인번호, 6,
_xlpm.추가_색인번호, 7,
_xlpm.개별보정치, X290,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F290" s="29" cm="1">
        <f t="array" ref="AF290">_xlfn.LET(_xlpm.기본_색인번호, 7,
_xlpm.추가_색인번호, 8,
_xlpm.개별보정치, Y290,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0" s="30" cm="1">
        <f t="array" ref="AG290">_xlfn.LET(_xlpm.기본_색인번호, 8,
_xlpm.추가_색인번호, 9,
_xlpm.개별보정치, Z290,
_xlpm.패턴보정치, VLOOKUP($G290, Factor!$B$5:$I$51, _xlpm.기본_색인번호, 0),
_xlpm.소모탄환보정치, VLOOKUP($H290, Factor!$T$5:$AA$51, _xlpm.기본_색인번호, 0),
_xlpm.지형보정치, VLOOKUP($I290, Factor!$K$12:$R$13, _xlpm.기본_색인번호, 0),
_xlpm.공격속성보정치, VLOOKUP($J290, Factor!$K$5:$R$7, _xlpm.기본_색인번호, 0),
_xlpm.피해범위보정치, INDEX(Factor!$AN$5:$AV$51, _xlfn.XMATCH(IF(OR($G290="blast", $G290="curved",  $G290= "debuff"), $L290, 0), Factor!$AN$5:$AN$51, -1), _xlpm.추가_색인번호)-IF(AND(OR($G290="blast", $G290="curved", $G290= "debuff"), MOD($L290,1)&lt;&gt;0),INDEX(Factor!$AN$5:$AV$51, _xlfn.XMATCH(IF(OR($G290="blast", $G290="curved", $G290= "debuff"), $L290, 0), Factor!$AN$5:$AN$51, -1), 2)*MOD($L290,1)*10,0),
_xlpm.상태이상보정치, VLOOKUP(IF($G290 = "debuff", $M290, "null"), Factor!$AX$5:$BE$51, _xlpm.기본_색인번호, 0),
_xlpm.지속시간보정치, INDEX(Factor!$BG$5:$BO$51, _xlfn.XMATCH(IF(OR($G290 ="debuff", $G290 = "shot", $G290 = "pierce"), $O290, 0), Factor!$BG$5:$BG$51, -1), _xlpm.추가_색인번호)-IF(AND(OR($G290 ="debuff", $G290 = "shot", $G290 = "pierce"), MOD($O290, 1)&lt;&gt;0), 10*MOD($O290, 1)*INDEX(Factor!$BG$5:$BO$51, _xlfn.XMATCH(IF(OR($G290 ="debuff", $G290 = "shot", $G290 = "pierce"), $O290, 0), Factor!$BG$5:$BG$51, -1), 2), 0),
_xlpm.탄환개수보정치, VLOOKUP(IF(OR($G290 = "curved", $G290 = "shot"), $Q290, 1), Factor!$BQ$5:$BX$51, _xlpm.기본_색인번호, 0),
_xlpm.상태이상탄환생성위치보정치, IF($G290 = "debuff", VLOOKUP($R290, Factor!$K$18:$R$19, _xlpm.기본_색인번호, 0),1),
_xlpm.상태이상탄환형태보정치, IF($G290 = "debuff", VLOOKUP($S290, Factor!$K$24:$R$25, _xlpm.기본_색인번호, 0),1),
_xlpm.가격보정치, INDEX(Factor!$AE$5:$AL$51, _xlfn.XMATCH($F290,Factor!$AE$5:$AE$51, -1), _xlpm.기본_색인번호),
_xlpm.구경보정치, VLOOKUP($D290,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</row>
    <row r="291" spans="1:33" ht="15.75" customHeight="1">
      <c r="A291" s="24" t="str">
        <f>"weapon_"&amp;G291&amp;"_"&amp;VLOOKUP(H291, Factor!$T$5:$AB$7, 9, 0)&amp;"_"&amp;IF(COUNTIFS($G$4:G290, G291, $H$4:H290, H291)+1&gt;=100, COUNTIFS($G$4:G290, G291, $H$4:H290, H291)+1,IF(COUNTIFS($G$4:G290, G291, $H$4:H290, H291)+1&gt;=10, "0"&amp;COUNTIFS($G$4:G290, G291, $H$4:H290, H291)+1, "00"&amp;COUNTIFS($G$4:G290, G291, $H$4:H290, H291)+1))</f>
        <v>weapon_pierce_Sh_034</v>
      </c>
      <c r="B291" s="36" t="str">
        <f t="shared" si="4"/>
        <v>T3 155mm함포</v>
      </c>
      <c r="C291" s="36" t="s">
        <v>247</v>
      </c>
      <c r="D291" s="36" t="s">
        <v>273</v>
      </c>
      <c r="E291" s="36" t="s">
        <v>283</v>
      </c>
      <c r="F291" s="25">
        <f>VLOOKUP(C291, Factor!$AD$5:$AE$15, 2, 0)</f>
        <v>3000</v>
      </c>
      <c r="G291" s="26" t="str">
        <f>VLOOKUP(E291, Factor!$CL$5:$CV$50, 2, 0)</f>
        <v>pierce</v>
      </c>
      <c r="H291" s="25" t="str">
        <f>VLOOKUP(E291, Factor!$CL$5:$CV$50, 3, 0)</f>
        <v>shell</v>
      </c>
      <c r="I291" s="25" t="str">
        <f>VLOOKUP(E291, Factor!$CL$5:$CV$50, 4, 0)</f>
        <v>L</v>
      </c>
      <c r="J291" s="25" t="str">
        <f>VLOOKUP(E291, Factor!$CL$5:$CV$50, 5, 0)</f>
        <v>normal</v>
      </c>
      <c r="K291" s="25">
        <v>1</v>
      </c>
      <c r="L291" s="25">
        <f>VLOOKUP(E291, Factor!$CL$5:$CV$50, 6, 0)*K291*VLOOKUP(D291, Factor!$BZ$5:$CJ$49, 9, 0)</f>
        <v>0</v>
      </c>
      <c r="M291" s="25" t="str">
        <f>VLOOKUP(E291, Factor!$CL$5:$CV$50, 7, 0)</f>
        <v>null</v>
      </c>
      <c r="N291" s="25">
        <v>1</v>
      </c>
      <c r="O291" s="25">
        <f>VLOOKUP(E291, Factor!$CL$5:$CV$50, 8, 0)*N291*VLOOKUP(D291, Factor!$BZ$5:$CJ$49, 10, 0)</f>
        <v>24</v>
      </c>
      <c r="P291" s="25">
        <v>1</v>
      </c>
      <c r="Q291" s="25">
        <f>VLOOKUP(E291, Factor!$CL$5:$CV$50, 9, 0)*P291*VLOOKUP(D291, Factor!$BZ$5:$CJ$49, 11, 0)</f>
        <v>8</v>
      </c>
      <c r="R291" s="25" t="str">
        <f>VLOOKUP(E291, Factor!$CL$5:$CV$50, 10, 0)</f>
        <v>null</v>
      </c>
      <c r="S291" s="25" t="str">
        <f>VLOOKUP(E291, Factor!$CL$5:$CV$50, 11, 0)</f>
        <v>null</v>
      </c>
      <c r="T291" s="25">
        <v>1</v>
      </c>
      <c r="U291" s="25">
        <v>1</v>
      </c>
      <c r="V291" s="25">
        <v>1</v>
      </c>
      <c r="W291" s="25">
        <v>1</v>
      </c>
      <c r="X291" s="25">
        <v>1</v>
      </c>
      <c r="Y291" s="25">
        <v>1</v>
      </c>
      <c r="Z291" s="25">
        <v>1</v>
      </c>
      <c r="AA291" s="25" cm="1">
        <f t="array" ref="AA291">_xlfn.LET(_xlpm.기본_색인번호, 2,
_xlpm.추가_색인번호, 3,
_xlpm.개별보정치, T291,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291" s="25" cm="1">
        <f t="array" ref="AB291">_xlfn.LET(_xlpm.기본_색인번호, 3,
_xlpm.추가_색인번호, 4,
_xlpm.개별보정치, U291,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1" s="25" cm="1">
        <f t="array" ref="AC291">_xlfn.LET(_xlpm.기본_색인번호, 4,
_xlpm.추가_색인번호, 5,
_xlpm.개별보정치, V291,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1" s="25" cm="1">
        <f t="array" ref="AD291">_xlfn.LET(_xlpm.기본_색인번호, 5,
_xlpm.추가_색인번호, 6,
_xlpm.개별보정치, W291,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E291" s="25" cm="1">
        <f t="array" ref="AE291">_xlfn.LET(_xlpm.기본_색인번호, 6,
_xlpm.추가_색인번호, 7,
_xlpm.개별보정치, X291,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  <c r="AF291" s="25" cm="1">
        <f t="array" ref="AF291">_xlfn.LET(_xlpm.기본_색인번호, 7,
_xlpm.추가_색인번호, 8,
_xlpm.개별보정치, Y291,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1" s="27" cm="1">
        <f t="array" ref="AG291">_xlfn.LET(_xlpm.기본_색인번호, 8,
_xlpm.추가_색인번호, 9,
_xlpm.개별보정치, Z291,
_xlpm.패턴보정치, VLOOKUP($G291, Factor!$B$5:$I$51, _xlpm.기본_색인번호, 0),
_xlpm.소모탄환보정치, VLOOKUP($H291, Factor!$T$5:$AA$51, _xlpm.기본_색인번호, 0),
_xlpm.지형보정치, VLOOKUP($I291, Factor!$K$12:$R$13, _xlpm.기본_색인번호, 0),
_xlpm.공격속성보정치, VLOOKUP($J291, Factor!$K$5:$R$7, _xlpm.기본_색인번호, 0),
_xlpm.피해범위보정치, INDEX(Factor!$AN$5:$AV$51, _xlfn.XMATCH(IF(OR($G291="blast", $G291="curved",  $G291= "debuff"), $L291, 0), Factor!$AN$5:$AN$51, -1), _xlpm.추가_색인번호)-IF(AND(OR($G291="blast", $G291="curved", $G291= "debuff"), MOD($L291,1)&lt;&gt;0),INDEX(Factor!$AN$5:$AV$51, _xlfn.XMATCH(IF(OR($G291="blast", $G291="curved", $G291= "debuff"), $L291, 0), Factor!$AN$5:$AN$51, -1), 2)*MOD($L291,1)*10,0),
_xlpm.상태이상보정치, VLOOKUP(IF($G291 = "debuff", $M291, "null"), Factor!$AX$5:$BE$51, _xlpm.기본_색인번호, 0),
_xlpm.지속시간보정치, INDEX(Factor!$BG$5:$BO$51, _xlfn.XMATCH(IF(OR($G291 ="debuff", $G291 = "shot", $G291 = "pierce"), $O291, 0), Factor!$BG$5:$BG$51, -1), _xlpm.추가_색인번호)-IF(AND(OR($G291 ="debuff", $G291 = "shot", $G291 = "pierce"), MOD($O291, 1)&lt;&gt;0), 10*MOD($O291, 1)*INDEX(Factor!$BG$5:$BO$51, _xlfn.XMATCH(IF(OR($G291 ="debuff", $G291 = "shot", $G291 = "pierce"), $O291, 0), Factor!$BG$5:$BG$51, -1), 2), 0),
_xlpm.탄환개수보정치, VLOOKUP(IF(OR($G291 = "curved", $G291 = "shot"), $Q291, 1), Factor!$BQ$5:$BX$51, _xlpm.기본_색인번호, 0),
_xlpm.상태이상탄환생성위치보정치, IF($G291 = "debuff", VLOOKUP($R291, Factor!$K$18:$R$19, _xlpm.기본_색인번호, 0),1),
_xlpm.상태이상탄환형태보정치, IF($G291 = "debuff", VLOOKUP($S291, Factor!$K$24:$R$25, _xlpm.기본_색인번호, 0),1),
_xlpm.가격보정치, INDEX(Factor!$AE$5:$AL$51, _xlfn.XMATCH($F291,Factor!$AE$5:$AE$51, -1), _xlpm.기본_색인번호),
_xlpm.구경보정치, VLOOKUP($D291,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</v>
      </c>
    </row>
    <row r="292" spans="1:33" ht="15.75" customHeight="1">
      <c r="A292" s="28" t="str">
        <f>"weapon_"&amp;G292&amp;"_"&amp;VLOOKUP(H292, Factor!$T$5:$AB$7, 9, 0)&amp;"_"&amp;IF(COUNTIFS($G$4:G291, G292, $H$4:H291, H292)+1&gt;=100, COUNTIFS($G$4:G291, G292, $H$4:H291, H292)+1,IF(COUNTIFS($G$4:G291, G292, $H$4:H291, H292)+1&gt;=10, "0"&amp;COUNTIFS($G$4:G291, G292, $H$4:H291, H292)+1, "00"&amp;COUNTIFS($G$4:G291, G292, $H$4:H291, H292)+1))</f>
        <v>weapon_pierce_Sh_035</v>
      </c>
      <c r="B292" s="37" t="str">
        <f t="shared" si="4"/>
        <v>T4 55mm함포</v>
      </c>
      <c r="C292" s="37" t="s">
        <v>249</v>
      </c>
      <c r="D292" s="37" t="s">
        <v>270</v>
      </c>
      <c r="E292" s="37" t="s">
        <v>283</v>
      </c>
      <c r="F292" s="29">
        <f>VLOOKUP(C292, Factor!$AD$5:$AE$15, 2, 0)</f>
        <v>4000</v>
      </c>
      <c r="G292" s="29" t="str">
        <f>VLOOKUP(E292, Factor!$CL$5:$CV$50, 2, 0)</f>
        <v>pierce</v>
      </c>
      <c r="H292" s="29" t="str">
        <f>VLOOKUP(E292, Factor!$CL$5:$CV$50, 3, 0)</f>
        <v>shell</v>
      </c>
      <c r="I292" s="29" t="str">
        <f>VLOOKUP(E292, Factor!$CL$5:$CV$50, 4, 0)</f>
        <v>L</v>
      </c>
      <c r="J292" s="29" t="str">
        <f>VLOOKUP(E292, Factor!$CL$5:$CV$50, 5, 0)</f>
        <v>normal</v>
      </c>
      <c r="K292" s="29">
        <v>1</v>
      </c>
      <c r="L292" s="29">
        <f>VLOOKUP(E292, Factor!$CL$5:$CV$50, 6, 0)*K292*VLOOKUP(D292, Factor!$BZ$5:$CJ$49, 9, 0)</f>
        <v>0</v>
      </c>
      <c r="M292" s="29" t="str">
        <f>VLOOKUP(E292, Factor!$CL$5:$CV$50, 7, 0)</f>
        <v>null</v>
      </c>
      <c r="N292" s="29">
        <v>1</v>
      </c>
      <c r="O292" s="29">
        <f>VLOOKUP(E292, Factor!$CL$5:$CV$50, 8, 0)*N292*VLOOKUP(D292, Factor!$BZ$5:$CJ$49, 10, 0)</f>
        <v>21</v>
      </c>
      <c r="P292" s="29">
        <v>1</v>
      </c>
      <c r="Q292" s="29">
        <f>VLOOKUP(E292, Factor!$CL$5:$CV$50, 9, 0)*P292*VLOOKUP(D292, Factor!$BZ$5:$CJ$49, 11, 0)</f>
        <v>7</v>
      </c>
      <c r="R292" s="29" t="str">
        <f>VLOOKUP(E292, Factor!$CL$5:$CV$50, 10, 0)</f>
        <v>null</v>
      </c>
      <c r="S292" s="29" t="str">
        <f>VLOOKUP(E292, Factor!$CL$5:$CV$50, 11, 0)</f>
        <v>null</v>
      </c>
      <c r="T292" s="29">
        <v>1</v>
      </c>
      <c r="U292" s="29">
        <v>1</v>
      </c>
      <c r="V292" s="29">
        <v>1</v>
      </c>
      <c r="W292" s="29">
        <v>1</v>
      </c>
      <c r="X292" s="29">
        <v>1</v>
      </c>
      <c r="Y292" s="29">
        <v>1</v>
      </c>
      <c r="Z292" s="29">
        <v>1</v>
      </c>
      <c r="AA292" s="29" cm="1">
        <f t="array" ref="AA292">_xlfn.LET(_xlpm.기본_색인번호, 2,
_xlpm.추가_색인번호, 3,
_xlpm.개별보정치, T292,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292" s="29" cm="1">
        <f t="array" ref="AB292">_xlfn.LET(_xlpm.기본_색인번호, 3,
_xlpm.추가_색인번호, 4,
_xlpm.개별보정치, U292,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2" s="29" cm="1">
        <f t="array" ref="AC292">_xlfn.LET(_xlpm.기본_색인번호, 4,
_xlpm.추가_색인번호, 5,
_xlpm.개별보정치, V292,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2" s="29" cm="1">
        <f t="array" ref="AD292">_xlfn.LET(_xlpm.기본_색인번호, 5,
_xlpm.추가_색인번호, 6,
_xlpm.개별보정치, W292,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E292" s="29" cm="1">
        <f t="array" ref="AE292">_xlfn.LET(_xlpm.기본_색인번호, 6,
_xlpm.추가_색인번호, 7,
_xlpm.개별보정치, X292,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F292" s="29" cm="1">
        <f t="array" ref="AF292">_xlfn.LET(_xlpm.기본_색인번호, 7,
_xlpm.추가_색인번호, 8,
_xlpm.개별보정치, Y292,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2" s="30" cm="1">
        <f t="array" ref="AG292">_xlfn.LET(_xlpm.기본_색인번호, 8,
_xlpm.추가_색인번호, 9,
_xlpm.개별보정치, Z292,
_xlpm.패턴보정치, VLOOKUP($G292, Factor!$B$5:$I$51, _xlpm.기본_색인번호, 0),
_xlpm.소모탄환보정치, VLOOKUP($H292, Factor!$T$5:$AA$51, _xlpm.기본_색인번호, 0),
_xlpm.지형보정치, VLOOKUP($I292, Factor!$K$12:$R$13, _xlpm.기본_색인번호, 0),
_xlpm.공격속성보정치, VLOOKUP($J292, Factor!$K$5:$R$7, _xlpm.기본_색인번호, 0),
_xlpm.피해범위보정치, INDEX(Factor!$AN$5:$AV$51, _xlfn.XMATCH(IF(OR($G292="blast", $G292="curved",  $G292= "debuff"), $L292, 0), Factor!$AN$5:$AN$51, -1), _xlpm.추가_색인번호)-IF(AND(OR($G292="blast", $G292="curved", $G292= "debuff"), MOD($L292,1)&lt;&gt;0),INDEX(Factor!$AN$5:$AV$51, _xlfn.XMATCH(IF(OR($G292="blast", $G292="curved", $G292= "debuff"), $L292, 0), Factor!$AN$5:$AN$51, -1), 2)*MOD($L292,1)*10,0),
_xlpm.상태이상보정치, VLOOKUP(IF($G292 = "debuff", $M292, "null"), Factor!$AX$5:$BE$51, _xlpm.기본_색인번호, 0),
_xlpm.지속시간보정치, INDEX(Factor!$BG$5:$BO$51, _xlfn.XMATCH(IF(OR($G292 ="debuff", $G292 = "shot", $G292 = "pierce"), $O292, 0), Factor!$BG$5:$BG$51, -1), _xlpm.추가_색인번호)-IF(AND(OR($G292 ="debuff", $G292 = "shot", $G292 = "pierce"), MOD($O292, 1)&lt;&gt;0), 10*MOD($O292, 1)*INDEX(Factor!$BG$5:$BO$51, _xlfn.XMATCH(IF(OR($G292 ="debuff", $G292 = "shot", $G292 = "pierce"), $O292, 0), Factor!$BG$5:$BG$51, -1), 2), 0),
_xlpm.탄환개수보정치, VLOOKUP(IF(OR($G292 = "curved", $G292 = "shot"), $Q292, 1), Factor!$BQ$5:$BX$51, _xlpm.기본_색인번호, 0),
_xlpm.상태이상탄환생성위치보정치, IF($G292 = "debuff", VLOOKUP($R292, Factor!$K$18:$R$19, _xlpm.기본_색인번호, 0),1),
_xlpm.상태이상탄환형태보정치, IF($G292 = "debuff", VLOOKUP($S292, Factor!$K$24:$R$25, _xlpm.기본_색인번호, 0),1),
_xlpm.가격보정치, INDEX(Factor!$AE$5:$AL$51, _xlfn.XMATCH($F292,Factor!$AE$5:$AE$51, -1), _xlpm.기본_색인번호),
_xlpm.구경보정치, VLOOKUP($D292,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</row>
    <row r="293" spans="1:33" ht="15.75" customHeight="1">
      <c r="A293" s="24" t="str">
        <f>"weapon_"&amp;G293&amp;"_"&amp;VLOOKUP(H293, Factor!$T$5:$AB$7, 9, 0)&amp;"_"&amp;IF(COUNTIFS($G$4:G292, G293, $H$4:H292, H293)+1&gt;=100, COUNTIFS($G$4:G292, G293, $H$4:H292, H293)+1,IF(COUNTIFS($G$4:G292, G293, $H$4:H292, H293)+1&gt;=10, "0"&amp;COUNTIFS($G$4:G292, G293, $H$4:H292, H293)+1, "00"&amp;COUNTIFS($G$4:G292, G293, $H$4:H292, H293)+1))</f>
        <v>weapon_pierce_Sh_036</v>
      </c>
      <c r="B293" s="36" t="str">
        <f t="shared" si="4"/>
        <v>T4 105mm함포</v>
      </c>
      <c r="C293" s="36" t="s">
        <v>249</v>
      </c>
      <c r="D293" s="36" t="s">
        <v>272</v>
      </c>
      <c r="E293" s="36" t="s">
        <v>283</v>
      </c>
      <c r="F293" s="25">
        <f>VLOOKUP(C293, Factor!$AD$5:$AE$15, 2, 0)</f>
        <v>4000</v>
      </c>
      <c r="G293" s="26" t="str">
        <f>VLOOKUP(E293, Factor!$CL$5:$CV$50, 2, 0)</f>
        <v>pierce</v>
      </c>
      <c r="H293" s="25" t="str">
        <f>VLOOKUP(E293, Factor!$CL$5:$CV$50, 3, 0)</f>
        <v>shell</v>
      </c>
      <c r="I293" s="25" t="str">
        <f>VLOOKUP(E293, Factor!$CL$5:$CV$50, 4, 0)</f>
        <v>L</v>
      </c>
      <c r="J293" s="25" t="str">
        <f>VLOOKUP(E293, Factor!$CL$5:$CV$50, 5, 0)</f>
        <v>normal</v>
      </c>
      <c r="K293" s="25">
        <v>1</v>
      </c>
      <c r="L293" s="25">
        <f>VLOOKUP(E293, Factor!$CL$5:$CV$50, 6, 0)*K293*VLOOKUP(D293, Factor!$BZ$5:$CJ$49, 9, 0)</f>
        <v>0</v>
      </c>
      <c r="M293" s="25" t="str">
        <f>VLOOKUP(E293, Factor!$CL$5:$CV$50, 7, 0)</f>
        <v>null</v>
      </c>
      <c r="N293" s="25">
        <v>1</v>
      </c>
      <c r="O293" s="25">
        <f>VLOOKUP(E293, Factor!$CL$5:$CV$50, 8, 0)*N293*VLOOKUP(D293, Factor!$BZ$5:$CJ$49, 10, 0)</f>
        <v>24</v>
      </c>
      <c r="P293" s="25">
        <v>1</v>
      </c>
      <c r="Q293" s="25">
        <f>VLOOKUP(E293, Factor!$CL$5:$CV$50, 9, 0)*P293*VLOOKUP(D293, Factor!$BZ$5:$CJ$49, 11, 0)</f>
        <v>8</v>
      </c>
      <c r="R293" s="25" t="str">
        <f>VLOOKUP(E293, Factor!$CL$5:$CV$50, 10, 0)</f>
        <v>null</v>
      </c>
      <c r="S293" s="25" t="str">
        <f>VLOOKUP(E293, Factor!$CL$5:$CV$50, 11, 0)</f>
        <v>null</v>
      </c>
      <c r="T293" s="25">
        <v>1</v>
      </c>
      <c r="U293" s="25">
        <v>1</v>
      </c>
      <c r="V293" s="25">
        <v>1</v>
      </c>
      <c r="W293" s="25">
        <v>1</v>
      </c>
      <c r="X293" s="25">
        <v>1</v>
      </c>
      <c r="Y293" s="25">
        <v>1</v>
      </c>
      <c r="Z293" s="25">
        <v>1</v>
      </c>
      <c r="AA293" s="25" cm="1">
        <f t="array" ref="AA293">_xlfn.LET(_xlpm.기본_색인번호, 2,
_xlpm.추가_색인번호, 3,
_xlpm.개별보정치, T293,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293" s="25" cm="1">
        <f t="array" ref="AB293">_xlfn.LET(_xlpm.기본_색인번호, 3,
_xlpm.추가_색인번호, 4,
_xlpm.개별보정치, U293,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3" s="25" cm="1">
        <f t="array" ref="AC293">_xlfn.LET(_xlpm.기본_색인번호, 4,
_xlpm.추가_색인번호, 5,
_xlpm.개별보정치, V293,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3" s="25" cm="1">
        <f t="array" ref="AD293">_xlfn.LET(_xlpm.기본_색인번호, 5,
_xlpm.추가_색인번호, 6,
_xlpm.개별보정치, W293,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E293" s="25" cm="1">
        <f t="array" ref="AE293">_xlfn.LET(_xlpm.기본_색인번호, 6,
_xlpm.추가_색인번호, 7,
_xlpm.개별보정치, X293,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F293" s="25" cm="1">
        <f t="array" ref="AF293">_xlfn.LET(_xlpm.기본_색인번호, 7,
_xlpm.추가_색인번호, 8,
_xlpm.개별보정치, Y293,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3" s="27" cm="1">
        <f t="array" ref="AG293">_xlfn.LET(_xlpm.기본_색인번호, 8,
_xlpm.추가_색인번호, 9,
_xlpm.개별보정치, Z293,
_xlpm.패턴보정치, VLOOKUP($G293, Factor!$B$5:$I$51, _xlpm.기본_색인번호, 0),
_xlpm.소모탄환보정치, VLOOKUP($H293, Factor!$T$5:$AA$51, _xlpm.기본_색인번호, 0),
_xlpm.지형보정치, VLOOKUP($I293, Factor!$K$12:$R$13, _xlpm.기본_색인번호, 0),
_xlpm.공격속성보정치, VLOOKUP($J293, Factor!$K$5:$R$7, _xlpm.기본_색인번호, 0),
_xlpm.피해범위보정치, INDEX(Factor!$AN$5:$AV$51, _xlfn.XMATCH(IF(OR($G293="blast", $G293="curved",  $G293= "debuff"), $L293, 0), Factor!$AN$5:$AN$51, -1), _xlpm.추가_색인번호)-IF(AND(OR($G293="blast", $G293="curved", $G293= "debuff"), MOD($L293,1)&lt;&gt;0),INDEX(Factor!$AN$5:$AV$51, _xlfn.XMATCH(IF(OR($G293="blast", $G293="curved", $G293= "debuff"), $L293, 0), Factor!$AN$5:$AN$51, -1), 2)*MOD($L293,1)*10,0),
_xlpm.상태이상보정치, VLOOKUP(IF($G293 = "debuff", $M293, "null"), Factor!$AX$5:$BE$51, _xlpm.기본_색인번호, 0),
_xlpm.지속시간보정치, INDEX(Factor!$BG$5:$BO$51, _xlfn.XMATCH(IF(OR($G293 ="debuff", $G293 = "shot", $G293 = "pierce"), $O293, 0), Factor!$BG$5:$BG$51, -1), _xlpm.추가_색인번호)-IF(AND(OR($G293 ="debuff", $G293 = "shot", $G293 = "pierce"), MOD($O293, 1)&lt;&gt;0), 10*MOD($O293, 1)*INDEX(Factor!$BG$5:$BO$51, _xlfn.XMATCH(IF(OR($G293 ="debuff", $G293 = "shot", $G293 = "pierce"), $O293, 0), Factor!$BG$5:$BG$51, -1), 2), 0),
_xlpm.탄환개수보정치, VLOOKUP(IF(OR($G293 = "curved", $G293 = "shot"), $Q293, 1), Factor!$BQ$5:$BX$51, _xlpm.기본_색인번호, 0),
_xlpm.상태이상탄환생성위치보정치, IF($G293 = "debuff", VLOOKUP($R293, Factor!$K$18:$R$19, _xlpm.기본_색인번호, 0),1),
_xlpm.상태이상탄환형태보정치, IF($G293 = "debuff", VLOOKUP($S293, Factor!$K$24:$R$25, _xlpm.기본_색인번호, 0),1),
_xlpm.가격보정치, INDEX(Factor!$AE$5:$AL$51, _xlfn.XMATCH($F293,Factor!$AE$5:$AE$51, -1), _xlpm.기본_색인번호),
_xlpm.구경보정치, VLOOKUP($D293,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</row>
    <row r="294" spans="1:33" ht="15.75" customHeight="1">
      <c r="A294" s="28" t="str">
        <f>"weapon_"&amp;G294&amp;"_"&amp;VLOOKUP(H294, Factor!$T$5:$AB$7, 9, 0)&amp;"_"&amp;IF(COUNTIFS($G$4:G293, G294, $H$4:H293, H294)+1&gt;=100, COUNTIFS($G$4:G293, G294, $H$4:H293, H294)+1,IF(COUNTIFS($G$4:G293, G294, $H$4:H293, H294)+1&gt;=10, "0"&amp;COUNTIFS($G$4:G293, G294, $H$4:H293, H294)+1, "00"&amp;COUNTIFS($G$4:G293, G294, $H$4:H293, H294)+1))</f>
        <v>weapon_pierce_Sh_037</v>
      </c>
      <c r="B294" s="37" t="str">
        <f t="shared" si="4"/>
        <v>T4 155mm함포</v>
      </c>
      <c r="C294" s="37" t="s">
        <v>249</v>
      </c>
      <c r="D294" s="37" t="s">
        <v>273</v>
      </c>
      <c r="E294" s="37" t="s">
        <v>283</v>
      </c>
      <c r="F294" s="29">
        <f>VLOOKUP(C294, Factor!$AD$5:$AE$15, 2, 0)</f>
        <v>4000</v>
      </c>
      <c r="G294" s="29" t="str">
        <f>VLOOKUP(E294, Factor!$CL$5:$CV$50, 2, 0)</f>
        <v>pierce</v>
      </c>
      <c r="H294" s="29" t="str">
        <f>VLOOKUP(E294, Factor!$CL$5:$CV$50, 3, 0)</f>
        <v>shell</v>
      </c>
      <c r="I294" s="29" t="str">
        <f>VLOOKUP(E294, Factor!$CL$5:$CV$50, 4, 0)</f>
        <v>L</v>
      </c>
      <c r="J294" s="29" t="str">
        <f>VLOOKUP(E294, Factor!$CL$5:$CV$50, 5, 0)</f>
        <v>normal</v>
      </c>
      <c r="K294" s="29">
        <v>1</v>
      </c>
      <c r="L294" s="29">
        <f>VLOOKUP(E294, Factor!$CL$5:$CV$50, 6, 0)*K294*VLOOKUP(D294, Factor!$BZ$5:$CJ$49, 9, 0)</f>
        <v>0</v>
      </c>
      <c r="M294" s="29" t="str">
        <f>VLOOKUP(E294, Factor!$CL$5:$CV$50, 7, 0)</f>
        <v>null</v>
      </c>
      <c r="N294" s="29">
        <v>1</v>
      </c>
      <c r="O294" s="29">
        <f>VLOOKUP(E294, Factor!$CL$5:$CV$50, 8, 0)*N294*VLOOKUP(D294, Factor!$BZ$5:$CJ$49, 10, 0)</f>
        <v>24</v>
      </c>
      <c r="P294" s="29">
        <v>1</v>
      </c>
      <c r="Q294" s="29">
        <f>VLOOKUP(E294, Factor!$CL$5:$CV$50, 9, 0)*P294*VLOOKUP(D294, Factor!$BZ$5:$CJ$49, 11, 0)</f>
        <v>8</v>
      </c>
      <c r="R294" s="29" t="str">
        <f>VLOOKUP(E294, Factor!$CL$5:$CV$50, 10, 0)</f>
        <v>null</v>
      </c>
      <c r="S294" s="29" t="str">
        <f>VLOOKUP(E294, Factor!$CL$5:$CV$50, 11, 0)</f>
        <v>null</v>
      </c>
      <c r="T294" s="29">
        <v>1</v>
      </c>
      <c r="U294" s="29">
        <v>1</v>
      </c>
      <c r="V294" s="29">
        <v>1</v>
      </c>
      <c r="W294" s="29">
        <v>1</v>
      </c>
      <c r="X294" s="29">
        <v>1</v>
      </c>
      <c r="Y294" s="29">
        <v>1</v>
      </c>
      <c r="Z294" s="29">
        <v>1</v>
      </c>
      <c r="AA294" s="29" cm="1">
        <f t="array" ref="AA294">_xlfn.LET(_xlpm.기본_색인번호, 2,
_xlpm.추가_색인번호, 3,
_xlpm.개별보정치, T294,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294" s="29" cm="1">
        <f t="array" ref="AB294">_xlfn.LET(_xlpm.기본_색인번호, 3,
_xlpm.추가_색인번호, 4,
_xlpm.개별보정치, U294,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4" s="29" cm="1">
        <f t="array" ref="AC294">_xlfn.LET(_xlpm.기본_색인번호, 4,
_xlpm.추가_색인번호, 5,
_xlpm.개별보정치, V294,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4" s="29" cm="1">
        <f t="array" ref="AD294">_xlfn.LET(_xlpm.기본_색인번호, 5,
_xlpm.추가_색인번호, 6,
_xlpm.개별보정치, W294,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E294" s="29" cm="1">
        <f t="array" ref="AE294">_xlfn.LET(_xlpm.기본_색인번호, 6,
_xlpm.추가_색인번호, 7,
_xlpm.개별보정치, X294,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F294" s="29" cm="1">
        <f t="array" ref="AF294">_xlfn.LET(_xlpm.기본_색인번호, 7,
_xlpm.추가_색인번호, 8,
_xlpm.개별보정치, Y294,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4" s="30" cm="1">
        <f t="array" ref="AG294">_xlfn.LET(_xlpm.기본_색인번호, 8,
_xlpm.추가_색인번호, 9,
_xlpm.개별보정치, Z294,
_xlpm.패턴보정치, VLOOKUP($G294, Factor!$B$5:$I$51, _xlpm.기본_색인번호, 0),
_xlpm.소모탄환보정치, VLOOKUP($H294, Factor!$T$5:$AA$51, _xlpm.기본_색인번호, 0),
_xlpm.지형보정치, VLOOKUP($I294, Factor!$K$12:$R$13, _xlpm.기본_색인번호, 0),
_xlpm.공격속성보정치, VLOOKUP($J294, Factor!$K$5:$R$7, _xlpm.기본_색인번호, 0),
_xlpm.피해범위보정치, INDEX(Factor!$AN$5:$AV$51, _xlfn.XMATCH(IF(OR($G294="blast", $G294="curved",  $G294= "debuff"), $L294, 0), Factor!$AN$5:$AN$51, -1), _xlpm.추가_색인번호)-IF(AND(OR($G294="blast", $G294="curved", $G294= "debuff"), MOD($L294,1)&lt;&gt;0),INDEX(Factor!$AN$5:$AV$51, _xlfn.XMATCH(IF(OR($G294="blast", $G294="curved", $G294= "debuff"), $L294, 0), Factor!$AN$5:$AN$51, -1), 2)*MOD($L294,1)*10,0),
_xlpm.상태이상보정치, VLOOKUP(IF($G294 = "debuff", $M294, "null"), Factor!$AX$5:$BE$51, _xlpm.기본_색인번호, 0),
_xlpm.지속시간보정치, INDEX(Factor!$BG$5:$BO$51, _xlfn.XMATCH(IF(OR($G294 ="debuff", $G294 = "shot", $G294 = "pierce"), $O294, 0), Factor!$BG$5:$BG$51, -1), _xlpm.추가_색인번호)-IF(AND(OR($G294 ="debuff", $G294 = "shot", $G294 = "pierce"), MOD($O294, 1)&lt;&gt;0), 10*MOD($O294, 1)*INDEX(Factor!$BG$5:$BO$51, _xlfn.XMATCH(IF(OR($G294 ="debuff", $G294 = "shot", $G294 = "pierce"), $O294, 0), Factor!$BG$5:$BG$51, -1), 2), 0),
_xlpm.탄환개수보정치, VLOOKUP(IF(OR($G294 = "curved", $G294 = "shot"), $Q294, 1), Factor!$BQ$5:$BX$51, _xlpm.기본_색인번호, 0),
_xlpm.상태이상탄환생성위치보정치, IF($G294 = "debuff", VLOOKUP($R294, Factor!$K$18:$R$19, _xlpm.기본_색인번호, 0),1),
_xlpm.상태이상탄환형태보정치, IF($G294 = "debuff", VLOOKUP($S294, Factor!$K$24:$R$25, _xlpm.기본_색인번호, 0),1),
_xlpm.가격보정치, INDEX(Factor!$AE$5:$AL$51, _xlfn.XMATCH($F294,Factor!$AE$5:$AE$51, -1), _xlpm.기본_색인번호),
_xlpm.구경보정치, VLOOKUP($D294,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</row>
    <row r="295" spans="1:33" ht="15.75" customHeight="1">
      <c r="A295" s="24" t="str">
        <f>"weapon_"&amp;G295&amp;"_"&amp;VLOOKUP(H295, Factor!$T$5:$AB$7, 9, 0)&amp;"_"&amp;IF(COUNTIFS($G$4:G294, G295, $H$4:H294, H295)+1&gt;=100, COUNTIFS($G$4:G294, G295, $H$4:H294, H295)+1,IF(COUNTIFS($G$4:G294, G295, $H$4:H294, H295)+1&gt;=10, "0"&amp;COUNTIFS($G$4:G294, G295, $H$4:H294, H295)+1, "00"&amp;COUNTIFS($G$4:G294, G295, $H$4:H294, H295)+1))</f>
        <v>weapon_pierce_Sh_038</v>
      </c>
      <c r="B295" s="36" t="str">
        <f t="shared" si="4"/>
        <v>T5 55mm함포</v>
      </c>
      <c r="C295" s="36" t="s">
        <v>251</v>
      </c>
      <c r="D295" s="36" t="s">
        <v>270</v>
      </c>
      <c r="E295" s="36" t="s">
        <v>283</v>
      </c>
      <c r="F295" s="25">
        <f>VLOOKUP(C295, Factor!$AD$5:$AE$15, 2, 0)</f>
        <v>5000</v>
      </c>
      <c r="G295" s="26" t="str">
        <f>VLOOKUP(E295, Factor!$CL$5:$CV$50, 2, 0)</f>
        <v>pierce</v>
      </c>
      <c r="H295" s="25" t="str">
        <f>VLOOKUP(E295, Factor!$CL$5:$CV$50, 3, 0)</f>
        <v>shell</v>
      </c>
      <c r="I295" s="25" t="str">
        <f>VLOOKUP(E295, Factor!$CL$5:$CV$50, 4, 0)</f>
        <v>L</v>
      </c>
      <c r="J295" s="25" t="str">
        <f>VLOOKUP(E295, Factor!$CL$5:$CV$50, 5, 0)</f>
        <v>normal</v>
      </c>
      <c r="K295" s="25">
        <v>1</v>
      </c>
      <c r="L295" s="25">
        <f>VLOOKUP(E295, Factor!$CL$5:$CV$50, 6, 0)*K295*VLOOKUP(D295, Factor!$BZ$5:$CJ$49, 9, 0)</f>
        <v>0</v>
      </c>
      <c r="M295" s="25" t="str">
        <f>VLOOKUP(E295, Factor!$CL$5:$CV$50, 7, 0)</f>
        <v>null</v>
      </c>
      <c r="N295" s="25">
        <v>1</v>
      </c>
      <c r="O295" s="25">
        <f>VLOOKUP(E295, Factor!$CL$5:$CV$50, 8, 0)*N295*VLOOKUP(D295, Factor!$BZ$5:$CJ$49, 10, 0)</f>
        <v>21</v>
      </c>
      <c r="P295" s="25">
        <v>1</v>
      </c>
      <c r="Q295" s="25">
        <f>VLOOKUP(E295, Factor!$CL$5:$CV$50, 9, 0)*P295*VLOOKUP(D295, Factor!$BZ$5:$CJ$49, 11, 0)</f>
        <v>7</v>
      </c>
      <c r="R295" s="25" t="str">
        <f>VLOOKUP(E295, Factor!$CL$5:$CV$50, 10, 0)</f>
        <v>null</v>
      </c>
      <c r="S295" s="25" t="str">
        <f>VLOOKUP(E295, Factor!$CL$5:$CV$50, 11, 0)</f>
        <v>null</v>
      </c>
      <c r="T295" s="25">
        <v>1</v>
      </c>
      <c r="U295" s="25">
        <v>1</v>
      </c>
      <c r="V295" s="25">
        <v>1</v>
      </c>
      <c r="W295" s="25">
        <v>1</v>
      </c>
      <c r="X295" s="25">
        <v>1</v>
      </c>
      <c r="Y295" s="25">
        <v>1</v>
      </c>
      <c r="Z295" s="25">
        <v>1</v>
      </c>
      <c r="AA295" s="25" cm="1">
        <f t="array" ref="AA295">_xlfn.LET(_xlpm.기본_색인번호, 2,
_xlpm.추가_색인번호, 3,
_xlpm.개별보정치, T295,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95" s="25" cm="1">
        <f t="array" ref="AB295">_xlfn.LET(_xlpm.기본_색인번호, 3,
_xlpm.추가_색인번호, 4,
_xlpm.개별보정치, U295,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5" s="25" cm="1">
        <f t="array" ref="AC295">_xlfn.LET(_xlpm.기본_색인번호, 4,
_xlpm.추가_색인번호, 5,
_xlpm.개별보정치, V295,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5" s="25" cm="1">
        <f t="array" ref="AD295">_xlfn.LET(_xlpm.기본_색인번호, 5,
_xlpm.추가_색인번호, 6,
_xlpm.개별보정치, W295,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295" s="25" cm="1">
        <f t="array" ref="AE295">_xlfn.LET(_xlpm.기본_색인번호, 6,
_xlpm.추가_색인번호, 7,
_xlpm.개별보정치, X295,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295" s="25" cm="1">
        <f t="array" ref="AF295">_xlfn.LET(_xlpm.기본_색인번호, 7,
_xlpm.추가_색인번호, 8,
_xlpm.개별보정치, Y295,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5" s="27" cm="1">
        <f t="array" ref="AG295">_xlfn.LET(_xlpm.기본_색인번호, 8,
_xlpm.추가_색인번호, 9,
_xlpm.개별보정치, Z295,
_xlpm.패턴보정치, VLOOKUP($G295, Factor!$B$5:$I$51, _xlpm.기본_색인번호, 0),
_xlpm.소모탄환보정치, VLOOKUP($H295, Factor!$T$5:$AA$51, _xlpm.기본_색인번호, 0),
_xlpm.지형보정치, VLOOKUP($I295, Factor!$K$12:$R$13, _xlpm.기본_색인번호, 0),
_xlpm.공격속성보정치, VLOOKUP($J295, Factor!$K$5:$R$7, _xlpm.기본_색인번호, 0),
_xlpm.피해범위보정치, INDEX(Factor!$AN$5:$AV$51, _xlfn.XMATCH(IF(OR($G295="blast", $G295="curved",  $G295= "debuff"), $L295, 0), Factor!$AN$5:$AN$51, -1), _xlpm.추가_색인번호)-IF(AND(OR($G295="blast", $G295="curved", $G295= "debuff"), MOD($L295,1)&lt;&gt;0),INDEX(Factor!$AN$5:$AV$51, _xlfn.XMATCH(IF(OR($G295="blast", $G295="curved", $G295= "debuff"), $L295, 0), Factor!$AN$5:$AN$51, -1), 2)*MOD($L295,1)*10,0),
_xlpm.상태이상보정치, VLOOKUP(IF($G295 = "debuff", $M295, "null"), Factor!$AX$5:$BE$51, _xlpm.기본_색인번호, 0),
_xlpm.지속시간보정치, INDEX(Factor!$BG$5:$BO$51, _xlfn.XMATCH(IF(OR($G295 ="debuff", $G295 = "shot", $G295 = "pierce"), $O295, 0), Factor!$BG$5:$BG$51, -1), _xlpm.추가_색인번호)-IF(AND(OR($G295 ="debuff", $G295 = "shot", $G295 = "pierce"), MOD($O295, 1)&lt;&gt;0), 10*MOD($O295, 1)*INDEX(Factor!$BG$5:$BO$51, _xlfn.XMATCH(IF(OR($G295 ="debuff", $G295 = "shot", $G295 = "pierce"), $O295, 0), Factor!$BG$5:$BG$51, -1), 2), 0),
_xlpm.탄환개수보정치, VLOOKUP(IF(OR($G295 = "curved", $G295 = "shot"), $Q295, 1), Factor!$BQ$5:$BX$51, _xlpm.기본_색인번호, 0),
_xlpm.상태이상탄환생성위치보정치, IF($G295 = "debuff", VLOOKUP($R295, Factor!$K$18:$R$19, _xlpm.기본_색인번호, 0),1),
_xlpm.상태이상탄환형태보정치, IF($G295 = "debuff", VLOOKUP($S295, Factor!$K$24:$R$25, _xlpm.기본_색인번호, 0),1),
_xlpm.가격보정치, INDEX(Factor!$AE$5:$AL$51, _xlfn.XMATCH($F295,Factor!$AE$5:$AE$51, -1), _xlpm.기본_색인번호),
_xlpm.구경보정치, VLOOKUP($D295,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296" spans="1:33" ht="15.75" customHeight="1">
      <c r="A296" s="28" t="str">
        <f>"weapon_"&amp;G296&amp;"_"&amp;VLOOKUP(H296, Factor!$T$5:$AB$7, 9, 0)&amp;"_"&amp;IF(COUNTIFS($G$4:G295, G296, $H$4:H295, H296)+1&gt;=100, COUNTIFS($G$4:G295, G296, $H$4:H295, H296)+1,IF(COUNTIFS($G$4:G295, G296, $H$4:H295, H296)+1&gt;=10, "0"&amp;COUNTIFS($G$4:G295, G296, $H$4:H295, H296)+1, "00"&amp;COUNTIFS($G$4:G295, G296, $H$4:H295, H296)+1))</f>
        <v>weapon_pierce_Sh_039</v>
      </c>
      <c r="B296" s="37" t="str">
        <f t="shared" si="4"/>
        <v>T5 105mm함포</v>
      </c>
      <c r="C296" s="37" t="s">
        <v>251</v>
      </c>
      <c r="D296" s="37" t="s">
        <v>272</v>
      </c>
      <c r="E296" s="37" t="s">
        <v>283</v>
      </c>
      <c r="F296" s="29">
        <f>VLOOKUP(C296, Factor!$AD$5:$AE$15, 2, 0)</f>
        <v>5000</v>
      </c>
      <c r="G296" s="29" t="str">
        <f>VLOOKUP(E296, Factor!$CL$5:$CV$50, 2, 0)</f>
        <v>pierce</v>
      </c>
      <c r="H296" s="29" t="str">
        <f>VLOOKUP(E296, Factor!$CL$5:$CV$50, 3, 0)</f>
        <v>shell</v>
      </c>
      <c r="I296" s="29" t="str">
        <f>VLOOKUP(E296, Factor!$CL$5:$CV$50, 4, 0)</f>
        <v>L</v>
      </c>
      <c r="J296" s="29" t="str">
        <f>VLOOKUP(E296, Factor!$CL$5:$CV$50, 5, 0)</f>
        <v>normal</v>
      </c>
      <c r="K296" s="29">
        <v>1</v>
      </c>
      <c r="L296" s="29">
        <f>VLOOKUP(E296, Factor!$CL$5:$CV$50, 6, 0)*K296*VLOOKUP(D296, Factor!$BZ$5:$CJ$49, 9, 0)</f>
        <v>0</v>
      </c>
      <c r="M296" s="29" t="str">
        <f>VLOOKUP(E296, Factor!$CL$5:$CV$50, 7, 0)</f>
        <v>null</v>
      </c>
      <c r="N296" s="29">
        <v>1</v>
      </c>
      <c r="O296" s="29">
        <f>VLOOKUP(E296, Factor!$CL$5:$CV$50, 8, 0)*N296*VLOOKUP(D296, Factor!$BZ$5:$CJ$49, 10, 0)</f>
        <v>24</v>
      </c>
      <c r="P296" s="29">
        <v>1</v>
      </c>
      <c r="Q296" s="29">
        <f>VLOOKUP(E296, Factor!$CL$5:$CV$50, 9, 0)*P296*VLOOKUP(D296, Factor!$BZ$5:$CJ$49, 11, 0)</f>
        <v>8</v>
      </c>
      <c r="R296" s="29" t="str">
        <f>VLOOKUP(E296, Factor!$CL$5:$CV$50, 10, 0)</f>
        <v>null</v>
      </c>
      <c r="S296" s="29" t="str">
        <f>VLOOKUP(E296, Factor!$CL$5:$CV$50, 11, 0)</f>
        <v>null</v>
      </c>
      <c r="T296" s="29">
        <v>1</v>
      </c>
      <c r="U296" s="29">
        <v>1</v>
      </c>
      <c r="V296" s="29">
        <v>1</v>
      </c>
      <c r="W296" s="29">
        <v>1</v>
      </c>
      <c r="X296" s="29">
        <v>1</v>
      </c>
      <c r="Y296" s="29">
        <v>1</v>
      </c>
      <c r="Z296" s="29">
        <v>1</v>
      </c>
      <c r="AA296" s="29" cm="1">
        <f t="array" ref="AA296">_xlfn.LET(_xlpm.기본_색인번호, 2,
_xlpm.추가_색인번호, 3,
_xlpm.개별보정치, T296,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96" s="29" cm="1">
        <f t="array" ref="AB296">_xlfn.LET(_xlpm.기본_색인번호, 3,
_xlpm.추가_색인번호, 4,
_xlpm.개별보정치, U296,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6" s="29" cm="1">
        <f t="array" ref="AC296">_xlfn.LET(_xlpm.기본_색인번호, 4,
_xlpm.추가_색인번호, 5,
_xlpm.개별보정치, V296,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6" s="29" cm="1">
        <f t="array" ref="AD296">_xlfn.LET(_xlpm.기본_색인번호, 5,
_xlpm.추가_색인번호, 6,
_xlpm.개별보정치, W296,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296" s="29" cm="1">
        <f t="array" ref="AE296">_xlfn.LET(_xlpm.기본_색인번호, 6,
_xlpm.추가_색인번호, 7,
_xlpm.개별보정치, X296,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296" s="29" cm="1">
        <f t="array" ref="AF296">_xlfn.LET(_xlpm.기본_색인번호, 7,
_xlpm.추가_색인번호, 8,
_xlpm.개별보정치, Y296,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6" s="30" cm="1">
        <f t="array" ref="AG296">_xlfn.LET(_xlpm.기본_색인번호, 8,
_xlpm.추가_색인번호, 9,
_xlpm.개별보정치, Z296,
_xlpm.패턴보정치, VLOOKUP($G296, Factor!$B$5:$I$51, _xlpm.기본_색인번호, 0),
_xlpm.소모탄환보정치, VLOOKUP($H296, Factor!$T$5:$AA$51, _xlpm.기본_색인번호, 0),
_xlpm.지형보정치, VLOOKUP($I296, Factor!$K$12:$R$13, _xlpm.기본_색인번호, 0),
_xlpm.공격속성보정치, VLOOKUP($J296, Factor!$K$5:$R$7, _xlpm.기본_색인번호, 0),
_xlpm.피해범위보정치, INDEX(Factor!$AN$5:$AV$51, _xlfn.XMATCH(IF(OR($G296="blast", $G296="curved",  $G296= "debuff"), $L296, 0), Factor!$AN$5:$AN$51, -1), _xlpm.추가_색인번호)-IF(AND(OR($G296="blast", $G296="curved", $G296= "debuff"), MOD($L296,1)&lt;&gt;0),INDEX(Factor!$AN$5:$AV$51, _xlfn.XMATCH(IF(OR($G296="blast", $G296="curved", $G296= "debuff"), $L296, 0), Factor!$AN$5:$AN$51, -1), 2)*MOD($L296,1)*10,0),
_xlpm.상태이상보정치, VLOOKUP(IF($G296 = "debuff", $M296, "null"), Factor!$AX$5:$BE$51, _xlpm.기본_색인번호, 0),
_xlpm.지속시간보정치, INDEX(Factor!$BG$5:$BO$51, _xlfn.XMATCH(IF(OR($G296 ="debuff", $G296 = "shot", $G296 = "pierce"), $O296, 0), Factor!$BG$5:$BG$51, -1), _xlpm.추가_색인번호)-IF(AND(OR($G296 ="debuff", $G296 = "shot", $G296 = "pierce"), MOD($O296, 1)&lt;&gt;0), 10*MOD($O296, 1)*INDEX(Factor!$BG$5:$BO$51, _xlfn.XMATCH(IF(OR($G296 ="debuff", $G296 = "shot", $G296 = "pierce"), $O296, 0), Factor!$BG$5:$BG$51, -1), 2), 0),
_xlpm.탄환개수보정치, VLOOKUP(IF(OR($G296 = "curved", $G296 = "shot"), $Q296, 1), Factor!$BQ$5:$BX$51, _xlpm.기본_색인번호, 0),
_xlpm.상태이상탄환생성위치보정치, IF($G296 = "debuff", VLOOKUP($R296, Factor!$K$18:$R$19, _xlpm.기본_색인번호, 0),1),
_xlpm.상태이상탄환형태보정치, IF($G296 = "debuff", VLOOKUP($S296, Factor!$K$24:$R$25, _xlpm.기본_색인번호, 0),1),
_xlpm.가격보정치, INDEX(Factor!$AE$5:$AL$51, _xlfn.XMATCH($F296,Factor!$AE$5:$AE$51, -1), _xlpm.기본_색인번호),
_xlpm.구경보정치, VLOOKUP($D296,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297" spans="1:33" ht="15.75" customHeight="1">
      <c r="A297" s="24" t="str">
        <f>"weapon_"&amp;G297&amp;"_"&amp;VLOOKUP(H297, Factor!$T$5:$AB$7, 9, 0)&amp;"_"&amp;IF(COUNTIFS($G$4:G296, G297, $H$4:H296, H297)+1&gt;=100, COUNTIFS($G$4:G296, G297, $H$4:H296, H297)+1,IF(COUNTIFS($G$4:G296, G297, $H$4:H296, H297)+1&gt;=10, "0"&amp;COUNTIFS($G$4:G296, G297, $H$4:H296, H297)+1, "00"&amp;COUNTIFS($G$4:G296, G297, $H$4:H296, H297)+1))</f>
        <v>weapon_pierce_Sh_040</v>
      </c>
      <c r="B297" s="36" t="str">
        <f t="shared" si="4"/>
        <v>T5 155mm함포</v>
      </c>
      <c r="C297" s="36" t="s">
        <v>251</v>
      </c>
      <c r="D297" s="36" t="s">
        <v>273</v>
      </c>
      <c r="E297" s="36" t="s">
        <v>283</v>
      </c>
      <c r="F297" s="25">
        <f>VLOOKUP(C297, Factor!$AD$5:$AE$15, 2, 0)</f>
        <v>5000</v>
      </c>
      <c r="G297" s="26" t="str">
        <f>VLOOKUP(E297, Factor!$CL$5:$CV$50, 2, 0)</f>
        <v>pierce</v>
      </c>
      <c r="H297" s="25" t="str">
        <f>VLOOKUP(E297, Factor!$CL$5:$CV$50, 3, 0)</f>
        <v>shell</v>
      </c>
      <c r="I297" s="25" t="str">
        <f>VLOOKUP(E297, Factor!$CL$5:$CV$50, 4, 0)</f>
        <v>L</v>
      </c>
      <c r="J297" s="25" t="str">
        <f>VLOOKUP(E297, Factor!$CL$5:$CV$50, 5, 0)</f>
        <v>normal</v>
      </c>
      <c r="K297" s="25">
        <v>1</v>
      </c>
      <c r="L297" s="25">
        <f>VLOOKUP(E297, Factor!$CL$5:$CV$50, 6, 0)*K297*VLOOKUP(D297, Factor!$BZ$5:$CJ$49, 9, 0)</f>
        <v>0</v>
      </c>
      <c r="M297" s="25" t="str">
        <f>VLOOKUP(E297, Factor!$CL$5:$CV$50, 7, 0)</f>
        <v>null</v>
      </c>
      <c r="N297" s="25">
        <v>1</v>
      </c>
      <c r="O297" s="25">
        <f>VLOOKUP(E297, Factor!$CL$5:$CV$50, 8, 0)*N297*VLOOKUP(D297, Factor!$BZ$5:$CJ$49, 10, 0)</f>
        <v>24</v>
      </c>
      <c r="P297" s="25">
        <v>1</v>
      </c>
      <c r="Q297" s="25">
        <f>VLOOKUP(E297, Factor!$CL$5:$CV$50, 9, 0)*P297*VLOOKUP(D297, Factor!$BZ$5:$CJ$49, 11, 0)</f>
        <v>8</v>
      </c>
      <c r="R297" s="25" t="str">
        <f>VLOOKUP(E297, Factor!$CL$5:$CV$50, 10, 0)</f>
        <v>null</v>
      </c>
      <c r="S297" s="25" t="str">
        <f>VLOOKUP(E297, Factor!$CL$5:$CV$50, 11, 0)</f>
        <v>null</v>
      </c>
      <c r="T297" s="25">
        <v>1</v>
      </c>
      <c r="U297" s="25">
        <v>1</v>
      </c>
      <c r="V297" s="25">
        <v>1</v>
      </c>
      <c r="W297" s="25">
        <v>1</v>
      </c>
      <c r="X297" s="25">
        <v>1</v>
      </c>
      <c r="Y297" s="25">
        <v>1</v>
      </c>
      <c r="Z297" s="25">
        <v>1</v>
      </c>
      <c r="AA297" s="25" cm="1">
        <f t="array" ref="AA297">_xlfn.LET(_xlpm.기본_색인번호, 2,
_xlpm.추가_색인번호, 3,
_xlpm.개별보정치, T297,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297" s="25" cm="1">
        <f t="array" ref="AB297">_xlfn.LET(_xlpm.기본_색인번호, 3,
_xlpm.추가_색인번호, 4,
_xlpm.개별보정치, U297,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</v>
      </c>
      <c r="AC297" s="25" cm="1">
        <f t="array" ref="AC297">_xlfn.LET(_xlpm.기본_색인번호, 4,
_xlpm.추가_색인번호, 5,
_xlpm.개별보정치, V297,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7" s="25" cm="1">
        <f t="array" ref="AD297">_xlfn.LET(_xlpm.기본_색인번호, 5,
_xlpm.추가_색인번호, 6,
_xlpm.개별보정치, W297,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E297" s="25" cm="1">
        <f t="array" ref="AE297">_xlfn.LET(_xlpm.기본_색인번호, 6,
_xlpm.추가_색인번호, 7,
_xlpm.개별보정치, X297,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F297" s="25" cm="1">
        <f t="array" ref="AF297">_xlfn.LET(_xlpm.기본_색인번호, 7,
_xlpm.추가_색인번호, 8,
_xlpm.개별보정치, Y297,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7" s="27" cm="1">
        <f t="array" ref="AG297">_xlfn.LET(_xlpm.기본_색인번호, 8,
_xlpm.추가_색인번호, 9,
_xlpm.개별보정치, Z297,
_xlpm.패턴보정치, VLOOKUP($G297, Factor!$B$5:$I$51, _xlpm.기본_색인번호, 0),
_xlpm.소모탄환보정치, VLOOKUP($H297, Factor!$T$5:$AA$51, _xlpm.기본_색인번호, 0),
_xlpm.지형보정치, VLOOKUP($I297, Factor!$K$12:$R$13, _xlpm.기본_색인번호, 0),
_xlpm.공격속성보정치, VLOOKUP($J297, Factor!$K$5:$R$7, _xlpm.기본_색인번호, 0),
_xlpm.피해범위보정치, INDEX(Factor!$AN$5:$AV$51, _xlfn.XMATCH(IF(OR($G297="blast", $G297="curved",  $G297= "debuff"), $L297, 0), Factor!$AN$5:$AN$51, -1), _xlpm.추가_색인번호)-IF(AND(OR($G297="blast", $G297="curved", $G297= "debuff"), MOD($L297,1)&lt;&gt;0),INDEX(Factor!$AN$5:$AV$51, _xlfn.XMATCH(IF(OR($G297="blast", $G297="curved", $G297= "debuff"), $L297, 0), Factor!$AN$5:$AN$51, -1), 2)*MOD($L297,1)*10,0),
_xlpm.상태이상보정치, VLOOKUP(IF($G297 = "debuff", $M297, "null"), Factor!$AX$5:$BE$51, _xlpm.기본_색인번호, 0),
_xlpm.지속시간보정치, INDEX(Factor!$BG$5:$BO$51, _xlfn.XMATCH(IF(OR($G297 ="debuff", $G297 = "shot", $G297 = "pierce"), $O297, 0), Factor!$BG$5:$BG$51, -1), _xlpm.추가_색인번호)-IF(AND(OR($G297 ="debuff", $G297 = "shot", $G297 = "pierce"), MOD($O297, 1)&lt;&gt;0), 10*MOD($O297, 1)*INDEX(Factor!$BG$5:$BO$51, _xlfn.XMATCH(IF(OR($G297 ="debuff", $G297 = "shot", $G297 = "pierce"), $O297, 0), Factor!$BG$5:$BG$51, -1), 2), 0),
_xlpm.탄환개수보정치, VLOOKUP(IF(OR($G297 = "curved", $G297 = "shot"), $Q297, 1), Factor!$BQ$5:$BX$51, _xlpm.기본_색인번호, 0),
_xlpm.상태이상탄환생성위치보정치, IF($G297 = "debuff", VLOOKUP($R297, Factor!$K$18:$R$19, _xlpm.기본_색인번호, 0),1),
_xlpm.상태이상탄환형태보정치, IF($G297 = "debuff", VLOOKUP($S297, Factor!$K$24:$R$25, _xlpm.기본_색인번호, 0),1),
_xlpm.가격보정치, INDEX(Factor!$AE$5:$AL$51, _xlfn.XMATCH($F297,Factor!$AE$5:$AE$51, -1), _xlpm.기본_색인번호),
_xlpm.구경보정치, VLOOKUP($D297,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</row>
    <row r="298" spans="1:33" ht="15.75" customHeight="1">
      <c r="A298" s="28" t="str">
        <f>"weapon_"&amp;G298&amp;"_"&amp;VLOOKUP(H298, Factor!$T$5:$AB$7, 9, 0)&amp;"_"&amp;IF(COUNTIFS($G$4:G297, G298, $H$4:H297, H298)+1&gt;=100, COUNTIFS($G$4:G297, G298, $H$4:H297, H298)+1,IF(COUNTIFS($G$4:G297, G298, $H$4:H297, H298)+1&gt;=10, "0"&amp;COUNTIFS($G$4:G297, G298, $H$4:H297, H298)+1, "00"&amp;COUNTIFS($G$4:G297, G298, $H$4:H297, H298)+1))</f>
        <v>weapon_pierce_Sh_041</v>
      </c>
      <c r="B298" s="37" t="str">
        <f t="shared" si="4"/>
        <v>T6 55mm함포</v>
      </c>
      <c r="C298" s="37" t="s">
        <v>253</v>
      </c>
      <c r="D298" s="37" t="s">
        <v>270</v>
      </c>
      <c r="E298" s="37" t="s">
        <v>283</v>
      </c>
      <c r="F298" s="29">
        <f>VLOOKUP(C298, Factor!$AD$5:$AE$15, 2, 0)</f>
        <v>6000</v>
      </c>
      <c r="G298" s="29" t="str">
        <f>VLOOKUP(E298, Factor!$CL$5:$CV$50, 2, 0)</f>
        <v>pierce</v>
      </c>
      <c r="H298" s="29" t="str">
        <f>VLOOKUP(E298, Factor!$CL$5:$CV$50, 3, 0)</f>
        <v>shell</v>
      </c>
      <c r="I298" s="29" t="str">
        <f>VLOOKUP(E298, Factor!$CL$5:$CV$50, 4, 0)</f>
        <v>L</v>
      </c>
      <c r="J298" s="29" t="str">
        <f>VLOOKUP(E298, Factor!$CL$5:$CV$50, 5, 0)</f>
        <v>normal</v>
      </c>
      <c r="K298" s="29">
        <v>1</v>
      </c>
      <c r="L298" s="29">
        <f>VLOOKUP(E298, Factor!$CL$5:$CV$50, 6, 0)*K298*VLOOKUP(D298, Factor!$BZ$5:$CJ$49, 9, 0)</f>
        <v>0</v>
      </c>
      <c r="M298" s="29" t="str">
        <f>VLOOKUP(E298, Factor!$CL$5:$CV$50, 7, 0)</f>
        <v>null</v>
      </c>
      <c r="N298" s="29">
        <v>1</v>
      </c>
      <c r="O298" s="29">
        <f>VLOOKUP(E298, Factor!$CL$5:$CV$50, 8, 0)*N298*VLOOKUP(D298, Factor!$BZ$5:$CJ$49, 10, 0)</f>
        <v>21</v>
      </c>
      <c r="P298" s="29">
        <v>1</v>
      </c>
      <c r="Q298" s="29">
        <f>VLOOKUP(E298, Factor!$CL$5:$CV$50, 9, 0)*P298*VLOOKUP(D298, Factor!$BZ$5:$CJ$49, 11, 0)</f>
        <v>7</v>
      </c>
      <c r="R298" s="29" t="str">
        <f>VLOOKUP(E298, Factor!$CL$5:$CV$50, 10, 0)</f>
        <v>null</v>
      </c>
      <c r="S298" s="29" t="str">
        <f>VLOOKUP(E298, Factor!$CL$5:$CV$50, 11, 0)</f>
        <v>null</v>
      </c>
      <c r="T298" s="29">
        <v>1</v>
      </c>
      <c r="U298" s="29">
        <v>1</v>
      </c>
      <c r="V298" s="29">
        <v>1</v>
      </c>
      <c r="W298" s="29">
        <v>1</v>
      </c>
      <c r="X298" s="29">
        <v>1</v>
      </c>
      <c r="Y298" s="29">
        <v>1</v>
      </c>
      <c r="Z298" s="29">
        <v>1</v>
      </c>
      <c r="AA298" s="29" cm="1">
        <f t="array" ref="AA298">_xlfn.LET(_xlpm.기본_색인번호, 2,
_xlpm.추가_색인번호, 3,
_xlpm.개별보정치, T298,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298" s="29" cm="1">
        <f t="array" ref="AB298">_xlfn.LET(_xlpm.기본_색인번호, 3,
_xlpm.추가_색인번호, 4,
_xlpm.개별보정치, U298,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298" s="29" cm="1">
        <f t="array" ref="AC298">_xlfn.LET(_xlpm.기본_색인번호, 4,
_xlpm.추가_색인번호, 5,
_xlpm.개별보정치, V298,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8" s="29" cm="1">
        <f t="array" ref="AD298">_xlfn.LET(_xlpm.기본_색인번호, 5,
_xlpm.추가_색인번호, 6,
_xlpm.개별보정치, W298,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298" s="29" cm="1">
        <f t="array" ref="AE298">_xlfn.LET(_xlpm.기본_색인번호, 6,
_xlpm.추가_색인번호, 7,
_xlpm.개별보정치, X298,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298" s="29" cm="1">
        <f t="array" ref="AF298">_xlfn.LET(_xlpm.기본_색인번호, 7,
_xlpm.추가_색인번호, 8,
_xlpm.개별보정치, Y298,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8" s="30" cm="1">
        <f t="array" ref="AG298">_xlfn.LET(_xlpm.기본_색인번호, 8,
_xlpm.추가_색인번호, 9,
_xlpm.개별보정치, Z298,
_xlpm.패턴보정치, VLOOKUP($G298, Factor!$B$5:$I$51, _xlpm.기본_색인번호, 0),
_xlpm.소모탄환보정치, VLOOKUP($H298, Factor!$T$5:$AA$51, _xlpm.기본_색인번호, 0),
_xlpm.지형보정치, VLOOKUP($I298, Factor!$K$12:$R$13, _xlpm.기본_색인번호, 0),
_xlpm.공격속성보정치, VLOOKUP($J298, Factor!$K$5:$R$7, _xlpm.기본_색인번호, 0),
_xlpm.피해범위보정치, INDEX(Factor!$AN$5:$AV$51, _xlfn.XMATCH(IF(OR($G298="blast", $G298="curved",  $G298= "debuff"), $L298, 0), Factor!$AN$5:$AN$51, -1), _xlpm.추가_색인번호)-IF(AND(OR($G298="blast", $G298="curved", $G298= "debuff"), MOD($L298,1)&lt;&gt;0),INDEX(Factor!$AN$5:$AV$51, _xlfn.XMATCH(IF(OR($G298="blast", $G298="curved", $G298= "debuff"), $L298, 0), Factor!$AN$5:$AN$51, -1), 2)*MOD($L298,1)*10,0),
_xlpm.상태이상보정치, VLOOKUP(IF($G298 = "debuff", $M298, "null"), Factor!$AX$5:$BE$51, _xlpm.기본_색인번호, 0),
_xlpm.지속시간보정치, INDEX(Factor!$BG$5:$BO$51, _xlfn.XMATCH(IF(OR($G298 ="debuff", $G298 = "shot", $G298 = "pierce"), $O298, 0), Factor!$BG$5:$BG$51, -1), _xlpm.추가_색인번호)-IF(AND(OR($G298 ="debuff", $G298 = "shot", $G298 = "pierce"), MOD($O298, 1)&lt;&gt;0), 10*MOD($O298, 1)*INDEX(Factor!$BG$5:$BO$51, _xlfn.XMATCH(IF(OR($G298 ="debuff", $G298 = "shot", $G298 = "pierce"), $O298, 0), Factor!$BG$5:$BG$51, -1), 2), 0),
_xlpm.탄환개수보정치, VLOOKUP(IF(OR($G298 = "curved", $G298 = "shot"), $Q298, 1), Factor!$BQ$5:$BX$51, _xlpm.기본_색인번호, 0),
_xlpm.상태이상탄환생성위치보정치, IF($G298 = "debuff", VLOOKUP($R298, Factor!$K$18:$R$19, _xlpm.기본_색인번호, 0),1),
_xlpm.상태이상탄환형태보정치, IF($G298 = "debuff", VLOOKUP($S298, Factor!$K$24:$R$25, _xlpm.기본_색인번호, 0),1),
_xlpm.가격보정치, INDEX(Factor!$AE$5:$AL$51, _xlfn.XMATCH($F298,Factor!$AE$5:$AE$51, -1), _xlpm.기본_색인번호),
_xlpm.구경보정치, VLOOKUP($D298,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299" spans="1:33" ht="15.75" customHeight="1">
      <c r="A299" s="24" t="str">
        <f>"weapon_"&amp;G299&amp;"_"&amp;VLOOKUP(H299, Factor!$T$5:$AB$7, 9, 0)&amp;"_"&amp;IF(COUNTIFS($G$4:G298, G299, $H$4:H298, H299)+1&gt;=100, COUNTIFS($G$4:G298, G299, $H$4:H298, H299)+1,IF(COUNTIFS($G$4:G298, G299, $H$4:H298, H299)+1&gt;=10, "0"&amp;COUNTIFS($G$4:G298, G299, $H$4:H298, H299)+1, "00"&amp;COUNTIFS($G$4:G298, G299, $H$4:H298, H299)+1))</f>
        <v>weapon_pierce_Sh_042</v>
      </c>
      <c r="B299" s="36" t="str">
        <f t="shared" si="4"/>
        <v>T6 105mm함포</v>
      </c>
      <c r="C299" s="36" t="s">
        <v>253</v>
      </c>
      <c r="D299" s="36" t="s">
        <v>272</v>
      </c>
      <c r="E299" s="36" t="s">
        <v>283</v>
      </c>
      <c r="F299" s="25">
        <f>VLOOKUP(C299, Factor!$AD$5:$AE$15, 2, 0)</f>
        <v>6000</v>
      </c>
      <c r="G299" s="26" t="str">
        <f>VLOOKUP(E299, Factor!$CL$5:$CV$50, 2, 0)</f>
        <v>pierce</v>
      </c>
      <c r="H299" s="25" t="str">
        <f>VLOOKUP(E299, Factor!$CL$5:$CV$50, 3, 0)</f>
        <v>shell</v>
      </c>
      <c r="I299" s="25" t="str">
        <f>VLOOKUP(E299, Factor!$CL$5:$CV$50, 4, 0)</f>
        <v>L</v>
      </c>
      <c r="J299" s="25" t="str">
        <f>VLOOKUP(E299, Factor!$CL$5:$CV$50, 5, 0)</f>
        <v>normal</v>
      </c>
      <c r="K299" s="25">
        <v>1</v>
      </c>
      <c r="L299" s="25">
        <f>VLOOKUP(E299, Factor!$CL$5:$CV$50, 6, 0)*K299*VLOOKUP(D299, Factor!$BZ$5:$CJ$49, 9, 0)</f>
        <v>0</v>
      </c>
      <c r="M299" s="25" t="str">
        <f>VLOOKUP(E299, Factor!$CL$5:$CV$50, 7, 0)</f>
        <v>null</v>
      </c>
      <c r="N299" s="25">
        <v>1</v>
      </c>
      <c r="O299" s="25">
        <f>VLOOKUP(E299, Factor!$CL$5:$CV$50, 8, 0)*N299*VLOOKUP(D299, Factor!$BZ$5:$CJ$49, 10, 0)</f>
        <v>24</v>
      </c>
      <c r="P299" s="25">
        <v>1</v>
      </c>
      <c r="Q299" s="25">
        <f>VLOOKUP(E299, Factor!$CL$5:$CV$50, 9, 0)*P299*VLOOKUP(D299, Factor!$BZ$5:$CJ$49, 11, 0)</f>
        <v>8</v>
      </c>
      <c r="R299" s="25" t="str">
        <f>VLOOKUP(E299, Factor!$CL$5:$CV$50, 10, 0)</f>
        <v>null</v>
      </c>
      <c r="S299" s="25" t="str">
        <f>VLOOKUP(E299, Factor!$CL$5:$CV$50, 11, 0)</f>
        <v>null</v>
      </c>
      <c r="T299" s="25">
        <v>1</v>
      </c>
      <c r="U299" s="25">
        <v>1</v>
      </c>
      <c r="V299" s="25">
        <v>1</v>
      </c>
      <c r="W299" s="25">
        <v>1</v>
      </c>
      <c r="X299" s="25">
        <v>1</v>
      </c>
      <c r="Y299" s="25">
        <v>1</v>
      </c>
      <c r="Z299" s="25">
        <v>1</v>
      </c>
      <c r="AA299" s="25" cm="1">
        <f t="array" ref="AA299">_xlfn.LET(_xlpm.기본_색인번호, 2,
_xlpm.추가_색인번호, 3,
_xlpm.개별보정치, T299,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299" s="25" cm="1">
        <f t="array" ref="AB299">_xlfn.LET(_xlpm.기본_색인번호, 3,
_xlpm.추가_색인번호, 4,
_xlpm.개별보정치, U299,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299" s="25" cm="1">
        <f t="array" ref="AC299">_xlfn.LET(_xlpm.기본_색인번호, 4,
_xlpm.추가_색인번호, 5,
_xlpm.개별보정치, V299,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299" s="25" cm="1">
        <f t="array" ref="AD299">_xlfn.LET(_xlpm.기본_색인번호, 5,
_xlpm.추가_색인번호, 6,
_xlpm.개별보정치, W299,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299" s="25" cm="1">
        <f t="array" ref="AE299">_xlfn.LET(_xlpm.기본_색인번호, 6,
_xlpm.추가_색인번호, 7,
_xlpm.개별보정치, X299,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299" s="25" cm="1">
        <f t="array" ref="AF299">_xlfn.LET(_xlpm.기본_색인번호, 7,
_xlpm.추가_색인번호, 8,
_xlpm.개별보정치, Y299,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299" s="27" cm="1">
        <f t="array" ref="AG299">_xlfn.LET(_xlpm.기본_색인번호, 8,
_xlpm.추가_색인번호, 9,
_xlpm.개별보정치, Z299,
_xlpm.패턴보정치, VLOOKUP($G299, Factor!$B$5:$I$51, _xlpm.기본_색인번호, 0),
_xlpm.소모탄환보정치, VLOOKUP($H299, Factor!$T$5:$AA$51, _xlpm.기본_색인번호, 0),
_xlpm.지형보정치, VLOOKUP($I299, Factor!$K$12:$R$13, _xlpm.기본_색인번호, 0),
_xlpm.공격속성보정치, VLOOKUP($J299, Factor!$K$5:$R$7, _xlpm.기본_색인번호, 0),
_xlpm.피해범위보정치, INDEX(Factor!$AN$5:$AV$51, _xlfn.XMATCH(IF(OR($G299="blast", $G299="curved",  $G299= "debuff"), $L299, 0), Factor!$AN$5:$AN$51, -1), _xlpm.추가_색인번호)-IF(AND(OR($G299="blast", $G299="curved", $G299= "debuff"), MOD($L299,1)&lt;&gt;0),INDEX(Factor!$AN$5:$AV$51, _xlfn.XMATCH(IF(OR($G299="blast", $G299="curved", $G299= "debuff"), $L299, 0), Factor!$AN$5:$AN$51, -1), 2)*MOD($L299,1)*10,0),
_xlpm.상태이상보정치, VLOOKUP(IF($G299 = "debuff", $M299, "null"), Factor!$AX$5:$BE$51, _xlpm.기본_색인번호, 0),
_xlpm.지속시간보정치, INDEX(Factor!$BG$5:$BO$51, _xlfn.XMATCH(IF(OR($G299 ="debuff", $G299 = "shot", $G299 = "pierce"), $O299, 0), Factor!$BG$5:$BG$51, -1), _xlpm.추가_색인번호)-IF(AND(OR($G299 ="debuff", $G299 = "shot", $G299 = "pierce"), MOD($O299, 1)&lt;&gt;0), 10*MOD($O299, 1)*INDEX(Factor!$BG$5:$BO$51, _xlfn.XMATCH(IF(OR($G299 ="debuff", $G299 = "shot", $G299 = "pierce"), $O299, 0), Factor!$BG$5:$BG$51, -1), 2), 0),
_xlpm.탄환개수보정치, VLOOKUP(IF(OR($G299 = "curved", $G299 = "shot"), $Q299, 1), Factor!$BQ$5:$BX$51, _xlpm.기본_색인번호, 0),
_xlpm.상태이상탄환생성위치보정치, IF($G299 = "debuff", VLOOKUP($R299, Factor!$K$18:$R$19, _xlpm.기본_색인번호, 0),1),
_xlpm.상태이상탄환형태보정치, IF($G299 = "debuff", VLOOKUP($S299, Factor!$K$24:$R$25, _xlpm.기본_색인번호, 0),1),
_xlpm.가격보정치, INDEX(Factor!$AE$5:$AL$51, _xlfn.XMATCH($F299,Factor!$AE$5:$AE$51, -1), _xlpm.기본_색인번호),
_xlpm.구경보정치, VLOOKUP($D299,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300" spans="1:33" ht="15.75" customHeight="1">
      <c r="A300" s="28" t="str">
        <f>"weapon_"&amp;G300&amp;"_"&amp;VLOOKUP(H300, Factor!$T$5:$AB$7, 9, 0)&amp;"_"&amp;IF(COUNTIFS($G$4:G299, G300, $H$4:H299, H300)+1&gt;=100, COUNTIFS($G$4:G299, G300, $H$4:H299, H300)+1,IF(COUNTIFS($G$4:G299, G300, $H$4:H299, H300)+1&gt;=10, "0"&amp;COUNTIFS($G$4:G299, G300, $H$4:H299, H300)+1, "00"&amp;COUNTIFS($G$4:G299, G300, $H$4:H299, H300)+1))</f>
        <v>weapon_pierce_Sh_043</v>
      </c>
      <c r="B300" s="37" t="str">
        <f t="shared" si="4"/>
        <v>T6 155mm함포</v>
      </c>
      <c r="C300" s="37" t="s">
        <v>253</v>
      </c>
      <c r="D300" s="37" t="s">
        <v>273</v>
      </c>
      <c r="E300" s="37" t="s">
        <v>283</v>
      </c>
      <c r="F300" s="29">
        <f>VLOOKUP(C300, Factor!$AD$5:$AE$15, 2, 0)</f>
        <v>6000</v>
      </c>
      <c r="G300" s="29" t="str">
        <f>VLOOKUP(E300, Factor!$CL$5:$CV$50, 2, 0)</f>
        <v>pierce</v>
      </c>
      <c r="H300" s="29" t="str">
        <f>VLOOKUP(E300, Factor!$CL$5:$CV$50, 3, 0)</f>
        <v>shell</v>
      </c>
      <c r="I300" s="29" t="str">
        <f>VLOOKUP(E300, Factor!$CL$5:$CV$50, 4, 0)</f>
        <v>L</v>
      </c>
      <c r="J300" s="29" t="str">
        <f>VLOOKUP(E300, Factor!$CL$5:$CV$50, 5, 0)</f>
        <v>normal</v>
      </c>
      <c r="K300" s="29">
        <v>1</v>
      </c>
      <c r="L300" s="29">
        <f>VLOOKUP(E300, Factor!$CL$5:$CV$50, 6, 0)*K300*VLOOKUP(D300, Factor!$BZ$5:$CJ$49, 9, 0)</f>
        <v>0</v>
      </c>
      <c r="M300" s="29" t="str">
        <f>VLOOKUP(E300, Factor!$CL$5:$CV$50, 7, 0)</f>
        <v>null</v>
      </c>
      <c r="N300" s="29">
        <v>1</v>
      </c>
      <c r="O300" s="29">
        <f>VLOOKUP(E300, Factor!$CL$5:$CV$50, 8, 0)*N300*VLOOKUP(D300, Factor!$BZ$5:$CJ$49, 10, 0)</f>
        <v>24</v>
      </c>
      <c r="P300" s="29">
        <v>1</v>
      </c>
      <c r="Q300" s="29">
        <f>VLOOKUP(E300, Factor!$CL$5:$CV$50, 9, 0)*P300*VLOOKUP(D300, Factor!$BZ$5:$CJ$49, 11, 0)</f>
        <v>8</v>
      </c>
      <c r="R300" s="29" t="str">
        <f>VLOOKUP(E300, Factor!$CL$5:$CV$50, 10, 0)</f>
        <v>null</v>
      </c>
      <c r="S300" s="29" t="str">
        <f>VLOOKUP(E300, Factor!$CL$5:$CV$50, 11, 0)</f>
        <v>null</v>
      </c>
      <c r="T300" s="29">
        <v>1</v>
      </c>
      <c r="U300" s="29">
        <v>1</v>
      </c>
      <c r="V300" s="29">
        <v>1</v>
      </c>
      <c r="W300" s="29">
        <v>1</v>
      </c>
      <c r="X300" s="29">
        <v>1</v>
      </c>
      <c r="Y300" s="29">
        <v>1</v>
      </c>
      <c r="Z300" s="29">
        <v>1</v>
      </c>
      <c r="AA300" s="29" cm="1">
        <f t="array" ref="AA300">_xlfn.LET(_xlpm.기본_색인번호, 2,
_xlpm.추가_색인번호, 3,
_xlpm.개별보정치, T300,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2800</v>
      </c>
      <c r="AB300" s="29" cm="1">
        <f t="array" ref="AB300">_xlfn.LET(_xlpm.기본_색인번호, 3,
_xlpm.추가_색인번호, 4,
_xlpm.개별보정치, U300,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0" s="29" cm="1">
        <f t="array" ref="AC300">_xlfn.LET(_xlpm.기본_색인번호, 4,
_xlpm.추가_색인번호, 5,
_xlpm.개별보정치, V300,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0" s="29" cm="1">
        <f t="array" ref="AD300">_xlfn.LET(_xlpm.기본_색인번호, 5,
_xlpm.추가_색인번호, 6,
_xlpm.개별보정치, W300,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300" s="29" cm="1">
        <f t="array" ref="AE300">_xlfn.LET(_xlpm.기본_색인번호, 6,
_xlpm.추가_색인번호, 7,
_xlpm.개별보정치, X300,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300" s="29" cm="1">
        <f t="array" ref="AF300">_xlfn.LET(_xlpm.기본_색인번호, 7,
_xlpm.추가_색인번호, 8,
_xlpm.개별보정치, Y300,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0" s="30" cm="1">
        <f t="array" ref="AG300">_xlfn.LET(_xlpm.기본_색인번호, 8,
_xlpm.추가_색인번호, 9,
_xlpm.개별보정치, Z300,
_xlpm.패턴보정치, VLOOKUP($G300, Factor!$B$5:$I$51, _xlpm.기본_색인번호, 0),
_xlpm.소모탄환보정치, VLOOKUP($H300, Factor!$T$5:$AA$51, _xlpm.기본_색인번호, 0),
_xlpm.지형보정치, VLOOKUP($I300, Factor!$K$12:$R$13, _xlpm.기본_색인번호, 0),
_xlpm.공격속성보정치, VLOOKUP($J300, Factor!$K$5:$R$7, _xlpm.기본_색인번호, 0),
_xlpm.피해범위보정치, INDEX(Factor!$AN$5:$AV$51, _xlfn.XMATCH(IF(OR($G300="blast", $G300="curved",  $G300= "debuff"), $L300, 0), Factor!$AN$5:$AN$51, -1), _xlpm.추가_색인번호)-IF(AND(OR($G300="blast", $G300="curved", $G300= "debuff"), MOD($L300,1)&lt;&gt;0),INDEX(Factor!$AN$5:$AV$51, _xlfn.XMATCH(IF(OR($G300="blast", $G300="curved", $G300= "debuff"), $L300, 0), Factor!$AN$5:$AN$51, -1), 2)*MOD($L300,1)*10,0),
_xlpm.상태이상보정치, VLOOKUP(IF($G300 = "debuff", $M300, "null"), Factor!$AX$5:$BE$51, _xlpm.기본_색인번호, 0),
_xlpm.지속시간보정치, INDEX(Factor!$BG$5:$BO$51, _xlfn.XMATCH(IF(OR($G300 ="debuff", $G300 = "shot", $G300 = "pierce"), $O300, 0), Factor!$BG$5:$BG$51, -1), _xlpm.추가_색인번호)-IF(AND(OR($G300 ="debuff", $G300 = "shot", $G300 = "pierce"), MOD($O300, 1)&lt;&gt;0), 10*MOD($O300, 1)*INDEX(Factor!$BG$5:$BO$51, _xlfn.XMATCH(IF(OR($G300 ="debuff", $G300 = "shot", $G300 = "pierce"), $O300, 0), Factor!$BG$5:$BG$51, -1), 2), 0),
_xlpm.탄환개수보정치, VLOOKUP(IF(OR($G300 = "curved", $G300 = "shot"), $Q300, 1), Factor!$BQ$5:$BX$51, _xlpm.기본_색인번호, 0),
_xlpm.상태이상탄환생성위치보정치, IF($G300 = "debuff", VLOOKUP($R300, Factor!$K$18:$R$19, _xlpm.기본_색인번호, 0),1),
_xlpm.상태이상탄환형태보정치, IF($G300 = "debuff", VLOOKUP($S300, Factor!$K$24:$R$25, _xlpm.기본_색인번호, 0),1),
_xlpm.가격보정치, INDEX(Factor!$AE$5:$AL$51, _xlfn.XMATCH($F300,Factor!$AE$5:$AE$51, -1), _xlpm.기본_색인번호),
_xlpm.구경보정치, VLOOKUP($D300,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301" spans="1:33" ht="15.75" customHeight="1">
      <c r="A301" s="24" t="str">
        <f>"weapon_"&amp;G301&amp;"_"&amp;VLOOKUP(H301, Factor!$T$5:$AB$7, 9, 0)&amp;"_"&amp;IF(COUNTIFS($G$4:G300, G301, $H$4:H300, H301)+1&gt;=100, COUNTIFS($G$4:G300, G301, $H$4:H300, H301)+1,IF(COUNTIFS($G$4:G300, G301, $H$4:H300, H301)+1&gt;=10, "0"&amp;COUNTIFS($G$4:G300, G301, $H$4:H300, H301)+1, "00"&amp;COUNTIFS($G$4:G300, G301, $H$4:H300, H301)+1))</f>
        <v>weapon_pierce_Sh_044</v>
      </c>
      <c r="B301" s="36" t="str">
        <f t="shared" si="4"/>
        <v>T7 55mm함포</v>
      </c>
      <c r="C301" s="36" t="s">
        <v>254</v>
      </c>
      <c r="D301" s="36" t="s">
        <v>270</v>
      </c>
      <c r="E301" s="36" t="s">
        <v>283</v>
      </c>
      <c r="F301" s="25">
        <f>VLOOKUP(C301, Factor!$AD$5:$AE$15, 2, 0)</f>
        <v>7000</v>
      </c>
      <c r="G301" s="26" t="str">
        <f>VLOOKUP(E301, Factor!$CL$5:$CV$50, 2, 0)</f>
        <v>pierce</v>
      </c>
      <c r="H301" s="25" t="str">
        <f>VLOOKUP(E301, Factor!$CL$5:$CV$50, 3, 0)</f>
        <v>shell</v>
      </c>
      <c r="I301" s="25" t="str">
        <f>VLOOKUP(E301, Factor!$CL$5:$CV$50, 4, 0)</f>
        <v>L</v>
      </c>
      <c r="J301" s="25" t="str">
        <f>VLOOKUP(E301, Factor!$CL$5:$CV$50, 5, 0)</f>
        <v>normal</v>
      </c>
      <c r="K301" s="25">
        <v>1</v>
      </c>
      <c r="L301" s="25">
        <f>VLOOKUP(E301, Factor!$CL$5:$CV$50, 6, 0)*K301*VLOOKUP(D301, Factor!$BZ$5:$CJ$49, 9, 0)</f>
        <v>0</v>
      </c>
      <c r="M301" s="25" t="str">
        <f>VLOOKUP(E301, Factor!$CL$5:$CV$50, 7, 0)</f>
        <v>null</v>
      </c>
      <c r="N301" s="25">
        <v>1</v>
      </c>
      <c r="O301" s="25">
        <f>VLOOKUP(E301, Factor!$CL$5:$CV$50, 8, 0)*N301*VLOOKUP(D301, Factor!$BZ$5:$CJ$49, 10, 0)</f>
        <v>21</v>
      </c>
      <c r="P301" s="25">
        <v>1</v>
      </c>
      <c r="Q301" s="25">
        <f>VLOOKUP(E301, Factor!$CL$5:$CV$50, 9, 0)*P301*VLOOKUP(D301, Factor!$BZ$5:$CJ$49, 11, 0)</f>
        <v>7</v>
      </c>
      <c r="R301" s="25" t="str">
        <f>VLOOKUP(E301, Factor!$CL$5:$CV$50, 10, 0)</f>
        <v>null</v>
      </c>
      <c r="S301" s="25" t="str">
        <f>VLOOKUP(E301, Factor!$CL$5:$CV$50, 11, 0)</f>
        <v>null</v>
      </c>
      <c r="T301" s="25">
        <v>1</v>
      </c>
      <c r="U301" s="25">
        <v>1</v>
      </c>
      <c r="V301" s="25">
        <v>1</v>
      </c>
      <c r="W301" s="25">
        <v>1</v>
      </c>
      <c r="X301" s="25">
        <v>1</v>
      </c>
      <c r="Y301" s="25">
        <v>1</v>
      </c>
      <c r="Z301" s="25">
        <v>1</v>
      </c>
      <c r="AA301" s="25" cm="1">
        <f t="array" ref="AA301">_xlfn.LET(_xlpm.기본_색인번호, 2,
_xlpm.추가_색인번호, 3,
_xlpm.개별보정치, T301,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301" s="25" cm="1">
        <f t="array" ref="AB301">_xlfn.LET(_xlpm.기본_색인번호, 3,
_xlpm.추가_색인번호, 4,
_xlpm.개별보정치, U301,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1" s="25" cm="1">
        <f t="array" ref="AC301">_xlfn.LET(_xlpm.기본_색인번호, 4,
_xlpm.추가_색인번호, 5,
_xlpm.개별보정치, V301,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1" s="25" cm="1">
        <f t="array" ref="AD301">_xlfn.LET(_xlpm.기본_색인번호, 5,
_xlpm.추가_색인번호, 6,
_xlpm.개별보정치, W301,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E301" s="25" cm="1">
        <f t="array" ref="AE301">_xlfn.LET(_xlpm.기본_색인번호, 6,
_xlpm.추가_색인번호, 7,
_xlpm.개별보정치, X301,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F301" s="25" cm="1">
        <f t="array" ref="AF301">_xlfn.LET(_xlpm.기본_색인번호, 7,
_xlpm.추가_색인번호, 8,
_xlpm.개별보정치, Y301,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1" s="27" cm="1">
        <f t="array" ref="AG301">_xlfn.LET(_xlpm.기본_색인번호, 8,
_xlpm.추가_색인번호, 9,
_xlpm.개별보정치, Z301,
_xlpm.패턴보정치, VLOOKUP($G301, Factor!$B$5:$I$51, _xlpm.기본_색인번호, 0),
_xlpm.소모탄환보정치, VLOOKUP($H301, Factor!$T$5:$AA$51, _xlpm.기본_색인번호, 0),
_xlpm.지형보정치, VLOOKUP($I301, Factor!$K$12:$R$13, _xlpm.기본_색인번호, 0),
_xlpm.공격속성보정치, VLOOKUP($J301, Factor!$K$5:$R$7, _xlpm.기본_색인번호, 0),
_xlpm.피해범위보정치, INDEX(Factor!$AN$5:$AV$51, _xlfn.XMATCH(IF(OR($G301="blast", $G301="curved",  $G301= "debuff"), $L301, 0), Factor!$AN$5:$AN$51, -1), _xlpm.추가_색인번호)-IF(AND(OR($G301="blast", $G301="curved", $G301= "debuff"), MOD($L301,1)&lt;&gt;0),INDEX(Factor!$AN$5:$AV$51, _xlfn.XMATCH(IF(OR($G301="blast", $G301="curved", $G301= "debuff"), $L301, 0), Factor!$AN$5:$AN$51, -1), 2)*MOD($L301,1)*10,0),
_xlpm.상태이상보정치, VLOOKUP(IF($G301 = "debuff", $M301, "null"), Factor!$AX$5:$BE$51, _xlpm.기본_색인번호, 0),
_xlpm.지속시간보정치, INDEX(Factor!$BG$5:$BO$51, _xlfn.XMATCH(IF(OR($G301 ="debuff", $G301 = "shot", $G301 = "pierce"), $O301, 0), Factor!$BG$5:$BG$51, -1), _xlpm.추가_색인번호)-IF(AND(OR($G301 ="debuff", $G301 = "shot", $G301 = "pierce"), MOD($O301, 1)&lt;&gt;0), 10*MOD($O301, 1)*INDEX(Factor!$BG$5:$BO$51, _xlfn.XMATCH(IF(OR($G301 ="debuff", $G301 = "shot", $G301 = "pierce"), $O301, 0), Factor!$BG$5:$BG$51, -1), 2), 0),
_xlpm.탄환개수보정치, VLOOKUP(IF(OR($G301 = "curved", $G301 = "shot"), $Q301, 1), Factor!$BQ$5:$BX$51, _xlpm.기본_색인번호, 0),
_xlpm.상태이상탄환생성위치보정치, IF($G301 = "debuff", VLOOKUP($R301, Factor!$K$18:$R$19, _xlpm.기본_색인번호, 0),1),
_xlpm.상태이상탄환형태보정치, IF($G301 = "debuff", VLOOKUP($S301, Factor!$K$24:$R$25, _xlpm.기본_색인번호, 0),1),
_xlpm.가격보정치, INDEX(Factor!$AE$5:$AL$51, _xlfn.XMATCH($F301,Factor!$AE$5:$AE$51, -1), _xlpm.기본_색인번호),
_xlpm.구경보정치, VLOOKUP($D301,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</row>
    <row r="302" spans="1:33" ht="15.75" customHeight="1">
      <c r="A302" s="28" t="str">
        <f>"weapon_"&amp;G302&amp;"_"&amp;VLOOKUP(H302, Factor!$T$5:$AB$7, 9, 0)&amp;"_"&amp;IF(COUNTIFS($G$4:G301, G302, $H$4:H301, H302)+1&gt;=100, COUNTIFS($G$4:G301, G302, $H$4:H301, H302)+1,IF(COUNTIFS($G$4:G301, G302, $H$4:H301, H302)+1&gt;=10, "0"&amp;COUNTIFS($G$4:G301, G302, $H$4:H301, H302)+1, "00"&amp;COUNTIFS($G$4:G301, G302, $H$4:H301, H302)+1))</f>
        <v>weapon_pierce_Sh_045</v>
      </c>
      <c r="B302" s="37" t="str">
        <f t="shared" si="4"/>
        <v>T7 105mm함포</v>
      </c>
      <c r="C302" s="37" t="s">
        <v>254</v>
      </c>
      <c r="D302" s="37" t="s">
        <v>272</v>
      </c>
      <c r="E302" s="37" t="s">
        <v>283</v>
      </c>
      <c r="F302" s="29">
        <f>VLOOKUP(C302, Factor!$AD$5:$AE$15, 2, 0)</f>
        <v>7000</v>
      </c>
      <c r="G302" s="29" t="str">
        <f>VLOOKUP(E302, Factor!$CL$5:$CV$50, 2, 0)</f>
        <v>pierce</v>
      </c>
      <c r="H302" s="29" t="str">
        <f>VLOOKUP(E302, Factor!$CL$5:$CV$50, 3, 0)</f>
        <v>shell</v>
      </c>
      <c r="I302" s="29" t="str">
        <f>VLOOKUP(E302, Factor!$CL$5:$CV$50, 4, 0)</f>
        <v>L</v>
      </c>
      <c r="J302" s="29" t="str">
        <f>VLOOKUP(E302, Factor!$CL$5:$CV$50, 5, 0)</f>
        <v>normal</v>
      </c>
      <c r="K302" s="29">
        <v>1</v>
      </c>
      <c r="L302" s="29">
        <f>VLOOKUP(E302, Factor!$CL$5:$CV$50, 6, 0)*K302*VLOOKUP(D302, Factor!$BZ$5:$CJ$49, 9, 0)</f>
        <v>0</v>
      </c>
      <c r="M302" s="29" t="str">
        <f>VLOOKUP(E302, Factor!$CL$5:$CV$50, 7, 0)</f>
        <v>null</v>
      </c>
      <c r="N302" s="29">
        <v>1</v>
      </c>
      <c r="O302" s="29">
        <f>VLOOKUP(E302, Factor!$CL$5:$CV$50, 8, 0)*N302*VLOOKUP(D302, Factor!$BZ$5:$CJ$49, 10, 0)</f>
        <v>24</v>
      </c>
      <c r="P302" s="29">
        <v>1</v>
      </c>
      <c r="Q302" s="29">
        <f>VLOOKUP(E302, Factor!$CL$5:$CV$50, 9, 0)*P302*VLOOKUP(D302, Factor!$BZ$5:$CJ$49, 11, 0)</f>
        <v>8</v>
      </c>
      <c r="R302" s="29" t="str">
        <f>VLOOKUP(E302, Factor!$CL$5:$CV$50, 10, 0)</f>
        <v>null</v>
      </c>
      <c r="S302" s="29" t="str">
        <f>VLOOKUP(E302, Factor!$CL$5:$CV$50, 11, 0)</f>
        <v>null</v>
      </c>
      <c r="T302" s="29">
        <v>1</v>
      </c>
      <c r="U302" s="29">
        <v>1</v>
      </c>
      <c r="V302" s="29">
        <v>1</v>
      </c>
      <c r="W302" s="29">
        <v>1</v>
      </c>
      <c r="X302" s="29">
        <v>1</v>
      </c>
      <c r="Y302" s="29">
        <v>1</v>
      </c>
      <c r="Z302" s="29">
        <v>1</v>
      </c>
      <c r="AA302" s="29" cm="1">
        <f t="array" ref="AA302">_xlfn.LET(_xlpm.기본_색인번호, 2,
_xlpm.추가_색인번호, 3,
_xlpm.개별보정치, T302,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302" s="29" cm="1">
        <f t="array" ref="AB302">_xlfn.LET(_xlpm.기본_색인번호, 3,
_xlpm.추가_색인번호, 4,
_xlpm.개별보정치, U302,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2" s="29" cm="1">
        <f t="array" ref="AC302">_xlfn.LET(_xlpm.기본_색인번호, 4,
_xlpm.추가_색인번호, 5,
_xlpm.개별보정치, V302,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2" s="29" cm="1">
        <f t="array" ref="AD302">_xlfn.LET(_xlpm.기본_색인번호, 5,
_xlpm.추가_색인번호, 6,
_xlpm.개별보정치, W302,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E302" s="29" cm="1">
        <f t="array" ref="AE302">_xlfn.LET(_xlpm.기본_색인번호, 6,
_xlpm.추가_색인번호, 7,
_xlpm.개별보정치, X302,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F302" s="29" cm="1">
        <f t="array" ref="AF302">_xlfn.LET(_xlpm.기본_색인번호, 7,
_xlpm.추가_색인번호, 8,
_xlpm.개별보정치, Y302,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2" s="30" cm="1">
        <f t="array" ref="AG302">_xlfn.LET(_xlpm.기본_색인번호, 8,
_xlpm.추가_색인번호, 9,
_xlpm.개별보정치, Z302,
_xlpm.패턴보정치, VLOOKUP($G302, Factor!$B$5:$I$51, _xlpm.기본_색인번호, 0),
_xlpm.소모탄환보정치, VLOOKUP($H302, Factor!$T$5:$AA$51, _xlpm.기본_색인번호, 0),
_xlpm.지형보정치, VLOOKUP($I302, Factor!$K$12:$R$13, _xlpm.기본_색인번호, 0),
_xlpm.공격속성보정치, VLOOKUP($J302, Factor!$K$5:$R$7, _xlpm.기본_색인번호, 0),
_xlpm.피해범위보정치, INDEX(Factor!$AN$5:$AV$51, _xlfn.XMATCH(IF(OR($G302="blast", $G302="curved",  $G302= "debuff"), $L302, 0), Factor!$AN$5:$AN$51, -1), _xlpm.추가_색인번호)-IF(AND(OR($G302="blast", $G302="curved", $G302= "debuff"), MOD($L302,1)&lt;&gt;0),INDEX(Factor!$AN$5:$AV$51, _xlfn.XMATCH(IF(OR($G302="blast", $G302="curved", $G302= "debuff"), $L302, 0), Factor!$AN$5:$AN$51, -1), 2)*MOD($L302,1)*10,0),
_xlpm.상태이상보정치, VLOOKUP(IF($G302 = "debuff", $M302, "null"), Factor!$AX$5:$BE$51, _xlpm.기본_색인번호, 0),
_xlpm.지속시간보정치, INDEX(Factor!$BG$5:$BO$51, _xlfn.XMATCH(IF(OR($G302 ="debuff", $G302 = "shot", $G302 = "pierce"), $O302, 0), Factor!$BG$5:$BG$51, -1), _xlpm.추가_색인번호)-IF(AND(OR($G302 ="debuff", $G302 = "shot", $G302 = "pierce"), MOD($O302, 1)&lt;&gt;0), 10*MOD($O302, 1)*INDEX(Factor!$BG$5:$BO$51, _xlfn.XMATCH(IF(OR($G302 ="debuff", $G302 = "shot", $G302 = "pierce"), $O302, 0), Factor!$BG$5:$BG$51, -1), 2), 0),
_xlpm.탄환개수보정치, VLOOKUP(IF(OR($G302 = "curved", $G302 = "shot"), $Q302, 1), Factor!$BQ$5:$BX$51, _xlpm.기본_색인번호, 0),
_xlpm.상태이상탄환생성위치보정치, IF($G302 = "debuff", VLOOKUP($R302, Factor!$K$18:$R$19, _xlpm.기본_색인번호, 0),1),
_xlpm.상태이상탄환형태보정치, IF($G302 = "debuff", VLOOKUP($S302, Factor!$K$24:$R$25, _xlpm.기본_색인번호, 0),1),
_xlpm.가격보정치, INDEX(Factor!$AE$5:$AL$51, _xlfn.XMATCH($F302,Factor!$AE$5:$AE$51, -1), _xlpm.기본_색인번호),
_xlpm.구경보정치, VLOOKUP($D302,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</row>
    <row r="303" spans="1:33" ht="15.75" customHeight="1">
      <c r="A303" s="24" t="str">
        <f>"weapon_"&amp;G303&amp;"_"&amp;VLOOKUP(H303, Factor!$T$5:$AB$7, 9, 0)&amp;"_"&amp;IF(COUNTIFS($G$4:G302, G303, $H$4:H302, H303)+1&gt;=100, COUNTIFS($G$4:G302, G303, $H$4:H302, H303)+1,IF(COUNTIFS($G$4:G302, G303, $H$4:H302, H303)+1&gt;=10, "0"&amp;COUNTIFS($G$4:G302, G303, $H$4:H302, H303)+1, "00"&amp;COUNTIFS($G$4:G302, G303, $H$4:H302, H303)+1))</f>
        <v>weapon_pierce_Sh_046</v>
      </c>
      <c r="B303" s="36" t="str">
        <f t="shared" si="4"/>
        <v>T7 155mm함포</v>
      </c>
      <c r="C303" s="36" t="s">
        <v>254</v>
      </c>
      <c r="D303" s="36" t="s">
        <v>273</v>
      </c>
      <c r="E303" s="36" t="s">
        <v>283</v>
      </c>
      <c r="F303" s="25">
        <f>VLOOKUP(C303, Factor!$AD$5:$AE$15, 2, 0)</f>
        <v>7000</v>
      </c>
      <c r="G303" s="26" t="str">
        <f>VLOOKUP(E303, Factor!$CL$5:$CV$50, 2, 0)</f>
        <v>pierce</v>
      </c>
      <c r="H303" s="25" t="str">
        <f>VLOOKUP(E303, Factor!$CL$5:$CV$50, 3, 0)</f>
        <v>shell</v>
      </c>
      <c r="I303" s="25" t="str">
        <f>VLOOKUP(E303, Factor!$CL$5:$CV$50, 4, 0)</f>
        <v>L</v>
      </c>
      <c r="J303" s="25" t="str">
        <f>VLOOKUP(E303, Factor!$CL$5:$CV$50, 5, 0)</f>
        <v>normal</v>
      </c>
      <c r="K303" s="25">
        <v>1</v>
      </c>
      <c r="L303" s="25">
        <f>VLOOKUP(E303, Factor!$CL$5:$CV$50, 6, 0)*K303*VLOOKUP(D303, Factor!$BZ$5:$CJ$49, 9, 0)</f>
        <v>0</v>
      </c>
      <c r="M303" s="25" t="str">
        <f>VLOOKUP(E303, Factor!$CL$5:$CV$50, 7, 0)</f>
        <v>null</v>
      </c>
      <c r="N303" s="25">
        <v>1</v>
      </c>
      <c r="O303" s="25">
        <f>VLOOKUP(E303, Factor!$CL$5:$CV$50, 8, 0)*N303*VLOOKUP(D303, Factor!$BZ$5:$CJ$49, 10, 0)</f>
        <v>24</v>
      </c>
      <c r="P303" s="25">
        <v>1</v>
      </c>
      <c r="Q303" s="25">
        <f>VLOOKUP(E303, Factor!$CL$5:$CV$50, 9, 0)*P303*VLOOKUP(D303, Factor!$BZ$5:$CJ$49, 11, 0)</f>
        <v>8</v>
      </c>
      <c r="R303" s="25" t="str">
        <f>VLOOKUP(E303, Factor!$CL$5:$CV$50, 10, 0)</f>
        <v>null</v>
      </c>
      <c r="S303" s="25" t="str">
        <f>VLOOKUP(E303, Factor!$CL$5:$CV$50, 11, 0)</f>
        <v>null</v>
      </c>
      <c r="T303" s="25">
        <v>1</v>
      </c>
      <c r="U303" s="25">
        <v>1</v>
      </c>
      <c r="V303" s="25">
        <v>1</v>
      </c>
      <c r="W303" s="25">
        <v>1</v>
      </c>
      <c r="X303" s="25">
        <v>1</v>
      </c>
      <c r="Y303" s="25">
        <v>1</v>
      </c>
      <c r="Z303" s="25">
        <v>1</v>
      </c>
      <c r="AA303" s="25" cm="1">
        <f t="array" ref="AA303">_xlfn.LET(_xlpm.기본_색인번호, 2,
_xlpm.추가_색인번호, 3,
_xlpm.개별보정치, T303,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303" s="25" cm="1">
        <f t="array" ref="AB303">_xlfn.LET(_xlpm.기본_색인번호, 3,
_xlpm.추가_색인번호, 4,
_xlpm.개별보정치, U303,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3" s="25" cm="1">
        <f t="array" ref="AC303">_xlfn.LET(_xlpm.기본_색인번호, 4,
_xlpm.추가_색인번호, 5,
_xlpm.개별보정치, V303,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3" s="25" cm="1">
        <f t="array" ref="AD303">_xlfn.LET(_xlpm.기본_색인번호, 5,
_xlpm.추가_색인번호, 6,
_xlpm.개별보정치, W303,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E303" s="25" cm="1">
        <f t="array" ref="AE303">_xlfn.LET(_xlpm.기본_색인번호, 6,
_xlpm.추가_색인번호, 7,
_xlpm.개별보정치, X303,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  <c r="AF303" s="25" cm="1">
        <f t="array" ref="AF303">_xlfn.LET(_xlpm.기본_색인번호, 7,
_xlpm.추가_색인번호, 8,
_xlpm.개별보정치, Y303,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3" s="27" cm="1">
        <f t="array" ref="AG303">_xlfn.LET(_xlpm.기본_색인번호, 8,
_xlpm.추가_색인번호, 9,
_xlpm.개별보정치, Z303,
_xlpm.패턴보정치, VLOOKUP($G303, Factor!$B$5:$I$51, _xlpm.기본_색인번호, 0),
_xlpm.소모탄환보정치, VLOOKUP($H303, Factor!$T$5:$AA$51, _xlpm.기본_색인번호, 0),
_xlpm.지형보정치, VLOOKUP($I303, Factor!$K$12:$R$13, _xlpm.기본_색인번호, 0),
_xlpm.공격속성보정치, VLOOKUP($J303, Factor!$K$5:$R$7, _xlpm.기본_색인번호, 0),
_xlpm.피해범위보정치, INDEX(Factor!$AN$5:$AV$51, _xlfn.XMATCH(IF(OR($G303="blast", $G303="curved",  $G303= "debuff"), $L303, 0), Factor!$AN$5:$AN$51, -1), _xlpm.추가_색인번호)-IF(AND(OR($G303="blast", $G303="curved", $G303= "debuff"), MOD($L303,1)&lt;&gt;0),INDEX(Factor!$AN$5:$AV$51, _xlfn.XMATCH(IF(OR($G303="blast", $G303="curved", $G303= "debuff"), $L303, 0), Factor!$AN$5:$AN$51, -1), 2)*MOD($L303,1)*10,0),
_xlpm.상태이상보정치, VLOOKUP(IF($G303 = "debuff", $M303, "null"), Factor!$AX$5:$BE$51, _xlpm.기본_색인번호, 0),
_xlpm.지속시간보정치, INDEX(Factor!$BG$5:$BO$51, _xlfn.XMATCH(IF(OR($G303 ="debuff", $G303 = "shot", $G303 = "pierce"), $O303, 0), Factor!$BG$5:$BG$51, -1), _xlpm.추가_색인번호)-IF(AND(OR($G303 ="debuff", $G303 = "shot", $G303 = "pierce"), MOD($O303, 1)&lt;&gt;0), 10*MOD($O303, 1)*INDEX(Factor!$BG$5:$BO$51, _xlfn.XMATCH(IF(OR($G303 ="debuff", $G303 = "shot", $G303 = "pierce"), $O303, 0), Factor!$BG$5:$BG$51, -1), 2), 0),
_xlpm.탄환개수보정치, VLOOKUP(IF(OR($G303 = "curved", $G303 = "shot"), $Q303, 1), Factor!$BQ$5:$BX$51, _xlpm.기본_색인번호, 0),
_xlpm.상태이상탄환생성위치보정치, IF($G303 = "debuff", VLOOKUP($R303, Factor!$K$18:$R$19, _xlpm.기본_색인번호, 0),1),
_xlpm.상태이상탄환형태보정치, IF($G303 = "debuff", VLOOKUP($S303, Factor!$K$24:$R$25, _xlpm.기본_색인번호, 0),1),
_xlpm.가격보정치, INDEX(Factor!$AE$5:$AL$51, _xlfn.XMATCH($F303,Factor!$AE$5:$AE$51, -1), _xlpm.기본_색인번호),
_xlpm.구경보정치, VLOOKUP($D303,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256</v>
      </c>
    </row>
    <row r="304" spans="1:33" ht="15.75" customHeight="1">
      <c r="A304" s="28" t="str">
        <f>"weapon_"&amp;G304&amp;"_"&amp;VLOOKUP(H304, Factor!$T$5:$AB$7, 9, 0)&amp;"_"&amp;IF(COUNTIFS($G$4:G303, G304, $H$4:H303, H304)+1&gt;=100, COUNTIFS($G$4:G303, G304, $H$4:H303, H304)+1,IF(COUNTIFS($G$4:G303, G304, $H$4:H303, H304)+1&gt;=10, "0"&amp;COUNTIFS($G$4:G303, G304, $H$4:H303, H304)+1, "00"&amp;COUNTIFS($G$4:G303, G304, $H$4:H303, H304)+1))</f>
        <v>weapon_pierce_Sh_047</v>
      </c>
      <c r="B304" s="37" t="str">
        <f t="shared" si="4"/>
        <v>T8 55mm함포</v>
      </c>
      <c r="C304" s="37" t="s">
        <v>255</v>
      </c>
      <c r="D304" s="37" t="s">
        <v>270</v>
      </c>
      <c r="E304" s="37" t="s">
        <v>283</v>
      </c>
      <c r="F304" s="29">
        <f>VLOOKUP(C304, Factor!$AD$5:$AE$15, 2, 0)</f>
        <v>8000</v>
      </c>
      <c r="G304" s="29" t="str">
        <f>VLOOKUP(E304, Factor!$CL$5:$CV$50, 2, 0)</f>
        <v>pierce</v>
      </c>
      <c r="H304" s="29" t="str">
        <f>VLOOKUP(E304, Factor!$CL$5:$CV$50, 3, 0)</f>
        <v>shell</v>
      </c>
      <c r="I304" s="29" t="str">
        <f>VLOOKUP(E304, Factor!$CL$5:$CV$50, 4, 0)</f>
        <v>L</v>
      </c>
      <c r="J304" s="29" t="str">
        <f>VLOOKUP(E304, Factor!$CL$5:$CV$50, 5, 0)</f>
        <v>normal</v>
      </c>
      <c r="K304" s="29">
        <v>1</v>
      </c>
      <c r="L304" s="29">
        <f>VLOOKUP(E304, Factor!$CL$5:$CV$50, 6, 0)*K304*VLOOKUP(D304, Factor!$BZ$5:$CJ$49, 9, 0)</f>
        <v>0</v>
      </c>
      <c r="M304" s="29" t="str">
        <f>VLOOKUP(E304, Factor!$CL$5:$CV$50, 7, 0)</f>
        <v>null</v>
      </c>
      <c r="N304" s="29">
        <v>1</v>
      </c>
      <c r="O304" s="29">
        <f>VLOOKUP(E304, Factor!$CL$5:$CV$50, 8, 0)*N304*VLOOKUP(D304, Factor!$BZ$5:$CJ$49, 10, 0)</f>
        <v>21</v>
      </c>
      <c r="P304" s="29">
        <v>1</v>
      </c>
      <c r="Q304" s="29">
        <f>VLOOKUP(E304, Factor!$CL$5:$CV$50, 9, 0)*P304*VLOOKUP(D304, Factor!$BZ$5:$CJ$49, 11, 0)</f>
        <v>7</v>
      </c>
      <c r="R304" s="29" t="str">
        <f>VLOOKUP(E304, Factor!$CL$5:$CV$50, 10, 0)</f>
        <v>null</v>
      </c>
      <c r="S304" s="29" t="str">
        <f>VLOOKUP(E304, Factor!$CL$5:$CV$50, 11, 0)</f>
        <v>null</v>
      </c>
      <c r="T304" s="29">
        <v>1</v>
      </c>
      <c r="U304" s="29">
        <v>1</v>
      </c>
      <c r="V304" s="29">
        <v>1</v>
      </c>
      <c r="W304" s="29">
        <v>1</v>
      </c>
      <c r="X304" s="29">
        <v>1</v>
      </c>
      <c r="Y304" s="29">
        <v>1</v>
      </c>
      <c r="Z304" s="29">
        <v>1</v>
      </c>
      <c r="AA304" s="29" cm="1">
        <f t="array" ref="AA304">_xlfn.LET(_xlpm.기본_색인번호, 2,
_xlpm.추가_색인번호, 3,
_xlpm.개별보정치, T304,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04" s="29" cm="1">
        <f t="array" ref="AB304">_xlfn.LET(_xlpm.기본_색인번호, 3,
_xlpm.추가_색인번호, 4,
_xlpm.개별보정치, U304,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4" s="29" cm="1">
        <f t="array" ref="AC304">_xlfn.LET(_xlpm.기본_색인번호, 4,
_xlpm.추가_색인번호, 5,
_xlpm.개별보정치, V304,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4" s="29" cm="1">
        <f t="array" ref="AD304">_xlfn.LET(_xlpm.기본_색인번호, 5,
_xlpm.추가_색인번호, 6,
_xlpm.개별보정치, W304,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304" s="29" cm="1">
        <f t="array" ref="AE304">_xlfn.LET(_xlpm.기본_색인번호, 6,
_xlpm.추가_색인번호, 7,
_xlpm.개별보정치, X304,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304" s="29" cm="1">
        <f t="array" ref="AF304">_xlfn.LET(_xlpm.기본_색인번호, 7,
_xlpm.추가_색인번호, 8,
_xlpm.개별보정치, Y304,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4" s="30" cm="1">
        <f t="array" ref="AG304">_xlfn.LET(_xlpm.기본_색인번호, 8,
_xlpm.추가_색인번호, 9,
_xlpm.개별보정치, Z304,
_xlpm.패턴보정치, VLOOKUP($G304, Factor!$B$5:$I$51, _xlpm.기본_색인번호, 0),
_xlpm.소모탄환보정치, VLOOKUP($H304, Factor!$T$5:$AA$51, _xlpm.기본_색인번호, 0),
_xlpm.지형보정치, VLOOKUP($I304, Factor!$K$12:$R$13, _xlpm.기본_색인번호, 0),
_xlpm.공격속성보정치, VLOOKUP($J304, Factor!$K$5:$R$7, _xlpm.기본_색인번호, 0),
_xlpm.피해범위보정치, INDEX(Factor!$AN$5:$AV$51, _xlfn.XMATCH(IF(OR($G304="blast", $G304="curved",  $G304= "debuff"), $L304, 0), Factor!$AN$5:$AN$51, -1), _xlpm.추가_색인번호)-IF(AND(OR($G304="blast", $G304="curved", $G304= "debuff"), MOD($L304,1)&lt;&gt;0),INDEX(Factor!$AN$5:$AV$51, _xlfn.XMATCH(IF(OR($G304="blast", $G304="curved", $G304= "debuff"), $L304, 0), Factor!$AN$5:$AN$51, -1), 2)*MOD($L304,1)*10,0),
_xlpm.상태이상보정치, VLOOKUP(IF($G304 = "debuff", $M304, "null"), Factor!$AX$5:$BE$51, _xlpm.기본_색인번호, 0),
_xlpm.지속시간보정치, INDEX(Factor!$BG$5:$BO$51, _xlfn.XMATCH(IF(OR($G304 ="debuff", $G304 = "shot", $G304 = "pierce"), $O304, 0), Factor!$BG$5:$BG$51, -1), _xlpm.추가_색인번호)-IF(AND(OR($G304 ="debuff", $G304 = "shot", $G304 = "pierce"), MOD($O304, 1)&lt;&gt;0), 10*MOD($O304, 1)*INDEX(Factor!$BG$5:$BO$51, _xlfn.XMATCH(IF(OR($G304 ="debuff", $G304 = "shot", $G304 = "pierce"), $O304, 0), Factor!$BG$5:$BG$51, -1), 2), 0),
_xlpm.탄환개수보정치, VLOOKUP(IF(OR($G304 = "curved", $G304 = "shot"), $Q304, 1), Factor!$BQ$5:$BX$51, _xlpm.기본_색인번호, 0),
_xlpm.상태이상탄환생성위치보정치, IF($G304 = "debuff", VLOOKUP($R304, Factor!$K$18:$R$19, _xlpm.기본_색인번호, 0),1),
_xlpm.상태이상탄환형태보정치, IF($G304 = "debuff", VLOOKUP($S304, Factor!$K$24:$R$25, _xlpm.기본_색인번호, 0),1),
_xlpm.가격보정치, INDEX(Factor!$AE$5:$AL$51, _xlfn.XMATCH($F304,Factor!$AE$5:$AE$51, -1), _xlpm.기본_색인번호),
_xlpm.구경보정치, VLOOKUP($D304,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305" spans="1:33" ht="15.75" customHeight="1">
      <c r="A305" s="24" t="str">
        <f>"weapon_"&amp;G305&amp;"_"&amp;VLOOKUP(H305, Factor!$T$5:$AB$7, 9, 0)&amp;"_"&amp;IF(COUNTIFS($G$4:G304, G305, $H$4:H304, H305)+1&gt;=100, COUNTIFS($G$4:G304, G305, $H$4:H304, H305)+1,IF(COUNTIFS($G$4:G304, G305, $H$4:H304, H305)+1&gt;=10, "0"&amp;COUNTIFS($G$4:G304, G305, $H$4:H304, H305)+1, "00"&amp;COUNTIFS($G$4:G304, G305, $H$4:H304, H305)+1))</f>
        <v>weapon_pierce_Sh_048</v>
      </c>
      <c r="B305" s="36" t="str">
        <f t="shared" si="4"/>
        <v>T8 105mm함포</v>
      </c>
      <c r="C305" s="36" t="s">
        <v>255</v>
      </c>
      <c r="D305" s="36" t="s">
        <v>272</v>
      </c>
      <c r="E305" s="36" t="s">
        <v>283</v>
      </c>
      <c r="F305" s="25">
        <f>VLOOKUP(C305, Factor!$AD$5:$AE$15, 2, 0)</f>
        <v>8000</v>
      </c>
      <c r="G305" s="26" t="str">
        <f>VLOOKUP(E305, Factor!$CL$5:$CV$50, 2, 0)</f>
        <v>pierce</v>
      </c>
      <c r="H305" s="25" t="str">
        <f>VLOOKUP(E305, Factor!$CL$5:$CV$50, 3, 0)</f>
        <v>shell</v>
      </c>
      <c r="I305" s="25" t="str">
        <f>VLOOKUP(E305, Factor!$CL$5:$CV$50, 4, 0)</f>
        <v>L</v>
      </c>
      <c r="J305" s="25" t="str">
        <f>VLOOKUP(E305, Factor!$CL$5:$CV$50, 5, 0)</f>
        <v>normal</v>
      </c>
      <c r="K305" s="25">
        <v>1</v>
      </c>
      <c r="L305" s="25">
        <f>VLOOKUP(E305, Factor!$CL$5:$CV$50, 6, 0)*K305*VLOOKUP(D305, Factor!$BZ$5:$CJ$49, 9, 0)</f>
        <v>0</v>
      </c>
      <c r="M305" s="25" t="str">
        <f>VLOOKUP(E305, Factor!$CL$5:$CV$50, 7, 0)</f>
        <v>null</v>
      </c>
      <c r="N305" s="25">
        <v>1</v>
      </c>
      <c r="O305" s="25">
        <f>VLOOKUP(E305, Factor!$CL$5:$CV$50, 8, 0)*N305*VLOOKUP(D305, Factor!$BZ$5:$CJ$49, 10, 0)</f>
        <v>24</v>
      </c>
      <c r="P305" s="25">
        <v>1</v>
      </c>
      <c r="Q305" s="25">
        <f>VLOOKUP(E305, Factor!$CL$5:$CV$50, 9, 0)*P305*VLOOKUP(D305, Factor!$BZ$5:$CJ$49, 11, 0)</f>
        <v>8</v>
      </c>
      <c r="R305" s="25" t="str">
        <f>VLOOKUP(E305, Factor!$CL$5:$CV$50, 10, 0)</f>
        <v>null</v>
      </c>
      <c r="S305" s="25" t="str">
        <f>VLOOKUP(E305, Factor!$CL$5:$CV$50, 11, 0)</f>
        <v>null</v>
      </c>
      <c r="T305" s="25">
        <v>1</v>
      </c>
      <c r="U305" s="25">
        <v>1</v>
      </c>
      <c r="V305" s="25">
        <v>1</v>
      </c>
      <c r="W305" s="25">
        <v>1</v>
      </c>
      <c r="X305" s="25">
        <v>1</v>
      </c>
      <c r="Y305" s="25">
        <v>1</v>
      </c>
      <c r="Z305" s="25">
        <v>1</v>
      </c>
      <c r="AA305" s="25" cm="1">
        <f t="array" ref="AA305">_xlfn.LET(_xlpm.기본_색인번호, 2,
_xlpm.추가_색인번호, 3,
_xlpm.개별보정치, T305,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05" s="25" cm="1">
        <f t="array" ref="AB305">_xlfn.LET(_xlpm.기본_색인번호, 3,
_xlpm.추가_색인번호, 4,
_xlpm.개별보정치, U305,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5" s="25" cm="1">
        <f t="array" ref="AC305">_xlfn.LET(_xlpm.기본_색인번호, 4,
_xlpm.추가_색인번호, 5,
_xlpm.개별보정치, V305,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5" s="25" cm="1">
        <f t="array" ref="AD305">_xlfn.LET(_xlpm.기본_색인번호, 5,
_xlpm.추가_색인번호, 6,
_xlpm.개별보정치, W305,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305" s="25" cm="1">
        <f t="array" ref="AE305">_xlfn.LET(_xlpm.기본_색인번호, 6,
_xlpm.추가_색인번호, 7,
_xlpm.개별보정치, X305,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305" s="25" cm="1">
        <f t="array" ref="AF305">_xlfn.LET(_xlpm.기본_색인번호, 7,
_xlpm.추가_색인번호, 8,
_xlpm.개별보정치, Y305,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5" s="27" cm="1">
        <f t="array" ref="AG305">_xlfn.LET(_xlpm.기본_색인번호, 8,
_xlpm.추가_색인번호, 9,
_xlpm.개별보정치, Z305,
_xlpm.패턴보정치, VLOOKUP($G305, Factor!$B$5:$I$51, _xlpm.기본_색인번호, 0),
_xlpm.소모탄환보정치, VLOOKUP($H305, Factor!$T$5:$AA$51, _xlpm.기본_색인번호, 0),
_xlpm.지형보정치, VLOOKUP($I305, Factor!$K$12:$R$13, _xlpm.기본_색인번호, 0),
_xlpm.공격속성보정치, VLOOKUP($J305, Factor!$K$5:$R$7, _xlpm.기본_색인번호, 0),
_xlpm.피해범위보정치, INDEX(Factor!$AN$5:$AV$51, _xlfn.XMATCH(IF(OR($G305="blast", $G305="curved",  $G305= "debuff"), $L305, 0), Factor!$AN$5:$AN$51, -1), _xlpm.추가_색인번호)-IF(AND(OR($G305="blast", $G305="curved", $G305= "debuff"), MOD($L305,1)&lt;&gt;0),INDEX(Factor!$AN$5:$AV$51, _xlfn.XMATCH(IF(OR($G305="blast", $G305="curved", $G305= "debuff"), $L305, 0), Factor!$AN$5:$AN$51, -1), 2)*MOD($L305,1)*10,0),
_xlpm.상태이상보정치, VLOOKUP(IF($G305 = "debuff", $M305, "null"), Factor!$AX$5:$BE$51, _xlpm.기본_색인번호, 0),
_xlpm.지속시간보정치, INDEX(Factor!$BG$5:$BO$51, _xlfn.XMATCH(IF(OR($G305 ="debuff", $G305 = "shot", $G305 = "pierce"), $O305, 0), Factor!$BG$5:$BG$51, -1), _xlpm.추가_색인번호)-IF(AND(OR($G305 ="debuff", $G305 = "shot", $G305 = "pierce"), MOD($O305, 1)&lt;&gt;0), 10*MOD($O305, 1)*INDEX(Factor!$BG$5:$BO$51, _xlfn.XMATCH(IF(OR($G305 ="debuff", $G305 = "shot", $G305 = "pierce"), $O305, 0), Factor!$BG$5:$BG$51, -1), 2), 0),
_xlpm.탄환개수보정치, VLOOKUP(IF(OR($G305 = "curved", $G305 = "shot"), $Q305, 1), Factor!$BQ$5:$BX$51, _xlpm.기본_색인번호, 0),
_xlpm.상태이상탄환생성위치보정치, IF($G305 = "debuff", VLOOKUP($R305, Factor!$K$18:$R$19, _xlpm.기본_색인번호, 0),1),
_xlpm.상태이상탄환형태보정치, IF($G305 = "debuff", VLOOKUP($S305, Factor!$K$24:$R$25, _xlpm.기본_색인번호, 0),1),
_xlpm.가격보정치, INDEX(Factor!$AE$5:$AL$51, _xlfn.XMATCH($F305,Factor!$AE$5:$AE$51, -1), _xlpm.기본_색인번호),
_xlpm.구경보정치, VLOOKUP($D305,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306" spans="1:33" ht="15.75" customHeight="1">
      <c r="A306" s="28" t="str">
        <f>"weapon_"&amp;G306&amp;"_"&amp;VLOOKUP(H306, Factor!$T$5:$AB$7, 9, 0)&amp;"_"&amp;IF(COUNTIFS($G$4:G305, G306, $H$4:H305, H306)+1&gt;=100, COUNTIFS($G$4:G305, G306, $H$4:H305, H306)+1,IF(COUNTIFS($G$4:G305, G306, $H$4:H305, H306)+1&gt;=10, "0"&amp;COUNTIFS($G$4:G305, G306, $H$4:H305, H306)+1, "00"&amp;COUNTIFS($G$4:G305, G306, $H$4:H305, H306)+1))</f>
        <v>weapon_pierce_Sh_049</v>
      </c>
      <c r="B306" s="37" t="str">
        <f t="shared" si="4"/>
        <v>T8 155mm함포</v>
      </c>
      <c r="C306" s="37" t="s">
        <v>255</v>
      </c>
      <c r="D306" s="37" t="s">
        <v>273</v>
      </c>
      <c r="E306" s="37" t="s">
        <v>283</v>
      </c>
      <c r="F306" s="29">
        <f>VLOOKUP(C306, Factor!$AD$5:$AE$15, 2, 0)</f>
        <v>8000</v>
      </c>
      <c r="G306" s="29" t="str">
        <f>VLOOKUP(E306, Factor!$CL$5:$CV$50, 2, 0)</f>
        <v>pierce</v>
      </c>
      <c r="H306" s="29" t="str">
        <f>VLOOKUP(E306, Factor!$CL$5:$CV$50, 3, 0)</f>
        <v>shell</v>
      </c>
      <c r="I306" s="29" t="str">
        <f>VLOOKUP(E306, Factor!$CL$5:$CV$50, 4, 0)</f>
        <v>L</v>
      </c>
      <c r="J306" s="29" t="str">
        <f>VLOOKUP(E306, Factor!$CL$5:$CV$50, 5, 0)</f>
        <v>normal</v>
      </c>
      <c r="K306" s="29">
        <v>1</v>
      </c>
      <c r="L306" s="29">
        <f>VLOOKUP(E306, Factor!$CL$5:$CV$50, 6, 0)*K306*VLOOKUP(D306, Factor!$BZ$5:$CJ$49, 9, 0)</f>
        <v>0</v>
      </c>
      <c r="M306" s="29" t="str">
        <f>VLOOKUP(E306, Factor!$CL$5:$CV$50, 7, 0)</f>
        <v>null</v>
      </c>
      <c r="N306" s="29">
        <v>1</v>
      </c>
      <c r="O306" s="29">
        <f>VLOOKUP(E306, Factor!$CL$5:$CV$50, 8, 0)*N306*VLOOKUP(D306, Factor!$BZ$5:$CJ$49, 10, 0)</f>
        <v>24</v>
      </c>
      <c r="P306" s="29">
        <v>1</v>
      </c>
      <c r="Q306" s="29">
        <f>VLOOKUP(E306, Factor!$CL$5:$CV$50, 9, 0)*P306*VLOOKUP(D306, Factor!$BZ$5:$CJ$49, 11, 0)</f>
        <v>8</v>
      </c>
      <c r="R306" s="29" t="str">
        <f>VLOOKUP(E306, Factor!$CL$5:$CV$50, 10, 0)</f>
        <v>null</v>
      </c>
      <c r="S306" s="29" t="str">
        <f>VLOOKUP(E306, Factor!$CL$5:$CV$50, 11, 0)</f>
        <v>null</v>
      </c>
      <c r="T306" s="29">
        <v>1</v>
      </c>
      <c r="U306" s="29">
        <v>1</v>
      </c>
      <c r="V306" s="29">
        <v>1</v>
      </c>
      <c r="W306" s="29">
        <v>1</v>
      </c>
      <c r="X306" s="29">
        <v>1</v>
      </c>
      <c r="Y306" s="29">
        <v>1</v>
      </c>
      <c r="Z306" s="29">
        <v>1</v>
      </c>
      <c r="AA306" s="29" cm="1">
        <f t="array" ref="AA306">_xlfn.LET(_xlpm.기본_색인번호, 2,
_xlpm.추가_색인번호, 3,
_xlpm.개별보정치, T306,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06" s="29" cm="1">
        <f t="array" ref="AB306">_xlfn.LET(_xlpm.기본_색인번호, 3,
_xlpm.추가_색인번호, 4,
_xlpm.개별보정치, U306,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192</v>
      </c>
      <c r="AC306" s="29" cm="1">
        <f t="array" ref="AC306">_xlfn.LET(_xlpm.기본_색인번호, 4,
_xlpm.추가_색인번호, 5,
_xlpm.개별보정치, V306,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6" s="29" cm="1">
        <f t="array" ref="AD306">_xlfn.LET(_xlpm.기본_색인번호, 5,
_xlpm.추가_색인번호, 6,
_xlpm.개별보정치, W306,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E306" s="29" cm="1">
        <f t="array" ref="AE306">_xlfn.LET(_xlpm.기본_색인번호, 6,
_xlpm.추가_색인번호, 7,
_xlpm.개별보정치, X306,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  <c r="AF306" s="29" cm="1">
        <f t="array" ref="AF306">_xlfn.LET(_xlpm.기본_색인번호, 7,
_xlpm.추가_색인번호, 8,
_xlpm.개별보정치, Y306,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6" s="30" cm="1">
        <f t="array" ref="AG306">_xlfn.LET(_xlpm.기본_색인번호, 8,
_xlpm.추가_색인번호, 9,
_xlpm.개별보정치, Z306,
_xlpm.패턴보정치, VLOOKUP($G306, Factor!$B$5:$I$51, _xlpm.기본_색인번호, 0),
_xlpm.소모탄환보정치, VLOOKUP($H306, Factor!$T$5:$AA$51, _xlpm.기본_색인번호, 0),
_xlpm.지형보정치, VLOOKUP($I306, Factor!$K$12:$R$13, _xlpm.기본_색인번호, 0),
_xlpm.공격속성보정치, VLOOKUP($J306, Factor!$K$5:$R$7, _xlpm.기본_색인번호, 0),
_xlpm.피해범위보정치, INDEX(Factor!$AN$5:$AV$51, _xlfn.XMATCH(IF(OR($G306="blast", $G306="curved",  $G306= "debuff"), $L306, 0), Factor!$AN$5:$AN$51, -1), _xlpm.추가_색인번호)-IF(AND(OR($G306="blast", $G306="curved", $G306= "debuff"), MOD($L306,1)&lt;&gt;0),INDEX(Factor!$AN$5:$AV$51, _xlfn.XMATCH(IF(OR($G306="blast", $G306="curved", $G306= "debuff"), $L306, 0), Factor!$AN$5:$AN$51, -1), 2)*MOD($L306,1)*10,0),
_xlpm.상태이상보정치, VLOOKUP(IF($G306 = "debuff", $M306, "null"), Factor!$AX$5:$BE$51, _xlpm.기본_색인번호, 0),
_xlpm.지속시간보정치, INDEX(Factor!$BG$5:$BO$51, _xlfn.XMATCH(IF(OR($G306 ="debuff", $G306 = "shot", $G306 = "pierce"), $O306, 0), Factor!$BG$5:$BG$51, -1), _xlpm.추가_색인번호)-IF(AND(OR($G306 ="debuff", $G306 = "shot", $G306 = "pierce"), MOD($O306, 1)&lt;&gt;0), 10*MOD($O306, 1)*INDEX(Factor!$BG$5:$BO$51, _xlfn.XMATCH(IF(OR($G306 ="debuff", $G306 = "shot", $G306 = "pierce"), $O306, 0), Factor!$BG$5:$BG$51, -1), 2), 0),
_xlpm.탄환개수보정치, VLOOKUP(IF(OR($G306 = "curved", $G306 = "shot"), $Q306, 1), Factor!$BQ$5:$BX$51, _xlpm.기본_색인번호, 0),
_xlpm.상태이상탄환생성위치보정치, IF($G306 = "debuff", VLOOKUP($R306, Factor!$K$18:$R$19, _xlpm.기본_색인번호, 0),1),
_xlpm.상태이상탄환형태보정치, IF($G306 = "debuff", VLOOKUP($S306, Factor!$K$24:$R$25, _xlpm.기본_색인번호, 0),1),
_xlpm.가격보정치, INDEX(Factor!$AE$5:$AL$51, _xlfn.XMATCH($F306,Factor!$AE$5:$AE$51, -1), _xlpm.기본_색인번호),
_xlpm.구경보정치, VLOOKUP($D306,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</v>
      </c>
    </row>
    <row r="307" spans="1:33" ht="15.75" customHeight="1">
      <c r="A307" s="24" t="str">
        <f>"weapon_"&amp;G307&amp;"_"&amp;VLOOKUP(H307, Factor!$T$5:$AB$7, 9, 0)&amp;"_"&amp;IF(COUNTIFS($G$4:G306, G307, $H$4:H306, H307)+1&gt;=100, COUNTIFS($G$4:G306, G307, $H$4:H306, H307)+1,IF(COUNTIFS($G$4:G306, G307, $H$4:H306, H307)+1&gt;=10, "0"&amp;COUNTIFS($G$4:G306, G307, $H$4:H306, H307)+1, "00"&amp;COUNTIFS($G$4:G306, G307, $H$4:H306, H307)+1))</f>
        <v>weapon_pierce_Sh_050</v>
      </c>
      <c r="B307" s="36" t="str">
        <f t="shared" si="4"/>
        <v>T9 55mm함포</v>
      </c>
      <c r="C307" s="36" t="s">
        <v>256</v>
      </c>
      <c r="D307" s="36" t="s">
        <v>270</v>
      </c>
      <c r="E307" s="36" t="s">
        <v>283</v>
      </c>
      <c r="F307" s="25">
        <f>VLOOKUP(C307, Factor!$AD$5:$AE$15, 2, 0)</f>
        <v>9000</v>
      </c>
      <c r="G307" s="26" t="str">
        <f>VLOOKUP(E307, Factor!$CL$5:$CV$50, 2, 0)</f>
        <v>pierce</v>
      </c>
      <c r="H307" s="25" t="str">
        <f>VLOOKUP(E307, Factor!$CL$5:$CV$50, 3, 0)</f>
        <v>shell</v>
      </c>
      <c r="I307" s="25" t="str">
        <f>VLOOKUP(E307, Factor!$CL$5:$CV$50, 4, 0)</f>
        <v>L</v>
      </c>
      <c r="J307" s="25" t="str">
        <f>VLOOKUP(E307, Factor!$CL$5:$CV$50, 5, 0)</f>
        <v>normal</v>
      </c>
      <c r="K307" s="25">
        <v>1</v>
      </c>
      <c r="L307" s="25">
        <f>VLOOKUP(E307, Factor!$CL$5:$CV$50, 6, 0)*K307*VLOOKUP(D307, Factor!$BZ$5:$CJ$49, 9, 0)</f>
        <v>0</v>
      </c>
      <c r="M307" s="25" t="str">
        <f>VLOOKUP(E307, Factor!$CL$5:$CV$50, 7, 0)</f>
        <v>null</v>
      </c>
      <c r="N307" s="25">
        <v>1</v>
      </c>
      <c r="O307" s="25">
        <f>VLOOKUP(E307, Factor!$CL$5:$CV$50, 8, 0)*N307*VLOOKUP(D307, Factor!$BZ$5:$CJ$49, 10, 0)</f>
        <v>21</v>
      </c>
      <c r="P307" s="25">
        <v>1</v>
      </c>
      <c r="Q307" s="25">
        <f>VLOOKUP(E307, Factor!$CL$5:$CV$50, 9, 0)*P307*VLOOKUP(D307, Factor!$BZ$5:$CJ$49, 11, 0)</f>
        <v>7</v>
      </c>
      <c r="R307" s="25" t="str">
        <f>VLOOKUP(E307, Factor!$CL$5:$CV$50, 10, 0)</f>
        <v>null</v>
      </c>
      <c r="S307" s="25" t="str">
        <f>VLOOKUP(E307, Factor!$CL$5:$CV$50, 11, 0)</f>
        <v>null</v>
      </c>
      <c r="T307" s="25">
        <v>1</v>
      </c>
      <c r="U307" s="25">
        <v>1</v>
      </c>
      <c r="V307" s="25">
        <v>1</v>
      </c>
      <c r="W307" s="25">
        <v>1</v>
      </c>
      <c r="X307" s="25">
        <v>1</v>
      </c>
      <c r="Y307" s="25">
        <v>1</v>
      </c>
      <c r="Z307" s="25">
        <v>1</v>
      </c>
      <c r="AA307" s="25" cm="1">
        <f t="array" ref="AA307">_xlfn.LET(_xlpm.기본_색인번호, 2,
_xlpm.추가_색인번호, 3,
_xlpm.개별보정치, T307,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307" s="25" cm="1">
        <f t="array" ref="AB307">_xlfn.LET(_xlpm.기본_색인번호, 3,
_xlpm.추가_색인번호, 4,
_xlpm.개별보정치, U307,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07" s="25" cm="1">
        <f t="array" ref="AC307">_xlfn.LET(_xlpm.기본_색인번호, 4,
_xlpm.추가_색인번호, 5,
_xlpm.개별보정치, V307,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7" s="25" cm="1">
        <f t="array" ref="AD307">_xlfn.LET(_xlpm.기본_색인번호, 5,
_xlpm.추가_색인번호, 6,
_xlpm.개별보정치, W307,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E307" s="25" cm="1">
        <f t="array" ref="AE307">_xlfn.LET(_xlpm.기본_색인번호, 6,
_xlpm.추가_색인번호, 7,
_xlpm.개별보정치, X307,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F307" s="25" cm="1">
        <f t="array" ref="AF307">_xlfn.LET(_xlpm.기본_색인번호, 7,
_xlpm.추가_색인번호, 8,
_xlpm.개별보정치, Y307,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7" s="27" cm="1">
        <f t="array" ref="AG307">_xlfn.LET(_xlpm.기본_색인번호, 8,
_xlpm.추가_색인번호, 9,
_xlpm.개별보정치, Z307,
_xlpm.패턴보정치, VLOOKUP($G307, Factor!$B$5:$I$51, _xlpm.기본_색인번호, 0),
_xlpm.소모탄환보정치, VLOOKUP($H307, Factor!$T$5:$AA$51, _xlpm.기본_색인번호, 0),
_xlpm.지형보정치, VLOOKUP($I307, Factor!$K$12:$R$13, _xlpm.기본_색인번호, 0),
_xlpm.공격속성보정치, VLOOKUP($J307, Factor!$K$5:$R$7, _xlpm.기본_색인번호, 0),
_xlpm.피해범위보정치, INDEX(Factor!$AN$5:$AV$51, _xlfn.XMATCH(IF(OR($G307="blast", $G307="curved",  $G307= "debuff"), $L307, 0), Factor!$AN$5:$AN$51, -1), _xlpm.추가_색인번호)-IF(AND(OR($G307="blast", $G307="curved", $G307= "debuff"), MOD($L307,1)&lt;&gt;0),INDEX(Factor!$AN$5:$AV$51, _xlfn.XMATCH(IF(OR($G307="blast", $G307="curved", $G307= "debuff"), $L307, 0), Factor!$AN$5:$AN$51, -1), 2)*MOD($L307,1)*10,0),
_xlpm.상태이상보정치, VLOOKUP(IF($G307 = "debuff", $M307, "null"), Factor!$AX$5:$BE$51, _xlpm.기본_색인번호, 0),
_xlpm.지속시간보정치, INDEX(Factor!$BG$5:$BO$51, _xlfn.XMATCH(IF(OR($G307 ="debuff", $G307 = "shot", $G307 = "pierce"), $O307, 0), Factor!$BG$5:$BG$51, -1), _xlpm.추가_색인번호)-IF(AND(OR($G307 ="debuff", $G307 = "shot", $G307 = "pierce"), MOD($O307, 1)&lt;&gt;0), 10*MOD($O307, 1)*INDEX(Factor!$BG$5:$BO$51, _xlfn.XMATCH(IF(OR($G307 ="debuff", $G307 = "shot", $G307 = "pierce"), $O307, 0), Factor!$BG$5:$BG$51, -1), 2), 0),
_xlpm.탄환개수보정치, VLOOKUP(IF(OR($G307 = "curved", $G307 = "shot"), $Q307, 1), Factor!$BQ$5:$BX$51, _xlpm.기본_색인번호, 0),
_xlpm.상태이상탄환생성위치보정치, IF($G307 = "debuff", VLOOKUP($R307, Factor!$K$18:$R$19, _xlpm.기본_색인번호, 0),1),
_xlpm.상태이상탄환형태보정치, IF($G307 = "debuff", VLOOKUP($S307, Factor!$K$24:$R$25, _xlpm.기본_색인번호, 0),1),
_xlpm.가격보정치, INDEX(Factor!$AE$5:$AL$51, _xlfn.XMATCH($F307,Factor!$AE$5:$AE$51, -1), _xlpm.기본_색인번호),
_xlpm.구경보정치, VLOOKUP($D307,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</row>
    <row r="308" spans="1:33" ht="15.75" customHeight="1">
      <c r="A308" s="28" t="str">
        <f>"weapon_"&amp;G308&amp;"_"&amp;VLOOKUP(H308, Factor!$T$5:$AB$7, 9, 0)&amp;"_"&amp;IF(COUNTIFS($G$4:G307, G308, $H$4:H307, H308)+1&gt;=100, COUNTIFS($G$4:G307, G308, $H$4:H307, H308)+1,IF(COUNTIFS($G$4:G307, G308, $H$4:H307, H308)+1&gt;=10, "0"&amp;COUNTIFS($G$4:G307, G308, $H$4:H307, H308)+1, "00"&amp;COUNTIFS($G$4:G307, G308, $H$4:H307, H308)+1))</f>
        <v>weapon_pierce_Sh_051</v>
      </c>
      <c r="B308" s="37" t="str">
        <f t="shared" si="4"/>
        <v>T9 105mm함포</v>
      </c>
      <c r="C308" s="37" t="s">
        <v>256</v>
      </c>
      <c r="D308" s="37" t="s">
        <v>272</v>
      </c>
      <c r="E308" s="37" t="s">
        <v>283</v>
      </c>
      <c r="F308" s="29">
        <f>VLOOKUP(C308, Factor!$AD$5:$AE$15, 2, 0)</f>
        <v>9000</v>
      </c>
      <c r="G308" s="29" t="str">
        <f>VLOOKUP(E308, Factor!$CL$5:$CV$50, 2, 0)</f>
        <v>pierce</v>
      </c>
      <c r="H308" s="29" t="str">
        <f>VLOOKUP(E308, Factor!$CL$5:$CV$50, 3, 0)</f>
        <v>shell</v>
      </c>
      <c r="I308" s="29" t="str">
        <f>VLOOKUP(E308, Factor!$CL$5:$CV$50, 4, 0)</f>
        <v>L</v>
      </c>
      <c r="J308" s="29" t="str">
        <f>VLOOKUP(E308, Factor!$CL$5:$CV$50, 5, 0)</f>
        <v>normal</v>
      </c>
      <c r="K308" s="29">
        <v>1</v>
      </c>
      <c r="L308" s="29">
        <f>VLOOKUP(E308, Factor!$CL$5:$CV$50, 6, 0)*K308*VLOOKUP(D308, Factor!$BZ$5:$CJ$49, 9, 0)</f>
        <v>0</v>
      </c>
      <c r="M308" s="29" t="str">
        <f>VLOOKUP(E308, Factor!$CL$5:$CV$50, 7, 0)</f>
        <v>null</v>
      </c>
      <c r="N308" s="29">
        <v>1</v>
      </c>
      <c r="O308" s="29">
        <f>VLOOKUP(E308, Factor!$CL$5:$CV$50, 8, 0)*N308*VLOOKUP(D308, Factor!$BZ$5:$CJ$49, 10, 0)</f>
        <v>24</v>
      </c>
      <c r="P308" s="29">
        <v>1</v>
      </c>
      <c r="Q308" s="29">
        <f>VLOOKUP(E308, Factor!$CL$5:$CV$50, 9, 0)*P308*VLOOKUP(D308, Factor!$BZ$5:$CJ$49, 11, 0)</f>
        <v>8</v>
      </c>
      <c r="R308" s="29" t="str">
        <f>VLOOKUP(E308, Factor!$CL$5:$CV$50, 10, 0)</f>
        <v>null</v>
      </c>
      <c r="S308" s="29" t="str">
        <f>VLOOKUP(E308, Factor!$CL$5:$CV$50, 11, 0)</f>
        <v>null</v>
      </c>
      <c r="T308" s="29">
        <v>1</v>
      </c>
      <c r="U308" s="29">
        <v>1</v>
      </c>
      <c r="V308" s="29">
        <v>1</v>
      </c>
      <c r="W308" s="29">
        <v>1</v>
      </c>
      <c r="X308" s="29">
        <v>1</v>
      </c>
      <c r="Y308" s="29">
        <v>1</v>
      </c>
      <c r="Z308" s="29">
        <v>1</v>
      </c>
      <c r="AA308" s="29" cm="1">
        <f t="array" ref="AA308">_xlfn.LET(_xlpm.기본_색인번호, 2,
_xlpm.추가_색인번호, 3,
_xlpm.개별보정치, T308,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308" s="29" cm="1">
        <f t="array" ref="AB308">_xlfn.LET(_xlpm.기본_색인번호, 3,
_xlpm.추가_색인번호, 4,
_xlpm.개별보정치, U308,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08" s="29" cm="1">
        <f t="array" ref="AC308">_xlfn.LET(_xlpm.기본_색인번호, 4,
_xlpm.추가_색인번호, 5,
_xlpm.개별보정치, V308,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8" s="29" cm="1">
        <f t="array" ref="AD308">_xlfn.LET(_xlpm.기본_색인번호, 5,
_xlpm.추가_색인번호, 6,
_xlpm.개별보정치, W308,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E308" s="29" cm="1">
        <f t="array" ref="AE308">_xlfn.LET(_xlpm.기본_색인번호, 6,
_xlpm.추가_색인번호, 7,
_xlpm.개별보정치, X308,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F308" s="29" cm="1">
        <f t="array" ref="AF308">_xlfn.LET(_xlpm.기본_색인번호, 7,
_xlpm.추가_색인번호, 8,
_xlpm.개별보정치, Y308,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8" s="30" cm="1">
        <f t="array" ref="AG308">_xlfn.LET(_xlpm.기본_색인번호, 8,
_xlpm.추가_색인번호, 9,
_xlpm.개별보정치, Z308,
_xlpm.패턴보정치, VLOOKUP($G308, Factor!$B$5:$I$51, _xlpm.기본_색인번호, 0),
_xlpm.소모탄환보정치, VLOOKUP($H308, Factor!$T$5:$AA$51, _xlpm.기본_색인번호, 0),
_xlpm.지형보정치, VLOOKUP($I308, Factor!$K$12:$R$13, _xlpm.기본_색인번호, 0),
_xlpm.공격속성보정치, VLOOKUP($J308, Factor!$K$5:$R$7, _xlpm.기본_색인번호, 0),
_xlpm.피해범위보정치, INDEX(Factor!$AN$5:$AV$51, _xlfn.XMATCH(IF(OR($G308="blast", $G308="curved",  $G308= "debuff"), $L308, 0), Factor!$AN$5:$AN$51, -1), _xlpm.추가_색인번호)-IF(AND(OR($G308="blast", $G308="curved", $G308= "debuff"), MOD($L308,1)&lt;&gt;0),INDEX(Factor!$AN$5:$AV$51, _xlfn.XMATCH(IF(OR($G308="blast", $G308="curved", $G308= "debuff"), $L308, 0), Factor!$AN$5:$AN$51, -1), 2)*MOD($L308,1)*10,0),
_xlpm.상태이상보정치, VLOOKUP(IF($G308 = "debuff", $M308, "null"), Factor!$AX$5:$BE$51, _xlpm.기본_색인번호, 0),
_xlpm.지속시간보정치, INDEX(Factor!$BG$5:$BO$51, _xlfn.XMATCH(IF(OR($G308 ="debuff", $G308 = "shot", $G308 = "pierce"), $O308, 0), Factor!$BG$5:$BG$51, -1), _xlpm.추가_색인번호)-IF(AND(OR($G308 ="debuff", $G308 = "shot", $G308 = "pierce"), MOD($O308, 1)&lt;&gt;0), 10*MOD($O308, 1)*INDEX(Factor!$BG$5:$BO$51, _xlfn.XMATCH(IF(OR($G308 ="debuff", $G308 = "shot", $G308 = "pierce"), $O308, 0), Factor!$BG$5:$BG$51, -1), 2), 0),
_xlpm.탄환개수보정치, VLOOKUP(IF(OR($G308 = "curved", $G308 = "shot"), $Q308, 1), Factor!$BQ$5:$BX$51, _xlpm.기본_색인번호, 0),
_xlpm.상태이상탄환생성위치보정치, IF($G308 = "debuff", VLOOKUP($R308, Factor!$K$18:$R$19, _xlpm.기본_색인번호, 0),1),
_xlpm.상태이상탄환형태보정치, IF($G308 = "debuff", VLOOKUP($S308, Factor!$K$24:$R$25, _xlpm.기본_색인번호, 0),1),
_xlpm.가격보정치, INDEX(Factor!$AE$5:$AL$51, _xlfn.XMATCH($F308,Factor!$AE$5:$AE$51, -1), _xlpm.기본_색인번호),
_xlpm.구경보정치, VLOOKUP($D308,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</row>
    <row r="309" spans="1:33" ht="15.75" customHeight="1">
      <c r="A309" s="24" t="str">
        <f>"weapon_"&amp;G309&amp;"_"&amp;VLOOKUP(H309, Factor!$T$5:$AB$7, 9, 0)&amp;"_"&amp;IF(COUNTIFS($G$4:G308, G309, $H$4:H308, H309)+1&gt;=100, COUNTIFS($G$4:G308, G309, $H$4:H308, H309)+1,IF(COUNTIFS($G$4:G308, G309, $H$4:H308, H309)+1&gt;=10, "0"&amp;COUNTIFS($G$4:G308, G309, $H$4:H308, H309)+1, "00"&amp;COUNTIFS($G$4:G308, G309, $H$4:H308, H309)+1))</f>
        <v>weapon_pierce_Sh_052</v>
      </c>
      <c r="B309" s="36" t="str">
        <f t="shared" si="4"/>
        <v>T9 155mm함포</v>
      </c>
      <c r="C309" s="36" t="s">
        <v>256</v>
      </c>
      <c r="D309" s="36" t="s">
        <v>273</v>
      </c>
      <c r="E309" s="36" t="s">
        <v>283</v>
      </c>
      <c r="F309" s="25">
        <f>VLOOKUP(C309, Factor!$AD$5:$AE$15, 2, 0)</f>
        <v>9000</v>
      </c>
      <c r="G309" s="26" t="str">
        <f>VLOOKUP(E309, Factor!$CL$5:$CV$50, 2, 0)</f>
        <v>pierce</v>
      </c>
      <c r="H309" s="25" t="str">
        <f>VLOOKUP(E309, Factor!$CL$5:$CV$50, 3, 0)</f>
        <v>shell</v>
      </c>
      <c r="I309" s="25" t="str">
        <f>VLOOKUP(E309, Factor!$CL$5:$CV$50, 4, 0)</f>
        <v>L</v>
      </c>
      <c r="J309" s="25" t="str">
        <f>VLOOKUP(E309, Factor!$CL$5:$CV$50, 5, 0)</f>
        <v>normal</v>
      </c>
      <c r="K309" s="25">
        <v>1</v>
      </c>
      <c r="L309" s="25">
        <f>VLOOKUP(E309, Factor!$CL$5:$CV$50, 6, 0)*K309*VLOOKUP(D309, Factor!$BZ$5:$CJ$49, 9, 0)</f>
        <v>0</v>
      </c>
      <c r="M309" s="25" t="str">
        <f>VLOOKUP(E309, Factor!$CL$5:$CV$50, 7, 0)</f>
        <v>null</v>
      </c>
      <c r="N309" s="25">
        <v>1</v>
      </c>
      <c r="O309" s="25">
        <f>VLOOKUP(E309, Factor!$CL$5:$CV$50, 8, 0)*N309*VLOOKUP(D309, Factor!$BZ$5:$CJ$49, 10, 0)</f>
        <v>24</v>
      </c>
      <c r="P309" s="25">
        <v>1</v>
      </c>
      <c r="Q309" s="25">
        <f>VLOOKUP(E309, Factor!$CL$5:$CV$50, 9, 0)*P309*VLOOKUP(D309, Factor!$BZ$5:$CJ$49, 11, 0)</f>
        <v>8</v>
      </c>
      <c r="R309" s="25" t="str">
        <f>VLOOKUP(E309, Factor!$CL$5:$CV$50, 10, 0)</f>
        <v>null</v>
      </c>
      <c r="S309" s="25" t="str">
        <f>VLOOKUP(E309, Factor!$CL$5:$CV$50, 11, 0)</f>
        <v>null</v>
      </c>
      <c r="T309" s="25">
        <v>1</v>
      </c>
      <c r="U309" s="25">
        <v>1</v>
      </c>
      <c r="V309" s="25">
        <v>1</v>
      </c>
      <c r="W309" s="25">
        <v>1</v>
      </c>
      <c r="X309" s="25">
        <v>1</v>
      </c>
      <c r="Y309" s="25">
        <v>1</v>
      </c>
      <c r="Z309" s="25">
        <v>1</v>
      </c>
      <c r="AA309" s="25" cm="1">
        <f t="array" ref="AA309">_xlfn.LET(_xlpm.기본_색인번호, 2,
_xlpm.추가_색인번호, 3,
_xlpm.개별보정치, T309,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4000</v>
      </c>
      <c r="AB309" s="25" cm="1">
        <f t="array" ref="AB309">_xlfn.LET(_xlpm.기본_색인번호, 3,
_xlpm.추가_색인번호, 4,
_xlpm.개별보정치, U309,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09" s="25" cm="1">
        <f t="array" ref="AC309">_xlfn.LET(_xlpm.기본_색인번호, 4,
_xlpm.추가_색인번호, 5,
_xlpm.개별보정치, V309,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09" s="25" cm="1">
        <f t="array" ref="AD309">_xlfn.LET(_xlpm.기본_색인번호, 5,
_xlpm.추가_색인번호, 6,
_xlpm.개별보정치, W309,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E309" s="25" cm="1">
        <f t="array" ref="AE309">_xlfn.LET(_xlpm.기본_색인번호, 6,
_xlpm.추가_색인번호, 7,
_xlpm.개별보정치, X309,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  <c r="AF309" s="25" cm="1">
        <f t="array" ref="AF309">_xlfn.LET(_xlpm.기본_색인번호, 7,
_xlpm.추가_색인번호, 8,
_xlpm.개별보정치, Y309,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09" s="27" cm="1">
        <f t="array" ref="AG309">_xlfn.LET(_xlpm.기본_색인번호, 8,
_xlpm.추가_색인번호, 9,
_xlpm.개별보정치, Z309,
_xlpm.패턴보정치, VLOOKUP($G309, Factor!$B$5:$I$51, _xlpm.기본_색인번호, 0),
_xlpm.소모탄환보정치, VLOOKUP($H309, Factor!$T$5:$AA$51, _xlpm.기본_색인번호, 0),
_xlpm.지형보정치, VLOOKUP($I309, Factor!$K$12:$R$13, _xlpm.기본_색인번호, 0),
_xlpm.공격속성보정치, VLOOKUP($J309, Factor!$K$5:$R$7, _xlpm.기본_색인번호, 0),
_xlpm.피해범위보정치, INDEX(Factor!$AN$5:$AV$51, _xlfn.XMATCH(IF(OR($G309="blast", $G309="curved",  $G309= "debuff"), $L309, 0), Factor!$AN$5:$AN$51, -1), _xlpm.추가_색인번호)-IF(AND(OR($G309="blast", $G309="curved", $G309= "debuff"), MOD($L309,1)&lt;&gt;0),INDEX(Factor!$AN$5:$AV$51, _xlfn.XMATCH(IF(OR($G309="blast", $G309="curved", $G309= "debuff"), $L309, 0), Factor!$AN$5:$AN$51, -1), 2)*MOD($L309,1)*10,0),
_xlpm.상태이상보정치, VLOOKUP(IF($G309 = "debuff", $M309, "null"), Factor!$AX$5:$BE$51, _xlpm.기본_색인번호, 0),
_xlpm.지속시간보정치, INDEX(Factor!$BG$5:$BO$51, _xlfn.XMATCH(IF(OR($G309 ="debuff", $G309 = "shot", $G309 = "pierce"), $O309, 0), Factor!$BG$5:$BG$51, -1), _xlpm.추가_색인번호)-IF(AND(OR($G309 ="debuff", $G309 = "shot", $G309 = "pierce"), MOD($O309, 1)&lt;&gt;0), 10*MOD($O309, 1)*INDEX(Factor!$BG$5:$BO$51, _xlfn.XMATCH(IF(OR($G309 ="debuff", $G309 = "shot", $G309 = "pierce"), $O309, 0), Factor!$BG$5:$BG$51, -1), 2), 0),
_xlpm.탄환개수보정치, VLOOKUP(IF(OR($G309 = "curved", $G309 = "shot"), $Q309, 1), Factor!$BQ$5:$BX$51, _xlpm.기본_색인번호, 0),
_xlpm.상태이상탄환생성위치보정치, IF($G309 = "debuff", VLOOKUP($R309, Factor!$K$18:$R$19, _xlpm.기본_색인번호, 0),1),
_xlpm.상태이상탄환형태보정치, IF($G309 = "debuff", VLOOKUP($S309, Factor!$K$24:$R$25, _xlpm.기본_색인번호, 0),1),
_xlpm.가격보정치, INDEX(Factor!$AE$5:$AL$51, _xlfn.XMATCH($F309,Factor!$AE$5:$AE$51, -1), _xlpm.기본_색인번호),
_xlpm.구경보정치, VLOOKUP($D309,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</v>
      </c>
    </row>
    <row r="310" spans="1:33" ht="15.75" customHeight="1">
      <c r="A310" s="28" t="str">
        <f>"weapon_"&amp;G310&amp;"_"&amp;VLOOKUP(H310, Factor!$T$5:$AB$7, 9, 0)&amp;"_"&amp;IF(COUNTIFS($G$4:G309, G310, $H$4:H309, H310)+1&gt;=100, COUNTIFS($G$4:G309, G310, $H$4:H309, H310)+1,IF(COUNTIFS($G$4:G309, G310, $H$4:H309, H310)+1&gt;=10, "0"&amp;COUNTIFS($G$4:G309, G310, $H$4:H309, H310)+1, "00"&amp;COUNTIFS($G$4:G309, G310, $H$4:H309, H310)+1))</f>
        <v>weapon_pierce_Sh_053</v>
      </c>
      <c r="B310" s="37" t="str">
        <f t="shared" si="4"/>
        <v>T10 55mm함포</v>
      </c>
      <c r="C310" s="37" t="s">
        <v>268</v>
      </c>
      <c r="D310" s="37" t="s">
        <v>270</v>
      </c>
      <c r="E310" s="37" t="s">
        <v>283</v>
      </c>
      <c r="F310" s="29">
        <f>VLOOKUP(C310, Factor!$AD$5:$AE$15, 2, 0)</f>
        <v>10000</v>
      </c>
      <c r="G310" s="29" t="str">
        <f>VLOOKUP(E310, Factor!$CL$5:$CV$50, 2, 0)</f>
        <v>pierce</v>
      </c>
      <c r="H310" s="29" t="str">
        <f>VLOOKUP(E310, Factor!$CL$5:$CV$50, 3, 0)</f>
        <v>shell</v>
      </c>
      <c r="I310" s="29" t="str">
        <f>VLOOKUP(E310, Factor!$CL$5:$CV$50, 4, 0)</f>
        <v>L</v>
      </c>
      <c r="J310" s="29" t="str">
        <f>VLOOKUP(E310, Factor!$CL$5:$CV$50, 5, 0)</f>
        <v>normal</v>
      </c>
      <c r="K310" s="29">
        <v>1</v>
      </c>
      <c r="L310" s="29">
        <f>VLOOKUP(E310, Factor!$CL$5:$CV$50, 6, 0)*K310*VLOOKUP(D310, Factor!$BZ$5:$CJ$49, 9, 0)</f>
        <v>0</v>
      </c>
      <c r="M310" s="29" t="str">
        <f>VLOOKUP(E310, Factor!$CL$5:$CV$50, 7, 0)</f>
        <v>null</v>
      </c>
      <c r="N310" s="29">
        <v>1</v>
      </c>
      <c r="O310" s="29">
        <f>VLOOKUP(E310, Factor!$CL$5:$CV$50, 8, 0)*N310*VLOOKUP(D310, Factor!$BZ$5:$CJ$49, 10, 0)</f>
        <v>21</v>
      </c>
      <c r="P310" s="29">
        <v>1</v>
      </c>
      <c r="Q310" s="29">
        <f>VLOOKUP(E310, Factor!$CL$5:$CV$50, 9, 0)*P310*VLOOKUP(D310, Factor!$BZ$5:$CJ$49, 11, 0)</f>
        <v>7</v>
      </c>
      <c r="R310" s="29" t="str">
        <f>VLOOKUP(E310, Factor!$CL$5:$CV$50, 10, 0)</f>
        <v>null</v>
      </c>
      <c r="S310" s="29" t="str">
        <f>VLOOKUP(E310, Factor!$CL$5:$CV$50, 11, 0)</f>
        <v>null</v>
      </c>
      <c r="T310" s="29">
        <v>1</v>
      </c>
      <c r="U310" s="29">
        <v>1</v>
      </c>
      <c r="V310" s="29">
        <v>1</v>
      </c>
      <c r="W310" s="29">
        <v>1</v>
      </c>
      <c r="X310" s="29">
        <v>1</v>
      </c>
      <c r="Y310" s="29">
        <v>1</v>
      </c>
      <c r="Z310" s="29">
        <v>1</v>
      </c>
      <c r="AA310" s="29" cm="1">
        <f t="array" ref="AA310">_xlfn.LET(_xlpm.기본_색인번호, 2,
_xlpm.추가_색인번호, 3,
_xlpm.개별보정치, T310,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310" s="29" cm="1">
        <f t="array" ref="AB310">_xlfn.LET(_xlpm.기본_색인번호, 3,
_xlpm.추가_색인번호, 4,
_xlpm.개별보정치, U310,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10" s="29" cm="1">
        <f t="array" ref="AC310">_xlfn.LET(_xlpm.기본_색인번호, 4,
_xlpm.추가_색인번호, 5,
_xlpm.개별보정치, V310,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10" s="29" cm="1">
        <f t="array" ref="AD310">_xlfn.LET(_xlpm.기본_색인번호, 5,
_xlpm.추가_색인번호, 6,
_xlpm.개별보정치, W310,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E310" s="29" cm="1">
        <f t="array" ref="AE310">_xlfn.LET(_xlpm.기본_색인번호, 6,
_xlpm.추가_색인번호, 7,
_xlpm.개별보정치, X310,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F310" s="29" cm="1">
        <f t="array" ref="AF310">_xlfn.LET(_xlpm.기본_색인번호, 7,
_xlpm.추가_색인번호, 8,
_xlpm.개별보정치, Y310,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10" s="30" cm="1">
        <f t="array" ref="AG310">_xlfn.LET(_xlpm.기본_색인번호, 8,
_xlpm.추가_색인번호, 9,
_xlpm.개별보정치, Z310,
_xlpm.패턴보정치, VLOOKUP($G310, Factor!$B$5:$I$51, _xlpm.기본_색인번호, 0),
_xlpm.소모탄환보정치, VLOOKUP($H310, Factor!$T$5:$AA$51, _xlpm.기본_색인번호, 0),
_xlpm.지형보정치, VLOOKUP($I310, Factor!$K$12:$R$13, _xlpm.기본_색인번호, 0),
_xlpm.공격속성보정치, VLOOKUP($J310, Factor!$K$5:$R$7, _xlpm.기본_색인번호, 0),
_xlpm.피해범위보정치, INDEX(Factor!$AN$5:$AV$51, _xlfn.XMATCH(IF(OR($G310="blast", $G310="curved",  $G310= "debuff"), $L310, 0), Factor!$AN$5:$AN$51, -1), _xlpm.추가_색인번호)-IF(AND(OR($G310="blast", $G310="curved", $G310= "debuff"), MOD($L310,1)&lt;&gt;0),INDEX(Factor!$AN$5:$AV$51, _xlfn.XMATCH(IF(OR($G310="blast", $G310="curved", $G310= "debuff"), $L310, 0), Factor!$AN$5:$AN$51, -1), 2)*MOD($L310,1)*10,0),
_xlpm.상태이상보정치, VLOOKUP(IF($G310 = "debuff", $M310, "null"), Factor!$AX$5:$BE$51, _xlpm.기본_색인번호, 0),
_xlpm.지속시간보정치, INDEX(Factor!$BG$5:$BO$51, _xlfn.XMATCH(IF(OR($G310 ="debuff", $G310 = "shot", $G310 = "pierce"), $O310, 0), Factor!$BG$5:$BG$51, -1), _xlpm.추가_색인번호)-IF(AND(OR($G310 ="debuff", $G310 = "shot", $G310 = "pierce"), MOD($O310, 1)&lt;&gt;0), 10*MOD($O310, 1)*INDEX(Factor!$BG$5:$BO$51, _xlfn.XMATCH(IF(OR($G310 ="debuff", $G310 = "shot", $G310 = "pierce"), $O310, 0), Factor!$BG$5:$BG$51, -1), 2), 0),
_xlpm.탄환개수보정치, VLOOKUP(IF(OR($G310 = "curved", $G310 = "shot"), $Q310, 1), Factor!$BQ$5:$BX$51, _xlpm.기본_색인번호, 0),
_xlpm.상태이상탄환생성위치보정치, IF($G310 = "debuff", VLOOKUP($R310, Factor!$K$18:$R$19, _xlpm.기본_색인번호, 0),1),
_xlpm.상태이상탄환형태보정치, IF($G310 = "debuff", VLOOKUP($S310, Factor!$K$24:$R$25, _xlpm.기본_색인번호, 0),1),
_xlpm.가격보정치, INDEX(Factor!$AE$5:$AL$51, _xlfn.XMATCH($F310,Factor!$AE$5:$AE$51, -1), _xlpm.기본_색인번호),
_xlpm.구경보정치, VLOOKUP($D310,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</row>
    <row r="311" spans="1:33" ht="15.75" customHeight="1">
      <c r="A311" s="24" t="str">
        <f>"weapon_"&amp;G311&amp;"_"&amp;VLOOKUP(H311, Factor!$T$5:$AB$7, 9, 0)&amp;"_"&amp;IF(COUNTIFS($G$4:G310, G311, $H$4:H310, H311)+1&gt;=100, COUNTIFS($G$4:G310, G311, $H$4:H310, H311)+1,IF(COUNTIFS($G$4:G310, G311, $H$4:H310, H311)+1&gt;=10, "0"&amp;COUNTIFS($G$4:G310, G311, $H$4:H310, H311)+1, "00"&amp;COUNTIFS($G$4:G310, G311, $H$4:H310, H311)+1))</f>
        <v>weapon_pierce_Sh_054</v>
      </c>
      <c r="B311" s="36" t="str">
        <f t="shared" ref="B311:B374" si="5">C311&amp;" "&amp;IF(D311 = "none","", D311)&amp;E311</f>
        <v>T10 105mm함포</v>
      </c>
      <c r="C311" s="36" t="s">
        <v>268</v>
      </c>
      <c r="D311" s="36" t="s">
        <v>272</v>
      </c>
      <c r="E311" s="36" t="s">
        <v>283</v>
      </c>
      <c r="F311" s="25">
        <f>VLOOKUP(C311, Factor!$AD$5:$AE$15, 2, 0)</f>
        <v>10000</v>
      </c>
      <c r="G311" s="26" t="str">
        <f>VLOOKUP(E311, Factor!$CL$5:$CV$50, 2, 0)</f>
        <v>pierce</v>
      </c>
      <c r="H311" s="25" t="str">
        <f>VLOOKUP(E311, Factor!$CL$5:$CV$50, 3, 0)</f>
        <v>shell</v>
      </c>
      <c r="I311" s="25" t="str">
        <f>VLOOKUP(E311, Factor!$CL$5:$CV$50, 4, 0)</f>
        <v>L</v>
      </c>
      <c r="J311" s="25" t="str">
        <f>VLOOKUP(E311, Factor!$CL$5:$CV$50, 5, 0)</f>
        <v>normal</v>
      </c>
      <c r="K311" s="25">
        <v>1</v>
      </c>
      <c r="L311" s="25">
        <f>VLOOKUP(E311, Factor!$CL$5:$CV$50, 6, 0)*K311*VLOOKUP(D311, Factor!$BZ$5:$CJ$49, 9, 0)</f>
        <v>0</v>
      </c>
      <c r="M311" s="25" t="str">
        <f>VLOOKUP(E311, Factor!$CL$5:$CV$50, 7, 0)</f>
        <v>null</v>
      </c>
      <c r="N311" s="25">
        <v>1</v>
      </c>
      <c r="O311" s="25">
        <f>VLOOKUP(E311, Factor!$CL$5:$CV$50, 8, 0)*N311*VLOOKUP(D311, Factor!$BZ$5:$CJ$49, 10, 0)</f>
        <v>24</v>
      </c>
      <c r="P311" s="25">
        <v>1</v>
      </c>
      <c r="Q311" s="25">
        <f>VLOOKUP(E311, Factor!$CL$5:$CV$50, 9, 0)*P311*VLOOKUP(D311, Factor!$BZ$5:$CJ$49, 11, 0)</f>
        <v>8</v>
      </c>
      <c r="R311" s="25" t="str">
        <f>VLOOKUP(E311, Factor!$CL$5:$CV$50, 10, 0)</f>
        <v>null</v>
      </c>
      <c r="S311" s="25" t="str">
        <f>VLOOKUP(E311, Factor!$CL$5:$CV$50, 11, 0)</f>
        <v>null</v>
      </c>
      <c r="T311" s="25">
        <v>1</v>
      </c>
      <c r="U311" s="25">
        <v>1</v>
      </c>
      <c r="V311" s="25">
        <v>1</v>
      </c>
      <c r="W311" s="25">
        <v>1</v>
      </c>
      <c r="X311" s="25">
        <v>1</v>
      </c>
      <c r="Y311" s="25">
        <v>1</v>
      </c>
      <c r="Z311" s="25">
        <v>1</v>
      </c>
      <c r="AA311" s="25" cm="1">
        <f t="array" ref="AA311">_xlfn.LET(_xlpm.기본_색인번호, 2,
_xlpm.추가_색인번호, 3,
_xlpm.개별보정치, T311,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311" s="25" cm="1">
        <f t="array" ref="AB311">_xlfn.LET(_xlpm.기본_색인번호, 3,
_xlpm.추가_색인번호, 4,
_xlpm.개별보정치, U311,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11" s="25" cm="1">
        <f t="array" ref="AC311">_xlfn.LET(_xlpm.기본_색인번호, 4,
_xlpm.추가_색인번호, 5,
_xlpm.개별보정치, V311,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11" s="25" cm="1">
        <f t="array" ref="AD311">_xlfn.LET(_xlpm.기본_색인번호, 5,
_xlpm.추가_색인번호, 6,
_xlpm.개별보정치, W311,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E311" s="25" cm="1">
        <f t="array" ref="AE311">_xlfn.LET(_xlpm.기본_색인번호, 6,
_xlpm.추가_색인번호, 7,
_xlpm.개별보정치, X311,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F311" s="25" cm="1">
        <f t="array" ref="AF311">_xlfn.LET(_xlpm.기본_색인번호, 7,
_xlpm.추가_색인번호, 8,
_xlpm.개별보정치, Y311,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11" s="27" cm="1">
        <f t="array" ref="AG311">_xlfn.LET(_xlpm.기본_색인번호, 8,
_xlpm.추가_색인번호, 9,
_xlpm.개별보정치, Z311,
_xlpm.패턴보정치, VLOOKUP($G311, Factor!$B$5:$I$51, _xlpm.기본_색인번호, 0),
_xlpm.소모탄환보정치, VLOOKUP($H311, Factor!$T$5:$AA$51, _xlpm.기본_색인번호, 0),
_xlpm.지형보정치, VLOOKUP($I311, Factor!$K$12:$R$13, _xlpm.기본_색인번호, 0),
_xlpm.공격속성보정치, VLOOKUP($J311, Factor!$K$5:$R$7, _xlpm.기본_색인번호, 0),
_xlpm.피해범위보정치, INDEX(Factor!$AN$5:$AV$51, _xlfn.XMATCH(IF(OR($G311="blast", $G311="curved",  $G311= "debuff"), $L311, 0), Factor!$AN$5:$AN$51, -1), _xlpm.추가_색인번호)-IF(AND(OR($G311="blast", $G311="curved", $G311= "debuff"), MOD($L311,1)&lt;&gt;0),INDEX(Factor!$AN$5:$AV$51, _xlfn.XMATCH(IF(OR($G311="blast", $G311="curved", $G311= "debuff"), $L311, 0), Factor!$AN$5:$AN$51, -1), 2)*MOD($L311,1)*10,0),
_xlpm.상태이상보정치, VLOOKUP(IF($G311 = "debuff", $M311, "null"), Factor!$AX$5:$BE$51, _xlpm.기본_색인번호, 0),
_xlpm.지속시간보정치, INDEX(Factor!$BG$5:$BO$51, _xlfn.XMATCH(IF(OR($G311 ="debuff", $G311 = "shot", $G311 = "pierce"), $O311, 0), Factor!$BG$5:$BG$51, -1), _xlpm.추가_색인번호)-IF(AND(OR($G311 ="debuff", $G311 = "shot", $G311 = "pierce"), MOD($O311, 1)&lt;&gt;0), 10*MOD($O311, 1)*INDEX(Factor!$BG$5:$BO$51, _xlfn.XMATCH(IF(OR($G311 ="debuff", $G311 = "shot", $G311 = "pierce"), $O311, 0), Factor!$BG$5:$BG$51, -1), 2), 0),
_xlpm.탄환개수보정치, VLOOKUP(IF(OR($G311 = "curved", $G311 = "shot"), $Q311, 1), Factor!$BQ$5:$BX$51, _xlpm.기본_색인번호, 0),
_xlpm.상태이상탄환생성위치보정치, IF($G311 = "debuff", VLOOKUP($R311, Factor!$K$18:$R$19, _xlpm.기본_색인번호, 0),1),
_xlpm.상태이상탄환형태보정치, IF($G311 = "debuff", VLOOKUP($S311, Factor!$K$24:$R$25, _xlpm.기본_색인번호, 0),1),
_xlpm.가격보정치, INDEX(Factor!$AE$5:$AL$51, _xlfn.XMATCH($F311,Factor!$AE$5:$AE$51, -1), _xlpm.기본_색인번호),
_xlpm.구경보정치, VLOOKUP($D311,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</row>
    <row r="312" spans="1:33" ht="15.75" customHeight="1">
      <c r="A312" s="28" t="str">
        <f>"weapon_"&amp;G312&amp;"_"&amp;VLOOKUP(H312, Factor!$T$5:$AB$7, 9, 0)&amp;"_"&amp;IF(COUNTIFS($G$4:G311, G312, $H$4:H311, H312)+1&gt;=100, COUNTIFS($G$4:G311, G312, $H$4:H311, H312)+1,IF(COUNTIFS($G$4:G311, G312, $H$4:H311, H312)+1&gt;=10, "0"&amp;COUNTIFS($G$4:G311, G312, $H$4:H311, H312)+1, "00"&amp;COUNTIFS($G$4:G311, G312, $H$4:H311, H312)+1))</f>
        <v>weapon_pierce_Sh_055</v>
      </c>
      <c r="B312" s="37" t="str">
        <f t="shared" si="5"/>
        <v>T10 155mm함포</v>
      </c>
      <c r="C312" s="37" t="s">
        <v>268</v>
      </c>
      <c r="D312" s="37" t="s">
        <v>273</v>
      </c>
      <c r="E312" s="37" t="s">
        <v>283</v>
      </c>
      <c r="F312" s="29">
        <f>VLOOKUP(C312, Factor!$AD$5:$AE$15, 2, 0)</f>
        <v>10000</v>
      </c>
      <c r="G312" s="29" t="str">
        <f>VLOOKUP(E312, Factor!$CL$5:$CV$50, 2, 0)</f>
        <v>pierce</v>
      </c>
      <c r="H312" s="29" t="str">
        <f>VLOOKUP(E312, Factor!$CL$5:$CV$50, 3, 0)</f>
        <v>shell</v>
      </c>
      <c r="I312" s="29" t="str">
        <f>VLOOKUP(E312, Factor!$CL$5:$CV$50, 4, 0)</f>
        <v>L</v>
      </c>
      <c r="J312" s="29" t="str">
        <f>VLOOKUP(E312, Factor!$CL$5:$CV$50, 5, 0)</f>
        <v>normal</v>
      </c>
      <c r="K312" s="29">
        <v>1</v>
      </c>
      <c r="L312" s="29">
        <f>VLOOKUP(E312, Factor!$CL$5:$CV$50, 6, 0)*K312*VLOOKUP(D312, Factor!$BZ$5:$CJ$49, 9, 0)</f>
        <v>0</v>
      </c>
      <c r="M312" s="29" t="str">
        <f>VLOOKUP(E312, Factor!$CL$5:$CV$50, 7, 0)</f>
        <v>null</v>
      </c>
      <c r="N312" s="29">
        <v>1</v>
      </c>
      <c r="O312" s="29">
        <f>VLOOKUP(E312, Factor!$CL$5:$CV$50, 8, 0)*N312*VLOOKUP(D312, Factor!$BZ$5:$CJ$49, 10, 0)</f>
        <v>24</v>
      </c>
      <c r="P312" s="29">
        <v>1</v>
      </c>
      <c r="Q312" s="29">
        <f>VLOOKUP(E312, Factor!$CL$5:$CV$50, 9, 0)*P312*VLOOKUP(D312, Factor!$BZ$5:$CJ$49, 11, 0)</f>
        <v>8</v>
      </c>
      <c r="R312" s="29" t="str">
        <f>VLOOKUP(E312, Factor!$CL$5:$CV$50, 10, 0)</f>
        <v>null</v>
      </c>
      <c r="S312" s="29" t="str">
        <f>VLOOKUP(E312, Factor!$CL$5:$CV$50, 11, 0)</f>
        <v>null</v>
      </c>
      <c r="T312" s="29">
        <v>1</v>
      </c>
      <c r="U312" s="29">
        <v>1</v>
      </c>
      <c r="V312" s="29">
        <v>1</v>
      </c>
      <c r="W312" s="29">
        <v>1</v>
      </c>
      <c r="X312" s="29">
        <v>1</v>
      </c>
      <c r="Y312" s="29">
        <v>1</v>
      </c>
      <c r="Z312" s="29">
        <v>1</v>
      </c>
      <c r="AA312" s="29" cm="1">
        <f t="array" ref="AA312">_xlfn.LET(_xlpm.기본_색인번호, 2,
_xlpm.추가_색인번호, 3,
_xlpm.개별보정치, T312,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4400</v>
      </c>
      <c r="AB312" s="29" cm="1">
        <f t="array" ref="AB312">_xlfn.LET(_xlpm.기본_색인번호, 3,
_xlpm.추가_색인번호, 4,
_xlpm.개별보정치, U312,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C312" s="29" cm="1">
        <f t="array" ref="AC312">_xlfn.LET(_xlpm.기본_색인번호, 4,
_xlpm.추가_색인번호, 5,
_xlpm.개별보정치, V312,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</v>
      </c>
      <c r="AD312" s="29" cm="1">
        <f t="array" ref="AD312">_xlfn.LET(_xlpm.기본_색인번호, 5,
_xlpm.추가_색인번호, 6,
_xlpm.개별보정치, W312,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E312" s="29" cm="1">
        <f t="array" ref="AE312">_xlfn.LET(_xlpm.기본_색인번호, 6,
_xlpm.추가_색인번호, 7,
_xlpm.개별보정치, X312,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  <c r="AF312" s="29" cm="1">
        <f t="array" ref="AF312">_xlfn.LET(_xlpm.기본_색인번호, 7,
_xlpm.추가_색인번호, 8,
_xlpm.개별보정치, Y312,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3840</v>
      </c>
      <c r="AG312" s="30" cm="1">
        <f t="array" ref="AG312">_xlfn.LET(_xlpm.기본_색인번호, 8,
_xlpm.추가_색인번호, 9,
_xlpm.개별보정치, Z312,
_xlpm.패턴보정치, VLOOKUP($G312, Factor!$B$5:$I$51, _xlpm.기본_색인번호, 0),
_xlpm.소모탄환보정치, VLOOKUP($H312, Factor!$T$5:$AA$51, _xlpm.기본_색인번호, 0),
_xlpm.지형보정치, VLOOKUP($I312, Factor!$K$12:$R$13, _xlpm.기본_색인번호, 0),
_xlpm.공격속성보정치, VLOOKUP($J312, Factor!$K$5:$R$7, _xlpm.기본_색인번호, 0),
_xlpm.피해범위보정치, INDEX(Factor!$AN$5:$AV$51, _xlfn.XMATCH(IF(OR($G312="blast", $G312="curved",  $G312= "debuff"), $L312, 0), Factor!$AN$5:$AN$51, -1), _xlpm.추가_색인번호)-IF(AND(OR($G312="blast", $G312="curved", $G312= "debuff"), MOD($L312,1)&lt;&gt;0),INDEX(Factor!$AN$5:$AV$51, _xlfn.XMATCH(IF(OR($G312="blast", $G312="curved", $G312= "debuff"), $L312, 0), Factor!$AN$5:$AN$51, -1), 2)*MOD($L312,1)*10,0),
_xlpm.상태이상보정치, VLOOKUP(IF($G312 = "debuff", $M312, "null"), Factor!$AX$5:$BE$51, _xlpm.기본_색인번호, 0),
_xlpm.지속시간보정치, INDEX(Factor!$BG$5:$BO$51, _xlfn.XMATCH(IF(OR($G312 ="debuff", $G312 = "shot", $G312 = "pierce"), $O312, 0), Factor!$BG$5:$BG$51, -1), _xlpm.추가_색인번호)-IF(AND(OR($G312 ="debuff", $G312 = "shot", $G312 = "pierce"), MOD($O312, 1)&lt;&gt;0), 10*MOD($O312, 1)*INDEX(Factor!$BG$5:$BO$51, _xlfn.XMATCH(IF(OR($G312 ="debuff", $G312 = "shot", $G312 = "pierce"), $O312, 0), Factor!$BG$5:$BG$51, -1), 2), 0),
_xlpm.탄환개수보정치, VLOOKUP(IF(OR($G312 = "curved", $G312 = "shot"), $Q312, 1), Factor!$BQ$5:$BX$51, _xlpm.기본_색인번호, 0),
_xlpm.상태이상탄환생성위치보정치, IF($G312 = "debuff", VLOOKUP($R312, Factor!$K$18:$R$19, _xlpm.기본_색인번호, 0),1),
_xlpm.상태이상탄환형태보정치, IF($G312 = "debuff", VLOOKUP($S312, Factor!$K$24:$R$25, _xlpm.기본_색인번호, 0),1),
_xlpm.가격보정치, INDEX(Factor!$AE$5:$AL$51, _xlfn.XMATCH($F312,Factor!$AE$5:$AE$51, -1), _xlpm.기본_색인번호),
_xlpm.구경보정치, VLOOKUP($D312,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352</v>
      </c>
    </row>
    <row r="313" spans="1:33" ht="15.75" customHeight="1">
      <c r="A313" s="24" t="str">
        <f>"weapon_"&amp;G313&amp;"_"&amp;VLOOKUP(H313, Factor!$T$5:$AB$7, 9, 0)&amp;"_"&amp;IF(COUNTIFS($G$4:G312, G313, $H$4:H312, H313)+1&gt;=100, COUNTIFS($G$4:G312, G313, $H$4:H312, H313)+1,IF(COUNTIFS($G$4:G312, G313, $H$4:H312, H313)+1&gt;=10, "0"&amp;COUNTIFS($G$4:G312, G313, $H$4:H312, H313)+1, "00"&amp;COUNTIFS($G$4:G312, G313, $H$4:H312, H313)+1))</f>
        <v>weapon_curved_Sh_012</v>
      </c>
      <c r="B313" s="36" t="str">
        <f t="shared" si="5"/>
        <v>녹슨 105mm곡사포</v>
      </c>
      <c r="C313" s="36" t="s">
        <v>239</v>
      </c>
      <c r="D313" s="36" t="s">
        <v>265</v>
      </c>
      <c r="E313" s="36" t="s">
        <v>199</v>
      </c>
      <c r="F313" s="25">
        <f>VLOOKUP(C313, Factor!$AD$5:$AE$15, 2, 0)</f>
        <v>0</v>
      </c>
      <c r="G313" s="26" t="str">
        <f>VLOOKUP(E313, Factor!$CL$5:$CV$50, 2, 0)</f>
        <v>curved</v>
      </c>
      <c r="H313" s="25" t="str">
        <f>VLOOKUP(E313, Factor!$CL$5:$CV$50, 3, 0)</f>
        <v>shell</v>
      </c>
      <c r="I313" s="25" t="str">
        <f>VLOOKUP(E313, Factor!$CL$5:$CV$50, 4, 0)</f>
        <v>L</v>
      </c>
      <c r="J313" s="25" t="str">
        <f>VLOOKUP(E313, Factor!$CL$5:$CV$50, 5, 0)</f>
        <v>normal</v>
      </c>
      <c r="K313" s="25">
        <v>1</v>
      </c>
      <c r="L313" s="25">
        <f>VLOOKUP(E313, Factor!$CL$5:$CV$50, 6, 0)*K313*VLOOKUP(D313, Factor!$BZ$5:$CJ$49, 9, 0)</f>
        <v>32</v>
      </c>
      <c r="M313" s="25" t="str">
        <f>VLOOKUP(E313, Factor!$CL$5:$CV$50, 7, 0)</f>
        <v>null</v>
      </c>
      <c r="N313" s="25">
        <v>1</v>
      </c>
      <c r="O313" s="25">
        <f>VLOOKUP(E313, Factor!$CL$5:$CV$50, 8, 0)*N313*VLOOKUP(D313, Factor!$BZ$5:$CJ$49, 10, 0)</f>
        <v>0</v>
      </c>
      <c r="P313" s="25">
        <v>1</v>
      </c>
      <c r="Q313" s="25">
        <f>VLOOKUP(E313, Factor!$CL$5:$CV$50, 9, 0)*P313*VLOOKUP(D313, Factor!$BZ$5:$CJ$49, 11, 0)</f>
        <v>8</v>
      </c>
      <c r="R313" s="25" t="str">
        <f>VLOOKUP(E313, Factor!$CL$5:$CV$50, 10, 0)</f>
        <v>null</v>
      </c>
      <c r="S313" s="25" t="str">
        <f>VLOOKUP(E313, Factor!$CL$5:$CV$50, 11, 0)</f>
        <v>null</v>
      </c>
      <c r="T313" s="25">
        <v>1</v>
      </c>
      <c r="U313" s="25">
        <v>1</v>
      </c>
      <c r="V313" s="25">
        <v>1</v>
      </c>
      <c r="W313" s="25">
        <v>1</v>
      </c>
      <c r="X313" s="25">
        <v>1</v>
      </c>
      <c r="Y313" s="25">
        <v>1</v>
      </c>
      <c r="Z313" s="25">
        <v>1</v>
      </c>
      <c r="AA313" s="25" cm="1">
        <f t="array" ref="AA313">_xlfn.LET(_xlpm.기본_색인번호, 2,
_xlpm.추가_색인번호, 3,
_xlpm.개별보정치, T313,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313" s="25" cm="1">
        <f t="array" ref="AB313">_xlfn.LET(_xlpm.기본_색인번호, 3,
_xlpm.추가_색인번호, 4,
_xlpm.개별보정치, U313,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3" s="25" cm="1">
        <f t="array" ref="AC313">_xlfn.LET(_xlpm.기본_색인번호, 4,
_xlpm.추가_색인번호, 5,
_xlpm.개별보정치, V313,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3" s="25" cm="1">
        <f t="array" ref="AD313">_xlfn.LET(_xlpm.기본_색인번호, 5,
_xlpm.추가_색인번호, 6,
_xlpm.개별보정치, W313,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E313" s="25" cm="1">
        <f t="array" ref="AE313">_xlfn.LET(_xlpm.기본_색인번호, 6,
_xlpm.추가_색인번호, 7,
_xlpm.개별보정치, X313,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F313" s="25" cm="1">
        <f t="array" ref="AF313">_xlfn.LET(_xlpm.기본_색인번호, 7,
_xlpm.추가_색인번호, 8,
_xlpm.개별보정치, Y313,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3" s="27" cm="1">
        <f t="array" ref="AG313">_xlfn.LET(_xlpm.기본_색인번호, 8,
_xlpm.추가_색인번호, 9,
_xlpm.개별보정치, Z313,
_xlpm.패턴보정치, VLOOKUP($G313, Factor!$B$5:$I$51, _xlpm.기본_색인번호, 0),
_xlpm.소모탄환보정치, VLOOKUP($H313, Factor!$T$5:$AA$51, _xlpm.기본_색인번호, 0),
_xlpm.지형보정치, VLOOKUP($I313, Factor!$K$12:$R$13, _xlpm.기본_색인번호, 0),
_xlpm.공격속성보정치, VLOOKUP($J313, Factor!$K$5:$R$7, _xlpm.기본_색인번호, 0),
_xlpm.피해범위보정치, INDEX(Factor!$AN$5:$AV$51, _xlfn.XMATCH(IF(OR($G313="blast", $G313="curved",  $G313= "debuff"), $L313, 0), Factor!$AN$5:$AN$51, -1), _xlpm.추가_색인번호)-IF(AND(OR($G313="blast", $G313="curved", $G313= "debuff"), MOD($L313,1)&lt;&gt;0),INDEX(Factor!$AN$5:$AV$51, _xlfn.XMATCH(IF(OR($G313="blast", $G313="curved", $G313= "debuff"), $L313, 0), Factor!$AN$5:$AN$51, -1), 2)*MOD($L313,1)*10,0),
_xlpm.상태이상보정치, VLOOKUP(IF($G313 = "debuff", $M313, "null"), Factor!$AX$5:$BE$51, _xlpm.기본_색인번호, 0),
_xlpm.지속시간보정치, INDEX(Factor!$BG$5:$BO$51, _xlfn.XMATCH(IF(OR($G313 ="debuff", $G313 = "shot", $G313 = "pierce"), $O313, 0), Factor!$BG$5:$BG$51, -1), _xlpm.추가_색인번호)-IF(AND(OR($G313 ="debuff", $G313 = "shot", $G313 = "pierce"), MOD($O313, 1)&lt;&gt;0), 10*MOD($O313, 1)*INDEX(Factor!$BG$5:$BO$51, _xlfn.XMATCH(IF(OR($G313 ="debuff", $G313 = "shot", $G313 = "pierce"), $O313, 0), Factor!$BG$5:$BG$51, -1), 2), 0),
_xlpm.탄환개수보정치, VLOOKUP(IF(OR($G313 = "curved", $G313 = "shot"), $Q313, 1), Factor!$BQ$5:$BX$51, _xlpm.기본_색인번호, 0),
_xlpm.상태이상탄환생성위치보정치, IF($G313 = "debuff", VLOOKUP($R313, Factor!$K$18:$R$19, _xlpm.기본_색인번호, 0),1),
_xlpm.상태이상탄환형태보정치, IF($G313 = "debuff", VLOOKUP($S313, Factor!$K$24:$R$25, _xlpm.기본_색인번호, 0),1),
_xlpm.가격보정치, INDEX(Factor!$AE$5:$AL$51, _xlfn.XMATCH($F313,Factor!$AE$5:$AE$51, -1), _xlpm.기본_색인번호),
_xlpm.구경보정치, VLOOKUP($D313,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</row>
    <row r="314" spans="1:33" ht="15.75" customHeight="1">
      <c r="A314" s="28" t="str">
        <f>"weapon_"&amp;G314&amp;"_"&amp;VLOOKUP(H314, Factor!$T$5:$AB$7, 9, 0)&amp;"_"&amp;IF(COUNTIFS($G$4:G313, G314, $H$4:H313, H314)+1&gt;=100, COUNTIFS($G$4:G313, G314, $H$4:H313, H314)+1,IF(COUNTIFS($G$4:G313, G314, $H$4:H313, H314)+1&gt;=10, "0"&amp;COUNTIFS($G$4:G313, G314, $H$4:H313, H314)+1, "00"&amp;COUNTIFS($G$4:G313, G314, $H$4:H313, H314)+1))</f>
        <v>weapon_curved_Sh_013</v>
      </c>
      <c r="B314" s="37" t="str">
        <f t="shared" si="5"/>
        <v>녹슨 155mm곡사포</v>
      </c>
      <c r="C314" s="37" t="s">
        <v>239</v>
      </c>
      <c r="D314" s="37" t="s">
        <v>266</v>
      </c>
      <c r="E314" s="37" t="s">
        <v>199</v>
      </c>
      <c r="F314" s="29">
        <f>VLOOKUP(C314, Factor!$AD$5:$AE$15, 2, 0)</f>
        <v>0</v>
      </c>
      <c r="G314" s="29" t="str">
        <f>VLOOKUP(E314, Factor!$CL$5:$CV$50, 2, 0)</f>
        <v>curved</v>
      </c>
      <c r="H314" s="29" t="str">
        <f>VLOOKUP(E314, Factor!$CL$5:$CV$50, 3, 0)</f>
        <v>shell</v>
      </c>
      <c r="I314" s="29" t="str">
        <f>VLOOKUP(E314, Factor!$CL$5:$CV$50, 4, 0)</f>
        <v>L</v>
      </c>
      <c r="J314" s="29" t="str">
        <f>VLOOKUP(E314, Factor!$CL$5:$CV$50, 5, 0)</f>
        <v>normal</v>
      </c>
      <c r="K314" s="29">
        <v>1</v>
      </c>
      <c r="L314" s="29">
        <f>VLOOKUP(E314, Factor!$CL$5:$CV$50, 6, 0)*K314*VLOOKUP(D314, Factor!$BZ$5:$CJ$49, 9, 0)</f>
        <v>32</v>
      </c>
      <c r="M314" s="29" t="str">
        <f>VLOOKUP(E314, Factor!$CL$5:$CV$50, 7, 0)</f>
        <v>null</v>
      </c>
      <c r="N314" s="29">
        <v>1</v>
      </c>
      <c r="O314" s="29">
        <f>VLOOKUP(E314, Factor!$CL$5:$CV$50, 8, 0)*N314*VLOOKUP(D314, Factor!$BZ$5:$CJ$49, 10, 0)</f>
        <v>0</v>
      </c>
      <c r="P314" s="29">
        <v>1</v>
      </c>
      <c r="Q314" s="29">
        <f>VLOOKUP(E314, Factor!$CL$5:$CV$50, 9, 0)*P314*VLOOKUP(D314, Factor!$BZ$5:$CJ$49, 11, 0)</f>
        <v>8</v>
      </c>
      <c r="R314" s="29" t="str">
        <f>VLOOKUP(E314, Factor!$CL$5:$CV$50, 10, 0)</f>
        <v>null</v>
      </c>
      <c r="S314" s="29" t="str">
        <f>VLOOKUP(E314, Factor!$CL$5:$CV$50, 11, 0)</f>
        <v>null</v>
      </c>
      <c r="T314" s="29">
        <v>1</v>
      </c>
      <c r="U314" s="29">
        <v>1</v>
      </c>
      <c r="V314" s="29">
        <v>1</v>
      </c>
      <c r="W314" s="29">
        <v>1</v>
      </c>
      <c r="X314" s="29">
        <v>1</v>
      </c>
      <c r="Y314" s="29">
        <v>1</v>
      </c>
      <c r="Z314" s="29">
        <v>1</v>
      </c>
      <c r="AA314" s="29" cm="1">
        <f t="array" ref="AA314">_xlfn.LET(_xlpm.기본_색인번호, 2,
_xlpm.추가_색인번호, 3,
_xlpm.개별보정치, T314,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314" s="29" cm="1">
        <f t="array" ref="AB314">_xlfn.LET(_xlpm.기본_색인번호, 3,
_xlpm.추가_색인번호, 4,
_xlpm.개별보정치, U314,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4" s="29" cm="1">
        <f t="array" ref="AC314">_xlfn.LET(_xlpm.기본_색인번호, 4,
_xlpm.추가_색인번호, 5,
_xlpm.개별보정치, V314,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4" s="29" cm="1">
        <f t="array" ref="AD314">_xlfn.LET(_xlpm.기본_색인번호, 5,
_xlpm.추가_색인번호, 6,
_xlpm.개별보정치, W314,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E314" s="29" cm="1">
        <f t="array" ref="AE314">_xlfn.LET(_xlpm.기본_색인번호, 6,
_xlpm.추가_색인번호, 7,
_xlpm.개별보정치, X314,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F314" s="29" cm="1">
        <f t="array" ref="AF314">_xlfn.LET(_xlpm.기본_색인번호, 7,
_xlpm.추가_색인번호, 8,
_xlpm.개별보정치, Y314,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4" s="30" cm="1">
        <f t="array" ref="AG314">_xlfn.LET(_xlpm.기본_색인번호, 8,
_xlpm.추가_색인번호, 9,
_xlpm.개별보정치, Z314,
_xlpm.패턴보정치, VLOOKUP($G314, Factor!$B$5:$I$51, _xlpm.기본_색인번호, 0),
_xlpm.소모탄환보정치, VLOOKUP($H314, Factor!$T$5:$AA$51, _xlpm.기본_색인번호, 0),
_xlpm.지형보정치, VLOOKUP($I314, Factor!$K$12:$R$13, _xlpm.기본_색인번호, 0),
_xlpm.공격속성보정치, VLOOKUP($J314, Factor!$K$5:$R$7, _xlpm.기본_색인번호, 0),
_xlpm.피해범위보정치, INDEX(Factor!$AN$5:$AV$51, _xlfn.XMATCH(IF(OR($G314="blast", $G314="curved",  $G314= "debuff"), $L314, 0), Factor!$AN$5:$AN$51, -1), _xlpm.추가_색인번호)-IF(AND(OR($G314="blast", $G314="curved", $G314= "debuff"), MOD($L314,1)&lt;&gt;0),INDEX(Factor!$AN$5:$AV$51, _xlfn.XMATCH(IF(OR($G314="blast", $G314="curved", $G314= "debuff"), $L314, 0), Factor!$AN$5:$AN$51, -1), 2)*MOD($L314,1)*10,0),
_xlpm.상태이상보정치, VLOOKUP(IF($G314 = "debuff", $M314, "null"), Factor!$AX$5:$BE$51, _xlpm.기본_색인번호, 0),
_xlpm.지속시간보정치, INDEX(Factor!$BG$5:$BO$51, _xlfn.XMATCH(IF(OR($G314 ="debuff", $G314 = "shot", $G314 = "pierce"), $O314, 0), Factor!$BG$5:$BG$51, -1), _xlpm.추가_색인번호)-IF(AND(OR($G314 ="debuff", $G314 = "shot", $G314 = "pierce"), MOD($O314, 1)&lt;&gt;0), 10*MOD($O314, 1)*INDEX(Factor!$BG$5:$BO$51, _xlfn.XMATCH(IF(OR($G314 ="debuff", $G314 = "shot", $G314 = "pierce"), $O314, 0), Factor!$BG$5:$BG$51, -1), 2), 0),
_xlpm.탄환개수보정치, VLOOKUP(IF(OR($G314 = "curved", $G314 = "shot"), $Q314, 1), Factor!$BQ$5:$BX$51, _xlpm.기본_색인번호, 0),
_xlpm.상태이상탄환생성위치보정치, IF($G314 = "debuff", VLOOKUP($R314, Factor!$K$18:$R$19, _xlpm.기본_색인번호, 0),1),
_xlpm.상태이상탄환형태보정치, IF($G314 = "debuff", VLOOKUP($S314, Factor!$K$24:$R$25, _xlpm.기본_색인번호, 0),1),
_xlpm.가격보정치, INDEX(Factor!$AE$5:$AL$51, _xlfn.XMATCH($F314,Factor!$AE$5:$AE$51, -1), _xlpm.기본_색인번호),
_xlpm.구경보정치, VLOOKUP($D314,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</row>
    <row r="315" spans="1:33" ht="15.75" customHeight="1">
      <c r="A315" s="24" t="str">
        <f>"weapon_"&amp;G315&amp;"_"&amp;VLOOKUP(H315, Factor!$T$5:$AB$7, 9, 0)&amp;"_"&amp;IF(COUNTIFS($G$4:G314, G315, $H$4:H314, H315)+1&gt;=100, COUNTIFS($G$4:G314, G315, $H$4:H314, H315)+1,IF(COUNTIFS($G$4:G314, G315, $H$4:H314, H315)+1&gt;=10, "0"&amp;COUNTIFS($G$4:G314, G315, $H$4:H314, H315)+1, "00"&amp;COUNTIFS($G$4:G314, G315, $H$4:H314, H315)+1))</f>
        <v>weapon_curved_Sh_014</v>
      </c>
      <c r="B315" s="36" t="str">
        <f t="shared" si="5"/>
        <v>T1 105mm곡사포</v>
      </c>
      <c r="C315" s="36" t="s">
        <v>237</v>
      </c>
      <c r="D315" s="36" t="s">
        <v>265</v>
      </c>
      <c r="E315" s="36" t="s">
        <v>199</v>
      </c>
      <c r="F315" s="25">
        <f>VLOOKUP(C315, Factor!$AD$5:$AE$15, 2, 0)</f>
        <v>1000</v>
      </c>
      <c r="G315" s="26" t="str">
        <f>VLOOKUP(E315, Factor!$CL$5:$CV$50, 2, 0)</f>
        <v>curved</v>
      </c>
      <c r="H315" s="25" t="str">
        <f>VLOOKUP(E315, Factor!$CL$5:$CV$50, 3, 0)</f>
        <v>shell</v>
      </c>
      <c r="I315" s="25" t="str">
        <f>VLOOKUP(E315, Factor!$CL$5:$CV$50, 4, 0)</f>
        <v>L</v>
      </c>
      <c r="J315" s="25" t="str">
        <f>VLOOKUP(E315, Factor!$CL$5:$CV$50, 5, 0)</f>
        <v>normal</v>
      </c>
      <c r="K315" s="25">
        <v>1</v>
      </c>
      <c r="L315" s="25">
        <f>VLOOKUP(E315, Factor!$CL$5:$CV$50, 6, 0)*K315*VLOOKUP(D315, Factor!$BZ$5:$CJ$49, 9, 0)</f>
        <v>32</v>
      </c>
      <c r="M315" s="25" t="str">
        <f>VLOOKUP(E315, Factor!$CL$5:$CV$50, 7, 0)</f>
        <v>null</v>
      </c>
      <c r="N315" s="25">
        <v>1</v>
      </c>
      <c r="O315" s="25">
        <f>VLOOKUP(E315, Factor!$CL$5:$CV$50, 8, 0)*N315*VLOOKUP(D315, Factor!$BZ$5:$CJ$49, 10, 0)</f>
        <v>0</v>
      </c>
      <c r="P315" s="25">
        <v>1</v>
      </c>
      <c r="Q315" s="25">
        <f>VLOOKUP(E315, Factor!$CL$5:$CV$50, 9, 0)*P315*VLOOKUP(D315, Factor!$BZ$5:$CJ$49, 11, 0)</f>
        <v>8</v>
      </c>
      <c r="R315" s="25" t="str">
        <f>VLOOKUP(E315, Factor!$CL$5:$CV$50, 10, 0)</f>
        <v>null</v>
      </c>
      <c r="S315" s="25" t="str">
        <f>VLOOKUP(E315, Factor!$CL$5:$CV$50, 11, 0)</f>
        <v>null</v>
      </c>
      <c r="T315" s="25">
        <v>1</v>
      </c>
      <c r="U315" s="25">
        <v>1</v>
      </c>
      <c r="V315" s="25">
        <v>1</v>
      </c>
      <c r="W315" s="25">
        <v>1</v>
      </c>
      <c r="X315" s="25">
        <v>1</v>
      </c>
      <c r="Y315" s="25">
        <v>1</v>
      </c>
      <c r="Z315" s="25">
        <v>1</v>
      </c>
      <c r="AA315" s="25" cm="1">
        <f t="array" ref="AA315">_xlfn.LET(_xlpm.기본_색인번호, 2,
_xlpm.추가_색인번호, 3,
_xlpm.개별보정치, T315,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315" s="25" cm="1">
        <f t="array" ref="AB315">_xlfn.LET(_xlpm.기본_색인번호, 3,
_xlpm.추가_색인번호, 4,
_xlpm.개별보정치, U315,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5" s="25" cm="1">
        <f t="array" ref="AC315">_xlfn.LET(_xlpm.기본_색인번호, 4,
_xlpm.추가_색인번호, 5,
_xlpm.개별보정치, V315,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5" s="25" cm="1">
        <f t="array" ref="AD315">_xlfn.LET(_xlpm.기본_색인번호, 5,
_xlpm.추가_색인번호, 6,
_xlpm.개별보정치, W315,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315" s="25" cm="1">
        <f t="array" ref="AE315">_xlfn.LET(_xlpm.기본_색인번호, 6,
_xlpm.추가_색인번호, 7,
_xlpm.개별보정치, X315,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315" s="25" cm="1">
        <f t="array" ref="AF315">_xlfn.LET(_xlpm.기본_색인번호, 7,
_xlpm.추가_색인번호, 8,
_xlpm.개별보정치, Y315,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5" s="27" cm="1">
        <f t="array" ref="AG315">_xlfn.LET(_xlpm.기본_색인번호, 8,
_xlpm.추가_색인번호, 9,
_xlpm.개별보정치, Z315,
_xlpm.패턴보정치, VLOOKUP($G315, Factor!$B$5:$I$51, _xlpm.기본_색인번호, 0),
_xlpm.소모탄환보정치, VLOOKUP($H315, Factor!$T$5:$AA$51, _xlpm.기본_색인번호, 0),
_xlpm.지형보정치, VLOOKUP($I315, Factor!$K$12:$R$13, _xlpm.기본_색인번호, 0),
_xlpm.공격속성보정치, VLOOKUP($J315, Factor!$K$5:$R$7, _xlpm.기본_색인번호, 0),
_xlpm.피해범위보정치, INDEX(Factor!$AN$5:$AV$51, _xlfn.XMATCH(IF(OR($G315="blast", $G315="curved",  $G315= "debuff"), $L315, 0), Factor!$AN$5:$AN$51, -1), _xlpm.추가_색인번호)-IF(AND(OR($G315="blast", $G315="curved", $G315= "debuff"), MOD($L315,1)&lt;&gt;0),INDEX(Factor!$AN$5:$AV$51, _xlfn.XMATCH(IF(OR($G315="blast", $G315="curved", $G315= "debuff"), $L315, 0), Factor!$AN$5:$AN$51, -1), 2)*MOD($L315,1)*10,0),
_xlpm.상태이상보정치, VLOOKUP(IF($G315 = "debuff", $M315, "null"), Factor!$AX$5:$BE$51, _xlpm.기본_색인번호, 0),
_xlpm.지속시간보정치, INDEX(Factor!$BG$5:$BO$51, _xlfn.XMATCH(IF(OR($G315 ="debuff", $G315 = "shot", $G315 = "pierce"), $O315, 0), Factor!$BG$5:$BG$51, -1), _xlpm.추가_색인번호)-IF(AND(OR($G315 ="debuff", $G315 = "shot", $G315 = "pierce"), MOD($O315, 1)&lt;&gt;0), 10*MOD($O315, 1)*INDEX(Factor!$BG$5:$BO$51, _xlfn.XMATCH(IF(OR($G315 ="debuff", $G315 = "shot", $G315 = "pierce"), $O315, 0), Factor!$BG$5:$BG$51, -1), 2), 0),
_xlpm.탄환개수보정치, VLOOKUP(IF(OR($G315 = "curved", $G315 = "shot"), $Q315, 1), Factor!$BQ$5:$BX$51, _xlpm.기본_색인번호, 0),
_xlpm.상태이상탄환생성위치보정치, IF($G315 = "debuff", VLOOKUP($R315, Factor!$K$18:$R$19, _xlpm.기본_색인번호, 0),1),
_xlpm.상태이상탄환형태보정치, IF($G315 = "debuff", VLOOKUP($S315, Factor!$K$24:$R$25, _xlpm.기본_색인번호, 0),1),
_xlpm.가격보정치, INDEX(Factor!$AE$5:$AL$51, _xlfn.XMATCH($F315,Factor!$AE$5:$AE$51, -1), _xlpm.기본_색인번호),
_xlpm.구경보정치, VLOOKUP($D315,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316" spans="1:33" ht="15.75" customHeight="1">
      <c r="A316" s="28" t="str">
        <f>"weapon_"&amp;G316&amp;"_"&amp;VLOOKUP(H316, Factor!$T$5:$AB$7, 9, 0)&amp;"_"&amp;IF(COUNTIFS($G$4:G315, G316, $H$4:H315, H316)+1&gt;=100, COUNTIFS($G$4:G315, G316, $H$4:H315, H316)+1,IF(COUNTIFS($G$4:G315, G316, $H$4:H315, H316)+1&gt;=10, "0"&amp;COUNTIFS($G$4:G315, G316, $H$4:H315, H316)+1, "00"&amp;COUNTIFS($G$4:G315, G316, $H$4:H315, H316)+1))</f>
        <v>weapon_curved_Sh_015</v>
      </c>
      <c r="B316" s="37" t="str">
        <f t="shared" si="5"/>
        <v>T1 155mm곡사포</v>
      </c>
      <c r="C316" s="37" t="s">
        <v>237</v>
      </c>
      <c r="D316" s="37" t="s">
        <v>266</v>
      </c>
      <c r="E316" s="37" t="s">
        <v>199</v>
      </c>
      <c r="F316" s="29">
        <f>VLOOKUP(C316, Factor!$AD$5:$AE$15, 2, 0)</f>
        <v>1000</v>
      </c>
      <c r="G316" s="29" t="str">
        <f>VLOOKUP(E316, Factor!$CL$5:$CV$50, 2, 0)</f>
        <v>curved</v>
      </c>
      <c r="H316" s="29" t="str">
        <f>VLOOKUP(E316, Factor!$CL$5:$CV$50, 3, 0)</f>
        <v>shell</v>
      </c>
      <c r="I316" s="29" t="str">
        <f>VLOOKUP(E316, Factor!$CL$5:$CV$50, 4, 0)</f>
        <v>L</v>
      </c>
      <c r="J316" s="29" t="str">
        <f>VLOOKUP(E316, Factor!$CL$5:$CV$50, 5, 0)</f>
        <v>normal</v>
      </c>
      <c r="K316" s="29">
        <v>1</v>
      </c>
      <c r="L316" s="29">
        <f>VLOOKUP(E316, Factor!$CL$5:$CV$50, 6, 0)*K316*VLOOKUP(D316, Factor!$BZ$5:$CJ$49, 9, 0)</f>
        <v>32</v>
      </c>
      <c r="M316" s="29" t="str">
        <f>VLOOKUP(E316, Factor!$CL$5:$CV$50, 7, 0)</f>
        <v>null</v>
      </c>
      <c r="N316" s="29">
        <v>1</v>
      </c>
      <c r="O316" s="29">
        <f>VLOOKUP(E316, Factor!$CL$5:$CV$50, 8, 0)*N316*VLOOKUP(D316, Factor!$BZ$5:$CJ$49, 10, 0)</f>
        <v>0</v>
      </c>
      <c r="P316" s="29">
        <v>1</v>
      </c>
      <c r="Q316" s="29">
        <f>VLOOKUP(E316, Factor!$CL$5:$CV$50, 9, 0)*P316*VLOOKUP(D316, Factor!$BZ$5:$CJ$49, 11, 0)</f>
        <v>8</v>
      </c>
      <c r="R316" s="29" t="str">
        <f>VLOOKUP(E316, Factor!$CL$5:$CV$50, 10, 0)</f>
        <v>null</v>
      </c>
      <c r="S316" s="29" t="str">
        <f>VLOOKUP(E316, Factor!$CL$5:$CV$50, 11, 0)</f>
        <v>null</v>
      </c>
      <c r="T316" s="29">
        <v>1</v>
      </c>
      <c r="U316" s="29">
        <v>1</v>
      </c>
      <c r="V316" s="29">
        <v>1</v>
      </c>
      <c r="W316" s="29">
        <v>1</v>
      </c>
      <c r="X316" s="29">
        <v>1</v>
      </c>
      <c r="Y316" s="29">
        <v>1</v>
      </c>
      <c r="Z316" s="29">
        <v>1</v>
      </c>
      <c r="AA316" s="29" cm="1">
        <f t="array" ref="AA316">_xlfn.LET(_xlpm.기본_색인번호, 2,
_xlpm.추가_색인번호, 3,
_xlpm.개별보정치, T316,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3200</v>
      </c>
      <c r="AB316" s="29" cm="1">
        <f t="array" ref="AB316">_xlfn.LET(_xlpm.기본_색인번호, 3,
_xlpm.추가_색인번호, 4,
_xlpm.개별보정치, U316,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6" s="29" cm="1">
        <f t="array" ref="AC316">_xlfn.LET(_xlpm.기본_색인번호, 4,
_xlpm.추가_색인번호, 5,
_xlpm.개별보정치, V316,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6" s="29" cm="1">
        <f t="array" ref="AD316">_xlfn.LET(_xlpm.기본_색인번호, 5,
_xlpm.추가_색인번호, 6,
_xlpm.개별보정치, W316,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E316" s="29" cm="1">
        <f t="array" ref="AE316">_xlfn.LET(_xlpm.기본_색인번호, 6,
_xlpm.추가_색인번호, 7,
_xlpm.개별보정치, X316,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  <c r="AF316" s="29" cm="1">
        <f t="array" ref="AF316">_xlfn.LET(_xlpm.기본_색인번호, 7,
_xlpm.추가_색인번호, 8,
_xlpm.개별보정치, Y316,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6" s="30" cm="1">
        <f t="array" ref="AG316">_xlfn.LET(_xlpm.기본_색인번호, 8,
_xlpm.추가_색인번호, 9,
_xlpm.개별보정치, Z316,
_xlpm.패턴보정치, VLOOKUP($G316, Factor!$B$5:$I$51, _xlpm.기본_색인번호, 0),
_xlpm.소모탄환보정치, VLOOKUP($H316, Factor!$T$5:$AA$51, _xlpm.기본_색인번호, 0),
_xlpm.지형보정치, VLOOKUP($I316, Factor!$K$12:$R$13, _xlpm.기본_색인번호, 0),
_xlpm.공격속성보정치, VLOOKUP($J316, Factor!$K$5:$R$7, _xlpm.기본_색인번호, 0),
_xlpm.피해범위보정치, INDEX(Factor!$AN$5:$AV$51, _xlfn.XMATCH(IF(OR($G316="blast", $G316="curved",  $G316= "debuff"), $L316, 0), Factor!$AN$5:$AN$51, -1), _xlpm.추가_색인번호)-IF(AND(OR($G316="blast", $G316="curved", $G316= "debuff"), MOD($L316,1)&lt;&gt;0),INDEX(Factor!$AN$5:$AV$51, _xlfn.XMATCH(IF(OR($G316="blast", $G316="curved", $G316= "debuff"), $L316, 0), Factor!$AN$5:$AN$51, -1), 2)*MOD($L316,1)*10,0),
_xlpm.상태이상보정치, VLOOKUP(IF($G316 = "debuff", $M316, "null"), Factor!$AX$5:$BE$51, _xlpm.기본_색인번호, 0),
_xlpm.지속시간보정치, INDEX(Factor!$BG$5:$BO$51, _xlfn.XMATCH(IF(OR($G316 ="debuff", $G316 = "shot", $G316 = "pierce"), $O316, 0), Factor!$BG$5:$BG$51, -1), _xlpm.추가_색인번호)-IF(AND(OR($G316 ="debuff", $G316 = "shot", $G316 = "pierce"), MOD($O316, 1)&lt;&gt;0), 10*MOD($O316, 1)*INDEX(Factor!$BG$5:$BO$51, _xlfn.XMATCH(IF(OR($G316 ="debuff", $G316 = "shot", $G316 = "pierce"), $O316, 0), Factor!$BG$5:$BG$51, -1), 2), 0),
_xlpm.탄환개수보정치, VLOOKUP(IF(OR($G316 = "curved", $G316 = "shot"), $Q316, 1), Factor!$BQ$5:$BX$51, _xlpm.기본_색인번호, 0),
_xlpm.상태이상탄환생성위치보정치, IF($G316 = "debuff", VLOOKUP($R316, Factor!$K$18:$R$19, _xlpm.기본_색인번호, 0),1),
_xlpm.상태이상탄환형태보정치, IF($G316 = "debuff", VLOOKUP($S316, Factor!$K$24:$R$25, _xlpm.기본_색인번호, 0),1),
_xlpm.가격보정치, INDEX(Factor!$AE$5:$AL$51, _xlfn.XMATCH($F316,Factor!$AE$5:$AE$51, -1), _xlpm.기본_색인번호),
_xlpm.구경보정치, VLOOKUP($D316,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224</v>
      </c>
    </row>
    <row r="317" spans="1:33" ht="15.75" customHeight="1">
      <c r="A317" s="24" t="str">
        <f>"weapon_"&amp;G317&amp;"_"&amp;VLOOKUP(H317, Factor!$T$5:$AB$7, 9, 0)&amp;"_"&amp;IF(COUNTIFS($G$4:G316, G317, $H$4:H316, H317)+1&gt;=100, COUNTIFS($G$4:G316, G317, $H$4:H316, H317)+1,IF(COUNTIFS($G$4:G316, G317, $H$4:H316, H317)+1&gt;=10, "0"&amp;COUNTIFS($G$4:G316, G317, $H$4:H316, H317)+1, "00"&amp;COUNTIFS($G$4:G316, G317, $H$4:H316, H317)+1))</f>
        <v>weapon_curved_Sh_016</v>
      </c>
      <c r="B317" s="36" t="str">
        <f t="shared" si="5"/>
        <v>T2 105mm곡사포</v>
      </c>
      <c r="C317" s="36" t="s">
        <v>155</v>
      </c>
      <c r="D317" s="36" t="s">
        <v>265</v>
      </c>
      <c r="E317" s="36" t="s">
        <v>199</v>
      </c>
      <c r="F317" s="25">
        <f>VLOOKUP(C317, Factor!$AD$5:$AE$15, 2, 0)</f>
        <v>2000</v>
      </c>
      <c r="G317" s="26" t="str">
        <f>VLOOKUP(E317, Factor!$CL$5:$CV$50, 2, 0)</f>
        <v>curved</v>
      </c>
      <c r="H317" s="25" t="str">
        <f>VLOOKUP(E317, Factor!$CL$5:$CV$50, 3, 0)</f>
        <v>shell</v>
      </c>
      <c r="I317" s="25" t="str">
        <f>VLOOKUP(E317, Factor!$CL$5:$CV$50, 4, 0)</f>
        <v>L</v>
      </c>
      <c r="J317" s="25" t="str">
        <f>VLOOKUP(E317, Factor!$CL$5:$CV$50, 5, 0)</f>
        <v>normal</v>
      </c>
      <c r="K317" s="25">
        <v>1</v>
      </c>
      <c r="L317" s="25">
        <f>VLOOKUP(E317, Factor!$CL$5:$CV$50, 6, 0)*K317*VLOOKUP(D317, Factor!$BZ$5:$CJ$49, 9, 0)</f>
        <v>32</v>
      </c>
      <c r="M317" s="25" t="str">
        <f>VLOOKUP(E317, Factor!$CL$5:$CV$50, 7, 0)</f>
        <v>null</v>
      </c>
      <c r="N317" s="25">
        <v>1</v>
      </c>
      <c r="O317" s="25">
        <f>VLOOKUP(E317, Factor!$CL$5:$CV$50, 8, 0)*N317*VLOOKUP(D317, Factor!$BZ$5:$CJ$49, 10, 0)</f>
        <v>0</v>
      </c>
      <c r="P317" s="25">
        <v>1</v>
      </c>
      <c r="Q317" s="25">
        <f>VLOOKUP(E317, Factor!$CL$5:$CV$50, 9, 0)*P317*VLOOKUP(D317, Factor!$BZ$5:$CJ$49, 11, 0)</f>
        <v>8</v>
      </c>
      <c r="R317" s="25" t="str">
        <f>VLOOKUP(E317, Factor!$CL$5:$CV$50, 10, 0)</f>
        <v>null</v>
      </c>
      <c r="S317" s="25" t="str">
        <f>VLOOKUP(E317, Factor!$CL$5:$CV$50, 11, 0)</f>
        <v>null</v>
      </c>
      <c r="T317" s="25">
        <v>1</v>
      </c>
      <c r="U317" s="25">
        <v>1</v>
      </c>
      <c r="V317" s="25">
        <v>1</v>
      </c>
      <c r="W317" s="25">
        <v>1</v>
      </c>
      <c r="X317" s="25">
        <v>1</v>
      </c>
      <c r="Y317" s="25">
        <v>1</v>
      </c>
      <c r="Z317" s="25">
        <v>1</v>
      </c>
      <c r="AA317" s="25" cm="1">
        <f t="array" ref="AA317">_xlfn.LET(_xlpm.기본_색인번호, 2,
_xlpm.추가_색인번호, 3,
_xlpm.개별보정치, T317,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317" s="25" cm="1">
        <f t="array" ref="AB317">_xlfn.LET(_xlpm.기본_색인번호, 3,
_xlpm.추가_색인번호, 4,
_xlpm.개별보정치, U317,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7" s="25" cm="1">
        <f t="array" ref="AC317">_xlfn.LET(_xlpm.기본_색인번호, 4,
_xlpm.추가_색인번호, 5,
_xlpm.개별보정치, V317,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7" s="25" cm="1">
        <f t="array" ref="AD317">_xlfn.LET(_xlpm.기본_색인번호, 5,
_xlpm.추가_색인번호, 6,
_xlpm.개별보정치, W317,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E317" s="25" cm="1">
        <f t="array" ref="AE317">_xlfn.LET(_xlpm.기본_색인번호, 6,
_xlpm.추가_색인번호, 7,
_xlpm.개별보정치, X317,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F317" s="25" cm="1">
        <f t="array" ref="AF317">_xlfn.LET(_xlpm.기본_색인번호, 7,
_xlpm.추가_색인번호, 8,
_xlpm.개별보정치, Y317,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7" s="27" cm="1">
        <f t="array" ref="AG317">_xlfn.LET(_xlpm.기본_색인번호, 8,
_xlpm.추가_색인번호, 9,
_xlpm.개별보정치, Z317,
_xlpm.패턴보정치, VLOOKUP($G317, Factor!$B$5:$I$51, _xlpm.기본_색인번호, 0),
_xlpm.소모탄환보정치, VLOOKUP($H317, Factor!$T$5:$AA$51, _xlpm.기본_색인번호, 0),
_xlpm.지형보정치, VLOOKUP($I317, Factor!$K$12:$R$13, _xlpm.기본_색인번호, 0),
_xlpm.공격속성보정치, VLOOKUP($J317, Factor!$K$5:$R$7, _xlpm.기본_색인번호, 0),
_xlpm.피해범위보정치, INDEX(Factor!$AN$5:$AV$51, _xlfn.XMATCH(IF(OR($G317="blast", $G317="curved",  $G317= "debuff"), $L317, 0), Factor!$AN$5:$AN$51, -1), _xlpm.추가_색인번호)-IF(AND(OR($G317="blast", $G317="curved", $G317= "debuff"), MOD($L317,1)&lt;&gt;0),INDEX(Factor!$AN$5:$AV$51, _xlfn.XMATCH(IF(OR($G317="blast", $G317="curved", $G317= "debuff"), $L317, 0), Factor!$AN$5:$AN$51, -1), 2)*MOD($L317,1)*10,0),
_xlpm.상태이상보정치, VLOOKUP(IF($G317 = "debuff", $M317, "null"), Factor!$AX$5:$BE$51, _xlpm.기본_색인번호, 0),
_xlpm.지속시간보정치, INDEX(Factor!$BG$5:$BO$51, _xlfn.XMATCH(IF(OR($G317 ="debuff", $G317 = "shot", $G317 = "pierce"), $O317, 0), Factor!$BG$5:$BG$51, -1), _xlpm.추가_색인번호)-IF(AND(OR($G317 ="debuff", $G317 = "shot", $G317 = "pierce"), MOD($O317, 1)&lt;&gt;0), 10*MOD($O317, 1)*INDEX(Factor!$BG$5:$BO$51, _xlfn.XMATCH(IF(OR($G317 ="debuff", $G317 = "shot", $G317 = "pierce"), $O317, 0), Factor!$BG$5:$BG$51, -1), 2), 0),
_xlpm.탄환개수보정치, VLOOKUP(IF(OR($G317 = "curved", $G317 = "shot"), $Q317, 1), Factor!$BQ$5:$BX$51, _xlpm.기본_색인번호, 0),
_xlpm.상태이상탄환생성위치보정치, IF($G317 = "debuff", VLOOKUP($R317, Factor!$K$18:$R$19, _xlpm.기본_색인번호, 0),1),
_xlpm.상태이상탄환형태보정치, IF($G317 = "debuff", VLOOKUP($S317, Factor!$K$24:$R$25, _xlpm.기본_색인번호, 0),1),
_xlpm.가격보정치, INDEX(Factor!$AE$5:$AL$51, _xlfn.XMATCH($F317,Factor!$AE$5:$AE$51, -1), _xlpm.기본_색인번호),
_xlpm.구경보정치, VLOOKUP($D317,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</row>
    <row r="318" spans="1:33" ht="15.75" customHeight="1">
      <c r="A318" s="28" t="str">
        <f>"weapon_"&amp;G318&amp;"_"&amp;VLOOKUP(H318, Factor!$T$5:$AB$7, 9, 0)&amp;"_"&amp;IF(COUNTIFS($G$4:G317, G318, $H$4:H317, H318)+1&gt;=100, COUNTIFS($G$4:G317, G318, $H$4:H317, H318)+1,IF(COUNTIFS($G$4:G317, G318, $H$4:H317, H318)+1&gt;=10, "0"&amp;COUNTIFS($G$4:G317, G318, $H$4:H317, H318)+1, "00"&amp;COUNTIFS($G$4:G317, G318, $H$4:H317, H318)+1))</f>
        <v>weapon_curved_Sh_017</v>
      </c>
      <c r="B318" s="37" t="str">
        <f t="shared" si="5"/>
        <v>T2 155mm곡사포</v>
      </c>
      <c r="C318" s="37" t="s">
        <v>155</v>
      </c>
      <c r="D318" s="37" t="s">
        <v>266</v>
      </c>
      <c r="E318" s="37" t="s">
        <v>199</v>
      </c>
      <c r="F318" s="29">
        <f>VLOOKUP(C318, Factor!$AD$5:$AE$15, 2, 0)</f>
        <v>2000</v>
      </c>
      <c r="G318" s="29" t="str">
        <f>VLOOKUP(E318, Factor!$CL$5:$CV$50, 2, 0)</f>
        <v>curved</v>
      </c>
      <c r="H318" s="29" t="str">
        <f>VLOOKUP(E318, Factor!$CL$5:$CV$50, 3, 0)</f>
        <v>shell</v>
      </c>
      <c r="I318" s="29" t="str">
        <f>VLOOKUP(E318, Factor!$CL$5:$CV$50, 4, 0)</f>
        <v>L</v>
      </c>
      <c r="J318" s="29" t="str">
        <f>VLOOKUP(E318, Factor!$CL$5:$CV$50, 5, 0)</f>
        <v>normal</v>
      </c>
      <c r="K318" s="29">
        <v>1</v>
      </c>
      <c r="L318" s="29">
        <f>VLOOKUP(E318, Factor!$CL$5:$CV$50, 6, 0)*K318*VLOOKUP(D318, Factor!$BZ$5:$CJ$49, 9, 0)</f>
        <v>32</v>
      </c>
      <c r="M318" s="29" t="str">
        <f>VLOOKUP(E318, Factor!$CL$5:$CV$50, 7, 0)</f>
        <v>null</v>
      </c>
      <c r="N318" s="29">
        <v>1</v>
      </c>
      <c r="O318" s="29">
        <f>VLOOKUP(E318, Factor!$CL$5:$CV$50, 8, 0)*N318*VLOOKUP(D318, Factor!$BZ$5:$CJ$49, 10, 0)</f>
        <v>0</v>
      </c>
      <c r="P318" s="29">
        <v>1</v>
      </c>
      <c r="Q318" s="29">
        <f>VLOOKUP(E318, Factor!$CL$5:$CV$50, 9, 0)*P318*VLOOKUP(D318, Factor!$BZ$5:$CJ$49, 11, 0)</f>
        <v>8</v>
      </c>
      <c r="R318" s="29" t="str">
        <f>VLOOKUP(E318, Factor!$CL$5:$CV$50, 10, 0)</f>
        <v>null</v>
      </c>
      <c r="S318" s="29" t="str">
        <f>VLOOKUP(E318, Factor!$CL$5:$CV$50, 11, 0)</f>
        <v>null</v>
      </c>
      <c r="T318" s="29">
        <v>1</v>
      </c>
      <c r="U318" s="29">
        <v>1</v>
      </c>
      <c r="V318" s="29">
        <v>1</v>
      </c>
      <c r="W318" s="29">
        <v>1</v>
      </c>
      <c r="X318" s="29">
        <v>1</v>
      </c>
      <c r="Y318" s="29">
        <v>1</v>
      </c>
      <c r="Z318" s="29">
        <v>1</v>
      </c>
      <c r="AA318" s="29" cm="1">
        <f t="array" ref="AA318">_xlfn.LET(_xlpm.기본_색인번호, 2,
_xlpm.추가_색인번호, 3,
_xlpm.개별보정치, T318,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318" s="29" cm="1">
        <f t="array" ref="AB318">_xlfn.LET(_xlpm.기본_색인번호, 3,
_xlpm.추가_색인번호, 4,
_xlpm.개별보정치, U318,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C318" s="29" cm="1">
        <f t="array" ref="AC318">_xlfn.LET(_xlpm.기본_색인번호, 4,
_xlpm.추가_색인번호, 5,
_xlpm.개별보정치, V318,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8" s="29" cm="1">
        <f t="array" ref="AD318">_xlfn.LET(_xlpm.기본_색인번호, 5,
_xlpm.추가_색인번호, 6,
_xlpm.개별보정치, W318,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E318" s="29" cm="1">
        <f t="array" ref="AE318">_xlfn.LET(_xlpm.기본_색인번호, 6,
_xlpm.추가_색인번호, 7,
_xlpm.개별보정치, X318,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  <c r="AF318" s="29" cm="1">
        <f t="array" ref="AF318">_xlfn.LET(_xlpm.기본_색인번호, 7,
_xlpm.추가_색인번호, 8,
_xlpm.개별보정치, Y318,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8" s="30" cm="1">
        <f t="array" ref="AG318">_xlfn.LET(_xlpm.기본_색인번호, 8,
_xlpm.추가_색인번호, 9,
_xlpm.개별보정치, Z318,
_xlpm.패턴보정치, VLOOKUP($G318, Factor!$B$5:$I$51, _xlpm.기본_색인번호, 0),
_xlpm.소모탄환보정치, VLOOKUP($H318, Factor!$T$5:$AA$51, _xlpm.기본_색인번호, 0),
_xlpm.지형보정치, VLOOKUP($I318, Factor!$K$12:$R$13, _xlpm.기본_색인번호, 0),
_xlpm.공격속성보정치, VLOOKUP($J318, Factor!$K$5:$R$7, _xlpm.기본_색인번호, 0),
_xlpm.피해범위보정치, INDEX(Factor!$AN$5:$AV$51, _xlfn.XMATCH(IF(OR($G318="blast", $G318="curved",  $G318= "debuff"), $L318, 0), Factor!$AN$5:$AN$51, -1), _xlpm.추가_색인번호)-IF(AND(OR($G318="blast", $G318="curved", $G318= "debuff"), MOD($L318,1)&lt;&gt;0),INDEX(Factor!$AN$5:$AV$51, _xlfn.XMATCH(IF(OR($G318="blast", $G318="curved", $G318= "debuff"), $L318, 0), Factor!$AN$5:$AN$51, -1), 2)*MOD($L318,1)*10,0),
_xlpm.상태이상보정치, VLOOKUP(IF($G318 = "debuff", $M318, "null"), Factor!$AX$5:$BE$51, _xlpm.기본_색인번호, 0),
_xlpm.지속시간보정치, INDEX(Factor!$BG$5:$BO$51, _xlfn.XMATCH(IF(OR($G318 ="debuff", $G318 = "shot", $G318 = "pierce"), $O318, 0), Factor!$BG$5:$BG$51, -1), _xlpm.추가_색인번호)-IF(AND(OR($G318 ="debuff", $G318 = "shot", $G318 = "pierce"), MOD($O318, 1)&lt;&gt;0), 10*MOD($O318, 1)*INDEX(Factor!$BG$5:$BO$51, _xlfn.XMATCH(IF(OR($G318 ="debuff", $G318 = "shot", $G318 = "pierce"), $O318, 0), Factor!$BG$5:$BG$51, -1), 2), 0),
_xlpm.탄환개수보정치, VLOOKUP(IF(OR($G318 = "curved", $G318 = "shot"), $Q318, 1), Factor!$BQ$5:$BX$51, _xlpm.기본_색인번호, 0),
_xlpm.상태이상탄환생성위치보정치, IF($G318 = "debuff", VLOOKUP($R318, Factor!$K$18:$R$19, _xlpm.기본_색인번호, 0),1),
_xlpm.상태이상탄환형태보정치, IF($G318 = "debuff", VLOOKUP($S318, Factor!$K$24:$R$25, _xlpm.기본_색인번호, 0),1),
_xlpm.가격보정치, INDEX(Factor!$AE$5:$AL$51, _xlfn.XMATCH($F318,Factor!$AE$5:$AE$51, -1), _xlpm.기본_색인번호),
_xlpm.구경보정치, VLOOKUP($D318,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336</v>
      </c>
    </row>
    <row r="319" spans="1:33" ht="15.75" customHeight="1">
      <c r="A319" s="24" t="str">
        <f>"weapon_"&amp;G319&amp;"_"&amp;VLOOKUP(H319, Factor!$T$5:$AB$7, 9, 0)&amp;"_"&amp;IF(COUNTIFS($G$4:G318, G319, $H$4:H318, H319)+1&gt;=100, COUNTIFS($G$4:G318, G319, $H$4:H318, H319)+1,IF(COUNTIFS($G$4:G318, G319, $H$4:H318, H319)+1&gt;=10, "0"&amp;COUNTIFS($G$4:G318, G319, $H$4:H318, H319)+1, "00"&amp;COUNTIFS($G$4:G318, G319, $H$4:H318, H319)+1))</f>
        <v>weapon_curved_Sh_018</v>
      </c>
      <c r="B319" s="36" t="str">
        <f t="shared" si="5"/>
        <v>T3 105mm곡사포</v>
      </c>
      <c r="C319" s="36" t="s">
        <v>156</v>
      </c>
      <c r="D319" s="36" t="s">
        <v>265</v>
      </c>
      <c r="E319" s="36" t="s">
        <v>199</v>
      </c>
      <c r="F319" s="25">
        <f>VLOOKUP(C319, Factor!$AD$5:$AE$15, 2, 0)</f>
        <v>3000</v>
      </c>
      <c r="G319" s="26" t="str">
        <f>VLOOKUP(E319, Factor!$CL$5:$CV$50, 2, 0)</f>
        <v>curved</v>
      </c>
      <c r="H319" s="25" t="str">
        <f>VLOOKUP(E319, Factor!$CL$5:$CV$50, 3, 0)</f>
        <v>shell</v>
      </c>
      <c r="I319" s="25" t="str">
        <f>VLOOKUP(E319, Factor!$CL$5:$CV$50, 4, 0)</f>
        <v>L</v>
      </c>
      <c r="J319" s="25" t="str">
        <f>VLOOKUP(E319, Factor!$CL$5:$CV$50, 5, 0)</f>
        <v>normal</v>
      </c>
      <c r="K319" s="25">
        <v>1</v>
      </c>
      <c r="L319" s="25">
        <f>VLOOKUP(E319, Factor!$CL$5:$CV$50, 6, 0)*K319*VLOOKUP(D319, Factor!$BZ$5:$CJ$49, 9, 0)</f>
        <v>32</v>
      </c>
      <c r="M319" s="25" t="str">
        <f>VLOOKUP(E319, Factor!$CL$5:$CV$50, 7, 0)</f>
        <v>null</v>
      </c>
      <c r="N319" s="25">
        <v>1</v>
      </c>
      <c r="O319" s="25">
        <f>VLOOKUP(E319, Factor!$CL$5:$CV$50, 8, 0)*N319*VLOOKUP(D319, Factor!$BZ$5:$CJ$49, 10, 0)</f>
        <v>0</v>
      </c>
      <c r="P319" s="25">
        <v>1</v>
      </c>
      <c r="Q319" s="25">
        <f>VLOOKUP(E319, Factor!$CL$5:$CV$50, 9, 0)*P319*VLOOKUP(D319, Factor!$BZ$5:$CJ$49, 11, 0)</f>
        <v>8</v>
      </c>
      <c r="R319" s="25" t="str">
        <f>VLOOKUP(E319, Factor!$CL$5:$CV$50, 10, 0)</f>
        <v>null</v>
      </c>
      <c r="S319" s="25" t="str">
        <f>VLOOKUP(E319, Factor!$CL$5:$CV$50, 11, 0)</f>
        <v>null</v>
      </c>
      <c r="T319" s="25">
        <v>1</v>
      </c>
      <c r="U319" s="25">
        <v>1</v>
      </c>
      <c r="V319" s="25">
        <v>1</v>
      </c>
      <c r="W319" s="25">
        <v>1</v>
      </c>
      <c r="X319" s="25">
        <v>1</v>
      </c>
      <c r="Y319" s="25">
        <v>1</v>
      </c>
      <c r="Z319" s="25">
        <v>1</v>
      </c>
      <c r="AA319" s="25" cm="1">
        <f t="array" ref="AA319">_xlfn.LET(_xlpm.기본_색인번호, 2,
_xlpm.추가_색인번호, 3,
_xlpm.개별보정치, T319,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6400</v>
      </c>
      <c r="AB319" s="25" cm="1">
        <f t="array" ref="AB319">_xlfn.LET(_xlpm.기본_색인번호, 3,
_xlpm.추가_색인번호, 4,
_xlpm.개별보정치, U319,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19" s="25" cm="1">
        <f t="array" ref="AC319">_xlfn.LET(_xlpm.기본_색인번호, 4,
_xlpm.추가_색인번호, 5,
_xlpm.개별보정치, V319,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19" s="25" cm="1">
        <f t="array" ref="AD319">_xlfn.LET(_xlpm.기본_색인번호, 5,
_xlpm.추가_색인번호, 6,
_xlpm.개별보정치, W319,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E319" s="25" cm="1">
        <f t="array" ref="AE319">_xlfn.LET(_xlpm.기본_색인번호, 6,
_xlpm.추가_색인번호, 7,
_xlpm.개별보정치, X319,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F319" s="25" cm="1">
        <f t="array" ref="AF319">_xlfn.LET(_xlpm.기본_색인번호, 7,
_xlpm.추가_색인번호, 8,
_xlpm.개별보정치, Y319,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19" s="27" cm="1">
        <f t="array" ref="AG319">_xlfn.LET(_xlpm.기본_색인번호, 8,
_xlpm.추가_색인번호, 9,
_xlpm.개별보정치, Z319,
_xlpm.패턴보정치, VLOOKUP($G319, Factor!$B$5:$I$51, _xlpm.기본_색인번호, 0),
_xlpm.소모탄환보정치, VLOOKUP($H319, Factor!$T$5:$AA$51, _xlpm.기본_색인번호, 0),
_xlpm.지형보정치, VLOOKUP($I319, Factor!$K$12:$R$13, _xlpm.기본_색인번호, 0),
_xlpm.공격속성보정치, VLOOKUP($J319, Factor!$K$5:$R$7, _xlpm.기본_색인번호, 0),
_xlpm.피해범위보정치, INDEX(Factor!$AN$5:$AV$51, _xlfn.XMATCH(IF(OR($G319="blast", $G319="curved",  $G319= "debuff"), $L319, 0), Factor!$AN$5:$AN$51, -1), _xlpm.추가_색인번호)-IF(AND(OR($G319="blast", $G319="curved", $G319= "debuff"), MOD($L319,1)&lt;&gt;0),INDEX(Factor!$AN$5:$AV$51, _xlfn.XMATCH(IF(OR($G319="blast", $G319="curved", $G319= "debuff"), $L319, 0), Factor!$AN$5:$AN$51, -1), 2)*MOD($L319,1)*10,0),
_xlpm.상태이상보정치, VLOOKUP(IF($G319 = "debuff", $M319, "null"), Factor!$AX$5:$BE$51, _xlpm.기본_색인번호, 0),
_xlpm.지속시간보정치, INDEX(Factor!$BG$5:$BO$51, _xlfn.XMATCH(IF(OR($G319 ="debuff", $G319 = "shot", $G319 = "pierce"), $O319, 0), Factor!$BG$5:$BG$51, -1), _xlpm.추가_색인번호)-IF(AND(OR($G319 ="debuff", $G319 = "shot", $G319 = "pierce"), MOD($O319, 1)&lt;&gt;0), 10*MOD($O319, 1)*INDEX(Factor!$BG$5:$BO$51, _xlfn.XMATCH(IF(OR($G319 ="debuff", $G319 = "shot", $G319 = "pierce"), $O319, 0), Factor!$BG$5:$BG$51, -1), 2), 0),
_xlpm.탄환개수보정치, VLOOKUP(IF(OR($G319 = "curved", $G319 = "shot"), $Q319, 1), Factor!$BQ$5:$BX$51, _xlpm.기본_색인번호, 0),
_xlpm.상태이상탄환생성위치보정치, IF($G319 = "debuff", VLOOKUP($R319, Factor!$K$18:$R$19, _xlpm.기본_색인번호, 0),1),
_xlpm.상태이상탄환형태보정치, IF($G319 = "debuff", VLOOKUP($S319, Factor!$K$24:$R$25, _xlpm.기본_색인번호, 0),1),
_xlpm.가격보정치, INDEX(Factor!$AE$5:$AL$51, _xlfn.XMATCH($F319,Factor!$AE$5:$AE$51, -1), _xlpm.기본_색인번호),
_xlpm.구경보정치, VLOOKUP($D319,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</row>
    <row r="320" spans="1:33" ht="15.75" customHeight="1">
      <c r="A320" s="28" t="str">
        <f>"weapon_"&amp;G320&amp;"_"&amp;VLOOKUP(H320, Factor!$T$5:$AB$7, 9, 0)&amp;"_"&amp;IF(COUNTIFS($G$4:G319, G320, $H$4:H319, H320)+1&gt;=100, COUNTIFS($G$4:G319, G320, $H$4:H319, H320)+1,IF(COUNTIFS($G$4:G319, G320, $H$4:H319, H320)+1&gt;=10, "0"&amp;COUNTIFS($G$4:G319, G320, $H$4:H319, H320)+1, "00"&amp;COUNTIFS($G$4:G319, G320, $H$4:H319, H320)+1))</f>
        <v>weapon_curved_Sh_019</v>
      </c>
      <c r="B320" s="37" t="str">
        <f t="shared" si="5"/>
        <v>T3 155mm곡사포</v>
      </c>
      <c r="C320" s="37" t="s">
        <v>156</v>
      </c>
      <c r="D320" s="37" t="s">
        <v>266</v>
      </c>
      <c r="E320" s="37" t="s">
        <v>199</v>
      </c>
      <c r="F320" s="29">
        <f>VLOOKUP(C320, Factor!$AD$5:$AE$15, 2, 0)</f>
        <v>3000</v>
      </c>
      <c r="G320" s="29" t="str">
        <f>VLOOKUP(E320, Factor!$CL$5:$CV$50, 2, 0)</f>
        <v>curved</v>
      </c>
      <c r="H320" s="29" t="str">
        <f>VLOOKUP(E320, Factor!$CL$5:$CV$50, 3, 0)</f>
        <v>shell</v>
      </c>
      <c r="I320" s="29" t="str">
        <f>VLOOKUP(E320, Factor!$CL$5:$CV$50, 4, 0)</f>
        <v>L</v>
      </c>
      <c r="J320" s="29" t="str">
        <f>VLOOKUP(E320, Factor!$CL$5:$CV$50, 5, 0)</f>
        <v>normal</v>
      </c>
      <c r="K320" s="29">
        <v>1</v>
      </c>
      <c r="L320" s="29">
        <f>VLOOKUP(E320, Factor!$CL$5:$CV$50, 6, 0)*K320*VLOOKUP(D320, Factor!$BZ$5:$CJ$49, 9, 0)</f>
        <v>32</v>
      </c>
      <c r="M320" s="29" t="str">
        <f>VLOOKUP(E320, Factor!$CL$5:$CV$50, 7, 0)</f>
        <v>null</v>
      </c>
      <c r="N320" s="29">
        <v>1</v>
      </c>
      <c r="O320" s="29">
        <f>VLOOKUP(E320, Factor!$CL$5:$CV$50, 8, 0)*N320*VLOOKUP(D320, Factor!$BZ$5:$CJ$49, 10, 0)</f>
        <v>0</v>
      </c>
      <c r="P320" s="29">
        <v>1</v>
      </c>
      <c r="Q320" s="29">
        <f>VLOOKUP(E320, Factor!$CL$5:$CV$50, 9, 0)*P320*VLOOKUP(D320, Factor!$BZ$5:$CJ$49, 11, 0)</f>
        <v>8</v>
      </c>
      <c r="R320" s="29" t="str">
        <f>VLOOKUP(E320, Factor!$CL$5:$CV$50, 10, 0)</f>
        <v>null</v>
      </c>
      <c r="S320" s="29" t="str">
        <f>VLOOKUP(E320, Factor!$CL$5:$CV$50, 11, 0)</f>
        <v>null</v>
      </c>
      <c r="T320" s="29">
        <v>1</v>
      </c>
      <c r="U320" s="29">
        <v>1</v>
      </c>
      <c r="V320" s="29">
        <v>1</v>
      </c>
      <c r="W320" s="29">
        <v>1</v>
      </c>
      <c r="X320" s="29">
        <v>1</v>
      </c>
      <c r="Y320" s="29">
        <v>1</v>
      </c>
      <c r="Z320" s="29">
        <v>1</v>
      </c>
      <c r="AA320" s="29" cm="1">
        <f t="array" ref="AA320">_xlfn.LET(_xlpm.기본_색인번호, 2,
_xlpm.추가_색인번호, 3,
_xlpm.개별보정치, T320,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6400</v>
      </c>
      <c r="AB320" s="29" cm="1">
        <f t="array" ref="AB320">_xlfn.LET(_xlpm.기본_색인번호, 3,
_xlpm.추가_색인번호, 4,
_xlpm.개별보정치, U320,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20" s="29" cm="1">
        <f t="array" ref="AC320">_xlfn.LET(_xlpm.기본_색인번호, 4,
_xlpm.추가_색인번호, 5,
_xlpm.개별보정치, V320,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0" s="29" cm="1">
        <f t="array" ref="AD320">_xlfn.LET(_xlpm.기본_색인번호, 5,
_xlpm.추가_색인번호, 6,
_xlpm.개별보정치, W320,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E320" s="29" cm="1">
        <f t="array" ref="AE320">_xlfn.LET(_xlpm.기본_색인번호, 6,
_xlpm.추가_색인번호, 7,
_xlpm.개별보정치, X320,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  <c r="AF320" s="29" cm="1">
        <f t="array" ref="AF320">_xlfn.LET(_xlpm.기본_색인번호, 7,
_xlpm.추가_색인번호, 8,
_xlpm.개별보정치, Y320,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0" s="30" cm="1">
        <f t="array" ref="AG320">_xlfn.LET(_xlpm.기본_색인번호, 8,
_xlpm.추가_색인번호, 9,
_xlpm.개별보정치, Z320,
_xlpm.패턴보정치, VLOOKUP($G320, Factor!$B$5:$I$51, _xlpm.기본_색인번호, 0),
_xlpm.소모탄환보정치, VLOOKUP($H320, Factor!$T$5:$AA$51, _xlpm.기본_색인번호, 0),
_xlpm.지형보정치, VLOOKUP($I320, Factor!$K$12:$R$13, _xlpm.기본_색인번호, 0),
_xlpm.공격속성보정치, VLOOKUP($J320, Factor!$K$5:$R$7, _xlpm.기본_색인번호, 0),
_xlpm.피해범위보정치, INDEX(Factor!$AN$5:$AV$51, _xlfn.XMATCH(IF(OR($G320="blast", $G320="curved",  $G320= "debuff"), $L320, 0), Factor!$AN$5:$AN$51, -1), _xlpm.추가_색인번호)-IF(AND(OR($G320="blast", $G320="curved", $G320= "debuff"), MOD($L320,1)&lt;&gt;0),INDEX(Factor!$AN$5:$AV$51, _xlfn.XMATCH(IF(OR($G320="blast", $G320="curved", $G320= "debuff"), $L320, 0), Factor!$AN$5:$AN$51, -1), 2)*MOD($L320,1)*10,0),
_xlpm.상태이상보정치, VLOOKUP(IF($G320 = "debuff", $M320, "null"), Factor!$AX$5:$BE$51, _xlpm.기본_색인번호, 0),
_xlpm.지속시간보정치, INDEX(Factor!$BG$5:$BO$51, _xlfn.XMATCH(IF(OR($G320 ="debuff", $G320 = "shot", $G320 = "pierce"), $O320, 0), Factor!$BG$5:$BG$51, -1), _xlpm.추가_색인번호)-IF(AND(OR($G320 ="debuff", $G320 = "shot", $G320 = "pierce"), MOD($O320, 1)&lt;&gt;0), 10*MOD($O320, 1)*INDEX(Factor!$BG$5:$BO$51, _xlfn.XMATCH(IF(OR($G320 ="debuff", $G320 = "shot", $G320 = "pierce"), $O320, 0), Factor!$BG$5:$BG$51, -1), 2), 0),
_xlpm.탄환개수보정치, VLOOKUP(IF(OR($G320 = "curved", $G320 = "shot"), $Q320, 1), Factor!$BQ$5:$BX$51, _xlpm.기본_색인번호, 0),
_xlpm.상태이상탄환생성위치보정치, IF($G320 = "debuff", VLOOKUP($R320, Factor!$K$18:$R$19, _xlpm.기본_색인번호, 0),1),
_xlpm.상태이상탄환형태보정치, IF($G320 = "debuff", VLOOKUP($S320, Factor!$K$24:$R$25, _xlpm.기본_색인번호, 0),1),
_xlpm.가격보정치, INDEX(Factor!$AE$5:$AL$51, _xlfn.XMATCH($F320,Factor!$AE$5:$AE$51, -1), _xlpm.기본_색인번호),
_xlpm.구경보정치, VLOOKUP($D320,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448</v>
      </c>
    </row>
    <row r="321" spans="1:33" ht="15.75" customHeight="1">
      <c r="A321" s="24" t="str">
        <f>"weapon_"&amp;G321&amp;"_"&amp;VLOOKUP(H321, Factor!$T$5:$AB$7, 9, 0)&amp;"_"&amp;IF(COUNTIFS($G$4:G320, G321, $H$4:H320, H321)+1&gt;=100, COUNTIFS($G$4:G320, G321, $H$4:H320, H321)+1,IF(COUNTIFS($G$4:G320, G321, $H$4:H320, H321)+1&gt;=10, "0"&amp;COUNTIFS($G$4:G320, G321, $H$4:H320, H321)+1, "00"&amp;COUNTIFS($G$4:G320, G321, $H$4:H320, H321)+1))</f>
        <v>weapon_curved_Sh_020</v>
      </c>
      <c r="B321" s="36" t="str">
        <f t="shared" si="5"/>
        <v>T4 105mm곡사포</v>
      </c>
      <c r="C321" s="36" t="s">
        <v>157</v>
      </c>
      <c r="D321" s="36" t="s">
        <v>265</v>
      </c>
      <c r="E321" s="36" t="s">
        <v>199</v>
      </c>
      <c r="F321" s="25">
        <f>VLOOKUP(C321, Factor!$AD$5:$AE$15, 2, 0)</f>
        <v>4000</v>
      </c>
      <c r="G321" s="26" t="str">
        <f>VLOOKUP(E321, Factor!$CL$5:$CV$50, 2, 0)</f>
        <v>curved</v>
      </c>
      <c r="H321" s="25" t="str">
        <f>VLOOKUP(E321, Factor!$CL$5:$CV$50, 3, 0)</f>
        <v>shell</v>
      </c>
      <c r="I321" s="25" t="str">
        <f>VLOOKUP(E321, Factor!$CL$5:$CV$50, 4, 0)</f>
        <v>L</v>
      </c>
      <c r="J321" s="25" t="str">
        <f>VLOOKUP(E321, Factor!$CL$5:$CV$50, 5, 0)</f>
        <v>normal</v>
      </c>
      <c r="K321" s="25">
        <v>1</v>
      </c>
      <c r="L321" s="25">
        <f>VLOOKUP(E321, Factor!$CL$5:$CV$50, 6, 0)*K321*VLOOKUP(D321, Factor!$BZ$5:$CJ$49, 9, 0)</f>
        <v>32</v>
      </c>
      <c r="M321" s="25" t="str">
        <f>VLOOKUP(E321, Factor!$CL$5:$CV$50, 7, 0)</f>
        <v>null</v>
      </c>
      <c r="N321" s="25">
        <v>1</v>
      </c>
      <c r="O321" s="25">
        <f>VLOOKUP(E321, Factor!$CL$5:$CV$50, 8, 0)*N321*VLOOKUP(D321, Factor!$BZ$5:$CJ$49, 10, 0)</f>
        <v>0</v>
      </c>
      <c r="P321" s="25">
        <v>1</v>
      </c>
      <c r="Q321" s="25">
        <f>VLOOKUP(E321, Factor!$CL$5:$CV$50, 9, 0)*P321*VLOOKUP(D321, Factor!$BZ$5:$CJ$49, 11, 0)</f>
        <v>8</v>
      </c>
      <c r="R321" s="25" t="str">
        <f>VLOOKUP(E321, Factor!$CL$5:$CV$50, 10, 0)</f>
        <v>null</v>
      </c>
      <c r="S321" s="25" t="str">
        <f>VLOOKUP(E321, Factor!$CL$5:$CV$50, 11, 0)</f>
        <v>null</v>
      </c>
      <c r="T321" s="25">
        <v>1</v>
      </c>
      <c r="U321" s="25">
        <v>1</v>
      </c>
      <c r="V321" s="25">
        <v>1</v>
      </c>
      <c r="W321" s="25">
        <v>1</v>
      </c>
      <c r="X321" s="25">
        <v>1</v>
      </c>
      <c r="Y321" s="25">
        <v>1</v>
      </c>
      <c r="Z321" s="25">
        <v>1</v>
      </c>
      <c r="AA321" s="25" cm="1">
        <f t="array" ref="AA321">_xlfn.LET(_xlpm.기본_색인번호, 2,
_xlpm.추가_색인번호, 3,
_xlpm.개별보정치, T321,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8000</v>
      </c>
      <c r="AB321" s="25" cm="1">
        <f t="array" ref="AB321">_xlfn.LET(_xlpm.기본_색인번호, 3,
_xlpm.추가_색인번호, 4,
_xlpm.개별보정치, U321,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21" s="25" cm="1">
        <f t="array" ref="AC321">_xlfn.LET(_xlpm.기본_색인번호, 4,
_xlpm.추가_색인번호, 5,
_xlpm.개별보정치, V321,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1" s="25" cm="1">
        <f t="array" ref="AD321">_xlfn.LET(_xlpm.기본_색인번호, 5,
_xlpm.추가_색인번호, 6,
_xlpm.개별보정치, W321,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E321" s="25" cm="1">
        <f t="array" ref="AE321">_xlfn.LET(_xlpm.기본_색인번호, 6,
_xlpm.추가_색인번호, 7,
_xlpm.개별보정치, X321,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F321" s="25" cm="1">
        <f t="array" ref="AF321">_xlfn.LET(_xlpm.기본_색인번호, 7,
_xlpm.추가_색인번호, 8,
_xlpm.개별보정치, Y321,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1" s="27" cm="1">
        <f t="array" ref="AG321">_xlfn.LET(_xlpm.기본_색인번호, 8,
_xlpm.추가_색인번호, 9,
_xlpm.개별보정치, Z321,
_xlpm.패턴보정치, VLOOKUP($G321, Factor!$B$5:$I$51, _xlpm.기본_색인번호, 0),
_xlpm.소모탄환보정치, VLOOKUP($H321, Factor!$T$5:$AA$51, _xlpm.기본_색인번호, 0),
_xlpm.지형보정치, VLOOKUP($I321, Factor!$K$12:$R$13, _xlpm.기본_색인번호, 0),
_xlpm.공격속성보정치, VLOOKUP($J321, Factor!$K$5:$R$7, _xlpm.기본_색인번호, 0),
_xlpm.피해범위보정치, INDEX(Factor!$AN$5:$AV$51, _xlfn.XMATCH(IF(OR($G321="blast", $G321="curved",  $G321= "debuff"), $L321, 0), Factor!$AN$5:$AN$51, -1), _xlpm.추가_색인번호)-IF(AND(OR($G321="blast", $G321="curved", $G321= "debuff"), MOD($L321,1)&lt;&gt;0),INDEX(Factor!$AN$5:$AV$51, _xlfn.XMATCH(IF(OR($G321="blast", $G321="curved", $G321= "debuff"), $L321, 0), Factor!$AN$5:$AN$51, -1), 2)*MOD($L321,1)*10,0),
_xlpm.상태이상보정치, VLOOKUP(IF($G321 = "debuff", $M321, "null"), Factor!$AX$5:$BE$51, _xlpm.기본_색인번호, 0),
_xlpm.지속시간보정치, INDEX(Factor!$BG$5:$BO$51, _xlfn.XMATCH(IF(OR($G321 ="debuff", $G321 = "shot", $G321 = "pierce"), $O321, 0), Factor!$BG$5:$BG$51, -1), _xlpm.추가_색인번호)-IF(AND(OR($G321 ="debuff", $G321 = "shot", $G321 = "pierce"), MOD($O321, 1)&lt;&gt;0), 10*MOD($O321, 1)*INDEX(Factor!$BG$5:$BO$51, _xlfn.XMATCH(IF(OR($G321 ="debuff", $G321 = "shot", $G321 = "pierce"), $O321, 0), Factor!$BG$5:$BG$51, -1), 2), 0),
_xlpm.탄환개수보정치, VLOOKUP(IF(OR($G321 = "curved", $G321 = "shot"), $Q321, 1), Factor!$BQ$5:$BX$51, _xlpm.기본_색인번호, 0),
_xlpm.상태이상탄환생성위치보정치, IF($G321 = "debuff", VLOOKUP($R321, Factor!$K$18:$R$19, _xlpm.기본_색인번호, 0),1),
_xlpm.상태이상탄환형태보정치, IF($G321 = "debuff", VLOOKUP($S321, Factor!$K$24:$R$25, _xlpm.기본_색인번호, 0),1),
_xlpm.가격보정치, INDEX(Factor!$AE$5:$AL$51, _xlfn.XMATCH($F321,Factor!$AE$5:$AE$51, -1), _xlpm.기본_색인번호),
_xlpm.구경보정치, VLOOKUP($D321,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</row>
    <row r="322" spans="1:33" ht="15.75" customHeight="1">
      <c r="A322" s="28" t="str">
        <f>"weapon_"&amp;G322&amp;"_"&amp;VLOOKUP(H322, Factor!$T$5:$AB$7, 9, 0)&amp;"_"&amp;IF(COUNTIFS($G$4:G321, G322, $H$4:H321, H322)+1&gt;=100, COUNTIFS($G$4:G321, G322, $H$4:H321, H322)+1,IF(COUNTIFS($G$4:G321, G322, $H$4:H321, H322)+1&gt;=10, "0"&amp;COUNTIFS($G$4:G321, G322, $H$4:H321, H322)+1, "00"&amp;COUNTIFS($G$4:G321, G322, $H$4:H321, H322)+1))</f>
        <v>weapon_curved_Sh_021</v>
      </c>
      <c r="B322" s="37" t="str">
        <f t="shared" si="5"/>
        <v>T4 155mm곡사포</v>
      </c>
      <c r="C322" s="37" t="s">
        <v>157</v>
      </c>
      <c r="D322" s="37" t="s">
        <v>266</v>
      </c>
      <c r="E322" s="37" t="s">
        <v>199</v>
      </c>
      <c r="F322" s="29">
        <f>VLOOKUP(C322, Factor!$AD$5:$AE$15, 2, 0)</f>
        <v>4000</v>
      </c>
      <c r="G322" s="29" t="str">
        <f>VLOOKUP(E322, Factor!$CL$5:$CV$50, 2, 0)</f>
        <v>curved</v>
      </c>
      <c r="H322" s="29" t="str">
        <f>VLOOKUP(E322, Factor!$CL$5:$CV$50, 3, 0)</f>
        <v>shell</v>
      </c>
      <c r="I322" s="29" t="str">
        <f>VLOOKUP(E322, Factor!$CL$5:$CV$50, 4, 0)</f>
        <v>L</v>
      </c>
      <c r="J322" s="29" t="str">
        <f>VLOOKUP(E322, Factor!$CL$5:$CV$50, 5, 0)</f>
        <v>normal</v>
      </c>
      <c r="K322" s="29">
        <v>1</v>
      </c>
      <c r="L322" s="29">
        <f>VLOOKUP(E322, Factor!$CL$5:$CV$50, 6, 0)*K322*VLOOKUP(D322, Factor!$BZ$5:$CJ$49, 9, 0)</f>
        <v>32</v>
      </c>
      <c r="M322" s="29" t="str">
        <f>VLOOKUP(E322, Factor!$CL$5:$CV$50, 7, 0)</f>
        <v>null</v>
      </c>
      <c r="N322" s="29">
        <v>1</v>
      </c>
      <c r="O322" s="29">
        <f>VLOOKUP(E322, Factor!$CL$5:$CV$50, 8, 0)*N322*VLOOKUP(D322, Factor!$BZ$5:$CJ$49, 10, 0)</f>
        <v>0</v>
      </c>
      <c r="P322" s="29">
        <v>1</v>
      </c>
      <c r="Q322" s="29">
        <f>VLOOKUP(E322, Factor!$CL$5:$CV$50, 9, 0)*P322*VLOOKUP(D322, Factor!$BZ$5:$CJ$49, 11, 0)</f>
        <v>8</v>
      </c>
      <c r="R322" s="29" t="str">
        <f>VLOOKUP(E322, Factor!$CL$5:$CV$50, 10, 0)</f>
        <v>null</v>
      </c>
      <c r="S322" s="29" t="str">
        <f>VLOOKUP(E322, Factor!$CL$5:$CV$50, 11, 0)</f>
        <v>null</v>
      </c>
      <c r="T322" s="29">
        <v>1</v>
      </c>
      <c r="U322" s="29">
        <v>1</v>
      </c>
      <c r="V322" s="29">
        <v>1</v>
      </c>
      <c r="W322" s="29">
        <v>1</v>
      </c>
      <c r="X322" s="29">
        <v>1</v>
      </c>
      <c r="Y322" s="29">
        <v>1</v>
      </c>
      <c r="Z322" s="29">
        <v>1</v>
      </c>
      <c r="AA322" s="29" cm="1">
        <f t="array" ref="AA322">_xlfn.LET(_xlpm.기본_색인번호, 2,
_xlpm.추가_색인번호, 3,
_xlpm.개별보정치, T322,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8000</v>
      </c>
      <c r="AB322" s="29" cm="1">
        <f t="array" ref="AB322">_xlfn.LET(_xlpm.기본_색인번호, 3,
_xlpm.추가_색인번호, 4,
_xlpm.개별보정치, U322,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22" s="29" cm="1">
        <f t="array" ref="AC322">_xlfn.LET(_xlpm.기본_색인번호, 4,
_xlpm.추가_색인번호, 5,
_xlpm.개별보정치, V322,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2" s="29" cm="1">
        <f t="array" ref="AD322">_xlfn.LET(_xlpm.기본_색인번호, 5,
_xlpm.추가_색인번호, 6,
_xlpm.개별보정치, W322,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E322" s="29" cm="1">
        <f t="array" ref="AE322">_xlfn.LET(_xlpm.기본_색인번호, 6,
_xlpm.추가_색인번호, 7,
_xlpm.개별보정치, X322,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F322" s="29" cm="1">
        <f t="array" ref="AF322">_xlfn.LET(_xlpm.기본_색인번호, 7,
_xlpm.추가_색인번호, 8,
_xlpm.개별보정치, Y322,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2" s="30" cm="1">
        <f t="array" ref="AG322">_xlfn.LET(_xlpm.기본_색인번호, 8,
_xlpm.추가_색인번호, 9,
_xlpm.개별보정치, Z322,
_xlpm.패턴보정치, VLOOKUP($G322, Factor!$B$5:$I$51, _xlpm.기본_색인번호, 0),
_xlpm.소모탄환보정치, VLOOKUP($H322, Factor!$T$5:$AA$51, _xlpm.기본_색인번호, 0),
_xlpm.지형보정치, VLOOKUP($I322, Factor!$K$12:$R$13, _xlpm.기본_색인번호, 0),
_xlpm.공격속성보정치, VLOOKUP($J322, Factor!$K$5:$R$7, _xlpm.기본_색인번호, 0),
_xlpm.피해범위보정치, INDEX(Factor!$AN$5:$AV$51, _xlfn.XMATCH(IF(OR($G322="blast", $G322="curved",  $G322= "debuff"), $L322, 0), Factor!$AN$5:$AN$51, -1), _xlpm.추가_색인번호)-IF(AND(OR($G322="blast", $G322="curved", $G322= "debuff"), MOD($L322,1)&lt;&gt;0),INDEX(Factor!$AN$5:$AV$51, _xlfn.XMATCH(IF(OR($G322="blast", $G322="curved", $G322= "debuff"), $L322, 0), Factor!$AN$5:$AN$51, -1), 2)*MOD($L322,1)*10,0),
_xlpm.상태이상보정치, VLOOKUP(IF($G322 = "debuff", $M322, "null"), Factor!$AX$5:$BE$51, _xlpm.기본_색인번호, 0),
_xlpm.지속시간보정치, INDEX(Factor!$BG$5:$BO$51, _xlfn.XMATCH(IF(OR($G322 ="debuff", $G322 = "shot", $G322 = "pierce"), $O322, 0), Factor!$BG$5:$BG$51, -1), _xlpm.추가_색인번호)-IF(AND(OR($G322 ="debuff", $G322 = "shot", $G322 = "pierce"), MOD($O322, 1)&lt;&gt;0), 10*MOD($O322, 1)*INDEX(Factor!$BG$5:$BO$51, _xlfn.XMATCH(IF(OR($G322 ="debuff", $G322 = "shot", $G322 = "pierce"), $O322, 0), Factor!$BG$5:$BG$51, -1), 2), 0),
_xlpm.탄환개수보정치, VLOOKUP(IF(OR($G322 = "curved", $G322 = "shot"), $Q322, 1), Factor!$BQ$5:$BX$51, _xlpm.기본_색인번호, 0),
_xlpm.상태이상탄환생성위치보정치, IF($G322 = "debuff", VLOOKUP($R322, Factor!$K$18:$R$19, _xlpm.기본_색인번호, 0),1),
_xlpm.상태이상탄환형태보정치, IF($G322 = "debuff", VLOOKUP($S322, Factor!$K$24:$R$25, _xlpm.기본_색인번호, 0),1),
_xlpm.가격보정치, INDEX(Factor!$AE$5:$AL$51, _xlfn.XMATCH($F322,Factor!$AE$5:$AE$51, -1), _xlpm.기본_색인번호),
_xlpm.구경보정치, VLOOKUP($D322,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</row>
    <row r="323" spans="1:33" ht="15.75" customHeight="1">
      <c r="A323" s="24" t="str">
        <f>"weapon_"&amp;G323&amp;"_"&amp;VLOOKUP(H323, Factor!$T$5:$AB$7, 9, 0)&amp;"_"&amp;IF(COUNTIFS($G$4:G322, G323, $H$4:H322, H323)+1&gt;=100, COUNTIFS($G$4:G322, G323, $H$4:H322, H323)+1,IF(COUNTIFS($G$4:G322, G323, $H$4:H322, H323)+1&gt;=10, "0"&amp;COUNTIFS($G$4:G322, G323, $H$4:H322, H323)+1, "00"&amp;COUNTIFS($G$4:G322, G323, $H$4:H322, H323)+1))</f>
        <v>weapon_curved_Sh_022</v>
      </c>
      <c r="B323" s="36" t="str">
        <f t="shared" si="5"/>
        <v>T5 105mm곡사포</v>
      </c>
      <c r="C323" s="36" t="s">
        <v>158</v>
      </c>
      <c r="D323" s="36" t="s">
        <v>265</v>
      </c>
      <c r="E323" s="36" t="s">
        <v>199</v>
      </c>
      <c r="F323" s="25">
        <f>VLOOKUP(C323, Factor!$AD$5:$AE$15, 2, 0)</f>
        <v>5000</v>
      </c>
      <c r="G323" s="26" t="str">
        <f>VLOOKUP(E323, Factor!$CL$5:$CV$50, 2, 0)</f>
        <v>curved</v>
      </c>
      <c r="H323" s="25" t="str">
        <f>VLOOKUP(E323, Factor!$CL$5:$CV$50, 3, 0)</f>
        <v>shell</v>
      </c>
      <c r="I323" s="25" t="str">
        <f>VLOOKUP(E323, Factor!$CL$5:$CV$50, 4, 0)</f>
        <v>L</v>
      </c>
      <c r="J323" s="25" t="str">
        <f>VLOOKUP(E323, Factor!$CL$5:$CV$50, 5, 0)</f>
        <v>normal</v>
      </c>
      <c r="K323" s="25">
        <v>1</v>
      </c>
      <c r="L323" s="25">
        <f>VLOOKUP(E323, Factor!$CL$5:$CV$50, 6, 0)*K323*VLOOKUP(D323, Factor!$BZ$5:$CJ$49, 9, 0)</f>
        <v>32</v>
      </c>
      <c r="M323" s="25" t="str">
        <f>VLOOKUP(E323, Factor!$CL$5:$CV$50, 7, 0)</f>
        <v>null</v>
      </c>
      <c r="N323" s="25">
        <v>1</v>
      </c>
      <c r="O323" s="25">
        <f>VLOOKUP(E323, Factor!$CL$5:$CV$50, 8, 0)*N323*VLOOKUP(D323, Factor!$BZ$5:$CJ$49, 10, 0)</f>
        <v>0</v>
      </c>
      <c r="P323" s="25">
        <v>1</v>
      </c>
      <c r="Q323" s="25">
        <f>VLOOKUP(E323, Factor!$CL$5:$CV$50, 9, 0)*P323*VLOOKUP(D323, Factor!$BZ$5:$CJ$49, 11, 0)</f>
        <v>8</v>
      </c>
      <c r="R323" s="25" t="str">
        <f>VLOOKUP(E323, Factor!$CL$5:$CV$50, 10, 0)</f>
        <v>null</v>
      </c>
      <c r="S323" s="25" t="str">
        <f>VLOOKUP(E323, Factor!$CL$5:$CV$50, 11, 0)</f>
        <v>null</v>
      </c>
      <c r="T323" s="25">
        <v>1</v>
      </c>
      <c r="U323" s="25">
        <v>1</v>
      </c>
      <c r="V323" s="25">
        <v>1</v>
      </c>
      <c r="W323" s="25">
        <v>1</v>
      </c>
      <c r="X323" s="25">
        <v>1</v>
      </c>
      <c r="Y323" s="25">
        <v>1</v>
      </c>
      <c r="Z323" s="25">
        <v>1</v>
      </c>
      <c r="AA323" s="25" cm="1">
        <f t="array" ref="AA323">_xlfn.LET(_xlpm.기본_색인번호, 2,
_xlpm.추가_색인번호, 3,
_xlpm.개별보정치, T323,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9600</v>
      </c>
      <c r="AB323" s="25" cm="1">
        <f t="array" ref="AB323">_xlfn.LET(_xlpm.기본_색인번호, 3,
_xlpm.추가_색인번호, 4,
_xlpm.개별보정치, U323,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23" s="25" cm="1">
        <f t="array" ref="AC323">_xlfn.LET(_xlpm.기본_색인번호, 4,
_xlpm.추가_색인번호, 5,
_xlpm.개별보정치, V323,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3" s="25" cm="1">
        <f t="array" ref="AD323">_xlfn.LET(_xlpm.기본_색인번호, 5,
_xlpm.추가_색인번호, 6,
_xlpm.개별보정치, W323,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E323" s="25" cm="1">
        <f t="array" ref="AE323">_xlfn.LET(_xlpm.기본_색인번호, 6,
_xlpm.추가_색인번호, 7,
_xlpm.개별보정치, X323,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F323" s="25" cm="1">
        <f t="array" ref="AF323">_xlfn.LET(_xlpm.기본_색인번호, 7,
_xlpm.추가_색인번호, 8,
_xlpm.개별보정치, Y323,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3" s="27" cm="1">
        <f t="array" ref="AG323">_xlfn.LET(_xlpm.기본_색인번호, 8,
_xlpm.추가_색인번호, 9,
_xlpm.개별보정치, Z323,
_xlpm.패턴보정치, VLOOKUP($G323, Factor!$B$5:$I$51, _xlpm.기본_색인번호, 0),
_xlpm.소모탄환보정치, VLOOKUP($H323, Factor!$T$5:$AA$51, _xlpm.기본_색인번호, 0),
_xlpm.지형보정치, VLOOKUP($I323, Factor!$K$12:$R$13, _xlpm.기본_색인번호, 0),
_xlpm.공격속성보정치, VLOOKUP($J323, Factor!$K$5:$R$7, _xlpm.기본_색인번호, 0),
_xlpm.피해범위보정치, INDEX(Factor!$AN$5:$AV$51, _xlfn.XMATCH(IF(OR($G323="blast", $G323="curved",  $G323= "debuff"), $L323, 0), Factor!$AN$5:$AN$51, -1), _xlpm.추가_색인번호)-IF(AND(OR($G323="blast", $G323="curved", $G323= "debuff"), MOD($L323,1)&lt;&gt;0),INDEX(Factor!$AN$5:$AV$51, _xlfn.XMATCH(IF(OR($G323="blast", $G323="curved", $G323= "debuff"), $L323, 0), Factor!$AN$5:$AN$51, -1), 2)*MOD($L323,1)*10,0),
_xlpm.상태이상보정치, VLOOKUP(IF($G323 = "debuff", $M323, "null"), Factor!$AX$5:$BE$51, _xlpm.기본_색인번호, 0),
_xlpm.지속시간보정치, INDEX(Factor!$BG$5:$BO$51, _xlfn.XMATCH(IF(OR($G323 ="debuff", $G323 = "shot", $G323 = "pierce"), $O323, 0), Factor!$BG$5:$BG$51, -1), _xlpm.추가_색인번호)-IF(AND(OR($G323 ="debuff", $G323 = "shot", $G323 = "pierce"), MOD($O323, 1)&lt;&gt;0), 10*MOD($O323, 1)*INDEX(Factor!$BG$5:$BO$51, _xlfn.XMATCH(IF(OR($G323 ="debuff", $G323 = "shot", $G323 = "pierce"), $O323, 0), Factor!$BG$5:$BG$51, -1), 2), 0),
_xlpm.탄환개수보정치, VLOOKUP(IF(OR($G323 = "curved", $G323 = "shot"), $Q323, 1), Factor!$BQ$5:$BX$51, _xlpm.기본_색인번호, 0),
_xlpm.상태이상탄환생성위치보정치, IF($G323 = "debuff", VLOOKUP($R323, Factor!$K$18:$R$19, _xlpm.기본_색인번호, 0),1),
_xlpm.상태이상탄환형태보정치, IF($G323 = "debuff", VLOOKUP($S323, Factor!$K$24:$R$25, _xlpm.기본_색인번호, 0),1),
_xlpm.가격보정치, INDEX(Factor!$AE$5:$AL$51, _xlfn.XMATCH($F323,Factor!$AE$5:$AE$51, -1), _xlpm.기본_색인번호),
_xlpm.구경보정치, VLOOKUP($D323,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</row>
    <row r="324" spans="1:33" ht="15.75" customHeight="1">
      <c r="A324" s="28" t="str">
        <f>"weapon_"&amp;G324&amp;"_"&amp;VLOOKUP(H324, Factor!$T$5:$AB$7, 9, 0)&amp;"_"&amp;IF(COUNTIFS($G$4:G323, G324, $H$4:H323, H324)+1&gt;=100, COUNTIFS($G$4:G323, G324, $H$4:H323, H324)+1,IF(COUNTIFS($G$4:G323, G324, $H$4:H323, H324)+1&gt;=10, "0"&amp;COUNTIFS($G$4:G323, G324, $H$4:H323, H324)+1, "00"&amp;COUNTIFS($G$4:G323, G324, $H$4:H323, H324)+1))</f>
        <v>weapon_curved_Sh_023</v>
      </c>
      <c r="B324" s="37" t="str">
        <f t="shared" si="5"/>
        <v>T5 155mm곡사포</v>
      </c>
      <c r="C324" s="37" t="s">
        <v>158</v>
      </c>
      <c r="D324" s="37" t="s">
        <v>266</v>
      </c>
      <c r="E324" s="37" t="s">
        <v>199</v>
      </c>
      <c r="F324" s="29">
        <f>VLOOKUP(C324, Factor!$AD$5:$AE$15, 2, 0)</f>
        <v>5000</v>
      </c>
      <c r="G324" s="29" t="str">
        <f>VLOOKUP(E324, Factor!$CL$5:$CV$50, 2, 0)</f>
        <v>curved</v>
      </c>
      <c r="H324" s="29" t="str">
        <f>VLOOKUP(E324, Factor!$CL$5:$CV$50, 3, 0)</f>
        <v>shell</v>
      </c>
      <c r="I324" s="29" t="str">
        <f>VLOOKUP(E324, Factor!$CL$5:$CV$50, 4, 0)</f>
        <v>L</v>
      </c>
      <c r="J324" s="29" t="str">
        <f>VLOOKUP(E324, Factor!$CL$5:$CV$50, 5, 0)</f>
        <v>normal</v>
      </c>
      <c r="K324" s="29">
        <v>1</v>
      </c>
      <c r="L324" s="29">
        <f>VLOOKUP(E324, Factor!$CL$5:$CV$50, 6, 0)*K324*VLOOKUP(D324, Factor!$BZ$5:$CJ$49, 9, 0)</f>
        <v>32</v>
      </c>
      <c r="M324" s="29" t="str">
        <f>VLOOKUP(E324, Factor!$CL$5:$CV$50, 7, 0)</f>
        <v>null</v>
      </c>
      <c r="N324" s="29">
        <v>1</v>
      </c>
      <c r="O324" s="29">
        <f>VLOOKUP(E324, Factor!$CL$5:$CV$50, 8, 0)*N324*VLOOKUP(D324, Factor!$BZ$5:$CJ$49, 10, 0)</f>
        <v>0</v>
      </c>
      <c r="P324" s="29">
        <v>1</v>
      </c>
      <c r="Q324" s="29">
        <f>VLOOKUP(E324, Factor!$CL$5:$CV$50, 9, 0)*P324*VLOOKUP(D324, Factor!$BZ$5:$CJ$49, 11, 0)</f>
        <v>8</v>
      </c>
      <c r="R324" s="29" t="str">
        <f>VLOOKUP(E324, Factor!$CL$5:$CV$50, 10, 0)</f>
        <v>null</v>
      </c>
      <c r="S324" s="29" t="str">
        <f>VLOOKUP(E324, Factor!$CL$5:$CV$50, 11, 0)</f>
        <v>null</v>
      </c>
      <c r="T324" s="29">
        <v>1</v>
      </c>
      <c r="U324" s="29">
        <v>1</v>
      </c>
      <c r="V324" s="29">
        <v>1</v>
      </c>
      <c r="W324" s="29">
        <v>1</v>
      </c>
      <c r="X324" s="29">
        <v>1</v>
      </c>
      <c r="Y324" s="29">
        <v>1</v>
      </c>
      <c r="Z324" s="29">
        <v>1</v>
      </c>
      <c r="AA324" s="29" cm="1">
        <f t="array" ref="AA324">_xlfn.LET(_xlpm.기본_색인번호, 2,
_xlpm.추가_색인번호, 3,
_xlpm.개별보정치, T324,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9600</v>
      </c>
      <c r="AB324" s="29" cm="1">
        <f t="array" ref="AB324">_xlfn.LET(_xlpm.기본_색인번호, 3,
_xlpm.추가_색인번호, 4,
_xlpm.개별보정치, U324,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560</v>
      </c>
      <c r="AC324" s="29" cm="1">
        <f t="array" ref="AC324">_xlfn.LET(_xlpm.기본_색인번호, 4,
_xlpm.추가_색인번호, 5,
_xlpm.개별보정치, V324,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4" s="29" cm="1">
        <f t="array" ref="AD324">_xlfn.LET(_xlpm.기본_색인번호, 5,
_xlpm.추가_색인번호, 6,
_xlpm.개별보정치, W324,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E324" s="29" cm="1">
        <f t="array" ref="AE324">_xlfn.LET(_xlpm.기본_색인번호, 6,
_xlpm.추가_색인번호, 7,
_xlpm.개별보정치, X324,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F324" s="29" cm="1">
        <f t="array" ref="AF324">_xlfn.LET(_xlpm.기본_색인번호, 7,
_xlpm.추가_색인번호, 8,
_xlpm.개별보정치, Y324,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4" s="30" cm="1">
        <f t="array" ref="AG324">_xlfn.LET(_xlpm.기본_색인번호, 8,
_xlpm.추가_색인번호, 9,
_xlpm.개별보정치, Z324,
_xlpm.패턴보정치, VLOOKUP($G324, Factor!$B$5:$I$51, _xlpm.기본_색인번호, 0),
_xlpm.소모탄환보정치, VLOOKUP($H324, Factor!$T$5:$AA$51, _xlpm.기본_색인번호, 0),
_xlpm.지형보정치, VLOOKUP($I324, Factor!$K$12:$R$13, _xlpm.기본_색인번호, 0),
_xlpm.공격속성보정치, VLOOKUP($J324, Factor!$K$5:$R$7, _xlpm.기본_색인번호, 0),
_xlpm.피해범위보정치, INDEX(Factor!$AN$5:$AV$51, _xlfn.XMATCH(IF(OR($G324="blast", $G324="curved",  $G324= "debuff"), $L324, 0), Factor!$AN$5:$AN$51, -1), _xlpm.추가_색인번호)-IF(AND(OR($G324="blast", $G324="curved", $G324= "debuff"), MOD($L324,1)&lt;&gt;0),INDEX(Factor!$AN$5:$AV$51, _xlfn.XMATCH(IF(OR($G324="blast", $G324="curved", $G324= "debuff"), $L324, 0), Factor!$AN$5:$AN$51, -1), 2)*MOD($L324,1)*10,0),
_xlpm.상태이상보정치, VLOOKUP(IF($G324 = "debuff", $M324, "null"), Factor!$AX$5:$BE$51, _xlpm.기본_색인번호, 0),
_xlpm.지속시간보정치, INDEX(Factor!$BG$5:$BO$51, _xlfn.XMATCH(IF(OR($G324 ="debuff", $G324 = "shot", $G324 = "pierce"), $O324, 0), Factor!$BG$5:$BG$51, -1), _xlpm.추가_색인번호)-IF(AND(OR($G324 ="debuff", $G324 = "shot", $G324 = "pierce"), MOD($O324, 1)&lt;&gt;0), 10*MOD($O324, 1)*INDEX(Factor!$BG$5:$BO$51, _xlfn.XMATCH(IF(OR($G324 ="debuff", $G324 = "shot", $G324 = "pierce"), $O324, 0), Factor!$BG$5:$BG$51, -1), 2), 0),
_xlpm.탄환개수보정치, VLOOKUP(IF(OR($G324 = "curved", $G324 = "shot"), $Q324, 1), Factor!$BQ$5:$BX$51, _xlpm.기본_색인번호, 0),
_xlpm.상태이상탄환생성위치보정치, IF($G324 = "debuff", VLOOKUP($R324, Factor!$K$18:$R$19, _xlpm.기본_색인번호, 0),1),
_xlpm.상태이상탄환형태보정치, IF($G324 = "debuff", VLOOKUP($S324, Factor!$K$24:$R$25, _xlpm.기본_색인번호, 0),1),
_xlpm.가격보정치, INDEX(Factor!$AE$5:$AL$51, _xlfn.XMATCH($F324,Factor!$AE$5:$AE$51, -1), _xlpm.기본_색인번호),
_xlpm.구경보정치, VLOOKUP($D324,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</row>
    <row r="325" spans="1:33" ht="15.75" customHeight="1">
      <c r="A325" s="24" t="str">
        <f>"weapon_"&amp;G325&amp;"_"&amp;VLOOKUP(H325, Factor!$T$5:$AB$7, 9, 0)&amp;"_"&amp;IF(COUNTIFS($G$4:G324, G325, $H$4:H324, H325)+1&gt;=100, COUNTIFS($G$4:G324, G325, $H$4:H324, H325)+1,IF(COUNTIFS($G$4:G324, G325, $H$4:H324, H325)+1&gt;=10, "0"&amp;COUNTIFS($G$4:G324, G325, $H$4:H324, H325)+1, "00"&amp;COUNTIFS($G$4:G324, G325, $H$4:H324, H325)+1))</f>
        <v>weapon_curved_Sh_024</v>
      </c>
      <c r="B325" s="36" t="str">
        <f t="shared" si="5"/>
        <v>T6 105mm곡사포</v>
      </c>
      <c r="C325" s="36" t="s">
        <v>159</v>
      </c>
      <c r="D325" s="36" t="s">
        <v>265</v>
      </c>
      <c r="E325" s="36" t="s">
        <v>199</v>
      </c>
      <c r="F325" s="25">
        <f>VLOOKUP(C325, Factor!$AD$5:$AE$15, 2, 0)</f>
        <v>6000</v>
      </c>
      <c r="G325" s="26" t="str">
        <f>VLOOKUP(E325, Factor!$CL$5:$CV$50, 2, 0)</f>
        <v>curved</v>
      </c>
      <c r="H325" s="25" t="str">
        <f>VLOOKUP(E325, Factor!$CL$5:$CV$50, 3, 0)</f>
        <v>shell</v>
      </c>
      <c r="I325" s="25" t="str">
        <f>VLOOKUP(E325, Factor!$CL$5:$CV$50, 4, 0)</f>
        <v>L</v>
      </c>
      <c r="J325" s="25" t="str">
        <f>VLOOKUP(E325, Factor!$CL$5:$CV$50, 5, 0)</f>
        <v>normal</v>
      </c>
      <c r="K325" s="25">
        <v>1</v>
      </c>
      <c r="L325" s="25">
        <f>VLOOKUP(E325, Factor!$CL$5:$CV$50, 6, 0)*K325*VLOOKUP(D325, Factor!$BZ$5:$CJ$49, 9, 0)</f>
        <v>32</v>
      </c>
      <c r="M325" s="25" t="str">
        <f>VLOOKUP(E325, Factor!$CL$5:$CV$50, 7, 0)</f>
        <v>null</v>
      </c>
      <c r="N325" s="25">
        <v>1</v>
      </c>
      <c r="O325" s="25">
        <f>VLOOKUP(E325, Factor!$CL$5:$CV$50, 8, 0)*N325*VLOOKUP(D325, Factor!$BZ$5:$CJ$49, 10, 0)</f>
        <v>0</v>
      </c>
      <c r="P325" s="25">
        <v>1</v>
      </c>
      <c r="Q325" s="25">
        <f>VLOOKUP(E325, Factor!$CL$5:$CV$50, 9, 0)*P325*VLOOKUP(D325, Factor!$BZ$5:$CJ$49, 11, 0)</f>
        <v>8</v>
      </c>
      <c r="R325" s="25" t="str">
        <f>VLOOKUP(E325, Factor!$CL$5:$CV$50, 10, 0)</f>
        <v>null</v>
      </c>
      <c r="S325" s="25" t="str">
        <f>VLOOKUP(E325, Factor!$CL$5:$CV$50, 11, 0)</f>
        <v>null</v>
      </c>
      <c r="T325" s="25">
        <v>1</v>
      </c>
      <c r="U325" s="25">
        <v>1</v>
      </c>
      <c r="V325" s="25">
        <v>1</v>
      </c>
      <c r="W325" s="25">
        <v>1</v>
      </c>
      <c r="X325" s="25">
        <v>1</v>
      </c>
      <c r="Y325" s="25">
        <v>1</v>
      </c>
      <c r="Z325" s="25">
        <v>1</v>
      </c>
      <c r="AA325" s="25" cm="1">
        <f t="array" ref="AA325">_xlfn.LET(_xlpm.기본_색인번호, 2,
_xlpm.추가_색인번호, 3,
_xlpm.개별보정치, T325,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11200</v>
      </c>
      <c r="AB325" s="25" cm="1">
        <f t="array" ref="AB325">_xlfn.LET(_xlpm.기본_색인번호, 3,
_xlpm.추가_색인번호, 4,
_xlpm.개별보정치, U325,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25" s="25" cm="1">
        <f t="array" ref="AC325">_xlfn.LET(_xlpm.기본_색인번호, 4,
_xlpm.추가_색인번호, 5,
_xlpm.개별보정치, V325,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5" s="25" cm="1">
        <f t="array" ref="AD325">_xlfn.LET(_xlpm.기본_색인번호, 5,
_xlpm.추가_색인번호, 6,
_xlpm.개별보정치, W325,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E325" s="25" cm="1">
        <f t="array" ref="AE325">_xlfn.LET(_xlpm.기본_색인번호, 6,
_xlpm.추가_색인번호, 7,
_xlpm.개별보정치, X325,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F325" s="25" cm="1">
        <f t="array" ref="AF325">_xlfn.LET(_xlpm.기본_색인번호, 7,
_xlpm.추가_색인번호, 8,
_xlpm.개별보정치, Y325,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5" s="27" cm="1">
        <f t="array" ref="AG325">_xlfn.LET(_xlpm.기본_색인번호, 8,
_xlpm.추가_색인번호, 9,
_xlpm.개별보정치, Z325,
_xlpm.패턴보정치, VLOOKUP($G325, Factor!$B$5:$I$51, _xlpm.기본_색인번호, 0),
_xlpm.소모탄환보정치, VLOOKUP($H325, Factor!$T$5:$AA$51, _xlpm.기본_색인번호, 0),
_xlpm.지형보정치, VLOOKUP($I325, Factor!$K$12:$R$13, _xlpm.기본_색인번호, 0),
_xlpm.공격속성보정치, VLOOKUP($J325, Factor!$K$5:$R$7, _xlpm.기본_색인번호, 0),
_xlpm.피해범위보정치, INDEX(Factor!$AN$5:$AV$51, _xlfn.XMATCH(IF(OR($G325="blast", $G325="curved",  $G325= "debuff"), $L325, 0), Factor!$AN$5:$AN$51, -1), _xlpm.추가_색인번호)-IF(AND(OR($G325="blast", $G325="curved", $G325= "debuff"), MOD($L325,1)&lt;&gt;0),INDEX(Factor!$AN$5:$AV$51, _xlfn.XMATCH(IF(OR($G325="blast", $G325="curved", $G325= "debuff"), $L325, 0), Factor!$AN$5:$AN$51, -1), 2)*MOD($L325,1)*10,0),
_xlpm.상태이상보정치, VLOOKUP(IF($G325 = "debuff", $M325, "null"), Factor!$AX$5:$BE$51, _xlpm.기본_색인번호, 0),
_xlpm.지속시간보정치, INDEX(Factor!$BG$5:$BO$51, _xlfn.XMATCH(IF(OR($G325 ="debuff", $G325 = "shot", $G325 = "pierce"), $O325, 0), Factor!$BG$5:$BG$51, -1), _xlpm.추가_색인번호)-IF(AND(OR($G325 ="debuff", $G325 = "shot", $G325 = "pierce"), MOD($O325, 1)&lt;&gt;0), 10*MOD($O325, 1)*INDEX(Factor!$BG$5:$BO$51, _xlfn.XMATCH(IF(OR($G325 ="debuff", $G325 = "shot", $G325 = "pierce"), $O325, 0), Factor!$BG$5:$BG$51, -1), 2), 0),
_xlpm.탄환개수보정치, VLOOKUP(IF(OR($G325 = "curved", $G325 = "shot"), $Q325, 1), Factor!$BQ$5:$BX$51, _xlpm.기본_색인번호, 0),
_xlpm.상태이상탄환생성위치보정치, IF($G325 = "debuff", VLOOKUP($R325, Factor!$K$18:$R$19, _xlpm.기본_색인번호, 0),1),
_xlpm.상태이상탄환형태보정치, IF($G325 = "debuff", VLOOKUP($S325, Factor!$K$24:$R$25, _xlpm.기본_색인번호, 0),1),
_xlpm.가격보정치, INDEX(Factor!$AE$5:$AL$51, _xlfn.XMATCH($F325,Factor!$AE$5:$AE$51, -1), _xlpm.기본_색인번호),
_xlpm.구경보정치, VLOOKUP($D325,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</row>
    <row r="326" spans="1:33" ht="15.75" customHeight="1">
      <c r="A326" s="28" t="str">
        <f>"weapon_"&amp;G326&amp;"_"&amp;VLOOKUP(H326, Factor!$T$5:$AB$7, 9, 0)&amp;"_"&amp;IF(COUNTIFS($G$4:G325, G326, $H$4:H325, H326)+1&gt;=100, COUNTIFS($G$4:G325, G326, $H$4:H325, H326)+1,IF(COUNTIFS($G$4:G325, G326, $H$4:H325, H326)+1&gt;=10, "0"&amp;COUNTIFS($G$4:G325, G326, $H$4:H325, H326)+1, "00"&amp;COUNTIFS($G$4:G325, G326, $H$4:H325, H326)+1))</f>
        <v>weapon_curved_Sh_025</v>
      </c>
      <c r="B326" s="37" t="str">
        <f t="shared" si="5"/>
        <v>T6 155mm곡사포</v>
      </c>
      <c r="C326" s="37" t="s">
        <v>159</v>
      </c>
      <c r="D326" s="37" t="s">
        <v>266</v>
      </c>
      <c r="E326" s="37" t="s">
        <v>199</v>
      </c>
      <c r="F326" s="29">
        <f>VLOOKUP(C326, Factor!$AD$5:$AE$15, 2, 0)</f>
        <v>6000</v>
      </c>
      <c r="G326" s="29" t="str">
        <f>VLOOKUP(E326, Factor!$CL$5:$CV$50, 2, 0)</f>
        <v>curved</v>
      </c>
      <c r="H326" s="29" t="str">
        <f>VLOOKUP(E326, Factor!$CL$5:$CV$50, 3, 0)</f>
        <v>shell</v>
      </c>
      <c r="I326" s="29" t="str">
        <f>VLOOKUP(E326, Factor!$CL$5:$CV$50, 4, 0)</f>
        <v>L</v>
      </c>
      <c r="J326" s="29" t="str">
        <f>VLOOKUP(E326, Factor!$CL$5:$CV$50, 5, 0)</f>
        <v>normal</v>
      </c>
      <c r="K326" s="29">
        <v>1</v>
      </c>
      <c r="L326" s="29">
        <f>VLOOKUP(E326, Factor!$CL$5:$CV$50, 6, 0)*K326*VLOOKUP(D326, Factor!$BZ$5:$CJ$49, 9, 0)</f>
        <v>32</v>
      </c>
      <c r="M326" s="29" t="str">
        <f>VLOOKUP(E326, Factor!$CL$5:$CV$50, 7, 0)</f>
        <v>null</v>
      </c>
      <c r="N326" s="29">
        <v>1</v>
      </c>
      <c r="O326" s="29">
        <f>VLOOKUP(E326, Factor!$CL$5:$CV$50, 8, 0)*N326*VLOOKUP(D326, Factor!$BZ$5:$CJ$49, 10, 0)</f>
        <v>0</v>
      </c>
      <c r="P326" s="29">
        <v>1</v>
      </c>
      <c r="Q326" s="29">
        <f>VLOOKUP(E326, Factor!$CL$5:$CV$50, 9, 0)*P326*VLOOKUP(D326, Factor!$BZ$5:$CJ$49, 11, 0)</f>
        <v>8</v>
      </c>
      <c r="R326" s="29" t="str">
        <f>VLOOKUP(E326, Factor!$CL$5:$CV$50, 10, 0)</f>
        <v>null</v>
      </c>
      <c r="S326" s="29" t="str">
        <f>VLOOKUP(E326, Factor!$CL$5:$CV$50, 11, 0)</f>
        <v>null</v>
      </c>
      <c r="T326" s="29">
        <v>1</v>
      </c>
      <c r="U326" s="29">
        <v>1</v>
      </c>
      <c r="V326" s="29">
        <v>1</v>
      </c>
      <c r="W326" s="29">
        <v>1</v>
      </c>
      <c r="X326" s="29">
        <v>1</v>
      </c>
      <c r="Y326" s="29">
        <v>1</v>
      </c>
      <c r="Z326" s="29">
        <v>1</v>
      </c>
      <c r="AA326" s="29" cm="1">
        <f t="array" ref="AA326">_xlfn.LET(_xlpm.기본_색인번호, 2,
_xlpm.추가_색인번호, 3,
_xlpm.개별보정치, T326,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11200</v>
      </c>
      <c r="AB326" s="29" cm="1">
        <f t="array" ref="AB326">_xlfn.LET(_xlpm.기본_색인번호, 3,
_xlpm.추가_색인번호, 4,
_xlpm.개별보정치, U326,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26" s="29" cm="1">
        <f t="array" ref="AC326">_xlfn.LET(_xlpm.기본_색인번호, 4,
_xlpm.추가_색인번호, 5,
_xlpm.개별보정치, V326,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6" s="29" cm="1">
        <f t="array" ref="AD326">_xlfn.LET(_xlpm.기본_색인번호, 5,
_xlpm.추가_색인번호, 6,
_xlpm.개별보정치, W326,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E326" s="29" cm="1">
        <f t="array" ref="AE326">_xlfn.LET(_xlpm.기본_색인번호, 6,
_xlpm.추가_색인번호, 7,
_xlpm.개별보정치, X326,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F326" s="29" cm="1">
        <f t="array" ref="AF326">_xlfn.LET(_xlpm.기본_색인번호, 7,
_xlpm.추가_색인번호, 8,
_xlpm.개별보정치, Y326,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6" s="30" cm="1">
        <f t="array" ref="AG326">_xlfn.LET(_xlpm.기본_색인번호, 8,
_xlpm.추가_색인번호, 9,
_xlpm.개별보정치, Z326,
_xlpm.패턴보정치, VLOOKUP($G326, Factor!$B$5:$I$51, _xlpm.기본_색인번호, 0),
_xlpm.소모탄환보정치, VLOOKUP($H326, Factor!$T$5:$AA$51, _xlpm.기본_색인번호, 0),
_xlpm.지형보정치, VLOOKUP($I326, Factor!$K$12:$R$13, _xlpm.기본_색인번호, 0),
_xlpm.공격속성보정치, VLOOKUP($J326, Factor!$K$5:$R$7, _xlpm.기본_색인번호, 0),
_xlpm.피해범위보정치, INDEX(Factor!$AN$5:$AV$51, _xlfn.XMATCH(IF(OR($G326="blast", $G326="curved",  $G326= "debuff"), $L326, 0), Factor!$AN$5:$AN$51, -1), _xlpm.추가_색인번호)-IF(AND(OR($G326="blast", $G326="curved", $G326= "debuff"), MOD($L326,1)&lt;&gt;0),INDEX(Factor!$AN$5:$AV$51, _xlfn.XMATCH(IF(OR($G326="blast", $G326="curved", $G326= "debuff"), $L326, 0), Factor!$AN$5:$AN$51, -1), 2)*MOD($L326,1)*10,0),
_xlpm.상태이상보정치, VLOOKUP(IF($G326 = "debuff", $M326, "null"), Factor!$AX$5:$BE$51, _xlpm.기본_색인번호, 0),
_xlpm.지속시간보정치, INDEX(Factor!$BG$5:$BO$51, _xlfn.XMATCH(IF(OR($G326 ="debuff", $G326 = "shot", $G326 = "pierce"), $O326, 0), Factor!$BG$5:$BG$51, -1), _xlpm.추가_색인번호)-IF(AND(OR($G326 ="debuff", $G326 = "shot", $G326 = "pierce"), MOD($O326, 1)&lt;&gt;0), 10*MOD($O326, 1)*INDEX(Factor!$BG$5:$BO$51, _xlfn.XMATCH(IF(OR($G326 ="debuff", $G326 = "shot", $G326 = "pierce"), $O326, 0), Factor!$BG$5:$BG$51, -1), 2), 0),
_xlpm.탄환개수보정치, VLOOKUP(IF(OR($G326 = "curved", $G326 = "shot"), $Q326, 1), Factor!$BQ$5:$BX$51, _xlpm.기본_색인번호, 0),
_xlpm.상태이상탄환생성위치보정치, IF($G326 = "debuff", VLOOKUP($R326, Factor!$K$18:$R$19, _xlpm.기본_색인번호, 0),1),
_xlpm.상태이상탄환형태보정치, IF($G326 = "debuff", VLOOKUP($S326, Factor!$K$24:$R$25, _xlpm.기본_색인번호, 0),1),
_xlpm.가격보정치, INDEX(Factor!$AE$5:$AL$51, _xlfn.XMATCH($F326,Factor!$AE$5:$AE$51, -1), _xlpm.기본_색인번호),
_xlpm.구경보정치, VLOOKUP($D326,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</row>
    <row r="327" spans="1:33" ht="15.75" customHeight="1">
      <c r="A327" s="24" t="str">
        <f>"weapon_"&amp;G327&amp;"_"&amp;VLOOKUP(H327, Factor!$T$5:$AB$7, 9, 0)&amp;"_"&amp;IF(COUNTIFS($G$4:G326, G327, $H$4:H326, H327)+1&gt;=100, COUNTIFS($G$4:G326, G327, $H$4:H326, H327)+1,IF(COUNTIFS($G$4:G326, G327, $H$4:H326, H327)+1&gt;=10, "0"&amp;COUNTIFS($G$4:G326, G327, $H$4:H326, H327)+1, "00"&amp;COUNTIFS($G$4:G326, G327, $H$4:H326, H327)+1))</f>
        <v>weapon_curved_Sh_026</v>
      </c>
      <c r="B327" s="36" t="str">
        <f t="shared" si="5"/>
        <v>T7 105mm곡사포</v>
      </c>
      <c r="C327" s="36" t="s">
        <v>160</v>
      </c>
      <c r="D327" s="36" t="s">
        <v>265</v>
      </c>
      <c r="E327" s="36" t="s">
        <v>199</v>
      </c>
      <c r="F327" s="25">
        <f>VLOOKUP(C327, Factor!$AD$5:$AE$15, 2, 0)</f>
        <v>7000</v>
      </c>
      <c r="G327" s="26" t="str">
        <f>VLOOKUP(E327, Factor!$CL$5:$CV$50, 2, 0)</f>
        <v>curved</v>
      </c>
      <c r="H327" s="25" t="str">
        <f>VLOOKUP(E327, Factor!$CL$5:$CV$50, 3, 0)</f>
        <v>shell</v>
      </c>
      <c r="I327" s="25" t="str">
        <f>VLOOKUP(E327, Factor!$CL$5:$CV$50, 4, 0)</f>
        <v>L</v>
      </c>
      <c r="J327" s="25" t="str">
        <f>VLOOKUP(E327, Factor!$CL$5:$CV$50, 5, 0)</f>
        <v>normal</v>
      </c>
      <c r="K327" s="25">
        <v>1</v>
      </c>
      <c r="L327" s="25">
        <f>VLOOKUP(E327, Factor!$CL$5:$CV$50, 6, 0)*K327*VLOOKUP(D327, Factor!$BZ$5:$CJ$49, 9, 0)</f>
        <v>32</v>
      </c>
      <c r="M327" s="25" t="str">
        <f>VLOOKUP(E327, Factor!$CL$5:$CV$50, 7, 0)</f>
        <v>null</v>
      </c>
      <c r="N327" s="25">
        <v>1</v>
      </c>
      <c r="O327" s="25">
        <f>VLOOKUP(E327, Factor!$CL$5:$CV$50, 8, 0)*N327*VLOOKUP(D327, Factor!$BZ$5:$CJ$49, 10, 0)</f>
        <v>0</v>
      </c>
      <c r="P327" s="25">
        <v>1</v>
      </c>
      <c r="Q327" s="25">
        <f>VLOOKUP(E327, Factor!$CL$5:$CV$50, 9, 0)*P327*VLOOKUP(D327, Factor!$BZ$5:$CJ$49, 11, 0)</f>
        <v>8</v>
      </c>
      <c r="R327" s="25" t="str">
        <f>VLOOKUP(E327, Factor!$CL$5:$CV$50, 10, 0)</f>
        <v>null</v>
      </c>
      <c r="S327" s="25" t="str">
        <f>VLOOKUP(E327, Factor!$CL$5:$CV$50, 11, 0)</f>
        <v>null</v>
      </c>
      <c r="T327" s="25">
        <v>1</v>
      </c>
      <c r="U327" s="25">
        <v>1</v>
      </c>
      <c r="V327" s="25">
        <v>1</v>
      </c>
      <c r="W327" s="25">
        <v>1</v>
      </c>
      <c r="X327" s="25">
        <v>1</v>
      </c>
      <c r="Y327" s="25">
        <v>1</v>
      </c>
      <c r="Z327" s="25">
        <v>1</v>
      </c>
      <c r="AA327" s="25" cm="1">
        <f t="array" ref="AA327">_xlfn.LET(_xlpm.기본_색인번호, 2,
_xlpm.추가_색인번호, 3,
_xlpm.개별보정치, T327,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12800</v>
      </c>
      <c r="AB327" s="25" cm="1">
        <f t="array" ref="AB327">_xlfn.LET(_xlpm.기본_색인번호, 3,
_xlpm.추가_색인번호, 4,
_xlpm.개별보정치, U327,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27" s="25" cm="1">
        <f t="array" ref="AC327">_xlfn.LET(_xlpm.기본_색인번호, 4,
_xlpm.추가_색인번호, 5,
_xlpm.개별보정치, V327,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7" s="25" cm="1">
        <f t="array" ref="AD327">_xlfn.LET(_xlpm.기본_색인번호, 5,
_xlpm.추가_색인번호, 6,
_xlpm.개별보정치, W327,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  <c r="AE327" s="25" cm="1">
        <f t="array" ref="AE327">_xlfn.LET(_xlpm.기본_색인번호, 6,
_xlpm.추가_색인번호, 7,
_xlpm.개별보정치, X327,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  <c r="AF327" s="25" cm="1">
        <f t="array" ref="AF327">_xlfn.LET(_xlpm.기본_색인번호, 7,
_xlpm.추가_색인번호, 8,
_xlpm.개별보정치, Y327,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7" s="27" cm="1">
        <f t="array" ref="AG327">_xlfn.LET(_xlpm.기본_색인번호, 8,
_xlpm.추가_색인번호, 9,
_xlpm.개별보정치, Z327,
_xlpm.패턴보정치, VLOOKUP($G327, Factor!$B$5:$I$51, _xlpm.기본_색인번호, 0),
_xlpm.소모탄환보정치, VLOOKUP($H327, Factor!$T$5:$AA$51, _xlpm.기본_색인번호, 0),
_xlpm.지형보정치, VLOOKUP($I327, Factor!$K$12:$R$13, _xlpm.기본_색인번호, 0),
_xlpm.공격속성보정치, VLOOKUP($J327, Factor!$K$5:$R$7, _xlpm.기본_색인번호, 0),
_xlpm.피해범위보정치, INDEX(Factor!$AN$5:$AV$51, _xlfn.XMATCH(IF(OR($G327="blast", $G327="curved",  $G327= "debuff"), $L327, 0), Factor!$AN$5:$AN$51, -1), _xlpm.추가_색인번호)-IF(AND(OR($G327="blast", $G327="curved", $G327= "debuff"), MOD($L327,1)&lt;&gt;0),INDEX(Factor!$AN$5:$AV$51, _xlfn.XMATCH(IF(OR($G327="blast", $G327="curved", $G327= "debuff"), $L327, 0), Factor!$AN$5:$AN$51, -1), 2)*MOD($L327,1)*10,0),
_xlpm.상태이상보정치, VLOOKUP(IF($G327 = "debuff", $M327, "null"), Factor!$AX$5:$BE$51, _xlpm.기본_색인번호, 0),
_xlpm.지속시간보정치, INDEX(Factor!$BG$5:$BO$51, _xlfn.XMATCH(IF(OR($G327 ="debuff", $G327 = "shot", $G327 = "pierce"), $O327, 0), Factor!$BG$5:$BG$51, -1), _xlpm.추가_색인번호)-IF(AND(OR($G327 ="debuff", $G327 = "shot", $G327 = "pierce"), MOD($O327, 1)&lt;&gt;0), 10*MOD($O327, 1)*INDEX(Factor!$BG$5:$BO$51, _xlfn.XMATCH(IF(OR($G327 ="debuff", $G327 = "shot", $G327 = "pierce"), $O327, 0), Factor!$BG$5:$BG$51, -1), 2), 0),
_xlpm.탄환개수보정치, VLOOKUP(IF(OR($G327 = "curved", $G327 = "shot"), $Q327, 1), Factor!$BQ$5:$BX$51, _xlpm.기본_색인번호, 0),
_xlpm.상태이상탄환생성위치보정치, IF($G327 = "debuff", VLOOKUP($R327, Factor!$K$18:$R$19, _xlpm.기본_색인번호, 0),1),
_xlpm.상태이상탄환형태보정치, IF($G327 = "debuff", VLOOKUP($S327, Factor!$K$24:$R$25, _xlpm.기본_색인번호, 0),1),
_xlpm.가격보정치, INDEX(Factor!$AE$5:$AL$51, _xlfn.XMATCH($F327,Factor!$AE$5:$AE$51, -1), _xlpm.기본_색인번호),
_xlpm.구경보정치, VLOOKUP($D327,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</row>
    <row r="328" spans="1:33" ht="15.75" customHeight="1">
      <c r="A328" s="28" t="str">
        <f>"weapon_"&amp;G328&amp;"_"&amp;VLOOKUP(H328, Factor!$T$5:$AB$7, 9, 0)&amp;"_"&amp;IF(COUNTIFS($G$4:G327, G328, $H$4:H327, H328)+1&gt;=100, COUNTIFS($G$4:G327, G328, $H$4:H327, H328)+1,IF(COUNTIFS($G$4:G327, G328, $H$4:H327, H328)+1&gt;=10, "0"&amp;COUNTIFS($G$4:G327, G328, $H$4:H327, H328)+1, "00"&amp;COUNTIFS($G$4:G327, G328, $H$4:H327, H328)+1))</f>
        <v>weapon_curved_Sh_027</v>
      </c>
      <c r="B328" s="37" t="str">
        <f t="shared" si="5"/>
        <v>T7 155mm곡사포</v>
      </c>
      <c r="C328" s="37" t="s">
        <v>160</v>
      </c>
      <c r="D328" s="37" t="s">
        <v>266</v>
      </c>
      <c r="E328" s="37" t="s">
        <v>199</v>
      </c>
      <c r="F328" s="29">
        <f>VLOOKUP(C328, Factor!$AD$5:$AE$15, 2, 0)</f>
        <v>7000</v>
      </c>
      <c r="G328" s="29" t="str">
        <f>VLOOKUP(E328, Factor!$CL$5:$CV$50, 2, 0)</f>
        <v>curved</v>
      </c>
      <c r="H328" s="29" t="str">
        <f>VLOOKUP(E328, Factor!$CL$5:$CV$50, 3, 0)</f>
        <v>shell</v>
      </c>
      <c r="I328" s="29" t="str">
        <f>VLOOKUP(E328, Factor!$CL$5:$CV$50, 4, 0)</f>
        <v>L</v>
      </c>
      <c r="J328" s="29" t="str">
        <f>VLOOKUP(E328, Factor!$CL$5:$CV$50, 5, 0)</f>
        <v>normal</v>
      </c>
      <c r="K328" s="29">
        <v>1</v>
      </c>
      <c r="L328" s="29">
        <f>VLOOKUP(E328, Factor!$CL$5:$CV$50, 6, 0)*K328*VLOOKUP(D328, Factor!$BZ$5:$CJ$49, 9, 0)</f>
        <v>32</v>
      </c>
      <c r="M328" s="29" t="str">
        <f>VLOOKUP(E328, Factor!$CL$5:$CV$50, 7, 0)</f>
        <v>null</v>
      </c>
      <c r="N328" s="29">
        <v>1</v>
      </c>
      <c r="O328" s="29">
        <f>VLOOKUP(E328, Factor!$CL$5:$CV$50, 8, 0)*N328*VLOOKUP(D328, Factor!$BZ$5:$CJ$49, 10, 0)</f>
        <v>0</v>
      </c>
      <c r="P328" s="29">
        <v>1</v>
      </c>
      <c r="Q328" s="29">
        <f>VLOOKUP(E328, Factor!$CL$5:$CV$50, 9, 0)*P328*VLOOKUP(D328, Factor!$BZ$5:$CJ$49, 11, 0)</f>
        <v>8</v>
      </c>
      <c r="R328" s="29" t="str">
        <f>VLOOKUP(E328, Factor!$CL$5:$CV$50, 10, 0)</f>
        <v>null</v>
      </c>
      <c r="S328" s="29" t="str">
        <f>VLOOKUP(E328, Factor!$CL$5:$CV$50, 11, 0)</f>
        <v>null</v>
      </c>
      <c r="T328" s="29">
        <v>1</v>
      </c>
      <c r="U328" s="29">
        <v>1</v>
      </c>
      <c r="V328" s="29">
        <v>1</v>
      </c>
      <c r="W328" s="29">
        <v>1</v>
      </c>
      <c r="X328" s="29">
        <v>1</v>
      </c>
      <c r="Y328" s="29">
        <v>1</v>
      </c>
      <c r="Z328" s="29">
        <v>1</v>
      </c>
      <c r="AA328" s="29" cm="1">
        <f t="array" ref="AA328">_xlfn.LET(_xlpm.기본_색인번호, 2,
_xlpm.추가_색인번호, 3,
_xlpm.개별보정치, T328,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12800</v>
      </c>
      <c r="AB328" s="29" cm="1">
        <f t="array" ref="AB328">_xlfn.LET(_xlpm.기본_색인번호, 3,
_xlpm.추가_색인번호, 4,
_xlpm.개별보정치, U328,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28" s="29" cm="1">
        <f t="array" ref="AC328">_xlfn.LET(_xlpm.기본_색인번호, 4,
_xlpm.추가_색인번호, 5,
_xlpm.개별보정치, V328,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8" s="29" cm="1">
        <f t="array" ref="AD328">_xlfn.LET(_xlpm.기본_색인번호, 5,
_xlpm.추가_색인번호, 6,
_xlpm.개별보정치, W328,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  <c r="AE328" s="29" cm="1">
        <f t="array" ref="AE328">_xlfn.LET(_xlpm.기본_색인번호, 6,
_xlpm.추가_색인번호, 7,
_xlpm.개별보정치, X328,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  <c r="AF328" s="29" cm="1">
        <f t="array" ref="AF328">_xlfn.LET(_xlpm.기본_색인번호, 7,
_xlpm.추가_색인번호, 8,
_xlpm.개별보정치, Y328,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8" s="30" cm="1">
        <f t="array" ref="AG328">_xlfn.LET(_xlpm.기본_색인번호, 8,
_xlpm.추가_색인번호, 9,
_xlpm.개별보정치, Z328,
_xlpm.패턴보정치, VLOOKUP($G328, Factor!$B$5:$I$51, _xlpm.기본_색인번호, 0),
_xlpm.소모탄환보정치, VLOOKUP($H328, Factor!$T$5:$AA$51, _xlpm.기본_색인번호, 0),
_xlpm.지형보정치, VLOOKUP($I328, Factor!$K$12:$R$13, _xlpm.기본_색인번호, 0),
_xlpm.공격속성보정치, VLOOKUP($J328, Factor!$K$5:$R$7, _xlpm.기본_색인번호, 0),
_xlpm.피해범위보정치, INDEX(Factor!$AN$5:$AV$51, _xlfn.XMATCH(IF(OR($G328="blast", $G328="curved",  $G328= "debuff"), $L328, 0), Factor!$AN$5:$AN$51, -1), _xlpm.추가_색인번호)-IF(AND(OR($G328="blast", $G328="curved", $G328= "debuff"), MOD($L328,1)&lt;&gt;0),INDEX(Factor!$AN$5:$AV$51, _xlfn.XMATCH(IF(OR($G328="blast", $G328="curved", $G328= "debuff"), $L328, 0), Factor!$AN$5:$AN$51, -1), 2)*MOD($L328,1)*10,0),
_xlpm.상태이상보정치, VLOOKUP(IF($G328 = "debuff", $M328, "null"), Factor!$AX$5:$BE$51, _xlpm.기본_색인번호, 0),
_xlpm.지속시간보정치, INDEX(Factor!$BG$5:$BO$51, _xlfn.XMATCH(IF(OR($G328 ="debuff", $G328 = "shot", $G328 = "pierce"), $O328, 0), Factor!$BG$5:$BG$51, -1), _xlpm.추가_색인번호)-IF(AND(OR($G328 ="debuff", $G328 = "shot", $G328 = "pierce"), MOD($O328, 1)&lt;&gt;0), 10*MOD($O328, 1)*INDEX(Factor!$BG$5:$BO$51, _xlfn.XMATCH(IF(OR($G328 ="debuff", $G328 = "shot", $G328 = "pierce"), $O328, 0), Factor!$BG$5:$BG$51, -1), 2), 0),
_xlpm.탄환개수보정치, VLOOKUP(IF(OR($G328 = "curved", $G328 = "shot"), $Q328, 1), Factor!$BQ$5:$BX$51, _xlpm.기본_색인번호, 0),
_xlpm.상태이상탄환생성위치보정치, IF($G328 = "debuff", VLOOKUP($R328, Factor!$K$18:$R$19, _xlpm.기본_색인번호, 0),1),
_xlpm.상태이상탄환형태보정치, IF($G328 = "debuff", VLOOKUP($S328, Factor!$K$24:$R$25, _xlpm.기본_색인번호, 0),1),
_xlpm.가격보정치, INDEX(Factor!$AE$5:$AL$51, _xlfn.XMATCH($F328,Factor!$AE$5:$AE$51, -1), _xlpm.기본_색인번호),
_xlpm.구경보정치, VLOOKUP($D328,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896</v>
      </c>
    </row>
    <row r="329" spans="1:33" ht="15.75" customHeight="1">
      <c r="A329" s="24" t="str">
        <f>"weapon_"&amp;G329&amp;"_"&amp;VLOOKUP(H329, Factor!$T$5:$AB$7, 9, 0)&amp;"_"&amp;IF(COUNTIFS($G$4:G328, G329, $H$4:H328, H329)+1&gt;=100, COUNTIFS($G$4:G328, G329, $H$4:H328, H329)+1,IF(COUNTIFS($G$4:G328, G329, $H$4:H328, H329)+1&gt;=10, "0"&amp;COUNTIFS($G$4:G328, G329, $H$4:H328, H329)+1, "00"&amp;COUNTIFS($G$4:G328, G329, $H$4:H328, H329)+1))</f>
        <v>weapon_curved_Sh_028</v>
      </c>
      <c r="B329" s="36" t="str">
        <f t="shared" si="5"/>
        <v>T8 105mm곡사포</v>
      </c>
      <c r="C329" s="36" t="s">
        <v>161</v>
      </c>
      <c r="D329" s="36" t="s">
        <v>265</v>
      </c>
      <c r="E329" s="36" t="s">
        <v>199</v>
      </c>
      <c r="F329" s="25">
        <f>VLOOKUP(C329, Factor!$AD$5:$AE$15, 2, 0)</f>
        <v>8000</v>
      </c>
      <c r="G329" s="26" t="str">
        <f>VLOOKUP(E329, Factor!$CL$5:$CV$50, 2, 0)</f>
        <v>curved</v>
      </c>
      <c r="H329" s="25" t="str">
        <f>VLOOKUP(E329, Factor!$CL$5:$CV$50, 3, 0)</f>
        <v>shell</v>
      </c>
      <c r="I329" s="25" t="str">
        <f>VLOOKUP(E329, Factor!$CL$5:$CV$50, 4, 0)</f>
        <v>L</v>
      </c>
      <c r="J329" s="25" t="str">
        <f>VLOOKUP(E329, Factor!$CL$5:$CV$50, 5, 0)</f>
        <v>normal</v>
      </c>
      <c r="K329" s="25">
        <v>1</v>
      </c>
      <c r="L329" s="25">
        <f>VLOOKUP(E329, Factor!$CL$5:$CV$50, 6, 0)*K329*VLOOKUP(D329, Factor!$BZ$5:$CJ$49, 9, 0)</f>
        <v>32</v>
      </c>
      <c r="M329" s="25" t="str">
        <f>VLOOKUP(E329, Factor!$CL$5:$CV$50, 7, 0)</f>
        <v>null</v>
      </c>
      <c r="N329" s="25">
        <v>1</v>
      </c>
      <c r="O329" s="25">
        <f>VLOOKUP(E329, Factor!$CL$5:$CV$50, 8, 0)*N329*VLOOKUP(D329, Factor!$BZ$5:$CJ$49, 10, 0)</f>
        <v>0</v>
      </c>
      <c r="P329" s="25">
        <v>1</v>
      </c>
      <c r="Q329" s="25">
        <f>VLOOKUP(E329, Factor!$CL$5:$CV$50, 9, 0)*P329*VLOOKUP(D329, Factor!$BZ$5:$CJ$49, 11, 0)</f>
        <v>8</v>
      </c>
      <c r="R329" s="25" t="str">
        <f>VLOOKUP(E329, Factor!$CL$5:$CV$50, 10, 0)</f>
        <v>null</v>
      </c>
      <c r="S329" s="25" t="str">
        <f>VLOOKUP(E329, Factor!$CL$5:$CV$50, 11, 0)</f>
        <v>null</v>
      </c>
      <c r="T329" s="25">
        <v>1</v>
      </c>
      <c r="U329" s="25">
        <v>1</v>
      </c>
      <c r="V329" s="25">
        <v>1</v>
      </c>
      <c r="W329" s="25">
        <v>1</v>
      </c>
      <c r="X329" s="25">
        <v>1</v>
      </c>
      <c r="Y329" s="25">
        <v>1</v>
      </c>
      <c r="Z329" s="25">
        <v>1</v>
      </c>
      <c r="AA329" s="25" cm="1">
        <f t="array" ref="AA329">_xlfn.LET(_xlpm.기본_색인번호, 2,
_xlpm.추가_색인번호, 3,
_xlpm.개별보정치, T329,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29" s="25" cm="1">
        <f t="array" ref="AB329">_xlfn.LET(_xlpm.기본_색인번호, 3,
_xlpm.추가_색인번호, 4,
_xlpm.개별보정치, U329,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29" s="25" cm="1">
        <f t="array" ref="AC329">_xlfn.LET(_xlpm.기본_색인번호, 4,
_xlpm.추가_색인번호, 5,
_xlpm.개별보정치, V329,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29" s="25" cm="1">
        <f t="array" ref="AD329">_xlfn.LET(_xlpm.기본_색인번호, 5,
_xlpm.추가_색인번호, 6,
_xlpm.개별보정치, W329,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  <c r="AE329" s="25" cm="1">
        <f t="array" ref="AE329">_xlfn.LET(_xlpm.기본_색인번호, 6,
_xlpm.추가_색인번호, 7,
_xlpm.개별보정치, X329,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  <c r="AF329" s="25" cm="1">
        <f t="array" ref="AF329">_xlfn.LET(_xlpm.기본_색인번호, 7,
_xlpm.추가_색인번호, 8,
_xlpm.개별보정치, Y329,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29" s="27" cm="1">
        <f t="array" ref="AG329">_xlfn.LET(_xlpm.기본_색인번호, 8,
_xlpm.추가_색인번호, 9,
_xlpm.개별보정치, Z329,
_xlpm.패턴보정치, VLOOKUP($G329, Factor!$B$5:$I$51, _xlpm.기본_색인번호, 0),
_xlpm.소모탄환보정치, VLOOKUP($H329, Factor!$T$5:$AA$51, _xlpm.기본_색인번호, 0),
_xlpm.지형보정치, VLOOKUP($I329, Factor!$K$12:$R$13, _xlpm.기본_색인번호, 0),
_xlpm.공격속성보정치, VLOOKUP($J329, Factor!$K$5:$R$7, _xlpm.기본_색인번호, 0),
_xlpm.피해범위보정치, INDEX(Factor!$AN$5:$AV$51, _xlfn.XMATCH(IF(OR($G329="blast", $G329="curved",  $G329= "debuff"), $L329, 0), Factor!$AN$5:$AN$51, -1), _xlpm.추가_색인번호)-IF(AND(OR($G329="blast", $G329="curved", $G329= "debuff"), MOD($L329,1)&lt;&gt;0),INDEX(Factor!$AN$5:$AV$51, _xlfn.XMATCH(IF(OR($G329="blast", $G329="curved", $G329= "debuff"), $L329, 0), Factor!$AN$5:$AN$51, -1), 2)*MOD($L329,1)*10,0),
_xlpm.상태이상보정치, VLOOKUP(IF($G329 = "debuff", $M329, "null"), Factor!$AX$5:$BE$51, _xlpm.기본_색인번호, 0),
_xlpm.지속시간보정치, INDEX(Factor!$BG$5:$BO$51, _xlfn.XMATCH(IF(OR($G329 ="debuff", $G329 = "shot", $G329 = "pierce"), $O329, 0), Factor!$BG$5:$BG$51, -1), _xlpm.추가_색인번호)-IF(AND(OR($G329 ="debuff", $G329 = "shot", $G329 = "pierce"), MOD($O329, 1)&lt;&gt;0), 10*MOD($O329, 1)*INDEX(Factor!$BG$5:$BO$51, _xlfn.XMATCH(IF(OR($G329 ="debuff", $G329 = "shot", $G329 = "pierce"), $O329, 0), Factor!$BG$5:$BG$51, -1), 2), 0),
_xlpm.탄환개수보정치, VLOOKUP(IF(OR($G329 = "curved", $G329 = "shot"), $Q329, 1), Factor!$BQ$5:$BX$51, _xlpm.기본_색인번호, 0),
_xlpm.상태이상탄환생성위치보정치, IF($G329 = "debuff", VLOOKUP($R329, Factor!$K$18:$R$19, _xlpm.기본_색인번호, 0),1),
_xlpm.상태이상탄환형태보정치, IF($G329 = "debuff", VLOOKUP($S329, Factor!$K$24:$R$25, _xlpm.기본_색인번호, 0),1),
_xlpm.가격보정치, INDEX(Factor!$AE$5:$AL$51, _xlfn.XMATCH($F329,Factor!$AE$5:$AE$51, -1), _xlpm.기본_색인번호),
_xlpm.구경보정치, VLOOKUP($D329,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</row>
    <row r="330" spans="1:33" ht="15.75" customHeight="1">
      <c r="A330" s="28" t="str">
        <f>"weapon_"&amp;G330&amp;"_"&amp;VLOOKUP(H330, Factor!$T$5:$AB$7, 9, 0)&amp;"_"&amp;IF(COUNTIFS($G$4:G329, G330, $H$4:H329, H330)+1&gt;=100, COUNTIFS($G$4:G329, G330, $H$4:H329, H330)+1,IF(COUNTIFS($G$4:G329, G330, $H$4:H329, H330)+1&gt;=10, "0"&amp;COUNTIFS($G$4:G329, G330, $H$4:H329, H330)+1, "00"&amp;COUNTIFS($G$4:G329, G330, $H$4:H329, H330)+1))</f>
        <v>weapon_curved_Sh_029</v>
      </c>
      <c r="B330" s="37" t="str">
        <f t="shared" si="5"/>
        <v>T8 155mm곡사포</v>
      </c>
      <c r="C330" s="37" t="s">
        <v>161</v>
      </c>
      <c r="D330" s="37" t="s">
        <v>266</v>
      </c>
      <c r="E330" s="37" t="s">
        <v>199</v>
      </c>
      <c r="F330" s="29">
        <f>VLOOKUP(C330, Factor!$AD$5:$AE$15, 2, 0)</f>
        <v>8000</v>
      </c>
      <c r="G330" s="29" t="str">
        <f>VLOOKUP(E330, Factor!$CL$5:$CV$50, 2, 0)</f>
        <v>curved</v>
      </c>
      <c r="H330" s="29" t="str">
        <f>VLOOKUP(E330, Factor!$CL$5:$CV$50, 3, 0)</f>
        <v>shell</v>
      </c>
      <c r="I330" s="29" t="str">
        <f>VLOOKUP(E330, Factor!$CL$5:$CV$50, 4, 0)</f>
        <v>L</v>
      </c>
      <c r="J330" s="29" t="str">
        <f>VLOOKUP(E330, Factor!$CL$5:$CV$50, 5, 0)</f>
        <v>normal</v>
      </c>
      <c r="K330" s="29">
        <v>1</v>
      </c>
      <c r="L330" s="29">
        <f>VLOOKUP(E330, Factor!$CL$5:$CV$50, 6, 0)*K330*VLOOKUP(D330, Factor!$BZ$5:$CJ$49, 9, 0)</f>
        <v>32</v>
      </c>
      <c r="M330" s="29" t="str">
        <f>VLOOKUP(E330, Factor!$CL$5:$CV$50, 7, 0)</f>
        <v>null</v>
      </c>
      <c r="N330" s="29">
        <v>1</v>
      </c>
      <c r="O330" s="29">
        <f>VLOOKUP(E330, Factor!$CL$5:$CV$50, 8, 0)*N330*VLOOKUP(D330, Factor!$BZ$5:$CJ$49, 10, 0)</f>
        <v>0</v>
      </c>
      <c r="P330" s="29">
        <v>1</v>
      </c>
      <c r="Q330" s="29">
        <f>VLOOKUP(E330, Factor!$CL$5:$CV$50, 9, 0)*P330*VLOOKUP(D330, Factor!$BZ$5:$CJ$49, 11, 0)</f>
        <v>8</v>
      </c>
      <c r="R330" s="29" t="str">
        <f>VLOOKUP(E330, Factor!$CL$5:$CV$50, 10, 0)</f>
        <v>null</v>
      </c>
      <c r="S330" s="29" t="str">
        <f>VLOOKUP(E330, Factor!$CL$5:$CV$50, 11, 0)</f>
        <v>null</v>
      </c>
      <c r="T330" s="29">
        <v>1</v>
      </c>
      <c r="U330" s="29">
        <v>1</v>
      </c>
      <c r="V330" s="29">
        <v>1</v>
      </c>
      <c r="W330" s="29">
        <v>1</v>
      </c>
      <c r="X330" s="29">
        <v>1</v>
      </c>
      <c r="Y330" s="29">
        <v>1</v>
      </c>
      <c r="Z330" s="29">
        <v>1</v>
      </c>
      <c r="AA330" s="29" cm="1">
        <f t="array" ref="AA330">_xlfn.LET(_xlpm.기본_색인번호, 2,
_xlpm.추가_색인번호, 3,
_xlpm.개별보정치, T330,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30" s="29" cm="1">
        <f t="array" ref="AB330">_xlfn.LET(_xlpm.기본_색인번호, 3,
_xlpm.추가_색인번호, 4,
_xlpm.개별보정치, U330,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672</v>
      </c>
      <c r="AC330" s="29" cm="1">
        <f t="array" ref="AC330">_xlfn.LET(_xlpm.기본_색인번호, 4,
_xlpm.추가_색인번호, 5,
_xlpm.개별보정치, V330,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30" s="29" cm="1">
        <f t="array" ref="AD330">_xlfn.LET(_xlpm.기본_색인번호, 5,
_xlpm.추가_색인번호, 6,
_xlpm.개별보정치, W330,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  <c r="AE330" s="29" cm="1">
        <f t="array" ref="AE330">_xlfn.LET(_xlpm.기본_색인번호, 6,
_xlpm.추가_색인번호, 7,
_xlpm.개별보정치, X330,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  <c r="AF330" s="29" cm="1">
        <f t="array" ref="AF330">_xlfn.LET(_xlpm.기본_색인번호, 7,
_xlpm.추가_색인번호, 8,
_xlpm.개별보정치, Y330,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30" s="30" cm="1">
        <f t="array" ref="AG330">_xlfn.LET(_xlpm.기본_색인번호, 8,
_xlpm.추가_색인번호, 9,
_xlpm.개별보정치, Z330,
_xlpm.패턴보정치, VLOOKUP($G330, Factor!$B$5:$I$51, _xlpm.기본_색인번호, 0),
_xlpm.소모탄환보정치, VLOOKUP($H330, Factor!$T$5:$AA$51, _xlpm.기본_색인번호, 0),
_xlpm.지형보정치, VLOOKUP($I330, Factor!$K$12:$R$13, _xlpm.기본_색인번호, 0),
_xlpm.공격속성보정치, VLOOKUP($J330, Factor!$K$5:$R$7, _xlpm.기본_색인번호, 0),
_xlpm.피해범위보정치, INDEX(Factor!$AN$5:$AV$51, _xlfn.XMATCH(IF(OR($G330="blast", $G330="curved",  $G330= "debuff"), $L330, 0), Factor!$AN$5:$AN$51, -1), _xlpm.추가_색인번호)-IF(AND(OR($G330="blast", $G330="curved", $G330= "debuff"), MOD($L330,1)&lt;&gt;0),INDEX(Factor!$AN$5:$AV$51, _xlfn.XMATCH(IF(OR($G330="blast", $G330="curved", $G330= "debuff"), $L330, 0), Factor!$AN$5:$AN$51, -1), 2)*MOD($L330,1)*10,0),
_xlpm.상태이상보정치, VLOOKUP(IF($G330 = "debuff", $M330, "null"), Factor!$AX$5:$BE$51, _xlpm.기본_색인번호, 0),
_xlpm.지속시간보정치, INDEX(Factor!$BG$5:$BO$51, _xlfn.XMATCH(IF(OR($G330 ="debuff", $G330 = "shot", $G330 = "pierce"), $O330, 0), Factor!$BG$5:$BG$51, -1), _xlpm.추가_색인번호)-IF(AND(OR($G330 ="debuff", $G330 = "shot", $G330 = "pierce"), MOD($O330, 1)&lt;&gt;0), 10*MOD($O330, 1)*INDEX(Factor!$BG$5:$BO$51, _xlfn.XMATCH(IF(OR($G330 ="debuff", $G330 = "shot", $G330 = "pierce"), $O330, 0), Factor!$BG$5:$BG$51, -1), 2), 0),
_xlpm.탄환개수보정치, VLOOKUP(IF(OR($G330 = "curved", $G330 = "shot"), $Q330, 1), Factor!$BQ$5:$BX$51, _xlpm.기본_색인번호, 0),
_xlpm.상태이상탄환생성위치보정치, IF($G330 = "debuff", VLOOKUP($R330, Factor!$K$18:$R$19, _xlpm.기본_색인번호, 0),1),
_xlpm.상태이상탄환형태보정치, IF($G330 = "debuff", VLOOKUP($S330, Factor!$K$24:$R$25, _xlpm.기본_색인번호, 0),1),
_xlpm.가격보정치, INDEX(Factor!$AE$5:$AL$51, _xlfn.XMATCH($F330,Factor!$AE$5:$AE$51, -1), _xlpm.기본_색인번호),
_xlpm.구경보정치, VLOOKUP($D330,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1008</v>
      </c>
    </row>
    <row r="331" spans="1:33" ht="15.75" customHeight="1">
      <c r="A331" s="24" t="str">
        <f>"weapon_"&amp;G331&amp;"_"&amp;VLOOKUP(H331, Factor!$T$5:$AB$7, 9, 0)&amp;"_"&amp;IF(COUNTIFS($G$4:G330, G331, $H$4:H330, H331)+1&gt;=100, COUNTIFS($G$4:G330, G331, $H$4:H330, H331)+1,IF(COUNTIFS($G$4:G330, G331, $H$4:H330, H331)+1&gt;=10, "0"&amp;COUNTIFS($G$4:G330, G331, $H$4:H330, H331)+1, "00"&amp;COUNTIFS($G$4:G330, G331, $H$4:H330, H331)+1))</f>
        <v>weapon_curved_Sh_030</v>
      </c>
      <c r="B331" s="36" t="str">
        <f t="shared" si="5"/>
        <v>T9 105mm곡사포</v>
      </c>
      <c r="C331" s="36" t="s">
        <v>162</v>
      </c>
      <c r="D331" s="36" t="s">
        <v>265</v>
      </c>
      <c r="E331" s="36" t="s">
        <v>199</v>
      </c>
      <c r="F331" s="25">
        <f>VLOOKUP(C331, Factor!$AD$5:$AE$15, 2, 0)</f>
        <v>9000</v>
      </c>
      <c r="G331" s="26" t="str">
        <f>VLOOKUP(E331, Factor!$CL$5:$CV$50, 2, 0)</f>
        <v>curved</v>
      </c>
      <c r="H331" s="25" t="str">
        <f>VLOOKUP(E331, Factor!$CL$5:$CV$50, 3, 0)</f>
        <v>shell</v>
      </c>
      <c r="I331" s="25" t="str">
        <f>VLOOKUP(E331, Factor!$CL$5:$CV$50, 4, 0)</f>
        <v>L</v>
      </c>
      <c r="J331" s="25" t="str">
        <f>VLOOKUP(E331, Factor!$CL$5:$CV$50, 5, 0)</f>
        <v>normal</v>
      </c>
      <c r="K331" s="25">
        <v>1</v>
      </c>
      <c r="L331" s="25">
        <f>VLOOKUP(E331, Factor!$CL$5:$CV$50, 6, 0)*K331*VLOOKUP(D331, Factor!$BZ$5:$CJ$49, 9, 0)</f>
        <v>32</v>
      </c>
      <c r="M331" s="25" t="str">
        <f>VLOOKUP(E331, Factor!$CL$5:$CV$50, 7, 0)</f>
        <v>null</v>
      </c>
      <c r="N331" s="25">
        <v>1</v>
      </c>
      <c r="O331" s="25">
        <f>VLOOKUP(E331, Factor!$CL$5:$CV$50, 8, 0)*N331*VLOOKUP(D331, Factor!$BZ$5:$CJ$49, 10, 0)</f>
        <v>0</v>
      </c>
      <c r="P331" s="25">
        <v>1</v>
      </c>
      <c r="Q331" s="25">
        <f>VLOOKUP(E331, Factor!$CL$5:$CV$50, 9, 0)*P331*VLOOKUP(D331, Factor!$BZ$5:$CJ$49, 11, 0)</f>
        <v>8</v>
      </c>
      <c r="R331" s="25" t="str">
        <f>VLOOKUP(E331, Factor!$CL$5:$CV$50, 10, 0)</f>
        <v>null</v>
      </c>
      <c r="S331" s="25" t="str">
        <f>VLOOKUP(E331, Factor!$CL$5:$CV$50, 11, 0)</f>
        <v>null</v>
      </c>
      <c r="T331" s="25">
        <v>1</v>
      </c>
      <c r="U331" s="25">
        <v>1</v>
      </c>
      <c r="V331" s="25">
        <v>1</v>
      </c>
      <c r="W331" s="25">
        <v>1</v>
      </c>
      <c r="X331" s="25">
        <v>1</v>
      </c>
      <c r="Y331" s="25">
        <v>1</v>
      </c>
      <c r="Z331" s="25">
        <v>1</v>
      </c>
      <c r="AA331" s="25" cm="1">
        <f t="array" ref="AA331">_xlfn.LET(_xlpm.기본_색인번호, 2,
_xlpm.추가_색인번호, 3,
_xlpm.개별보정치, T331,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16000</v>
      </c>
      <c r="AB331" s="25" cm="1">
        <f t="array" ref="AB331">_xlfn.LET(_xlpm.기본_색인번호, 3,
_xlpm.추가_색인번호, 4,
_xlpm.개별보정치, U331,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C331" s="25" cm="1">
        <f t="array" ref="AC331">_xlfn.LET(_xlpm.기본_색인번호, 4,
_xlpm.추가_색인번호, 5,
_xlpm.개별보정치, V331,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31" s="25" cm="1">
        <f t="array" ref="AD331">_xlfn.LET(_xlpm.기본_색인번호, 5,
_xlpm.추가_색인번호, 6,
_xlpm.개별보정치, W331,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  <c r="AE331" s="25" cm="1">
        <f t="array" ref="AE331">_xlfn.LET(_xlpm.기본_색인번호, 6,
_xlpm.추가_색인번호, 7,
_xlpm.개별보정치, X331,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  <c r="AF331" s="25" cm="1">
        <f t="array" ref="AF331">_xlfn.LET(_xlpm.기본_색인번호, 7,
_xlpm.추가_색인번호, 8,
_xlpm.개별보정치, Y331,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31" s="27" cm="1">
        <f t="array" ref="AG331">_xlfn.LET(_xlpm.기본_색인번호, 8,
_xlpm.추가_색인번호, 9,
_xlpm.개별보정치, Z331,
_xlpm.패턴보정치, VLOOKUP($G331, Factor!$B$5:$I$51, _xlpm.기본_색인번호, 0),
_xlpm.소모탄환보정치, VLOOKUP($H331, Factor!$T$5:$AA$51, _xlpm.기본_색인번호, 0),
_xlpm.지형보정치, VLOOKUP($I331, Factor!$K$12:$R$13, _xlpm.기본_색인번호, 0),
_xlpm.공격속성보정치, VLOOKUP($J331, Factor!$K$5:$R$7, _xlpm.기본_색인번호, 0),
_xlpm.피해범위보정치, INDEX(Factor!$AN$5:$AV$51, _xlfn.XMATCH(IF(OR($G331="blast", $G331="curved",  $G331= "debuff"), $L331, 0), Factor!$AN$5:$AN$51, -1), _xlpm.추가_색인번호)-IF(AND(OR($G331="blast", $G331="curved", $G331= "debuff"), MOD($L331,1)&lt;&gt;0),INDEX(Factor!$AN$5:$AV$51, _xlfn.XMATCH(IF(OR($G331="blast", $G331="curved", $G331= "debuff"), $L331, 0), Factor!$AN$5:$AN$51, -1), 2)*MOD($L331,1)*10,0),
_xlpm.상태이상보정치, VLOOKUP(IF($G331 = "debuff", $M331, "null"), Factor!$AX$5:$BE$51, _xlpm.기본_색인번호, 0),
_xlpm.지속시간보정치, INDEX(Factor!$BG$5:$BO$51, _xlfn.XMATCH(IF(OR($G331 ="debuff", $G331 = "shot", $G331 = "pierce"), $O331, 0), Factor!$BG$5:$BG$51, -1), _xlpm.추가_색인번호)-IF(AND(OR($G331 ="debuff", $G331 = "shot", $G331 = "pierce"), MOD($O331, 1)&lt;&gt;0), 10*MOD($O331, 1)*INDEX(Factor!$BG$5:$BO$51, _xlfn.XMATCH(IF(OR($G331 ="debuff", $G331 = "shot", $G331 = "pierce"), $O331, 0), Factor!$BG$5:$BG$51, -1), 2), 0),
_xlpm.탄환개수보정치, VLOOKUP(IF(OR($G331 = "curved", $G331 = "shot"), $Q331, 1), Factor!$BQ$5:$BX$51, _xlpm.기본_색인번호, 0),
_xlpm.상태이상탄환생성위치보정치, IF($G331 = "debuff", VLOOKUP($R331, Factor!$K$18:$R$19, _xlpm.기본_색인번호, 0),1),
_xlpm.상태이상탄환형태보정치, IF($G331 = "debuff", VLOOKUP($S331, Factor!$K$24:$R$25, _xlpm.기본_색인번호, 0),1),
_xlpm.가격보정치, INDEX(Factor!$AE$5:$AL$51, _xlfn.XMATCH($F331,Factor!$AE$5:$AE$51, -1), _xlpm.기본_색인번호),
_xlpm.구경보정치, VLOOKUP($D331,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</row>
    <row r="332" spans="1:33" ht="15.75" customHeight="1">
      <c r="A332" s="28" t="str">
        <f>"weapon_"&amp;G332&amp;"_"&amp;VLOOKUP(H332, Factor!$T$5:$AB$7, 9, 0)&amp;"_"&amp;IF(COUNTIFS($G$4:G331, G332, $H$4:H331, H332)+1&gt;=100, COUNTIFS($G$4:G331, G332, $H$4:H331, H332)+1,IF(COUNTIFS($G$4:G331, G332, $H$4:H331, H332)+1&gt;=10, "0"&amp;COUNTIFS($G$4:G331, G332, $H$4:H331, H332)+1, "00"&amp;COUNTIFS($G$4:G331, G332, $H$4:H331, H332)+1))</f>
        <v>weapon_curved_Sh_031</v>
      </c>
      <c r="B332" s="37" t="str">
        <f t="shared" si="5"/>
        <v>T9 155mm곡사포</v>
      </c>
      <c r="C332" s="37" t="s">
        <v>162</v>
      </c>
      <c r="D332" s="37" t="s">
        <v>266</v>
      </c>
      <c r="E332" s="37" t="s">
        <v>199</v>
      </c>
      <c r="F332" s="29">
        <f>VLOOKUP(C332, Factor!$AD$5:$AE$15, 2, 0)</f>
        <v>9000</v>
      </c>
      <c r="G332" s="29" t="str">
        <f>VLOOKUP(E332, Factor!$CL$5:$CV$50, 2, 0)</f>
        <v>curved</v>
      </c>
      <c r="H332" s="29" t="str">
        <f>VLOOKUP(E332, Factor!$CL$5:$CV$50, 3, 0)</f>
        <v>shell</v>
      </c>
      <c r="I332" s="29" t="str">
        <f>VLOOKUP(E332, Factor!$CL$5:$CV$50, 4, 0)</f>
        <v>L</v>
      </c>
      <c r="J332" s="29" t="str">
        <f>VLOOKUP(E332, Factor!$CL$5:$CV$50, 5, 0)</f>
        <v>normal</v>
      </c>
      <c r="K332" s="29">
        <v>1</v>
      </c>
      <c r="L332" s="29">
        <f>VLOOKUP(E332, Factor!$CL$5:$CV$50, 6, 0)*K332*VLOOKUP(D332, Factor!$BZ$5:$CJ$49, 9, 0)</f>
        <v>32</v>
      </c>
      <c r="M332" s="29" t="str">
        <f>VLOOKUP(E332, Factor!$CL$5:$CV$50, 7, 0)</f>
        <v>null</v>
      </c>
      <c r="N332" s="29">
        <v>1</v>
      </c>
      <c r="O332" s="29">
        <f>VLOOKUP(E332, Factor!$CL$5:$CV$50, 8, 0)*N332*VLOOKUP(D332, Factor!$BZ$5:$CJ$49, 10, 0)</f>
        <v>0</v>
      </c>
      <c r="P332" s="29">
        <v>1</v>
      </c>
      <c r="Q332" s="29">
        <f>VLOOKUP(E332, Factor!$CL$5:$CV$50, 9, 0)*P332*VLOOKUP(D332, Factor!$BZ$5:$CJ$49, 11, 0)</f>
        <v>8</v>
      </c>
      <c r="R332" s="29" t="str">
        <f>VLOOKUP(E332, Factor!$CL$5:$CV$50, 10, 0)</f>
        <v>null</v>
      </c>
      <c r="S332" s="29" t="str">
        <f>VLOOKUP(E332, Factor!$CL$5:$CV$50, 11, 0)</f>
        <v>null</v>
      </c>
      <c r="T332" s="29">
        <v>1</v>
      </c>
      <c r="U332" s="29">
        <v>1</v>
      </c>
      <c r="V332" s="29">
        <v>1</v>
      </c>
      <c r="W332" s="29">
        <v>1</v>
      </c>
      <c r="X332" s="29">
        <v>1</v>
      </c>
      <c r="Y332" s="29">
        <v>1</v>
      </c>
      <c r="Z332" s="29">
        <v>1</v>
      </c>
      <c r="AA332" s="29" cm="1">
        <f t="array" ref="AA332">_xlfn.LET(_xlpm.기본_색인번호, 2,
_xlpm.추가_색인번호, 3,
_xlpm.개별보정치, T332,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16000</v>
      </c>
      <c r="AB332" s="29" cm="1">
        <f t="array" ref="AB332">_xlfn.LET(_xlpm.기본_색인번호, 3,
_xlpm.추가_색인번호, 4,
_xlpm.개별보정치, U332,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C332" s="29" cm="1">
        <f t="array" ref="AC332">_xlfn.LET(_xlpm.기본_색인번호, 4,
_xlpm.추가_색인번호, 5,
_xlpm.개별보정치, V332,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32" s="29" cm="1">
        <f t="array" ref="AD332">_xlfn.LET(_xlpm.기본_색인번호, 5,
_xlpm.추가_색인번호, 6,
_xlpm.개별보정치, W332,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  <c r="AE332" s="29" cm="1">
        <f t="array" ref="AE332">_xlfn.LET(_xlpm.기본_색인번호, 6,
_xlpm.추가_색인번호, 7,
_xlpm.개별보정치, X332,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  <c r="AF332" s="29" cm="1">
        <f t="array" ref="AF332">_xlfn.LET(_xlpm.기본_색인번호, 7,
_xlpm.추가_색인번호, 8,
_xlpm.개별보정치, Y332,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32" s="30" cm="1">
        <f t="array" ref="AG332">_xlfn.LET(_xlpm.기본_색인번호, 8,
_xlpm.추가_색인번호, 9,
_xlpm.개별보정치, Z332,
_xlpm.패턴보정치, VLOOKUP($G332, Factor!$B$5:$I$51, _xlpm.기본_색인번호, 0),
_xlpm.소모탄환보정치, VLOOKUP($H332, Factor!$T$5:$AA$51, _xlpm.기본_색인번호, 0),
_xlpm.지형보정치, VLOOKUP($I332, Factor!$K$12:$R$13, _xlpm.기본_색인번호, 0),
_xlpm.공격속성보정치, VLOOKUP($J332, Factor!$K$5:$R$7, _xlpm.기본_색인번호, 0),
_xlpm.피해범위보정치, INDEX(Factor!$AN$5:$AV$51, _xlfn.XMATCH(IF(OR($G332="blast", $G332="curved",  $G332= "debuff"), $L332, 0), Factor!$AN$5:$AN$51, -1), _xlpm.추가_색인번호)-IF(AND(OR($G332="blast", $G332="curved", $G332= "debuff"), MOD($L332,1)&lt;&gt;0),INDEX(Factor!$AN$5:$AV$51, _xlfn.XMATCH(IF(OR($G332="blast", $G332="curved", $G332= "debuff"), $L332, 0), Factor!$AN$5:$AN$51, -1), 2)*MOD($L332,1)*10,0),
_xlpm.상태이상보정치, VLOOKUP(IF($G332 = "debuff", $M332, "null"), Factor!$AX$5:$BE$51, _xlpm.기본_색인번호, 0),
_xlpm.지속시간보정치, INDEX(Factor!$BG$5:$BO$51, _xlfn.XMATCH(IF(OR($G332 ="debuff", $G332 = "shot", $G332 = "pierce"), $O332, 0), Factor!$BG$5:$BG$51, -1), _xlpm.추가_색인번호)-IF(AND(OR($G332 ="debuff", $G332 = "shot", $G332 = "pierce"), MOD($O332, 1)&lt;&gt;0), 10*MOD($O332, 1)*INDEX(Factor!$BG$5:$BO$51, _xlfn.XMATCH(IF(OR($G332 ="debuff", $G332 = "shot", $G332 = "pierce"), $O332, 0), Factor!$BG$5:$BG$51, -1), 2), 0),
_xlpm.탄환개수보정치, VLOOKUP(IF(OR($G332 = "curved", $G332 = "shot"), $Q332, 1), Factor!$BQ$5:$BX$51, _xlpm.기본_색인번호, 0),
_xlpm.상태이상탄환생성위치보정치, IF($G332 = "debuff", VLOOKUP($R332, Factor!$K$18:$R$19, _xlpm.기본_색인번호, 0),1),
_xlpm.상태이상탄환형태보정치, IF($G332 = "debuff", VLOOKUP($S332, Factor!$K$24:$R$25, _xlpm.기본_색인번호, 0),1),
_xlpm.가격보정치, INDEX(Factor!$AE$5:$AL$51, _xlfn.XMATCH($F332,Factor!$AE$5:$AE$51, -1), _xlpm.기본_색인번호),
_xlpm.구경보정치, VLOOKUP($D332,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1120</v>
      </c>
    </row>
    <row r="333" spans="1:33" ht="15.75" customHeight="1">
      <c r="A333" s="24" t="str">
        <f>"weapon_"&amp;G333&amp;"_"&amp;VLOOKUP(H333, Factor!$T$5:$AB$7, 9, 0)&amp;"_"&amp;IF(COUNTIFS($G$4:G332, G333, $H$4:H332, H333)+1&gt;=100, COUNTIFS($G$4:G332, G333, $H$4:H332, H333)+1,IF(COUNTIFS($G$4:G332, G333, $H$4:H332, H333)+1&gt;=10, "0"&amp;COUNTIFS($G$4:G332, G333, $H$4:H332, H333)+1, "00"&amp;COUNTIFS($G$4:G332, G333, $H$4:H332, H333)+1))</f>
        <v>weapon_curved_Sh_032</v>
      </c>
      <c r="B333" s="36" t="str">
        <f t="shared" si="5"/>
        <v>T10 105mm곡사포</v>
      </c>
      <c r="C333" s="36" t="s">
        <v>163</v>
      </c>
      <c r="D333" s="36" t="s">
        <v>265</v>
      </c>
      <c r="E333" s="36" t="s">
        <v>199</v>
      </c>
      <c r="F333" s="25">
        <f>VLOOKUP(C333, Factor!$AD$5:$AE$15, 2, 0)</f>
        <v>10000</v>
      </c>
      <c r="G333" s="26" t="str">
        <f>VLOOKUP(E333, Factor!$CL$5:$CV$50, 2, 0)</f>
        <v>curved</v>
      </c>
      <c r="H333" s="25" t="str">
        <f>VLOOKUP(E333, Factor!$CL$5:$CV$50, 3, 0)</f>
        <v>shell</v>
      </c>
      <c r="I333" s="25" t="str">
        <f>VLOOKUP(E333, Factor!$CL$5:$CV$50, 4, 0)</f>
        <v>L</v>
      </c>
      <c r="J333" s="25" t="str">
        <f>VLOOKUP(E333, Factor!$CL$5:$CV$50, 5, 0)</f>
        <v>normal</v>
      </c>
      <c r="K333" s="25">
        <v>1</v>
      </c>
      <c r="L333" s="25">
        <f>VLOOKUP(E333, Factor!$CL$5:$CV$50, 6, 0)*K333*VLOOKUP(D333, Factor!$BZ$5:$CJ$49, 9, 0)</f>
        <v>32</v>
      </c>
      <c r="M333" s="25" t="str">
        <f>VLOOKUP(E333, Factor!$CL$5:$CV$50, 7, 0)</f>
        <v>null</v>
      </c>
      <c r="N333" s="25">
        <v>1</v>
      </c>
      <c r="O333" s="25">
        <f>VLOOKUP(E333, Factor!$CL$5:$CV$50, 8, 0)*N333*VLOOKUP(D333, Factor!$BZ$5:$CJ$49, 10, 0)</f>
        <v>0</v>
      </c>
      <c r="P333" s="25">
        <v>1</v>
      </c>
      <c r="Q333" s="25">
        <f>VLOOKUP(E333, Factor!$CL$5:$CV$50, 9, 0)*P333*VLOOKUP(D333, Factor!$BZ$5:$CJ$49, 11, 0)</f>
        <v>8</v>
      </c>
      <c r="R333" s="25" t="str">
        <f>VLOOKUP(E333, Factor!$CL$5:$CV$50, 10, 0)</f>
        <v>null</v>
      </c>
      <c r="S333" s="25" t="str">
        <f>VLOOKUP(E333, Factor!$CL$5:$CV$50, 11, 0)</f>
        <v>null</v>
      </c>
      <c r="T333" s="25">
        <v>1</v>
      </c>
      <c r="U333" s="25">
        <v>1</v>
      </c>
      <c r="V333" s="25">
        <v>1</v>
      </c>
      <c r="W333" s="25">
        <v>1</v>
      </c>
      <c r="X333" s="25">
        <v>1</v>
      </c>
      <c r="Y333" s="25">
        <v>1</v>
      </c>
      <c r="Z333" s="25">
        <v>1</v>
      </c>
      <c r="AA333" s="25" cm="1">
        <f t="array" ref="AA333">_xlfn.LET(_xlpm.기본_색인번호, 2,
_xlpm.추가_색인번호, 3,
_xlpm.개별보정치, T333,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17600</v>
      </c>
      <c r="AB333" s="25" cm="1">
        <f t="array" ref="AB333">_xlfn.LET(_xlpm.기본_색인번호, 3,
_xlpm.추가_색인번호, 4,
_xlpm.개별보정치, U333,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C333" s="25" cm="1">
        <f t="array" ref="AC333">_xlfn.LET(_xlpm.기본_색인번호, 4,
_xlpm.추가_색인번호, 5,
_xlpm.개별보정치, V333,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33" s="25" cm="1">
        <f t="array" ref="AD333">_xlfn.LET(_xlpm.기본_색인번호, 5,
_xlpm.추가_색인번호, 6,
_xlpm.개별보정치, W333,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  <c r="AE333" s="25" cm="1">
        <f t="array" ref="AE333">_xlfn.LET(_xlpm.기본_색인번호, 6,
_xlpm.추가_색인번호, 7,
_xlpm.개별보정치, X333,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  <c r="AF333" s="25" cm="1">
        <f t="array" ref="AF333">_xlfn.LET(_xlpm.기본_색인번호, 7,
_xlpm.추가_색인번호, 8,
_xlpm.개별보정치, Y333,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33" s="27" cm="1">
        <f t="array" ref="AG333">_xlfn.LET(_xlpm.기본_색인번호, 8,
_xlpm.추가_색인번호, 9,
_xlpm.개별보정치, Z333,
_xlpm.패턴보정치, VLOOKUP($G333, Factor!$B$5:$I$51, _xlpm.기본_색인번호, 0),
_xlpm.소모탄환보정치, VLOOKUP($H333, Factor!$T$5:$AA$51, _xlpm.기본_색인번호, 0),
_xlpm.지형보정치, VLOOKUP($I333, Factor!$K$12:$R$13, _xlpm.기본_색인번호, 0),
_xlpm.공격속성보정치, VLOOKUP($J333, Factor!$K$5:$R$7, _xlpm.기본_색인번호, 0),
_xlpm.피해범위보정치, INDEX(Factor!$AN$5:$AV$51, _xlfn.XMATCH(IF(OR($G333="blast", $G333="curved",  $G333= "debuff"), $L333, 0), Factor!$AN$5:$AN$51, -1), _xlpm.추가_색인번호)-IF(AND(OR($G333="blast", $G333="curved", $G333= "debuff"), MOD($L333,1)&lt;&gt;0),INDEX(Factor!$AN$5:$AV$51, _xlfn.XMATCH(IF(OR($G333="blast", $G333="curved", $G333= "debuff"), $L333, 0), Factor!$AN$5:$AN$51, -1), 2)*MOD($L333,1)*10,0),
_xlpm.상태이상보정치, VLOOKUP(IF($G333 = "debuff", $M333, "null"), Factor!$AX$5:$BE$51, _xlpm.기본_색인번호, 0),
_xlpm.지속시간보정치, INDEX(Factor!$BG$5:$BO$51, _xlfn.XMATCH(IF(OR($G333 ="debuff", $G333 = "shot", $G333 = "pierce"), $O333, 0), Factor!$BG$5:$BG$51, -1), _xlpm.추가_색인번호)-IF(AND(OR($G333 ="debuff", $G333 = "shot", $G333 = "pierce"), MOD($O333, 1)&lt;&gt;0), 10*MOD($O333, 1)*INDEX(Factor!$BG$5:$BO$51, _xlfn.XMATCH(IF(OR($G333 ="debuff", $G333 = "shot", $G333 = "pierce"), $O333, 0), Factor!$BG$5:$BG$51, -1), 2), 0),
_xlpm.탄환개수보정치, VLOOKUP(IF(OR($G333 = "curved", $G333 = "shot"), $Q333, 1), Factor!$BQ$5:$BX$51, _xlpm.기본_색인번호, 0),
_xlpm.상태이상탄환생성위치보정치, IF($G333 = "debuff", VLOOKUP($R333, Factor!$K$18:$R$19, _xlpm.기본_색인번호, 0),1),
_xlpm.상태이상탄환형태보정치, IF($G333 = "debuff", VLOOKUP($S333, Factor!$K$24:$R$25, _xlpm.기본_색인번호, 0),1),
_xlpm.가격보정치, INDEX(Factor!$AE$5:$AL$51, _xlfn.XMATCH($F333,Factor!$AE$5:$AE$51, -1), _xlpm.기본_색인번호),
_xlpm.구경보정치, VLOOKUP($D333,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</row>
    <row r="334" spans="1:33" ht="15.75" customHeight="1">
      <c r="A334" s="28" t="str">
        <f>"weapon_"&amp;G334&amp;"_"&amp;VLOOKUP(H334, Factor!$T$5:$AB$7, 9, 0)&amp;"_"&amp;IF(COUNTIFS($G$4:G333, G334, $H$4:H333, H334)+1&gt;=100, COUNTIFS($G$4:G333, G334, $H$4:H333, H334)+1,IF(COUNTIFS($G$4:G333, G334, $H$4:H333, H334)+1&gt;=10, "0"&amp;COUNTIFS($G$4:G333, G334, $H$4:H333, H334)+1, "00"&amp;COUNTIFS($G$4:G333, G334, $H$4:H333, H334)+1))</f>
        <v>weapon_curved_Sh_033</v>
      </c>
      <c r="B334" s="37" t="str">
        <f t="shared" si="5"/>
        <v>T10 155mm곡사포</v>
      </c>
      <c r="C334" s="37" t="s">
        <v>163</v>
      </c>
      <c r="D334" s="37" t="s">
        <v>266</v>
      </c>
      <c r="E334" s="37" t="s">
        <v>199</v>
      </c>
      <c r="F334" s="29">
        <f>VLOOKUP(C334, Factor!$AD$5:$AE$15, 2, 0)</f>
        <v>10000</v>
      </c>
      <c r="G334" s="29" t="str">
        <f>VLOOKUP(E334, Factor!$CL$5:$CV$50, 2, 0)</f>
        <v>curved</v>
      </c>
      <c r="H334" s="29" t="str">
        <f>VLOOKUP(E334, Factor!$CL$5:$CV$50, 3, 0)</f>
        <v>shell</v>
      </c>
      <c r="I334" s="29" t="str">
        <f>VLOOKUP(E334, Factor!$CL$5:$CV$50, 4, 0)</f>
        <v>L</v>
      </c>
      <c r="J334" s="29" t="str">
        <f>VLOOKUP(E334, Factor!$CL$5:$CV$50, 5, 0)</f>
        <v>normal</v>
      </c>
      <c r="K334" s="29">
        <v>1</v>
      </c>
      <c r="L334" s="29">
        <f>VLOOKUP(E334, Factor!$CL$5:$CV$50, 6, 0)*K334*VLOOKUP(D334, Factor!$BZ$5:$CJ$49, 9, 0)</f>
        <v>32</v>
      </c>
      <c r="M334" s="29" t="str">
        <f>VLOOKUP(E334, Factor!$CL$5:$CV$50, 7, 0)</f>
        <v>null</v>
      </c>
      <c r="N334" s="29">
        <v>1</v>
      </c>
      <c r="O334" s="29">
        <f>VLOOKUP(E334, Factor!$CL$5:$CV$50, 8, 0)*N334*VLOOKUP(D334, Factor!$BZ$5:$CJ$49, 10, 0)</f>
        <v>0</v>
      </c>
      <c r="P334" s="29">
        <v>1</v>
      </c>
      <c r="Q334" s="29">
        <f>VLOOKUP(E334, Factor!$CL$5:$CV$50, 9, 0)*P334*VLOOKUP(D334, Factor!$BZ$5:$CJ$49, 11, 0)</f>
        <v>8</v>
      </c>
      <c r="R334" s="29" t="str">
        <f>VLOOKUP(E334, Factor!$CL$5:$CV$50, 10, 0)</f>
        <v>null</v>
      </c>
      <c r="S334" s="29" t="str">
        <f>VLOOKUP(E334, Factor!$CL$5:$CV$50, 11, 0)</f>
        <v>null</v>
      </c>
      <c r="T334" s="29">
        <v>1</v>
      </c>
      <c r="U334" s="29">
        <v>1</v>
      </c>
      <c r="V334" s="29">
        <v>1</v>
      </c>
      <c r="W334" s="29">
        <v>1</v>
      </c>
      <c r="X334" s="29">
        <v>1</v>
      </c>
      <c r="Y334" s="29">
        <v>1</v>
      </c>
      <c r="Z334" s="29">
        <v>1</v>
      </c>
      <c r="AA334" s="29" cm="1">
        <f t="array" ref="AA334">_xlfn.LET(_xlpm.기본_색인번호, 2,
_xlpm.추가_색인번호, 3,
_xlpm.개별보정치, T334,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17600</v>
      </c>
      <c r="AB334" s="29" cm="1">
        <f t="array" ref="AB334">_xlfn.LET(_xlpm.기본_색인번호, 3,
_xlpm.추가_색인번호, 4,
_xlpm.개별보정치, U334,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784</v>
      </c>
      <c r="AC334" s="29" cm="1">
        <f t="array" ref="AC334">_xlfn.LET(_xlpm.기본_색인번호, 4,
_xlpm.추가_색인번호, 5,
_xlpm.개별보정치, V334,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112</v>
      </c>
      <c r="AD334" s="29" cm="1">
        <f t="array" ref="AD334">_xlfn.LET(_xlpm.기본_색인번호, 5,
_xlpm.추가_색인번호, 6,
_xlpm.개별보정치, W334,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  <c r="AE334" s="29" cm="1">
        <f t="array" ref="AE334">_xlfn.LET(_xlpm.기본_색인번호, 6,
_xlpm.추가_색인번호, 7,
_xlpm.개별보정치, X334,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  <c r="AF334" s="29" cm="1">
        <f t="array" ref="AF334">_xlfn.LET(_xlpm.기본_색인번호, 7,
_xlpm.추가_색인번호, 8,
_xlpm.개별보정치, Y334,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13440</v>
      </c>
      <c r="AG334" s="30" cm="1">
        <f t="array" ref="AG334">_xlfn.LET(_xlpm.기본_색인번호, 8,
_xlpm.추가_색인번호, 9,
_xlpm.개별보정치, Z334,
_xlpm.패턴보정치, VLOOKUP($G334, Factor!$B$5:$I$51, _xlpm.기본_색인번호, 0),
_xlpm.소모탄환보정치, VLOOKUP($H334, Factor!$T$5:$AA$51, _xlpm.기본_색인번호, 0),
_xlpm.지형보정치, VLOOKUP($I334, Factor!$K$12:$R$13, _xlpm.기본_색인번호, 0),
_xlpm.공격속성보정치, VLOOKUP($J334, Factor!$K$5:$R$7, _xlpm.기본_색인번호, 0),
_xlpm.피해범위보정치, INDEX(Factor!$AN$5:$AV$51, _xlfn.XMATCH(IF(OR($G334="blast", $G334="curved",  $G334= "debuff"), $L334, 0), Factor!$AN$5:$AN$51, -1), _xlpm.추가_색인번호)-IF(AND(OR($G334="blast", $G334="curved", $G334= "debuff"), MOD($L334,1)&lt;&gt;0),INDEX(Factor!$AN$5:$AV$51, _xlfn.XMATCH(IF(OR($G334="blast", $G334="curved", $G334= "debuff"), $L334, 0), Factor!$AN$5:$AN$51, -1), 2)*MOD($L334,1)*10,0),
_xlpm.상태이상보정치, VLOOKUP(IF($G334 = "debuff", $M334, "null"), Factor!$AX$5:$BE$51, _xlpm.기본_색인번호, 0),
_xlpm.지속시간보정치, INDEX(Factor!$BG$5:$BO$51, _xlfn.XMATCH(IF(OR($G334 ="debuff", $G334 = "shot", $G334 = "pierce"), $O334, 0), Factor!$BG$5:$BG$51, -1), _xlpm.추가_색인번호)-IF(AND(OR($G334 ="debuff", $G334 = "shot", $G334 = "pierce"), MOD($O334, 1)&lt;&gt;0), 10*MOD($O334, 1)*INDEX(Factor!$BG$5:$BO$51, _xlfn.XMATCH(IF(OR($G334 ="debuff", $G334 = "shot", $G334 = "pierce"), $O334, 0), Factor!$BG$5:$BG$51, -1), 2), 0),
_xlpm.탄환개수보정치, VLOOKUP(IF(OR($G334 = "curved", $G334 = "shot"), $Q334, 1), Factor!$BQ$5:$BX$51, _xlpm.기본_색인번호, 0),
_xlpm.상태이상탄환생성위치보정치, IF($G334 = "debuff", VLOOKUP($R334, Factor!$K$18:$R$19, _xlpm.기본_색인번호, 0),1),
_xlpm.상태이상탄환형태보정치, IF($G334 = "debuff", VLOOKUP($S334, Factor!$K$24:$R$25, _xlpm.기본_색인번호, 0),1),
_xlpm.가격보정치, INDEX(Factor!$AE$5:$AL$51, _xlfn.XMATCH($F334,Factor!$AE$5:$AE$51, -1), _xlpm.기본_색인번호),
_xlpm.구경보정치, VLOOKUP($D334,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1232</v>
      </c>
    </row>
    <row r="335" spans="1:33" ht="15.75" customHeight="1">
      <c r="A335" s="24" t="str">
        <f>"weapon_"&amp;G335&amp;"_"&amp;VLOOKUP(H335, Factor!$T$5:$AB$7, 9, 0)&amp;"_"&amp;IF(COUNTIFS($G$4:G334, G335, $H$4:H334, H335)+1&gt;=100, COUNTIFS($G$4:G334, G335, $H$4:H334, H335)+1,IF(COUNTIFS($G$4:G334, G335, $H$4:H334, H335)+1&gt;=10, "0"&amp;COUNTIFS($G$4:G334, G335, $H$4:H334, H335)+1, "00"&amp;COUNTIFS($G$4:G334, G335, $H$4:H334, H335)+1))</f>
        <v>weapon_shot_Am_089</v>
      </c>
      <c r="B335" s="36" t="str">
        <f t="shared" si="5"/>
        <v>녹슨 샷건포탑</v>
      </c>
      <c r="C335" s="36" t="s">
        <v>239</v>
      </c>
      <c r="D335" s="36" t="s">
        <v>275</v>
      </c>
      <c r="E335" s="36" t="s">
        <v>201</v>
      </c>
      <c r="F335" s="25">
        <f>VLOOKUP(C335, Factor!$AD$5:$AE$15, 2, 0)</f>
        <v>0</v>
      </c>
      <c r="G335" s="26" t="str">
        <f>VLOOKUP(E335, Factor!$CL$5:$CV$50, 2, 0)</f>
        <v>shot</v>
      </c>
      <c r="H335" s="25" t="str">
        <f>VLOOKUP(E335, Factor!$CL$5:$CV$50, 3, 0)</f>
        <v>ammo</v>
      </c>
      <c r="I335" s="25" t="str">
        <f>VLOOKUP(E335, Factor!$CL$5:$CV$50, 4, 0)</f>
        <v>L</v>
      </c>
      <c r="J335" s="25" t="str">
        <f>VLOOKUP(E335, Factor!$CL$5:$CV$50, 5, 0)</f>
        <v>spread</v>
      </c>
      <c r="K335" s="25">
        <v>1</v>
      </c>
      <c r="L335" s="25">
        <f>VLOOKUP(E335, Factor!$CL$5:$CV$50, 6, 0)*K335*VLOOKUP(D335, Factor!$BZ$5:$CJ$49, 9, 0)</f>
        <v>0</v>
      </c>
      <c r="M335" s="25" t="str">
        <f>VLOOKUP(E335, Factor!$CL$5:$CV$50, 7, 0)</f>
        <v>null</v>
      </c>
      <c r="N335" s="25">
        <v>1</v>
      </c>
      <c r="O335" s="25">
        <f>VLOOKUP(E335, Factor!$CL$5:$CV$50, 8, 0)*N335*VLOOKUP(D335, Factor!$BZ$5:$CJ$49, 10, 0)</f>
        <v>3</v>
      </c>
      <c r="P335" s="25">
        <v>1</v>
      </c>
      <c r="Q335" s="25">
        <f>VLOOKUP(E335, Factor!$CL$5:$CV$50, 9, 0)*P335*VLOOKUP(D335, Factor!$BZ$5:$CJ$49, 11, 0)</f>
        <v>5</v>
      </c>
      <c r="R335" s="25" t="str">
        <f>VLOOKUP(E335, Factor!$CL$5:$CV$50, 10, 0)</f>
        <v>null</v>
      </c>
      <c r="S335" s="25" t="str">
        <f>VLOOKUP(E335, Factor!$CL$5:$CV$50, 11, 0)</f>
        <v>null</v>
      </c>
      <c r="T335" s="25">
        <v>1</v>
      </c>
      <c r="U335" s="25">
        <v>1</v>
      </c>
      <c r="V335" s="25">
        <v>1</v>
      </c>
      <c r="W335" s="25">
        <v>1</v>
      </c>
      <c r="X335" s="25">
        <v>1</v>
      </c>
      <c r="Y335" s="25">
        <v>1</v>
      </c>
      <c r="Z335" s="25">
        <v>1</v>
      </c>
      <c r="AA335" s="25" cm="1">
        <f t="array" ref="AA335">_xlfn.LET(_xlpm.기본_색인번호, 2,
_xlpm.추가_색인번호, 3,
_xlpm.개별보정치, T335,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B335" s="25" cm="1">
        <f t="array" ref="AB335">_xlfn.LET(_xlpm.기본_색인번호, 3,
_xlpm.추가_색인번호, 4,
_xlpm.개별보정치, U335,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335" s="25" cm="1">
        <f t="array" ref="AC335">_xlfn.LET(_xlpm.기본_색인번호, 4,
_xlpm.추가_색인번호, 5,
_xlpm.개별보정치, V335,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35" s="25" cm="1">
        <f t="array" ref="AD335">_xlfn.LET(_xlpm.기본_색인번호, 5,
_xlpm.추가_색인번호, 6,
_xlpm.개별보정치, W335,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E335" s="25" cm="1">
        <f t="array" ref="AE335">_xlfn.LET(_xlpm.기본_색인번호, 6,
_xlpm.추가_색인번호, 7,
_xlpm.개별보정치, X335,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F335" s="25" cm="1">
        <f t="array" ref="AF335">_xlfn.LET(_xlpm.기본_색인번호, 7,
_xlpm.추가_색인번호, 8,
_xlpm.개별보정치, Y335,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35" s="27" cm="1">
        <f t="array" ref="AG335">_xlfn.LET(_xlpm.기본_색인번호, 8,
_xlpm.추가_색인번호, 9,
_xlpm.개별보정치, Z335,
_xlpm.패턴보정치, VLOOKUP($G335, Factor!$B$5:$I$51, _xlpm.기본_색인번호, 0),
_xlpm.소모탄환보정치, VLOOKUP($H335, Factor!$T$5:$AA$51, _xlpm.기본_색인번호, 0),
_xlpm.지형보정치, VLOOKUP($I335, Factor!$K$12:$R$13, _xlpm.기본_색인번호, 0),
_xlpm.공격속성보정치, VLOOKUP($J335, Factor!$K$5:$R$7, _xlpm.기본_색인번호, 0),
_xlpm.피해범위보정치, INDEX(Factor!$AN$5:$AV$51, _xlfn.XMATCH(IF(OR($G335="blast", $G335="curved",  $G335= "debuff"), $L335, 0), Factor!$AN$5:$AN$51, -1), _xlpm.추가_색인번호)-IF(AND(OR($G335="blast", $G335="curved", $G335= "debuff"), MOD($L335,1)&lt;&gt;0),INDEX(Factor!$AN$5:$AV$51, _xlfn.XMATCH(IF(OR($G335="blast", $G335="curved", $G335= "debuff"), $L335, 0), Factor!$AN$5:$AN$51, -1), 2)*MOD($L335,1)*10,0),
_xlpm.상태이상보정치, VLOOKUP(IF($G335 = "debuff", $M335, "null"), Factor!$AX$5:$BE$51, _xlpm.기본_색인번호, 0),
_xlpm.지속시간보정치, INDEX(Factor!$BG$5:$BO$51, _xlfn.XMATCH(IF(OR($G335 ="debuff", $G335 = "shot", $G335 = "pierce"), $O335, 0), Factor!$BG$5:$BG$51, -1), _xlpm.추가_색인번호)-IF(AND(OR($G335 ="debuff", $G335 = "shot", $G335 = "pierce"), MOD($O335, 1)&lt;&gt;0), 10*MOD($O335, 1)*INDEX(Factor!$BG$5:$BO$51, _xlfn.XMATCH(IF(OR($G335 ="debuff", $G335 = "shot", $G335 = "pierce"), $O335, 0), Factor!$BG$5:$BG$51, -1), 2), 0),
_xlpm.탄환개수보정치, VLOOKUP(IF(OR($G335 = "curved", $G335 = "shot"), $Q335, 1), Factor!$BQ$5:$BX$51, _xlpm.기본_색인번호, 0),
_xlpm.상태이상탄환생성위치보정치, IF($G335 = "debuff", VLOOKUP($R335, Factor!$K$18:$R$19, _xlpm.기본_색인번호, 0),1),
_xlpm.상태이상탄환형태보정치, IF($G335 = "debuff", VLOOKUP($S335, Factor!$K$24:$R$25, _xlpm.기본_색인번호, 0),1),
_xlpm.가격보정치, INDEX(Factor!$AE$5:$AL$51, _xlfn.XMATCH($F335,Factor!$AE$5:$AE$51, -1), _xlpm.기본_색인번호),
_xlpm.구경보정치, VLOOKUP($D335,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</row>
    <row r="336" spans="1:33" ht="15.75" customHeight="1">
      <c r="A336" s="28" t="str">
        <f>"weapon_"&amp;G336&amp;"_"&amp;VLOOKUP(H336, Factor!$T$5:$AB$7, 9, 0)&amp;"_"&amp;IF(COUNTIFS($G$4:G335, G336, $H$4:H335, H336)+1&gt;=100, COUNTIFS($G$4:G335, G336, $H$4:H335, H336)+1,IF(COUNTIFS($G$4:G335, G336, $H$4:H335, H336)+1&gt;=10, "0"&amp;COUNTIFS($G$4:G335, G336, $H$4:H335, H336)+1, "00"&amp;COUNTIFS($G$4:G335, G336, $H$4:H335, H336)+1))</f>
        <v>weapon_shot_Am_090</v>
      </c>
      <c r="B336" s="37" t="str">
        <f t="shared" si="5"/>
        <v>T1 샷건포탑</v>
      </c>
      <c r="C336" s="37" t="s">
        <v>237</v>
      </c>
      <c r="D336" s="37" t="s">
        <v>275</v>
      </c>
      <c r="E336" s="37" t="s">
        <v>201</v>
      </c>
      <c r="F336" s="29">
        <f>VLOOKUP(C336, Factor!$AD$5:$AE$15, 2, 0)</f>
        <v>1000</v>
      </c>
      <c r="G336" s="29" t="str">
        <f>VLOOKUP(E336, Factor!$CL$5:$CV$50, 2, 0)</f>
        <v>shot</v>
      </c>
      <c r="H336" s="29" t="str">
        <f>VLOOKUP(E336, Factor!$CL$5:$CV$50, 3, 0)</f>
        <v>ammo</v>
      </c>
      <c r="I336" s="29" t="str">
        <f>VLOOKUP(E336, Factor!$CL$5:$CV$50, 4, 0)</f>
        <v>L</v>
      </c>
      <c r="J336" s="29" t="str">
        <f>VLOOKUP(E336, Factor!$CL$5:$CV$50, 5, 0)</f>
        <v>spread</v>
      </c>
      <c r="K336" s="29">
        <v>1</v>
      </c>
      <c r="L336" s="29">
        <f>VLOOKUP(E336, Factor!$CL$5:$CV$50, 6, 0)*K336*VLOOKUP(D336, Factor!$BZ$5:$CJ$49, 9, 0)</f>
        <v>0</v>
      </c>
      <c r="M336" s="29" t="str">
        <f>VLOOKUP(E336, Factor!$CL$5:$CV$50, 7, 0)</f>
        <v>null</v>
      </c>
      <c r="N336" s="29">
        <v>1</v>
      </c>
      <c r="O336" s="29">
        <f>VLOOKUP(E336, Factor!$CL$5:$CV$50, 8, 0)*N336*VLOOKUP(D336, Factor!$BZ$5:$CJ$49, 10, 0)</f>
        <v>3</v>
      </c>
      <c r="P336" s="29">
        <v>1</v>
      </c>
      <c r="Q336" s="29">
        <f>VLOOKUP(E336, Factor!$CL$5:$CV$50, 9, 0)*P336*VLOOKUP(D336, Factor!$BZ$5:$CJ$49, 11, 0)</f>
        <v>5</v>
      </c>
      <c r="R336" s="29" t="str">
        <f>VLOOKUP(E336, Factor!$CL$5:$CV$50, 10, 0)</f>
        <v>null</v>
      </c>
      <c r="S336" s="29" t="str">
        <f>VLOOKUP(E336, Factor!$CL$5:$CV$50, 11, 0)</f>
        <v>null</v>
      </c>
      <c r="T336" s="29">
        <v>1</v>
      </c>
      <c r="U336" s="29">
        <v>1</v>
      </c>
      <c r="V336" s="29">
        <v>1</v>
      </c>
      <c r="W336" s="29">
        <v>1</v>
      </c>
      <c r="X336" s="29">
        <v>1</v>
      </c>
      <c r="Y336" s="29">
        <v>1</v>
      </c>
      <c r="Z336" s="29">
        <v>1</v>
      </c>
      <c r="AA336" s="29" cm="1">
        <f t="array" ref="AA336">_xlfn.LET(_xlpm.기본_색인번호, 2,
_xlpm.추가_색인번호, 3,
_xlpm.개별보정치, T336,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B336" s="29" cm="1">
        <f t="array" ref="AB336">_xlfn.LET(_xlpm.기본_색인번호, 3,
_xlpm.추가_색인번호, 4,
_xlpm.개별보정치, U336,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336" s="29" cm="1">
        <f t="array" ref="AC336">_xlfn.LET(_xlpm.기본_색인번호, 4,
_xlpm.추가_색인번호, 5,
_xlpm.개별보정치, V336,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36" s="29" cm="1">
        <f t="array" ref="AD336">_xlfn.LET(_xlpm.기본_색인번호, 5,
_xlpm.추가_색인번호, 6,
_xlpm.개별보정치, W336,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E336" s="29" cm="1">
        <f t="array" ref="AE336">_xlfn.LET(_xlpm.기본_색인번호, 6,
_xlpm.추가_색인번호, 7,
_xlpm.개별보정치, X336,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  <c r="AF336" s="29" cm="1">
        <f t="array" ref="AF336">_xlfn.LET(_xlpm.기본_색인번호, 7,
_xlpm.추가_색인번호, 8,
_xlpm.개별보정치, Y336,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36" s="30" cm="1">
        <f t="array" ref="AG336">_xlfn.LET(_xlpm.기본_색인번호, 8,
_xlpm.추가_색인번호, 9,
_xlpm.개별보정치, Z336,
_xlpm.패턴보정치, VLOOKUP($G336, Factor!$B$5:$I$51, _xlpm.기본_색인번호, 0),
_xlpm.소모탄환보정치, VLOOKUP($H336, Factor!$T$5:$AA$51, _xlpm.기본_색인번호, 0),
_xlpm.지형보정치, VLOOKUP($I336, Factor!$K$12:$R$13, _xlpm.기본_색인번호, 0),
_xlpm.공격속성보정치, VLOOKUP($J336, Factor!$K$5:$R$7, _xlpm.기본_색인번호, 0),
_xlpm.피해범위보정치, INDEX(Factor!$AN$5:$AV$51, _xlfn.XMATCH(IF(OR($G336="blast", $G336="curved",  $G336= "debuff"), $L336, 0), Factor!$AN$5:$AN$51, -1), _xlpm.추가_색인번호)-IF(AND(OR($G336="blast", $G336="curved", $G336= "debuff"), MOD($L336,1)&lt;&gt;0),INDEX(Factor!$AN$5:$AV$51, _xlfn.XMATCH(IF(OR($G336="blast", $G336="curved", $G336= "debuff"), $L336, 0), Factor!$AN$5:$AN$51, -1), 2)*MOD($L336,1)*10,0),
_xlpm.상태이상보정치, VLOOKUP(IF($G336 = "debuff", $M336, "null"), Factor!$AX$5:$BE$51, _xlpm.기본_색인번호, 0),
_xlpm.지속시간보정치, INDEX(Factor!$BG$5:$BO$51, _xlfn.XMATCH(IF(OR($G336 ="debuff", $G336 = "shot", $G336 = "pierce"), $O336, 0), Factor!$BG$5:$BG$51, -1), _xlpm.추가_색인번호)-IF(AND(OR($G336 ="debuff", $G336 = "shot", $G336 = "pierce"), MOD($O336, 1)&lt;&gt;0), 10*MOD($O336, 1)*INDEX(Factor!$BG$5:$BO$51, _xlfn.XMATCH(IF(OR($G336 ="debuff", $G336 = "shot", $G336 = "pierce"), $O336, 0), Factor!$BG$5:$BG$51, -1), 2), 0),
_xlpm.탄환개수보정치, VLOOKUP(IF(OR($G336 = "curved", $G336 = "shot"), $Q336, 1), Factor!$BQ$5:$BX$51, _xlpm.기본_색인번호, 0),
_xlpm.상태이상탄환생성위치보정치, IF($G336 = "debuff", VLOOKUP($R336, Factor!$K$18:$R$19, _xlpm.기본_색인번호, 0),1),
_xlpm.상태이상탄환형태보정치, IF($G336 = "debuff", VLOOKUP($S336, Factor!$K$24:$R$25, _xlpm.기본_색인번호, 0),1),
_xlpm.가격보정치, INDEX(Factor!$AE$5:$AL$51, _xlfn.XMATCH($F336,Factor!$AE$5:$AE$51, -1), _xlpm.기본_색인번호),
_xlpm.구경보정치, VLOOKUP($D336,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</v>
      </c>
    </row>
    <row r="337" spans="1:33" ht="15.75" customHeight="1">
      <c r="A337" s="24" t="str">
        <f>"weapon_"&amp;G337&amp;"_"&amp;VLOOKUP(H337, Factor!$T$5:$AB$7, 9, 0)&amp;"_"&amp;IF(COUNTIFS($G$4:G336, G337, $H$4:H336, H337)+1&gt;=100, COUNTIFS($G$4:G336, G337, $H$4:H336, H337)+1,IF(COUNTIFS($G$4:G336, G337, $H$4:H336, H337)+1&gt;=10, "0"&amp;COUNTIFS($G$4:G336, G337, $H$4:H336, H337)+1, "00"&amp;COUNTIFS($G$4:G336, G337, $H$4:H336, H337)+1))</f>
        <v>weapon_shot_Am_091</v>
      </c>
      <c r="B337" s="36" t="str">
        <f t="shared" si="5"/>
        <v>T2 샷건포탑</v>
      </c>
      <c r="C337" s="36" t="s">
        <v>155</v>
      </c>
      <c r="D337" s="36" t="s">
        <v>275</v>
      </c>
      <c r="E337" s="36" t="s">
        <v>201</v>
      </c>
      <c r="F337" s="25">
        <f>VLOOKUP(C337, Factor!$AD$5:$AE$15, 2, 0)</f>
        <v>2000</v>
      </c>
      <c r="G337" s="26" t="str">
        <f>VLOOKUP(E337, Factor!$CL$5:$CV$50, 2, 0)</f>
        <v>shot</v>
      </c>
      <c r="H337" s="25" t="str">
        <f>VLOOKUP(E337, Factor!$CL$5:$CV$50, 3, 0)</f>
        <v>ammo</v>
      </c>
      <c r="I337" s="25" t="str">
        <f>VLOOKUP(E337, Factor!$CL$5:$CV$50, 4, 0)</f>
        <v>L</v>
      </c>
      <c r="J337" s="25" t="str">
        <f>VLOOKUP(E337, Factor!$CL$5:$CV$50, 5, 0)</f>
        <v>spread</v>
      </c>
      <c r="K337" s="25">
        <v>1</v>
      </c>
      <c r="L337" s="25">
        <f>VLOOKUP(E337, Factor!$CL$5:$CV$50, 6, 0)*K337*VLOOKUP(D337, Factor!$BZ$5:$CJ$49, 9, 0)</f>
        <v>0</v>
      </c>
      <c r="M337" s="25" t="str">
        <f>VLOOKUP(E337, Factor!$CL$5:$CV$50, 7, 0)</f>
        <v>null</v>
      </c>
      <c r="N337" s="25">
        <v>1</v>
      </c>
      <c r="O337" s="25">
        <f>VLOOKUP(E337, Factor!$CL$5:$CV$50, 8, 0)*N337*VLOOKUP(D337, Factor!$BZ$5:$CJ$49, 10, 0)</f>
        <v>3</v>
      </c>
      <c r="P337" s="25">
        <v>1</v>
      </c>
      <c r="Q337" s="25">
        <f>VLOOKUP(E337, Factor!$CL$5:$CV$50, 9, 0)*P337*VLOOKUP(D337, Factor!$BZ$5:$CJ$49, 11, 0)</f>
        <v>5</v>
      </c>
      <c r="R337" s="25" t="str">
        <f>VLOOKUP(E337, Factor!$CL$5:$CV$50, 10, 0)</f>
        <v>null</v>
      </c>
      <c r="S337" s="25" t="str">
        <f>VLOOKUP(E337, Factor!$CL$5:$CV$50, 11, 0)</f>
        <v>null</v>
      </c>
      <c r="T337" s="25">
        <v>1</v>
      </c>
      <c r="U337" s="25">
        <v>1</v>
      </c>
      <c r="V337" s="25">
        <v>1</v>
      </c>
      <c r="W337" s="25">
        <v>1</v>
      </c>
      <c r="X337" s="25">
        <v>1</v>
      </c>
      <c r="Y337" s="25">
        <v>1</v>
      </c>
      <c r="Z337" s="25">
        <v>1</v>
      </c>
      <c r="AA337" s="25" cm="1">
        <f t="array" ref="AA337">_xlfn.LET(_xlpm.기본_색인번호, 2,
_xlpm.추가_색인번호, 3,
_xlpm.개별보정치, T337,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B337" s="25" cm="1">
        <f t="array" ref="AB337">_xlfn.LET(_xlpm.기본_색인번호, 3,
_xlpm.추가_색인번호, 4,
_xlpm.개별보정치, U337,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C337" s="25" cm="1">
        <f t="array" ref="AC337">_xlfn.LET(_xlpm.기본_색인번호, 4,
_xlpm.추가_색인번호, 5,
_xlpm.개별보정치, V337,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37" s="25" cm="1">
        <f t="array" ref="AD337">_xlfn.LET(_xlpm.기본_색인번호, 5,
_xlpm.추가_색인번호, 6,
_xlpm.개별보정치, W337,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E337" s="25" cm="1">
        <f t="array" ref="AE337">_xlfn.LET(_xlpm.기본_색인번호, 6,
_xlpm.추가_색인번호, 7,
_xlpm.개별보정치, X337,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  <c r="AF337" s="25" cm="1">
        <f t="array" ref="AF337">_xlfn.LET(_xlpm.기본_색인번호, 7,
_xlpm.추가_색인번호, 8,
_xlpm.개별보정치, Y337,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37" s="27" cm="1">
        <f t="array" ref="AG337">_xlfn.LET(_xlpm.기본_색인번호, 8,
_xlpm.추가_색인번호, 9,
_xlpm.개별보정치, Z337,
_xlpm.패턴보정치, VLOOKUP($G337, Factor!$B$5:$I$51, _xlpm.기본_색인번호, 0),
_xlpm.소모탄환보정치, VLOOKUP($H337, Factor!$T$5:$AA$51, _xlpm.기본_색인번호, 0),
_xlpm.지형보정치, VLOOKUP($I337, Factor!$K$12:$R$13, _xlpm.기본_색인번호, 0),
_xlpm.공격속성보정치, VLOOKUP($J337, Factor!$K$5:$R$7, _xlpm.기본_색인번호, 0),
_xlpm.피해범위보정치, INDEX(Factor!$AN$5:$AV$51, _xlfn.XMATCH(IF(OR($G337="blast", $G337="curved",  $G337= "debuff"), $L337, 0), Factor!$AN$5:$AN$51, -1), _xlpm.추가_색인번호)-IF(AND(OR($G337="blast", $G337="curved", $G337= "debuff"), MOD($L337,1)&lt;&gt;0),INDEX(Factor!$AN$5:$AV$51, _xlfn.XMATCH(IF(OR($G337="blast", $G337="curved", $G337= "debuff"), $L337, 0), Factor!$AN$5:$AN$51, -1), 2)*MOD($L337,1)*10,0),
_xlpm.상태이상보정치, VLOOKUP(IF($G337 = "debuff", $M337, "null"), Factor!$AX$5:$BE$51, _xlpm.기본_색인번호, 0),
_xlpm.지속시간보정치, INDEX(Factor!$BG$5:$BO$51, _xlfn.XMATCH(IF(OR($G337 ="debuff", $G337 = "shot", $G337 = "pierce"), $O337, 0), Factor!$BG$5:$BG$51, -1), _xlpm.추가_색인번호)-IF(AND(OR($G337 ="debuff", $G337 = "shot", $G337 = "pierce"), MOD($O337, 1)&lt;&gt;0), 10*MOD($O337, 1)*INDEX(Factor!$BG$5:$BO$51, _xlfn.XMATCH(IF(OR($G337 ="debuff", $G337 = "shot", $G337 = "pierce"), $O337, 0), Factor!$BG$5:$BG$51, -1), 2), 0),
_xlpm.탄환개수보정치, VLOOKUP(IF(OR($G337 = "curved", $G337 = "shot"), $Q337, 1), Factor!$BQ$5:$BX$51, _xlpm.기본_색인번호, 0),
_xlpm.상태이상탄환생성위치보정치, IF($G337 = "debuff", VLOOKUP($R337, Factor!$K$18:$R$19, _xlpm.기본_색인번호, 0),1),
_xlpm.상태이상탄환형태보정치, IF($G337 = "debuff", VLOOKUP($S337, Factor!$K$24:$R$25, _xlpm.기본_색인번호, 0),1),
_xlpm.가격보정치, INDEX(Factor!$AE$5:$AL$51, _xlfn.XMATCH($F337,Factor!$AE$5:$AE$51, -1), _xlpm.기본_색인번호),
_xlpm.구경보정치, VLOOKUP($D337,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</v>
      </c>
    </row>
    <row r="338" spans="1:33" ht="15.75" customHeight="1">
      <c r="A338" s="28" t="str">
        <f>"weapon_"&amp;G338&amp;"_"&amp;VLOOKUP(H338, Factor!$T$5:$AB$7, 9, 0)&amp;"_"&amp;IF(COUNTIFS($G$4:G337, G338, $H$4:H337, H338)+1&gt;=100, COUNTIFS($G$4:G337, G338, $H$4:H337, H338)+1,IF(COUNTIFS($G$4:G337, G338, $H$4:H337, H338)+1&gt;=10, "0"&amp;COUNTIFS($G$4:G337, G338, $H$4:H337, H338)+1, "00"&amp;COUNTIFS($G$4:G337, G338, $H$4:H337, H338)+1))</f>
        <v>weapon_shot_Am_092</v>
      </c>
      <c r="B338" s="37" t="str">
        <f t="shared" si="5"/>
        <v>T3 샷건포탑</v>
      </c>
      <c r="C338" s="37" t="s">
        <v>156</v>
      </c>
      <c r="D338" s="37" t="s">
        <v>275</v>
      </c>
      <c r="E338" s="37" t="s">
        <v>201</v>
      </c>
      <c r="F338" s="29">
        <f>VLOOKUP(C338, Factor!$AD$5:$AE$15, 2, 0)</f>
        <v>3000</v>
      </c>
      <c r="G338" s="29" t="str">
        <f>VLOOKUP(E338, Factor!$CL$5:$CV$50, 2, 0)</f>
        <v>shot</v>
      </c>
      <c r="H338" s="29" t="str">
        <f>VLOOKUP(E338, Factor!$CL$5:$CV$50, 3, 0)</f>
        <v>ammo</v>
      </c>
      <c r="I338" s="29" t="str">
        <f>VLOOKUP(E338, Factor!$CL$5:$CV$50, 4, 0)</f>
        <v>L</v>
      </c>
      <c r="J338" s="29" t="str">
        <f>VLOOKUP(E338, Factor!$CL$5:$CV$50, 5, 0)</f>
        <v>spread</v>
      </c>
      <c r="K338" s="29">
        <v>1</v>
      </c>
      <c r="L338" s="29">
        <f>VLOOKUP(E338, Factor!$CL$5:$CV$50, 6, 0)*K338*VLOOKUP(D338, Factor!$BZ$5:$CJ$49, 9, 0)</f>
        <v>0</v>
      </c>
      <c r="M338" s="29" t="str">
        <f>VLOOKUP(E338, Factor!$CL$5:$CV$50, 7, 0)</f>
        <v>null</v>
      </c>
      <c r="N338" s="29">
        <v>1</v>
      </c>
      <c r="O338" s="29">
        <f>VLOOKUP(E338, Factor!$CL$5:$CV$50, 8, 0)*N338*VLOOKUP(D338, Factor!$BZ$5:$CJ$49, 10, 0)</f>
        <v>3</v>
      </c>
      <c r="P338" s="29">
        <v>1</v>
      </c>
      <c r="Q338" s="29">
        <f>VLOOKUP(E338, Factor!$CL$5:$CV$50, 9, 0)*P338*VLOOKUP(D338, Factor!$BZ$5:$CJ$49, 11, 0)</f>
        <v>5</v>
      </c>
      <c r="R338" s="29" t="str">
        <f>VLOOKUP(E338, Factor!$CL$5:$CV$50, 10, 0)</f>
        <v>null</v>
      </c>
      <c r="S338" s="29" t="str">
        <f>VLOOKUP(E338, Factor!$CL$5:$CV$50, 11, 0)</f>
        <v>null</v>
      </c>
      <c r="T338" s="29">
        <v>1</v>
      </c>
      <c r="U338" s="29">
        <v>1</v>
      </c>
      <c r="V338" s="29">
        <v>1</v>
      </c>
      <c r="W338" s="29">
        <v>1</v>
      </c>
      <c r="X338" s="29">
        <v>1</v>
      </c>
      <c r="Y338" s="29">
        <v>1</v>
      </c>
      <c r="Z338" s="29">
        <v>1</v>
      </c>
      <c r="AA338" s="29" cm="1">
        <f t="array" ref="AA338">_xlfn.LET(_xlpm.기본_색인번호, 2,
_xlpm.추가_색인번호, 3,
_xlpm.개별보정치, T338,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338" s="29" cm="1">
        <f t="array" ref="AB338">_xlfn.LET(_xlpm.기본_색인번호, 3,
_xlpm.추가_색인번호, 4,
_xlpm.개별보정치, U338,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C338" s="29" cm="1">
        <f t="array" ref="AC338">_xlfn.LET(_xlpm.기본_색인번호, 4,
_xlpm.추가_색인번호, 5,
_xlpm.개별보정치, V338,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38" s="29" cm="1">
        <f t="array" ref="AD338">_xlfn.LET(_xlpm.기본_색인번호, 5,
_xlpm.추가_색인번호, 6,
_xlpm.개별보정치, W338,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E338" s="29" cm="1">
        <f t="array" ref="AE338">_xlfn.LET(_xlpm.기본_색인번호, 6,
_xlpm.추가_색인번호, 7,
_xlpm.개별보정치, X338,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  <c r="AF338" s="29" cm="1">
        <f t="array" ref="AF338">_xlfn.LET(_xlpm.기본_색인번호, 7,
_xlpm.추가_색인번호, 8,
_xlpm.개별보정치, Y338,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38" s="30" cm="1">
        <f t="array" ref="AG338">_xlfn.LET(_xlpm.기본_색인번호, 8,
_xlpm.추가_색인번호, 9,
_xlpm.개별보정치, Z338,
_xlpm.패턴보정치, VLOOKUP($G338, Factor!$B$5:$I$51, _xlpm.기본_색인번호, 0),
_xlpm.소모탄환보정치, VLOOKUP($H338, Factor!$T$5:$AA$51, _xlpm.기본_색인번호, 0),
_xlpm.지형보정치, VLOOKUP($I338, Factor!$K$12:$R$13, _xlpm.기본_색인번호, 0),
_xlpm.공격속성보정치, VLOOKUP($J338, Factor!$K$5:$R$7, _xlpm.기본_색인번호, 0),
_xlpm.피해범위보정치, INDEX(Factor!$AN$5:$AV$51, _xlfn.XMATCH(IF(OR($G338="blast", $G338="curved",  $G338= "debuff"), $L338, 0), Factor!$AN$5:$AN$51, -1), _xlpm.추가_색인번호)-IF(AND(OR($G338="blast", $G338="curved", $G338= "debuff"), MOD($L338,1)&lt;&gt;0),INDEX(Factor!$AN$5:$AV$51, _xlfn.XMATCH(IF(OR($G338="blast", $G338="curved", $G338= "debuff"), $L338, 0), Factor!$AN$5:$AN$51, -1), 2)*MOD($L338,1)*10,0),
_xlpm.상태이상보정치, VLOOKUP(IF($G338 = "debuff", $M338, "null"), Factor!$AX$5:$BE$51, _xlpm.기본_색인번호, 0),
_xlpm.지속시간보정치, INDEX(Factor!$BG$5:$BO$51, _xlfn.XMATCH(IF(OR($G338 ="debuff", $G338 = "shot", $G338 = "pierce"), $O338, 0), Factor!$BG$5:$BG$51, -1), _xlpm.추가_색인번호)-IF(AND(OR($G338 ="debuff", $G338 = "shot", $G338 = "pierce"), MOD($O338, 1)&lt;&gt;0), 10*MOD($O338, 1)*INDEX(Factor!$BG$5:$BO$51, _xlfn.XMATCH(IF(OR($G338 ="debuff", $G338 = "shot", $G338 = "pierce"), $O338, 0), Factor!$BG$5:$BG$51, -1), 2), 0),
_xlpm.탄환개수보정치, VLOOKUP(IF(OR($G338 = "curved", $G338 = "shot"), $Q338, 1), Factor!$BQ$5:$BX$51, _xlpm.기본_색인번호, 0),
_xlpm.상태이상탄환생성위치보정치, IF($G338 = "debuff", VLOOKUP($R338, Factor!$K$18:$R$19, _xlpm.기본_색인번호, 0),1),
_xlpm.상태이상탄환형태보정치, IF($G338 = "debuff", VLOOKUP($S338, Factor!$K$24:$R$25, _xlpm.기본_색인번호, 0),1),
_xlpm.가격보정치, INDEX(Factor!$AE$5:$AL$51, _xlfn.XMATCH($F338,Factor!$AE$5:$AE$51, -1), _xlpm.기본_색인번호),
_xlpm.구경보정치, VLOOKUP($D338,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</v>
      </c>
    </row>
    <row r="339" spans="1:33" ht="15.75" customHeight="1">
      <c r="A339" s="24" t="str">
        <f>"weapon_"&amp;G339&amp;"_"&amp;VLOOKUP(H339, Factor!$T$5:$AB$7, 9, 0)&amp;"_"&amp;IF(COUNTIFS($G$4:G338, G339, $H$4:H338, H339)+1&gt;=100, COUNTIFS($G$4:G338, G339, $H$4:H338, H339)+1,IF(COUNTIFS($G$4:G338, G339, $H$4:H338, H339)+1&gt;=10, "0"&amp;COUNTIFS($G$4:G338, G339, $H$4:H338, H339)+1, "00"&amp;COUNTIFS($G$4:G338, G339, $H$4:H338, H339)+1))</f>
        <v>weapon_shot_Am_093</v>
      </c>
      <c r="B339" s="36" t="str">
        <f t="shared" si="5"/>
        <v>T4 샷건포탑</v>
      </c>
      <c r="C339" s="36" t="s">
        <v>157</v>
      </c>
      <c r="D339" s="36" t="s">
        <v>275</v>
      </c>
      <c r="E339" s="36" t="s">
        <v>201</v>
      </c>
      <c r="F339" s="25">
        <f>VLOOKUP(C339, Factor!$AD$5:$AE$15, 2, 0)</f>
        <v>4000</v>
      </c>
      <c r="G339" s="26" t="str">
        <f>VLOOKUP(E339, Factor!$CL$5:$CV$50, 2, 0)</f>
        <v>shot</v>
      </c>
      <c r="H339" s="25" t="str">
        <f>VLOOKUP(E339, Factor!$CL$5:$CV$50, 3, 0)</f>
        <v>ammo</v>
      </c>
      <c r="I339" s="25" t="str">
        <f>VLOOKUP(E339, Factor!$CL$5:$CV$50, 4, 0)</f>
        <v>L</v>
      </c>
      <c r="J339" s="25" t="str">
        <f>VLOOKUP(E339, Factor!$CL$5:$CV$50, 5, 0)</f>
        <v>spread</v>
      </c>
      <c r="K339" s="25">
        <v>1</v>
      </c>
      <c r="L339" s="25">
        <f>VLOOKUP(E339, Factor!$CL$5:$CV$50, 6, 0)*K339*VLOOKUP(D339, Factor!$BZ$5:$CJ$49, 9, 0)</f>
        <v>0</v>
      </c>
      <c r="M339" s="25" t="str">
        <f>VLOOKUP(E339, Factor!$CL$5:$CV$50, 7, 0)</f>
        <v>null</v>
      </c>
      <c r="N339" s="25">
        <v>1</v>
      </c>
      <c r="O339" s="25">
        <f>VLOOKUP(E339, Factor!$CL$5:$CV$50, 8, 0)*N339*VLOOKUP(D339, Factor!$BZ$5:$CJ$49, 10, 0)</f>
        <v>3</v>
      </c>
      <c r="P339" s="25">
        <v>1</v>
      </c>
      <c r="Q339" s="25">
        <f>VLOOKUP(E339, Factor!$CL$5:$CV$50, 9, 0)*P339*VLOOKUP(D339, Factor!$BZ$5:$CJ$49, 11, 0)</f>
        <v>5</v>
      </c>
      <c r="R339" s="25" t="str">
        <f>VLOOKUP(E339, Factor!$CL$5:$CV$50, 10, 0)</f>
        <v>null</v>
      </c>
      <c r="S339" s="25" t="str">
        <f>VLOOKUP(E339, Factor!$CL$5:$CV$50, 11, 0)</f>
        <v>null</v>
      </c>
      <c r="T339" s="25">
        <v>1</v>
      </c>
      <c r="U339" s="25">
        <v>1</v>
      </c>
      <c r="V339" s="25">
        <v>1</v>
      </c>
      <c r="W339" s="25">
        <v>1</v>
      </c>
      <c r="X339" s="25">
        <v>1</v>
      </c>
      <c r="Y339" s="25">
        <v>1</v>
      </c>
      <c r="Z339" s="25">
        <v>1</v>
      </c>
      <c r="AA339" s="25" cm="1">
        <f t="array" ref="AA339">_xlfn.LET(_xlpm.기본_색인번호, 2,
_xlpm.추가_색인번호, 3,
_xlpm.개별보정치, T339,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750</v>
      </c>
      <c r="AB339" s="25" cm="1">
        <f t="array" ref="AB339">_xlfn.LET(_xlpm.기본_색인번호, 3,
_xlpm.추가_색인번호, 4,
_xlpm.개별보정치, U339,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C339" s="25" cm="1">
        <f t="array" ref="AC339">_xlfn.LET(_xlpm.기본_색인번호, 4,
_xlpm.추가_색인번호, 5,
_xlpm.개별보정치, V339,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39" s="25" cm="1">
        <f t="array" ref="AD339">_xlfn.LET(_xlpm.기본_색인번호, 5,
_xlpm.추가_색인번호, 6,
_xlpm.개별보정치, W339,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E339" s="25" cm="1">
        <f t="array" ref="AE339">_xlfn.LET(_xlpm.기본_색인번호, 6,
_xlpm.추가_색인번호, 7,
_xlpm.개별보정치, X339,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F339" s="25" cm="1">
        <f t="array" ref="AF339">_xlfn.LET(_xlpm.기본_색인번호, 7,
_xlpm.추가_색인번호, 8,
_xlpm.개별보정치, Y339,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39" s="27" cm="1">
        <f t="array" ref="AG339">_xlfn.LET(_xlpm.기본_색인번호, 8,
_xlpm.추가_색인번호, 9,
_xlpm.개별보정치, Z339,
_xlpm.패턴보정치, VLOOKUP($G339, Factor!$B$5:$I$51, _xlpm.기본_색인번호, 0),
_xlpm.소모탄환보정치, VLOOKUP($H339, Factor!$T$5:$AA$51, _xlpm.기본_색인번호, 0),
_xlpm.지형보정치, VLOOKUP($I339, Factor!$K$12:$R$13, _xlpm.기본_색인번호, 0),
_xlpm.공격속성보정치, VLOOKUP($J339, Factor!$K$5:$R$7, _xlpm.기본_색인번호, 0),
_xlpm.피해범위보정치, INDEX(Factor!$AN$5:$AV$51, _xlfn.XMATCH(IF(OR($G339="blast", $G339="curved",  $G339= "debuff"), $L339, 0), Factor!$AN$5:$AN$51, -1), _xlpm.추가_색인번호)-IF(AND(OR($G339="blast", $G339="curved", $G339= "debuff"), MOD($L339,1)&lt;&gt;0),INDEX(Factor!$AN$5:$AV$51, _xlfn.XMATCH(IF(OR($G339="blast", $G339="curved", $G339= "debuff"), $L339, 0), Factor!$AN$5:$AN$51, -1), 2)*MOD($L339,1)*10,0),
_xlpm.상태이상보정치, VLOOKUP(IF($G339 = "debuff", $M339, "null"), Factor!$AX$5:$BE$51, _xlpm.기본_색인번호, 0),
_xlpm.지속시간보정치, INDEX(Factor!$BG$5:$BO$51, _xlfn.XMATCH(IF(OR($G339 ="debuff", $G339 = "shot", $G339 = "pierce"), $O339, 0), Factor!$BG$5:$BG$51, -1), _xlpm.추가_색인번호)-IF(AND(OR($G339 ="debuff", $G339 = "shot", $G339 = "pierce"), MOD($O339, 1)&lt;&gt;0), 10*MOD($O339, 1)*INDEX(Factor!$BG$5:$BO$51, _xlfn.XMATCH(IF(OR($G339 ="debuff", $G339 = "shot", $G339 = "pierce"), $O339, 0), Factor!$BG$5:$BG$51, -1), 2), 0),
_xlpm.탄환개수보정치, VLOOKUP(IF(OR($G339 = "curved", $G339 = "shot"), $Q339, 1), Factor!$BQ$5:$BX$51, _xlpm.기본_색인번호, 0),
_xlpm.상태이상탄환생성위치보정치, IF($G339 = "debuff", VLOOKUP($R339, Factor!$K$18:$R$19, _xlpm.기본_색인번호, 0),1),
_xlpm.상태이상탄환형태보정치, IF($G339 = "debuff", VLOOKUP($S339, Factor!$K$24:$R$25, _xlpm.기본_색인번호, 0),1),
_xlpm.가격보정치, INDEX(Factor!$AE$5:$AL$51, _xlfn.XMATCH($F339,Factor!$AE$5:$AE$51, -1), _xlpm.기본_색인번호),
_xlpm.구경보정치, VLOOKUP($D339,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</row>
    <row r="340" spans="1:33" ht="15.75" customHeight="1">
      <c r="A340" s="28" t="str">
        <f>"weapon_"&amp;G340&amp;"_"&amp;VLOOKUP(H340, Factor!$T$5:$AB$7, 9, 0)&amp;"_"&amp;IF(COUNTIFS($G$4:G339, G340, $H$4:H339, H340)+1&gt;=100, COUNTIFS($G$4:G339, G340, $H$4:H339, H340)+1,IF(COUNTIFS($G$4:G339, G340, $H$4:H339, H340)+1&gt;=10, "0"&amp;COUNTIFS($G$4:G339, G340, $H$4:H339, H340)+1, "00"&amp;COUNTIFS($G$4:G339, G340, $H$4:H339, H340)+1))</f>
        <v>weapon_shot_Am_094</v>
      </c>
      <c r="B340" s="37" t="str">
        <f t="shared" si="5"/>
        <v>T5 샷건포탑</v>
      </c>
      <c r="C340" s="37" t="s">
        <v>158</v>
      </c>
      <c r="D340" s="37" t="s">
        <v>275</v>
      </c>
      <c r="E340" s="37" t="s">
        <v>201</v>
      </c>
      <c r="F340" s="29">
        <f>VLOOKUP(C340, Factor!$AD$5:$AE$15, 2, 0)</f>
        <v>5000</v>
      </c>
      <c r="G340" s="29" t="str">
        <f>VLOOKUP(E340, Factor!$CL$5:$CV$50, 2, 0)</f>
        <v>shot</v>
      </c>
      <c r="H340" s="29" t="str">
        <f>VLOOKUP(E340, Factor!$CL$5:$CV$50, 3, 0)</f>
        <v>ammo</v>
      </c>
      <c r="I340" s="29" t="str">
        <f>VLOOKUP(E340, Factor!$CL$5:$CV$50, 4, 0)</f>
        <v>L</v>
      </c>
      <c r="J340" s="29" t="str">
        <f>VLOOKUP(E340, Factor!$CL$5:$CV$50, 5, 0)</f>
        <v>spread</v>
      </c>
      <c r="K340" s="29">
        <v>1</v>
      </c>
      <c r="L340" s="29">
        <f>VLOOKUP(E340, Factor!$CL$5:$CV$50, 6, 0)*K340*VLOOKUP(D340, Factor!$BZ$5:$CJ$49, 9, 0)</f>
        <v>0</v>
      </c>
      <c r="M340" s="29" t="str">
        <f>VLOOKUP(E340, Factor!$CL$5:$CV$50, 7, 0)</f>
        <v>null</v>
      </c>
      <c r="N340" s="29">
        <v>1</v>
      </c>
      <c r="O340" s="29">
        <f>VLOOKUP(E340, Factor!$CL$5:$CV$50, 8, 0)*N340*VLOOKUP(D340, Factor!$BZ$5:$CJ$49, 10, 0)</f>
        <v>3</v>
      </c>
      <c r="P340" s="29">
        <v>1</v>
      </c>
      <c r="Q340" s="29">
        <f>VLOOKUP(E340, Factor!$CL$5:$CV$50, 9, 0)*P340*VLOOKUP(D340, Factor!$BZ$5:$CJ$49, 11, 0)</f>
        <v>5</v>
      </c>
      <c r="R340" s="29" t="str">
        <f>VLOOKUP(E340, Factor!$CL$5:$CV$50, 10, 0)</f>
        <v>null</v>
      </c>
      <c r="S340" s="29" t="str">
        <f>VLOOKUP(E340, Factor!$CL$5:$CV$50, 11, 0)</f>
        <v>null</v>
      </c>
      <c r="T340" s="29">
        <v>1</v>
      </c>
      <c r="U340" s="29">
        <v>1</v>
      </c>
      <c r="V340" s="29">
        <v>1</v>
      </c>
      <c r="W340" s="29">
        <v>1</v>
      </c>
      <c r="X340" s="29">
        <v>1</v>
      </c>
      <c r="Y340" s="29">
        <v>1</v>
      </c>
      <c r="Z340" s="29">
        <v>1</v>
      </c>
      <c r="AA340" s="29" cm="1">
        <f t="array" ref="AA340">_xlfn.LET(_xlpm.기본_색인번호, 2,
_xlpm.추가_색인번호, 3,
_xlpm.개별보정치, T340,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B340" s="29" cm="1">
        <f t="array" ref="AB340">_xlfn.LET(_xlpm.기본_색인번호, 3,
_xlpm.추가_색인번호, 4,
_xlpm.개별보정치, U340,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C340" s="29" cm="1">
        <f t="array" ref="AC340">_xlfn.LET(_xlpm.기본_색인번호, 4,
_xlpm.추가_색인번호, 5,
_xlpm.개별보정치, V340,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0" s="29" cm="1">
        <f t="array" ref="AD340">_xlfn.LET(_xlpm.기본_색인번호, 5,
_xlpm.추가_색인번호, 6,
_xlpm.개별보정치, W340,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E340" s="29" cm="1">
        <f t="array" ref="AE340">_xlfn.LET(_xlpm.기본_색인번호, 6,
_xlpm.추가_색인번호, 7,
_xlpm.개별보정치, X340,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F340" s="29" cm="1">
        <f t="array" ref="AF340">_xlfn.LET(_xlpm.기본_색인번호, 7,
_xlpm.추가_색인번호, 8,
_xlpm.개별보정치, Y340,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0" s="30" cm="1">
        <f t="array" ref="AG340">_xlfn.LET(_xlpm.기본_색인번호, 8,
_xlpm.추가_색인번호, 9,
_xlpm.개별보정치, Z340,
_xlpm.패턴보정치, VLOOKUP($G340, Factor!$B$5:$I$51, _xlpm.기본_색인번호, 0),
_xlpm.소모탄환보정치, VLOOKUP($H340, Factor!$T$5:$AA$51, _xlpm.기본_색인번호, 0),
_xlpm.지형보정치, VLOOKUP($I340, Factor!$K$12:$R$13, _xlpm.기본_색인번호, 0),
_xlpm.공격속성보정치, VLOOKUP($J340, Factor!$K$5:$R$7, _xlpm.기본_색인번호, 0),
_xlpm.피해범위보정치, INDEX(Factor!$AN$5:$AV$51, _xlfn.XMATCH(IF(OR($G340="blast", $G340="curved",  $G340= "debuff"), $L340, 0), Factor!$AN$5:$AN$51, -1), _xlpm.추가_색인번호)-IF(AND(OR($G340="blast", $G340="curved", $G340= "debuff"), MOD($L340,1)&lt;&gt;0),INDEX(Factor!$AN$5:$AV$51, _xlfn.XMATCH(IF(OR($G340="blast", $G340="curved", $G340= "debuff"), $L340, 0), Factor!$AN$5:$AN$51, -1), 2)*MOD($L340,1)*10,0),
_xlpm.상태이상보정치, VLOOKUP(IF($G340 = "debuff", $M340, "null"), Factor!$AX$5:$BE$51, _xlpm.기본_색인번호, 0),
_xlpm.지속시간보정치, INDEX(Factor!$BG$5:$BO$51, _xlfn.XMATCH(IF(OR($G340 ="debuff", $G340 = "shot", $G340 = "pierce"), $O340, 0), Factor!$BG$5:$BG$51, -1), _xlpm.추가_색인번호)-IF(AND(OR($G340 ="debuff", $G340 = "shot", $G340 = "pierce"), MOD($O340, 1)&lt;&gt;0), 10*MOD($O340, 1)*INDEX(Factor!$BG$5:$BO$51, _xlfn.XMATCH(IF(OR($G340 ="debuff", $G340 = "shot", $G340 = "pierce"), $O340, 0), Factor!$BG$5:$BG$51, -1), 2), 0),
_xlpm.탄환개수보정치, VLOOKUP(IF(OR($G340 = "curved", $G340 = "shot"), $Q340, 1), Factor!$BQ$5:$BX$51, _xlpm.기본_색인번호, 0),
_xlpm.상태이상탄환생성위치보정치, IF($G340 = "debuff", VLOOKUP($R340, Factor!$K$18:$R$19, _xlpm.기본_색인번호, 0),1),
_xlpm.상태이상탄환형태보정치, IF($G340 = "debuff", VLOOKUP($S340, Factor!$K$24:$R$25, _xlpm.기본_색인번호, 0),1),
_xlpm.가격보정치, INDEX(Factor!$AE$5:$AL$51, _xlfn.XMATCH($F340,Factor!$AE$5:$AE$51, -1), _xlpm.기본_색인번호),
_xlpm.구경보정치, VLOOKUP($D340,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</row>
    <row r="341" spans="1:33" ht="15.75" customHeight="1">
      <c r="A341" s="24" t="str">
        <f>"weapon_"&amp;G341&amp;"_"&amp;VLOOKUP(H341, Factor!$T$5:$AB$7, 9, 0)&amp;"_"&amp;IF(COUNTIFS($G$4:G340, G341, $H$4:H340, H341)+1&gt;=100, COUNTIFS($G$4:G340, G341, $H$4:H340, H341)+1,IF(COUNTIFS($G$4:G340, G341, $H$4:H340, H341)+1&gt;=10, "0"&amp;COUNTIFS($G$4:G340, G341, $H$4:H340, H341)+1, "00"&amp;COUNTIFS($G$4:G340, G341, $H$4:H340, H341)+1))</f>
        <v>weapon_shot_Am_095</v>
      </c>
      <c r="B341" s="36" t="str">
        <f t="shared" si="5"/>
        <v>T6 샷건포탑</v>
      </c>
      <c r="C341" s="36" t="s">
        <v>159</v>
      </c>
      <c r="D341" s="36" t="s">
        <v>275</v>
      </c>
      <c r="E341" s="36" t="s">
        <v>201</v>
      </c>
      <c r="F341" s="25">
        <f>VLOOKUP(C341, Factor!$AD$5:$AE$15, 2, 0)</f>
        <v>6000</v>
      </c>
      <c r="G341" s="26" t="str">
        <f>VLOOKUP(E341, Factor!$CL$5:$CV$50, 2, 0)</f>
        <v>shot</v>
      </c>
      <c r="H341" s="25" t="str">
        <f>VLOOKUP(E341, Factor!$CL$5:$CV$50, 3, 0)</f>
        <v>ammo</v>
      </c>
      <c r="I341" s="25" t="str">
        <f>VLOOKUP(E341, Factor!$CL$5:$CV$50, 4, 0)</f>
        <v>L</v>
      </c>
      <c r="J341" s="25" t="str">
        <f>VLOOKUP(E341, Factor!$CL$5:$CV$50, 5, 0)</f>
        <v>spread</v>
      </c>
      <c r="K341" s="25">
        <v>1</v>
      </c>
      <c r="L341" s="25">
        <f>VLOOKUP(E341, Factor!$CL$5:$CV$50, 6, 0)*K341*VLOOKUP(D341, Factor!$BZ$5:$CJ$49, 9, 0)</f>
        <v>0</v>
      </c>
      <c r="M341" s="25" t="str">
        <f>VLOOKUP(E341, Factor!$CL$5:$CV$50, 7, 0)</f>
        <v>null</v>
      </c>
      <c r="N341" s="25">
        <v>1</v>
      </c>
      <c r="O341" s="25">
        <f>VLOOKUP(E341, Factor!$CL$5:$CV$50, 8, 0)*N341*VLOOKUP(D341, Factor!$BZ$5:$CJ$49, 10, 0)</f>
        <v>3</v>
      </c>
      <c r="P341" s="25">
        <v>1</v>
      </c>
      <c r="Q341" s="25">
        <f>VLOOKUP(E341, Factor!$CL$5:$CV$50, 9, 0)*P341*VLOOKUP(D341, Factor!$BZ$5:$CJ$49, 11, 0)</f>
        <v>5</v>
      </c>
      <c r="R341" s="25" t="str">
        <f>VLOOKUP(E341, Factor!$CL$5:$CV$50, 10, 0)</f>
        <v>null</v>
      </c>
      <c r="S341" s="25" t="str">
        <f>VLOOKUP(E341, Factor!$CL$5:$CV$50, 11, 0)</f>
        <v>null</v>
      </c>
      <c r="T341" s="25">
        <v>1</v>
      </c>
      <c r="U341" s="25">
        <v>1</v>
      </c>
      <c r="V341" s="25">
        <v>1</v>
      </c>
      <c r="W341" s="25">
        <v>1</v>
      </c>
      <c r="X341" s="25">
        <v>1</v>
      </c>
      <c r="Y341" s="25">
        <v>1</v>
      </c>
      <c r="Z341" s="25">
        <v>1</v>
      </c>
      <c r="AA341" s="25" cm="1">
        <f t="array" ref="AA341">_xlfn.LET(_xlpm.기본_색인번호, 2,
_xlpm.추가_색인번호, 3,
_xlpm.개별보정치, T341,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1050</v>
      </c>
      <c r="AB341" s="25" cm="1">
        <f t="array" ref="AB341">_xlfn.LET(_xlpm.기본_색인번호, 3,
_xlpm.추가_색인번호, 4,
_xlpm.개별보정치, U341,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C341" s="25" cm="1">
        <f t="array" ref="AC341">_xlfn.LET(_xlpm.기본_색인번호, 4,
_xlpm.추가_색인번호, 5,
_xlpm.개별보정치, V341,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1" s="25" cm="1">
        <f t="array" ref="AD341">_xlfn.LET(_xlpm.기본_색인번호, 5,
_xlpm.추가_색인번호, 6,
_xlpm.개별보정치, W341,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</v>
      </c>
      <c r="AE341" s="25" cm="1">
        <f t="array" ref="AE341">_xlfn.LET(_xlpm.기본_색인번호, 6,
_xlpm.추가_색인번호, 7,
_xlpm.개별보정치, X341,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</v>
      </c>
      <c r="AF341" s="25" cm="1">
        <f t="array" ref="AF341">_xlfn.LET(_xlpm.기본_색인번호, 7,
_xlpm.추가_색인번호, 8,
_xlpm.개별보정치, Y341,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1" s="27" cm="1">
        <f t="array" ref="AG341">_xlfn.LET(_xlpm.기본_색인번호, 8,
_xlpm.추가_색인번호, 9,
_xlpm.개별보정치, Z341,
_xlpm.패턴보정치, VLOOKUP($G341, Factor!$B$5:$I$51, _xlpm.기본_색인번호, 0),
_xlpm.소모탄환보정치, VLOOKUP($H341, Factor!$T$5:$AA$51, _xlpm.기본_색인번호, 0),
_xlpm.지형보정치, VLOOKUP($I341, Factor!$K$12:$R$13, _xlpm.기본_색인번호, 0),
_xlpm.공격속성보정치, VLOOKUP($J341, Factor!$K$5:$R$7, _xlpm.기본_색인번호, 0),
_xlpm.피해범위보정치, INDEX(Factor!$AN$5:$AV$51, _xlfn.XMATCH(IF(OR($G341="blast", $G341="curved",  $G341= "debuff"), $L341, 0), Factor!$AN$5:$AN$51, -1), _xlpm.추가_색인번호)-IF(AND(OR($G341="blast", $G341="curved", $G341= "debuff"), MOD($L341,1)&lt;&gt;0),INDEX(Factor!$AN$5:$AV$51, _xlfn.XMATCH(IF(OR($G341="blast", $G341="curved", $G341= "debuff"), $L341, 0), Factor!$AN$5:$AN$51, -1), 2)*MOD($L341,1)*10,0),
_xlpm.상태이상보정치, VLOOKUP(IF($G341 = "debuff", $M341, "null"), Factor!$AX$5:$BE$51, _xlpm.기본_색인번호, 0),
_xlpm.지속시간보정치, INDEX(Factor!$BG$5:$BO$51, _xlfn.XMATCH(IF(OR($G341 ="debuff", $G341 = "shot", $G341 = "pierce"), $O341, 0), Factor!$BG$5:$BG$51, -1), _xlpm.추가_색인번호)-IF(AND(OR($G341 ="debuff", $G341 = "shot", $G341 = "pierce"), MOD($O341, 1)&lt;&gt;0), 10*MOD($O341, 1)*INDEX(Factor!$BG$5:$BO$51, _xlfn.XMATCH(IF(OR($G341 ="debuff", $G341 = "shot", $G341 = "pierce"), $O341, 0), Factor!$BG$5:$BG$51, -1), 2), 0),
_xlpm.탄환개수보정치, VLOOKUP(IF(OR($G341 = "curved", $G341 = "shot"), $Q341, 1), Factor!$BQ$5:$BX$51, _xlpm.기본_색인번호, 0),
_xlpm.상태이상탄환생성위치보정치, IF($G341 = "debuff", VLOOKUP($R341, Factor!$K$18:$R$19, _xlpm.기본_색인번호, 0),1),
_xlpm.상태이상탄환형태보정치, IF($G341 = "debuff", VLOOKUP($S341, Factor!$K$24:$R$25, _xlpm.기본_색인번호, 0),1),
_xlpm.가격보정치, INDEX(Factor!$AE$5:$AL$51, _xlfn.XMATCH($F341,Factor!$AE$5:$AE$51, -1), _xlpm.기본_색인번호),
_xlpm.구경보정치, VLOOKUP($D341,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</v>
      </c>
    </row>
    <row r="342" spans="1:33" ht="15.75" customHeight="1">
      <c r="A342" s="28" t="str">
        <f>"weapon_"&amp;G342&amp;"_"&amp;VLOOKUP(H342, Factor!$T$5:$AB$7, 9, 0)&amp;"_"&amp;IF(COUNTIFS($G$4:G341, G342, $H$4:H341, H342)+1&gt;=100, COUNTIFS($G$4:G341, G342, $H$4:H341, H342)+1,IF(COUNTIFS($G$4:G341, G342, $H$4:H341, H342)+1&gt;=10, "0"&amp;COUNTIFS($G$4:G341, G342, $H$4:H341, H342)+1, "00"&amp;COUNTIFS($G$4:G341, G342, $H$4:H341, H342)+1))</f>
        <v>weapon_shot_Am_096</v>
      </c>
      <c r="B342" s="37" t="str">
        <f t="shared" si="5"/>
        <v>T7 샷건포탑</v>
      </c>
      <c r="C342" s="37" t="s">
        <v>160</v>
      </c>
      <c r="D342" s="37" t="s">
        <v>275</v>
      </c>
      <c r="E342" s="37" t="s">
        <v>201</v>
      </c>
      <c r="F342" s="29">
        <f>VLOOKUP(C342, Factor!$AD$5:$AE$15, 2, 0)</f>
        <v>7000</v>
      </c>
      <c r="G342" s="29" t="str">
        <f>VLOOKUP(E342, Factor!$CL$5:$CV$50, 2, 0)</f>
        <v>shot</v>
      </c>
      <c r="H342" s="29" t="str">
        <f>VLOOKUP(E342, Factor!$CL$5:$CV$50, 3, 0)</f>
        <v>ammo</v>
      </c>
      <c r="I342" s="29" t="str">
        <f>VLOOKUP(E342, Factor!$CL$5:$CV$50, 4, 0)</f>
        <v>L</v>
      </c>
      <c r="J342" s="29" t="str">
        <f>VLOOKUP(E342, Factor!$CL$5:$CV$50, 5, 0)</f>
        <v>spread</v>
      </c>
      <c r="K342" s="29">
        <v>1</v>
      </c>
      <c r="L342" s="29">
        <f>VLOOKUP(E342, Factor!$CL$5:$CV$50, 6, 0)*K342*VLOOKUP(D342, Factor!$BZ$5:$CJ$49, 9, 0)</f>
        <v>0</v>
      </c>
      <c r="M342" s="29" t="str">
        <f>VLOOKUP(E342, Factor!$CL$5:$CV$50, 7, 0)</f>
        <v>null</v>
      </c>
      <c r="N342" s="29">
        <v>1</v>
      </c>
      <c r="O342" s="29">
        <f>VLOOKUP(E342, Factor!$CL$5:$CV$50, 8, 0)*N342*VLOOKUP(D342, Factor!$BZ$5:$CJ$49, 10, 0)</f>
        <v>3</v>
      </c>
      <c r="P342" s="29">
        <v>1</v>
      </c>
      <c r="Q342" s="29">
        <f>VLOOKUP(E342, Factor!$CL$5:$CV$50, 9, 0)*P342*VLOOKUP(D342, Factor!$BZ$5:$CJ$49, 11, 0)</f>
        <v>5</v>
      </c>
      <c r="R342" s="29" t="str">
        <f>VLOOKUP(E342, Factor!$CL$5:$CV$50, 10, 0)</f>
        <v>null</v>
      </c>
      <c r="S342" s="29" t="str">
        <f>VLOOKUP(E342, Factor!$CL$5:$CV$50, 11, 0)</f>
        <v>null</v>
      </c>
      <c r="T342" s="29">
        <v>1</v>
      </c>
      <c r="U342" s="29">
        <v>1</v>
      </c>
      <c r="V342" s="29">
        <v>1</v>
      </c>
      <c r="W342" s="29">
        <v>1</v>
      </c>
      <c r="X342" s="29">
        <v>1</v>
      </c>
      <c r="Y342" s="29">
        <v>1</v>
      </c>
      <c r="Z342" s="29">
        <v>1</v>
      </c>
      <c r="AA342" s="29" cm="1">
        <f t="array" ref="AA342">_xlfn.LET(_xlpm.기본_색인번호, 2,
_xlpm.추가_색인번호, 3,
_xlpm.개별보정치, T342,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342" s="29" cm="1">
        <f t="array" ref="AB342">_xlfn.LET(_xlpm.기본_색인번호, 3,
_xlpm.추가_색인번호, 4,
_xlpm.개별보정치, U342,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C342" s="29" cm="1">
        <f t="array" ref="AC342">_xlfn.LET(_xlpm.기본_색인번호, 4,
_xlpm.추가_색인번호, 5,
_xlpm.개별보정치, V342,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2" s="29" cm="1">
        <f t="array" ref="AD342">_xlfn.LET(_xlpm.기본_색인번호, 5,
_xlpm.추가_색인번호, 6,
_xlpm.개별보정치, W342,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E342" s="29" cm="1">
        <f t="array" ref="AE342">_xlfn.LET(_xlpm.기본_색인번호, 6,
_xlpm.추가_색인번호, 7,
_xlpm.개별보정치, X342,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  <c r="AF342" s="29" cm="1">
        <f t="array" ref="AF342">_xlfn.LET(_xlpm.기본_색인번호, 7,
_xlpm.추가_색인번호, 8,
_xlpm.개별보정치, Y342,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2" s="30" cm="1">
        <f t="array" ref="AG342">_xlfn.LET(_xlpm.기본_색인번호, 8,
_xlpm.추가_색인번호, 9,
_xlpm.개별보정치, Z342,
_xlpm.패턴보정치, VLOOKUP($G342, Factor!$B$5:$I$51, _xlpm.기본_색인번호, 0),
_xlpm.소모탄환보정치, VLOOKUP($H342, Factor!$T$5:$AA$51, _xlpm.기본_색인번호, 0),
_xlpm.지형보정치, VLOOKUP($I342, Factor!$K$12:$R$13, _xlpm.기본_색인번호, 0),
_xlpm.공격속성보정치, VLOOKUP($J342, Factor!$K$5:$R$7, _xlpm.기본_색인번호, 0),
_xlpm.피해범위보정치, INDEX(Factor!$AN$5:$AV$51, _xlfn.XMATCH(IF(OR($G342="blast", $G342="curved",  $G342= "debuff"), $L342, 0), Factor!$AN$5:$AN$51, -1), _xlpm.추가_색인번호)-IF(AND(OR($G342="blast", $G342="curved", $G342= "debuff"), MOD($L342,1)&lt;&gt;0),INDEX(Factor!$AN$5:$AV$51, _xlfn.XMATCH(IF(OR($G342="blast", $G342="curved", $G342= "debuff"), $L342, 0), Factor!$AN$5:$AN$51, -1), 2)*MOD($L342,1)*10,0),
_xlpm.상태이상보정치, VLOOKUP(IF($G342 = "debuff", $M342, "null"), Factor!$AX$5:$BE$51, _xlpm.기본_색인번호, 0),
_xlpm.지속시간보정치, INDEX(Factor!$BG$5:$BO$51, _xlfn.XMATCH(IF(OR($G342 ="debuff", $G342 = "shot", $G342 = "pierce"), $O342, 0), Factor!$BG$5:$BG$51, -1), _xlpm.추가_색인번호)-IF(AND(OR($G342 ="debuff", $G342 = "shot", $G342 = "pierce"), MOD($O342, 1)&lt;&gt;0), 10*MOD($O342, 1)*INDEX(Factor!$BG$5:$BO$51, _xlfn.XMATCH(IF(OR($G342 ="debuff", $G342 = "shot", $G342 = "pierce"), $O342, 0), Factor!$BG$5:$BG$51, -1), 2), 0),
_xlpm.탄환개수보정치, VLOOKUP(IF(OR($G342 = "curved", $G342 = "shot"), $Q342, 1), Factor!$BQ$5:$BX$51, _xlpm.기본_색인번호, 0),
_xlpm.상태이상탄환생성위치보정치, IF($G342 = "debuff", VLOOKUP($R342, Factor!$K$18:$R$19, _xlpm.기본_색인번호, 0),1),
_xlpm.상태이상탄환형태보정치, IF($G342 = "debuff", VLOOKUP($S342, Factor!$K$24:$R$25, _xlpm.기본_색인번호, 0),1),
_xlpm.가격보정치, INDEX(Factor!$AE$5:$AL$51, _xlfn.XMATCH($F342,Factor!$AE$5:$AE$51, -1), _xlpm.기본_색인번호),
_xlpm.구경보정치, VLOOKUP($D342,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</v>
      </c>
    </row>
    <row r="343" spans="1:33" ht="15.75" customHeight="1">
      <c r="A343" s="24" t="str">
        <f>"weapon_"&amp;G343&amp;"_"&amp;VLOOKUP(H343, Factor!$T$5:$AB$7, 9, 0)&amp;"_"&amp;IF(COUNTIFS($G$4:G342, G343, $H$4:H342, H343)+1&gt;=100, COUNTIFS($G$4:G342, G343, $H$4:H342, H343)+1,IF(COUNTIFS($G$4:G342, G343, $H$4:H342, H343)+1&gt;=10, "0"&amp;COUNTIFS($G$4:G342, G343, $H$4:H342, H343)+1, "00"&amp;COUNTIFS($G$4:G342, G343, $H$4:H342, H343)+1))</f>
        <v>weapon_shot_Am_097</v>
      </c>
      <c r="B343" s="36" t="str">
        <f t="shared" si="5"/>
        <v>T8 샷건포탑</v>
      </c>
      <c r="C343" s="36" t="s">
        <v>161</v>
      </c>
      <c r="D343" s="36" t="s">
        <v>275</v>
      </c>
      <c r="E343" s="36" t="s">
        <v>201</v>
      </c>
      <c r="F343" s="25">
        <f>VLOOKUP(C343, Factor!$AD$5:$AE$15, 2, 0)</f>
        <v>8000</v>
      </c>
      <c r="G343" s="26" t="str">
        <f>VLOOKUP(E343, Factor!$CL$5:$CV$50, 2, 0)</f>
        <v>shot</v>
      </c>
      <c r="H343" s="25" t="str">
        <f>VLOOKUP(E343, Factor!$CL$5:$CV$50, 3, 0)</f>
        <v>ammo</v>
      </c>
      <c r="I343" s="25" t="str">
        <f>VLOOKUP(E343, Factor!$CL$5:$CV$50, 4, 0)</f>
        <v>L</v>
      </c>
      <c r="J343" s="25" t="str">
        <f>VLOOKUP(E343, Factor!$CL$5:$CV$50, 5, 0)</f>
        <v>spread</v>
      </c>
      <c r="K343" s="25">
        <v>1</v>
      </c>
      <c r="L343" s="25">
        <f>VLOOKUP(E343, Factor!$CL$5:$CV$50, 6, 0)*K343*VLOOKUP(D343, Factor!$BZ$5:$CJ$49, 9, 0)</f>
        <v>0</v>
      </c>
      <c r="M343" s="25" t="str">
        <f>VLOOKUP(E343, Factor!$CL$5:$CV$50, 7, 0)</f>
        <v>null</v>
      </c>
      <c r="N343" s="25">
        <v>1</v>
      </c>
      <c r="O343" s="25">
        <f>VLOOKUP(E343, Factor!$CL$5:$CV$50, 8, 0)*N343*VLOOKUP(D343, Factor!$BZ$5:$CJ$49, 10, 0)</f>
        <v>3</v>
      </c>
      <c r="P343" s="25">
        <v>1</v>
      </c>
      <c r="Q343" s="25">
        <f>VLOOKUP(E343, Factor!$CL$5:$CV$50, 9, 0)*P343*VLOOKUP(D343, Factor!$BZ$5:$CJ$49, 11, 0)</f>
        <v>5</v>
      </c>
      <c r="R343" s="25" t="str">
        <f>VLOOKUP(E343, Factor!$CL$5:$CV$50, 10, 0)</f>
        <v>null</v>
      </c>
      <c r="S343" s="25" t="str">
        <f>VLOOKUP(E343, Factor!$CL$5:$CV$50, 11, 0)</f>
        <v>null</v>
      </c>
      <c r="T343" s="25">
        <v>1</v>
      </c>
      <c r="U343" s="25">
        <v>1</v>
      </c>
      <c r="V343" s="25">
        <v>1</v>
      </c>
      <c r="W343" s="25">
        <v>1</v>
      </c>
      <c r="X343" s="25">
        <v>1</v>
      </c>
      <c r="Y343" s="25">
        <v>1</v>
      </c>
      <c r="Z343" s="25">
        <v>1</v>
      </c>
      <c r="AA343" s="25" cm="1">
        <f t="array" ref="AA343">_xlfn.LET(_xlpm.기본_색인번호, 2,
_xlpm.추가_색인번호, 3,
_xlpm.개별보정치, T343,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1350</v>
      </c>
      <c r="AB343" s="25" cm="1">
        <f t="array" ref="AB343">_xlfn.LET(_xlpm.기본_색인번호, 3,
_xlpm.추가_색인번호, 4,
_xlpm.개별보정치, U343,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</v>
      </c>
      <c r="AC343" s="25" cm="1">
        <f t="array" ref="AC343">_xlfn.LET(_xlpm.기본_색인번호, 4,
_xlpm.추가_색인번호, 5,
_xlpm.개별보정치, V343,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3" s="25" cm="1">
        <f t="array" ref="AD343">_xlfn.LET(_xlpm.기본_색인번호, 5,
_xlpm.추가_색인번호, 6,
_xlpm.개별보정치, W343,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E343" s="25" cm="1">
        <f t="array" ref="AE343">_xlfn.LET(_xlpm.기본_색인번호, 6,
_xlpm.추가_색인번호, 7,
_xlpm.개별보정치, X343,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  <c r="AF343" s="25" cm="1">
        <f t="array" ref="AF343">_xlfn.LET(_xlpm.기본_색인번호, 7,
_xlpm.추가_색인번호, 8,
_xlpm.개별보정치, Y343,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3" s="27" cm="1">
        <f t="array" ref="AG343">_xlfn.LET(_xlpm.기본_색인번호, 8,
_xlpm.추가_색인번호, 9,
_xlpm.개별보정치, Z343,
_xlpm.패턴보정치, VLOOKUP($G343, Factor!$B$5:$I$51, _xlpm.기본_색인번호, 0),
_xlpm.소모탄환보정치, VLOOKUP($H343, Factor!$T$5:$AA$51, _xlpm.기본_색인번호, 0),
_xlpm.지형보정치, VLOOKUP($I343, Factor!$K$12:$R$13, _xlpm.기본_색인번호, 0),
_xlpm.공격속성보정치, VLOOKUP($J343, Factor!$K$5:$R$7, _xlpm.기본_색인번호, 0),
_xlpm.피해범위보정치, INDEX(Factor!$AN$5:$AV$51, _xlfn.XMATCH(IF(OR($G343="blast", $G343="curved",  $G343= "debuff"), $L343, 0), Factor!$AN$5:$AN$51, -1), _xlpm.추가_색인번호)-IF(AND(OR($G343="blast", $G343="curved", $G343= "debuff"), MOD($L343,1)&lt;&gt;0),INDEX(Factor!$AN$5:$AV$51, _xlfn.XMATCH(IF(OR($G343="blast", $G343="curved", $G343= "debuff"), $L343, 0), Factor!$AN$5:$AN$51, -1), 2)*MOD($L343,1)*10,0),
_xlpm.상태이상보정치, VLOOKUP(IF($G343 = "debuff", $M343, "null"), Factor!$AX$5:$BE$51, _xlpm.기본_색인번호, 0),
_xlpm.지속시간보정치, INDEX(Factor!$BG$5:$BO$51, _xlfn.XMATCH(IF(OR($G343 ="debuff", $G343 = "shot", $G343 = "pierce"), $O343, 0), Factor!$BG$5:$BG$51, -1), _xlpm.추가_색인번호)-IF(AND(OR($G343 ="debuff", $G343 = "shot", $G343 = "pierce"), MOD($O343, 1)&lt;&gt;0), 10*MOD($O343, 1)*INDEX(Factor!$BG$5:$BO$51, _xlfn.XMATCH(IF(OR($G343 ="debuff", $G343 = "shot", $G343 = "pierce"), $O343, 0), Factor!$BG$5:$BG$51, -1), 2), 0),
_xlpm.탄환개수보정치, VLOOKUP(IF(OR($G343 = "curved", $G343 = "shot"), $Q343, 1), Factor!$BQ$5:$BX$51, _xlpm.기본_색인번호, 0),
_xlpm.상태이상탄환생성위치보정치, IF($G343 = "debuff", VLOOKUP($R343, Factor!$K$18:$R$19, _xlpm.기본_색인번호, 0),1),
_xlpm.상태이상탄환형태보정치, IF($G343 = "debuff", VLOOKUP($S343, Factor!$K$24:$R$25, _xlpm.기본_색인번호, 0),1),
_xlpm.가격보정치, INDEX(Factor!$AE$5:$AL$51, _xlfn.XMATCH($F343,Factor!$AE$5:$AE$51, -1), _xlpm.기본_색인번호),
_xlpm.구경보정치, VLOOKUP($D343,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</v>
      </c>
    </row>
    <row r="344" spans="1:33" ht="15.75" customHeight="1">
      <c r="A344" s="28" t="str">
        <f>"weapon_"&amp;G344&amp;"_"&amp;VLOOKUP(H344, Factor!$T$5:$AB$7, 9, 0)&amp;"_"&amp;IF(COUNTIFS($G$4:G343, G344, $H$4:H343, H344)+1&gt;=100, COUNTIFS($G$4:G343, G344, $H$4:H343, H344)+1,IF(COUNTIFS($G$4:G343, G344, $H$4:H343, H344)+1&gt;=10, "0"&amp;COUNTIFS($G$4:G343, G344, $H$4:H343, H344)+1, "00"&amp;COUNTIFS($G$4:G343, G344, $H$4:H343, H344)+1))</f>
        <v>weapon_shot_Am_098</v>
      </c>
      <c r="B344" s="37" t="str">
        <f t="shared" si="5"/>
        <v>T9 샷건포탑</v>
      </c>
      <c r="C344" s="37" t="s">
        <v>162</v>
      </c>
      <c r="D344" s="37" t="s">
        <v>275</v>
      </c>
      <c r="E344" s="37" t="s">
        <v>201</v>
      </c>
      <c r="F344" s="29">
        <f>VLOOKUP(C344, Factor!$AD$5:$AE$15, 2, 0)</f>
        <v>9000</v>
      </c>
      <c r="G344" s="29" t="str">
        <f>VLOOKUP(E344, Factor!$CL$5:$CV$50, 2, 0)</f>
        <v>shot</v>
      </c>
      <c r="H344" s="29" t="str">
        <f>VLOOKUP(E344, Factor!$CL$5:$CV$50, 3, 0)</f>
        <v>ammo</v>
      </c>
      <c r="I344" s="29" t="str">
        <f>VLOOKUP(E344, Factor!$CL$5:$CV$50, 4, 0)</f>
        <v>L</v>
      </c>
      <c r="J344" s="29" t="str">
        <f>VLOOKUP(E344, Factor!$CL$5:$CV$50, 5, 0)</f>
        <v>spread</v>
      </c>
      <c r="K344" s="29">
        <v>1</v>
      </c>
      <c r="L344" s="29">
        <f>VLOOKUP(E344, Factor!$CL$5:$CV$50, 6, 0)*K344*VLOOKUP(D344, Factor!$BZ$5:$CJ$49, 9, 0)</f>
        <v>0</v>
      </c>
      <c r="M344" s="29" t="str">
        <f>VLOOKUP(E344, Factor!$CL$5:$CV$50, 7, 0)</f>
        <v>null</v>
      </c>
      <c r="N344" s="29">
        <v>1</v>
      </c>
      <c r="O344" s="29">
        <f>VLOOKUP(E344, Factor!$CL$5:$CV$50, 8, 0)*N344*VLOOKUP(D344, Factor!$BZ$5:$CJ$49, 10, 0)</f>
        <v>3</v>
      </c>
      <c r="P344" s="29">
        <v>1</v>
      </c>
      <c r="Q344" s="29">
        <f>VLOOKUP(E344, Factor!$CL$5:$CV$50, 9, 0)*P344*VLOOKUP(D344, Factor!$BZ$5:$CJ$49, 11, 0)</f>
        <v>5</v>
      </c>
      <c r="R344" s="29" t="str">
        <f>VLOOKUP(E344, Factor!$CL$5:$CV$50, 10, 0)</f>
        <v>null</v>
      </c>
      <c r="S344" s="29" t="str">
        <f>VLOOKUP(E344, Factor!$CL$5:$CV$50, 11, 0)</f>
        <v>null</v>
      </c>
      <c r="T344" s="29">
        <v>1</v>
      </c>
      <c r="U344" s="29">
        <v>1</v>
      </c>
      <c r="V344" s="29">
        <v>1</v>
      </c>
      <c r="W344" s="29">
        <v>1</v>
      </c>
      <c r="X344" s="29">
        <v>1</v>
      </c>
      <c r="Y344" s="29">
        <v>1</v>
      </c>
      <c r="Z344" s="29">
        <v>1</v>
      </c>
      <c r="AA344" s="29" cm="1">
        <f t="array" ref="AA344">_xlfn.LET(_xlpm.기본_색인번호, 2,
_xlpm.추가_색인번호, 3,
_xlpm.개별보정치, T344,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1500</v>
      </c>
      <c r="AB344" s="29" cm="1">
        <f t="array" ref="AB344">_xlfn.LET(_xlpm.기본_색인번호, 3,
_xlpm.추가_색인번호, 4,
_xlpm.개별보정치, U344,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</v>
      </c>
      <c r="AC344" s="29" cm="1">
        <f t="array" ref="AC344">_xlfn.LET(_xlpm.기본_색인번호, 4,
_xlpm.추가_색인번호, 5,
_xlpm.개별보정치, V344,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4" s="29" cm="1">
        <f t="array" ref="AD344">_xlfn.LET(_xlpm.기본_색인번호, 5,
_xlpm.추가_색인번호, 6,
_xlpm.개별보정치, W344,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344" s="29" cm="1">
        <f t="array" ref="AE344">_xlfn.LET(_xlpm.기본_색인번호, 6,
_xlpm.추가_색인번호, 7,
_xlpm.개별보정치, X344,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344" s="29" cm="1">
        <f t="array" ref="AF344">_xlfn.LET(_xlpm.기본_색인번호, 7,
_xlpm.추가_색인번호, 8,
_xlpm.개별보정치, Y344,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4" s="30" cm="1">
        <f t="array" ref="AG344">_xlfn.LET(_xlpm.기본_색인번호, 8,
_xlpm.추가_색인번호, 9,
_xlpm.개별보정치, Z344,
_xlpm.패턴보정치, VLOOKUP($G344, Factor!$B$5:$I$51, _xlpm.기본_색인번호, 0),
_xlpm.소모탄환보정치, VLOOKUP($H344, Factor!$T$5:$AA$51, _xlpm.기본_색인번호, 0),
_xlpm.지형보정치, VLOOKUP($I344, Factor!$K$12:$R$13, _xlpm.기본_색인번호, 0),
_xlpm.공격속성보정치, VLOOKUP($J344, Factor!$K$5:$R$7, _xlpm.기본_색인번호, 0),
_xlpm.피해범위보정치, INDEX(Factor!$AN$5:$AV$51, _xlfn.XMATCH(IF(OR($G344="blast", $G344="curved",  $G344= "debuff"), $L344, 0), Factor!$AN$5:$AN$51, -1), _xlpm.추가_색인번호)-IF(AND(OR($G344="blast", $G344="curved", $G344= "debuff"), MOD($L344,1)&lt;&gt;0),INDEX(Factor!$AN$5:$AV$51, _xlfn.XMATCH(IF(OR($G344="blast", $G344="curved", $G344= "debuff"), $L344, 0), Factor!$AN$5:$AN$51, -1), 2)*MOD($L344,1)*10,0),
_xlpm.상태이상보정치, VLOOKUP(IF($G344 = "debuff", $M344, "null"), Factor!$AX$5:$BE$51, _xlpm.기본_색인번호, 0),
_xlpm.지속시간보정치, INDEX(Factor!$BG$5:$BO$51, _xlfn.XMATCH(IF(OR($G344 ="debuff", $G344 = "shot", $G344 = "pierce"), $O344, 0), Factor!$BG$5:$BG$51, -1), _xlpm.추가_색인번호)-IF(AND(OR($G344 ="debuff", $G344 = "shot", $G344 = "pierce"), MOD($O344, 1)&lt;&gt;0), 10*MOD($O344, 1)*INDEX(Factor!$BG$5:$BO$51, _xlfn.XMATCH(IF(OR($G344 ="debuff", $G344 = "shot", $G344 = "pierce"), $O344, 0), Factor!$BG$5:$BG$51, -1), 2), 0),
_xlpm.탄환개수보정치, VLOOKUP(IF(OR($G344 = "curved", $G344 = "shot"), $Q344, 1), Factor!$BQ$5:$BX$51, _xlpm.기본_색인번호, 0),
_xlpm.상태이상탄환생성위치보정치, IF($G344 = "debuff", VLOOKUP($R344, Factor!$K$18:$R$19, _xlpm.기본_색인번호, 0),1),
_xlpm.상태이상탄환형태보정치, IF($G344 = "debuff", VLOOKUP($S344, Factor!$K$24:$R$25, _xlpm.기본_색인번호, 0),1),
_xlpm.가격보정치, INDEX(Factor!$AE$5:$AL$51, _xlfn.XMATCH($F344,Factor!$AE$5:$AE$51, -1), _xlpm.기본_색인번호),
_xlpm.구경보정치, VLOOKUP($D344,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345" spans="1:33" ht="15.75" customHeight="1">
      <c r="A345" s="24" t="str">
        <f>"weapon_"&amp;G345&amp;"_"&amp;VLOOKUP(H345, Factor!$T$5:$AB$7, 9, 0)&amp;"_"&amp;IF(COUNTIFS($G$4:G344, G345, $H$4:H344, H345)+1&gt;=100, COUNTIFS($G$4:G344, G345, $H$4:H344, H345)+1,IF(COUNTIFS($G$4:G344, G345, $H$4:H344, H345)+1&gt;=10, "0"&amp;COUNTIFS($G$4:G344, G345, $H$4:H344, H345)+1, "00"&amp;COUNTIFS($G$4:G344, G345, $H$4:H344, H345)+1))</f>
        <v>weapon_shot_Am_099</v>
      </c>
      <c r="B345" s="36" t="str">
        <f t="shared" si="5"/>
        <v>T10 샷건포탑</v>
      </c>
      <c r="C345" s="36" t="s">
        <v>163</v>
      </c>
      <c r="D345" s="36" t="s">
        <v>275</v>
      </c>
      <c r="E345" s="36" t="s">
        <v>201</v>
      </c>
      <c r="F345" s="25">
        <f>VLOOKUP(C345, Factor!$AD$5:$AE$15, 2, 0)</f>
        <v>10000</v>
      </c>
      <c r="G345" s="26" t="str">
        <f>VLOOKUP(E345, Factor!$CL$5:$CV$50, 2, 0)</f>
        <v>shot</v>
      </c>
      <c r="H345" s="25" t="str">
        <f>VLOOKUP(E345, Factor!$CL$5:$CV$50, 3, 0)</f>
        <v>ammo</v>
      </c>
      <c r="I345" s="25" t="str">
        <f>VLOOKUP(E345, Factor!$CL$5:$CV$50, 4, 0)</f>
        <v>L</v>
      </c>
      <c r="J345" s="25" t="str">
        <f>VLOOKUP(E345, Factor!$CL$5:$CV$50, 5, 0)</f>
        <v>spread</v>
      </c>
      <c r="K345" s="25">
        <v>1</v>
      </c>
      <c r="L345" s="25">
        <f>VLOOKUP(E345, Factor!$CL$5:$CV$50, 6, 0)*K345*VLOOKUP(D345, Factor!$BZ$5:$CJ$49, 9, 0)</f>
        <v>0</v>
      </c>
      <c r="M345" s="25" t="str">
        <f>VLOOKUP(E345, Factor!$CL$5:$CV$50, 7, 0)</f>
        <v>null</v>
      </c>
      <c r="N345" s="25">
        <v>1</v>
      </c>
      <c r="O345" s="25">
        <f>VLOOKUP(E345, Factor!$CL$5:$CV$50, 8, 0)*N345*VLOOKUP(D345, Factor!$BZ$5:$CJ$49, 10, 0)</f>
        <v>3</v>
      </c>
      <c r="P345" s="25">
        <v>1</v>
      </c>
      <c r="Q345" s="25">
        <f>VLOOKUP(E345, Factor!$CL$5:$CV$50, 9, 0)*P345*VLOOKUP(D345, Factor!$BZ$5:$CJ$49, 11, 0)</f>
        <v>5</v>
      </c>
      <c r="R345" s="25" t="str">
        <f>VLOOKUP(E345, Factor!$CL$5:$CV$50, 10, 0)</f>
        <v>null</v>
      </c>
      <c r="S345" s="25" t="str">
        <f>VLOOKUP(E345, Factor!$CL$5:$CV$50, 11, 0)</f>
        <v>null</v>
      </c>
      <c r="T345" s="25">
        <v>1</v>
      </c>
      <c r="U345" s="25">
        <v>1</v>
      </c>
      <c r="V345" s="25">
        <v>1</v>
      </c>
      <c r="W345" s="25">
        <v>1</v>
      </c>
      <c r="X345" s="25">
        <v>1</v>
      </c>
      <c r="Y345" s="25">
        <v>1</v>
      </c>
      <c r="Z345" s="25">
        <v>1</v>
      </c>
      <c r="AA345" s="25" cm="1">
        <f t="array" ref="AA345">_xlfn.LET(_xlpm.기본_색인번호, 2,
_xlpm.추가_색인번호, 3,
_xlpm.개별보정치, T345,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1650</v>
      </c>
      <c r="AB345" s="25" cm="1">
        <f t="array" ref="AB345">_xlfn.LET(_xlpm.기본_색인번호, 3,
_xlpm.추가_색인번호, 4,
_xlpm.개별보정치, U345,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</v>
      </c>
      <c r="AC345" s="25" cm="1">
        <f t="array" ref="AC345">_xlfn.LET(_xlpm.기본_색인번호, 4,
_xlpm.추가_색인번호, 5,
_xlpm.개별보정치, V345,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</v>
      </c>
      <c r="AD345" s="25" cm="1">
        <f t="array" ref="AD345">_xlfn.LET(_xlpm.기본_색인번호, 5,
_xlpm.추가_색인번호, 6,
_xlpm.개별보정치, W345,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</v>
      </c>
      <c r="AE345" s="25" cm="1">
        <f t="array" ref="AE345">_xlfn.LET(_xlpm.기본_색인번호, 6,
_xlpm.추가_색인번호, 7,
_xlpm.개별보정치, X345,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</v>
      </c>
      <c r="AF345" s="25" cm="1">
        <f t="array" ref="AF345">_xlfn.LET(_xlpm.기본_색인번호, 7,
_xlpm.추가_색인번호, 8,
_xlpm.개별보정치, Y345,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G345" s="27" cm="1">
        <f t="array" ref="AG345">_xlfn.LET(_xlpm.기본_색인번호, 8,
_xlpm.추가_색인번호, 9,
_xlpm.개별보정치, Z345,
_xlpm.패턴보정치, VLOOKUP($G345, Factor!$B$5:$I$51, _xlpm.기본_색인번호, 0),
_xlpm.소모탄환보정치, VLOOKUP($H345, Factor!$T$5:$AA$51, _xlpm.기본_색인번호, 0),
_xlpm.지형보정치, VLOOKUP($I345, Factor!$K$12:$R$13, _xlpm.기본_색인번호, 0),
_xlpm.공격속성보정치, VLOOKUP($J345, Factor!$K$5:$R$7, _xlpm.기본_색인번호, 0),
_xlpm.피해범위보정치, INDEX(Factor!$AN$5:$AV$51, _xlfn.XMATCH(IF(OR($G345="blast", $G345="curved",  $G345= "debuff"), $L345, 0), Factor!$AN$5:$AN$51, -1), _xlpm.추가_색인번호)-IF(AND(OR($G345="blast", $G345="curved", $G345= "debuff"), MOD($L345,1)&lt;&gt;0),INDEX(Factor!$AN$5:$AV$51, _xlfn.XMATCH(IF(OR($G345="blast", $G345="curved", $G345= "debuff"), $L345, 0), Factor!$AN$5:$AN$51, -1), 2)*MOD($L345,1)*10,0),
_xlpm.상태이상보정치, VLOOKUP(IF($G345 = "debuff", $M345, "null"), Factor!$AX$5:$BE$51, _xlpm.기본_색인번호, 0),
_xlpm.지속시간보정치, INDEX(Factor!$BG$5:$BO$51, _xlfn.XMATCH(IF(OR($G345 ="debuff", $G345 = "shot", $G345 = "pierce"), $O345, 0), Factor!$BG$5:$BG$51, -1), _xlpm.추가_색인번호)-IF(AND(OR($G345 ="debuff", $G345 = "shot", $G345 = "pierce"), MOD($O345, 1)&lt;&gt;0), 10*MOD($O345, 1)*INDEX(Factor!$BG$5:$BO$51, _xlfn.XMATCH(IF(OR($G345 ="debuff", $G345 = "shot", $G345 = "pierce"), $O345, 0), Factor!$BG$5:$BG$51, -1), 2), 0),
_xlpm.탄환개수보정치, VLOOKUP(IF(OR($G345 = "curved", $G345 = "shot"), $Q345, 1), Factor!$BQ$5:$BX$51, _xlpm.기본_색인번호, 0),
_xlpm.상태이상탄환생성위치보정치, IF($G345 = "debuff", VLOOKUP($R345, Factor!$K$18:$R$19, _xlpm.기본_색인번호, 0),1),
_xlpm.상태이상탄환형태보정치, IF($G345 = "debuff", VLOOKUP($S345, Factor!$K$24:$R$25, _xlpm.기본_색인번호, 0),1),
_xlpm.가격보정치, INDEX(Factor!$AE$5:$AL$51, _xlfn.XMATCH($F345,Factor!$AE$5:$AE$51, -1), _xlpm.기본_색인번호),
_xlpm.구경보정치, VLOOKUP($D345,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</v>
      </c>
    </row>
    <row r="346" spans="1:33" ht="15.75" customHeight="1">
      <c r="A346" s="28" t="str">
        <f>"weapon_"&amp;G346&amp;"_"&amp;VLOOKUP(H346, Factor!$T$5:$AB$7, 9, 0)&amp;"_"&amp;IF(COUNTIFS($G$4:G345, G346, $H$4:H345, H346)+1&gt;=100, COUNTIFS($G$4:G345, G346, $H$4:H345, H346)+1,IF(COUNTIFS($G$4:G345, G346, $H$4:H345, H346)+1&gt;=10, "0"&amp;COUNTIFS($G$4:G345, G346, $H$4:H345, H346)+1, "00"&amp;COUNTIFS($G$4:G345, G346, $H$4:H345, H346)+1))</f>
        <v>weapon_debuff_Am_001</v>
      </c>
      <c r="B346" s="37" t="str">
        <f t="shared" si="5"/>
        <v>녹슨 화염방사기</v>
      </c>
      <c r="C346" s="37" t="s">
        <v>239</v>
      </c>
      <c r="D346" s="37" t="s">
        <v>275</v>
      </c>
      <c r="E346" s="37" t="s">
        <v>203</v>
      </c>
      <c r="F346" s="29">
        <f>VLOOKUP(C346, Factor!$AD$5:$AE$15, 2, 0)</f>
        <v>0</v>
      </c>
      <c r="G346" s="29" t="str">
        <f>VLOOKUP(E346, Factor!$CL$5:$CV$50, 2, 0)</f>
        <v>debuff</v>
      </c>
      <c r="H346" s="29" t="str">
        <f>VLOOKUP(E346, Factor!$CL$5:$CV$50, 3, 0)</f>
        <v>ammo</v>
      </c>
      <c r="I346" s="29" t="str">
        <f>VLOOKUP(E346, Factor!$CL$5:$CV$50, 4, 0)</f>
        <v>L</v>
      </c>
      <c r="J346" s="29" t="str">
        <f>VLOOKUP(E346, Factor!$CL$5:$CV$50, 5, 0)</f>
        <v>spread</v>
      </c>
      <c r="K346" s="29">
        <v>1</v>
      </c>
      <c r="L346" s="29">
        <f>VLOOKUP(E346, Factor!$CL$5:$CV$50, 6, 0)*K346*VLOOKUP(D346, Factor!$BZ$5:$CJ$49, 9, 0)</f>
        <v>0</v>
      </c>
      <c r="M346" s="29" t="str">
        <f>VLOOKUP(E346, Factor!$CL$5:$CV$50, 7, 0)</f>
        <v>dots</v>
      </c>
      <c r="N346" s="29">
        <v>1</v>
      </c>
      <c r="O346" s="29">
        <f>VLOOKUP(E346, Factor!$CL$5:$CV$50, 8, 0)*N346*VLOOKUP(D346, Factor!$BZ$5:$CJ$49, 10, 0)</f>
        <v>5</v>
      </c>
      <c r="P346" s="29">
        <v>1</v>
      </c>
      <c r="Q346" s="29">
        <f>VLOOKUP(E346, Factor!$CL$5:$CV$50, 9, 0)*P346*VLOOKUP(D346, Factor!$BZ$5:$CJ$49, 11, 0)</f>
        <v>1</v>
      </c>
      <c r="R346" s="29" t="str">
        <f>VLOOKUP(E346, Factor!$CL$5:$CV$50, 10, 0)</f>
        <v>head</v>
      </c>
      <c r="S346" s="29" t="str">
        <f>VLOOKUP(E346, Factor!$CL$5:$CV$50, 11, 0)</f>
        <v>triangle</v>
      </c>
      <c r="T346" s="29">
        <v>1</v>
      </c>
      <c r="U346" s="29">
        <v>1</v>
      </c>
      <c r="V346" s="29">
        <v>1</v>
      </c>
      <c r="W346" s="29">
        <v>1</v>
      </c>
      <c r="X346" s="29">
        <v>1</v>
      </c>
      <c r="Y346" s="29">
        <v>1</v>
      </c>
      <c r="Z346" s="29">
        <v>1</v>
      </c>
      <c r="AA346" s="29" cm="1">
        <f t="array" ref="AA346">_xlfn.LET(_xlpm.기본_색인번호, 2,
_xlpm.추가_색인번호, 3,
_xlpm.개별보정치, T346,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</v>
      </c>
      <c r="AB346" s="29" cm="1">
        <f t="array" ref="AB346">_xlfn.LET(_xlpm.기본_색인번호, 3,
_xlpm.추가_색인번호, 4,
_xlpm.개별보정치, U346,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C346" s="29" cm="1">
        <f t="array" ref="AC346">_xlfn.LET(_xlpm.기본_색인번호, 4,
_xlpm.추가_색인번호, 5,
_xlpm.개별보정치, V346,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46" s="29" cm="1">
        <f t="array" ref="AD346">_xlfn.LET(_xlpm.기본_색인번호, 5,
_xlpm.추가_색인번호, 6,
_xlpm.개별보정치, W346,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E346" s="29" cm="1">
        <f t="array" ref="AE346">_xlfn.LET(_xlpm.기본_색인번호, 6,
_xlpm.추가_색인번호, 7,
_xlpm.개별보정치, X346,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F346" s="29" cm="1">
        <f t="array" ref="AF346">_xlfn.LET(_xlpm.기본_색인번호, 7,
_xlpm.추가_색인번호, 8,
_xlpm.개별보정치, Y346,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46" s="30" cm="1">
        <f t="array" ref="AG346">_xlfn.LET(_xlpm.기본_색인번호, 8,
_xlpm.추가_색인번호, 9,
_xlpm.개별보정치, Z346,
_xlpm.패턴보정치, VLOOKUP($G346, Factor!$B$5:$I$51, _xlpm.기본_색인번호, 0),
_xlpm.소모탄환보정치, VLOOKUP($H346, Factor!$T$5:$AA$51, _xlpm.기본_색인번호, 0),
_xlpm.지형보정치, VLOOKUP($I346, Factor!$K$12:$R$13, _xlpm.기본_색인번호, 0),
_xlpm.공격속성보정치, VLOOKUP($J346, Factor!$K$5:$R$7, _xlpm.기본_색인번호, 0),
_xlpm.피해범위보정치, INDEX(Factor!$AN$5:$AV$51, _xlfn.XMATCH(IF(OR($G346="blast", $G346="curved",  $G346= "debuff"), $L346, 0), Factor!$AN$5:$AN$51, -1), _xlpm.추가_색인번호)-IF(AND(OR($G346="blast", $G346="curved", $G346= "debuff"), MOD($L346,1)&lt;&gt;0),INDEX(Factor!$AN$5:$AV$51, _xlfn.XMATCH(IF(OR($G346="blast", $G346="curved", $G346= "debuff"), $L346, 0), Factor!$AN$5:$AN$51, -1), 2)*MOD($L346,1)*10,0),
_xlpm.상태이상보정치, VLOOKUP(IF($G346 = "debuff", $M346, "null"), Factor!$AX$5:$BE$51, _xlpm.기본_색인번호, 0),
_xlpm.지속시간보정치, INDEX(Factor!$BG$5:$BO$51, _xlfn.XMATCH(IF(OR($G346 ="debuff", $G346 = "shot", $G346 = "pierce"), $O346, 0), Factor!$BG$5:$BG$51, -1), _xlpm.추가_색인번호)-IF(AND(OR($G346 ="debuff", $G346 = "shot", $G346 = "pierce"), MOD($O346, 1)&lt;&gt;0), 10*MOD($O346, 1)*INDEX(Factor!$BG$5:$BO$51, _xlfn.XMATCH(IF(OR($G346 ="debuff", $G346 = "shot", $G346 = "pierce"), $O346, 0), Factor!$BG$5:$BG$51, -1), 2), 0),
_xlpm.탄환개수보정치, VLOOKUP(IF(OR($G346 = "curved", $G346 = "shot"), $Q346, 1), Factor!$BQ$5:$BX$51, _xlpm.기본_색인번호, 0),
_xlpm.상태이상탄환생성위치보정치, IF($G346 = "debuff", VLOOKUP($R346, Factor!$K$18:$R$19, _xlpm.기본_색인번호, 0),1),
_xlpm.상태이상탄환형태보정치, IF($G346 = "debuff", VLOOKUP($S346, Factor!$K$24:$R$25, _xlpm.기본_색인번호, 0),1),
_xlpm.가격보정치, INDEX(Factor!$AE$5:$AL$51, _xlfn.XMATCH($F346,Factor!$AE$5:$AE$51, -1), _xlpm.기본_색인번호),
_xlpm.구경보정치, VLOOKUP($D346,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</row>
    <row r="347" spans="1:33" ht="15.75" customHeight="1">
      <c r="A347" s="24" t="str">
        <f>"weapon_"&amp;G347&amp;"_"&amp;VLOOKUP(H347, Factor!$T$5:$AB$7, 9, 0)&amp;"_"&amp;IF(COUNTIFS($G$4:G346, G347, $H$4:H346, H347)+1&gt;=100, COUNTIFS($G$4:G346, G347, $H$4:H346, H347)+1,IF(COUNTIFS($G$4:G346, G347, $H$4:H346, H347)+1&gt;=10, "0"&amp;COUNTIFS($G$4:G346, G347, $H$4:H346, H347)+1, "00"&amp;COUNTIFS($G$4:G346, G347, $H$4:H346, H347)+1))</f>
        <v>weapon_debuff_Am_002</v>
      </c>
      <c r="B347" s="36" t="str">
        <f t="shared" si="5"/>
        <v>T1 화염방사기</v>
      </c>
      <c r="C347" s="36" t="s">
        <v>237</v>
      </c>
      <c r="D347" s="36" t="s">
        <v>275</v>
      </c>
      <c r="E347" s="36" t="s">
        <v>203</v>
      </c>
      <c r="F347" s="25">
        <f>VLOOKUP(C347, Factor!$AD$5:$AE$15, 2, 0)</f>
        <v>1000</v>
      </c>
      <c r="G347" s="26" t="str">
        <f>VLOOKUP(E347, Factor!$CL$5:$CV$50, 2, 0)</f>
        <v>debuff</v>
      </c>
      <c r="H347" s="25" t="str">
        <f>VLOOKUP(E347, Factor!$CL$5:$CV$50, 3, 0)</f>
        <v>ammo</v>
      </c>
      <c r="I347" s="25" t="str">
        <f>VLOOKUP(E347, Factor!$CL$5:$CV$50, 4, 0)</f>
        <v>L</v>
      </c>
      <c r="J347" s="25" t="str">
        <f>VLOOKUP(E347, Factor!$CL$5:$CV$50, 5, 0)</f>
        <v>spread</v>
      </c>
      <c r="K347" s="25">
        <v>1</v>
      </c>
      <c r="L347" s="25">
        <f>VLOOKUP(E347, Factor!$CL$5:$CV$50, 6, 0)*K347*VLOOKUP(D347, Factor!$BZ$5:$CJ$49, 9, 0)</f>
        <v>0</v>
      </c>
      <c r="M347" s="25" t="str">
        <f>VLOOKUP(E347, Factor!$CL$5:$CV$50, 7, 0)</f>
        <v>dots</v>
      </c>
      <c r="N347" s="25">
        <v>1</v>
      </c>
      <c r="O347" s="25">
        <f>VLOOKUP(E347, Factor!$CL$5:$CV$50, 8, 0)*N347*VLOOKUP(D347, Factor!$BZ$5:$CJ$49, 10, 0)</f>
        <v>5</v>
      </c>
      <c r="P347" s="25">
        <v>1</v>
      </c>
      <c r="Q347" s="25">
        <f>VLOOKUP(E347, Factor!$CL$5:$CV$50, 9, 0)*P347*VLOOKUP(D347, Factor!$BZ$5:$CJ$49, 11, 0)</f>
        <v>1</v>
      </c>
      <c r="R347" s="25" t="str">
        <f>VLOOKUP(E347, Factor!$CL$5:$CV$50, 10, 0)</f>
        <v>head</v>
      </c>
      <c r="S347" s="25" t="str">
        <f>VLOOKUP(E347, Factor!$CL$5:$CV$50, 11, 0)</f>
        <v>triangle</v>
      </c>
      <c r="T347" s="25">
        <v>1</v>
      </c>
      <c r="U347" s="25">
        <v>1</v>
      </c>
      <c r="V347" s="25">
        <v>1</v>
      </c>
      <c r="W347" s="25">
        <v>1</v>
      </c>
      <c r="X347" s="25">
        <v>1</v>
      </c>
      <c r="Y347" s="25">
        <v>1</v>
      </c>
      <c r="Z347" s="25">
        <v>1</v>
      </c>
      <c r="AA347" s="25" cm="1">
        <f t="array" ref="AA347">_xlfn.LET(_xlpm.기본_색인번호, 2,
_xlpm.추가_색인번호, 3,
_xlpm.개별보정치, T347,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400</v>
      </c>
      <c r="AB347" s="25" cm="1">
        <f t="array" ref="AB347">_xlfn.LET(_xlpm.기본_색인번호, 3,
_xlpm.추가_색인번호, 4,
_xlpm.개별보정치, U347,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C347" s="25" cm="1">
        <f t="array" ref="AC347">_xlfn.LET(_xlpm.기본_색인번호, 4,
_xlpm.추가_색인번호, 5,
_xlpm.개별보정치, V347,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47" s="25" cm="1">
        <f t="array" ref="AD347">_xlfn.LET(_xlpm.기본_색인번호, 5,
_xlpm.추가_색인번호, 6,
_xlpm.개별보정치, W347,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E347" s="25" cm="1">
        <f t="array" ref="AE347">_xlfn.LET(_xlpm.기본_색인번호, 6,
_xlpm.추가_색인번호, 7,
_xlpm.개별보정치, X347,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  <c r="AF347" s="25" cm="1">
        <f t="array" ref="AF347">_xlfn.LET(_xlpm.기본_색인번호, 7,
_xlpm.추가_색인번호, 8,
_xlpm.개별보정치, Y347,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47" s="27" cm="1">
        <f t="array" ref="AG347">_xlfn.LET(_xlpm.기본_색인번호, 8,
_xlpm.추가_색인번호, 9,
_xlpm.개별보정치, Z347,
_xlpm.패턴보정치, VLOOKUP($G347, Factor!$B$5:$I$51, _xlpm.기본_색인번호, 0),
_xlpm.소모탄환보정치, VLOOKUP($H347, Factor!$T$5:$AA$51, _xlpm.기본_색인번호, 0),
_xlpm.지형보정치, VLOOKUP($I347, Factor!$K$12:$R$13, _xlpm.기본_색인번호, 0),
_xlpm.공격속성보정치, VLOOKUP($J347, Factor!$K$5:$R$7, _xlpm.기본_색인번호, 0),
_xlpm.피해범위보정치, INDEX(Factor!$AN$5:$AV$51, _xlfn.XMATCH(IF(OR($G347="blast", $G347="curved",  $G347= "debuff"), $L347, 0), Factor!$AN$5:$AN$51, -1), _xlpm.추가_색인번호)-IF(AND(OR($G347="blast", $G347="curved", $G347= "debuff"), MOD($L347,1)&lt;&gt;0),INDEX(Factor!$AN$5:$AV$51, _xlfn.XMATCH(IF(OR($G347="blast", $G347="curved", $G347= "debuff"), $L347, 0), Factor!$AN$5:$AN$51, -1), 2)*MOD($L347,1)*10,0),
_xlpm.상태이상보정치, VLOOKUP(IF($G347 = "debuff", $M347, "null"), Factor!$AX$5:$BE$51, _xlpm.기본_색인번호, 0),
_xlpm.지속시간보정치, INDEX(Factor!$BG$5:$BO$51, _xlfn.XMATCH(IF(OR($G347 ="debuff", $G347 = "shot", $G347 = "pierce"), $O347, 0), Factor!$BG$5:$BG$51, -1), _xlpm.추가_색인번호)-IF(AND(OR($G347 ="debuff", $G347 = "shot", $G347 = "pierce"), MOD($O347, 1)&lt;&gt;0), 10*MOD($O347, 1)*INDEX(Factor!$BG$5:$BO$51, _xlfn.XMATCH(IF(OR($G347 ="debuff", $G347 = "shot", $G347 = "pierce"), $O347, 0), Factor!$BG$5:$BG$51, -1), 2), 0),
_xlpm.탄환개수보정치, VLOOKUP(IF(OR($G347 = "curved", $G347 = "shot"), $Q347, 1), Factor!$BQ$5:$BX$51, _xlpm.기본_색인번호, 0),
_xlpm.상태이상탄환생성위치보정치, IF($G347 = "debuff", VLOOKUP($R347, Factor!$K$18:$R$19, _xlpm.기본_색인번호, 0),1),
_xlpm.상태이상탄환형태보정치, IF($G347 = "debuff", VLOOKUP($S347, Factor!$K$24:$R$25, _xlpm.기본_색인번호, 0),1),
_xlpm.가격보정치, INDEX(Factor!$AE$5:$AL$51, _xlfn.XMATCH($F347,Factor!$AE$5:$AE$51, -1), _xlpm.기본_색인번호),
_xlpm.구경보정치, VLOOKUP($D347,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</v>
      </c>
    </row>
    <row r="348" spans="1:33" ht="15.75" customHeight="1">
      <c r="A348" s="28" t="str">
        <f>"weapon_"&amp;G348&amp;"_"&amp;VLOOKUP(H348, Factor!$T$5:$AB$7, 9, 0)&amp;"_"&amp;IF(COUNTIFS($G$4:G347, G348, $H$4:H347, H348)+1&gt;=100, COUNTIFS($G$4:G347, G348, $H$4:H347, H348)+1,IF(COUNTIFS($G$4:G347, G348, $H$4:H347, H348)+1&gt;=10, "0"&amp;COUNTIFS($G$4:G347, G348, $H$4:H347, H348)+1, "00"&amp;COUNTIFS($G$4:G347, G348, $H$4:H347, H348)+1))</f>
        <v>weapon_debuff_Am_003</v>
      </c>
      <c r="B348" s="37" t="str">
        <f t="shared" si="5"/>
        <v>T2 화염방사기</v>
      </c>
      <c r="C348" s="37" t="s">
        <v>155</v>
      </c>
      <c r="D348" s="37" t="s">
        <v>275</v>
      </c>
      <c r="E348" s="37" t="s">
        <v>203</v>
      </c>
      <c r="F348" s="29">
        <f>VLOOKUP(C348, Factor!$AD$5:$AE$15, 2, 0)</f>
        <v>2000</v>
      </c>
      <c r="G348" s="29" t="str">
        <f>VLOOKUP(E348, Factor!$CL$5:$CV$50, 2, 0)</f>
        <v>debuff</v>
      </c>
      <c r="H348" s="29" t="str">
        <f>VLOOKUP(E348, Factor!$CL$5:$CV$50, 3, 0)</f>
        <v>ammo</v>
      </c>
      <c r="I348" s="29" t="str">
        <f>VLOOKUP(E348, Factor!$CL$5:$CV$50, 4, 0)</f>
        <v>L</v>
      </c>
      <c r="J348" s="29" t="str">
        <f>VLOOKUP(E348, Factor!$CL$5:$CV$50, 5, 0)</f>
        <v>spread</v>
      </c>
      <c r="K348" s="29">
        <v>1</v>
      </c>
      <c r="L348" s="29">
        <f>VLOOKUP(E348, Factor!$CL$5:$CV$50, 6, 0)*K348*VLOOKUP(D348, Factor!$BZ$5:$CJ$49, 9, 0)</f>
        <v>0</v>
      </c>
      <c r="M348" s="29" t="str">
        <f>VLOOKUP(E348, Factor!$CL$5:$CV$50, 7, 0)</f>
        <v>dots</v>
      </c>
      <c r="N348" s="29">
        <v>1</v>
      </c>
      <c r="O348" s="29">
        <f>VLOOKUP(E348, Factor!$CL$5:$CV$50, 8, 0)*N348*VLOOKUP(D348, Factor!$BZ$5:$CJ$49, 10, 0)</f>
        <v>5</v>
      </c>
      <c r="P348" s="29">
        <v>1</v>
      </c>
      <c r="Q348" s="29">
        <f>VLOOKUP(E348, Factor!$CL$5:$CV$50, 9, 0)*P348*VLOOKUP(D348, Factor!$BZ$5:$CJ$49, 11, 0)</f>
        <v>1</v>
      </c>
      <c r="R348" s="29" t="str">
        <f>VLOOKUP(E348, Factor!$CL$5:$CV$50, 10, 0)</f>
        <v>head</v>
      </c>
      <c r="S348" s="29" t="str">
        <f>VLOOKUP(E348, Factor!$CL$5:$CV$50, 11, 0)</f>
        <v>triangle</v>
      </c>
      <c r="T348" s="29">
        <v>1</v>
      </c>
      <c r="U348" s="29">
        <v>1</v>
      </c>
      <c r="V348" s="29">
        <v>1</v>
      </c>
      <c r="W348" s="29">
        <v>1</v>
      </c>
      <c r="X348" s="29">
        <v>1</v>
      </c>
      <c r="Y348" s="29">
        <v>1</v>
      </c>
      <c r="Z348" s="29">
        <v>1</v>
      </c>
      <c r="AA348" s="29" cm="1">
        <f t="array" ref="AA348">_xlfn.LET(_xlpm.기본_색인번호, 2,
_xlpm.추가_색인번호, 3,
_xlpm.개별보정치, T348,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348" s="29" cm="1">
        <f t="array" ref="AB348">_xlfn.LET(_xlpm.기본_색인번호, 3,
_xlpm.추가_색인번호, 4,
_xlpm.개별보정치, U348,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C348" s="29" cm="1">
        <f t="array" ref="AC348">_xlfn.LET(_xlpm.기본_색인번호, 4,
_xlpm.추가_색인번호, 5,
_xlpm.개별보정치, V348,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48" s="29" cm="1">
        <f t="array" ref="AD348">_xlfn.LET(_xlpm.기본_색인번호, 5,
_xlpm.추가_색인번호, 6,
_xlpm.개별보정치, W348,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348" s="29" cm="1">
        <f t="array" ref="AE348">_xlfn.LET(_xlpm.기본_색인번호, 6,
_xlpm.추가_색인번호, 7,
_xlpm.개별보정치, X348,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348" s="29" cm="1">
        <f t="array" ref="AF348">_xlfn.LET(_xlpm.기본_색인번호, 7,
_xlpm.추가_색인번호, 8,
_xlpm.개별보정치, Y348,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48" s="30" cm="1">
        <f t="array" ref="AG348">_xlfn.LET(_xlpm.기본_색인번호, 8,
_xlpm.추가_색인번호, 9,
_xlpm.개별보정치, Z348,
_xlpm.패턴보정치, VLOOKUP($G348, Factor!$B$5:$I$51, _xlpm.기본_색인번호, 0),
_xlpm.소모탄환보정치, VLOOKUP($H348, Factor!$T$5:$AA$51, _xlpm.기본_색인번호, 0),
_xlpm.지형보정치, VLOOKUP($I348, Factor!$K$12:$R$13, _xlpm.기본_색인번호, 0),
_xlpm.공격속성보정치, VLOOKUP($J348, Factor!$K$5:$R$7, _xlpm.기본_색인번호, 0),
_xlpm.피해범위보정치, INDEX(Factor!$AN$5:$AV$51, _xlfn.XMATCH(IF(OR($G348="blast", $G348="curved",  $G348= "debuff"), $L348, 0), Factor!$AN$5:$AN$51, -1), _xlpm.추가_색인번호)-IF(AND(OR($G348="blast", $G348="curved", $G348= "debuff"), MOD($L348,1)&lt;&gt;0),INDEX(Factor!$AN$5:$AV$51, _xlfn.XMATCH(IF(OR($G348="blast", $G348="curved", $G348= "debuff"), $L348, 0), Factor!$AN$5:$AN$51, -1), 2)*MOD($L348,1)*10,0),
_xlpm.상태이상보정치, VLOOKUP(IF($G348 = "debuff", $M348, "null"), Factor!$AX$5:$BE$51, _xlpm.기본_색인번호, 0),
_xlpm.지속시간보정치, INDEX(Factor!$BG$5:$BO$51, _xlfn.XMATCH(IF(OR($G348 ="debuff", $G348 = "shot", $G348 = "pierce"), $O348, 0), Factor!$BG$5:$BG$51, -1), _xlpm.추가_색인번호)-IF(AND(OR($G348 ="debuff", $G348 = "shot", $G348 = "pierce"), MOD($O348, 1)&lt;&gt;0), 10*MOD($O348, 1)*INDEX(Factor!$BG$5:$BO$51, _xlfn.XMATCH(IF(OR($G348 ="debuff", $G348 = "shot", $G348 = "pierce"), $O348, 0), Factor!$BG$5:$BG$51, -1), 2), 0),
_xlpm.탄환개수보정치, VLOOKUP(IF(OR($G348 = "curved", $G348 = "shot"), $Q348, 1), Factor!$BQ$5:$BX$51, _xlpm.기본_색인번호, 0),
_xlpm.상태이상탄환생성위치보정치, IF($G348 = "debuff", VLOOKUP($R348, Factor!$K$18:$R$19, _xlpm.기본_색인번호, 0),1),
_xlpm.상태이상탄환형태보정치, IF($G348 = "debuff", VLOOKUP($S348, Factor!$K$24:$R$25, _xlpm.기본_색인번호, 0),1),
_xlpm.가격보정치, INDEX(Factor!$AE$5:$AL$51, _xlfn.XMATCH($F348,Factor!$AE$5:$AE$51, -1), _xlpm.기본_색인번호),
_xlpm.구경보정치, VLOOKUP($D348,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349" spans="1:33" ht="15.75" customHeight="1">
      <c r="A349" s="24" t="str">
        <f>"weapon_"&amp;G349&amp;"_"&amp;VLOOKUP(H349, Factor!$T$5:$AB$7, 9, 0)&amp;"_"&amp;IF(COUNTIFS($G$4:G348, G349, $H$4:H348, H349)+1&gt;=100, COUNTIFS($G$4:G348, G349, $H$4:H348, H349)+1,IF(COUNTIFS($G$4:G348, G349, $H$4:H348, H349)+1&gt;=10, "0"&amp;COUNTIFS($G$4:G348, G349, $H$4:H348, H349)+1, "00"&amp;COUNTIFS($G$4:G348, G349, $H$4:H348, H349)+1))</f>
        <v>weapon_debuff_Am_004</v>
      </c>
      <c r="B349" s="36" t="str">
        <f t="shared" si="5"/>
        <v>T3 화염방사기</v>
      </c>
      <c r="C349" s="36" t="s">
        <v>156</v>
      </c>
      <c r="D349" s="36" t="s">
        <v>275</v>
      </c>
      <c r="E349" s="36" t="s">
        <v>203</v>
      </c>
      <c r="F349" s="25">
        <f>VLOOKUP(C349, Factor!$AD$5:$AE$15, 2, 0)</f>
        <v>3000</v>
      </c>
      <c r="G349" s="26" t="str">
        <f>VLOOKUP(E349, Factor!$CL$5:$CV$50, 2, 0)</f>
        <v>debuff</v>
      </c>
      <c r="H349" s="25" t="str">
        <f>VLOOKUP(E349, Factor!$CL$5:$CV$50, 3, 0)</f>
        <v>ammo</v>
      </c>
      <c r="I349" s="25" t="str">
        <f>VLOOKUP(E349, Factor!$CL$5:$CV$50, 4, 0)</f>
        <v>L</v>
      </c>
      <c r="J349" s="25" t="str">
        <f>VLOOKUP(E349, Factor!$CL$5:$CV$50, 5, 0)</f>
        <v>spread</v>
      </c>
      <c r="K349" s="25">
        <v>1</v>
      </c>
      <c r="L349" s="25">
        <f>VLOOKUP(E349, Factor!$CL$5:$CV$50, 6, 0)*K349*VLOOKUP(D349, Factor!$BZ$5:$CJ$49, 9, 0)</f>
        <v>0</v>
      </c>
      <c r="M349" s="25" t="str">
        <f>VLOOKUP(E349, Factor!$CL$5:$CV$50, 7, 0)</f>
        <v>dots</v>
      </c>
      <c r="N349" s="25">
        <v>1</v>
      </c>
      <c r="O349" s="25">
        <f>VLOOKUP(E349, Factor!$CL$5:$CV$50, 8, 0)*N349*VLOOKUP(D349, Factor!$BZ$5:$CJ$49, 10, 0)</f>
        <v>5</v>
      </c>
      <c r="P349" s="25">
        <v>1</v>
      </c>
      <c r="Q349" s="25">
        <f>VLOOKUP(E349, Factor!$CL$5:$CV$50, 9, 0)*P349*VLOOKUP(D349, Factor!$BZ$5:$CJ$49, 11, 0)</f>
        <v>1</v>
      </c>
      <c r="R349" s="25" t="str">
        <f>VLOOKUP(E349, Factor!$CL$5:$CV$50, 10, 0)</f>
        <v>head</v>
      </c>
      <c r="S349" s="25" t="str">
        <f>VLOOKUP(E349, Factor!$CL$5:$CV$50, 11, 0)</f>
        <v>triangle</v>
      </c>
      <c r="T349" s="25">
        <v>1</v>
      </c>
      <c r="U349" s="25">
        <v>1</v>
      </c>
      <c r="V349" s="25">
        <v>1</v>
      </c>
      <c r="W349" s="25">
        <v>1</v>
      </c>
      <c r="X349" s="25">
        <v>1</v>
      </c>
      <c r="Y349" s="25">
        <v>1</v>
      </c>
      <c r="Z349" s="25">
        <v>1</v>
      </c>
      <c r="AA349" s="25" cm="1">
        <f t="array" ref="AA349">_xlfn.LET(_xlpm.기본_색인번호, 2,
_xlpm.추가_색인번호, 3,
_xlpm.개별보정치, T349,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800</v>
      </c>
      <c r="AB349" s="25" cm="1">
        <f t="array" ref="AB349">_xlfn.LET(_xlpm.기본_색인번호, 3,
_xlpm.추가_색인번호, 4,
_xlpm.개별보정치, U349,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C349" s="25" cm="1">
        <f t="array" ref="AC349">_xlfn.LET(_xlpm.기본_색인번호, 4,
_xlpm.추가_색인번호, 5,
_xlpm.개별보정치, V349,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49" s="25" cm="1">
        <f t="array" ref="AD349">_xlfn.LET(_xlpm.기본_색인번호, 5,
_xlpm.추가_색인번호, 6,
_xlpm.개별보정치, W349,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E349" s="25" cm="1">
        <f t="array" ref="AE349">_xlfn.LET(_xlpm.기본_색인번호, 6,
_xlpm.추가_색인번호, 7,
_xlpm.개별보정치, X349,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  <c r="AF349" s="25" cm="1">
        <f t="array" ref="AF349">_xlfn.LET(_xlpm.기본_색인번호, 7,
_xlpm.추가_색인번호, 8,
_xlpm.개별보정치, Y349,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49" s="27" cm="1">
        <f t="array" ref="AG349">_xlfn.LET(_xlpm.기본_색인번호, 8,
_xlpm.추가_색인번호, 9,
_xlpm.개별보정치, Z349,
_xlpm.패턴보정치, VLOOKUP($G349, Factor!$B$5:$I$51, _xlpm.기본_색인번호, 0),
_xlpm.소모탄환보정치, VLOOKUP($H349, Factor!$T$5:$AA$51, _xlpm.기본_색인번호, 0),
_xlpm.지형보정치, VLOOKUP($I349, Factor!$K$12:$R$13, _xlpm.기본_색인번호, 0),
_xlpm.공격속성보정치, VLOOKUP($J349, Factor!$K$5:$R$7, _xlpm.기본_색인번호, 0),
_xlpm.피해범위보정치, INDEX(Factor!$AN$5:$AV$51, _xlfn.XMATCH(IF(OR($G349="blast", $G349="curved",  $G349= "debuff"), $L349, 0), Factor!$AN$5:$AN$51, -1), _xlpm.추가_색인번호)-IF(AND(OR($G349="blast", $G349="curved", $G349= "debuff"), MOD($L349,1)&lt;&gt;0),INDEX(Factor!$AN$5:$AV$51, _xlfn.XMATCH(IF(OR($G349="blast", $G349="curved", $G349= "debuff"), $L349, 0), Factor!$AN$5:$AN$51, -1), 2)*MOD($L349,1)*10,0),
_xlpm.상태이상보정치, VLOOKUP(IF($G349 = "debuff", $M349, "null"), Factor!$AX$5:$BE$51, _xlpm.기본_색인번호, 0),
_xlpm.지속시간보정치, INDEX(Factor!$BG$5:$BO$51, _xlfn.XMATCH(IF(OR($G349 ="debuff", $G349 = "shot", $G349 = "pierce"), $O349, 0), Factor!$BG$5:$BG$51, -1), _xlpm.추가_색인번호)-IF(AND(OR($G349 ="debuff", $G349 = "shot", $G349 = "pierce"), MOD($O349, 1)&lt;&gt;0), 10*MOD($O349, 1)*INDEX(Factor!$BG$5:$BO$51, _xlfn.XMATCH(IF(OR($G349 ="debuff", $G349 = "shot", $G349 = "pierce"), $O349, 0), Factor!$BG$5:$BG$51, -1), 2), 0),
_xlpm.탄환개수보정치, VLOOKUP(IF(OR($G349 = "curved", $G349 = "shot"), $Q349, 1), Factor!$BQ$5:$BX$51, _xlpm.기본_색인번호, 0),
_xlpm.상태이상탄환생성위치보정치, IF($G349 = "debuff", VLOOKUP($R349, Factor!$K$18:$R$19, _xlpm.기본_색인번호, 0),1),
_xlpm.상태이상탄환형태보정치, IF($G349 = "debuff", VLOOKUP($S349, Factor!$K$24:$R$25, _xlpm.기본_색인번호, 0),1),
_xlpm.가격보정치, INDEX(Factor!$AE$5:$AL$51, _xlfn.XMATCH($F349,Factor!$AE$5:$AE$51, -1), _xlpm.기본_색인번호),
_xlpm.구경보정치, VLOOKUP($D349,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40</v>
      </c>
    </row>
    <row r="350" spans="1:33" ht="15.75" customHeight="1">
      <c r="A350" s="28" t="str">
        <f>"weapon_"&amp;G350&amp;"_"&amp;VLOOKUP(H350, Factor!$T$5:$AB$7, 9, 0)&amp;"_"&amp;IF(COUNTIFS($G$4:G349, G350, $H$4:H349, H350)+1&gt;=100, COUNTIFS($G$4:G349, G350, $H$4:H349, H350)+1,IF(COUNTIFS($G$4:G349, G350, $H$4:H349, H350)+1&gt;=10, "0"&amp;COUNTIFS($G$4:G349, G350, $H$4:H349, H350)+1, "00"&amp;COUNTIFS($G$4:G349, G350, $H$4:H349, H350)+1))</f>
        <v>weapon_debuff_Am_005</v>
      </c>
      <c r="B350" s="37" t="str">
        <f t="shared" si="5"/>
        <v>T4 화염방사기</v>
      </c>
      <c r="C350" s="37" t="s">
        <v>157</v>
      </c>
      <c r="D350" s="37" t="s">
        <v>275</v>
      </c>
      <c r="E350" s="37" t="s">
        <v>203</v>
      </c>
      <c r="F350" s="29">
        <f>VLOOKUP(C350, Factor!$AD$5:$AE$15, 2, 0)</f>
        <v>4000</v>
      </c>
      <c r="G350" s="29" t="str">
        <f>VLOOKUP(E350, Factor!$CL$5:$CV$50, 2, 0)</f>
        <v>debuff</v>
      </c>
      <c r="H350" s="29" t="str">
        <f>VLOOKUP(E350, Factor!$CL$5:$CV$50, 3, 0)</f>
        <v>ammo</v>
      </c>
      <c r="I350" s="29" t="str">
        <f>VLOOKUP(E350, Factor!$CL$5:$CV$50, 4, 0)</f>
        <v>L</v>
      </c>
      <c r="J350" s="29" t="str">
        <f>VLOOKUP(E350, Factor!$CL$5:$CV$50, 5, 0)</f>
        <v>spread</v>
      </c>
      <c r="K350" s="29">
        <v>1</v>
      </c>
      <c r="L350" s="29">
        <f>VLOOKUP(E350, Factor!$CL$5:$CV$50, 6, 0)*K350*VLOOKUP(D350, Factor!$BZ$5:$CJ$49, 9, 0)</f>
        <v>0</v>
      </c>
      <c r="M350" s="29" t="str">
        <f>VLOOKUP(E350, Factor!$CL$5:$CV$50, 7, 0)</f>
        <v>dots</v>
      </c>
      <c r="N350" s="29">
        <v>1</v>
      </c>
      <c r="O350" s="29">
        <f>VLOOKUP(E350, Factor!$CL$5:$CV$50, 8, 0)*N350*VLOOKUP(D350, Factor!$BZ$5:$CJ$49, 10, 0)</f>
        <v>5</v>
      </c>
      <c r="P350" s="29">
        <v>1</v>
      </c>
      <c r="Q350" s="29">
        <f>VLOOKUP(E350, Factor!$CL$5:$CV$50, 9, 0)*P350*VLOOKUP(D350, Factor!$BZ$5:$CJ$49, 11, 0)</f>
        <v>1</v>
      </c>
      <c r="R350" s="29" t="str">
        <f>VLOOKUP(E350, Factor!$CL$5:$CV$50, 10, 0)</f>
        <v>head</v>
      </c>
      <c r="S350" s="29" t="str">
        <f>VLOOKUP(E350, Factor!$CL$5:$CV$50, 11, 0)</f>
        <v>triangle</v>
      </c>
      <c r="T350" s="29">
        <v>1</v>
      </c>
      <c r="U350" s="29">
        <v>1</v>
      </c>
      <c r="V350" s="29">
        <v>1</v>
      </c>
      <c r="W350" s="29">
        <v>1</v>
      </c>
      <c r="X350" s="29">
        <v>1</v>
      </c>
      <c r="Y350" s="29">
        <v>1</v>
      </c>
      <c r="Z350" s="29">
        <v>1</v>
      </c>
      <c r="AA350" s="29" cm="1">
        <f t="array" ref="AA350">_xlfn.LET(_xlpm.기본_색인번호, 2,
_xlpm.추가_색인번호, 3,
_xlpm.개별보정치, T350,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1000</v>
      </c>
      <c r="AB350" s="29" cm="1">
        <f t="array" ref="AB350">_xlfn.LET(_xlpm.기본_색인번호, 3,
_xlpm.추가_색인번호, 4,
_xlpm.개별보정치, U350,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C350" s="29" cm="1">
        <f t="array" ref="AC350">_xlfn.LET(_xlpm.기본_색인번호, 4,
_xlpm.추가_색인번호, 5,
_xlpm.개별보정치, V350,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0" s="29" cm="1">
        <f t="array" ref="AD350">_xlfn.LET(_xlpm.기본_색인번호, 5,
_xlpm.추가_색인번호, 6,
_xlpm.개별보정치, W350,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E350" s="29" cm="1">
        <f t="array" ref="AE350">_xlfn.LET(_xlpm.기본_색인번호, 6,
_xlpm.추가_색인번호, 7,
_xlpm.개별보정치, X350,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F350" s="29" cm="1">
        <f t="array" ref="AF350">_xlfn.LET(_xlpm.기본_색인번호, 7,
_xlpm.추가_색인번호, 8,
_xlpm.개별보정치, Y350,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0" s="30" cm="1">
        <f t="array" ref="AG350">_xlfn.LET(_xlpm.기본_색인번호, 8,
_xlpm.추가_색인번호, 9,
_xlpm.개별보정치, Z350,
_xlpm.패턴보정치, VLOOKUP($G350, Factor!$B$5:$I$51, _xlpm.기본_색인번호, 0),
_xlpm.소모탄환보정치, VLOOKUP($H350, Factor!$T$5:$AA$51, _xlpm.기본_색인번호, 0),
_xlpm.지형보정치, VLOOKUP($I350, Factor!$K$12:$R$13, _xlpm.기본_색인번호, 0),
_xlpm.공격속성보정치, VLOOKUP($J350, Factor!$K$5:$R$7, _xlpm.기본_색인번호, 0),
_xlpm.피해범위보정치, INDEX(Factor!$AN$5:$AV$51, _xlfn.XMATCH(IF(OR($G350="blast", $G350="curved",  $G350= "debuff"), $L350, 0), Factor!$AN$5:$AN$51, -1), _xlpm.추가_색인번호)-IF(AND(OR($G350="blast", $G350="curved", $G350= "debuff"), MOD($L350,1)&lt;&gt;0),INDEX(Factor!$AN$5:$AV$51, _xlfn.XMATCH(IF(OR($G350="blast", $G350="curved", $G350= "debuff"), $L350, 0), Factor!$AN$5:$AN$51, -1), 2)*MOD($L350,1)*10,0),
_xlpm.상태이상보정치, VLOOKUP(IF($G350 = "debuff", $M350, "null"), Factor!$AX$5:$BE$51, _xlpm.기본_색인번호, 0),
_xlpm.지속시간보정치, INDEX(Factor!$BG$5:$BO$51, _xlfn.XMATCH(IF(OR($G350 ="debuff", $G350 = "shot", $G350 = "pierce"), $O350, 0), Factor!$BG$5:$BG$51, -1), _xlpm.추가_색인번호)-IF(AND(OR($G350 ="debuff", $G350 = "shot", $G350 = "pierce"), MOD($O350, 1)&lt;&gt;0), 10*MOD($O350, 1)*INDEX(Factor!$BG$5:$BO$51, _xlfn.XMATCH(IF(OR($G350 ="debuff", $G350 = "shot", $G350 = "pierce"), $O350, 0), Factor!$BG$5:$BG$51, -1), 2), 0),
_xlpm.탄환개수보정치, VLOOKUP(IF(OR($G350 = "curved", $G350 = "shot"), $Q350, 1), Factor!$BQ$5:$BX$51, _xlpm.기본_색인번호, 0),
_xlpm.상태이상탄환생성위치보정치, IF($G350 = "debuff", VLOOKUP($R350, Factor!$K$18:$R$19, _xlpm.기본_색인번호, 0),1),
_xlpm.상태이상탄환형태보정치, IF($G350 = "debuff", VLOOKUP($S350, Factor!$K$24:$R$25, _xlpm.기본_색인번호, 0),1),
_xlpm.가격보정치, INDEX(Factor!$AE$5:$AL$51, _xlfn.XMATCH($F350,Factor!$AE$5:$AE$51, -1), _xlpm.기본_색인번호),
_xlpm.구경보정치, VLOOKUP($D350,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</row>
    <row r="351" spans="1:33" ht="15.75" customHeight="1">
      <c r="A351" s="24" t="str">
        <f>"weapon_"&amp;G351&amp;"_"&amp;VLOOKUP(H351, Factor!$T$5:$AB$7, 9, 0)&amp;"_"&amp;IF(COUNTIFS($G$4:G350, G351, $H$4:H350, H351)+1&gt;=100, COUNTIFS($G$4:G350, G351, $H$4:H350, H351)+1,IF(COUNTIFS($G$4:G350, G351, $H$4:H350, H351)+1&gt;=10, "0"&amp;COUNTIFS($G$4:G350, G351, $H$4:H350, H351)+1, "00"&amp;COUNTIFS($G$4:G350, G351, $H$4:H350, H351)+1))</f>
        <v>weapon_debuff_Am_006</v>
      </c>
      <c r="B351" s="36" t="str">
        <f t="shared" si="5"/>
        <v>T5 화염방사기</v>
      </c>
      <c r="C351" s="36" t="s">
        <v>158</v>
      </c>
      <c r="D351" s="36" t="s">
        <v>275</v>
      </c>
      <c r="E351" s="36" t="s">
        <v>203</v>
      </c>
      <c r="F351" s="25">
        <f>VLOOKUP(C351, Factor!$AD$5:$AE$15, 2, 0)</f>
        <v>5000</v>
      </c>
      <c r="G351" s="26" t="str">
        <f>VLOOKUP(E351, Factor!$CL$5:$CV$50, 2, 0)</f>
        <v>debuff</v>
      </c>
      <c r="H351" s="25" t="str">
        <f>VLOOKUP(E351, Factor!$CL$5:$CV$50, 3, 0)</f>
        <v>ammo</v>
      </c>
      <c r="I351" s="25" t="str">
        <f>VLOOKUP(E351, Factor!$CL$5:$CV$50, 4, 0)</f>
        <v>L</v>
      </c>
      <c r="J351" s="25" t="str">
        <f>VLOOKUP(E351, Factor!$CL$5:$CV$50, 5, 0)</f>
        <v>spread</v>
      </c>
      <c r="K351" s="25">
        <v>1</v>
      </c>
      <c r="L351" s="25">
        <f>VLOOKUP(E351, Factor!$CL$5:$CV$50, 6, 0)*K351*VLOOKUP(D351, Factor!$BZ$5:$CJ$49, 9, 0)</f>
        <v>0</v>
      </c>
      <c r="M351" s="25" t="str">
        <f>VLOOKUP(E351, Factor!$CL$5:$CV$50, 7, 0)</f>
        <v>dots</v>
      </c>
      <c r="N351" s="25">
        <v>1</v>
      </c>
      <c r="O351" s="25">
        <f>VLOOKUP(E351, Factor!$CL$5:$CV$50, 8, 0)*N351*VLOOKUP(D351, Factor!$BZ$5:$CJ$49, 10, 0)</f>
        <v>5</v>
      </c>
      <c r="P351" s="25">
        <v>1</v>
      </c>
      <c r="Q351" s="25">
        <f>VLOOKUP(E351, Factor!$CL$5:$CV$50, 9, 0)*P351*VLOOKUP(D351, Factor!$BZ$5:$CJ$49, 11, 0)</f>
        <v>1</v>
      </c>
      <c r="R351" s="25" t="str">
        <f>VLOOKUP(E351, Factor!$CL$5:$CV$50, 10, 0)</f>
        <v>head</v>
      </c>
      <c r="S351" s="25" t="str">
        <f>VLOOKUP(E351, Factor!$CL$5:$CV$50, 11, 0)</f>
        <v>triangle</v>
      </c>
      <c r="T351" s="25">
        <v>1</v>
      </c>
      <c r="U351" s="25">
        <v>1</v>
      </c>
      <c r="V351" s="25">
        <v>1</v>
      </c>
      <c r="W351" s="25">
        <v>1</v>
      </c>
      <c r="X351" s="25">
        <v>1</v>
      </c>
      <c r="Y351" s="25">
        <v>1</v>
      </c>
      <c r="Z351" s="25">
        <v>1</v>
      </c>
      <c r="AA351" s="25" cm="1">
        <f t="array" ref="AA351">_xlfn.LET(_xlpm.기본_색인번호, 2,
_xlpm.추가_색인번호, 3,
_xlpm.개별보정치, T351,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351" s="25" cm="1">
        <f t="array" ref="AB351">_xlfn.LET(_xlpm.기본_색인번호, 3,
_xlpm.추가_색인번호, 4,
_xlpm.개별보정치, U351,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</v>
      </c>
      <c r="AC351" s="25" cm="1">
        <f t="array" ref="AC351">_xlfn.LET(_xlpm.기본_색인번호, 4,
_xlpm.추가_색인번호, 5,
_xlpm.개별보정치, V351,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1" s="25" cm="1">
        <f t="array" ref="AD351">_xlfn.LET(_xlpm.기본_색인번호, 5,
_xlpm.추가_색인번호, 6,
_xlpm.개별보정치, W351,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351" s="25" cm="1">
        <f t="array" ref="AE351">_xlfn.LET(_xlpm.기본_색인번호, 6,
_xlpm.추가_색인번호, 7,
_xlpm.개별보정치, X351,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351" s="25" cm="1">
        <f t="array" ref="AF351">_xlfn.LET(_xlpm.기본_색인번호, 7,
_xlpm.추가_색인번호, 8,
_xlpm.개별보정치, Y351,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1" s="27" cm="1">
        <f t="array" ref="AG351">_xlfn.LET(_xlpm.기본_색인번호, 8,
_xlpm.추가_색인번호, 9,
_xlpm.개별보정치, Z351,
_xlpm.패턴보정치, VLOOKUP($G351, Factor!$B$5:$I$51, _xlpm.기본_색인번호, 0),
_xlpm.소모탄환보정치, VLOOKUP($H351, Factor!$T$5:$AA$51, _xlpm.기본_색인번호, 0),
_xlpm.지형보정치, VLOOKUP($I351, Factor!$K$12:$R$13, _xlpm.기본_색인번호, 0),
_xlpm.공격속성보정치, VLOOKUP($J351, Factor!$K$5:$R$7, _xlpm.기본_색인번호, 0),
_xlpm.피해범위보정치, INDEX(Factor!$AN$5:$AV$51, _xlfn.XMATCH(IF(OR($G351="blast", $G351="curved",  $G351= "debuff"), $L351, 0), Factor!$AN$5:$AN$51, -1), _xlpm.추가_색인번호)-IF(AND(OR($G351="blast", $G351="curved", $G351= "debuff"), MOD($L351,1)&lt;&gt;0),INDEX(Factor!$AN$5:$AV$51, _xlfn.XMATCH(IF(OR($G351="blast", $G351="curved", $G351= "debuff"), $L351, 0), Factor!$AN$5:$AN$51, -1), 2)*MOD($L351,1)*10,0),
_xlpm.상태이상보정치, VLOOKUP(IF($G351 = "debuff", $M351, "null"), Factor!$AX$5:$BE$51, _xlpm.기본_색인번호, 0),
_xlpm.지속시간보정치, INDEX(Factor!$BG$5:$BO$51, _xlfn.XMATCH(IF(OR($G351 ="debuff", $G351 = "shot", $G351 = "pierce"), $O351, 0), Factor!$BG$5:$BG$51, -1), _xlpm.추가_색인번호)-IF(AND(OR($G351 ="debuff", $G351 = "shot", $G351 = "pierce"), MOD($O351, 1)&lt;&gt;0), 10*MOD($O351, 1)*INDEX(Factor!$BG$5:$BO$51, _xlfn.XMATCH(IF(OR($G351 ="debuff", $G351 = "shot", $G351 = "pierce"), $O351, 0), Factor!$BG$5:$BG$51, -1), 2), 0),
_xlpm.탄환개수보정치, VLOOKUP(IF(OR($G351 = "curved", $G351 = "shot"), $Q351, 1), Factor!$BQ$5:$BX$51, _xlpm.기본_색인번호, 0),
_xlpm.상태이상탄환생성위치보정치, IF($G351 = "debuff", VLOOKUP($R351, Factor!$K$18:$R$19, _xlpm.기본_색인번호, 0),1),
_xlpm.상태이상탄환형태보정치, IF($G351 = "debuff", VLOOKUP($S351, Factor!$K$24:$R$25, _xlpm.기본_색인번호, 0),1),
_xlpm.가격보정치, INDEX(Factor!$AE$5:$AL$51, _xlfn.XMATCH($F351,Factor!$AE$5:$AE$51, -1), _xlpm.기본_색인번호),
_xlpm.구경보정치, VLOOKUP($D351,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352" spans="1:33" ht="15.75" customHeight="1">
      <c r="A352" s="28" t="str">
        <f>"weapon_"&amp;G352&amp;"_"&amp;VLOOKUP(H352, Factor!$T$5:$AB$7, 9, 0)&amp;"_"&amp;IF(COUNTIFS($G$4:G351, G352, $H$4:H351, H352)+1&gt;=100, COUNTIFS($G$4:G351, G352, $H$4:H351, H352)+1,IF(COUNTIFS($G$4:G351, G352, $H$4:H351, H352)+1&gt;=10, "0"&amp;COUNTIFS($G$4:G351, G352, $H$4:H351, H352)+1, "00"&amp;COUNTIFS($G$4:G351, G352, $H$4:H351, H352)+1))</f>
        <v>weapon_debuff_Am_007</v>
      </c>
      <c r="B352" s="37" t="str">
        <f t="shared" si="5"/>
        <v>T6 화염방사기</v>
      </c>
      <c r="C352" s="37" t="s">
        <v>159</v>
      </c>
      <c r="D352" s="37" t="s">
        <v>275</v>
      </c>
      <c r="E352" s="37" t="s">
        <v>203</v>
      </c>
      <c r="F352" s="29">
        <f>VLOOKUP(C352, Factor!$AD$5:$AE$15, 2, 0)</f>
        <v>6000</v>
      </c>
      <c r="G352" s="29" t="str">
        <f>VLOOKUP(E352, Factor!$CL$5:$CV$50, 2, 0)</f>
        <v>debuff</v>
      </c>
      <c r="H352" s="29" t="str">
        <f>VLOOKUP(E352, Factor!$CL$5:$CV$50, 3, 0)</f>
        <v>ammo</v>
      </c>
      <c r="I352" s="29" t="str">
        <f>VLOOKUP(E352, Factor!$CL$5:$CV$50, 4, 0)</f>
        <v>L</v>
      </c>
      <c r="J352" s="29" t="str">
        <f>VLOOKUP(E352, Factor!$CL$5:$CV$50, 5, 0)</f>
        <v>spread</v>
      </c>
      <c r="K352" s="29">
        <v>1</v>
      </c>
      <c r="L352" s="29">
        <f>VLOOKUP(E352, Factor!$CL$5:$CV$50, 6, 0)*K352*VLOOKUP(D352, Factor!$BZ$5:$CJ$49, 9, 0)</f>
        <v>0</v>
      </c>
      <c r="M352" s="29" t="str">
        <f>VLOOKUP(E352, Factor!$CL$5:$CV$50, 7, 0)</f>
        <v>dots</v>
      </c>
      <c r="N352" s="29">
        <v>1</v>
      </c>
      <c r="O352" s="29">
        <f>VLOOKUP(E352, Factor!$CL$5:$CV$50, 8, 0)*N352*VLOOKUP(D352, Factor!$BZ$5:$CJ$49, 10, 0)</f>
        <v>5</v>
      </c>
      <c r="P352" s="29">
        <v>1</v>
      </c>
      <c r="Q352" s="29">
        <f>VLOOKUP(E352, Factor!$CL$5:$CV$50, 9, 0)*P352*VLOOKUP(D352, Factor!$BZ$5:$CJ$49, 11, 0)</f>
        <v>1</v>
      </c>
      <c r="R352" s="29" t="str">
        <f>VLOOKUP(E352, Factor!$CL$5:$CV$50, 10, 0)</f>
        <v>head</v>
      </c>
      <c r="S352" s="29" t="str">
        <f>VLOOKUP(E352, Factor!$CL$5:$CV$50, 11, 0)</f>
        <v>triangle</v>
      </c>
      <c r="T352" s="29">
        <v>1</v>
      </c>
      <c r="U352" s="29">
        <v>1</v>
      </c>
      <c r="V352" s="29">
        <v>1</v>
      </c>
      <c r="W352" s="29">
        <v>1</v>
      </c>
      <c r="X352" s="29">
        <v>1</v>
      </c>
      <c r="Y352" s="29">
        <v>1</v>
      </c>
      <c r="Z352" s="29">
        <v>1</v>
      </c>
      <c r="AA352" s="29" cm="1">
        <f t="array" ref="AA352">_xlfn.LET(_xlpm.기본_색인번호, 2,
_xlpm.추가_색인번호, 3,
_xlpm.개별보정치, T352,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1400</v>
      </c>
      <c r="AB352" s="29" cm="1">
        <f t="array" ref="AB352">_xlfn.LET(_xlpm.기본_색인번호, 3,
_xlpm.추가_색인번호, 4,
_xlpm.개별보정치, U352,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352" s="29" cm="1">
        <f t="array" ref="AC352">_xlfn.LET(_xlpm.기본_색인번호, 4,
_xlpm.추가_색인번호, 5,
_xlpm.개별보정치, V352,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2" s="29" cm="1">
        <f t="array" ref="AD352">_xlfn.LET(_xlpm.기본_색인번호, 5,
_xlpm.추가_색인번호, 6,
_xlpm.개별보정치, W352,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E352" s="29" cm="1">
        <f t="array" ref="AE352">_xlfn.LET(_xlpm.기본_색인번호, 6,
_xlpm.추가_색인번호, 7,
_xlpm.개별보정치, X352,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F352" s="29" cm="1">
        <f t="array" ref="AF352">_xlfn.LET(_xlpm.기본_색인번호, 7,
_xlpm.추가_색인번호, 8,
_xlpm.개별보정치, Y352,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2" s="30" cm="1">
        <f t="array" ref="AG352">_xlfn.LET(_xlpm.기본_색인번호, 8,
_xlpm.추가_색인번호, 9,
_xlpm.개별보정치, Z352,
_xlpm.패턴보정치, VLOOKUP($G352, Factor!$B$5:$I$51, _xlpm.기본_색인번호, 0),
_xlpm.소모탄환보정치, VLOOKUP($H352, Factor!$T$5:$AA$51, _xlpm.기본_색인번호, 0),
_xlpm.지형보정치, VLOOKUP($I352, Factor!$K$12:$R$13, _xlpm.기본_색인번호, 0),
_xlpm.공격속성보정치, VLOOKUP($J352, Factor!$K$5:$R$7, _xlpm.기본_색인번호, 0),
_xlpm.피해범위보정치, INDEX(Factor!$AN$5:$AV$51, _xlfn.XMATCH(IF(OR($G352="blast", $G352="curved",  $G352= "debuff"), $L352, 0), Factor!$AN$5:$AN$51, -1), _xlpm.추가_색인번호)-IF(AND(OR($G352="blast", $G352="curved", $G352= "debuff"), MOD($L352,1)&lt;&gt;0),INDEX(Factor!$AN$5:$AV$51, _xlfn.XMATCH(IF(OR($G352="blast", $G352="curved", $G352= "debuff"), $L352, 0), Factor!$AN$5:$AN$51, -1), 2)*MOD($L352,1)*10,0),
_xlpm.상태이상보정치, VLOOKUP(IF($G352 = "debuff", $M352, "null"), Factor!$AX$5:$BE$51, _xlpm.기본_색인번호, 0),
_xlpm.지속시간보정치, INDEX(Factor!$BG$5:$BO$51, _xlfn.XMATCH(IF(OR($G352 ="debuff", $G352 = "shot", $G352 = "pierce"), $O352, 0), Factor!$BG$5:$BG$51, -1), _xlpm.추가_색인번호)-IF(AND(OR($G352 ="debuff", $G352 = "shot", $G352 = "pierce"), MOD($O352, 1)&lt;&gt;0), 10*MOD($O352, 1)*INDEX(Factor!$BG$5:$BO$51, _xlfn.XMATCH(IF(OR($G352 ="debuff", $G352 = "shot", $G352 = "pierce"), $O352, 0), Factor!$BG$5:$BG$51, -1), 2), 0),
_xlpm.탄환개수보정치, VLOOKUP(IF(OR($G352 = "curved", $G352 = "shot"), $Q352, 1), Factor!$BQ$5:$BX$51, _xlpm.기본_색인번호, 0),
_xlpm.상태이상탄환생성위치보정치, IF($G352 = "debuff", VLOOKUP($R352, Factor!$K$18:$R$19, _xlpm.기본_색인번호, 0),1),
_xlpm.상태이상탄환형태보정치, IF($G352 = "debuff", VLOOKUP($S352, Factor!$K$24:$R$25, _xlpm.기본_색인번호, 0),1),
_xlpm.가격보정치, INDEX(Factor!$AE$5:$AL$51, _xlfn.XMATCH($F352,Factor!$AE$5:$AE$51, -1), _xlpm.기본_색인번호),
_xlpm.구경보정치, VLOOKUP($D352,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</row>
    <row r="353" spans="1:33" ht="15.75" customHeight="1">
      <c r="A353" s="24" t="str">
        <f>"weapon_"&amp;G353&amp;"_"&amp;VLOOKUP(H353, Factor!$T$5:$AB$7, 9, 0)&amp;"_"&amp;IF(COUNTIFS($G$4:G352, G353, $H$4:H352, H353)+1&gt;=100, COUNTIFS($G$4:G352, G353, $H$4:H352, H353)+1,IF(COUNTIFS($G$4:G352, G353, $H$4:H352, H353)+1&gt;=10, "0"&amp;COUNTIFS($G$4:G352, G353, $H$4:H352, H353)+1, "00"&amp;COUNTIFS($G$4:G352, G353, $H$4:H352, H353)+1))</f>
        <v>weapon_debuff_Am_008</v>
      </c>
      <c r="B353" s="36" t="str">
        <f t="shared" si="5"/>
        <v>T7 화염방사기</v>
      </c>
      <c r="C353" s="36" t="s">
        <v>160</v>
      </c>
      <c r="D353" s="36" t="s">
        <v>275</v>
      </c>
      <c r="E353" s="36" t="s">
        <v>203</v>
      </c>
      <c r="F353" s="25">
        <f>VLOOKUP(C353, Factor!$AD$5:$AE$15, 2, 0)</f>
        <v>7000</v>
      </c>
      <c r="G353" s="26" t="str">
        <f>VLOOKUP(E353, Factor!$CL$5:$CV$50, 2, 0)</f>
        <v>debuff</v>
      </c>
      <c r="H353" s="25" t="str">
        <f>VLOOKUP(E353, Factor!$CL$5:$CV$50, 3, 0)</f>
        <v>ammo</v>
      </c>
      <c r="I353" s="25" t="str">
        <f>VLOOKUP(E353, Factor!$CL$5:$CV$50, 4, 0)</f>
        <v>L</v>
      </c>
      <c r="J353" s="25" t="str">
        <f>VLOOKUP(E353, Factor!$CL$5:$CV$50, 5, 0)</f>
        <v>spread</v>
      </c>
      <c r="K353" s="25">
        <v>1</v>
      </c>
      <c r="L353" s="25">
        <f>VLOOKUP(E353, Factor!$CL$5:$CV$50, 6, 0)*K353*VLOOKUP(D353, Factor!$BZ$5:$CJ$49, 9, 0)</f>
        <v>0</v>
      </c>
      <c r="M353" s="25" t="str">
        <f>VLOOKUP(E353, Factor!$CL$5:$CV$50, 7, 0)</f>
        <v>dots</v>
      </c>
      <c r="N353" s="25">
        <v>1</v>
      </c>
      <c r="O353" s="25">
        <f>VLOOKUP(E353, Factor!$CL$5:$CV$50, 8, 0)*N353*VLOOKUP(D353, Factor!$BZ$5:$CJ$49, 10, 0)</f>
        <v>5</v>
      </c>
      <c r="P353" s="25">
        <v>1</v>
      </c>
      <c r="Q353" s="25">
        <f>VLOOKUP(E353, Factor!$CL$5:$CV$50, 9, 0)*P353*VLOOKUP(D353, Factor!$BZ$5:$CJ$49, 11, 0)</f>
        <v>1</v>
      </c>
      <c r="R353" s="25" t="str">
        <f>VLOOKUP(E353, Factor!$CL$5:$CV$50, 10, 0)</f>
        <v>head</v>
      </c>
      <c r="S353" s="25" t="str">
        <f>VLOOKUP(E353, Factor!$CL$5:$CV$50, 11, 0)</f>
        <v>triangle</v>
      </c>
      <c r="T353" s="25">
        <v>1</v>
      </c>
      <c r="U353" s="25">
        <v>1</v>
      </c>
      <c r="V353" s="25">
        <v>1</v>
      </c>
      <c r="W353" s="25">
        <v>1</v>
      </c>
      <c r="X353" s="25">
        <v>1</v>
      </c>
      <c r="Y353" s="25">
        <v>1</v>
      </c>
      <c r="Z353" s="25">
        <v>1</v>
      </c>
      <c r="AA353" s="25" cm="1">
        <f t="array" ref="AA353">_xlfn.LET(_xlpm.기본_색인번호, 2,
_xlpm.추가_색인번호, 3,
_xlpm.개별보정치, T353,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1600</v>
      </c>
      <c r="AB353" s="25" cm="1">
        <f t="array" ref="AB353">_xlfn.LET(_xlpm.기본_색인번호, 3,
_xlpm.추가_색인번호, 4,
_xlpm.개별보정치, U353,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353" s="25" cm="1">
        <f t="array" ref="AC353">_xlfn.LET(_xlpm.기본_색인번호, 4,
_xlpm.추가_색인번호, 5,
_xlpm.개별보정치, V353,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3" s="25" cm="1">
        <f t="array" ref="AD353">_xlfn.LET(_xlpm.기본_색인번호, 5,
_xlpm.추가_색인번호, 6,
_xlpm.개별보정치, W353,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E353" s="25" cm="1">
        <f t="array" ref="AE353">_xlfn.LET(_xlpm.기본_색인번호, 6,
_xlpm.추가_색인번호, 7,
_xlpm.개별보정치, X353,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  <c r="AF353" s="25" cm="1">
        <f t="array" ref="AF353">_xlfn.LET(_xlpm.기본_색인번호, 7,
_xlpm.추가_색인번호, 8,
_xlpm.개별보정치, Y353,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3" s="27" cm="1">
        <f t="array" ref="AG353">_xlfn.LET(_xlpm.기본_색인번호, 8,
_xlpm.추가_색인번호, 9,
_xlpm.개별보정치, Z353,
_xlpm.패턴보정치, VLOOKUP($G353, Factor!$B$5:$I$51, _xlpm.기본_색인번호, 0),
_xlpm.소모탄환보정치, VLOOKUP($H353, Factor!$T$5:$AA$51, _xlpm.기본_색인번호, 0),
_xlpm.지형보정치, VLOOKUP($I353, Factor!$K$12:$R$13, _xlpm.기본_색인번호, 0),
_xlpm.공격속성보정치, VLOOKUP($J353, Factor!$K$5:$R$7, _xlpm.기본_색인번호, 0),
_xlpm.피해범위보정치, INDEX(Factor!$AN$5:$AV$51, _xlfn.XMATCH(IF(OR($G353="blast", $G353="curved",  $G353= "debuff"), $L353, 0), Factor!$AN$5:$AN$51, -1), _xlpm.추가_색인번호)-IF(AND(OR($G353="blast", $G353="curved", $G353= "debuff"), MOD($L353,1)&lt;&gt;0),INDEX(Factor!$AN$5:$AV$51, _xlfn.XMATCH(IF(OR($G353="blast", $G353="curved", $G353= "debuff"), $L353, 0), Factor!$AN$5:$AN$51, -1), 2)*MOD($L353,1)*10,0),
_xlpm.상태이상보정치, VLOOKUP(IF($G353 = "debuff", $M353, "null"), Factor!$AX$5:$BE$51, _xlpm.기본_색인번호, 0),
_xlpm.지속시간보정치, INDEX(Factor!$BG$5:$BO$51, _xlfn.XMATCH(IF(OR($G353 ="debuff", $G353 = "shot", $G353 = "pierce"), $O353, 0), Factor!$BG$5:$BG$51, -1), _xlpm.추가_색인번호)-IF(AND(OR($G353 ="debuff", $G353 = "shot", $G353 = "pierce"), MOD($O353, 1)&lt;&gt;0), 10*MOD($O353, 1)*INDEX(Factor!$BG$5:$BO$51, _xlfn.XMATCH(IF(OR($G353 ="debuff", $G353 = "shot", $G353 = "pierce"), $O353, 0), Factor!$BG$5:$BG$51, -1), 2), 0),
_xlpm.탄환개수보정치, VLOOKUP(IF(OR($G353 = "curved", $G353 = "shot"), $Q353, 1), Factor!$BQ$5:$BX$51, _xlpm.기본_색인번호, 0),
_xlpm.상태이상탄환생성위치보정치, IF($G353 = "debuff", VLOOKUP($R353, Factor!$K$18:$R$19, _xlpm.기본_색인번호, 0),1),
_xlpm.상태이상탄환형태보정치, IF($G353 = "debuff", VLOOKUP($S353, Factor!$K$24:$R$25, _xlpm.기본_색인번호, 0),1),
_xlpm.가격보정치, INDEX(Factor!$AE$5:$AL$51, _xlfn.XMATCH($F353,Factor!$AE$5:$AE$51, -1), _xlpm.기본_색인번호),
_xlpm.구경보정치, VLOOKUP($D353,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80</v>
      </c>
    </row>
    <row r="354" spans="1:33" ht="15.75" customHeight="1">
      <c r="A354" s="28" t="str">
        <f>"weapon_"&amp;G354&amp;"_"&amp;VLOOKUP(H354, Factor!$T$5:$AB$7, 9, 0)&amp;"_"&amp;IF(COUNTIFS($G$4:G353, G354, $H$4:H353, H354)+1&gt;=100, COUNTIFS($G$4:G353, G354, $H$4:H353, H354)+1,IF(COUNTIFS($G$4:G353, G354, $H$4:H353, H354)+1&gt;=10, "0"&amp;COUNTIFS($G$4:G353, G354, $H$4:H353, H354)+1, "00"&amp;COUNTIFS($G$4:G353, G354, $H$4:H353, H354)+1))</f>
        <v>weapon_debuff_Am_009</v>
      </c>
      <c r="B354" s="37" t="str">
        <f t="shared" si="5"/>
        <v>T8 화염방사기</v>
      </c>
      <c r="C354" s="37" t="s">
        <v>161</v>
      </c>
      <c r="D354" s="37" t="s">
        <v>275</v>
      </c>
      <c r="E354" s="37" t="s">
        <v>203</v>
      </c>
      <c r="F354" s="29">
        <f>VLOOKUP(C354, Factor!$AD$5:$AE$15, 2, 0)</f>
        <v>8000</v>
      </c>
      <c r="G354" s="29" t="str">
        <f>VLOOKUP(E354, Factor!$CL$5:$CV$50, 2, 0)</f>
        <v>debuff</v>
      </c>
      <c r="H354" s="29" t="str">
        <f>VLOOKUP(E354, Factor!$CL$5:$CV$50, 3, 0)</f>
        <v>ammo</v>
      </c>
      <c r="I354" s="29" t="str">
        <f>VLOOKUP(E354, Factor!$CL$5:$CV$50, 4, 0)</f>
        <v>L</v>
      </c>
      <c r="J354" s="29" t="str">
        <f>VLOOKUP(E354, Factor!$CL$5:$CV$50, 5, 0)</f>
        <v>spread</v>
      </c>
      <c r="K354" s="29">
        <v>1</v>
      </c>
      <c r="L354" s="29">
        <f>VLOOKUP(E354, Factor!$CL$5:$CV$50, 6, 0)*K354*VLOOKUP(D354, Factor!$BZ$5:$CJ$49, 9, 0)</f>
        <v>0</v>
      </c>
      <c r="M354" s="29" t="str">
        <f>VLOOKUP(E354, Factor!$CL$5:$CV$50, 7, 0)</f>
        <v>dots</v>
      </c>
      <c r="N354" s="29">
        <v>1</v>
      </c>
      <c r="O354" s="29">
        <f>VLOOKUP(E354, Factor!$CL$5:$CV$50, 8, 0)*N354*VLOOKUP(D354, Factor!$BZ$5:$CJ$49, 10, 0)</f>
        <v>5</v>
      </c>
      <c r="P354" s="29">
        <v>1</v>
      </c>
      <c r="Q354" s="29">
        <f>VLOOKUP(E354, Factor!$CL$5:$CV$50, 9, 0)*P354*VLOOKUP(D354, Factor!$BZ$5:$CJ$49, 11, 0)</f>
        <v>1</v>
      </c>
      <c r="R354" s="29" t="str">
        <f>VLOOKUP(E354, Factor!$CL$5:$CV$50, 10, 0)</f>
        <v>head</v>
      </c>
      <c r="S354" s="29" t="str">
        <f>VLOOKUP(E354, Factor!$CL$5:$CV$50, 11, 0)</f>
        <v>triangle</v>
      </c>
      <c r="T354" s="29">
        <v>1</v>
      </c>
      <c r="U354" s="29">
        <v>1</v>
      </c>
      <c r="V354" s="29">
        <v>1</v>
      </c>
      <c r="W354" s="29">
        <v>1</v>
      </c>
      <c r="X354" s="29">
        <v>1</v>
      </c>
      <c r="Y354" s="29">
        <v>1</v>
      </c>
      <c r="Z354" s="29">
        <v>1</v>
      </c>
      <c r="AA354" s="29" cm="1">
        <f t="array" ref="AA354">_xlfn.LET(_xlpm.기본_색인번호, 2,
_xlpm.추가_색인번호, 3,
_xlpm.개별보정치, T354,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354" s="29" cm="1">
        <f t="array" ref="AB354">_xlfn.LET(_xlpm.기본_색인번호, 3,
_xlpm.추가_색인번호, 4,
_xlpm.개별보정치, U354,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354" s="29" cm="1">
        <f t="array" ref="AC354">_xlfn.LET(_xlpm.기본_색인번호, 4,
_xlpm.추가_색인번호, 5,
_xlpm.개별보정치, V354,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4" s="29" cm="1">
        <f t="array" ref="AD354">_xlfn.LET(_xlpm.기본_색인번호, 5,
_xlpm.추가_색인번호, 6,
_xlpm.개별보정치, W354,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354" s="29" cm="1">
        <f t="array" ref="AE354">_xlfn.LET(_xlpm.기본_색인번호, 6,
_xlpm.추가_색인번호, 7,
_xlpm.개별보정치, X354,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354" s="29" cm="1">
        <f t="array" ref="AF354">_xlfn.LET(_xlpm.기본_색인번호, 7,
_xlpm.추가_색인번호, 8,
_xlpm.개별보정치, Y354,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4" s="30" cm="1">
        <f t="array" ref="AG354">_xlfn.LET(_xlpm.기본_색인번호, 8,
_xlpm.추가_색인번호, 9,
_xlpm.개별보정치, Z354,
_xlpm.패턴보정치, VLOOKUP($G354, Factor!$B$5:$I$51, _xlpm.기본_색인번호, 0),
_xlpm.소모탄환보정치, VLOOKUP($H354, Factor!$T$5:$AA$51, _xlpm.기본_색인번호, 0),
_xlpm.지형보정치, VLOOKUP($I354, Factor!$K$12:$R$13, _xlpm.기본_색인번호, 0),
_xlpm.공격속성보정치, VLOOKUP($J354, Factor!$K$5:$R$7, _xlpm.기본_색인번호, 0),
_xlpm.피해범위보정치, INDEX(Factor!$AN$5:$AV$51, _xlfn.XMATCH(IF(OR($G354="blast", $G354="curved",  $G354= "debuff"), $L354, 0), Factor!$AN$5:$AN$51, -1), _xlpm.추가_색인번호)-IF(AND(OR($G354="blast", $G354="curved", $G354= "debuff"), MOD($L354,1)&lt;&gt;0),INDEX(Factor!$AN$5:$AV$51, _xlfn.XMATCH(IF(OR($G354="blast", $G354="curved", $G354= "debuff"), $L354, 0), Factor!$AN$5:$AN$51, -1), 2)*MOD($L354,1)*10,0),
_xlpm.상태이상보정치, VLOOKUP(IF($G354 = "debuff", $M354, "null"), Factor!$AX$5:$BE$51, _xlpm.기본_색인번호, 0),
_xlpm.지속시간보정치, INDEX(Factor!$BG$5:$BO$51, _xlfn.XMATCH(IF(OR($G354 ="debuff", $G354 = "shot", $G354 = "pierce"), $O354, 0), Factor!$BG$5:$BG$51, -1), _xlpm.추가_색인번호)-IF(AND(OR($G354 ="debuff", $G354 = "shot", $G354 = "pierce"), MOD($O354, 1)&lt;&gt;0), 10*MOD($O354, 1)*INDEX(Factor!$BG$5:$BO$51, _xlfn.XMATCH(IF(OR($G354 ="debuff", $G354 = "shot", $G354 = "pierce"), $O354, 0), Factor!$BG$5:$BG$51, -1), 2), 0),
_xlpm.탄환개수보정치, VLOOKUP(IF(OR($G354 = "curved", $G354 = "shot"), $Q354, 1), Factor!$BQ$5:$BX$51, _xlpm.기본_색인번호, 0),
_xlpm.상태이상탄환생성위치보정치, IF($G354 = "debuff", VLOOKUP($R354, Factor!$K$18:$R$19, _xlpm.기본_색인번호, 0),1),
_xlpm.상태이상탄환형태보정치, IF($G354 = "debuff", VLOOKUP($S354, Factor!$K$24:$R$25, _xlpm.기본_색인번호, 0),1),
_xlpm.가격보정치, INDEX(Factor!$AE$5:$AL$51, _xlfn.XMATCH($F354,Factor!$AE$5:$AE$51, -1), _xlpm.기본_색인번호),
_xlpm.구경보정치, VLOOKUP($D354,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355" spans="1:33" ht="15.75" customHeight="1">
      <c r="A355" s="24" t="str">
        <f>"weapon_"&amp;G355&amp;"_"&amp;VLOOKUP(H355, Factor!$T$5:$AB$7, 9, 0)&amp;"_"&amp;IF(COUNTIFS($G$4:G354, G355, $H$4:H354, H355)+1&gt;=100, COUNTIFS($G$4:G354, G355, $H$4:H354, H355)+1,IF(COUNTIFS($G$4:G354, G355, $H$4:H354, H355)+1&gt;=10, "0"&amp;COUNTIFS($G$4:G354, G355, $H$4:H354, H355)+1, "00"&amp;COUNTIFS($G$4:G354, G355, $H$4:H354, H355)+1))</f>
        <v>weapon_debuff_Am_010</v>
      </c>
      <c r="B355" s="36" t="str">
        <f t="shared" si="5"/>
        <v>T9 화염방사기</v>
      </c>
      <c r="C355" s="36" t="s">
        <v>162</v>
      </c>
      <c r="D355" s="36" t="s">
        <v>275</v>
      </c>
      <c r="E355" s="36" t="s">
        <v>203</v>
      </c>
      <c r="F355" s="25">
        <f>VLOOKUP(C355, Factor!$AD$5:$AE$15, 2, 0)</f>
        <v>9000</v>
      </c>
      <c r="G355" s="26" t="str">
        <f>VLOOKUP(E355, Factor!$CL$5:$CV$50, 2, 0)</f>
        <v>debuff</v>
      </c>
      <c r="H355" s="25" t="str">
        <f>VLOOKUP(E355, Factor!$CL$5:$CV$50, 3, 0)</f>
        <v>ammo</v>
      </c>
      <c r="I355" s="25" t="str">
        <f>VLOOKUP(E355, Factor!$CL$5:$CV$50, 4, 0)</f>
        <v>L</v>
      </c>
      <c r="J355" s="25" t="str">
        <f>VLOOKUP(E355, Factor!$CL$5:$CV$50, 5, 0)</f>
        <v>spread</v>
      </c>
      <c r="K355" s="25">
        <v>1</v>
      </c>
      <c r="L355" s="25">
        <f>VLOOKUP(E355, Factor!$CL$5:$CV$50, 6, 0)*K355*VLOOKUP(D355, Factor!$BZ$5:$CJ$49, 9, 0)</f>
        <v>0</v>
      </c>
      <c r="M355" s="25" t="str">
        <f>VLOOKUP(E355, Factor!$CL$5:$CV$50, 7, 0)</f>
        <v>dots</v>
      </c>
      <c r="N355" s="25">
        <v>1</v>
      </c>
      <c r="O355" s="25">
        <f>VLOOKUP(E355, Factor!$CL$5:$CV$50, 8, 0)*N355*VLOOKUP(D355, Factor!$BZ$5:$CJ$49, 10, 0)</f>
        <v>5</v>
      </c>
      <c r="P355" s="25">
        <v>1</v>
      </c>
      <c r="Q355" s="25">
        <f>VLOOKUP(E355, Factor!$CL$5:$CV$50, 9, 0)*P355*VLOOKUP(D355, Factor!$BZ$5:$CJ$49, 11, 0)</f>
        <v>1</v>
      </c>
      <c r="R355" s="25" t="str">
        <f>VLOOKUP(E355, Factor!$CL$5:$CV$50, 10, 0)</f>
        <v>head</v>
      </c>
      <c r="S355" s="25" t="str">
        <f>VLOOKUP(E355, Factor!$CL$5:$CV$50, 11, 0)</f>
        <v>triangle</v>
      </c>
      <c r="T355" s="25">
        <v>1</v>
      </c>
      <c r="U355" s="25">
        <v>1</v>
      </c>
      <c r="V355" s="25">
        <v>1</v>
      </c>
      <c r="W355" s="25">
        <v>1</v>
      </c>
      <c r="X355" s="25">
        <v>1</v>
      </c>
      <c r="Y355" s="25">
        <v>1</v>
      </c>
      <c r="Z355" s="25">
        <v>1</v>
      </c>
      <c r="AA355" s="25" cm="1">
        <f t="array" ref="AA355">_xlfn.LET(_xlpm.기본_색인번호, 2,
_xlpm.추가_색인번호, 3,
_xlpm.개별보정치, T355,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2000</v>
      </c>
      <c r="AB355" s="25" cm="1">
        <f t="array" ref="AB355">_xlfn.LET(_xlpm.기본_색인번호, 3,
_xlpm.추가_색인번호, 4,
_xlpm.개별보정치, U355,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C355" s="25" cm="1">
        <f t="array" ref="AC355">_xlfn.LET(_xlpm.기본_색인번호, 4,
_xlpm.추가_색인번호, 5,
_xlpm.개별보정치, V355,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5" s="25" cm="1">
        <f t="array" ref="AD355">_xlfn.LET(_xlpm.기본_색인번호, 5,
_xlpm.추가_색인번호, 6,
_xlpm.개별보정치, W355,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E355" s="25" cm="1">
        <f t="array" ref="AE355">_xlfn.LET(_xlpm.기본_색인번호, 6,
_xlpm.추가_색인번호, 7,
_xlpm.개별보정치, X355,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  <c r="AF355" s="25" cm="1">
        <f t="array" ref="AF355">_xlfn.LET(_xlpm.기본_색인번호, 7,
_xlpm.추가_색인번호, 8,
_xlpm.개별보정치, Y355,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5" s="27" cm="1">
        <f t="array" ref="AG355">_xlfn.LET(_xlpm.기본_색인번호, 8,
_xlpm.추가_색인번호, 9,
_xlpm.개별보정치, Z355,
_xlpm.패턴보정치, VLOOKUP($G355, Factor!$B$5:$I$51, _xlpm.기본_색인번호, 0),
_xlpm.소모탄환보정치, VLOOKUP($H355, Factor!$T$5:$AA$51, _xlpm.기본_색인번호, 0),
_xlpm.지형보정치, VLOOKUP($I355, Factor!$K$12:$R$13, _xlpm.기본_색인번호, 0),
_xlpm.공격속성보정치, VLOOKUP($J355, Factor!$K$5:$R$7, _xlpm.기본_색인번호, 0),
_xlpm.피해범위보정치, INDEX(Factor!$AN$5:$AV$51, _xlfn.XMATCH(IF(OR($G355="blast", $G355="curved",  $G355= "debuff"), $L355, 0), Factor!$AN$5:$AN$51, -1), _xlpm.추가_색인번호)-IF(AND(OR($G355="blast", $G355="curved", $G355= "debuff"), MOD($L355,1)&lt;&gt;0),INDEX(Factor!$AN$5:$AV$51, _xlfn.XMATCH(IF(OR($G355="blast", $G355="curved", $G355= "debuff"), $L355, 0), Factor!$AN$5:$AN$51, -1), 2)*MOD($L355,1)*10,0),
_xlpm.상태이상보정치, VLOOKUP(IF($G355 = "debuff", $M355, "null"), Factor!$AX$5:$BE$51, _xlpm.기본_색인번호, 0),
_xlpm.지속시간보정치, INDEX(Factor!$BG$5:$BO$51, _xlfn.XMATCH(IF(OR($G355 ="debuff", $G355 = "shot", $G355 = "pierce"), $O355, 0), Factor!$BG$5:$BG$51, -1), _xlpm.추가_색인번호)-IF(AND(OR($G355 ="debuff", $G355 = "shot", $G355 = "pierce"), MOD($O355, 1)&lt;&gt;0), 10*MOD($O355, 1)*INDEX(Factor!$BG$5:$BO$51, _xlfn.XMATCH(IF(OR($G355 ="debuff", $G355 = "shot", $G355 = "pierce"), $O355, 0), Factor!$BG$5:$BG$51, -1), 2), 0),
_xlpm.탄환개수보정치, VLOOKUP(IF(OR($G355 = "curved", $G355 = "shot"), $Q355, 1), Factor!$BQ$5:$BX$51, _xlpm.기본_색인번호, 0),
_xlpm.상태이상탄환생성위치보정치, IF($G355 = "debuff", VLOOKUP($R355, Factor!$K$18:$R$19, _xlpm.기본_색인번호, 0),1),
_xlpm.상태이상탄환형태보정치, IF($G355 = "debuff", VLOOKUP($S355, Factor!$K$24:$R$25, _xlpm.기본_색인번호, 0),1),
_xlpm.가격보정치, INDEX(Factor!$AE$5:$AL$51, _xlfn.XMATCH($F355,Factor!$AE$5:$AE$51, -1), _xlpm.기본_색인번호),
_xlpm.구경보정치, VLOOKUP($D355,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100</v>
      </c>
    </row>
    <row r="356" spans="1:33" ht="15.75" customHeight="1">
      <c r="A356" s="28" t="str">
        <f>"weapon_"&amp;G356&amp;"_"&amp;VLOOKUP(H356, Factor!$T$5:$AB$7, 9, 0)&amp;"_"&amp;IF(COUNTIFS($G$4:G355, G356, $H$4:H355, H356)+1&gt;=100, COUNTIFS($G$4:G355, G356, $H$4:H355, H356)+1,IF(COUNTIFS($G$4:G355, G356, $H$4:H355, H356)+1&gt;=10, "0"&amp;COUNTIFS($G$4:G355, G356, $H$4:H355, H356)+1, "00"&amp;COUNTIFS($G$4:G355, G356, $H$4:H355, H356)+1))</f>
        <v>weapon_debuff_Am_011</v>
      </c>
      <c r="B356" s="37" t="str">
        <f t="shared" si="5"/>
        <v>T10 화염방사기</v>
      </c>
      <c r="C356" s="37" t="s">
        <v>163</v>
      </c>
      <c r="D356" s="37" t="s">
        <v>275</v>
      </c>
      <c r="E356" s="37" t="s">
        <v>203</v>
      </c>
      <c r="F356" s="29">
        <f>VLOOKUP(C356, Factor!$AD$5:$AE$15, 2, 0)</f>
        <v>10000</v>
      </c>
      <c r="G356" s="29" t="str">
        <f>VLOOKUP(E356, Factor!$CL$5:$CV$50, 2, 0)</f>
        <v>debuff</v>
      </c>
      <c r="H356" s="29" t="str">
        <f>VLOOKUP(E356, Factor!$CL$5:$CV$50, 3, 0)</f>
        <v>ammo</v>
      </c>
      <c r="I356" s="29" t="str">
        <f>VLOOKUP(E356, Factor!$CL$5:$CV$50, 4, 0)</f>
        <v>L</v>
      </c>
      <c r="J356" s="29" t="str">
        <f>VLOOKUP(E356, Factor!$CL$5:$CV$50, 5, 0)</f>
        <v>spread</v>
      </c>
      <c r="K356" s="29">
        <v>1</v>
      </c>
      <c r="L356" s="29">
        <f>VLOOKUP(E356, Factor!$CL$5:$CV$50, 6, 0)*K356*VLOOKUP(D356, Factor!$BZ$5:$CJ$49, 9, 0)</f>
        <v>0</v>
      </c>
      <c r="M356" s="29" t="str">
        <f>VLOOKUP(E356, Factor!$CL$5:$CV$50, 7, 0)</f>
        <v>dots</v>
      </c>
      <c r="N356" s="29">
        <v>1</v>
      </c>
      <c r="O356" s="29">
        <f>VLOOKUP(E356, Factor!$CL$5:$CV$50, 8, 0)*N356*VLOOKUP(D356, Factor!$BZ$5:$CJ$49, 10, 0)</f>
        <v>5</v>
      </c>
      <c r="P356" s="29">
        <v>1</v>
      </c>
      <c r="Q356" s="29">
        <f>VLOOKUP(E356, Factor!$CL$5:$CV$50, 9, 0)*P356*VLOOKUP(D356, Factor!$BZ$5:$CJ$49, 11, 0)</f>
        <v>1</v>
      </c>
      <c r="R356" s="29" t="str">
        <f>VLOOKUP(E356, Factor!$CL$5:$CV$50, 10, 0)</f>
        <v>head</v>
      </c>
      <c r="S356" s="29" t="str">
        <f>VLOOKUP(E356, Factor!$CL$5:$CV$50, 11, 0)</f>
        <v>triangle</v>
      </c>
      <c r="T356" s="29">
        <v>1</v>
      </c>
      <c r="U356" s="29">
        <v>1</v>
      </c>
      <c r="V356" s="29">
        <v>1</v>
      </c>
      <c r="W356" s="29">
        <v>1</v>
      </c>
      <c r="X356" s="29">
        <v>1</v>
      </c>
      <c r="Y356" s="29">
        <v>1</v>
      </c>
      <c r="Z356" s="29">
        <v>1</v>
      </c>
      <c r="AA356" s="29" cm="1">
        <f t="array" ref="AA356">_xlfn.LET(_xlpm.기본_색인번호, 2,
_xlpm.추가_색인번호, 3,
_xlpm.개별보정치, T356,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2200</v>
      </c>
      <c r="AB356" s="29" cm="1">
        <f t="array" ref="AB356">_xlfn.LET(_xlpm.기본_색인번호, 3,
_xlpm.추가_색인번호, 4,
_xlpm.개별보정치, U356,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70</v>
      </c>
      <c r="AC356" s="29" cm="1">
        <f t="array" ref="AC356">_xlfn.LET(_xlpm.기본_색인번호, 4,
_xlpm.추가_색인번호, 5,
_xlpm.개별보정치, V356,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</v>
      </c>
      <c r="AD356" s="29" cm="1">
        <f t="array" ref="AD356">_xlfn.LET(_xlpm.기본_색인번호, 5,
_xlpm.추가_색인번호, 6,
_xlpm.개별보정치, W356,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E356" s="29" cm="1">
        <f t="array" ref="AE356">_xlfn.LET(_xlpm.기본_색인번호, 6,
_xlpm.추가_색인번호, 7,
_xlpm.개별보정치, X356,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  <c r="AF356" s="29" cm="1">
        <f t="array" ref="AF356">_xlfn.LET(_xlpm.기본_색인번호, 7,
_xlpm.추가_색인번호, 8,
_xlpm.개별보정치, Y356,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G356" s="30" cm="1">
        <f t="array" ref="AG356">_xlfn.LET(_xlpm.기본_색인번호, 8,
_xlpm.추가_색인번호, 9,
_xlpm.개별보정치, Z356,
_xlpm.패턴보정치, VLOOKUP($G356, Factor!$B$5:$I$51, _xlpm.기본_색인번호, 0),
_xlpm.소모탄환보정치, VLOOKUP($H356, Factor!$T$5:$AA$51, _xlpm.기본_색인번호, 0),
_xlpm.지형보정치, VLOOKUP($I356, Factor!$K$12:$R$13, _xlpm.기본_색인번호, 0),
_xlpm.공격속성보정치, VLOOKUP($J356, Factor!$K$5:$R$7, _xlpm.기본_색인번호, 0),
_xlpm.피해범위보정치, INDEX(Factor!$AN$5:$AV$51, _xlfn.XMATCH(IF(OR($G356="blast", $G356="curved",  $G356= "debuff"), $L356, 0), Factor!$AN$5:$AN$51, -1), _xlpm.추가_색인번호)-IF(AND(OR($G356="blast", $G356="curved", $G356= "debuff"), MOD($L356,1)&lt;&gt;0),INDEX(Factor!$AN$5:$AV$51, _xlfn.XMATCH(IF(OR($G356="blast", $G356="curved", $G356= "debuff"), $L356, 0), Factor!$AN$5:$AN$51, -1), 2)*MOD($L356,1)*10,0),
_xlpm.상태이상보정치, VLOOKUP(IF($G356 = "debuff", $M356, "null"), Factor!$AX$5:$BE$51, _xlpm.기본_색인번호, 0),
_xlpm.지속시간보정치, INDEX(Factor!$BG$5:$BO$51, _xlfn.XMATCH(IF(OR($G356 ="debuff", $G356 = "shot", $G356 = "pierce"), $O356, 0), Factor!$BG$5:$BG$51, -1), _xlpm.추가_색인번호)-IF(AND(OR($G356 ="debuff", $G356 = "shot", $G356 = "pierce"), MOD($O356, 1)&lt;&gt;0), 10*MOD($O356, 1)*INDEX(Factor!$BG$5:$BO$51, _xlfn.XMATCH(IF(OR($G356 ="debuff", $G356 = "shot", $G356 = "pierce"), $O356, 0), Factor!$BG$5:$BG$51, -1), 2), 0),
_xlpm.탄환개수보정치, VLOOKUP(IF(OR($G356 = "curved", $G356 = "shot"), $Q356, 1), Factor!$BQ$5:$BX$51, _xlpm.기본_색인번호, 0),
_xlpm.상태이상탄환생성위치보정치, IF($G356 = "debuff", VLOOKUP($R356, Factor!$K$18:$R$19, _xlpm.기본_색인번호, 0),1),
_xlpm.상태이상탄환형태보정치, IF($G356 = "debuff", VLOOKUP($S356, Factor!$K$24:$R$25, _xlpm.기본_색인번호, 0),1),
_xlpm.가격보정치, INDEX(Factor!$AE$5:$AL$51, _xlfn.XMATCH($F356,Factor!$AE$5:$AE$51, -1), _xlpm.기본_색인번호),
_xlpm.구경보정치, VLOOKUP($D356,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110</v>
      </c>
    </row>
    <row r="357" spans="1:33" ht="15.75" customHeight="1">
      <c r="A357" s="24" t="str">
        <f>"weapon_"&amp;G357&amp;"_"&amp;VLOOKUP(H357, Factor!$T$5:$AB$7, 9, 0)&amp;"_"&amp;IF(COUNTIFS($G$4:G356, G357, $H$4:H356, H357)+1&gt;=100, COUNTIFS($G$4:G356, G357, $H$4:H356, H357)+1,IF(COUNTIFS($G$4:G356, G357, $H$4:H356, H357)+1&gt;=10, "0"&amp;COUNTIFS($G$4:G356, G357, $H$4:H356, H357)+1, "00"&amp;COUNTIFS($G$4:G356, G357, $H$4:H356, H357)+1))</f>
        <v>weapon_debuff_Ms_001</v>
      </c>
      <c r="B357" s="36" t="str">
        <f t="shared" si="5"/>
        <v>녹슨 네이팜 미사일 발사대</v>
      </c>
      <c r="C357" s="36" t="s">
        <v>239</v>
      </c>
      <c r="D357" s="36" t="s">
        <v>275</v>
      </c>
      <c r="E357" s="36" t="s">
        <v>205</v>
      </c>
      <c r="F357" s="25">
        <f>VLOOKUP(C357, Factor!$AD$5:$AE$15, 2, 0)</f>
        <v>0</v>
      </c>
      <c r="G357" s="26" t="str">
        <f>VLOOKUP(E357, Factor!$CL$5:$CV$50, 2, 0)</f>
        <v>debuff</v>
      </c>
      <c r="H357" s="25" t="str">
        <f>VLOOKUP(E357, Factor!$CL$5:$CV$50, 3, 0)</f>
        <v>missile</v>
      </c>
      <c r="I357" s="25" t="str">
        <f>VLOOKUP(E357, Factor!$CL$5:$CV$50, 4, 0)</f>
        <v>L</v>
      </c>
      <c r="J357" s="25" t="str">
        <f>VLOOKUP(E357, Factor!$CL$5:$CV$50, 5, 0)</f>
        <v>armored</v>
      </c>
      <c r="K357" s="25">
        <v>1</v>
      </c>
      <c r="L357" s="25">
        <f>VLOOKUP(E357, Factor!$CL$5:$CV$50, 6, 0)*K357*VLOOKUP(D357, Factor!$BZ$5:$CJ$49, 9, 0)</f>
        <v>0</v>
      </c>
      <c r="M357" s="25" t="str">
        <f>VLOOKUP(E357, Factor!$CL$5:$CV$50, 7, 0)</f>
        <v>dots</v>
      </c>
      <c r="N357" s="25">
        <v>1</v>
      </c>
      <c r="O357" s="25">
        <f>VLOOKUP(E357, Factor!$CL$5:$CV$50, 8, 0)*N357*VLOOKUP(D357, Factor!$BZ$5:$CJ$49, 10, 0)</f>
        <v>5</v>
      </c>
      <c r="P357" s="25">
        <v>1</v>
      </c>
      <c r="Q357" s="25">
        <f>VLOOKUP(E357, Factor!$CL$5:$CV$50, 9, 0)*P357*VLOOKUP(D357, Factor!$BZ$5:$CJ$49, 11, 0)</f>
        <v>1</v>
      </c>
      <c r="R357" s="25" t="str">
        <f>VLOOKUP(E357, Factor!$CL$5:$CV$50, 10, 0)</f>
        <v>target</v>
      </c>
      <c r="S357" s="25" t="str">
        <f>VLOOKUP(E357, Factor!$CL$5:$CV$50, 11, 0)</f>
        <v>circle</v>
      </c>
      <c r="T357" s="25">
        <v>1</v>
      </c>
      <c r="U357" s="25">
        <v>1</v>
      </c>
      <c r="V357" s="25">
        <v>1</v>
      </c>
      <c r="W357" s="25">
        <v>1</v>
      </c>
      <c r="X357" s="25">
        <v>1</v>
      </c>
      <c r="Y357" s="25">
        <v>1</v>
      </c>
      <c r="Z357" s="25">
        <v>1</v>
      </c>
      <c r="AA357" s="25" cm="1">
        <f t="array" ref="AA357">_xlfn.LET(_xlpm.기본_색인번호, 2,
_xlpm.추가_색인번호, 3,
_xlpm.개별보정치, T357,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357" s="25" cm="1">
        <f t="array" ref="AB357">_xlfn.LET(_xlpm.기본_색인번호, 3,
_xlpm.추가_색인번호, 4,
_xlpm.개별보정치, U357,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357" s="25" cm="1">
        <f t="array" ref="AC357">_xlfn.LET(_xlpm.기본_색인번호, 4,
_xlpm.추가_색인번호, 5,
_xlpm.개별보정치, V357,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57" s="25" cm="1">
        <f t="array" ref="AD357">_xlfn.LET(_xlpm.기본_색인번호, 5,
_xlpm.추가_색인번호, 6,
_xlpm.개별보정치, W357,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357" s="25" cm="1">
        <f t="array" ref="AE357">_xlfn.LET(_xlpm.기본_색인번호, 6,
_xlpm.추가_색인번호, 7,
_xlpm.개별보정치, X357,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357" s="25" cm="1">
        <f t="array" ref="AF357">_xlfn.LET(_xlpm.기본_색인번호, 7,
_xlpm.추가_색인번호, 8,
_xlpm.개별보정치, Y357,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57" s="27" cm="1">
        <f t="array" ref="AG357">_xlfn.LET(_xlpm.기본_색인번호, 8,
_xlpm.추가_색인번호, 9,
_xlpm.개별보정치, Z357,
_xlpm.패턴보정치, VLOOKUP($G357, Factor!$B$5:$I$51, _xlpm.기본_색인번호, 0),
_xlpm.소모탄환보정치, VLOOKUP($H357, Factor!$T$5:$AA$51, _xlpm.기본_색인번호, 0),
_xlpm.지형보정치, VLOOKUP($I357, Factor!$K$12:$R$13, _xlpm.기본_색인번호, 0),
_xlpm.공격속성보정치, VLOOKUP($J357, Factor!$K$5:$R$7, _xlpm.기본_색인번호, 0),
_xlpm.피해범위보정치, INDEX(Factor!$AN$5:$AV$51, _xlfn.XMATCH(IF(OR($G357="blast", $G357="curved",  $G357= "debuff"), $L357, 0), Factor!$AN$5:$AN$51, -1), _xlpm.추가_색인번호)-IF(AND(OR($G357="blast", $G357="curved", $G357= "debuff"), MOD($L357,1)&lt;&gt;0),INDEX(Factor!$AN$5:$AV$51, _xlfn.XMATCH(IF(OR($G357="blast", $G357="curved", $G357= "debuff"), $L357, 0), Factor!$AN$5:$AN$51, -1), 2)*MOD($L357,1)*10,0),
_xlpm.상태이상보정치, VLOOKUP(IF($G357 = "debuff", $M357, "null"), Factor!$AX$5:$BE$51, _xlpm.기본_색인번호, 0),
_xlpm.지속시간보정치, INDEX(Factor!$BG$5:$BO$51, _xlfn.XMATCH(IF(OR($G357 ="debuff", $G357 = "shot", $G357 = "pierce"), $O357, 0), Factor!$BG$5:$BG$51, -1), _xlpm.추가_색인번호)-IF(AND(OR($G357 ="debuff", $G357 = "shot", $G357 = "pierce"), MOD($O357, 1)&lt;&gt;0), 10*MOD($O357, 1)*INDEX(Factor!$BG$5:$BO$51, _xlfn.XMATCH(IF(OR($G357 ="debuff", $G357 = "shot", $G357 = "pierce"), $O357, 0), Factor!$BG$5:$BG$51, -1), 2), 0),
_xlpm.탄환개수보정치, VLOOKUP(IF(OR($G357 = "curved", $G357 = "shot"), $Q357, 1), Factor!$BQ$5:$BX$51, _xlpm.기본_색인번호, 0),
_xlpm.상태이상탄환생성위치보정치, IF($G357 = "debuff", VLOOKUP($R357, Factor!$K$18:$R$19, _xlpm.기본_색인번호, 0),1),
_xlpm.상태이상탄환형태보정치, IF($G357 = "debuff", VLOOKUP($S357, Factor!$K$24:$R$25, _xlpm.기본_색인번호, 0),1),
_xlpm.가격보정치, INDEX(Factor!$AE$5:$AL$51, _xlfn.XMATCH($F357,Factor!$AE$5:$AE$51, -1), _xlpm.기본_색인번호),
_xlpm.구경보정치, VLOOKUP($D357,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358" spans="1:33" ht="15.75" customHeight="1">
      <c r="A358" s="28" t="str">
        <f>"weapon_"&amp;G358&amp;"_"&amp;VLOOKUP(H358, Factor!$T$5:$AB$7, 9, 0)&amp;"_"&amp;IF(COUNTIFS($G$4:G357, G358, $H$4:H357, H358)+1&gt;=100, COUNTIFS($G$4:G357, G358, $H$4:H357, H358)+1,IF(COUNTIFS($G$4:G357, G358, $H$4:H357, H358)+1&gt;=10, "0"&amp;COUNTIFS($G$4:G357, G358, $H$4:H357, H358)+1, "00"&amp;COUNTIFS($G$4:G357, G358, $H$4:H357, H358)+1))</f>
        <v>weapon_debuff_Ms_002</v>
      </c>
      <c r="B358" s="37" t="str">
        <f t="shared" si="5"/>
        <v>녹슨 240mm네이팜 미사일 발사대</v>
      </c>
      <c r="C358" s="37" t="s">
        <v>239</v>
      </c>
      <c r="D358" s="37" t="s">
        <v>267</v>
      </c>
      <c r="E358" s="37" t="s">
        <v>205</v>
      </c>
      <c r="F358" s="29">
        <f>VLOOKUP(C358, Factor!$AD$5:$AE$15, 2, 0)</f>
        <v>0</v>
      </c>
      <c r="G358" s="29" t="str">
        <f>VLOOKUP(E358, Factor!$CL$5:$CV$50, 2, 0)</f>
        <v>debuff</v>
      </c>
      <c r="H358" s="29" t="str">
        <f>VLOOKUP(E358, Factor!$CL$5:$CV$50, 3, 0)</f>
        <v>missile</v>
      </c>
      <c r="I358" s="29" t="str">
        <f>VLOOKUP(E358, Factor!$CL$5:$CV$50, 4, 0)</f>
        <v>L</v>
      </c>
      <c r="J358" s="29" t="str">
        <f>VLOOKUP(E358, Factor!$CL$5:$CV$50, 5, 0)</f>
        <v>armored</v>
      </c>
      <c r="K358" s="29">
        <v>1</v>
      </c>
      <c r="L358" s="29">
        <f>VLOOKUP(E358, Factor!$CL$5:$CV$50, 6, 0)*K358*VLOOKUP(D358, Factor!$BZ$5:$CJ$49, 9, 0)</f>
        <v>0</v>
      </c>
      <c r="M358" s="29" t="str">
        <f>VLOOKUP(E358, Factor!$CL$5:$CV$50, 7, 0)</f>
        <v>dots</v>
      </c>
      <c r="N358" s="29">
        <v>1</v>
      </c>
      <c r="O358" s="29">
        <f>VLOOKUP(E358, Factor!$CL$5:$CV$50, 8, 0)*N358*VLOOKUP(D358, Factor!$BZ$5:$CJ$49, 10, 0)</f>
        <v>40</v>
      </c>
      <c r="P358" s="29">
        <v>1</v>
      </c>
      <c r="Q358" s="29">
        <f>VLOOKUP(E358, Factor!$CL$5:$CV$50, 9, 0)*P358*VLOOKUP(D358, Factor!$BZ$5:$CJ$49, 11, 0)</f>
        <v>8</v>
      </c>
      <c r="R358" s="29" t="str">
        <f>VLOOKUP(E358, Factor!$CL$5:$CV$50, 10, 0)</f>
        <v>target</v>
      </c>
      <c r="S358" s="29" t="str">
        <f>VLOOKUP(E358, Factor!$CL$5:$CV$50, 11, 0)</f>
        <v>circle</v>
      </c>
      <c r="T358" s="29">
        <v>1</v>
      </c>
      <c r="U358" s="29">
        <v>1</v>
      </c>
      <c r="V358" s="29">
        <v>1</v>
      </c>
      <c r="W358" s="29">
        <v>1</v>
      </c>
      <c r="X358" s="29">
        <v>1</v>
      </c>
      <c r="Y358" s="29">
        <v>1</v>
      </c>
      <c r="Z358" s="29">
        <v>1</v>
      </c>
      <c r="AA358" s="29" cm="1">
        <f t="array" ref="AA358">_xlfn.LET(_xlpm.기본_색인번호, 2,
_xlpm.추가_색인번호, 3,
_xlpm.개별보정치, T358,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58" s="29" cm="1">
        <f t="array" ref="AB358">_xlfn.LET(_xlpm.기본_색인번호, 3,
_xlpm.추가_색인번호, 4,
_xlpm.개별보정치, U358,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58" s="29" cm="1">
        <f t="array" ref="AC358">_xlfn.LET(_xlpm.기본_색인번호, 4,
_xlpm.추가_색인번호, 5,
_xlpm.개별보정치, V358,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58" s="29" cm="1">
        <f t="array" ref="AD358">_xlfn.LET(_xlpm.기본_색인번호, 5,
_xlpm.추가_색인번호, 6,
_xlpm.개별보정치, W358,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358" s="29" cm="1">
        <f t="array" ref="AE358">_xlfn.LET(_xlpm.기본_색인번호, 6,
_xlpm.추가_색인번호, 7,
_xlpm.개별보정치, X358,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358" s="29" cm="1">
        <f t="array" ref="AF358">_xlfn.LET(_xlpm.기본_색인번호, 7,
_xlpm.추가_색인번호, 8,
_xlpm.개별보정치, Y358,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58" s="30" cm="1">
        <f t="array" ref="AG358">_xlfn.LET(_xlpm.기본_색인번호, 8,
_xlpm.추가_색인번호, 9,
_xlpm.개별보정치, Z358,
_xlpm.패턴보정치, VLOOKUP($G358, Factor!$B$5:$I$51, _xlpm.기본_색인번호, 0),
_xlpm.소모탄환보정치, VLOOKUP($H358, Factor!$T$5:$AA$51, _xlpm.기본_색인번호, 0),
_xlpm.지형보정치, VLOOKUP($I358, Factor!$K$12:$R$13, _xlpm.기본_색인번호, 0),
_xlpm.공격속성보정치, VLOOKUP($J358, Factor!$K$5:$R$7, _xlpm.기본_색인번호, 0),
_xlpm.피해범위보정치, INDEX(Factor!$AN$5:$AV$51, _xlfn.XMATCH(IF(OR($G358="blast", $G358="curved",  $G358= "debuff"), $L358, 0), Factor!$AN$5:$AN$51, -1), _xlpm.추가_색인번호)-IF(AND(OR($G358="blast", $G358="curved", $G358= "debuff"), MOD($L358,1)&lt;&gt;0),INDEX(Factor!$AN$5:$AV$51, _xlfn.XMATCH(IF(OR($G358="blast", $G358="curved", $G358= "debuff"), $L358, 0), Factor!$AN$5:$AN$51, -1), 2)*MOD($L358,1)*10,0),
_xlpm.상태이상보정치, VLOOKUP(IF($G358 = "debuff", $M358, "null"), Factor!$AX$5:$BE$51, _xlpm.기본_색인번호, 0),
_xlpm.지속시간보정치, INDEX(Factor!$BG$5:$BO$51, _xlfn.XMATCH(IF(OR($G358 ="debuff", $G358 = "shot", $G358 = "pierce"), $O358, 0), Factor!$BG$5:$BG$51, -1), _xlpm.추가_색인번호)-IF(AND(OR($G358 ="debuff", $G358 = "shot", $G358 = "pierce"), MOD($O358, 1)&lt;&gt;0), 10*MOD($O358, 1)*INDEX(Factor!$BG$5:$BO$51, _xlfn.XMATCH(IF(OR($G358 ="debuff", $G358 = "shot", $G358 = "pierce"), $O358, 0), Factor!$BG$5:$BG$51, -1), 2), 0),
_xlpm.탄환개수보정치, VLOOKUP(IF(OR($G358 = "curved", $G358 = "shot"), $Q358, 1), Factor!$BQ$5:$BX$51, _xlpm.기본_색인번호, 0),
_xlpm.상태이상탄환생성위치보정치, IF($G358 = "debuff", VLOOKUP($R358, Factor!$K$18:$R$19, _xlpm.기본_색인번호, 0),1),
_xlpm.상태이상탄환형태보정치, IF($G358 = "debuff", VLOOKUP($S358, Factor!$K$24:$R$25, _xlpm.기본_색인번호, 0),1),
_xlpm.가격보정치, INDEX(Factor!$AE$5:$AL$51, _xlfn.XMATCH($F358,Factor!$AE$5:$AE$51, -1), _xlpm.기본_색인번호),
_xlpm.구경보정치, VLOOKUP($D358,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359" spans="1:33" ht="15.75" customHeight="1">
      <c r="A359" s="24" t="str">
        <f>"weapon_"&amp;G359&amp;"_"&amp;VLOOKUP(H359, Factor!$T$5:$AB$7, 9, 0)&amp;"_"&amp;IF(COUNTIFS($G$4:G358, G359, $H$4:H358, H359)+1&gt;=100, COUNTIFS($G$4:G358, G359, $H$4:H358, H359)+1,IF(COUNTIFS($G$4:G358, G359, $H$4:H358, H359)+1&gt;=10, "0"&amp;COUNTIFS($G$4:G358, G359, $H$4:H358, H359)+1, "00"&amp;COUNTIFS($G$4:G358, G359, $H$4:H358, H359)+1))</f>
        <v>weapon_debuff_Ms_003</v>
      </c>
      <c r="B359" s="36" t="str">
        <f t="shared" si="5"/>
        <v>T1 네이팜 미사일 발사대</v>
      </c>
      <c r="C359" s="36" t="s">
        <v>237</v>
      </c>
      <c r="D359" s="36" t="s">
        <v>275</v>
      </c>
      <c r="E359" s="36" t="s">
        <v>205</v>
      </c>
      <c r="F359" s="25">
        <f>VLOOKUP(C359, Factor!$AD$5:$AE$15, 2, 0)</f>
        <v>1000</v>
      </c>
      <c r="G359" s="26" t="str">
        <f>VLOOKUP(E359, Factor!$CL$5:$CV$50, 2, 0)</f>
        <v>debuff</v>
      </c>
      <c r="H359" s="25" t="str">
        <f>VLOOKUP(E359, Factor!$CL$5:$CV$50, 3, 0)</f>
        <v>missile</v>
      </c>
      <c r="I359" s="25" t="str">
        <f>VLOOKUP(E359, Factor!$CL$5:$CV$50, 4, 0)</f>
        <v>L</v>
      </c>
      <c r="J359" s="25" t="str">
        <f>VLOOKUP(E359, Factor!$CL$5:$CV$50, 5, 0)</f>
        <v>armored</v>
      </c>
      <c r="K359" s="25">
        <v>1</v>
      </c>
      <c r="L359" s="25">
        <f>VLOOKUP(E359, Factor!$CL$5:$CV$50, 6, 0)*K359*VLOOKUP(D359, Factor!$BZ$5:$CJ$49, 9, 0)</f>
        <v>0</v>
      </c>
      <c r="M359" s="25" t="str">
        <f>VLOOKUP(E359, Factor!$CL$5:$CV$50, 7, 0)</f>
        <v>dots</v>
      </c>
      <c r="N359" s="25">
        <v>1</v>
      </c>
      <c r="O359" s="25">
        <f>VLOOKUP(E359, Factor!$CL$5:$CV$50, 8, 0)*N359*VLOOKUP(D359, Factor!$BZ$5:$CJ$49, 10, 0)</f>
        <v>5</v>
      </c>
      <c r="P359" s="25">
        <v>1</v>
      </c>
      <c r="Q359" s="25">
        <f>VLOOKUP(E359, Factor!$CL$5:$CV$50, 9, 0)*P359*VLOOKUP(D359, Factor!$BZ$5:$CJ$49, 11, 0)</f>
        <v>1</v>
      </c>
      <c r="R359" s="25" t="str">
        <f>VLOOKUP(E359, Factor!$CL$5:$CV$50, 10, 0)</f>
        <v>target</v>
      </c>
      <c r="S359" s="25" t="str">
        <f>VLOOKUP(E359, Factor!$CL$5:$CV$50, 11, 0)</f>
        <v>circle</v>
      </c>
      <c r="T359" s="25">
        <v>1</v>
      </c>
      <c r="U359" s="25">
        <v>1</v>
      </c>
      <c r="V359" s="25">
        <v>1</v>
      </c>
      <c r="W359" s="25">
        <v>1</v>
      </c>
      <c r="X359" s="25">
        <v>1</v>
      </c>
      <c r="Y359" s="25">
        <v>1</v>
      </c>
      <c r="Z359" s="25">
        <v>1</v>
      </c>
      <c r="AA359" s="25" cm="1">
        <f t="array" ref="AA359">_xlfn.LET(_xlpm.기본_색인번호, 2,
_xlpm.추가_색인번호, 3,
_xlpm.개별보정치, T359,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59" s="25" cm="1">
        <f t="array" ref="AB359">_xlfn.LET(_xlpm.기본_색인번호, 3,
_xlpm.추가_색인번호, 4,
_xlpm.개별보정치, U359,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359" s="25" cm="1">
        <f t="array" ref="AC359">_xlfn.LET(_xlpm.기본_색인번호, 4,
_xlpm.추가_색인번호, 5,
_xlpm.개별보정치, V359,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59" s="25" cm="1">
        <f t="array" ref="AD359">_xlfn.LET(_xlpm.기본_색인번호, 5,
_xlpm.추가_색인번호, 6,
_xlpm.개별보정치, W359,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359" s="25" cm="1">
        <f t="array" ref="AE359">_xlfn.LET(_xlpm.기본_색인번호, 6,
_xlpm.추가_색인번호, 7,
_xlpm.개별보정치, X359,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359" s="25" cm="1">
        <f t="array" ref="AF359">_xlfn.LET(_xlpm.기본_색인번호, 7,
_xlpm.추가_색인번호, 8,
_xlpm.개별보정치, Y359,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59" s="27" cm="1">
        <f t="array" ref="AG359">_xlfn.LET(_xlpm.기본_색인번호, 8,
_xlpm.추가_색인번호, 9,
_xlpm.개별보정치, Z359,
_xlpm.패턴보정치, VLOOKUP($G359, Factor!$B$5:$I$51, _xlpm.기본_색인번호, 0),
_xlpm.소모탄환보정치, VLOOKUP($H359, Factor!$T$5:$AA$51, _xlpm.기본_색인번호, 0),
_xlpm.지형보정치, VLOOKUP($I359, Factor!$K$12:$R$13, _xlpm.기본_색인번호, 0),
_xlpm.공격속성보정치, VLOOKUP($J359, Factor!$K$5:$R$7, _xlpm.기본_색인번호, 0),
_xlpm.피해범위보정치, INDEX(Factor!$AN$5:$AV$51, _xlfn.XMATCH(IF(OR($G359="blast", $G359="curved",  $G359= "debuff"), $L359, 0), Factor!$AN$5:$AN$51, -1), _xlpm.추가_색인번호)-IF(AND(OR($G359="blast", $G359="curved", $G359= "debuff"), MOD($L359,1)&lt;&gt;0),INDEX(Factor!$AN$5:$AV$51, _xlfn.XMATCH(IF(OR($G359="blast", $G359="curved", $G359= "debuff"), $L359, 0), Factor!$AN$5:$AN$51, -1), 2)*MOD($L359,1)*10,0),
_xlpm.상태이상보정치, VLOOKUP(IF($G359 = "debuff", $M359, "null"), Factor!$AX$5:$BE$51, _xlpm.기본_색인번호, 0),
_xlpm.지속시간보정치, INDEX(Factor!$BG$5:$BO$51, _xlfn.XMATCH(IF(OR($G359 ="debuff", $G359 = "shot", $G359 = "pierce"), $O359, 0), Factor!$BG$5:$BG$51, -1), _xlpm.추가_색인번호)-IF(AND(OR($G359 ="debuff", $G359 = "shot", $G359 = "pierce"), MOD($O359, 1)&lt;&gt;0), 10*MOD($O359, 1)*INDEX(Factor!$BG$5:$BO$51, _xlfn.XMATCH(IF(OR($G359 ="debuff", $G359 = "shot", $G359 = "pierce"), $O359, 0), Factor!$BG$5:$BG$51, -1), 2), 0),
_xlpm.탄환개수보정치, VLOOKUP(IF(OR($G359 = "curved", $G359 = "shot"), $Q359, 1), Factor!$BQ$5:$BX$51, _xlpm.기본_색인번호, 0),
_xlpm.상태이상탄환생성위치보정치, IF($G359 = "debuff", VLOOKUP($R359, Factor!$K$18:$R$19, _xlpm.기본_색인번호, 0),1),
_xlpm.상태이상탄환형태보정치, IF($G359 = "debuff", VLOOKUP($S359, Factor!$K$24:$R$25, _xlpm.기본_색인번호, 0),1),
_xlpm.가격보정치, INDEX(Factor!$AE$5:$AL$51, _xlfn.XMATCH($F359,Factor!$AE$5:$AE$51, -1), _xlpm.기본_색인번호),
_xlpm.구경보정치, VLOOKUP($D359,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360" spans="1:33" ht="15.75" customHeight="1">
      <c r="A360" s="28" t="str">
        <f>"weapon_"&amp;G360&amp;"_"&amp;VLOOKUP(H360, Factor!$T$5:$AB$7, 9, 0)&amp;"_"&amp;IF(COUNTIFS($G$4:G359, G360, $H$4:H359, H360)+1&gt;=100, COUNTIFS($G$4:G359, G360, $H$4:H359, H360)+1,IF(COUNTIFS($G$4:G359, G360, $H$4:H359, H360)+1&gt;=10, "0"&amp;COUNTIFS($G$4:G359, G360, $H$4:H359, H360)+1, "00"&amp;COUNTIFS($G$4:G359, G360, $H$4:H359, H360)+1))</f>
        <v>weapon_debuff_Ms_004</v>
      </c>
      <c r="B360" s="37" t="str">
        <f t="shared" si="5"/>
        <v>T1 240mm네이팜 미사일 발사대</v>
      </c>
      <c r="C360" s="37" t="s">
        <v>237</v>
      </c>
      <c r="D360" s="37" t="s">
        <v>267</v>
      </c>
      <c r="E360" s="37" t="s">
        <v>205</v>
      </c>
      <c r="F360" s="29">
        <f>VLOOKUP(C360, Factor!$AD$5:$AE$15, 2, 0)</f>
        <v>1000</v>
      </c>
      <c r="G360" s="29" t="str">
        <f>VLOOKUP(E360, Factor!$CL$5:$CV$50, 2, 0)</f>
        <v>debuff</v>
      </c>
      <c r="H360" s="29" t="str">
        <f>VLOOKUP(E360, Factor!$CL$5:$CV$50, 3, 0)</f>
        <v>missile</v>
      </c>
      <c r="I360" s="29" t="str">
        <f>VLOOKUP(E360, Factor!$CL$5:$CV$50, 4, 0)</f>
        <v>L</v>
      </c>
      <c r="J360" s="29" t="str">
        <f>VLOOKUP(E360, Factor!$CL$5:$CV$50, 5, 0)</f>
        <v>armored</v>
      </c>
      <c r="K360" s="29">
        <v>1</v>
      </c>
      <c r="L360" s="29">
        <f>VLOOKUP(E360, Factor!$CL$5:$CV$50, 6, 0)*K360*VLOOKUP(D360, Factor!$BZ$5:$CJ$49, 9, 0)</f>
        <v>0</v>
      </c>
      <c r="M360" s="29" t="str">
        <f>VLOOKUP(E360, Factor!$CL$5:$CV$50, 7, 0)</f>
        <v>dots</v>
      </c>
      <c r="N360" s="29">
        <v>1</v>
      </c>
      <c r="O360" s="29">
        <f>VLOOKUP(E360, Factor!$CL$5:$CV$50, 8, 0)*N360*VLOOKUP(D360, Factor!$BZ$5:$CJ$49, 10, 0)</f>
        <v>40</v>
      </c>
      <c r="P360" s="29">
        <v>1</v>
      </c>
      <c r="Q360" s="29">
        <f>VLOOKUP(E360, Factor!$CL$5:$CV$50, 9, 0)*P360*VLOOKUP(D360, Factor!$BZ$5:$CJ$49, 11, 0)</f>
        <v>8</v>
      </c>
      <c r="R360" s="29" t="str">
        <f>VLOOKUP(E360, Factor!$CL$5:$CV$50, 10, 0)</f>
        <v>target</v>
      </c>
      <c r="S360" s="29" t="str">
        <f>VLOOKUP(E360, Factor!$CL$5:$CV$50, 11, 0)</f>
        <v>circle</v>
      </c>
      <c r="T360" s="29">
        <v>1</v>
      </c>
      <c r="U360" s="29">
        <v>1</v>
      </c>
      <c r="V360" s="29">
        <v>1</v>
      </c>
      <c r="W360" s="29">
        <v>1</v>
      </c>
      <c r="X360" s="29">
        <v>1</v>
      </c>
      <c r="Y360" s="29">
        <v>1</v>
      </c>
      <c r="Z360" s="29">
        <v>1</v>
      </c>
      <c r="AA360" s="29" cm="1">
        <f t="array" ref="AA360">_xlfn.LET(_xlpm.기본_색인번호, 2,
_xlpm.추가_색인번호, 3,
_xlpm.개별보정치, T360,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360" s="29" cm="1">
        <f t="array" ref="AB360">_xlfn.LET(_xlpm.기본_색인번호, 3,
_xlpm.추가_색인번호, 4,
_xlpm.개별보정치, U360,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60" s="29" cm="1">
        <f t="array" ref="AC360">_xlfn.LET(_xlpm.기본_색인번호, 4,
_xlpm.추가_색인번호, 5,
_xlpm.개별보정치, V360,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60" s="29" cm="1">
        <f t="array" ref="AD360">_xlfn.LET(_xlpm.기본_색인번호, 5,
_xlpm.추가_색인번호, 6,
_xlpm.개별보정치, W360,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E360" s="29" cm="1">
        <f t="array" ref="AE360">_xlfn.LET(_xlpm.기본_색인번호, 6,
_xlpm.추가_색인번호, 7,
_xlpm.개별보정치, X360,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F360" s="29" cm="1">
        <f t="array" ref="AF360">_xlfn.LET(_xlpm.기본_색인번호, 7,
_xlpm.추가_색인번호, 8,
_xlpm.개별보정치, Y360,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60" s="30" cm="1">
        <f t="array" ref="AG360">_xlfn.LET(_xlpm.기본_색인번호, 8,
_xlpm.추가_색인번호, 9,
_xlpm.개별보정치, Z360,
_xlpm.패턴보정치, VLOOKUP($G360, Factor!$B$5:$I$51, _xlpm.기본_색인번호, 0),
_xlpm.소모탄환보정치, VLOOKUP($H360, Factor!$T$5:$AA$51, _xlpm.기본_색인번호, 0),
_xlpm.지형보정치, VLOOKUP($I360, Factor!$K$12:$R$13, _xlpm.기본_색인번호, 0),
_xlpm.공격속성보정치, VLOOKUP($J360, Factor!$K$5:$R$7, _xlpm.기본_색인번호, 0),
_xlpm.피해범위보정치, INDEX(Factor!$AN$5:$AV$51, _xlfn.XMATCH(IF(OR($G360="blast", $G360="curved",  $G360= "debuff"), $L360, 0), Factor!$AN$5:$AN$51, -1), _xlpm.추가_색인번호)-IF(AND(OR($G360="blast", $G360="curved", $G360= "debuff"), MOD($L360,1)&lt;&gt;0),INDEX(Factor!$AN$5:$AV$51, _xlfn.XMATCH(IF(OR($G360="blast", $G360="curved", $G360= "debuff"), $L360, 0), Factor!$AN$5:$AN$51, -1), 2)*MOD($L360,1)*10,0),
_xlpm.상태이상보정치, VLOOKUP(IF($G360 = "debuff", $M360, "null"), Factor!$AX$5:$BE$51, _xlpm.기본_색인번호, 0),
_xlpm.지속시간보정치, INDEX(Factor!$BG$5:$BO$51, _xlfn.XMATCH(IF(OR($G360 ="debuff", $G360 = "shot", $G360 = "pierce"), $O360, 0), Factor!$BG$5:$BG$51, -1), _xlpm.추가_색인번호)-IF(AND(OR($G360 ="debuff", $G360 = "shot", $G360 = "pierce"), MOD($O360, 1)&lt;&gt;0), 10*MOD($O360, 1)*INDEX(Factor!$BG$5:$BO$51, _xlfn.XMATCH(IF(OR($G360 ="debuff", $G360 = "shot", $G360 = "pierce"), $O360, 0), Factor!$BG$5:$BG$51, -1), 2), 0),
_xlpm.탄환개수보정치, VLOOKUP(IF(OR($G360 = "curved", $G360 = "shot"), $Q360, 1), Factor!$BQ$5:$BX$51, _xlpm.기본_색인번호, 0),
_xlpm.상태이상탄환생성위치보정치, IF($G360 = "debuff", VLOOKUP($R360, Factor!$K$18:$R$19, _xlpm.기본_색인번호, 0),1),
_xlpm.상태이상탄환형태보정치, IF($G360 = "debuff", VLOOKUP($S360, Factor!$K$24:$R$25, _xlpm.기본_색인번호, 0),1),
_xlpm.가격보정치, INDEX(Factor!$AE$5:$AL$51, _xlfn.XMATCH($F360,Factor!$AE$5:$AE$51, -1), _xlpm.기본_색인번호),
_xlpm.구경보정치, VLOOKUP($D360,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</row>
    <row r="361" spans="1:33" ht="15.75" customHeight="1">
      <c r="A361" s="24" t="str">
        <f>"weapon_"&amp;G361&amp;"_"&amp;VLOOKUP(H361, Factor!$T$5:$AB$7, 9, 0)&amp;"_"&amp;IF(COUNTIFS($G$4:G360, G361, $H$4:H360, H361)+1&gt;=100, COUNTIFS($G$4:G360, G361, $H$4:H360, H361)+1,IF(COUNTIFS($G$4:G360, G361, $H$4:H360, H361)+1&gt;=10, "0"&amp;COUNTIFS($G$4:G360, G361, $H$4:H360, H361)+1, "00"&amp;COUNTIFS($G$4:G360, G361, $H$4:H360, H361)+1))</f>
        <v>weapon_debuff_Ms_005</v>
      </c>
      <c r="B361" s="36" t="str">
        <f t="shared" si="5"/>
        <v>T2 네이팜 미사일 발사대</v>
      </c>
      <c r="C361" s="36" t="s">
        <v>155</v>
      </c>
      <c r="D361" s="36" t="s">
        <v>275</v>
      </c>
      <c r="E361" s="36" t="s">
        <v>205</v>
      </c>
      <c r="F361" s="25">
        <f>VLOOKUP(C361, Factor!$AD$5:$AE$15, 2, 0)</f>
        <v>2000</v>
      </c>
      <c r="G361" s="26" t="str">
        <f>VLOOKUP(E361, Factor!$CL$5:$CV$50, 2, 0)</f>
        <v>debuff</v>
      </c>
      <c r="H361" s="25" t="str">
        <f>VLOOKUP(E361, Factor!$CL$5:$CV$50, 3, 0)</f>
        <v>missile</v>
      </c>
      <c r="I361" s="25" t="str">
        <f>VLOOKUP(E361, Factor!$CL$5:$CV$50, 4, 0)</f>
        <v>L</v>
      </c>
      <c r="J361" s="25" t="str">
        <f>VLOOKUP(E361, Factor!$CL$5:$CV$50, 5, 0)</f>
        <v>armored</v>
      </c>
      <c r="K361" s="25">
        <v>1</v>
      </c>
      <c r="L361" s="25">
        <f>VLOOKUP(E361, Factor!$CL$5:$CV$50, 6, 0)*K361*VLOOKUP(D361, Factor!$BZ$5:$CJ$49, 9, 0)</f>
        <v>0</v>
      </c>
      <c r="M361" s="25" t="str">
        <f>VLOOKUP(E361, Factor!$CL$5:$CV$50, 7, 0)</f>
        <v>dots</v>
      </c>
      <c r="N361" s="25">
        <v>1</v>
      </c>
      <c r="O361" s="25">
        <f>VLOOKUP(E361, Factor!$CL$5:$CV$50, 8, 0)*N361*VLOOKUP(D361, Factor!$BZ$5:$CJ$49, 10, 0)</f>
        <v>5</v>
      </c>
      <c r="P361" s="25">
        <v>1</v>
      </c>
      <c r="Q361" s="25">
        <f>VLOOKUP(E361, Factor!$CL$5:$CV$50, 9, 0)*P361*VLOOKUP(D361, Factor!$BZ$5:$CJ$49, 11, 0)</f>
        <v>1</v>
      </c>
      <c r="R361" s="25" t="str">
        <f>VLOOKUP(E361, Factor!$CL$5:$CV$50, 10, 0)</f>
        <v>target</v>
      </c>
      <c r="S361" s="25" t="str">
        <f>VLOOKUP(E361, Factor!$CL$5:$CV$50, 11, 0)</f>
        <v>circle</v>
      </c>
      <c r="T361" s="25">
        <v>1</v>
      </c>
      <c r="U361" s="25">
        <v>1</v>
      </c>
      <c r="V361" s="25">
        <v>1</v>
      </c>
      <c r="W361" s="25">
        <v>1</v>
      </c>
      <c r="X361" s="25">
        <v>1</v>
      </c>
      <c r="Y361" s="25">
        <v>1</v>
      </c>
      <c r="Z361" s="25">
        <v>1</v>
      </c>
      <c r="AA361" s="25" cm="1">
        <f t="array" ref="AA361">_xlfn.LET(_xlpm.기본_색인번호, 2,
_xlpm.추가_색인번호, 3,
_xlpm.개별보정치, T361,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361" s="25" cm="1">
        <f t="array" ref="AB361">_xlfn.LET(_xlpm.기본_색인번호, 3,
_xlpm.추가_색인번호, 4,
_xlpm.개별보정치, U361,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C361" s="25" cm="1">
        <f t="array" ref="AC361">_xlfn.LET(_xlpm.기본_색인번호, 4,
_xlpm.추가_색인번호, 5,
_xlpm.개별보정치, V361,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61" s="25" cm="1">
        <f t="array" ref="AD361">_xlfn.LET(_xlpm.기본_색인번호, 5,
_xlpm.추가_색인번호, 6,
_xlpm.개별보정치, W361,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361" s="25" cm="1">
        <f t="array" ref="AE361">_xlfn.LET(_xlpm.기본_색인번호, 6,
_xlpm.추가_색인번호, 7,
_xlpm.개별보정치, X361,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361" s="25" cm="1">
        <f t="array" ref="AF361">_xlfn.LET(_xlpm.기본_색인번호, 7,
_xlpm.추가_색인번호, 8,
_xlpm.개별보정치, Y361,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61" s="27" cm="1">
        <f t="array" ref="AG361">_xlfn.LET(_xlpm.기본_색인번호, 8,
_xlpm.추가_색인번호, 9,
_xlpm.개별보정치, Z361,
_xlpm.패턴보정치, VLOOKUP($G361, Factor!$B$5:$I$51, _xlpm.기본_색인번호, 0),
_xlpm.소모탄환보정치, VLOOKUP($H361, Factor!$T$5:$AA$51, _xlpm.기본_색인번호, 0),
_xlpm.지형보정치, VLOOKUP($I361, Factor!$K$12:$R$13, _xlpm.기본_색인번호, 0),
_xlpm.공격속성보정치, VLOOKUP($J361, Factor!$K$5:$R$7, _xlpm.기본_색인번호, 0),
_xlpm.피해범위보정치, INDEX(Factor!$AN$5:$AV$51, _xlfn.XMATCH(IF(OR($G361="blast", $G361="curved",  $G361= "debuff"), $L361, 0), Factor!$AN$5:$AN$51, -1), _xlpm.추가_색인번호)-IF(AND(OR($G361="blast", $G361="curved", $G361= "debuff"), MOD($L361,1)&lt;&gt;0),INDEX(Factor!$AN$5:$AV$51, _xlfn.XMATCH(IF(OR($G361="blast", $G361="curved", $G361= "debuff"), $L361, 0), Factor!$AN$5:$AN$51, -1), 2)*MOD($L361,1)*10,0),
_xlpm.상태이상보정치, VLOOKUP(IF($G361 = "debuff", $M361, "null"), Factor!$AX$5:$BE$51, _xlpm.기본_색인번호, 0),
_xlpm.지속시간보정치, INDEX(Factor!$BG$5:$BO$51, _xlfn.XMATCH(IF(OR($G361 ="debuff", $G361 = "shot", $G361 = "pierce"), $O361, 0), Factor!$BG$5:$BG$51, -1), _xlpm.추가_색인번호)-IF(AND(OR($G361 ="debuff", $G361 = "shot", $G361 = "pierce"), MOD($O361, 1)&lt;&gt;0), 10*MOD($O361, 1)*INDEX(Factor!$BG$5:$BO$51, _xlfn.XMATCH(IF(OR($G361 ="debuff", $G361 = "shot", $G361 = "pierce"), $O361, 0), Factor!$BG$5:$BG$51, -1), 2), 0),
_xlpm.탄환개수보정치, VLOOKUP(IF(OR($G361 = "curved", $G361 = "shot"), $Q361, 1), Factor!$BQ$5:$BX$51, _xlpm.기본_색인번호, 0),
_xlpm.상태이상탄환생성위치보정치, IF($G361 = "debuff", VLOOKUP($R361, Factor!$K$18:$R$19, _xlpm.기본_색인번호, 0),1),
_xlpm.상태이상탄환형태보정치, IF($G361 = "debuff", VLOOKUP($S361, Factor!$K$24:$R$25, _xlpm.기본_색인번호, 0),1),
_xlpm.가격보정치, INDEX(Factor!$AE$5:$AL$51, _xlfn.XMATCH($F361,Factor!$AE$5:$AE$51, -1), _xlpm.기본_색인번호),
_xlpm.구경보정치, VLOOKUP($D361,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362" spans="1:33" ht="15.75" customHeight="1">
      <c r="A362" s="28" t="str">
        <f>"weapon_"&amp;G362&amp;"_"&amp;VLOOKUP(H362, Factor!$T$5:$AB$7, 9, 0)&amp;"_"&amp;IF(COUNTIFS($G$4:G361, G362, $H$4:H361, H362)+1&gt;=100, COUNTIFS($G$4:G361, G362, $H$4:H361, H362)+1,IF(COUNTIFS($G$4:G361, G362, $H$4:H361, H362)+1&gt;=10, "0"&amp;COUNTIFS($G$4:G361, G362, $H$4:H361, H362)+1, "00"&amp;COUNTIFS($G$4:G361, G362, $H$4:H361, H362)+1))</f>
        <v>weapon_debuff_Ms_006</v>
      </c>
      <c r="B362" s="37" t="str">
        <f t="shared" si="5"/>
        <v>T2 240mm네이팜 미사일 발사대</v>
      </c>
      <c r="C362" s="37" t="s">
        <v>155</v>
      </c>
      <c r="D362" s="37" t="s">
        <v>267</v>
      </c>
      <c r="E362" s="37" t="s">
        <v>205</v>
      </c>
      <c r="F362" s="29">
        <f>VLOOKUP(C362, Factor!$AD$5:$AE$15, 2, 0)</f>
        <v>2000</v>
      </c>
      <c r="G362" s="29" t="str">
        <f>VLOOKUP(E362, Factor!$CL$5:$CV$50, 2, 0)</f>
        <v>debuff</v>
      </c>
      <c r="H362" s="29" t="str">
        <f>VLOOKUP(E362, Factor!$CL$5:$CV$50, 3, 0)</f>
        <v>missile</v>
      </c>
      <c r="I362" s="29" t="str">
        <f>VLOOKUP(E362, Factor!$CL$5:$CV$50, 4, 0)</f>
        <v>L</v>
      </c>
      <c r="J362" s="29" t="str">
        <f>VLOOKUP(E362, Factor!$CL$5:$CV$50, 5, 0)</f>
        <v>armored</v>
      </c>
      <c r="K362" s="29">
        <v>1</v>
      </c>
      <c r="L362" s="29">
        <f>VLOOKUP(E362, Factor!$CL$5:$CV$50, 6, 0)*K362*VLOOKUP(D362, Factor!$BZ$5:$CJ$49, 9, 0)</f>
        <v>0</v>
      </c>
      <c r="M362" s="29" t="str">
        <f>VLOOKUP(E362, Factor!$CL$5:$CV$50, 7, 0)</f>
        <v>dots</v>
      </c>
      <c r="N362" s="29">
        <v>1</v>
      </c>
      <c r="O362" s="29">
        <f>VLOOKUP(E362, Factor!$CL$5:$CV$50, 8, 0)*N362*VLOOKUP(D362, Factor!$BZ$5:$CJ$49, 10, 0)</f>
        <v>40</v>
      </c>
      <c r="P362" s="29">
        <v>1</v>
      </c>
      <c r="Q362" s="29">
        <f>VLOOKUP(E362, Factor!$CL$5:$CV$50, 9, 0)*P362*VLOOKUP(D362, Factor!$BZ$5:$CJ$49, 11, 0)</f>
        <v>8</v>
      </c>
      <c r="R362" s="29" t="str">
        <f>VLOOKUP(E362, Factor!$CL$5:$CV$50, 10, 0)</f>
        <v>target</v>
      </c>
      <c r="S362" s="29" t="str">
        <f>VLOOKUP(E362, Factor!$CL$5:$CV$50, 11, 0)</f>
        <v>circle</v>
      </c>
      <c r="T362" s="29">
        <v>1</v>
      </c>
      <c r="U362" s="29">
        <v>1</v>
      </c>
      <c r="V362" s="29">
        <v>1</v>
      </c>
      <c r="W362" s="29">
        <v>1</v>
      </c>
      <c r="X362" s="29">
        <v>1</v>
      </c>
      <c r="Y362" s="29">
        <v>1</v>
      </c>
      <c r="Z362" s="29">
        <v>1</v>
      </c>
      <c r="AA362" s="29" cm="1">
        <f t="array" ref="AA362">_xlfn.LET(_xlpm.기본_색인번호, 2,
_xlpm.추가_색인번호, 3,
_xlpm.개별보정치, T362,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B362" s="29" cm="1">
        <f t="array" ref="AB362">_xlfn.LET(_xlpm.기본_색인번호, 3,
_xlpm.추가_색인번호, 4,
_xlpm.개별보정치, U362,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62" s="29" cm="1">
        <f t="array" ref="AC362">_xlfn.LET(_xlpm.기본_색인번호, 4,
_xlpm.추가_색인번호, 5,
_xlpm.개별보정치, V362,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62" s="29" cm="1">
        <f t="array" ref="AD362">_xlfn.LET(_xlpm.기본_색인번호, 5,
_xlpm.추가_색인번호, 6,
_xlpm.개별보정치, W362,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E362" s="29" cm="1">
        <f t="array" ref="AE362">_xlfn.LET(_xlpm.기본_색인번호, 6,
_xlpm.추가_색인번호, 7,
_xlpm.개별보정치, X362,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F362" s="29" cm="1">
        <f t="array" ref="AF362">_xlfn.LET(_xlpm.기본_색인번호, 7,
_xlpm.추가_색인번호, 8,
_xlpm.개별보정치, Y362,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62" s="30" cm="1">
        <f t="array" ref="AG362">_xlfn.LET(_xlpm.기본_색인번호, 8,
_xlpm.추가_색인번호, 9,
_xlpm.개별보정치, Z362,
_xlpm.패턴보정치, VLOOKUP($G362, Factor!$B$5:$I$51, _xlpm.기본_색인번호, 0),
_xlpm.소모탄환보정치, VLOOKUP($H362, Factor!$T$5:$AA$51, _xlpm.기본_색인번호, 0),
_xlpm.지형보정치, VLOOKUP($I362, Factor!$K$12:$R$13, _xlpm.기본_색인번호, 0),
_xlpm.공격속성보정치, VLOOKUP($J362, Factor!$K$5:$R$7, _xlpm.기본_색인번호, 0),
_xlpm.피해범위보정치, INDEX(Factor!$AN$5:$AV$51, _xlfn.XMATCH(IF(OR($G362="blast", $G362="curved",  $G362= "debuff"), $L362, 0), Factor!$AN$5:$AN$51, -1), _xlpm.추가_색인번호)-IF(AND(OR($G362="blast", $G362="curved", $G362= "debuff"), MOD($L362,1)&lt;&gt;0),INDEX(Factor!$AN$5:$AV$51, _xlfn.XMATCH(IF(OR($G362="blast", $G362="curved", $G362= "debuff"), $L362, 0), Factor!$AN$5:$AN$51, -1), 2)*MOD($L362,1)*10,0),
_xlpm.상태이상보정치, VLOOKUP(IF($G362 = "debuff", $M362, "null"), Factor!$AX$5:$BE$51, _xlpm.기본_색인번호, 0),
_xlpm.지속시간보정치, INDEX(Factor!$BG$5:$BO$51, _xlfn.XMATCH(IF(OR($G362 ="debuff", $G362 = "shot", $G362 = "pierce"), $O362, 0), Factor!$BG$5:$BG$51, -1), _xlpm.추가_색인번호)-IF(AND(OR($G362 ="debuff", $G362 = "shot", $G362 = "pierce"), MOD($O362, 1)&lt;&gt;0), 10*MOD($O362, 1)*INDEX(Factor!$BG$5:$BO$51, _xlfn.XMATCH(IF(OR($G362 ="debuff", $G362 = "shot", $G362 = "pierce"), $O362, 0), Factor!$BG$5:$BG$51, -1), 2), 0),
_xlpm.탄환개수보정치, VLOOKUP(IF(OR($G362 = "curved", $G362 = "shot"), $Q362, 1), Factor!$BQ$5:$BX$51, _xlpm.기본_색인번호, 0),
_xlpm.상태이상탄환생성위치보정치, IF($G362 = "debuff", VLOOKUP($R362, Factor!$K$18:$R$19, _xlpm.기본_색인번호, 0),1),
_xlpm.상태이상탄환형태보정치, IF($G362 = "debuff", VLOOKUP($S362, Factor!$K$24:$R$25, _xlpm.기본_색인번호, 0),1),
_xlpm.가격보정치, INDEX(Factor!$AE$5:$AL$51, _xlfn.XMATCH($F362,Factor!$AE$5:$AE$51, -1), _xlpm.기본_색인번호),
_xlpm.구경보정치, VLOOKUP($D362,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</row>
    <row r="363" spans="1:33" ht="15.75" customHeight="1">
      <c r="A363" s="24" t="str">
        <f>"weapon_"&amp;G363&amp;"_"&amp;VLOOKUP(H363, Factor!$T$5:$AB$7, 9, 0)&amp;"_"&amp;IF(COUNTIFS($G$4:G362, G363, $H$4:H362, H363)+1&gt;=100, COUNTIFS($G$4:G362, G363, $H$4:H362, H363)+1,IF(COUNTIFS($G$4:G362, G363, $H$4:H362, H363)+1&gt;=10, "0"&amp;COUNTIFS($G$4:G362, G363, $H$4:H362, H363)+1, "00"&amp;COUNTIFS($G$4:G362, G363, $H$4:H362, H363)+1))</f>
        <v>weapon_debuff_Ms_007</v>
      </c>
      <c r="B363" s="36" t="str">
        <f t="shared" si="5"/>
        <v>T3 네이팜 미사일 발사대</v>
      </c>
      <c r="C363" s="36" t="s">
        <v>156</v>
      </c>
      <c r="D363" s="36" t="s">
        <v>275</v>
      </c>
      <c r="E363" s="36" t="s">
        <v>205</v>
      </c>
      <c r="F363" s="25">
        <f>VLOOKUP(C363, Factor!$AD$5:$AE$15, 2, 0)</f>
        <v>3000</v>
      </c>
      <c r="G363" s="26" t="str">
        <f>VLOOKUP(E363, Factor!$CL$5:$CV$50, 2, 0)</f>
        <v>debuff</v>
      </c>
      <c r="H363" s="25" t="str">
        <f>VLOOKUP(E363, Factor!$CL$5:$CV$50, 3, 0)</f>
        <v>missile</v>
      </c>
      <c r="I363" s="25" t="str">
        <f>VLOOKUP(E363, Factor!$CL$5:$CV$50, 4, 0)</f>
        <v>L</v>
      </c>
      <c r="J363" s="25" t="str">
        <f>VLOOKUP(E363, Factor!$CL$5:$CV$50, 5, 0)</f>
        <v>armored</v>
      </c>
      <c r="K363" s="25">
        <v>1</v>
      </c>
      <c r="L363" s="25">
        <f>VLOOKUP(E363, Factor!$CL$5:$CV$50, 6, 0)*K363*VLOOKUP(D363, Factor!$BZ$5:$CJ$49, 9, 0)</f>
        <v>0</v>
      </c>
      <c r="M363" s="25" t="str">
        <f>VLOOKUP(E363, Factor!$CL$5:$CV$50, 7, 0)</f>
        <v>dots</v>
      </c>
      <c r="N363" s="25">
        <v>1</v>
      </c>
      <c r="O363" s="25">
        <f>VLOOKUP(E363, Factor!$CL$5:$CV$50, 8, 0)*N363*VLOOKUP(D363, Factor!$BZ$5:$CJ$49, 10, 0)</f>
        <v>5</v>
      </c>
      <c r="P363" s="25">
        <v>1</v>
      </c>
      <c r="Q363" s="25">
        <f>VLOOKUP(E363, Factor!$CL$5:$CV$50, 9, 0)*P363*VLOOKUP(D363, Factor!$BZ$5:$CJ$49, 11, 0)</f>
        <v>1</v>
      </c>
      <c r="R363" s="25" t="str">
        <f>VLOOKUP(E363, Factor!$CL$5:$CV$50, 10, 0)</f>
        <v>target</v>
      </c>
      <c r="S363" s="25" t="str">
        <f>VLOOKUP(E363, Factor!$CL$5:$CV$50, 11, 0)</f>
        <v>circle</v>
      </c>
      <c r="T363" s="25">
        <v>1</v>
      </c>
      <c r="U363" s="25">
        <v>1</v>
      </c>
      <c r="V363" s="25">
        <v>1</v>
      </c>
      <c r="W363" s="25">
        <v>1</v>
      </c>
      <c r="X363" s="25">
        <v>1</v>
      </c>
      <c r="Y363" s="25">
        <v>1</v>
      </c>
      <c r="Z363" s="25">
        <v>1</v>
      </c>
      <c r="AA363" s="25" cm="1">
        <f t="array" ref="AA363">_xlfn.LET(_xlpm.기본_색인번호, 2,
_xlpm.추가_색인번호, 3,
_xlpm.개별보정치, T363,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363" s="25" cm="1">
        <f t="array" ref="AB363">_xlfn.LET(_xlpm.기본_색인번호, 3,
_xlpm.추가_색인번호, 4,
_xlpm.개별보정치, U363,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C363" s="25" cm="1">
        <f t="array" ref="AC363">_xlfn.LET(_xlpm.기본_색인번호, 4,
_xlpm.추가_색인번호, 5,
_xlpm.개별보정치, V363,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63" s="25" cm="1">
        <f t="array" ref="AD363">_xlfn.LET(_xlpm.기본_색인번호, 5,
_xlpm.추가_색인번호, 6,
_xlpm.개별보정치, W363,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E363" s="25" cm="1">
        <f t="array" ref="AE363">_xlfn.LET(_xlpm.기본_색인번호, 6,
_xlpm.추가_색인번호, 7,
_xlpm.개별보정치, X363,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F363" s="25" cm="1">
        <f t="array" ref="AF363">_xlfn.LET(_xlpm.기본_색인번호, 7,
_xlpm.추가_색인번호, 8,
_xlpm.개별보정치, Y363,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63" s="27" cm="1">
        <f t="array" ref="AG363">_xlfn.LET(_xlpm.기본_색인번호, 8,
_xlpm.추가_색인번호, 9,
_xlpm.개별보정치, Z363,
_xlpm.패턴보정치, VLOOKUP($G363, Factor!$B$5:$I$51, _xlpm.기본_색인번호, 0),
_xlpm.소모탄환보정치, VLOOKUP($H363, Factor!$T$5:$AA$51, _xlpm.기본_색인번호, 0),
_xlpm.지형보정치, VLOOKUP($I363, Factor!$K$12:$R$13, _xlpm.기본_색인번호, 0),
_xlpm.공격속성보정치, VLOOKUP($J363, Factor!$K$5:$R$7, _xlpm.기본_색인번호, 0),
_xlpm.피해범위보정치, INDEX(Factor!$AN$5:$AV$51, _xlfn.XMATCH(IF(OR($G363="blast", $G363="curved",  $G363= "debuff"), $L363, 0), Factor!$AN$5:$AN$51, -1), _xlpm.추가_색인번호)-IF(AND(OR($G363="blast", $G363="curved", $G363= "debuff"), MOD($L363,1)&lt;&gt;0),INDEX(Factor!$AN$5:$AV$51, _xlfn.XMATCH(IF(OR($G363="blast", $G363="curved", $G363= "debuff"), $L363, 0), Factor!$AN$5:$AN$51, -1), 2)*MOD($L363,1)*10,0),
_xlpm.상태이상보정치, VLOOKUP(IF($G363 = "debuff", $M363, "null"), Factor!$AX$5:$BE$51, _xlpm.기본_색인번호, 0),
_xlpm.지속시간보정치, INDEX(Factor!$BG$5:$BO$51, _xlfn.XMATCH(IF(OR($G363 ="debuff", $G363 = "shot", $G363 = "pierce"), $O363, 0), Factor!$BG$5:$BG$51, -1), _xlpm.추가_색인번호)-IF(AND(OR($G363 ="debuff", $G363 = "shot", $G363 = "pierce"), MOD($O363, 1)&lt;&gt;0), 10*MOD($O363, 1)*INDEX(Factor!$BG$5:$BO$51, _xlfn.XMATCH(IF(OR($G363 ="debuff", $G363 = "shot", $G363 = "pierce"), $O363, 0), Factor!$BG$5:$BG$51, -1), 2), 0),
_xlpm.탄환개수보정치, VLOOKUP(IF(OR($G363 = "curved", $G363 = "shot"), $Q363, 1), Factor!$BQ$5:$BX$51, _xlpm.기본_색인번호, 0),
_xlpm.상태이상탄환생성위치보정치, IF($G363 = "debuff", VLOOKUP($R363, Factor!$K$18:$R$19, _xlpm.기본_색인번호, 0),1),
_xlpm.상태이상탄환형태보정치, IF($G363 = "debuff", VLOOKUP($S363, Factor!$K$24:$R$25, _xlpm.기본_색인번호, 0),1),
_xlpm.가격보정치, INDEX(Factor!$AE$5:$AL$51, _xlfn.XMATCH($F363,Factor!$AE$5:$AE$51, -1), _xlpm.기본_색인번호),
_xlpm.구경보정치, VLOOKUP($D363,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</row>
    <row r="364" spans="1:33" ht="15.75" customHeight="1">
      <c r="A364" s="28" t="str">
        <f>"weapon_"&amp;G364&amp;"_"&amp;VLOOKUP(H364, Factor!$T$5:$AB$7, 9, 0)&amp;"_"&amp;IF(COUNTIFS($G$4:G363, G364, $H$4:H363, H364)+1&gt;=100, COUNTIFS($G$4:G363, G364, $H$4:H363, H364)+1,IF(COUNTIFS($G$4:G363, G364, $H$4:H363, H364)+1&gt;=10, "0"&amp;COUNTIFS($G$4:G363, G364, $H$4:H363, H364)+1, "00"&amp;COUNTIFS($G$4:G363, G364, $H$4:H363, H364)+1))</f>
        <v>weapon_debuff_Ms_008</v>
      </c>
      <c r="B364" s="37" t="str">
        <f t="shared" si="5"/>
        <v>T3 240mm네이팜 미사일 발사대</v>
      </c>
      <c r="C364" s="37" t="s">
        <v>156</v>
      </c>
      <c r="D364" s="37" t="s">
        <v>267</v>
      </c>
      <c r="E364" s="37" t="s">
        <v>205</v>
      </c>
      <c r="F364" s="29">
        <f>VLOOKUP(C364, Factor!$AD$5:$AE$15, 2, 0)</f>
        <v>3000</v>
      </c>
      <c r="G364" s="29" t="str">
        <f>VLOOKUP(E364, Factor!$CL$5:$CV$50, 2, 0)</f>
        <v>debuff</v>
      </c>
      <c r="H364" s="29" t="str">
        <f>VLOOKUP(E364, Factor!$CL$5:$CV$50, 3, 0)</f>
        <v>missile</v>
      </c>
      <c r="I364" s="29" t="str">
        <f>VLOOKUP(E364, Factor!$CL$5:$CV$50, 4, 0)</f>
        <v>L</v>
      </c>
      <c r="J364" s="29" t="str">
        <f>VLOOKUP(E364, Factor!$CL$5:$CV$50, 5, 0)</f>
        <v>armored</v>
      </c>
      <c r="K364" s="29">
        <v>1</v>
      </c>
      <c r="L364" s="29">
        <f>VLOOKUP(E364, Factor!$CL$5:$CV$50, 6, 0)*K364*VLOOKUP(D364, Factor!$BZ$5:$CJ$49, 9, 0)</f>
        <v>0</v>
      </c>
      <c r="M364" s="29" t="str">
        <f>VLOOKUP(E364, Factor!$CL$5:$CV$50, 7, 0)</f>
        <v>dots</v>
      </c>
      <c r="N364" s="29">
        <v>1</v>
      </c>
      <c r="O364" s="29">
        <f>VLOOKUP(E364, Factor!$CL$5:$CV$50, 8, 0)*N364*VLOOKUP(D364, Factor!$BZ$5:$CJ$49, 10, 0)</f>
        <v>40</v>
      </c>
      <c r="P364" s="29">
        <v>1</v>
      </c>
      <c r="Q364" s="29">
        <f>VLOOKUP(E364, Factor!$CL$5:$CV$50, 9, 0)*P364*VLOOKUP(D364, Factor!$BZ$5:$CJ$49, 11, 0)</f>
        <v>8</v>
      </c>
      <c r="R364" s="29" t="str">
        <f>VLOOKUP(E364, Factor!$CL$5:$CV$50, 10, 0)</f>
        <v>target</v>
      </c>
      <c r="S364" s="29" t="str">
        <f>VLOOKUP(E364, Factor!$CL$5:$CV$50, 11, 0)</f>
        <v>circle</v>
      </c>
      <c r="T364" s="29">
        <v>1</v>
      </c>
      <c r="U364" s="29">
        <v>1</v>
      </c>
      <c r="V364" s="29">
        <v>1</v>
      </c>
      <c r="W364" s="29">
        <v>1</v>
      </c>
      <c r="X364" s="29">
        <v>1</v>
      </c>
      <c r="Y364" s="29">
        <v>1</v>
      </c>
      <c r="Z364" s="29">
        <v>1</v>
      </c>
      <c r="AA364" s="29" cm="1">
        <f t="array" ref="AA364">_xlfn.LET(_xlpm.기본_색인번호, 2,
_xlpm.추가_색인번호, 3,
_xlpm.개별보정치, T364,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64" s="29" cm="1">
        <f t="array" ref="AB364">_xlfn.LET(_xlpm.기본_색인번호, 3,
_xlpm.추가_색인번호, 4,
_xlpm.개별보정치, U364,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64" s="29" cm="1">
        <f t="array" ref="AC364">_xlfn.LET(_xlpm.기본_색인번호, 4,
_xlpm.추가_색인번호, 5,
_xlpm.개별보정치, V364,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64" s="29" cm="1">
        <f t="array" ref="AD364">_xlfn.LET(_xlpm.기본_색인번호, 5,
_xlpm.추가_색인번호, 6,
_xlpm.개별보정치, W364,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E364" s="29" cm="1">
        <f t="array" ref="AE364">_xlfn.LET(_xlpm.기본_색인번호, 6,
_xlpm.추가_색인번호, 7,
_xlpm.개별보정치, X364,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F364" s="29" cm="1">
        <f t="array" ref="AF364">_xlfn.LET(_xlpm.기본_색인번호, 7,
_xlpm.추가_색인번호, 8,
_xlpm.개별보정치, Y364,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64" s="30" cm="1">
        <f t="array" ref="AG364">_xlfn.LET(_xlpm.기본_색인번호, 8,
_xlpm.추가_색인번호, 9,
_xlpm.개별보정치, Z364,
_xlpm.패턴보정치, VLOOKUP($G364, Factor!$B$5:$I$51, _xlpm.기본_색인번호, 0),
_xlpm.소모탄환보정치, VLOOKUP($H364, Factor!$T$5:$AA$51, _xlpm.기본_색인번호, 0),
_xlpm.지형보정치, VLOOKUP($I364, Factor!$K$12:$R$13, _xlpm.기본_색인번호, 0),
_xlpm.공격속성보정치, VLOOKUP($J364, Factor!$K$5:$R$7, _xlpm.기본_색인번호, 0),
_xlpm.피해범위보정치, INDEX(Factor!$AN$5:$AV$51, _xlfn.XMATCH(IF(OR($G364="blast", $G364="curved",  $G364= "debuff"), $L364, 0), Factor!$AN$5:$AN$51, -1), _xlpm.추가_색인번호)-IF(AND(OR($G364="blast", $G364="curved", $G364= "debuff"), MOD($L364,1)&lt;&gt;0),INDEX(Factor!$AN$5:$AV$51, _xlfn.XMATCH(IF(OR($G364="blast", $G364="curved", $G364= "debuff"), $L364, 0), Factor!$AN$5:$AN$51, -1), 2)*MOD($L364,1)*10,0),
_xlpm.상태이상보정치, VLOOKUP(IF($G364 = "debuff", $M364, "null"), Factor!$AX$5:$BE$51, _xlpm.기본_색인번호, 0),
_xlpm.지속시간보정치, INDEX(Factor!$BG$5:$BO$51, _xlfn.XMATCH(IF(OR($G364 ="debuff", $G364 = "shot", $G364 = "pierce"), $O364, 0), Factor!$BG$5:$BG$51, -1), _xlpm.추가_색인번호)-IF(AND(OR($G364 ="debuff", $G364 = "shot", $G364 = "pierce"), MOD($O364, 1)&lt;&gt;0), 10*MOD($O364, 1)*INDEX(Factor!$BG$5:$BO$51, _xlfn.XMATCH(IF(OR($G364 ="debuff", $G364 = "shot", $G364 = "pierce"), $O364, 0), Factor!$BG$5:$BG$51, -1), 2), 0),
_xlpm.탄환개수보정치, VLOOKUP(IF(OR($G364 = "curved", $G364 = "shot"), $Q364, 1), Factor!$BQ$5:$BX$51, _xlpm.기본_색인번호, 0),
_xlpm.상태이상탄환생성위치보정치, IF($G364 = "debuff", VLOOKUP($R364, Factor!$K$18:$R$19, _xlpm.기본_색인번호, 0),1),
_xlpm.상태이상탄환형태보정치, IF($G364 = "debuff", VLOOKUP($S364, Factor!$K$24:$R$25, _xlpm.기본_색인번호, 0),1),
_xlpm.가격보정치, INDEX(Factor!$AE$5:$AL$51, _xlfn.XMATCH($F364,Factor!$AE$5:$AE$51, -1), _xlpm.기본_색인번호),
_xlpm.구경보정치, VLOOKUP($D364,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</row>
    <row r="365" spans="1:33" ht="15.75" customHeight="1">
      <c r="A365" s="24" t="str">
        <f>"weapon_"&amp;G365&amp;"_"&amp;VLOOKUP(H365, Factor!$T$5:$AB$7, 9, 0)&amp;"_"&amp;IF(COUNTIFS($G$4:G364, G365, $H$4:H364, H365)+1&gt;=100, COUNTIFS($G$4:G364, G365, $H$4:H364, H365)+1,IF(COUNTIFS($G$4:G364, G365, $H$4:H364, H365)+1&gt;=10, "0"&amp;COUNTIFS($G$4:G364, G365, $H$4:H364, H365)+1, "00"&amp;COUNTIFS($G$4:G364, G365, $H$4:H364, H365)+1))</f>
        <v>weapon_debuff_Ms_009</v>
      </c>
      <c r="B365" s="36" t="str">
        <f t="shared" si="5"/>
        <v>T4 네이팜 미사일 발사대</v>
      </c>
      <c r="C365" s="36" t="s">
        <v>157</v>
      </c>
      <c r="D365" s="36" t="s">
        <v>275</v>
      </c>
      <c r="E365" s="36" t="s">
        <v>205</v>
      </c>
      <c r="F365" s="25">
        <f>VLOOKUP(C365, Factor!$AD$5:$AE$15, 2, 0)</f>
        <v>4000</v>
      </c>
      <c r="G365" s="26" t="str">
        <f>VLOOKUP(E365, Factor!$CL$5:$CV$50, 2, 0)</f>
        <v>debuff</v>
      </c>
      <c r="H365" s="25" t="str">
        <f>VLOOKUP(E365, Factor!$CL$5:$CV$50, 3, 0)</f>
        <v>missile</v>
      </c>
      <c r="I365" s="25" t="str">
        <f>VLOOKUP(E365, Factor!$CL$5:$CV$50, 4, 0)</f>
        <v>L</v>
      </c>
      <c r="J365" s="25" t="str">
        <f>VLOOKUP(E365, Factor!$CL$5:$CV$50, 5, 0)</f>
        <v>armored</v>
      </c>
      <c r="K365" s="25">
        <v>1</v>
      </c>
      <c r="L365" s="25">
        <f>VLOOKUP(E365, Factor!$CL$5:$CV$50, 6, 0)*K365*VLOOKUP(D365, Factor!$BZ$5:$CJ$49, 9, 0)</f>
        <v>0</v>
      </c>
      <c r="M365" s="25" t="str">
        <f>VLOOKUP(E365, Factor!$CL$5:$CV$50, 7, 0)</f>
        <v>dots</v>
      </c>
      <c r="N365" s="25">
        <v>1</v>
      </c>
      <c r="O365" s="25">
        <f>VLOOKUP(E365, Factor!$CL$5:$CV$50, 8, 0)*N365*VLOOKUP(D365, Factor!$BZ$5:$CJ$49, 10, 0)</f>
        <v>5</v>
      </c>
      <c r="P365" s="25">
        <v>1</v>
      </c>
      <c r="Q365" s="25">
        <f>VLOOKUP(E365, Factor!$CL$5:$CV$50, 9, 0)*P365*VLOOKUP(D365, Factor!$BZ$5:$CJ$49, 11, 0)</f>
        <v>1</v>
      </c>
      <c r="R365" s="25" t="str">
        <f>VLOOKUP(E365, Factor!$CL$5:$CV$50, 10, 0)</f>
        <v>target</v>
      </c>
      <c r="S365" s="25" t="str">
        <f>VLOOKUP(E365, Factor!$CL$5:$CV$50, 11, 0)</f>
        <v>circle</v>
      </c>
      <c r="T365" s="25">
        <v>1</v>
      </c>
      <c r="U365" s="25">
        <v>1</v>
      </c>
      <c r="V365" s="25">
        <v>1</v>
      </c>
      <c r="W365" s="25">
        <v>1</v>
      </c>
      <c r="X365" s="25">
        <v>1</v>
      </c>
      <c r="Y365" s="25">
        <v>1</v>
      </c>
      <c r="Z365" s="25">
        <v>1</v>
      </c>
      <c r="AA365" s="25" cm="1">
        <f t="array" ref="AA365">_xlfn.LET(_xlpm.기본_색인번호, 2,
_xlpm.추가_색인번호, 3,
_xlpm.개별보정치, T365,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9000</v>
      </c>
      <c r="AB365" s="25" cm="1">
        <f t="array" ref="AB365">_xlfn.LET(_xlpm.기본_색인번호, 3,
_xlpm.추가_색인번호, 4,
_xlpm.개별보정치, U365,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C365" s="25" cm="1">
        <f t="array" ref="AC365">_xlfn.LET(_xlpm.기본_색인번호, 4,
_xlpm.추가_색인번호, 5,
_xlpm.개별보정치, V365,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65" s="25" cm="1">
        <f t="array" ref="AD365">_xlfn.LET(_xlpm.기본_색인번호, 5,
_xlpm.추가_색인번호, 6,
_xlpm.개별보정치, W365,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E365" s="25" cm="1">
        <f t="array" ref="AE365">_xlfn.LET(_xlpm.기본_색인번호, 6,
_xlpm.추가_색인번호, 7,
_xlpm.개별보정치, X365,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F365" s="25" cm="1">
        <f t="array" ref="AF365">_xlfn.LET(_xlpm.기본_색인번호, 7,
_xlpm.추가_색인번호, 8,
_xlpm.개별보정치, Y365,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65" s="27" cm="1">
        <f t="array" ref="AG365">_xlfn.LET(_xlpm.기본_색인번호, 8,
_xlpm.추가_색인번호, 9,
_xlpm.개별보정치, Z365,
_xlpm.패턴보정치, VLOOKUP($G365, Factor!$B$5:$I$51, _xlpm.기본_색인번호, 0),
_xlpm.소모탄환보정치, VLOOKUP($H365, Factor!$T$5:$AA$51, _xlpm.기본_색인번호, 0),
_xlpm.지형보정치, VLOOKUP($I365, Factor!$K$12:$R$13, _xlpm.기본_색인번호, 0),
_xlpm.공격속성보정치, VLOOKUP($J365, Factor!$K$5:$R$7, _xlpm.기본_색인번호, 0),
_xlpm.피해범위보정치, INDEX(Factor!$AN$5:$AV$51, _xlfn.XMATCH(IF(OR($G365="blast", $G365="curved",  $G365= "debuff"), $L365, 0), Factor!$AN$5:$AN$51, -1), _xlpm.추가_색인번호)-IF(AND(OR($G365="blast", $G365="curved", $G365= "debuff"), MOD($L365,1)&lt;&gt;0),INDEX(Factor!$AN$5:$AV$51, _xlfn.XMATCH(IF(OR($G365="blast", $G365="curved", $G365= "debuff"), $L365, 0), Factor!$AN$5:$AN$51, -1), 2)*MOD($L365,1)*10,0),
_xlpm.상태이상보정치, VLOOKUP(IF($G365 = "debuff", $M365, "null"), Factor!$AX$5:$BE$51, _xlpm.기본_색인번호, 0),
_xlpm.지속시간보정치, INDEX(Factor!$BG$5:$BO$51, _xlfn.XMATCH(IF(OR($G365 ="debuff", $G365 = "shot", $G365 = "pierce"), $O365, 0), Factor!$BG$5:$BG$51, -1), _xlpm.추가_색인번호)-IF(AND(OR($G365 ="debuff", $G365 = "shot", $G365 = "pierce"), MOD($O365, 1)&lt;&gt;0), 10*MOD($O365, 1)*INDEX(Factor!$BG$5:$BO$51, _xlfn.XMATCH(IF(OR($G365 ="debuff", $G365 = "shot", $G365 = "pierce"), $O365, 0), Factor!$BG$5:$BG$51, -1), 2), 0),
_xlpm.탄환개수보정치, VLOOKUP(IF(OR($G365 = "curved", $G365 = "shot"), $Q365, 1), Factor!$BQ$5:$BX$51, _xlpm.기본_색인번호, 0),
_xlpm.상태이상탄환생성위치보정치, IF($G365 = "debuff", VLOOKUP($R365, Factor!$K$18:$R$19, _xlpm.기본_색인번호, 0),1),
_xlpm.상태이상탄환형태보정치, IF($G365 = "debuff", VLOOKUP($S365, Factor!$K$24:$R$25, _xlpm.기본_색인번호, 0),1),
_xlpm.가격보정치, INDEX(Factor!$AE$5:$AL$51, _xlfn.XMATCH($F365,Factor!$AE$5:$AE$51, -1), _xlpm.기본_색인번호),
_xlpm.구경보정치, VLOOKUP($D365,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</row>
    <row r="366" spans="1:33" ht="15.75" customHeight="1">
      <c r="A366" s="28" t="str">
        <f>"weapon_"&amp;G366&amp;"_"&amp;VLOOKUP(H366, Factor!$T$5:$AB$7, 9, 0)&amp;"_"&amp;IF(COUNTIFS($G$4:G365, G366, $H$4:H365, H366)+1&gt;=100, COUNTIFS($G$4:G365, G366, $H$4:H365, H366)+1,IF(COUNTIFS($G$4:G365, G366, $H$4:H365, H366)+1&gt;=10, "0"&amp;COUNTIFS($G$4:G365, G366, $H$4:H365, H366)+1, "00"&amp;COUNTIFS($G$4:G365, G366, $H$4:H365, H366)+1))</f>
        <v>weapon_debuff_Ms_010</v>
      </c>
      <c r="B366" s="37" t="str">
        <f t="shared" si="5"/>
        <v>T4 240mm네이팜 미사일 발사대</v>
      </c>
      <c r="C366" s="37" t="s">
        <v>157</v>
      </c>
      <c r="D366" s="37" t="s">
        <v>267</v>
      </c>
      <c r="E366" s="37" t="s">
        <v>205</v>
      </c>
      <c r="F366" s="29">
        <f>VLOOKUP(C366, Factor!$AD$5:$AE$15, 2, 0)</f>
        <v>4000</v>
      </c>
      <c r="G366" s="29" t="str">
        <f>VLOOKUP(E366, Factor!$CL$5:$CV$50, 2, 0)</f>
        <v>debuff</v>
      </c>
      <c r="H366" s="29" t="str">
        <f>VLOOKUP(E366, Factor!$CL$5:$CV$50, 3, 0)</f>
        <v>missile</v>
      </c>
      <c r="I366" s="29" t="str">
        <f>VLOOKUP(E366, Factor!$CL$5:$CV$50, 4, 0)</f>
        <v>L</v>
      </c>
      <c r="J366" s="29" t="str">
        <f>VLOOKUP(E366, Factor!$CL$5:$CV$50, 5, 0)</f>
        <v>armored</v>
      </c>
      <c r="K366" s="29">
        <v>1</v>
      </c>
      <c r="L366" s="29">
        <f>VLOOKUP(E366, Factor!$CL$5:$CV$50, 6, 0)*K366*VLOOKUP(D366, Factor!$BZ$5:$CJ$49, 9, 0)</f>
        <v>0</v>
      </c>
      <c r="M366" s="29" t="str">
        <f>VLOOKUP(E366, Factor!$CL$5:$CV$50, 7, 0)</f>
        <v>dots</v>
      </c>
      <c r="N366" s="29">
        <v>1</v>
      </c>
      <c r="O366" s="29">
        <f>VLOOKUP(E366, Factor!$CL$5:$CV$50, 8, 0)*N366*VLOOKUP(D366, Factor!$BZ$5:$CJ$49, 10, 0)</f>
        <v>40</v>
      </c>
      <c r="P366" s="29">
        <v>1</v>
      </c>
      <c r="Q366" s="29">
        <f>VLOOKUP(E366, Factor!$CL$5:$CV$50, 9, 0)*P366*VLOOKUP(D366, Factor!$BZ$5:$CJ$49, 11, 0)</f>
        <v>8</v>
      </c>
      <c r="R366" s="29" t="str">
        <f>VLOOKUP(E366, Factor!$CL$5:$CV$50, 10, 0)</f>
        <v>target</v>
      </c>
      <c r="S366" s="29" t="str">
        <f>VLOOKUP(E366, Factor!$CL$5:$CV$50, 11, 0)</f>
        <v>circle</v>
      </c>
      <c r="T366" s="29">
        <v>1</v>
      </c>
      <c r="U366" s="29">
        <v>1</v>
      </c>
      <c r="V366" s="29">
        <v>1</v>
      </c>
      <c r="W366" s="29">
        <v>1</v>
      </c>
      <c r="X366" s="29">
        <v>1</v>
      </c>
      <c r="Y366" s="29">
        <v>1</v>
      </c>
      <c r="Z366" s="29">
        <v>1</v>
      </c>
      <c r="AA366" s="29" cm="1">
        <f t="array" ref="AA366">_xlfn.LET(_xlpm.기본_색인번호, 2,
_xlpm.추가_색인번호, 3,
_xlpm.개별보정치, T366,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18000</v>
      </c>
      <c r="AB366" s="29" cm="1">
        <f t="array" ref="AB366">_xlfn.LET(_xlpm.기본_색인번호, 3,
_xlpm.추가_색인번호, 4,
_xlpm.개별보정치, U366,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66" s="29" cm="1">
        <f t="array" ref="AC366">_xlfn.LET(_xlpm.기본_색인번호, 4,
_xlpm.추가_색인번호, 5,
_xlpm.개별보정치, V366,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66" s="29" cm="1">
        <f t="array" ref="AD366">_xlfn.LET(_xlpm.기본_색인번호, 5,
_xlpm.추가_색인번호, 6,
_xlpm.개별보정치, W366,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E366" s="29" cm="1">
        <f t="array" ref="AE366">_xlfn.LET(_xlpm.기본_색인번호, 6,
_xlpm.추가_색인번호, 7,
_xlpm.개별보정치, X366,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F366" s="29" cm="1">
        <f t="array" ref="AF366">_xlfn.LET(_xlpm.기본_색인번호, 7,
_xlpm.추가_색인번호, 8,
_xlpm.개별보정치, Y366,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66" s="30" cm="1">
        <f t="array" ref="AG366">_xlfn.LET(_xlpm.기본_색인번호, 8,
_xlpm.추가_색인번호, 9,
_xlpm.개별보정치, Z366,
_xlpm.패턴보정치, VLOOKUP($G366, Factor!$B$5:$I$51, _xlpm.기본_색인번호, 0),
_xlpm.소모탄환보정치, VLOOKUP($H366, Factor!$T$5:$AA$51, _xlpm.기본_색인번호, 0),
_xlpm.지형보정치, VLOOKUP($I366, Factor!$K$12:$R$13, _xlpm.기본_색인번호, 0),
_xlpm.공격속성보정치, VLOOKUP($J366, Factor!$K$5:$R$7, _xlpm.기본_색인번호, 0),
_xlpm.피해범위보정치, INDEX(Factor!$AN$5:$AV$51, _xlfn.XMATCH(IF(OR($G366="blast", $G366="curved",  $G366= "debuff"), $L366, 0), Factor!$AN$5:$AN$51, -1), _xlpm.추가_색인번호)-IF(AND(OR($G366="blast", $G366="curved", $G366= "debuff"), MOD($L366,1)&lt;&gt;0),INDEX(Factor!$AN$5:$AV$51, _xlfn.XMATCH(IF(OR($G366="blast", $G366="curved", $G366= "debuff"), $L366, 0), Factor!$AN$5:$AN$51, -1), 2)*MOD($L366,1)*10,0),
_xlpm.상태이상보정치, VLOOKUP(IF($G366 = "debuff", $M366, "null"), Factor!$AX$5:$BE$51, _xlpm.기본_색인번호, 0),
_xlpm.지속시간보정치, INDEX(Factor!$BG$5:$BO$51, _xlfn.XMATCH(IF(OR($G366 ="debuff", $G366 = "shot", $G366 = "pierce"), $O366, 0), Factor!$BG$5:$BG$51, -1), _xlpm.추가_색인번호)-IF(AND(OR($G366 ="debuff", $G366 = "shot", $G366 = "pierce"), MOD($O366, 1)&lt;&gt;0), 10*MOD($O366, 1)*INDEX(Factor!$BG$5:$BO$51, _xlfn.XMATCH(IF(OR($G366 ="debuff", $G366 = "shot", $G366 = "pierce"), $O366, 0), Factor!$BG$5:$BG$51, -1), 2), 0),
_xlpm.탄환개수보정치, VLOOKUP(IF(OR($G366 = "curved", $G366 = "shot"), $Q366, 1), Factor!$BQ$5:$BX$51, _xlpm.기본_색인번호, 0),
_xlpm.상태이상탄환생성위치보정치, IF($G366 = "debuff", VLOOKUP($R366, Factor!$K$18:$R$19, _xlpm.기본_색인번호, 0),1),
_xlpm.상태이상탄환형태보정치, IF($G366 = "debuff", VLOOKUP($S366, Factor!$K$24:$R$25, _xlpm.기본_색인번호, 0),1),
_xlpm.가격보정치, INDEX(Factor!$AE$5:$AL$51, _xlfn.XMATCH($F366,Factor!$AE$5:$AE$51, -1), _xlpm.기본_색인번호),
_xlpm.구경보정치, VLOOKUP($D366,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</row>
    <row r="367" spans="1:33" ht="15.75" customHeight="1">
      <c r="A367" s="24" t="str">
        <f>"weapon_"&amp;G367&amp;"_"&amp;VLOOKUP(H367, Factor!$T$5:$AB$7, 9, 0)&amp;"_"&amp;IF(COUNTIFS($G$4:G366, G367, $H$4:H366, H367)+1&gt;=100, COUNTIFS($G$4:G366, G367, $H$4:H366, H367)+1,IF(COUNTIFS($G$4:G366, G367, $H$4:H366, H367)+1&gt;=10, "0"&amp;COUNTIFS($G$4:G366, G367, $H$4:H366, H367)+1, "00"&amp;COUNTIFS($G$4:G366, G367, $H$4:H366, H367)+1))</f>
        <v>weapon_debuff_Ms_011</v>
      </c>
      <c r="B367" s="36" t="str">
        <f t="shared" si="5"/>
        <v>T5 네이팜 미사일 발사대</v>
      </c>
      <c r="C367" s="36" t="s">
        <v>158</v>
      </c>
      <c r="D367" s="36" t="s">
        <v>275</v>
      </c>
      <c r="E367" s="36" t="s">
        <v>205</v>
      </c>
      <c r="F367" s="25">
        <f>VLOOKUP(C367, Factor!$AD$5:$AE$15, 2, 0)</f>
        <v>5000</v>
      </c>
      <c r="G367" s="26" t="str">
        <f>VLOOKUP(E367, Factor!$CL$5:$CV$50, 2, 0)</f>
        <v>debuff</v>
      </c>
      <c r="H367" s="25" t="str">
        <f>VLOOKUP(E367, Factor!$CL$5:$CV$50, 3, 0)</f>
        <v>missile</v>
      </c>
      <c r="I367" s="25" t="str">
        <f>VLOOKUP(E367, Factor!$CL$5:$CV$50, 4, 0)</f>
        <v>L</v>
      </c>
      <c r="J367" s="25" t="str">
        <f>VLOOKUP(E367, Factor!$CL$5:$CV$50, 5, 0)</f>
        <v>armored</v>
      </c>
      <c r="K367" s="25">
        <v>1</v>
      </c>
      <c r="L367" s="25">
        <f>VLOOKUP(E367, Factor!$CL$5:$CV$50, 6, 0)*K367*VLOOKUP(D367, Factor!$BZ$5:$CJ$49, 9, 0)</f>
        <v>0</v>
      </c>
      <c r="M367" s="25" t="str">
        <f>VLOOKUP(E367, Factor!$CL$5:$CV$50, 7, 0)</f>
        <v>dots</v>
      </c>
      <c r="N367" s="25">
        <v>1</v>
      </c>
      <c r="O367" s="25">
        <f>VLOOKUP(E367, Factor!$CL$5:$CV$50, 8, 0)*N367*VLOOKUP(D367, Factor!$BZ$5:$CJ$49, 10, 0)</f>
        <v>5</v>
      </c>
      <c r="P367" s="25">
        <v>1</v>
      </c>
      <c r="Q367" s="25">
        <f>VLOOKUP(E367, Factor!$CL$5:$CV$50, 9, 0)*P367*VLOOKUP(D367, Factor!$BZ$5:$CJ$49, 11, 0)</f>
        <v>1</v>
      </c>
      <c r="R367" s="25" t="str">
        <f>VLOOKUP(E367, Factor!$CL$5:$CV$50, 10, 0)</f>
        <v>target</v>
      </c>
      <c r="S367" s="25" t="str">
        <f>VLOOKUP(E367, Factor!$CL$5:$CV$50, 11, 0)</f>
        <v>circle</v>
      </c>
      <c r="T367" s="25">
        <v>1</v>
      </c>
      <c r="U367" s="25">
        <v>1</v>
      </c>
      <c r="V367" s="25">
        <v>1</v>
      </c>
      <c r="W367" s="25">
        <v>1</v>
      </c>
      <c r="X367" s="25">
        <v>1</v>
      </c>
      <c r="Y367" s="25">
        <v>1</v>
      </c>
      <c r="Z367" s="25">
        <v>1</v>
      </c>
      <c r="AA367" s="25" cm="1">
        <f t="array" ref="AA367">_xlfn.LET(_xlpm.기본_색인번호, 2,
_xlpm.추가_색인번호, 3,
_xlpm.개별보정치, T367,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B367" s="25" cm="1">
        <f t="array" ref="AB367">_xlfn.LET(_xlpm.기본_색인번호, 3,
_xlpm.추가_색인번호, 4,
_xlpm.개별보정치, U367,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450</v>
      </c>
      <c r="AC367" s="25" cm="1">
        <f t="array" ref="AC367">_xlfn.LET(_xlpm.기본_색인번호, 4,
_xlpm.추가_색인번호, 5,
_xlpm.개별보정치, V367,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67" s="25" cm="1">
        <f t="array" ref="AD367">_xlfn.LET(_xlpm.기본_색인번호, 5,
_xlpm.추가_색인번호, 6,
_xlpm.개별보정치, W367,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E367" s="25" cm="1">
        <f t="array" ref="AE367">_xlfn.LET(_xlpm.기본_색인번호, 6,
_xlpm.추가_색인번호, 7,
_xlpm.개별보정치, X367,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F367" s="25" cm="1">
        <f t="array" ref="AF367">_xlfn.LET(_xlpm.기본_색인번호, 7,
_xlpm.추가_색인번호, 8,
_xlpm.개별보정치, Y367,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67" s="27" cm="1">
        <f t="array" ref="AG367">_xlfn.LET(_xlpm.기본_색인번호, 8,
_xlpm.추가_색인번호, 9,
_xlpm.개별보정치, Z367,
_xlpm.패턴보정치, VLOOKUP($G367, Factor!$B$5:$I$51, _xlpm.기본_색인번호, 0),
_xlpm.소모탄환보정치, VLOOKUP($H367, Factor!$T$5:$AA$51, _xlpm.기본_색인번호, 0),
_xlpm.지형보정치, VLOOKUP($I367, Factor!$K$12:$R$13, _xlpm.기본_색인번호, 0),
_xlpm.공격속성보정치, VLOOKUP($J367, Factor!$K$5:$R$7, _xlpm.기본_색인번호, 0),
_xlpm.피해범위보정치, INDEX(Factor!$AN$5:$AV$51, _xlfn.XMATCH(IF(OR($G367="blast", $G367="curved",  $G367= "debuff"), $L367, 0), Factor!$AN$5:$AN$51, -1), _xlpm.추가_색인번호)-IF(AND(OR($G367="blast", $G367="curved", $G367= "debuff"), MOD($L367,1)&lt;&gt;0),INDEX(Factor!$AN$5:$AV$51, _xlfn.XMATCH(IF(OR($G367="blast", $G367="curved", $G367= "debuff"), $L367, 0), Factor!$AN$5:$AN$51, -1), 2)*MOD($L367,1)*10,0),
_xlpm.상태이상보정치, VLOOKUP(IF($G367 = "debuff", $M367, "null"), Factor!$AX$5:$BE$51, _xlpm.기본_색인번호, 0),
_xlpm.지속시간보정치, INDEX(Factor!$BG$5:$BO$51, _xlfn.XMATCH(IF(OR($G367 ="debuff", $G367 = "shot", $G367 = "pierce"), $O367, 0), Factor!$BG$5:$BG$51, -1), _xlpm.추가_색인번호)-IF(AND(OR($G367 ="debuff", $G367 = "shot", $G367 = "pierce"), MOD($O367, 1)&lt;&gt;0), 10*MOD($O367, 1)*INDEX(Factor!$BG$5:$BO$51, _xlfn.XMATCH(IF(OR($G367 ="debuff", $G367 = "shot", $G367 = "pierce"), $O367, 0), Factor!$BG$5:$BG$51, -1), 2), 0),
_xlpm.탄환개수보정치, VLOOKUP(IF(OR($G367 = "curved", $G367 = "shot"), $Q367, 1), Factor!$BQ$5:$BX$51, _xlpm.기본_색인번호, 0),
_xlpm.상태이상탄환생성위치보정치, IF($G367 = "debuff", VLOOKUP($R367, Factor!$K$18:$R$19, _xlpm.기본_색인번호, 0),1),
_xlpm.상태이상탄환형태보정치, IF($G367 = "debuff", VLOOKUP($S367, Factor!$K$24:$R$25, _xlpm.기본_색인번호, 0),1),
_xlpm.가격보정치, INDEX(Factor!$AE$5:$AL$51, _xlfn.XMATCH($F367,Factor!$AE$5:$AE$51, -1), _xlpm.기본_색인번호),
_xlpm.구경보정치, VLOOKUP($D367,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</row>
    <row r="368" spans="1:33" ht="15.75" customHeight="1">
      <c r="A368" s="28" t="str">
        <f>"weapon_"&amp;G368&amp;"_"&amp;VLOOKUP(H368, Factor!$T$5:$AB$7, 9, 0)&amp;"_"&amp;IF(COUNTIFS($G$4:G367, G368, $H$4:H367, H368)+1&gt;=100, COUNTIFS($G$4:G367, G368, $H$4:H367, H368)+1,IF(COUNTIFS($G$4:G367, G368, $H$4:H367, H368)+1&gt;=10, "0"&amp;COUNTIFS($G$4:G367, G368, $H$4:H367, H368)+1, "00"&amp;COUNTIFS($G$4:G367, G368, $H$4:H367, H368)+1))</f>
        <v>weapon_debuff_Ms_012</v>
      </c>
      <c r="B368" s="37" t="str">
        <f t="shared" si="5"/>
        <v>T5 240mm네이팜 미사일 발사대</v>
      </c>
      <c r="C368" s="37" t="s">
        <v>158</v>
      </c>
      <c r="D368" s="37" t="s">
        <v>267</v>
      </c>
      <c r="E368" s="37" t="s">
        <v>205</v>
      </c>
      <c r="F368" s="29">
        <f>VLOOKUP(C368, Factor!$AD$5:$AE$15, 2, 0)</f>
        <v>5000</v>
      </c>
      <c r="G368" s="29" t="str">
        <f>VLOOKUP(E368, Factor!$CL$5:$CV$50, 2, 0)</f>
        <v>debuff</v>
      </c>
      <c r="H368" s="29" t="str">
        <f>VLOOKUP(E368, Factor!$CL$5:$CV$50, 3, 0)</f>
        <v>missile</v>
      </c>
      <c r="I368" s="29" t="str">
        <f>VLOOKUP(E368, Factor!$CL$5:$CV$50, 4, 0)</f>
        <v>L</v>
      </c>
      <c r="J368" s="29" t="str">
        <f>VLOOKUP(E368, Factor!$CL$5:$CV$50, 5, 0)</f>
        <v>armored</v>
      </c>
      <c r="K368" s="29">
        <v>1</v>
      </c>
      <c r="L368" s="29">
        <f>VLOOKUP(E368, Factor!$CL$5:$CV$50, 6, 0)*K368*VLOOKUP(D368, Factor!$BZ$5:$CJ$49, 9, 0)</f>
        <v>0</v>
      </c>
      <c r="M368" s="29" t="str">
        <f>VLOOKUP(E368, Factor!$CL$5:$CV$50, 7, 0)</f>
        <v>dots</v>
      </c>
      <c r="N368" s="29">
        <v>1</v>
      </c>
      <c r="O368" s="29">
        <f>VLOOKUP(E368, Factor!$CL$5:$CV$50, 8, 0)*N368*VLOOKUP(D368, Factor!$BZ$5:$CJ$49, 10, 0)</f>
        <v>40</v>
      </c>
      <c r="P368" s="29">
        <v>1</v>
      </c>
      <c r="Q368" s="29">
        <f>VLOOKUP(E368, Factor!$CL$5:$CV$50, 9, 0)*P368*VLOOKUP(D368, Factor!$BZ$5:$CJ$49, 11, 0)</f>
        <v>8</v>
      </c>
      <c r="R368" s="29" t="str">
        <f>VLOOKUP(E368, Factor!$CL$5:$CV$50, 10, 0)</f>
        <v>target</v>
      </c>
      <c r="S368" s="29" t="str">
        <f>VLOOKUP(E368, Factor!$CL$5:$CV$50, 11, 0)</f>
        <v>circle</v>
      </c>
      <c r="T368" s="29">
        <v>1</v>
      </c>
      <c r="U368" s="29">
        <v>1</v>
      </c>
      <c r="V368" s="29">
        <v>1</v>
      </c>
      <c r="W368" s="29">
        <v>1</v>
      </c>
      <c r="X368" s="29">
        <v>1</v>
      </c>
      <c r="Y368" s="29">
        <v>1</v>
      </c>
      <c r="Z368" s="29">
        <v>1</v>
      </c>
      <c r="AA368" s="29" cm="1">
        <f t="array" ref="AA368">_xlfn.LET(_xlpm.기본_색인번호, 2,
_xlpm.추가_색인번호, 3,
_xlpm.개별보정치, T368,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B368" s="29" cm="1">
        <f t="array" ref="AB368">_xlfn.LET(_xlpm.기본_색인번호, 3,
_xlpm.추가_색인번호, 4,
_xlpm.개별보정치, U368,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68" s="29" cm="1">
        <f t="array" ref="AC368">_xlfn.LET(_xlpm.기본_색인번호, 4,
_xlpm.추가_색인번호, 5,
_xlpm.개별보정치, V368,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68" s="29" cm="1">
        <f t="array" ref="AD368">_xlfn.LET(_xlpm.기본_색인번호, 5,
_xlpm.추가_색인번호, 6,
_xlpm.개별보정치, W368,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E368" s="29" cm="1">
        <f t="array" ref="AE368">_xlfn.LET(_xlpm.기본_색인번호, 6,
_xlpm.추가_색인번호, 7,
_xlpm.개별보정치, X368,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F368" s="29" cm="1">
        <f t="array" ref="AF368">_xlfn.LET(_xlpm.기본_색인번호, 7,
_xlpm.추가_색인번호, 8,
_xlpm.개별보정치, Y368,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68" s="30" cm="1">
        <f t="array" ref="AG368">_xlfn.LET(_xlpm.기본_색인번호, 8,
_xlpm.추가_색인번호, 9,
_xlpm.개별보정치, Z368,
_xlpm.패턴보정치, VLOOKUP($G368, Factor!$B$5:$I$51, _xlpm.기본_색인번호, 0),
_xlpm.소모탄환보정치, VLOOKUP($H368, Factor!$T$5:$AA$51, _xlpm.기본_색인번호, 0),
_xlpm.지형보정치, VLOOKUP($I368, Factor!$K$12:$R$13, _xlpm.기본_색인번호, 0),
_xlpm.공격속성보정치, VLOOKUP($J368, Factor!$K$5:$R$7, _xlpm.기본_색인번호, 0),
_xlpm.피해범위보정치, INDEX(Factor!$AN$5:$AV$51, _xlfn.XMATCH(IF(OR($G368="blast", $G368="curved",  $G368= "debuff"), $L368, 0), Factor!$AN$5:$AN$51, -1), _xlpm.추가_색인번호)-IF(AND(OR($G368="blast", $G368="curved", $G368= "debuff"), MOD($L368,1)&lt;&gt;0),INDEX(Factor!$AN$5:$AV$51, _xlfn.XMATCH(IF(OR($G368="blast", $G368="curved", $G368= "debuff"), $L368, 0), Factor!$AN$5:$AN$51, -1), 2)*MOD($L368,1)*10,0),
_xlpm.상태이상보정치, VLOOKUP(IF($G368 = "debuff", $M368, "null"), Factor!$AX$5:$BE$51, _xlpm.기본_색인번호, 0),
_xlpm.지속시간보정치, INDEX(Factor!$BG$5:$BO$51, _xlfn.XMATCH(IF(OR($G368 ="debuff", $G368 = "shot", $G368 = "pierce"), $O368, 0), Factor!$BG$5:$BG$51, -1), _xlpm.추가_색인번호)-IF(AND(OR($G368 ="debuff", $G368 = "shot", $G368 = "pierce"), MOD($O368, 1)&lt;&gt;0), 10*MOD($O368, 1)*INDEX(Factor!$BG$5:$BO$51, _xlfn.XMATCH(IF(OR($G368 ="debuff", $G368 = "shot", $G368 = "pierce"), $O368, 0), Factor!$BG$5:$BG$51, -1), 2), 0),
_xlpm.탄환개수보정치, VLOOKUP(IF(OR($G368 = "curved", $G368 = "shot"), $Q368, 1), Factor!$BQ$5:$BX$51, _xlpm.기본_색인번호, 0),
_xlpm.상태이상탄환생성위치보정치, IF($G368 = "debuff", VLOOKUP($R368, Factor!$K$18:$R$19, _xlpm.기본_색인번호, 0),1),
_xlpm.상태이상탄환형태보정치, IF($G368 = "debuff", VLOOKUP($S368, Factor!$K$24:$R$25, _xlpm.기본_색인번호, 0),1),
_xlpm.가격보정치, INDEX(Factor!$AE$5:$AL$51, _xlfn.XMATCH($F368,Factor!$AE$5:$AE$51, -1), _xlpm.기본_색인번호),
_xlpm.구경보정치, VLOOKUP($D368,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</row>
    <row r="369" spans="1:33" ht="15.75" customHeight="1">
      <c r="A369" s="24" t="str">
        <f>"weapon_"&amp;G369&amp;"_"&amp;VLOOKUP(H369, Factor!$T$5:$AB$7, 9, 0)&amp;"_"&amp;IF(COUNTIFS($G$4:G368, G369, $H$4:H368, H369)+1&gt;=100, COUNTIFS($G$4:G368, G369, $H$4:H368, H369)+1,IF(COUNTIFS($G$4:G368, G369, $H$4:H368, H369)+1&gt;=10, "0"&amp;COUNTIFS($G$4:G368, G369, $H$4:H368, H369)+1, "00"&amp;COUNTIFS($G$4:G368, G369, $H$4:H368, H369)+1))</f>
        <v>weapon_debuff_Ms_013</v>
      </c>
      <c r="B369" s="36" t="str">
        <f t="shared" si="5"/>
        <v>T6 네이팜 미사일 발사대</v>
      </c>
      <c r="C369" s="36" t="s">
        <v>159</v>
      </c>
      <c r="D369" s="36" t="s">
        <v>275</v>
      </c>
      <c r="E369" s="36" t="s">
        <v>205</v>
      </c>
      <c r="F369" s="25">
        <f>VLOOKUP(C369, Factor!$AD$5:$AE$15, 2, 0)</f>
        <v>6000</v>
      </c>
      <c r="G369" s="26" t="str">
        <f>VLOOKUP(E369, Factor!$CL$5:$CV$50, 2, 0)</f>
        <v>debuff</v>
      </c>
      <c r="H369" s="25" t="str">
        <f>VLOOKUP(E369, Factor!$CL$5:$CV$50, 3, 0)</f>
        <v>missile</v>
      </c>
      <c r="I369" s="25" t="str">
        <f>VLOOKUP(E369, Factor!$CL$5:$CV$50, 4, 0)</f>
        <v>L</v>
      </c>
      <c r="J369" s="25" t="str">
        <f>VLOOKUP(E369, Factor!$CL$5:$CV$50, 5, 0)</f>
        <v>armored</v>
      </c>
      <c r="K369" s="25">
        <v>1</v>
      </c>
      <c r="L369" s="25">
        <f>VLOOKUP(E369, Factor!$CL$5:$CV$50, 6, 0)*K369*VLOOKUP(D369, Factor!$BZ$5:$CJ$49, 9, 0)</f>
        <v>0</v>
      </c>
      <c r="M369" s="25" t="str">
        <f>VLOOKUP(E369, Factor!$CL$5:$CV$50, 7, 0)</f>
        <v>dots</v>
      </c>
      <c r="N369" s="25">
        <v>1</v>
      </c>
      <c r="O369" s="25">
        <f>VLOOKUP(E369, Factor!$CL$5:$CV$50, 8, 0)*N369*VLOOKUP(D369, Factor!$BZ$5:$CJ$49, 10, 0)</f>
        <v>5</v>
      </c>
      <c r="P369" s="25">
        <v>1</v>
      </c>
      <c r="Q369" s="25">
        <f>VLOOKUP(E369, Factor!$CL$5:$CV$50, 9, 0)*P369*VLOOKUP(D369, Factor!$BZ$5:$CJ$49, 11, 0)</f>
        <v>1</v>
      </c>
      <c r="R369" s="25" t="str">
        <f>VLOOKUP(E369, Factor!$CL$5:$CV$50, 10, 0)</f>
        <v>target</v>
      </c>
      <c r="S369" s="25" t="str">
        <f>VLOOKUP(E369, Factor!$CL$5:$CV$50, 11, 0)</f>
        <v>circle</v>
      </c>
      <c r="T369" s="25">
        <v>1</v>
      </c>
      <c r="U369" s="25">
        <v>1</v>
      </c>
      <c r="V369" s="25">
        <v>1</v>
      </c>
      <c r="W369" s="25">
        <v>1</v>
      </c>
      <c r="X369" s="25">
        <v>1</v>
      </c>
      <c r="Y369" s="25">
        <v>1</v>
      </c>
      <c r="Z369" s="25">
        <v>1</v>
      </c>
      <c r="AA369" s="25" cm="1">
        <f t="array" ref="AA369">_xlfn.LET(_xlpm.기본_색인번호, 2,
_xlpm.추가_색인번호, 3,
_xlpm.개별보정치, T369,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12600</v>
      </c>
      <c r="AB369" s="25" cm="1">
        <f t="array" ref="AB369">_xlfn.LET(_xlpm.기본_색인번호, 3,
_xlpm.추가_색인번호, 4,
_xlpm.개별보정치, U369,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C369" s="25" cm="1">
        <f t="array" ref="AC369">_xlfn.LET(_xlpm.기본_색인번호, 4,
_xlpm.추가_색인번호, 5,
_xlpm.개별보정치, V369,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69" s="25" cm="1">
        <f t="array" ref="AD369">_xlfn.LET(_xlpm.기본_색인번호, 5,
_xlpm.추가_색인번호, 6,
_xlpm.개별보정치, W369,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</v>
      </c>
      <c r="AE369" s="25" cm="1">
        <f t="array" ref="AE369">_xlfn.LET(_xlpm.기본_색인번호, 6,
_xlpm.추가_색인번호, 7,
_xlpm.개별보정치, X369,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</v>
      </c>
      <c r="AF369" s="25" cm="1">
        <f t="array" ref="AF369">_xlfn.LET(_xlpm.기본_색인번호, 7,
_xlpm.추가_색인번호, 8,
_xlpm.개별보정치, Y369,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69" s="27" cm="1">
        <f t="array" ref="AG369">_xlfn.LET(_xlpm.기본_색인번호, 8,
_xlpm.추가_색인번호, 9,
_xlpm.개별보정치, Z369,
_xlpm.패턴보정치, VLOOKUP($G369, Factor!$B$5:$I$51, _xlpm.기본_색인번호, 0),
_xlpm.소모탄환보정치, VLOOKUP($H369, Factor!$T$5:$AA$51, _xlpm.기본_색인번호, 0),
_xlpm.지형보정치, VLOOKUP($I369, Factor!$K$12:$R$13, _xlpm.기본_색인번호, 0),
_xlpm.공격속성보정치, VLOOKUP($J369, Factor!$K$5:$R$7, _xlpm.기본_색인번호, 0),
_xlpm.피해범위보정치, INDEX(Factor!$AN$5:$AV$51, _xlfn.XMATCH(IF(OR($G369="blast", $G369="curved",  $G369= "debuff"), $L369, 0), Factor!$AN$5:$AN$51, -1), _xlpm.추가_색인번호)-IF(AND(OR($G369="blast", $G369="curved", $G369= "debuff"), MOD($L369,1)&lt;&gt;0),INDEX(Factor!$AN$5:$AV$51, _xlfn.XMATCH(IF(OR($G369="blast", $G369="curved", $G369= "debuff"), $L369, 0), Factor!$AN$5:$AN$51, -1), 2)*MOD($L369,1)*10,0),
_xlpm.상태이상보정치, VLOOKUP(IF($G369 = "debuff", $M369, "null"), Factor!$AX$5:$BE$51, _xlpm.기본_색인번호, 0),
_xlpm.지속시간보정치, INDEX(Factor!$BG$5:$BO$51, _xlfn.XMATCH(IF(OR($G369 ="debuff", $G369 = "shot", $G369 = "pierce"), $O369, 0), Factor!$BG$5:$BG$51, -1), _xlpm.추가_색인번호)-IF(AND(OR($G369 ="debuff", $G369 = "shot", $G369 = "pierce"), MOD($O369, 1)&lt;&gt;0), 10*MOD($O369, 1)*INDEX(Factor!$BG$5:$BO$51, _xlfn.XMATCH(IF(OR($G369 ="debuff", $G369 = "shot", $G369 = "pierce"), $O369, 0), Factor!$BG$5:$BG$51, -1), 2), 0),
_xlpm.탄환개수보정치, VLOOKUP(IF(OR($G369 = "curved", $G369 = "shot"), $Q369, 1), Factor!$BQ$5:$BX$51, _xlpm.기본_색인번호, 0),
_xlpm.상태이상탄환생성위치보정치, IF($G369 = "debuff", VLOOKUP($R369, Factor!$K$18:$R$19, _xlpm.기본_색인번호, 0),1),
_xlpm.상태이상탄환형태보정치, IF($G369 = "debuff", VLOOKUP($S369, Factor!$K$24:$R$25, _xlpm.기본_색인번호, 0),1),
_xlpm.가격보정치, INDEX(Factor!$AE$5:$AL$51, _xlfn.XMATCH($F369,Factor!$AE$5:$AE$51, -1), _xlpm.기본_색인번호),
_xlpm.구경보정치, VLOOKUP($D369,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</v>
      </c>
    </row>
    <row r="370" spans="1:33" ht="15.75" customHeight="1">
      <c r="A370" s="28" t="str">
        <f>"weapon_"&amp;G370&amp;"_"&amp;VLOOKUP(H370, Factor!$T$5:$AB$7, 9, 0)&amp;"_"&amp;IF(COUNTIFS($G$4:G369, G370, $H$4:H369, H370)+1&gt;=100, COUNTIFS($G$4:G369, G370, $H$4:H369, H370)+1,IF(COUNTIFS($G$4:G369, G370, $H$4:H369, H370)+1&gt;=10, "0"&amp;COUNTIFS($G$4:G369, G370, $H$4:H369, H370)+1, "00"&amp;COUNTIFS($G$4:G369, G370, $H$4:H369, H370)+1))</f>
        <v>weapon_debuff_Ms_014</v>
      </c>
      <c r="B370" s="37" t="str">
        <f t="shared" si="5"/>
        <v>T6 240mm네이팜 미사일 발사대</v>
      </c>
      <c r="C370" s="37" t="s">
        <v>159</v>
      </c>
      <c r="D370" s="37" t="s">
        <v>267</v>
      </c>
      <c r="E370" s="37" t="s">
        <v>205</v>
      </c>
      <c r="F370" s="29">
        <f>VLOOKUP(C370, Factor!$AD$5:$AE$15, 2, 0)</f>
        <v>6000</v>
      </c>
      <c r="G370" s="29" t="str">
        <f>VLOOKUP(E370, Factor!$CL$5:$CV$50, 2, 0)</f>
        <v>debuff</v>
      </c>
      <c r="H370" s="29" t="str">
        <f>VLOOKUP(E370, Factor!$CL$5:$CV$50, 3, 0)</f>
        <v>missile</v>
      </c>
      <c r="I370" s="29" t="str">
        <f>VLOOKUP(E370, Factor!$CL$5:$CV$50, 4, 0)</f>
        <v>L</v>
      </c>
      <c r="J370" s="29" t="str">
        <f>VLOOKUP(E370, Factor!$CL$5:$CV$50, 5, 0)</f>
        <v>armored</v>
      </c>
      <c r="K370" s="29">
        <v>1</v>
      </c>
      <c r="L370" s="29">
        <f>VLOOKUP(E370, Factor!$CL$5:$CV$50, 6, 0)*K370*VLOOKUP(D370, Factor!$BZ$5:$CJ$49, 9, 0)</f>
        <v>0</v>
      </c>
      <c r="M370" s="29" t="str">
        <f>VLOOKUP(E370, Factor!$CL$5:$CV$50, 7, 0)</f>
        <v>dots</v>
      </c>
      <c r="N370" s="29">
        <v>1</v>
      </c>
      <c r="O370" s="29">
        <f>VLOOKUP(E370, Factor!$CL$5:$CV$50, 8, 0)*N370*VLOOKUP(D370, Factor!$BZ$5:$CJ$49, 10, 0)</f>
        <v>40</v>
      </c>
      <c r="P370" s="29">
        <v>1</v>
      </c>
      <c r="Q370" s="29">
        <f>VLOOKUP(E370, Factor!$CL$5:$CV$50, 9, 0)*P370*VLOOKUP(D370, Factor!$BZ$5:$CJ$49, 11, 0)</f>
        <v>8</v>
      </c>
      <c r="R370" s="29" t="str">
        <f>VLOOKUP(E370, Factor!$CL$5:$CV$50, 10, 0)</f>
        <v>target</v>
      </c>
      <c r="S370" s="29" t="str">
        <f>VLOOKUP(E370, Factor!$CL$5:$CV$50, 11, 0)</f>
        <v>circle</v>
      </c>
      <c r="T370" s="29">
        <v>1</v>
      </c>
      <c r="U370" s="29">
        <v>1</v>
      </c>
      <c r="V370" s="29">
        <v>1</v>
      </c>
      <c r="W370" s="29">
        <v>1</v>
      </c>
      <c r="X370" s="29">
        <v>1</v>
      </c>
      <c r="Y370" s="29">
        <v>1</v>
      </c>
      <c r="Z370" s="29">
        <v>1</v>
      </c>
      <c r="AA370" s="29" cm="1">
        <f t="array" ref="AA370">_xlfn.LET(_xlpm.기본_색인번호, 2,
_xlpm.추가_색인번호, 3,
_xlpm.개별보정치, T370,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25200</v>
      </c>
      <c r="AB370" s="29" cm="1">
        <f t="array" ref="AB370">_xlfn.LET(_xlpm.기본_색인번호, 3,
_xlpm.추가_색인번호, 4,
_xlpm.개별보정치, U370,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70" s="29" cm="1">
        <f t="array" ref="AC370">_xlfn.LET(_xlpm.기본_색인번호, 4,
_xlpm.추가_색인번호, 5,
_xlpm.개별보정치, V370,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0" s="29" cm="1">
        <f t="array" ref="AD370">_xlfn.LET(_xlpm.기본_색인번호, 5,
_xlpm.추가_색인번호, 6,
_xlpm.개별보정치, W370,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E370" s="29" cm="1">
        <f t="array" ref="AE370">_xlfn.LET(_xlpm.기본_색인번호, 6,
_xlpm.추가_색인번호, 7,
_xlpm.개별보정치, X370,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F370" s="29" cm="1">
        <f t="array" ref="AF370">_xlfn.LET(_xlpm.기본_색인번호, 7,
_xlpm.추가_색인번호, 8,
_xlpm.개별보정치, Y370,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0" s="30" cm="1">
        <f t="array" ref="AG370">_xlfn.LET(_xlpm.기본_색인번호, 8,
_xlpm.추가_색인번호, 9,
_xlpm.개별보정치, Z370,
_xlpm.패턴보정치, VLOOKUP($G370, Factor!$B$5:$I$51, _xlpm.기본_색인번호, 0),
_xlpm.소모탄환보정치, VLOOKUP($H370, Factor!$T$5:$AA$51, _xlpm.기본_색인번호, 0),
_xlpm.지형보정치, VLOOKUP($I370, Factor!$K$12:$R$13, _xlpm.기본_색인번호, 0),
_xlpm.공격속성보정치, VLOOKUP($J370, Factor!$K$5:$R$7, _xlpm.기본_색인번호, 0),
_xlpm.피해범위보정치, INDEX(Factor!$AN$5:$AV$51, _xlfn.XMATCH(IF(OR($G370="blast", $G370="curved",  $G370= "debuff"), $L370, 0), Factor!$AN$5:$AN$51, -1), _xlpm.추가_색인번호)-IF(AND(OR($G370="blast", $G370="curved", $G370= "debuff"), MOD($L370,1)&lt;&gt;0),INDEX(Factor!$AN$5:$AV$51, _xlfn.XMATCH(IF(OR($G370="blast", $G370="curved", $G370= "debuff"), $L370, 0), Factor!$AN$5:$AN$51, -1), 2)*MOD($L370,1)*10,0),
_xlpm.상태이상보정치, VLOOKUP(IF($G370 = "debuff", $M370, "null"), Factor!$AX$5:$BE$51, _xlpm.기본_색인번호, 0),
_xlpm.지속시간보정치, INDEX(Factor!$BG$5:$BO$51, _xlfn.XMATCH(IF(OR($G370 ="debuff", $G370 = "shot", $G370 = "pierce"), $O370, 0), Factor!$BG$5:$BG$51, -1), _xlpm.추가_색인번호)-IF(AND(OR($G370 ="debuff", $G370 = "shot", $G370 = "pierce"), MOD($O370, 1)&lt;&gt;0), 10*MOD($O370, 1)*INDEX(Factor!$BG$5:$BO$51, _xlfn.XMATCH(IF(OR($G370 ="debuff", $G370 = "shot", $G370 = "pierce"), $O370, 0), Factor!$BG$5:$BG$51, -1), 2), 0),
_xlpm.탄환개수보정치, VLOOKUP(IF(OR($G370 = "curved", $G370 = "shot"), $Q370, 1), Factor!$BQ$5:$BX$51, _xlpm.기본_색인번호, 0),
_xlpm.상태이상탄환생성위치보정치, IF($G370 = "debuff", VLOOKUP($R370, Factor!$K$18:$R$19, _xlpm.기본_색인번호, 0),1),
_xlpm.상태이상탄환형태보정치, IF($G370 = "debuff", VLOOKUP($S370, Factor!$K$24:$R$25, _xlpm.기본_색인번호, 0),1),
_xlpm.가격보정치, INDEX(Factor!$AE$5:$AL$51, _xlfn.XMATCH($F370,Factor!$AE$5:$AE$51, -1), _xlpm.기본_색인번호),
_xlpm.구경보정치, VLOOKUP($D370,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</row>
    <row r="371" spans="1:33" ht="15.75" customHeight="1">
      <c r="A371" s="24" t="str">
        <f>"weapon_"&amp;G371&amp;"_"&amp;VLOOKUP(H371, Factor!$T$5:$AB$7, 9, 0)&amp;"_"&amp;IF(COUNTIFS($G$4:G370, G371, $H$4:H370, H371)+1&gt;=100, COUNTIFS($G$4:G370, G371, $H$4:H370, H371)+1,IF(COUNTIFS($G$4:G370, G371, $H$4:H370, H371)+1&gt;=10, "0"&amp;COUNTIFS($G$4:G370, G371, $H$4:H370, H371)+1, "00"&amp;COUNTIFS($G$4:G370, G371, $H$4:H370, H371)+1))</f>
        <v>weapon_debuff_Ms_015</v>
      </c>
      <c r="B371" s="36" t="str">
        <f t="shared" si="5"/>
        <v>T7 네이팜 미사일 발사대</v>
      </c>
      <c r="C371" s="36" t="s">
        <v>160</v>
      </c>
      <c r="D371" s="36" t="s">
        <v>275</v>
      </c>
      <c r="E371" s="36" t="s">
        <v>205</v>
      </c>
      <c r="F371" s="25">
        <f>VLOOKUP(C371, Factor!$AD$5:$AE$15, 2, 0)</f>
        <v>7000</v>
      </c>
      <c r="G371" s="26" t="str">
        <f>VLOOKUP(E371, Factor!$CL$5:$CV$50, 2, 0)</f>
        <v>debuff</v>
      </c>
      <c r="H371" s="25" t="str">
        <f>VLOOKUP(E371, Factor!$CL$5:$CV$50, 3, 0)</f>
        <v>missile</v>
      </c>
      <c r="I371" s="25" t="str">
        <f>VLOOKUP(E371, Factor!$CL$5:$CV$50, 4, 0)</f>
        <v>L</v>
      </c>
      <c r="J371" s="25" t="str">
        <f>VLOOKUP(E371, Factor!$CL$5:$CV$50, 5, 0)</f>
        <v>armored</v>
      </c>
      <c r="K371" s="25">
        <v>1</v>
      </c>
      <c r="L371" s="25">
        <f>VLOOKUP(E371, Factor!$CL$5:$CV$50, 6, 0)*K371*VLOOKUP(D371, Factor!$BZ$5:$CJ$49, 9, 0)</f>
        <v>0</v>
      </c>
      <c r="M371" s="25" t="str">
        <f>VLOOKUP(E371, Factor!$CL$5:$CV$50, 7, 0)</f>
        <v>dots</v>
      </c>
      <c r="N371" s="25">
        <v>1</v>
      </c>
      <c r="O371" s="25">
        <f>VLOOKUP(E371, Factor!$CL$5:$CV$50, 8, 0)*N371*VLOOKUP(D371, Factor!$BZ$5:$CJ$49, 10, 0)</f>
        <v>5</v>
      </c>
      <c r="P371" s="25">
        <v>1</v>
      </c>
      <c r="Q371" s="25">
        <f>VLOOKUP(E371, Factor!$CL$5:$CV$50, 9, 0)*P371*VLOOKUP(D371, Factor!$BZ$5:$CJ$49, 11, 0)</f>
        <v>1</v>
      </c>
      <c r="R371" s="25" t="str">
        <f>VLOOKUP(E371, Factor!$CL$5:$CV$50, 10, 0)</f>
        <v>target</v>
      </c>
      <c r="S371" s="25" t="str">
        <f>VLOOKUP(E371, Factor!$CL$5:$CV$50, 11, 0)</f>
        <v>circle</v>
      </c>
      <c r="T371" s="25">
        <v>1</v>
      </c>
      <c r="U371" s="25">
        <v>1</v>
      </c>
      <c r="V371" s="25">
        <v>1</v>
      </c>
      <c r="W371" s="25">
        <v>1</v>
      </c>
      <c r="X371" s="25">
        <v>1</v>
      </c>
      <c r="Y371" s="25">
        <v>1</v>
      </c>
      <c r="Z371" s="25">
        <v>1</v>
      </c>
      <c r="AA371" s="25" cm="1">
        <f t="array" ref="AA371">_xlfn.LET(_xlpm.기본_색인번호, 2,
_xlpm.추가_색인번호, 3,
_xlpm.개별보정치, T371,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71" s="25" cm="1">
        <f t="array" ref="AB371">_xlfn.LET(_xlpm.기본_색인번호, 3,
_xlpm.추가_색인번호, 4,
_xlpm.개별보정치, U371,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C371" s="25" cm="1">
        <f t="array" ref="AC371">_xlfn.LET(_xlpm.기본_색인번호, 4,
_xlpm.추가_색인번호, 5,
_xlpm.개별보정치, V371,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71" s="25" cm="1">
        <f t="array" ref="AD371">_xlfn.LET(_xlpm.기본_색인번호, 5,
_xlpm.추가_색인번호, 6,
_xlpm.개별보정치, W371,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E371" s="25" cm="1">
        <f t="array" ref="AE371">_xlfn.LET(_xlpm.기본_색인번호, 6,
_xlpm.추가_색인번호, 7,
_xlpm.개별보정치, X371,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F371" s="25" cm="1">
        <f t="array" ref="AF371">_xlfn.LET(_xlpm.기본_색인번호, 7,
_xlpm.추가_색인번호, 8,
_xlpm.개별보정치, Y371,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71" s="27" cm="1">
        <f t="array" ref="AG371">_xlfn.LET(_xlpm.기본_색인번호, 8,
_xlpm.추가_색인번호, 9,
_xlpm.개별보정치, Z371,
_xlpm.패턴보정치, VLOOKUP($G371, Factor!$B$5:$I$51, _xlpm.기본_색인번호, 0),
_xlpm.소모탄환보정치, VLOOKUP($H371, Factor!$T$5:$AA$51, _xlpm.기본_색인번호, 0),
_xlpm.지형보정치, VLOOKUP($I371, Factor!$K$12:$R$13, _xlpm.기본_색인번호, 0),
_xlpm.공격속성보정치, VLOOKUP($J371, Factor!$K$5:$R$7, _xlpm.기본_색인번호, 0),
_xlpm.피해범위보정치, INDEX(Factor!$AN$5:$AV$51, _xlfn.XMATCH(IF(OR($G371="blast", $G371="curved",  $G371= "debuff"), $L371, 0), Factor!$AN$5:$AN$51, -1), _xlpm.추가_색인번호)-IF(AND(OR($G371="blast", $G371="curved", $G371= "debuff"), MOD($L371,1)&lt;&gt;0),INDEX(Factor!$AN$5:$AV$51, _xlfn.XMATCH(IF(OR($G371="blast", $G371="curved", $G371= "debuff"), $L371, 0), Factor!$AN$5:$AN$51, -1), 2)*MOD($L371,1)*10,0),
_xlpm.상태이상보정치, VLOOKUP(IF($G371 = "debuff", $M371, "null"), Factor!$AX$5:$BE$51, _xlpm.기본_색인번호, 0),
_xlpm.지속시간보정치, INDEX(Factor!$BG$5:$BO$51, _xlfn.XMATCH(IF(OR($G371 ="debuff", $G371 = "shot", $G371 = "pierce"), $O371, 0), Factor!$BG$5:$BG$51, -1), _xlpm.추가_색인번호)-IF(AND(OR($G371 ="debuff", $G371 = "shot", $G371 = "pierce"), MOD($O371, 1)&lt;&gt;0), 10*MOD($O371, 1)*INDEX(Factor!$BG$5:$BO$51, _xlfn.XMATCH(IF(OR($G371 ="debuff", $G371 = "shot", $G371 = "pierce"), $O371, 0), Factor!$BG$5:$BG$51, -1), 2), 0),
_xlpm.탄환개수보정치, VLOOKUP(IF(OR($G371 = "curved", $G371 = "shot"), $Q371, 1), Factor!$BQ$5:$BX$51, _xlpm.기본_색인번호, 0),
_xlpm.상태이상탄환생성위치보정치, IF($G371 = "debuff", VLOOKUP($R371, Factor!$K$18:$R$19, _xlpm.기본_색인번호, 0),1),
_xlpm.상태이상탄환형태보정치, IF($G371 = "debuff", VLOOKUP($S371, Factor!$K$24:$R$25, _xlpm.기본_색인번호, 0),1),
_xlpm.가격보정치, INDEX(Factor!$AE$5:$AL$51, _xlfn.XMATCH($F371,Factor!$AE$5:$AE$51, -1), _xlpm.기본_색인번호),
_xlpm.구경보정치, VLOOKUP($D371,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</row>
    <row r="372" spans="1:33" ht="15.75" customHeight="1">
      <c r="A372" s="28" t="str">
        <f>"weapon_"&amp;G372&amp;"_"&amp;VLOOKUP(H372, Factor!$T$5:$AB$7, 9, 0)&amp;"_"&amp;IF(COUNTIFS($G$4:G371, G372, $H$4:H371, H372)+1&gt;=100, COUNTIFS($G$4:G371, G372, $H$4:H371, H372)+1,IF(COUNTIFS($G$4:G371, G372, $H$4:H371, H372)+1&gt;=10, "0"&amp;COUNTIFS($G$4:G371, G372, $H$4:H371, H372)+1, "00"&amp;COUNTIFS($G$4:G371, G372, $H$4:H371, H372)+1))</f>
        <v>weapon_debuff_Ms_016</v>
      </c>
      <c r="B372" s="37" t="str">
        <f t="shared" si="5"/>
        <v>T7 240mm네이팜 미사일 발사대</v>
      </c>
      <c r="C372" s="37" t="s">
        <v>160</v>
      </c>
      <c r="D372" s="37" t="s">
        <v>267</v>
      </c>
      <c r="E372" s="37" t="s">
        <v>205</v>
      </c>
      <c r="F372" s="29">
        <f>VLOOKUP(C372, Factor!$AD$5:$AE$15, 2, 0)</f>
        <v>7000</v>
      </c>
      <c r="G372" s="29" t="str">
        <f>VLOOKUP(E372, Factor!$CL$5:$CV$50, 2, 0)</f>
        <v>debuff</v>
      </c>
      <c r="H372" s="29" t="str">
        <f>VLOOKUP(E372, Factor!$CL$5:$CV$50, 3, 0)</f>
        <v>missile</v>
      </c>
      <c r="I372" s="29" t="str">
        <f>VLOOKUP(E372, Factor!$CL$5:$CV$50, 4, 0)</f>
        <v>L</v>
      </c>
      <c r="J372" s="29" t="str">
        <f>VLOOKUP(E372, Factor!$CL$5:$CV$50, 5, 0)</f>
        <v>armored</v>
      </c>
      <c r="K372" s="29">
        <v>1</v>
      </c>
      <c r="L372" s="29">
        <f>VLOOKUP(E372, Factor!$CL$5:$CV$50, 6, 0)*K372*VLOOKUP(D372, Factor!$BZ$5:$CJ$49, 9, 0)</f>
        <v>0</v>
      </c>
      <c r="M372" s="29" t="str">
        <f>VLOOKUP(E372, Factor!$CL$5:$CV$50, 7, 0)</f>
        <v>dots</v>
      </c>
      <c r="N372" s="29">
        <v>1</v>
      </c>
      <c r="O372" s="29">
        <f>VLOOKUP(E372, Factor!$CL$5:$CV$50, 8, 0)*N372*VLOOKUP(D372, Factor!$BZ$5:$CJ$49, 10, 0)</f>
        <v>40</v>
      </c>
      <c r="P372" s="29">
        <v>1</v>
      </c>
      <c r="Q372" s="29">
        <f>VLOOKUP(E372, Factor!$CL$5:$CV$50, 9, 0)*P372*VLOOKUP(D372, Factor!$BZ$5:$CJ$49, 11, 0)</f>
        <v>8</v>
      </c>
      <c r="R372" s="29" t="str">
        <f>VLOOKUP(E372, Factor!$CL$5:$CV$50, 10, 0)</f>
        <v>target</v>
      </c>
      <c r="S372" s="29" t="str">
        <f>VLOOKUP(E372, Factor!$CL$5:$CV$50, 11, 0)</f>
        <v>circle</v>
      </c>
      <c r="T372" s="29">
        <v>1</v>
      </c>
      <c r="U372" s="29">
        <v>1</v>
      </c>
      <c r="V372" s="29">
        <v>1</v>
      </c>
      <c r="W372" s="29">
        <v>1</v>
      </c>
      <c r="X372" s="29">
        <v>1</v>
      </c>
      <c r="Y372" s="29">
        <v>1</v>
      </c>
      <c r="Z372" s="29">
        <v>1</v>
      </c>
      <c r="AA372" s="29" cm="1">
        <f t="array" ref="AA372">_xlfn.LET(_xlpm.기본_색인번호, 2,
_xlpm.추가_색인번호, 3,
_xlpm.개별보정치, T372,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28800</v>
      </c>
      <c r="AB372" s="29" cm="1">
        <f t="array" ref="AB372">_xlfn.LET(_xlpm.기본_색인번호, 3,
_xlpm.추가_색인번호, 4,
_xlpm.개별보정치, U372,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72" s="29" cm="1">
        <f t="array" ref="AC372">_xlfn.LET(_xlpm.기본_색인번호, 4,
_xlpm.추가_색인번호, 5,
_xlpm.개별보정치, V372,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2" s="29" cm="1">
        <f t="array" ref="AD372">_xlfn.LET(_xlpm.기본_색인번호, 5,
_xlpm.추가_색인번호, 6,
_xlpm.개별보정치, W372,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E372" s="29" cm="1">
        <f t="array" ref="AE372">_xlfn.LET(_xlpm.기본_색인번호, 6,
_xlpm.추가_색인번호, 7,
_xlpm.개별보정치, X372,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F372" s="29" cm="1">
        <f t="array" ref="AF372">_xlfn.LET(_xlpm.기본_색인번호, 7,
_xlpm.추가_색인번호, 8,
_xlpm.개별보정치, Y372,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2" s="30" cm="1">
        <f t="array" ref="AG372">_xlfn.LET(_xlpm.기본_색인번호, 8,
_xlpm.추가_색인번호, 9,
_xlpm.개별보정치, Z372,
_xlpm.패턴보정치, VLOOKUP($G372, Factor!$B$5:$I$51, _xlpm.기본_색인번호, 0),
_xlpm.소모탄환보정치, VLOOKUP($H372, Factor!$T$5:$AA$51, _xlpm.기본_색인번호, 0),
_xlpm.지형보정치, VLOOKUP($I372, Factor!$K$12:$R$13, _xlpm.기본_색인번호, 0),
_xlpm.공격속성보정치, VLOOKUP($J372, Factor!$K$5:$R$7, _xlpm.기본_색인번호, 0),
_xlpm.피해범위보정치, INDEX(Factor!$AN$5:$AV$51, _xlfn.XMATCH(IF(OR($G372="blast", $G372="curved",  $G372= "debuff"), $L372, 0), Factor!$AN$5:$AN$51, -1), _xlpm.추가_색인번호)-IF(AND(OR($G372="blast", $G372="curved", $G372= "debuff"), MOD($L372,1)&lt;&gt;0),INDEX(Factor!$AN$5:$AV$51, _xlfn.XMATCH(IF(OR($G372="blast", $G372="curved", $G372= "debuff"), $L372, 0), Factor!$AN$5:$AN$51, -1), 2)*MOD($L372,1)*10,0),
_xlpm.상태이상보정치, VLOOKUP(IF($G372 = "debuff", $M372, "null"), Factor!$AX$5:$BE$51, _xlpm.기본_색인번호, 0),
_xlpm.지속시간보정치, INDEX(Factor!$BG$5:$BO$51, _xlfn.XMATCH(IF(OR($G372 ="debuff", $G372 = "shot", $G372 = "pierce"), $O372, 0), Factor!$BG$5:$BG$51, -1), _xlpm.추가_색인번호)-IF(AND(OR($G372 ="debuff", $G372 = "shot", $G372 = "pierce"), MOD($O372, 1)&lt;&gt;0), 10*MOD($O372, 1)*INDEX(Factor!$BG$5:$BO$51, _xlfn.XMATCH(IF(OR($G372 ="debuff", $G372 = "shot", $G372 = "pierce"), $O372, 0), Factor!$BG$5:$BG$51, -1), 2), 0),
_xlpm.탄환개수보정치, VLOOKUP(IF(OR($G372 = "curved", $G372 = "shot"), $Q372, 1), Factor!$BQ$5:$BX$51, _xlpm.기본_색인번호, 0),
_xlpm.상태이상탄환생성위치보정치, IF($G372 = "debuff", VLOOKUP($R372, Factor!$K$18:$R$19, _xlpm.기본_색인번호, 0),1),
_xlpm.상태이상탄환형태보정치, IF($G372 = "debuff", VLOOKUP($S372, Factor!$K$24:$R$25, _xlpm.기본_색인번호, 0),1),
_xlpm.가격보정치, INDEX(Factor!$AE$5:$AL$51, _xlfn.XMATCH($F372,Factor!$AE$5:$AE$51, -1), _xlpm.기본_색인번호),
_xlpm.구경보정치, VLOOKUP($D372,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</row>
    <row r="373" spans="1:33" ht="15.75" customHeight="1">
      <c r="A373" s="24" t="str">
        <f>"weapon_"&amp;G373&amp;"_"&amp;VLOOKUP(H373, Factor!$T$5:$AB$7, 9, 0)&amp;"_"&amp;IF(COUNTIFS($G$4:G372, G373, $H$4:H372, H373)+1&gt;=100, COUNTIFS($G$4:G372, G373, $H$4:H372, H373)+1,IF(COUNTIFS($G$4:G372, G373, $H$4:H372, H373)+1&gt;=10, "0"&amp;COUNTIFS($G$4:G372, G373, $H$4:H372, H373)+1, "00"&amp;COUNTIFS($G$4:G372, G373, $H$4:H372, H373)+1))</f>
        <v>weapon_debuff_Ms_017</v>
      </c>
      <c r="B373" s="36" t="str">
        <f t="shared" si="5"/>
        <v>T8 네이팜 미사일 발사대</v>
      </c>
      <c r="C373" s="36" t="s">
        <v>161</v>
      </c>
      <c r="D373" s="36" t="s">
        <v>275</v>
      </c>
      <c r="E373" s="36" t="s">
        <v>205</v>
      </c>
      <c r="F373" s="25">
        <f>VLOOKUP(C373, Factor!$AD$5:$AE$15, 2, 0)</f>
        <v>8000</v>
      </c>
      <c r="G373" s="26" t="str">
        <f>VLOOKUP(E373, Factor!$CL$5:$CV$50, 2, 0)</f>
        <v>debuff</v>
      </c>
      <c r="H373" s="25" t="str">
        <f>VLOOKUP(E373, Factor!$CL$5:$CV$50, 3, 0)</f>
        <v>missile</v>
      </c>
      <c r="I373" s="25" t="str">
        <f>VLOOKUP(E373, Factor!$CL$5:$CV$50, 4, 0)</f>
        <v>L</v>
      </c>
      <c r="J373" s="25" t="str">
        <f>VLOOKUP(E373, Factor!$CL$5:$CV$50, 5, 0)</f>
        <v>armored</v>
      </c>
      <c r="K373" s="25">
        <v>1</v>
      </c>
      <c r="L373" s="25">
        <f>VLOOKUP(E373, Factor!$CL$5:$CV$50, 6, 0)*K373*VLOOKUP(D373, Factor!$BZ$5:$CJ$49, 9, 0)</f>
        <v>0</v>
      </c>
      <c r="M373" s="25" t="str">
        <f>VLOOKUP(E373, Factor!$CL$5:$CV$50, 7, 0)</f>
        <v>dots</v>
      </c>
      <c r="N373" s="25">
        <v>1</v>
      </c>
      <c r="O373" s="25">
        <f>VLOOKUP(E373, Factor!$CL$5:$CV$50, 8, 0)*N373*VLOOKUP(D373, Factor!$BZ$5:$CJ$49, 10, 0)</f>
        <v>5</v>
      </c>
      <c r="P373" s="25">
        <v>1</v>
      </c>
      <c r="Q373" s="25">
        <f>VLOOKUP(E373, Factor!$CL$5:$CV$50, 9, 0)*P373*VLOOKUP(D373, Factor!$BZ$5:$CJ$49, 11, 0)</f>
        <v>1</v>
      </c>
      <c r="R373" s="25" t="str">
        <f>VLOOKUP(E373, Factor!$CL$5:$CV$50, 10, 0)</f>
        <v>target</v>
      </c>
      <c r="S373" s="25" t="str">
        <f>VLOOKUP(E373, Factor!$CL$5:$CV$50, 11, 0)</f>
        <v>circle</v>
      </c>
      <c r="T373" s="25">
        <v>1</v>
      </c>
      <c r="U373" s="25">
        <v>1</v>
      </c>
      <c r="V373" s="25">
        <v>1</v>
      </c>
      <c r="W373" s="25">
        <v>1</v>
      </c>
      <c r="X373" s="25">
        <v>1</v>
      </c>
      <c r="Y373" s="25">
        <v>1</v>
      </c>
      <c r="Z373" s="25">
        <v>1</v>
      </c>
      <c r="AA373" s="25" cm="1">
        <f t="array" ref="AA373">_xlfn.LET(_xlpm.기본_색인번호, 2,
_xlpm.추가_색인번호, 3,
_xlpm.개별보정치, T373,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16200</v>
      </c>
      <c r="AB373" s="25" cm="1">
        <f t="array" ref="AB373">_xlfn.LET(_xlpm.기본_색인번호, 3,
_xlpm.추가_색인번호, 4,
_xlpm.개별보정치, U373,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C373" s="25" cm="1">
        <f t="array" ref="AC373">_xlfn.LET(_xlpm.기본_색인번호, 4,
_xlpm.추가_색인번호, 5,
_xlpm.개별보정치, V373,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73" s="25" cm="1">
        <f t="array" ref="AD373">_xlfn.LET(_xlpm.기본_색인번호, 5,
_xlpm.추가_색인번호, 6,
_xlpm.개별보정치, W373,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</v>
      </c>
      <c r="AE373" s="25" cm="1">
        <f t="array" ref="AE373">_xlfn.LET(_xlpm.기본_색인번호, 6,
_xlpm.추가_색인번호, 7,
_xlpm.개별보정치, X373,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</v>
      </c>
      <c r="AF373" s="25" cm="1">
        <f t="array" ref="AF373">_xlfn.LET(_xlpm.기본_색인번호, 7,
_xlpm.추가_색인번호, 8,
_xlpm.개별보정치, Y373,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73" s="27" cm="1">
        <f t="array" ref="AG373">_xlfn.LET(_xlpm.기본_색인번호, 8,
_xlpm.추가_색인번호, 9,
_xlpm.개별보정치, Z373,
_xlpm.패턴보정치, VLOOKUP($G373, Factor!$B$5:$I$51, _xlpm.기본_색인번호, 0),
_xlpm.소모탄환보정치, VLOOKUP($H373, Factor!$T$5:$AA$51, _xlpm.기본_색인번호, 0),
_xlpm.지형보정치, VLOOKUP($I373, Factor!$K$12:$R$13, _xlpm.기본_색인번호, 0),
_xlpm.공격속성보정치, VLOOKUP($J373, Factor!$K$5:$R$7, _xlpm.기본_색인번호, 0),
_xlpm.피해범위보정치, INDEX(Factor!$AN$5:$AV$51, _xlfn.XMATCH(IF(OR($G373="blast", $G373="curved",  $G373= "debuff"), $L373, 0), Factor!$AN$5:$AN$51, -1), _xlpm.추가_색인번호)-IF(AND(OR($G373="blast", $G373="curved", $G373= "debuff"), MOD($L373,1)&lt;&gt;0),INDEX(Factor!$AN$5:$AV$51, _xlfn.XMATCH(IF(OR($G373="blast", $G373="curved", $G373= "debuff"), $L373, 0), Factor!$AN$5:$AN$51, -1), 2)*MOD($L373,1)*10,0),
_xlpm.상태이상보정치, VLOOKUP(IF($G373 = "debuff", $M373, "null"), Factor!$AX$5:$BE$51, _xlpm.기본_색인번호, 0),
_xlpm.지속시간보정치, INDEX(Factor!$BG$5:$BO$51, _xlfn.XMATCH(IF(OR($G373 ="debuff", $G373 = "shot", $G373 = "pierce"), $O373, 0), Factor!$BG$5:$BG$51, -1), _xlpm.추가_색인번호)-IF(AND(OR($G373 ="debuff", $G373 = "shot", $G373 = "pierce"), MOD($O373, 1)&lt;&gt;0), 10*MOD($O373, 1)*INDEX(Factor!$BG$5:$BO$51, _xlfn.XMATCH(IF(OR($G373 ="debuff", $G373 = "shot", $G373 = "pierce"), $O373, 0), Factor!$BG$5:$BG$51, -1), 2), 0),
_xlpm.탄환개수보정치, VLOOKUP(IF(OR($G373 = "curved", $G373 = "shot"), $Q373, 1), Factor!$BQ$5:$BX$51, _xlpm.기본_색인번호, 0),
_xlpm.상태이상탄환생성위치보정치, IF($G373 = "debuff", VLOOKUP($R373, Factor!$K$18:$R$19, _xlpm.기본_색인번호, 0),1),
_xlpm.상태이상탄환형태보정치, IF($G373 = "debuff", VLOOKUP($S373, Factor!$K$24:$R$25, _xlpm.기본_색인번호, 0),1),
_xlpm.가격보정치, INDEX(Factor!$AE$5:$AL$51, _xlfn.XMATCH($F373,Factor!$AE$5:$AE$51, -1), _xlpm.기본_색인번호),
_xlpm.구경보정치, VLOOKUP($D373,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810</v>
      </c>
    </row>
    <row r="374" spans="1:33" ht="15.75" customHeight="1">
      <c r="A374" s="28" t="str">
        <f>"weapon_"&amp;G374&amp;"_"&amp;VLOOKUP(H374, Factor!$T$5:$AB$7, 9, 0)&amp;"_"&amp;IF(COUNTIFS($G$4:G373, G374, $H$4:H373, H374)+1&gt;=100, COUNTIFS($G$4:G373, G374, $H$4:H373, H374)+1,IF(COUNTIFS($G$4:G373, G374, $H$4:H373, H374)+1&gt;=10, "0"&amp;COUNTIFS($G$4:G373, G374, $H$4:H373, H374)+1, "00"&amp;COUNTIFS($G$4:G373, G374, $H$4:H373, H374)+1))</f>
        <v>weapon_debuff_Ms_018</v>
      </c>
      <c r="B374" s="37" t="str">
        <f t="shared" si="5"/>
        <v>T8 240mm네이팜 미사일 발사대</v>
      </c>
      <c r="C374" s="37" t="s">
        <v>161</v>
      </c>
      <c r="D374" s="37" t="s">
        <v>267</v>
      </c>
      <c r="E374" s="37" t="s">
        <v>205</v>
      </c>
      <c r="F374" s="29">
        <f>VLOOKUP(C374, Factor!$AD$5:$AE$15, 2, 0)</f>
        <v>8000</v>
      </c>
      <c r="G374" s="29" t="str">
        <f>VLOOKUP(E374, Factor!$CL$5:$CV$50, 2, 0)</f>
        <v>debuff</v>
      </c>
      <c r="H374" s="29" t="str">
        <f>VLOOKUP(E374, Factor!$CL$5:$CV$50, 3, 0)</f>
        <v>missile</v>
      </c>
      <c r="I374" s="29" t="str">
        <f>VLOOKUP(E374, Factor!$CL$5:$CV$50, 4, 0)</f>
        <v>L</v>
      </c>
      <c r="J374" s="29" t="str">
        <f>VLOOKUP(E374, Factor!$CL$5:$CV$50, 5, 0)</f>
        <v>armored</v>
      </c>
      <c r="K374" s="29">
        <v>1</v>
      </c>
      <c r="L374" s="29">
        <f>VLOOKUP(E374, Factor!$CL$5:$CV$50, 6, 0)*K374*VLOOKUP(D374, Factor!$BZ$5:$CJ$49, 9, 0)</f>
        <v>0</v>
      </c>
      <c r="M374" s="29" t="str">
        <f>VLOOKUP(E374, Factor!$CL$5:$CV$50, 7, 0)</f>
        <v>dots</v>
      </c>
      <c r="N374" s="29">
        <v>1</v>
      </c>
      <c r="O374" s="29">
        <f>VLOOKUP(E374, Factor!$CL$5:$CV$50, 8, 0)*N374*VLOOKUP(D374, Factor!$BZ$5:$CJ$49, 10, 0)</f>
        <v>40</v>
      </c>
      <c r="P374" s="29">
        <v>1</v>
      </c>
      <c r="Q374" s="29">
        <f>VLOOKUP(E374, Factor!$CL$5:$CV$50, 9, 0)*P374*VLOOKUP(D374, Factor!$BZ$5:$CJ$49, 11, 0)</f>
        <v>8</v>
      </c>
      <c r="R374" s="29" t="str">
        <f>VLOOKUP(E374, Factor!$CL$5:$CV$50, 10, 0)</f>
        <v>target</v>
      </c>
      <c r="S374" s="29" t="str">
        <f>VLOOKUP(E374, Factor!$CL$5:$CV$50, 11, 0)</f>
        <v>circle</v>
      </c>
      <c r="T374" s="29">
        <v>1</v>
      </c>
      <c r="U374" s="29">
        <v>1</v>
      </c>
      <c r="V374" s="29">
        <v>1</v>
      </c>
      <c r="W374" s="29">
        <v>1</v>
      </c>
      <c r="X374" s="29">
        <v>1</v>
      </c>
      <c r="Y374" s="29">
        <v>1</v>
      </c>
      <c r="Z374" s="29">
        <v>1</v>
      </c>
      <c r="AA374" s="29" cm="1">
        <f t="array" ref="AA374">_xlfn.LET(_xlpm.기본_색인번호, 2,
_xlpm.추가_색인번호, 3,
_xlpm.개별보정치, T374,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32400</v>
      </c>
      <c r="AB374" s="29" cm="1">
        <f t="array" ref="AB374">_xlfn.LET(_xlpm.기본_색인번호, 3,
_xlpm.추가_색인번호, 4,
_xlpm.개별보정치, U374,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74" s="29" cm="1">
        <f t="array" ref="AC374">_xlfn.LET(_xlpm.기본_색인번호, 4,
_xlpm.추가_색인번호, 5,
_xlpm.개별보정치, V374,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4" s="29" cm="1">
        <f t="array" ref="AD374">_xlfn.LET(_xlpm.기본_색인번호, 5,
_xlpm.추가_색인번호, 6,
_xlpm.개별보정치, W374,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E374" s="29" cm="1">
        <f t="array" ref="AE374">_xlfn.LET(_xlpm.기본_색인번호, 6,
_xlpm.추가_색인번호, 7,
_xlpm.개별보정치, X374,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F374" s="29" cm="1">
        <f t="array" ref="AF374">_xlfn.LET(_xlpm.기본_색인번호, 7,
_xlpm.추가_색인번호, 8,
_xlpm.개별보정치, Y374,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4" s="30" cm="1">
        <f t="array" ref="AG374">_xlfn.LET(_xlpm.기본_색인번호, 8,
_xlpm.추가_색인번호, 9,
_xlpm.개별보정치, Z374,
_xlpm.패턴보정치, VLOOKUP($G374, Factor!$B$5:$I$51, _xlpm.기본_색인번호, 0),
_xlpm.소모탄환보정치, VLOOKUP($H374, Factor!$T$5:$AA$51, _xlpm.기본_색인번호, 0),
_xlpm.지형보정치, VLOOKUP($I374, Factor!$K$12:$R$13, _xlpm.기본_색인번호, 0),
_xlpm.공격속성보정치, VLOOKUP($J374, Factor!$K$5:$R$7, _xlpm.기본_색인번호, 0),
_xlpm.피해범위보정치, INDEX(Factor!$AN$5:$AV$51, _xlfn.XMATCH(IF(OR($G374="blast", $G374="curved",  $G374= "debuff"), $L374, 0), Factor!$AN$5:$AN$51, -1), _xlpm.추가_색인번호)-IF(AND(OR($G374="blast", $G374="curved", $G374= "debuff"), MOD($L374,1)&lt;&gt;0),INDEX(Factor!$AN$5:$AV$51, _xlfn.XMATCH(IF(OR($G374="blast", $G374="curved", $G374= "debuff"), $L374, 0), Factor!$AN$5:$AN$51, -1), 2)*MOD($L374,1)*10,0),
_xlpm.상태이상보정치, VLOOKUP(IF($G374 = "debuff", $M374, "null"), Factor!$AX$5:$BE$51, _xlpm.기본_색인번호, 0),
_xlpm.지속시간보정치, INDEX(Factor!$BG$5:$BO$51, _xlfn.XMATCH(IF(OR($G374 ="debuff", $G374 = "shot", $G374 = "pierce"), $O374, 0), Factor!$BG$5:$BG$51, -1), _xlpm.추가_색인번호)-IF(AND(OR($G374 ="debuff", $G374 = "shot", $G374 = "pierce"), MOD($O374, 1)&lt;&gt;0), 10*MOD($O374, 1)*INDEX(Factor!$BG$5:$BO$51, _xlfn.XMATCH(IF(OR($G374 ="debuff", $G374 = "shot", $G374 = "pierce"), $O374, 0), Factor!$BG$5:$BG$51, -1), 2), 0),
_xlpm.탄환개수보정치, VLOOKUP(IF(OR($G374 = "curved", $G374 = "shot"), $Q374, 1), Factor!$BQ$5:$BX$51, _xlpm.기본_색인번호, 0),
_xlpm.상태이상탄환생성위치보정치, IF($G374 = "debuff", VLOOKUP($R374, Factor!$K$18:$R$19, _xlpm.기본_색인번호, 0),1),
_xlpm.상태이상탄환형태보정치, IF($G374 = "debuff", VLOOKUP($S374, Factor!$K$24:$R$25, _xlpm.기본_색인번호, 0),1),
_xlpm.가격보정치, INDEX(Factor!$AE$5:$AL$51, _xlfn.XMATCH($F374,Factor!$AE$5:$AE$51, -1), _xlpm.기본_색인번호),
_xlpm.구경보정치, VLOOKUP($D374,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</row>
    <row r="375" spans="1:33" ht="15.75" customHeight="1">
      <c r="A375" s="24" t="str">
        <f>"weapon_"&amp;G375&amp;"_"&amp;VLOOKUP(H375, Factor!$T$5:$AB$7, 9, 0)&amp;"_"&amp;IF(COUNTIFS($G$4:G374, G375, $H$4:H374, H375)+1&gt;=100, COUNTIFS($G$4:G374, G375, $H$4:H374, H375)+1,IF(COUNTIFS($G$4:G374, G375, $H$4:H374, H375)+1&gt;=10, "0"&amp;COUNTIFS($G$4:G374, G375, $H$4:H374, H375)+1, "00"&amp;COUNTIFS($G$4:G374, G375, $H$4:H374, H375)+1))</f>
        <v>weapon_debuff_Ms_019</v>
      </c>
      <c r="B375" s="36" t="str">
        <f t="shared" ref="B375:B438" si="6">C375&amp;" "&amp;IF(D375 = "none","", D375)&amp;E375</f>
        <v>T9 네이팜 미사일 발사대</v>
      </c>
      <c r="C375" s="36" t="s">
        <v>162</v>
      </c>
      <c r="D375" s="36" t="s">
        <v>275</v>
      </c>
      <c r="E375" s="36" t="s">
        <v>205</v>
      </c>
      <c r="F375" s="25">
        <f>VLOOKUP(C375, Factor!$AD$5:$AE$15, 2, 0)</f>
        <v>9000</v>
      </c>
      <c r="G375" s="26" t="str">
        <f>VLOOKUP(E375, Factor!$CL$5:$CV$50, 2, 0)</f>
        <v>debuff</v>
      </c>
      <c r="H375" s="25" t="str">
        <f>VLOOKUP(E375, Factor!$CL$5:$CV$50, 3, 0)</f>
        <v>missile</v>
      </c>
      <c r="I375" s="25" t="str">
        <f>VLOOKUP(E375, Factor!$CL$5:$CV$50, 4, 0)</f>
        <v>L</v>
      </c>
      <c r="J375" s="25" t="str">
        <f>VLOOKUP(E375, Factor!$CL$5:$CV$50, 5, 0)</f>
        <v>armored</v>
      </c>
      <c r="K375" s="25">
        <v>1</v>
      </c>
      <c r="L375" s="25">
        <f>VLOOKUP(E375, Factor!$CL$5:$CV$50, 6, 0)*K375*VLOOKUP(D375, Factor!$BZ$5:$CJ$49, 9, 0)</f>
        <v>0</v>
      </c>
      <c r="M375" s="25" t="str">
        <f>VLOOKUP(E375, Factor!$CL$5:$CV$50, 7, 0)</f>
        <v>dots</v>
      </c>
      <c r="N375" s="25">
        <v>1</v>
      </c>
      <c r="O375" s="25">
        <f>VLOOKUP(E375, Factor!$CL$5:$CV$50, 8, 0)*N375*VLOOKUP(D375, Factor!$BZ$5:$CJ$49, 10, 0)</f>
        <v>5</v>
      </c>
      <c r="P375" s="25">
        <v>1</v>
      </c>
      <c r="Q375" s="25">
        <f>VLOOKUP(E375, Factor!$CL$5:$CV$50, 9, 0)*P375*VLOOKUP(D375, Factor!$BZ$5:$CJ$49, 11, 0)</f>
        <v>1</v>
      </c>
      <c r="R375" s="25" t="str">
        <f>VLOOKUP(E375, Factor!$CL$5:$CV$50, 10, 0)</f>
        <v>target</v>
      </c>
      <c r="S375" s="25" t="str">
        <f>VLOOKUP(E375, Factor!$CL$5:$CV$50, 11, 0)</f>
        <v>circle</v>
      </c>
      <c r="T375" s="25">
        <v>1</v>
      </c>
      <c r="U375" s="25">
        <v>1</v>
      </c>
      <c r="V375" s="25">
        <v>1</v>
      </c>
      <c r="W375" s="25">
        <v>1</v>
      </c>
      <c r="X375" s="25">
        <v>1</v>
      </c>
      <c r="Y375" s="25">
        <v>1</v>
      </c>
      <c r="Z375" s="25">
        <v>1</v>
      </c>
      <c r="AA375" s="25" cm="1">
        <f t="array" ref="AA375">_xlfn.LET(_xlpm.기본_색인번호, 2,
_xlpm.추가_색인번호, 3,
_xlpm.개별보정치, T375,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18000</v>
      </c>
      <c r="AB375" s="25" cm="1">
        <f t="array" ref="AB375">_xlfn.LET(_xlpm.기본_색인번호, 3,
_xlpm.추가_색인번호, 4,
_xlpm.개별보정치, U375,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</v>
      </c>
      <c r="AC375" s="25" cm="1">
        <f t="array" ref="AC375">_xlfn.LET(_xlpm.기본_색인번호, 4,
_xlpm.추가_색인번호, 5,
_xlpm.개별보정치, V375,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75" s="25" cm="1">
        <f t="array" ref="AD375">_xlfn.LET(_xlpm.기본_색인번호, 5,
_xlpm.추가_색인번호, 6,
_xlpm.개별보정치, W375,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E375" s="25" cm="1">
        <f t="array" ref="AE375">_xlfn.LET(_xlpm.기본_색인번호, 6,
_xlpm.추가_색인번호, 7,
_xlpm.개별보정치, X375,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F375" s="25" cm="1">
        <f t="array" ref="AF375">_xlfn.LET(_xlpm.기본_색인번호, 7,
_xlpm.추가_색인번호, 8,
_xlpm.개별보정치, Y375,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75" s="27" cm="1">
        <f t="array" ref="AG375">_xlfn.LET(_xlpm.기본_색인번호, 8,
_xlpm.추가_색인번호, 9,
_xlpm.개별보정치, Z375,
_xlpm.패턴보정치, VLOOKUP($G375, Factor!$B$5:$I$51, _xlpm.기본_색인번호, 0),
_xlpm.소모탄환보정치, VLOOKUP($H375, Factor!$T$5:$AA$51, _xlpm.기본_색인번호, 0),
_xlpm.지형보정치, VLOOKUP($I375, Factor!$K$12:$R$13, _xlpm.기본_색인번호, 0),
_xlpm.공격속성보정치, VLOOKUP($J375, Factor!$K$5:$R$7, _xlpm.기본_색인번호, 0),
_xlpm.피해범위보정치, INDEX(Factor!$AN$5:$AV$51, _xlfn.XMATCH(IF(OR($G375="blast", $G375="curved",  $G375= "debuff"), $L375, 0), Factor!$AN$5:$AN$51, -1), _xlpm.추가_색인번호)-IF(AND(OR($G375="blast", $G375="curved", $G375= "debuff"), MOD($L375,1)&lt;&gt;0),INDEX(Factor!$AN$5:$AV$51, _xlfn.XMATCH(IF(OR($G375="blast", $G375="curved", $G375= "debuff"), $L375, 0), Factor!$AN$5:$AN$51, -1), 2)*MOD($L375,1)*10,0),
_xlpm.상태이상보정치, VLOOKUP(IF($G375 = "debuff", $M375, "null"), Factor!$AX$5:$BE$51, _xlpm.기본_색인번호, 0),
_xlpm.지속시간보정치, INDEX(Factor!$BG$5:$BO$51, _xlfn.XMATCH(IF(OR($G375 ="debuff", $G375 = "shot", $G375 = "pierce"), $O375, 0), Factor!$BG$5:$BG$51, -1), _xlpm.추가_색인번호)-IF(AND(OR($G375 ="debuff", $G375 = "shot", $G375 = "pierce"), MOD($O375, 1)&lt;&gt;0), 10*MOD($O375, 1)*INDEX(Factor!$BG$5:$BO$51, _xlfn.XMATCH(IF(OR($G375 ="debuff", $G375 = "shot", $G375 = "pierce"), $O375, 0), Factor!$BG$5:$BG$51, -1), 2), 0),
_xlpm.탄환개수보정치, VLOOKUP(IF(OR($G375 = "curved", $G375 = "shot"), $Q375, 1), Factor!$BQ$5:$BX$51, _xlpm.기본_색인번호, 0),
_xlpm.상태이상탄환생성위치보정치, IF($G375 = "debuff", VLOOKUP($R375, Factor!$K$18:$R$19, _xlpm.기본_색인번호, 0),1),
_xlpm.상태이상탄환형태보정치, IF($G375 = "debuff", VLOOKUP($S375, Factor!$K$24:$R$25, _xlpm.기본_색인번호, 0),1),
_xlpm.가격보정치, INDEX(Factor!$AE$5:$AL$51, _xlfn.XMATCH($F375,Factor!$AE$5:$AE$51, -1), _xlpm.기본_색인번호),
_xlpm.구경보정치, VLOOKUP($D375,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</row>
    <row r="376" spans="1:33" ht="15.75" customHeight="1">
      <c r="A376" s="28" t="str">
        <f>"weapon_"&amp;G376&amp;"_"&amp;VLOOKUP(H376, Factor!$T$5:$AB$7, 9, 0)&amp;"_"&amp;IF(COUNTIFS($G$4:G375, G376, $H$4:H375, H376)+1&gt;=100, COUNTIFS($G$4:G375, G376, $H$4:H375, H376)+1,IF(COUNTIFS($G$4:G375, G376, $H$4:H375, H376)+1&gt;=10, "0"&amp;COUNTIFS($G$4:G375, G376, $H$4:H375, H376)+1, "00"&amp;COUNTIFS($G$4:G375, G376, $H$4:H375, H376)+1))</f>
        <v>weapon_debuff_Ms_020</v>
      </c>
      <c r="B376" s="37" t="str">
        <f t="shared" si="6"/>
        <v>T9 240mm네이팜 미사일 발사대</v>
      </c>
      <c r="C376" s="37" t="s">
        <v>162</v>
      </c>
      <c r="D376" s="37" t="s">
        <v>267</v>
      </c>
      <c r="E376" s="37" t="s">
        <v>205</v>
      </c>
      <c r="F376" s="29">
        <f>VLOOKUP(C376, Factor!$AD$5:$AE$15, 2, 0)</f>
        <v>9000</v>
      </c>
      <c r="G376" s="29" t="str">
        <f>VLOOKUP(E376, Factor!$CL$5:$CV$50, 2, 0)</f>
        <v>debuff</v>
      </c>
      <c r="H376" s="29" t="str">
        <f>VLOOKUP(E376, Factor!$CL$5:$CV$50, 3, 0)</f>
        <v>missile</v>
      </c>
      <c r="I376" s="29" t="str">
        <f>VLOOKUP(E376, Factor!$CL$5:$CV$50, 4, 0)</f>
        <v>L</v>
      </c>
      <c r="J376" s="29" t="str">
        <f>VLOOKUP(E376, Factor!$CL$5:$CV$50, 5, 0)</f>
        <v>armored</v>
      </c>
      <c r="K376" s="29">
        <v>1</v>
      </c>
      <c r="L376" s="29">
        <f>VLOOKUP(E376, Factor!$CL$5:$CV$50, 6, 0)*K376*VLOOKUP(D376, Factor!$BZ$5:$CJ$49, 9, 0)</f>
        <v>0</v>
      </c>
      <c r="M376" s="29" t="str">
        <f>VLOOKUP(E376, Factor!$CL$5:$CV$50, 7, 0)</f>
        <v>dots</v>
      </c>
      <c r="N376" s="29">
        <v>1</v>
      </c>
      <c r="O376" s="29">
        <f>VLOOKUP(E376, Factor!$CL$5:$CV$50, 8, 0)*N376*VLOOKUP(D376, Factor!$BZ$5:$CJ$49, 10, 0)</f>
        <v>40</v>
      </c>
      <c r="P376" s="29">
        <v>1</v>
      </c>
      <c r="Q376" s="29">
        <f>VLOOKUP(E376, Factor!$CL$5:$CV$50, 9, 0)*P376*VLOOKUP(D376, Factor!$BZ$5:$CJ$49, 11, 0)</f>
        <v>8</v>
      </c>
      <c r="R376" s="29" t="str">
        <f>VLOOKUP(E376, Factor!$CL$5:$CV$50, 10, 0)</f>
        <v>target</v>
      </c>
      <c r="S376" s="29" t="str">
        <f>VLOOKUP(E376, Factor!$CL$5:$CV$50, 11, 0)</f>
        <v>circle</v>
      </c>
      <c r="T376" s="29">
        <v>1</v>
      </c>
      <c r="U376" s="29">
        <v>1</v>
      </c>
      <c r="V376" s="29">
        <v>1</v>
      </c>
      <c r="W376" s="29">
        <v>1</v>
      </c>
      <c r="X376" s="29">
        <v>1</v>
      </c>
      <c r="Y376" s="29">
        <v>1</v>
      </c>
      <c r="Z376" s="29">
        <v>1</v>
      </c>
      <c r="AA376" s="29" cm="1">
        <f t="array" ref="AA376">_xlfn.LET(_xlpm.기본_색인번호, 2,
_xlpm.추가_색인번호, 3,
_xlpm.개별보정치, T376,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36000</v>
      </c>
      <c r="AB376" s="29" cm="1">
        <f t="array" ref="AB376">_xlfn.LET(_xlpm.기본_색인번호, 3,
_xlpm.추가_색인번호, 4,
_xlpm.개별보정치, U376,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C376" s="29" cm="1">
        <f t="array" ref="AC376">_xlfn.LET(_xlpm.기본_색인번호, 4,
_xlpm.추가_색인번호, 5,
_xlpm.개별보정치, V376,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6" s="29" cm="1">
        <f t="array" ref="AD376">_xlfn.LET(_xlpm.기본_색인번호, 5,
_xlpm.추가_색인번호, 6,
_xlpm.개별보정치, W376,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E376" s="29" cm="1">
        <f t="array" ref="AE376">_xlfn.LET(_xlpm.기본_색인번호, 6,
_xlpm.추가_색인번호, 7,
_xlpm.개별보정치, X376,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F376" s="29" cm="1">
        <f t="array" ref="AF376">_xlfn.LET(_xlpm.기본_색인번호, 7,
_xlpm.추가_색인번호, 8,
_xlpm.개별보정치, Y376,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6" s="30" cm="1">
        <f t="array" ref="AG376">_xlfn.LET(_xlpm.기본_색인번호, 8,
_xlpm.추가_색인번호, 9,
_xlpm.개별보정치, Z376,
_xlpm.패턴보정치, VLOOKUP($G376, Factor!$B$5:$I$51, _xlpm.기본_색인번호, 0),
_xlpm.소모탄환보정치, VLOOKUP($H376, Factor!$T$5:$AA$51, _xlpm.기본_색인번호, 0),
_xlpm.지형보정치, VLOOKUP($I376, Factor!$K$12:$R$13, _xlpm.기본_색인번호, 0),
_xlpm.공격속성보정치, VLOOKUP($J376, Factor!$K$5:$R$7, _xlpm.기본_색인번호, 0),
_xlpm.피해범위보정치, INDEX(Factor!$AN$5:$AV$51, _xlfn.XMATCH(IF(OR($G376="blast", $G376="curved",  $G376= "debuff"), $L376, 0), Factor!$AN$5:$AN$51, -1), _xlpm.추가_색인번호)-IF(AND(OR($G376="blast", $G376="curved", $G376= "debuff"), MOD($L376,1)&lt;&gt;0),INDEX(Factor!$AN$5:$AV$51, _xlfn.XMATCH(IF(OR($G376="blast", $G376="curved", $G376= "debuff"), $L376, 0), Factor!$AN$5:$AN$51, -1), 2)*MOD($L376,1)*10,0),
_xlpm.상태이상보정치, VLOOKUP(IF($G376 = "debuff", $M376, "null"), Factor!$AX$5:$BE$51, _xlpm.기본_색인번호, 0),
_xlpm.지속시간보정치, INDEX(Factor!$BG$5:$BO$51, _xlfn.XMATCH(IF(OR($G376 ="debuff", $G376 = "shot", $G376 = "pierce"), $O376, 0), Factor!$BG$5:$BG$51, -1), _xlpm.추가_색인번호)-IF(AND(OR($G376 ="debuff", $G376 = "shot", $G376 = "pierce"), MOD($O376, 1)&lt;&gt;0), 10*MOD($O376, 1)*INDEX(Factor!$BG$5:$BO$51, _xlfn.XMATCH(IF(OR($G376 ="debuff", $G376 = "shot", $G376 = "pierce"), $O376, 0), Factor!$BG$5:$BG$51, -1), 2), 0),
_xlpm.탄환개수보정치, VLOOKUP(IF(OR($G376 = "curved", $G376 = "shot"), $Q376, 1), Factor!$BQ$5:$BX$51, _xlpm.기본_색인번호, 0),
_xlpm.상태이상탄환생성위치보정치, IF($G376 = "debuff", VLOOKUP($R376, Factor!$K$18:$R$19, _xlpm.기본_색인번호, 0),1),
_xlpm.상태이상탄환형태보정치, IF($G376 = "debuff", VLOOKUP($S376, Factor!$K$24:$R$25, _xlpm.기본_색인번호, 0),1),
_xlpm.가격보정치, INDEX(Factor!$AE$5:$AL$51, _xlfn.XMATCH($F376,Factor!$AE$5:$AE$51, -1), _xlpm.기본_색인번호),
_xlpm.구경보정치, VLOOKUP($D376,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</row>
    <row r="377" spans="1:33" ht="15.75" customHeight="1">
      <c r="A377" s="24" t="str">
        <f>"weapon_"&amp;G377&amp;"_"&amp;VLOOKUP(H377, Factor!$T$5:$AB$7, 9, 0)&amp;"_"&amp;IF(COUNTIFS($G$4:G376, G377, $H$4:H376, H377)+1&gt;=100, COUNTIFS($G$4:G376, G377, $H$4:H376, H377)+1,IF(COUNTIFS($G$4:G376, G377, $H$4:H376, H377)+1&gt;=10, "0"&amp;COUNTIFS($G$4:G376, G377, $H$4:H376, H377)+1, "00"&amp;COUNTIFS($G$4:G376, G377, $H$4:H376, H377)+1))</f>
        <v>weapon_debuff_Ms_021</v>
      </c>
      <c r="B377" s="36" t="str">
        <f t="shared" si="6"/>
        <v>T10 네이팜 미사일 발사대</v>
      </c>
      <c r="C377" s="36" t="s">
        <v>163</v>
      </c>
      <c r="D377" s="36" t="s">
        <v>275</v>
      </c>
      <c r="E377" s="36" t="s">
        <v>205</v>
      </c>
      <c r="F377" s="25">
        <f>VLOOKUP(C377, Factor!$AD$5:$AE$15, 2, 0)</f>
        <v>10000</v>
      </c>
      <c r="G377" s="26" t="str">
        <f>VLOOKUP(E377, Factor!$CL$5:$CV$50, 2, 0)</f>
        <v>debuff</v>
      </c>
      <c r="H377" s="25" t="str">
        <f>VLOOKUP(E377, Factor!$CL$5:$CV$50, 3, 0)</f>
        <v>missile</v>
      </c>
      <c r="I377" s="25" t="str">
        <f>VLOOKUP(E377, Factor!$CL$5:$CV$50, 4, 0)</f>
        <v>L</v>
      </c>
      <c r="J377" s="25" t="str">
        <f>VLOOKUP(E377, Factor!$CL$5:$CV$50, 5, 0)</f>
        <v>armored</v>
      </c>
      <c r="K377" s="25">
        <v>1</v>
      </c>
      <c r="L377" s="25">
        <f>VLOOKUP(E377, Factor!$CL$5:$CV$50, 6, 0)*K377*VLOOKUP(D377, Factor!$BZ$5:$CJ$49, 9, 0)</f>
        <v>0</v>
      </c>
      <c r="M377" s="25" t="str">
        <f>VLOOKUP(E377, Factor!$CL$5:$CV$50, 7, 0)</f>
        <v>dots</v>
      </c>
      <c r="N377" s="25">
        <v>1</v>
      </c>
      <c r="O377" s="25">
        <f>VLOOKUP(E377, Factor!$CL$5:$CV$50, 8, 0)*N377*VLOOKUP(D377, Factor!$BZ$5:$CJ$49, 10, 0)</f>
        <v>5</v>
      </c>
      <c r="P377" s="25">
        <v>1</v>
      </c>
      <c r="Q377" s="25">
        <f>VLOOKUP(E377, Factor!$CL$5:$CV$50, 9, 0)*P377*VLOOKUP(D377, Factor!$BZ$5:$CJ$49, 11, 0)</f>
        <v>1</v>
      </c>
      <c r="R377" s="25" t="str">
        <f>VLOOKUP(E377, Factor!$CL$5:$CV$50, 10, 0)</f>
        <v>target</v>
      </c>
      <c r="S377" s="25" t="str">
        <f>VLOOKUP(E377, Factor!$CL$5:$CV$50, 11, 0)</f>
        <v>circle</v>
      </c>
      <c r="T377" s="25">
        <v>1</v>
      </c>
      <c r="U377" s="25">
        <v>1</v>
      </c>
      <c r="V377" s="25">
        <v>1</v>
      </c>
      <c r="W377" s="25">
        <v>1</v>
      </c>
      <c r="X377" s="25">
        <v>1</v>
      </c>
      <c r="Y377" s="25">
        <v>1</v>
      </c>
      <c r="Z377" s="25">
        <v>1</v>
      </c>
      <c r="AA377" s="25" cm="1">
        <f t="array" ref="AA377">_xlfn.LET(_xlpm.기본_색인번호, 2,
_xlpm.추가_색인번호, 3,
_xlpm.개별보정치, T377,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19800</v>
      </c>
      <c r="AB377" s="25" cm="1">
        <f t="array" ref="AB377">_xlfn.LET(_xlpm.기본_색인번호, 3,
_xlpm.추가_색인번호, 4,
_xlpm.개별보정치, U377,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630</v>
      </c>
      <c r="AC377" s="25" cm="1">
        <f t="array" ref="AC377">_xlfn.LET(_xlpm.기본_색인번호, 4,
_xlpm.추가_색인번호, 5,
_xlpm.개별보정치, V377,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D377" s="25" cm="1">
        <f t="array" ref="AD377">_xlfn.LET(_xlpm.기본_색인번호, 5,
_xlpm.추가_색인번호, 6,
_xlpm.개별보정치, W377,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990</v>
      </c>
      <c r="AE377" s="25" cm="1">
        <f t="array" ref="AE377">_xlfn.LET(_xlpm.기본_색인번호, 6,
_xlpm.추가_색인번호, 7,
_xlpm.개별보정치, X377,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990</v>
      </c>
      <c r="AF377" s="25" cm="1">
        <f t="array" ref="AF377">_xlfn.LET(_xlpm.기본_색인번호, 7,
_xlpm.추가_색인번호, 8,
_xlpm.개별보정치, Y377,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G377" s="27" cm="1">
        <f t="array" ref="AG377">_xlfn.LET(_xlpm.기본_색인번호, 8,
_xlpm.추가_색인번호, 9,
_xlpm.개별보정치, Z377,
_xlpm.패턴보정치, VLOOKUP($G377, Factor!$B$5:$I$51, _xlpm.기본_색인번호, 0),
_xlpm.소모탄환보정치, VLOOKUP($H377, Factor!$T$5:$AA$51, _xlpm.기본_색인번호, 0),
_xlpm.지형보정치, VLOOKUP($I377, Factor!$K$12:$R$13, _xlpm.기본_색인번호, 0),
_xlpm.공격속성보정치, VLOOKUP($J377, Factor!$K$5:$R$7, _xlpm.기본_색인번호, 0),
_xlpm.피해범위보정치, INDEX(Factor!$AN$5:$AV$51, _xlfn.XMATCH(IF(OR($G377="blast", $G377="curved",  $G377= "debuff"), $L377, 0), Factor!$AN$5:$AN$51, -1), _xlpm.추가_색인번호)-IF(AND(OR($G377="blast", $G377="curved", $G377= "debuff"), MOD($L377,1)&lt;&gt;0),INDEX(Factor!$AN$5:$AV$51, _xlfn.XMATCH(IF(OR($G377="blast", $G377="curved", $G377= "debuff"), $L377, 0), Factor!$AN$5:$AN$51, -1), 2)*MOD($L377,1)*10,0),
_xlpm.상태이상보정치, VLOOKUP(IF($G377 = "debuff", $M377, "null"), Factor!$AX$5:$BE$51, _xlpm.기본_색인번호, 0),
_xlpm.지속시간보정치, INDEX(Factor!$BG$5:$BO$51, _xlfn.XMATCH(IF(OR($G377 ="debuff", $G377 = "shot", $G377 = "pierce"), $O377, 0), Factor!$BG$5:$BG$51, -1), _xlpm.추가_색인번호)-IF(AND(OR($G377 ="debuff", $G377 = "shot", $G377 = "pierce"), MOD($O377, 1)&lt;&gt;0), 10*MOD($O377, 1)*INDEX(Factor!$BG$5:$BO$51, _xlfn.XMATCH(IF(OR($G377 ="debuff", $G377 = "shot", $G377 = "pierce"), $O377, 0), Factor!$BG$5:$BG$51, -1), 2), 0),
_xlpm.탄환개수보정치, VLOOKUP(IF(OR($G377 = "curved", $G377 = "shot"), $Q377, 1), Factor!$BQ$5:$BX$51, _xlpm.기본_색인번호, 0),
_xlpm.상태이상탄환생성위치보정치, IF($G377 = "debuff", VLOOKUP($R377, Factor!$K$18:$R$19, _xlpm.기본_색인번호, 0),1),
_xlpm.상태이상탄환형태보정치, IF($G377 = "debuff", VLOOKUP($S377, Factor!$K$24:$R$25, _xlpm.기본_색인번호, 0),1),
_xlpm.가격보정치, INDEX(Factor!$AE$5:$AL$51, _xlfn.XMATCH($F377,Factor!$AE$5:$AE$51, -1), _xlpm.기본_색인번호),
_xlpm.구경보정치, VLOOKUP($D377,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990</v>
      </c>
    </row>
    <row r="378" spans="1:33" ht="15.75" customHeight="1">
      <c r="A378" s="28" t="str">
        <f>"weapon_"&amp;G378&amp;"_"&amp;VLOOKUP(H378, Factor!$T$5:$AB$7, 9, 0)&amp;"_"&amp;IF(COUNTIFS($G$4:G377, G378, $H$4:H377, H378)+1&gt;=100, COUNTIFS($G$4:G377, G378, $H$4:H377, H378)+1,IF(COUNTIFS($G$4:G377, G378, $H$4:H377, H378)+1&gt;=10, "0"&amp;COUNTIFS($G$4:G377, G378, $H$4:H377, H378)+1, "00"&amp;COUNTIFS($G$4:G377, G378, $H$4:H377, H378)+1))</f>
        <v>weapon_debuff_Ms_022</v>
      </c>
      <c r="B378" s="37" t="str">
        <f t="shared" si="6"/>
        <v>T10 240mm네이팜 미사일 발사대</v>
      </c>
      <c r="C378" s="37" t="s">
        <v>163</v>
      </c>
      <c r="D378" s="37" t="s">
        <v>267</v>
      </c>
      <c r="E378" s="37" t="s">
        <v>205</v>
      </c>
      <c r="F378" s="29">
        <f>VLOOKUP(C378, Factor!$AD$5:$AE$15, 2, 0)</f>
        <v>10000</v>
      </c>
      <c r="G378" s="29" t="str">
        <f>VLOOKUP(E378, Factor!$CL$5:$CV$50, 2, 0)</f>
        <v>debuff</v>
      </c>
      <c r="H378" s="29" t="str">
        <f>VLOOKUP(E378, Factor!$CL$5:$CV$50, 3, 0)</f>
        <v>missile</v>
      </c>
      <c r="I378" s="29" t="str">
        <f>VLOOKUP(E378, Factor!$CL$5:$CV$50, 4, 0)</f>
        <v>L</v>
      </c>
      <c r="J378" s="29" t="str">
        <f>VLOOKUP(E378, Factor!$CL$5:$CV$50, 5, 0)</f>
        <v>armored</v>
      </c>
      <c r="K378" s="29">
        <v>1</v>
      </c>
      <c r="L378" s="29">
        <f>VLOOKUP(E378, Factor!$CL$5:$CV$50, 6, 0)*K378*VLOOKUP(D378, Factor!$BZ$5:$CJ$49, 9, 0)</f>
        <v>0</v>
      </c>
      <c r="M378" s="29" t="str">
        <f>VLOOKUP(E378, Factor!$CL$5:$CV$50, 7, 0)</f>
        <v>dots</v>
      </c>
      <c r="N378" s="29">
        <v>1</v>
      </c>
      <c r="O378" s="29">
        <f>VLOOKUP(E378, Factor!$CL$5:$CV$50, 8, 0)*N378*VLOOKUP(D378, Factor!$BZ$5:$CJ$49, 10, 0)</f>
        <v>40</v>
      </c>
      <c r="P378" s="29">
        <v>1</v>
      </c>
      <c r="Q378" s="29">
        <f>VLOOKUP(E378, Factor!$CL$5:$CV$50, 9, 0)*P378*VLOOKUP(D378, Factor!$BZ$5:$CJ$49, 11, 0)</f>
        <v>8</v>
      </c>
      <c r="R378" s="29" t="str">
        <f>VLOOKUP(E378, Factor!$CL$5:$CV$50, 10, 0)</f>
        <v>target</v>
      </c>
      <c r="S378" s="29" t="str">
        <f>VLOOKUP(E378, Factor!$CL$5:$CV$50, 11, 0)</f>
        <v>circle</v>
      </c>
      <c r="T378" s="29">
        <v>1</v>
      </c>
      <c r="U378" s="29">
        <v>1</v>
      </c>
      <c r="V378" s="29">
        <v>1</v>
      </c>
      <c r="W378" s="29">
        <v>1</v>
      </c>
      <c r="X378" s="29">
        <v>1</v>
      </c>
      <c r="Y378" s="29">
        <v>1</v>
      </c>
      <c r="Z378" s="29">
        <v>1</v>
      </c>
      <c r="AA378" s="29" cm="1">
        <f t="array" ref="AA378">_xlfn.LET(_xlpm.기본_색인번호, 2,
_xlpm.추가_색인번호, 3,
_xlpm.개별보정치, T378,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39600</v>
      </c>
      <c r="AB378" s="29" cm="1">
        <f t="array" ref="AB378">_xlfn.LET(_xlpm.기본_색인번호, 3,
_xlpm.추가_색인번호, 4,
_xlpm.개별보정치, U378,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C378" s="29" cm="1">
        <f t="array" ref="AC378">_xlfn.LET(_xlpm.기본_색인번호, 4,
_xlpm.추가_색인번호, 5,
_xlpm.개별보정치, V378,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8" s="29" cm="1">
        <f t="array" ref="AD378">_xlfn.LET(_xlpm.기본_색인번호, 5,
_xlpm.추가_색인번호, 6,
_xlpm.개별보정치, W378,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  <c r="AE378" s="29" cm="1">
        <f t="array" ref="AE378">_xlfn.LET(_xlpm.기본_색인번호, 6,
_xlpm.추가_색인번호, 7,
_xlpm.개별보정치, X378,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  <c r="AF378" s="29" cm="1">
        <f t="array" ref="AF378">_xlfn.LET(_xlpm.기본_색인번호, 7,
_xlpm.추가_색인번호, 8,
_xlpm.개별보정치, Y378,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8" s="30" cm="1">
        <f t="array" ref="AG378">_xlfn.LET(_xlpm.기본_색인번호, 8,
_xlpm.추가_색인번호, 9,
_xlpm.개별보정치, Z378,
_xlpm.패턴보정치, VLOOKUP($G378, Factor!$B$5:$I$51, _xlpm.기본_색인번호, 0),
_xlpm.소모탄환보정치, VLOOKUP($H378, Factor!$T$5:$AA$51, _xlpm.기본_색인번호, 0),
_xlpm.지형보정치, VLOOKUP($I378, Factor!$K$12:$R$13, _xlpm.기본_색인번호, 0),
_xlpm.공격속성보정치, VLOOKUP($J378, Factor!$K$5:$R$7, _xlpm.기본_색인번호, 0),
_xlpm.피해범위보정치, INDEX(Factor!$AN$5:$AV$51, _xlfn.XMATCH(IF(OR($G378="blast", $G378="curved",  $G378= "debuff"), $L378, 0), Factor!$AN$5:$AN$51, -1), _xlpm.추가_색인번호)-IF(AND(OR($G378="blast", $G378="curved", $G378= "debuff"), MOD($L378,1)&lt;&gt;0),INDEX(Factor!$AN$5:$AV$51, _xlfn.XMATCH(IF(OR($G378="blast", $G378="curved", $G378= "debuff"), $L378, 0), Factor!$AN$5:$AN$51, -1), 2)*MOD($L378,1)*10,0),
_xlpm.상태이상보정치, VLOOKUP(IF($G378 = "debuff", $M378, "null"), Factor!$AX$5:$BE$51, _xlpm.기본_색인번호, 0),
_xlpm.지속시간보정치, INDEX(Factor!$BG$5:$BO$51, _xlfn.XMATCH(IF(OR($G378 ="debuff", $G378 = "shot", $G378 = "pierce"), $O378, 0), Factor!$BG$5:$BG$51, -1), _xlpm.추가_색인번호)-IF(AND(OR($G378 ="debuff", $G378 = "shot", $G378 = "pierce"), MOD($O378, 1)&lt;&gt;0), 10*MOD($O378, 1)*INDEX(Factor!$BG$5:$BO$51, _xlfn.XMATCH(IF(OR($G378 ="debuff", $G378 = "shot", $G378 = "pierce"), $O378, 0), Factor!$BG$5:$BG$51, -1), 2), 0),
_xlpm.탄환개수보정치, VLOOKUP(IF(OR($G378 = "curved", $G378 = "shot"), $Q378, 1), Factor!$BQ$5:$BX$51, _xlpm.기본_색인번호, 0),
_xlpm.상태이상탄환생성위치보정치, IF($G378 = "debuff", VLOOKUP($R378, Factor!$K$18:$R$19, _xlpm.기본_색인번호, 0),1),
_xlpm.상태이상탄환형태보정치, IF($G378 = "debuff", VLOOKUP($S378, Factor!$K$24:$R$25, _xlpm.기본_색인번호, 0),1),
_xlpm.가격보정치, INDEX(Factor!$AE$5:$AL$51, _xlfn.XMATCH($F378,Factor!$AE$5:$AE$51, -1), _xlpm.기본_색인번호),
_xlpm.구경보정치, VLOOKUP($D378,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</row>
    <row r="379" spans="1:33" ht="15.75" customHeight="1">
      <c r="A379" s="24" t="str">
        <f>"weapon_"&amp;G379&amp;"_"&amp;VLOOKUP(H379, Factor!$T$5:$AB$7, 9, 0)&amp;"_"&amp;IF(COUNTIFS($G$4:G378, G379, $H$4:H378, H379)+1&gt;=100, COUNTIFS($G$4:G378, G379, $H$4:H378, H379)+1,IF(COUNTIFS($G$4:G378, G379, $H$4:H378, H379)+1&gt;=10, "0"&amp;COUNTIFS($G$4:G378, G379, $H$4:H378, H379)+1, "00"&amp;COUNTIFS($G$4:G378, G379, $H$4:H378, H379)+1))</f>
        <v>weapon_debuff_Ms_023</v>
      </c>
      <c r="B379" s="36" t="str">
        <f t="shared" si="6"/>
        <v>녹슨 벙커버스터 미사일 발사대</v>
      </c>
      <c r="C379" s="36" t="s">
        <v>239</v>
      </c>
      <c r="D379" s="36" t="s">
        <v>275</v>
      </c>
      <c r="E379" s="36" t="s">
        <v>207</v>
      </c>
      <c r="F379" s="25">
        <f>VLOOKUP(C379, Factor!$AD$5:$AE$15, 2, 0)</f>
        <v>0</v>
      </c>
      <c r="G379" s="26" t="str">
        <f>VLOOKUP(E379, Factor!$CL$5:$CV$50, 2, 0)</f>
        <v>debuff</v>
      </c>
      <c r="H379" s="25" t="str">
        <f>VLOOKUP(E379, Factor!$CL$5:$CV$50, 3, 0)</f>
        <v>missile</v>
      </c>
      <c r="I379" s="25" t="str">
        <f>VLOOKUP(E379, Factor!$CL$5:$CV$50, 4, 0)</f>
        <v>L</v>
      </c>
      <c r="J379" s="25" t="str">
        <f>VLOOKUP(E379, Factor!$CL$5:$CV$50, 5, 0)</f>
        <v>armored</v>
      </c>
      <c r="K379" s="25">
        <v>1</v>
      </c>
      <c r="L379" s="25">
        <f>VLOOKUP(E379, Factor!$CL$5:$CV$50, 6, 0)*K379*VLOOKUP(D379, Factor!$BZ$5:$CJ$49, 9, 0)</f>
        <v>0</v>
      </c>
      <c r="M379" s="25" t="str">
        <f>VLOOKUP(E379, Factor!$CL$5:$CV$50, 7, 0)</f>
        <v>deflow</v>
      </c>
      <c r="N379" s="25">
        <v>1</v>
      </c>
      <c r="O379" s="25">
        <f>VLOOKUP(E379, Factor!$CL$5:$CV$50, 8, 0)*N379*VLOOKUP(D379, Factor!$BZ$5:$CJ$49, 10, 0)</f>
        <v>5</v>
      </c>
      <c r="P379" s="25">
        <v>1</v>
      </c>
      <c r="Q379" s="25">
        <f>VLOOKUP(E379, Factor!$CL$5:$CV$50, 9, 0)*P379*VLOOKUP(D379, Factor!$BZ$5:$CJ$49, 11, 0)</f>
        <v>1</v>
      </c>
      <c r="R379" s="25" t="str">
        <f>VLOOKUP(E379, Factor!$CL$5:$CV$50, 10, 0)</f>
        <v>target</v>
      </c>
      <c r="S379" s="25" t="str">
        <f>VLOOKUP(E379, Factor!$CL$5:$CV$50, 11, 0)</f>
        <v>circle</v>
      </c>
      <c r="T379" s="25">
        <v>1</v>
      </c>
      <c r="U379" s="25">
        <v>1</v>
      </c>
      <c r="V379" s="25">
        <v>1</v>
      </c>
      <c r="W379" s="25">
        <v>1</v>
      </c>
      <c r="X379" s="25">
        <v>1</v>
      </c>
      <c r="Y379" s="25">
        <v>1</v>
      </c>
      <c r="Z379" s="25">
        <v>1</v>
      </c>
      <c r="AA379" s="25" cm="1">
        <f t="array" ref="AA379">_xlfn.LET(_xlpm.기본_색인번호, 2,
_xlpm.추가_색인번호, 3,
_xlpm.개별보정치, T379,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379" s="25" cm="1">
        <f t="array" ref="AB379">_xlfn.LET(_xlpm.기본_색인번호, 3,
_xlpm.추가_색인번호, 4,
_xlpm.개별보정치, U379,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79" s="25" cm="1">
        <f t="array" ref="AC379">_xlfn.LET(_xlpm.기본_색인번호, 4,
_xlpm.추가_색인번호, 5,
_xlpm.개별보정치, V379,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79" s="25" cm="1">
        <f t="array" ref="AD379">_xlfn.LET(_xlpm.기본_색인번호, 5,
_xlpm.추가_색인번호, 6,
_xlpm.개별보정치, W379,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379" s="25" cm="1">
        <f t="array" ref="AE379">_xlfn.LET(_xlpm.기본_색인번호, 6,
_xlpm.추가_색인번호, 7,
_xlpm.개별보정치, X379,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379" s="25" cm="1">
        <f t="array" ref="AF379">_xlfn.LET(_xlpm.기본_색인번호, 7,
_xlpm.추가_색인번호, 8,
_xlpm.개별보정치, Y379,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79" s="27" cm="1">
        <f t="array" ref="AG379">_xlfn.LET(_xlpm.기본_색인번호, 8,
_xlpm.추가_색인번호, 9,
_xlpm.개별보정치, Z379,
_xlpm.패턴보정치, VLOOKUP($G379, Factor!$B$5:$I$51, _xlpm.기본_색인번호, 0),
_xlpm.소모탄환보정치, VLOOKUP($H379, Factor!$T$5:$AA$51, _xlpm.기본_색인번호, 0),
_xlpm.지형보정치, VLOOKUP($I379, Factor!$K$12:$R$13, _xlpm.기본_색인번호, 0),
_xlpm.공격속성보정치, VLOOKUP($J379, Factor!$K$5:$R$7, _xlpm.기본_색인번호, 0),
_xlpm.피해범위보정치, INDEX(Factor!$AN$5:$AV$51, _xlfn.XMATCH(IF(OR($G379="blast", $G379="curved",  $G379= "debuff"), $L379, 0), Factor!$AN$5:$AN$51, -1), _xlpm.추가_색인번호)-IF(AND(OR($G379="blast", $G379="curved", $G379= "debuff"), MOD($L379,1)&lt;&gt;0),INDEX(Factor!$AN$5:$AV$51, _xlfn.XMATCH(IF(OR($G379="blast", $G379="curved", $G379= "debuff"), $L379, 0), Factor!$AN$5:$AN$51, -1), 2)*MOD($L379,1)*10,0),
_xlpm.상태이상보정치, VLOOKUP(IF($G379 = "debuff", $M379, "null"), Factor!$AX$5:$BE$51, _xlpm.기본_색인번호, 0),
_xlpm.지속시간보정치, INDEX(Factor!$BG$5:$BO$51, _xlfn.XMATCH(IF(OR($G379 ="debuff", $G379 = "shot", $G379 = "pierce"), $O379, 0), Factor!$BG$5:$BG$51, -1), _xlpm.추가_색인번호)-IF(AND(OR($G379 ="debuff", $G379 = "shot", $G379 = "pierce"), MOD($O379, 1)&lt;&gt;0), 10*MOD($O379, 1)*INDEX(Factor!$BG$5:$BO$51, _xlfn.XMATCH(IF(OR($G379 ="debuff", $G379 = "shot", $G379 = "pierce"), $O379, 0), Factor!$BG$5:$BG$51, -1), 2), 0),
_xlpm.탄환개수보정치, VLOOKUP(IF(OR($G379 = "curved", $G379 = "shot"), $Q379, 1), Factor!$BQ$5:$BX$51, _xlpm.기본_색인번호, 0),
_xlpm.상태이상탄환생성위치보정치, IF($G379 = "debuff", VLOOKUP($R379, Factor!$K$18:$R$19, _xlpm.기본_색인번호, 0),1),
_xlpm.상태이상탄환형태보정치, IF($G379 = "debuff", VLOOKUP($S379, Factor!$K$24:$R$25, _xlpm.기본_색인번호, 0),1),
_xlpm.가격보정치, INDEX(Factor!$AE$5:$AL$51, _xlfn.XMATCH($F379,Factor!$AE$5:$AE$51, -1), _xlpm.기본_색인번호),
_xlpm.구경보정치, VLOOKUP($D379,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380" spans="1:33" ht="15.75" customHeight="1">
      <c r="A380" s="28" t="str">
        <f>"weapon_"&amp;G380&amp;"_"&amp;VLOOKUP(H380, Factor!$T$5:$AB$7, 9, 0)&amp;"_"&amp;IF(COUNTIFS($G$4:G379, G380, $H$4:H379, H380)+1&gt;=100, COUNTIFS($G$4:G379, G380, $H$4:H379, H380)+1,IF(COUNTIFS($G$4:G379, G380, $H$4:H379, H380)+1&gt;=10, "0"&amp;COUNTIFS($G$4:G379, G380, $H$4:H379, H380)+1, "00"&amp;COUNTIFS($G$4:G379, G380, $H$4:H379, H380)+1))</f>
        <v>weapon_debuff_Ms_024</v>
      </c>
      <c r="B380" s="37" t="str">
        <f t="shared" si="6"/>
        <v>녹슨 240mm벙커버스터 미사일 발사대</v>
      </c>
      <c r="C380" s="37" t="s">
        <v>239</v>
      </c>
      <c r="D380" s="37" t="s">
        <v>267</v>
      </c>
      <c r="E380" s="37" t="s">
        <v>207</v>
      </c>
      <c r="F380" s="29">
        <f>VLOOKUP(C380, Factor!$AD$5:$AE$15, 2, 0)</f>
        <v>0</v>
      </c>
      <c r="G380" s="29" t="str">
        <f>VLOOKUP(E380, Factor!$CL$5:$CV$50, 2, 0)</f>
        <v>debuff</v>
      </c>
      <c r="H380" s="29" t="str">
        <f>VLOOKUP(E380, Factor!$CL$5:$CV$50, 3, 0)</f>
        <v>missile</v>
      </c>
      <c r="I380" s="29" t="str">
        <f>VLOOKUP(E380, Factor!$CL$5:$CV$50, 4, 0)</f>
        <v>L</v>
      </c>
      <c r="J380" s="29" t="str">
        <f>VLOOKUP(E380, Factor!$CL$5:$CV$50, 5, 0)</f>
        <v>armored</v>
      </c>
      <c r="K380" s="29">
        <v>1</v>
      </c>
      <c r="L380" s="29">
        <f>VLOOKUP(E380, Factor!$CL$5:$CV$50, 6, 0)*K380*VLOOKUP(D380, Factor!$BZ$5:$CJ$49, 9, 0)</f>
        <v>0</v>
      </c>
      <c r="M380" s="29" t="str">
        <f>VLOOKUP(E380, Factor!$CL$5:$CV$50, 7, 0)</f>
        <v>deflow</v>
      </c>
      <c r="N380" s="29">
        <v>1</v>
      </c>
      <c r="O380" s="29">
        <f>VLOOKUP(E380, Factor!$CL$5:$CV$50, 8, 0)*N380*VLOOKUP(D380, Factor!$BZ$5:$CJ$49, 10, 0)</f>
        <v>40</v>
      </c>
      <c r="P380" s="29">
        <v>1</v>
      </c>
      <c r="Q380" s="29">
        <f>VLOOKUP(E380, Factor!$CL$5:$CV$50, 9, 0)*P380*VLOOKUP(D380, Factor!$BZ$5:$CJ$49, 11, 0)</f>
        <v>8</v>
      </c>
      <c r="R380" s="29" t="str">
        <f>VLOOKUP(E380, Factor!$CL$5:$CV$50, 10, 0)</f>
        <v>target</v>
      </c>
      <c r="S380" s="29" t="str">
        <f>VLOOKUP(E380, Factor!$CL$5:$CV$50, 11, 0)</f>
        <v>circle</v>
      </c>
      <c r="T380" s="29">
        <v>1</v>
      </c>
      <c r="U380" s="29">
        <v>1</v>
      </c>
      <c r="V380" s="29">
        <v>1</v>
      </c>
      <c r="W380" s="29">
        <v>1</v>
      </c>
      <c r="X380" s="29">
        <v>1</v>
      </c>
      <c r="Y380" s="29">
        <v>1</v>
      </c>
      <c r="Z380" s="29">
        <v>1</v>
      </c>
      <c r="AA380" s="29" cm="1">
        <f t="array" ref="AA380">_xlfn.LET(_xlpm.기본_색인번호, 2,
_xlpm.추가_색인번호, 3,
_xlpm.개별보정치, T380,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380" s="29" cm="1">
        <f t="array" ref="AB380">_xlfn.LET(_xlpm.기본_색인번호, 3,
_xlpm.추가_색인번호, 4,
_xlpm.개별보정치, U380,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C380" s="29" cm="1">
        <f t="array" ref="AC380">_xlfn.LET(_xlpm.기본_색인번호, 4,
_xlpm.추가_색인번호, 5,
_xlpm.개별보정치, V380,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80" s="29" cm="1">
        <f t="array" ref="AD380">_xlfn.LET(_xlpm.기본_색인번호, 5,
_xlpm.추가_색인번호, 6,
_xlpm.개별보정치, W380,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E380" s="29" cm="1">
        <f t="array" ref="AE380">_xlfn.LET(_xlpm.기본_색인번호, 6,
_xlpm.추가_색인번호, 7,
_xlpm.개별보정치, X380,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F380" s="29" cm="1">
        <f t="array" ref="AF380">_xlfn.LET(_xlpm.기본_색인번호, 7,
_xlpm.추가_색인번호, 8,
_xlpm.개별보정치, Y380,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80" s="30" cm="1">
        <f t="array" ref="AG380">_xlfn.LET(_xlpm.기본_색인번호, 8,
_xlpm.추가_색인번호, 9,
_xlpm.개별보정치, Z380,
_xlpm.패턴보정치, VLOOKUP($G380, Factor!$B$5:$I$51, _xlpm.기본_색인번호, 0),
_xlpm.소모탄환보정치, VLOOKUP($H380, Factor!$T$5:$AA$51, _xlpm.기본_색인번호, 0),
_xlpm.지형보정치, VLOOKUP($I380, Factor!$K$12:$R$13, _xlpm.기본_색인번호, 0),
_xlpm.공격속성보정치, VLOOKUP($J380, Factor!$K$5:$R$7, _xlpm.기본_색인번호, 0),
_xlpm.피해범위보정치, INDEX(Factor!$AN$5:$AV$51, _xlfn.XMATCH(IF(OR($G380="blast", $G380="curved",  $G380= "debuff"), $L380, 0), Factor!$AN$5:$AN$51, -1), _xlpm.추가_색인번호)-IF(AND(OR($G380="blast", $G380="curved", $G380= "debuff"), MOD($L380,1)&lt;&gt;0),INDEX(Factor!$AN$5:$AV$51, _xlfn.XMATCH(IF(OR($G380="blast", $G380="curved", $G380= "debuff"), $L380, 0), Factor!$AN$5:$AN$51, -1), 2)*MOD($L380,1)*10,0),
_xlpm.상태이상보정치, VLOOKUP(IF($G380 = "debuff", $M380, "null"), Factor!$AX$5:$BE$51, _xlpm.기본_색인번호, 0),
_xlpm.지속시간보정치, INDEX(Factor!$BG$5:$BO$51, _xlfn.XMATCH(IF(OR($G380 ="debuff", $G380 = "shot", $G380 = "pierce"), $O380, 0), Factor!$BG$5:$BG$51, -1), _xlpm.추가_색인번호)-IF(AND(OR($G380 ="debuff", $G380 = "shot", $G380 = "pierce"), MOD($O380, 1)&lt;&gt;0), 10*MOD($O380, 1)*INDEX(Factor!$BG$5:$BO$51, _xlfn.XMATCH(IF(OR($G380 ="debuff", $G380 = "shot", $G380 = "pierce"), $O380, 0), Factor!$BG$5:$BG$51, -1), 2), 0),
_xlpm.탄환개수보정치, VLOOKUP(IF(OR($G380 = "curved", $G380 = "shot"), $Q380, 1), Factor!$BQ$5:$BX$51, _xlpm.기본_색인번호, 0),
_xlpm.상태이상탄환생성위치보정치, IF($G380 = "debuff", VLOOKUP($R380, Factor!$K$18:$R$19, _xlpm.기본_색인번호, 0),1),
_xlpm.상태이상탄환형태보정치, IF($G380 = "debuff", VLOOKUP($S380, Factor!$K$24:$R$25, _xlpm.기본_색인번호, 0),1),
_xlpm.가격보정치, INDEX(Factor!$AE$5:$AL$51, _xlfn.XMATCH($F380,Factor!$AE$5:$AE$51, -1), _xlpm.기본_색인번호),
_xlpm.구경보정치, VLOOKUP($D380,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</row>
    <row r="381" spans="1:33" ht="15.75" customHeight="1">
      <c r="A381" s="24" t="str">
        <f>"weapon_"&amp;G381&amp;"_"&amp;VLOOKUP(H381, Factor!$T$5:$AB$7, 9, 0)&amp;"_"&amp;IF(COUNTIFS($G$4:G380, G381, $H$4:H380, H381)+1&gt;=100, COUNTIFS($G$4:G380, G381, $H$4:H380, H381)+1,IF(COUNTIFS($G$4:G380, G381, $H$4:H380, H381)+1&gt;=10, "0"&amp;COUNTIFS($G$4:G380, G381, $H$4:H380, H381)+1, "00"&amp;COUNTIFS($G$4:G380, G381, $H$4:H380, H381)+1))</f>
        <v>weapon_debuff_Ms_025</v>
      </c>
      <c r="B381" s="36" t="str">
        <f t="shared" si="6"/>
        <v>T1 벙커버스터 미사일 발사대</v>
      </c>
      <c r="C381" s="36" t="s">
        <v>237</v>
      </c>
      <c r="D381" s="36" t="s">
        <v>275</v>
      </c>
      <c r="E381" s="36" t="s">
        <v>207</v>
      </c>
      <c r="F381" s="25">
        <f>VLOOKUP(C381, Factor!$AD$5:$AE$15, 2, 0)</f>
        <v>1000</v>
      </c>
      <c r="G381" s="26" t="str">
        <f>VLOOKUP(E381, Factor!$CL$5:$CV$50, 2, 0)</f>
        <v>debuff</v>
      </c>
      <c r="H381" s="25" t="str">
        <f>VLOOKUP(E381, Factor!$CL$5:$CV$50, 3, 0)</f>
        <v>missile</v>
      </c>
      <c r="I381" s="25" t="str">
        <f>VLOOKUP(E381, Factor!$CL$5:$CV$50, 4, 0)</f>
        <v>L</v>
      </c>
      <c r="J381" s="25" t="str">
        <f>VLOOKUP(E381, Factor!$CL$5:$CV$50, 5, 0)</f>
        <v>armored</v>
      </c>
      <c r="K381" s="25">
        <v>1</v>
      </c>
      <c r="L381" s="25">
        <f>VLOOKUP(E381, Factor!$CL$5:$CV$50, 6, 0)*K381*VLOOKUP(D381, Factor!$BZ$5:$CJ$49, 9, 0)</f>
        <v>0</v>
      </c>
      <c r="M381" s="25" t="str">
        <f>VLOOKUP(E381, Factor!$CL$5:$CV$50, 7, 0)</f>
        <v>deflow</v>
      </c>
      <c r="N381" s="25">
        <v>1</v>
      </c>
      <c r="O381" s="25">
        <f>VLOOKUP(E381, Factor!$CL$5:$CV$50, 8, 0)*N381*VLOOKUP(D381, Factor!$BZ$5:$CJ$49, 10, 0)</f>
        <v>5</v>
      </c>
      <c r="P381" s="25">
        <v>1</v>
      </c>
      <c r="Q381" s="25">
        <f>VLOOKUP(E381, Factor!$CL$5:$CV$50, 9, 0)*P381*VLOOKUP(D381, Factor!$BZ$5:$CJ$49, 11, 0)</f>
        <v>1</v>
      </c>
      <c r="R381" s="25" t="str">
        <f>VLOOKUP(E381, Factor!$CL$5:$CV$50, 10, 0)</f>
        <v>target</v>
      </c>
      <c r="S381" s="25" t="str">
        <f>VLOOKUP(E381, Factor!$CL$5:$CV$50, 11, 0)</f>
        <v>circle</v>
      </c>
      <c r="T381" s="25">
        <v>1</v>
      </c>
      <c r="U381" s="25">
        <v>1</v>
      </c>
      <c r="V381" s="25">
        <v>1</v>
      </c>
      <c r="W381" s="25">
        <v>1</v>
      </c>
      <c r="X381" s="25">
        <v>1</v>
      </c>
      <c r="Y381" s="25">
        <v>1</v>
      </c>
      <c r="Z381" s="25">
        <v>1</v>
      </c>
      <c r="AA381" s="25" cm="1">
        <f t="array" ref="AA381">_xlfn.LET(_xlpm.기본_색인번호, 2,
_xlpm.추가_색인번호, 3,
_xlpm.개별보정치, T381,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</v>
      </c>
      <c r="AB381" s="25" cm="1">
        <f t="array" ref="AB381">_xlfn.LET(_xlpm.기본_색인번호, 3,
_xlpm.추가_색인번호, 4,
_xlpm.개별보정치, U381,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81" s="25" cm="1">
        <f t="array" ref="AC381">_xlfn.LET(_xlpm.기본_색인번호, 4,
_xlpm.추가_색인번호, 5,
_xlpm.개별보정치, V381,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81" s="25" cm="1">
        <f t="array" ref="AD381">_xlfn.LET(_xlpm.기본_색인번호, 5,
_xlpm.추가_색인번호, 6,
_xlpm.개별보정치, W381,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E381" s="25" cm="1">
        <f t="array" ref="AE381">_xlfn.LET(_xlpm.기본_색인번호, 6,
_xlpm.추가_색인번호, 7,
_xlpm.개별보정치, X381,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F381" s="25" cm="1">
        <f t="array" ref="AF381">_xlfn.LET(_xlpm.기본_색인번호, 7,
_xlpm.추가_색인번호, 8,
_xlpm.개별보정치, Y381,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81" s="27" cm="1">
        <f t="array" ref="AG381">_xlfn.LET(_xlpm.기본_색인번호, 8,
_xlpm.추가_색인번호, 9,
_xlpm.개별보정치, Z381,
_xlpm.패턴보정치, VLOOKUP($G381, Factor!$B$5:$I$51, _xlpm.기본_색인번호, 0),
_xlpm.소모탄환보정치, VLOOKUP($H381, Factor!$T$5:$AA$51, _xlpm.기본_색인번호, 0),
_xlpm.지형보정치, VLOOKUP($I381, Factor!$K$12:$R$13, _xlpm.기본_색인번호, 0),
_xlpm.공격속성보정치, VLOOKUP($J381, Factor!$K$5:$R$7, _xlpm.기본_색인번호, 0),
_xlpm.피해범위보정치, INDEX(Factor!$AN$5:$AV$51, _xlfn.XMATCH(IF(OR($G381="blast", $G381="curved",  $G381= "debuff"), $L381, 0), Factor!$AN$5:$AN$51, -1), _xlpm.추가_색인번호)-IF(AND(OR($G381="blast", $G381="curved", $G381= "debuff"), MOD($L381,1)&lt;&gt;0),INDEX(Factor!$AN$5:$AV$51, _xlfn.XMATCH(IF(OR($G381="blast", $G381="curved", $G381= "debuff"), $L381, 0), Factor!$AN$5:$AN$51, -1), 2)*MOD($L381,1)*10,0),
_xlpm.상태이상보정치, VLOOKUP(IF($G381 = "debuff", $M381, "null"), Factor!$AX$5:$BE$51, _xlpm.기본_색인번호, 0),
_xlpm.지속시간보정치, INDEX(Factor!$BG$5:$BO$51, _xlfn.XMATCH(IF(OR($G381 ="debuff", $G381 = "shot", $G381 = "pierce"), $O381, 0), Factor!$BG$5:$BG$51, -1), _xlpm.추가_색인번호)-IF(AND(OR($G381 ="debuff", $G381 = "shot", $G381 = "pierce"), MOD($O381, 1)&lt;&gt;0), 10*MOD($O381, 1)*INDEX(Factor!$BG$5:$BO$51, _xlfn.XMATCH(IF(OR($G381 ="debuff", $G381 = "shot", $G381 = "pierce"), $O381, 0), Factor!$BG$5:$BG$51, -1), 2), 0),
_xlpm.탄환개수보정치, VLOOKUP(IF(OR($G381 = "curved", $G381 = "shot"), $Q381, 1), Factor!$BQ$5:$BX$51, _xlpm.기본_색인번호, 0),
_xlpm.상태이상탄환생성위치보정치, IF($G381 = "debuff", VLOOKUP($R381, Factor!$K$18:$R$19, _xlpm.기본_색인번호, 0),1),
_xlpm.상태이상탄환형태보정치, IF($G381 = "debuff", VLOOKUP($S381, Factor!$K$24:$R$25, _xlpm.기본_색인번호, 0),1),
_xlpm.가격보정치, INDEX(Factor!$AE$5:$AL$51, _xlfn.XMATCH($F381,Factor!$AE$5:$AE$51, -1), _xlpm.기본_색인번호),
_xlpm.구경보정치, VLOOKUP($D381,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</row>
    <row r="382" spans="1:33" ht="15.75" customHeight="1">
      <c r="A382" s="28" t="str">
        <f>"weapon_"&amp;G382&amp;"_"&amp;VLOOKUP(H382, Factor!$T$5:$AB$7, 9, 0)&amp;"_"&amp;IF(COUNTIFS($G$4:G381, G382, $H$4:H381, H382)+1&gt;=100, COUNTIFS($G$4:G381, G382, $H$4:H381, H382)+1,IF(COUNTIFS($G$4:G381, G382, $H$4:H381, H382)+1&gt;=10, "0"&amp;COUNTIFS($G$4:G381, G382, $H$4:H381, H382)+1, "00"&amp;COUNTIFS($G$4:G381, G382, $H$4:H381, H382)+1))</f>
        <v>weapon_debuff_Ms_026</v>
      </c>
      <c r="B382" s="37" t="str">
        <f t="shared" si="6"/>
        <v>T1 240mm벙커버스터 미사일 발사대</v>
      </c>
      <c r="C382" s="37" t="s">
        <v>237</v>
      </c>
      <c r="D382" s="37" t="s">
        <v>267</v>
      </c>
      <c r="E382" s="37" t="s">
        <v>207</v>
      </c>
      <c r="F382" s="29">
        <f>VLOOKUP(C382, Factor!$AD$5:$AE$15, 2, 0)</f>
        <v>1000</v>
      </c>
      <c r="G382" s="29" t="str">
        <f>VLOOKUP(E382, Factor!$CL$5:$CV$50, 2, 0)</f>
        <v>debuff</v>
      </c>
      <c r="H382" s="29" t="str">
        <f>VLOOKUP(E382, Factor!$CL$5:$CV$50, 3, 0)</f>
        <v>missile</v>
      </c>
      <c r="I382" s="29" t="str">
        <f>VLOOKUP(E382, Factor!$CL$5:$CV$50, 4, 0)</f>
        <v>L</v>
      </c>
      <c r="J382" s="29" t="str">
        <f>VLOOKUP(E382, Factor!$CL$5:$CV$50, 5, 0)</f>
        <v>armored</v>
      </c>
      <c r="K382" s="29">
        <v>1</v>
      </c>
      <c r="L382" s="29">
        <f>VLOOKUP(E382, Factor!$CL$5:$CV$50, 6, 0)*K382*VLOOKUP(D382, Factor!$BZ$5:$CJ$49, 9, 0)</f>
        <v>0</v>
      </c>
      <c r="M382" s="29" t="str">
        <f>VLOOKUP(E382, Factor!$CL$5:$CV$50, 7, 0)</f>
        <v>deflow</v>
      </c>
      <c r="N382" s="29">
        <v>1</v>
      </c>
      <c r="O382" s="29">
        <f>VLOOKUP(E382, Factor!$CL$5:$CV$50, 8, 0)*N382*VLOOKUP(D382, Factor!$BZ$5:$CJ$49, 10, 0)</f>
        <v>40</v>
      </c>
      <c r="P382" s="29">
        <v>1</v>
      </c>
      <c r="Q382" s="29">
        <f>VLOOKUP(E382, Factor!$CL$5:$CV$50, 9, 0)*P382*VLOOKUP(D382, Factor!$BZ$5:$CJ$49, 11, 0)</f>
        <v>8</v>
      </c>
      <c r="R382" s="29" t="str">
        <f>VLOOKUP(E382, Factor!$CL$5:$CV$50, 10, 0)</f>
        <v>target</v>
      </c>
      <c r="S382" s="29" t="str">
        <f>VLOOKUP(E382, Factor!$CL$5:$CV$50, 11, 0)</f>
        <v>circle</v>
      </c>
      <c r="T382" s="29">
        <v>1</v>
      </c>
      <c r="U382" s="29">
        <v>1</v>
      </c>
      <c r="V382" s="29">
        <v>1</v>
      </c>
      <c r="W382" s="29">
        <v>1</v>
      </c>
      <c r="X382" s="29">
        <v>1</v>
      </c>
      <c r="Y382" s="29">
        <v>1</v>
      </c>
      <c r="Z382" s="29">
        <v>1</v>
      </c>
      <c r="AA382" s="29" cm="1">
        <f t="array" ref="AA382">_xlfn.LET(_xlpm.기본_색인번호, 2,
_xlpm.추가_색인번호, 3,
_xlpm.개별보정치, T382,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82" s="29" cm="1">
        <f t="array" ref="AB382">_xlfn.LET(_xlpm.기본_색인번호, 3,
_xlpm.추가_색인번호, 4,
_xlpm.개별보정치, U382,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C382" s="29" cm="1">
        <f t="array" ref="AC382">_xlfn.LET(_xlpm.기본_색인번호, 4,
_xlpm.추가_색인번호, 5,
_xlpm.개별보정치, V382,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82" s="29" cm="1">
        <f t="array" ref="AD382">_xlfn.LET(_xlpm.기본_색인번호, 5,
_xlpm.추가_색인번호, 6,
_xlpm.개별보정치, W382,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E382" s="29" cm="1">
        <f t="array" ref="AE382">_xlfn.LET(_xlpm.기본_색인번호, 6,
_xlpm.추가_색인번호, 7,
_xlpm.개별보정치, X382,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F382" s="29" cm="1">
        <f t="array" ref="AF382">_xlfn.LET(_xlpm.기본_색인번호, 7,
_xlpm.추가_색인번호, 8,
_xlpm.개별보정치, Y382,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82" s="30" cm="1">
        <f t="array" ref="AG382">_xlfn.LET(_xlpm.기본_색인번호, 8,
_xlpm.추가_색인번호, 9,
_xlpm.개별보정치, Z382,
_xlpm.패턴보정치, VLOOKUP($G382, Factor!$B$5:$I$51, _xlpm.기본_색인번호, 0),
_xlpm.소모탄환보정치, VLOOKUP($H382, Factor!$T$5:$AA$51, _xlpm.기본_색인번호, 0),
_xlpm.지형보정치, VLOOKUP($I382, Factor!$K$12:$R$13, _xlpm.기본_색인번호, 0),
_xlpm.공격속성보정치, VLOOKUP($J382, Factor!$K$5:$R$7, _xlpm.기본_색인번호, 0),
_xlpm.피해범위보정치, INDEX(Factor!$AN$5:$AV$51, _xlfn.XMATCH(IF(OR($G382="blast", $G382="curved",  $G382= "debuff"), $L382, 0), Factor!$AN$5:$AN$51, -1), _xlpm.추가_색인번호)-IF(AND(OR($G382="blast", $G382="curved", $G382= "debuff"), MOD($L382,1)&lt;&gt;0),INDEX(Factor!$AN$5:$AV$51, _xlfn.XMATCH(IF(OR($G382="blast", $G382="curved", $G382= "debuff"), $L382, 0), Factor!$AN$5:$AN$51, -1), 2)*MOD($L382,1)*10,0),
_xlpm.상태이상보정치, VLOOKUP(IF($G382 = "debuff", $M382, "null"), Factor!$AX$5:$BE$51, _xlpm.기본_색인번호, 0),
_xlpm.지속시간보정치, INDEX(Factor!$BG$5:$BO$51, _xlfn.XMATCH(IF(OR($G382 ="debuff", $G382 = "shot", $G382 = "pierce"), $O382, 0), Factor!$BG$5:$BG$51, -1), _xlpm.추가_색인번호)-IF(AND(OR($G382 ="debuff", $G382 = "shot", $G382 = "pierce"), MOD($O382, 1)&lt;&gt;0), 10*MOD($O382, 1)*INDEX(Factor!$BG$5:$BO$51, _xlfn.XMATCH(IF(OR($G382 ="debuff", $G382 = "shot", $G382 = "pierce"), $O382, 0), Factor!$BG$5:$BG$51, -1), 2), 0),
_xlpm.탄환개수보정치, VLOOKUP(IF(OR($G382 = "curved", $G382 = "shot"), $Q382, 1), Factor!$BQ$5:$BX$51, _xlpm.기본_색인번호, 0),
_xlpm.상태이상탄환생성위치보정치, IF($G382 = "debuff", VLOOKUP($R382, Factor!$K$18:$R$19, _xlpm.기본_색인번호, 0),1),
_xlpm.상태이상탄환형태보정치, IF($G382 = "debuff", VLOOKUP($S382, Factor!$K$24:$R$25, _xlpm.기본_색인번호, 0),1),
_xlpm.가격보정치, INDEX(Factor!$AE$5:$AL$51, _xlfn.XMATCH($F382,Factor!$AE$5:$AE$51, -1), _xlpm.기본_색인번호),
_xlpm.구경보정치, VLOOKUP($D382,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</row>
    <row r="383" spans="1:33" ht="15.75" customHeight="1">
      <c r="A383" s="24" t="str">
        <f>"weapon_"&amp;G383&amp;"_"&amp;VLOOKUP(H383, Factor!$T$5:$AB$7, 9, 0)&amp;"_"&amp;IF(COUNTIFS($G$4:G382, G383, $H$4:H382, H383)+1&gt;=100, COUNTIFS($G$4:G382, G383, $H$4:H382, H383)+1,IF(COUNTIFS($G$4:G382, G383, $H$4:H382, H383)+1&gt;=10, "0"&amp;COUNTIFS($G$4:G382, G383, $H$4:H382, H383)+1, "00"&amp;COUNTIFS($G$4:G382, G383, $H$4:H382, H383)+1))</f>
        <v>weapon_debuff_Ms_027</v>
      </c>
      <c r="B383" s="36" t="str">
        <f t="shared" si="6"/>
        <v>T2 벙커버스터 미사일 발사대</v>
      </c>
      <c r="C383" s="36" t="s">
        <v>155</v>
      </c>
      <c r="D383" s="36" t="s">
        <v>275</v>
      </c>
      <c r="E383" s="36" t="s">
        <v>207</v>
      </c>
      <c r="F383" s="25">
        <f>VLOOKUP(C383, Factor!$AD$5:$AE$15, 2, 0)</f>
        <v>2000</v>
      </c>
      <c r="G383" s="26" t="str">
        <f>VLOOKUP(E383, Factor!$CL$5:$CV$50, 2, 0)</f>
        <v>debuff</v>
      </c>
      <c r="H383" s="25" t="str">
        <f>VLOOKUP(E383, Factor!$CL$5:$CV$50, 3, 0)</f>
        <v>missile</v>
      </c>
      <c r="I383" s="25" t="str">
        <f>VLOOKUP(E383, Factor!$CL$5:$CV$50, 4, 0)</f>
        <v>L</v>
      </c>
      <c r="J383" s="25" t="str">
        <f>VLOOKUP(E383, Factor!$CL$5:$CV$50, 5, 0)</f>
        <v>armored</v>
      </c>
      <c r="K383" s="25">
        <v>1</v>
      </c>
      <c r="L383" s="25">
        <f>VLOOKUP(E383, Factor!$CL$5:$CV$50, 6, 0)*K383*VLOOKUP(D383, Factor!$BZ$5:$CJ$49, 9, 0)</f>
        <v>0</v>
      </c>
      <c r="M383" s="25" t="str">
        <f>VLOOKUP(E383, Factor!$CL$5:$CV$50, 7, 0)</f>
        <v>deflow</v>
      </c>
      <c r="N383" s="25">
        <v>1</v>
      </c>
      <c r="O383" s="25">
        <f>VLOOKUP(E383, Factor!$CL$5:$CV$50, 8, 0)*N383*VLOOKUP(D383, Factor!$BZ$5:$CJ$49, 10, 0)</f>
        <v>5</v>
      </c>
      <c r="P383" s="25">
        <v>1</v>
      </c>
      <c r="Q383" s="25">
        <f>VLOOKUP(E383, Factor!$CL$5:$CV$50, 9, 0)*P383*VLOOKUP(D383, Factor!$BZ$5:$CJ$49, 11, 0)</f>
        <v>1</v>
      </c>
      <c r="R383" s="25" t="str">
        <f>VLOOKUP(E383, Factor!$CL$5:$CV$50, 10, 0)</f>
        <v>target</v>
      </c>
      <c r="S383" s="25" t="str">
        <f>VLOOKUP(E383, Factor!$CL$5:$CV$50, 11, 0)</f>
        <v>circle</v>
      </c>
      <c r="T383" s="25">
        <v>1</v>
      </c>
      <c r="U383" s="25">
        <v>1</v>
      </c>
      <c r="V383" s="25">
        <v>1</v>
      </c>
      <c r="W383" s="25">
        <v>1</v>
      </c>
      <c r="X383" s="25">
        <v>1</v>
      </c>
      <c r="Y383" s="25">
        <v>1</v>
      </c>
      <c r="Z383" s="25">
        <v>1</v>
      </c>
      <c r="AA383" s="25" cm="1">
        <f t="array" ref="AA383">_xlfn.LET(_xlpm.기본_색인번호, 2,
_xlpm.추가_색인번호, 3,
_xlpm.개별보정치, T383,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10800</v>
      </c>
      <c r="AB383" s="25" cm="1">
        <f t="array" ref="AB383">_xlfn.LET(_xlpm.기본_색인번호, 3,
_xlpm.추가_색인번호, 4,
_xlpm.개별보정치, U383,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C383" s="25" cm="1">
        <f t="array" ref="AC383">_xlfn.LET(_xlpm.기본_색인번호, 4,
_xlpm.추가_색인번호, 5,
_xlpm.개별보정치, V383,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83" s="25" cm="1">
        <f t="array" ref="AD383">_xlfn.LET(_xlpm.기본_색인번호, 5,
_xlpm.추가_색인번호, 6,
_xlpm.개별보정치, W383,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E383" s="25" cm="1">
        <f t="array" ref="AE383">_xlfn.LET(_xlpm.기본_색인번호, 6,
_xlpm.추가_색인번호, 7,
_xlpm.개별보정치, X383,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  <c r="AF383" s="25" cm="1">
        <f t="array" ref="AF383">_xlfn.LET(_xlpm.기본_색인번호, 7,
_xlpm.추가_색인번호, 8,
_xlpm.개별보정치, Y383,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83" s="27" cm="1">
        <f t="array" ref="AG383">_xlfn.LET(_xlpm.기본_색인번호, 8,
_xlpm.추가_색인번호, 9,
_xlpm.개별보정치, Z383,
_xlpm.패턴보정치, VLOOKUP($G383, Factor!$B$5:$I$51, _xlpm.기본_색인번호, 0),
_xlpm.소모탄환보정치, VLOOKUP($H383, Factor!$T$5:$AA$51, _xlpm.기본_색인번호, 0),
_xlpm.지형보정치, VLOOKUP($I383, Factor!$K$12:$R$13, _xlpm.기본_색인번호, 0),
_xlpm.공격속성보정치, VLOOKUP($J383, Factor!$K$5:$R$7, _xlpm.기본_색인번호, 0),
_xlpm.피해범위보정치, INDEX(Factor!$AN$5:$AV$51, _xlfn.XMATCH(IF(OR($G383="blast", $G383="curved",  $G383= "debuff"), $L383, 0), Factor!$AN$5:$AN$51, -1), _xlpm.추가_색인번호)-IF(AND(OR($G383="blast", $G383="curved", $G383= "debuff"), MOD($L383,1)&lt;&gt;0),INDEX(Factor!$AN$5:$AV$51, _xlfn.XMATCH(IF(OR($G383="blast", $G383="curved", $G383= "debuff"), $L383, 0), Factor!$AN$5:$AN$51, -1), 2)*MOD($L383,1)*10,0),
_xlpm.상태이상보정치, VLOOKUP(IF($G383 = "debuff", $M383, "null"), Factor!$AX$5:$BE$51, _xlpm.기본_색인번호, 0),
_xlpm.지속시간보정치, INDEX(Factor!$BG$5:$BO$51, _xlfn.XMATCH(IF(OR($G383 ="debuff", $G383 = "shot", $G383 = "pierce"), $O383, 0), Factor!$BG$5:$BG$51, -1), _xlpm.추가_색인번호)-IF(AND(OR($G383 ="debuff", $G383 = "shot", $G383 = "pierce"), MOD($O383, 1)&lt;&gt;0), 10*MOD($O383, 1)*INDEX(Factor!$BG$5:$BO$51, _xlfn.XMATCH(IF(OR($G383 ="debuff", $G383 = "shot", $G383 = "pierce"), $O383, 0), Factor!$BG$5:$BG$51, -1), 2), 0),
_xlpm.탄환개수보정치, VLOOKUP(IF(OR($G383 = "curved", $G383 = "shot"), $Q383, 1), Factor!$BQ$5:$BX$51, _xlpm.기본_색인번호, 0),
_xlpm.상태이상탄환생성위치보정치, IF($G383 = "debuff", VLOOKUP($R383, Factor!$K$18:$R$19, _xlpm.기본_색인번호, 0),1),
_xlpm.상태이상탄환형태보정치, IF($G383 = "debuff", VLOOKUP($S383, Factor!$K$24:$R$25, _xlpm.기본_색인번호, 0),1),
_xlpm.가격보정치, INDEX(Factor!$AE$5:$AL$51, _xlfn.XMATCH($F383,Factor!$AE$5:$AE$51, -1), _xlpm.기본_색인번호),
_xlpm.구경보정치, VLOOKUP($D383,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</v>
      </c>
    </row>
    <row r="384" spans="1:33" ht="15.75" customHeight="1">
      <c r="A384" s="28" t="str">
        <f>"weapon_"&amp;G384&amp;"_"&amp;VLOOKUP(H384, Factor!$T$5:$AB$7, 9, 0)&amp;"_"&amp;IF(COUNTIFS($G$4:G383, G384, $H$4:H383, H384)+1&gt;=100, COUNTIFS($G$4:G383, G384, $H$4:H383, H384)+1,IF(COUNTIFS($G$4:G383, G384, $H$4:H383, H384)+1&gt;=10, "0"&amp;COUNTIFS($G$4:G383, G384, $H$4:H383, H384)+1, "00"&amp;COUNTIFS($G$4:G383, G384, $H$4:H383, H384)+1))</f>
        <v>weapon_debuff_Ms_028</v>
      </c>
      <c r="B384" s="37" t="str">
        <f t="shared" si="6"/>
        <v>T2 240mm벙커버스터 미사일 발사대</v>
      </c>
      <c r="C384" s="37" t="s">
        <v>155</v>
      </c>
      <c r="D384" s="37" t="s">
        <v>267</v>
      </c>
      <c r="E384" s="37" t="s">
        <v>207</v>
      </c>
      <c r="F384" s="29">
        <f>VLOOKUP(C384, Factor!$AD$5:$AE$15, 2, 0)</f>
        <v>2000</v>
      </c>
      <c r="G384" s="29" t="str">
        <f>VLOOKUP(E384, Factor!$CL$5:$CV$50, 2, 0)</f>
        <v>debuff</v>
      </c>
      <c r="H384" s="29" t="str">
        <f>VLOOKUP(E384, Factor!$CL$5:$CV$50, 3, 0)</f>
        <v>missile</v>
      </c>
      <c r="I384" s="29" t="str">
        <f>VLOOKUP(E384, Factor!$CL$5:$CV$50, 4, 0)</f>
        <v>L</v>
      </c>
      <c r="J384" s="29" t="str">
        <f>VLOOKUP(E384, Factor!$CL$5:$CV$50, 5, 0)</f>
        <v>armored</v>
      </c>
      <c r="K384" s="29">
        <v>1</v>
      </c>
      <c r="L384" s="29">
        <f>VLOOKUP(E384, Factor!$CL$5:$CV$50, 6, 0)*K384*VLOOKUP(D384, Factor!$BZ$5:$CJ$49, 9, 0)</f>
        <v>0</v>
      </c>
      <c r="M384" s="29" t="str">
        <f>VLOOKUP(E384, Factor!$CL$5:$CV$50, 7, 0)</f>
        <v>deflow</v>
      </c>
      <c r="N384" s="29">
        <v>1</v>
      </c>
      <c r="O384" s="29">
        <f>VLOOKUP(E384, Factor!$CL$5:$CV$50, 8, 0)*N384*VLOOKUP(D384, Factor!$BZ$5:$CJ$49, 10, 0)</f>
        <v>40</v>
      </c>
      <c r="P384" s="29">
        <v>1</v>
      </c>
      <c r="Q384" s="29">
        <f>VLOOKUP(E384, Factor!$CL$5:$CV$50, 9, 0)*P384*VLOOKUP(D384, Factor!$BZ$5:$CJ$49, 11, 0)</f>
        <v>8</v>
      </c>
      <c r="R384" s="29" t="str">
        <f>VLOOKUP(E384, Factor!$CL$5:$CV$50, 10, 0)</f>
        <v>target</v>
      </c>
      <c r="S384" s="29" t="str">
        <f>VLOOKUP(E384, Factor!$CL$5:$CV$50, 11, 0)</f>
        <v>circle</v>
      </c>
      <c r="T384" s="29">
        <v>1</v>
      </c>
      <c r="U384" s="29">
        <v>1</v>
      </c>
      <c r="V384" s="29">
        <v>1</v>
      </c>
      <c r="W384" s="29">
        <v>1</v>
      </c>
      <c r="X384" s="29">
        <v>1</v>
      </c>
      <c r="Y384" s="29">
        <v>1</v>
      </c>
      <c r="Z384" s="29">
        <v>1</v>
      </c>
      <c r="AA384" s="29" cm="1">
        <f t="array" ref="AA384">_xlfn.LET(_xlpm.기본_색인번호, 2,
_xlpm.추가_색인번호, 3,
_xlpm.개별보정치, T384,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B384" s="29" cm="1">
        <f t="array" ref="AB384">_xlfn.LET(_xlpm.기본_색인번호, 3,
_xlpm.추가_색인번호, 4,
_xlpm.개별보정치, U384,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C384" s="29" cm="1">
        <f t="array" ref="AC384">_xlfn.LET(_xlpm.기본_색인번호, 4,
_xlpm.추가_색인번호, 5,
_xlpm.개별보정치, V384,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84" s="29" cm="1">
        <f t="array" ref="AD384">_xlfn.LET(_xlpm.기본_색인번호, 5,
_xlpm.추가_색인번호, 6,
_xlpm.개별보정치, W384,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E384" s="29" cm="1">
        <f t="array" ref="AE384">_xlfn.LET(_xlpm.기본_색인번호, 6,
_xlpm.추가_색인번호, 7,
_xlpm.개별보정치, X384,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F384" s="29" cm="1">
        <f t="array" ref="AF384">_xlfn.LET(_xlpm.기본_색인번호, 7,
_xlpm.추가_색인번호, 8,
_xlpm.개별보정치, Y384,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84" s="30" cm="1">
        <f t="array" ref="AG384">_xlfn.LET(_xlpm.기본_색인번호, 8,
_xlpm.추가_색인번호, 9,
_xlpm.개별보정치, Z384,
_xlpm.패턴보정치, VLOOKUP($G384, Factor!$B$5:$I$51, _xlpm.기본_색인번호, 0),
_xlpm.소모탄환보정치, VLOOKUP($H384, Factor!$T$5:$AA$51, _xlpm.기본_색인번호, 0),
_xlpm.지형보정치, VLOOKUP($I384, Factor!$K$12:$R$13, _xlpm.기본_색인번호, 0),
_xlpm.공격속성보정치, VLOOKUP($J384, Factor!$K$5:$R$7, _xlpm.기본_색인번호, 0),
_xlpm.피해범위보정치, INDEX(Factor!$AN$5:$AV$51, _xlfn.XMATCH(IF(OR($G384="blast", $G384="curved",  $G384= "debuff"), $L384, 0), Factor!$AN$5:$AN$51, -1), _xlpm.추가_색인번호)-IF(AND(OR($G384="blast", $G384="curved", $G384= "debuff"), MOD($L384,1)&lt;&gt;0),INDEX(Factor!$AN$5:$AV$51, _xlfn.XMATCH(IF(OR($G384="blast", $G384="curved", $G384= "debuff"), $L384, 0), Factor!$AN$5:$AN$51, -1), 2)*MOD($L384,1)*10,0),
_xlpm.상태이상보정치, VLOOKUP(IF($G384 = "debuff", $M384, "null"), Factor!$AX$5:$BE$51, _xlpm.기본_색인번호, 0),
_xlpm.지속시간보정치, INDEX(Factor!$BG$5:$BO$51, _xlfn.XMATCH(IF(OR($G384 ="debuff", $G384 = "shot", $G384 = "pierce"), $O384, 0), Factor!$BG$5:$BG$51, -1), _xlpm.추가_색인번호)-IF(AND(OR($G384 ="debuff", $G384 = "shot", $G384 = "pierce"), MOD($O384, 1)&lt;&gt;0), 10*MOD($O384, 1)*INDEX(Factor!$BG$5:$BO$51, _xlfn.XMATCH(IF(OR($G384 ="debuff", $G384 = "shot", $G384 = "pierce"), $O384, 0), Factor!$BG$5:$BG$51, -1), 2), 0),
_xlpm.탄환개수보정치, VLOOKUP(IF(OR($G384 = "curved", $G384 = "shot"), $Q384, 1), Factor!$BQ$5:$BX$51, _xlpm.기본_색인번호, 0),
_xlpm.상태이상탄환생성위치보정치, IF($G384 = "debuff", VLOOKUP($R384, Factor!$K$18:$R$19, _xlpm.기본_색인번호, 0),1),
_xlpm.상태이상탄환형태보정치, IF($G384 = "debuff", VLOOKUP($S384, Factor!$K$24:$R$25, _xlpm.기본_색인번호, 0),1),
_xlpm.가격보정치, INDEX(Factor!$AE$5:$AL$51, _xlfn.XMATCH($F384,Factor!$AE$5:$AE$51, -1), _xlpm.기본_색인번호),
_xlpm.구경보정치, VLOOKUP($D384,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</row>
    <row r="385" spans="1:33" ht="15.75" customHeight="1">
      <c r="A385" s="24" t="str">
        <f>"weapon_"&amp;G385&amp;"_"&amp;VLOOKUP(H385, Factor!$T$5:$AB$7, 9, 0)&amp;"_"&amp;IF(COUNTIFS($G$4:G384, G385, $H$4:H384, H385)+1&gt;=100, COUNTIFS($G$4:G384, G385, $H$4:H384, H385)+1,IF(COUNTIFS($G$4:G384, G385, $H$4:H384, H385)+1&gt;=10, "0"&amp;COUNTIFS($G$4:G384, G385, $H$4:H384, H385)+1, "00"&amp;COUNTIFS($G$4:G384, G385, $H$4:H384, H385)+1))</f>
        <v>weapon_debuff_Ms_029</v>
      </c>
      <c r="B385" s="36" t="str">
        <f t="shared" si="6"/>
        <v>T3 벙커버스터 미사일 발사대</v>
      </c>
      <c r="C385" s="36" t="s">
        <v>156</v>
      </c>
      <c r="D385" s="36" t="s">
        <v>275</v>
      </c>
      <c r="E385" s="36" t="s">
        <v>207</v>
      </c>
      <c r="F385" s="25">
        <f>VLOOKUP(C385, Factor!$AD$5:$AE$15, 2, 0)</f>
        <v>3000</v>
      </c>
      <c r="G385" s="26" t="str">
        <f>VLOOKUP(E385, Factor!$CL$5:$CV$50, 2, 0)</f>
        <v>debuff</v>
      </c>
      <c r="H385" s="25" t="str">
        <f>VLOOKUP(E385, Factor!$CL$5:$CV$50, 3, 0)</f>
        <v>missile</v>
      </c>
      <c r="I385" s="25" t="str">
        <f>VLOOKUP(E385, Factor!$CL$5:$CV$50, 4, 0)</f>
        <v>L</v>
      </c>
      <c r="J385" s="25" t="str">
        <f>VLOOKUP(E385, Factor!$CL$5:$CV$50, 5, 0)</f>
        <v>armored</v>
      </c>
      <c r="K385" s="25">
        <v>1</v>
      </c>
      <c r="L385" s="25">
        <f>VLOOKUP(E385, Factor!$CL$5:$CV$50, 6, 0)*K385*VLOOKUP(D385, Factor!$BZ$5:$CJ$49, 9, 0)</f>
        <v>0</v>
      </c>
      <c r="M385" s="25" t="str">
        <f>VLOOKUP(E385, Factor!$CL$5:$CV$50, 7, 0)</f>
        <v>deflow</v>
      </c>
      <c r="N385" s="25">
        <v>1</v>
      </c>
      <c r="O385" s="25">
        <f>VLOOKUP(E385, Factor!$CL$5:$CV$50, 8, 0)*N385*VLOOKUP(D385, Factor!$BZ$5:$CJ$49, 10, 0)</f>
        <v>5</v>
      </c>
      <c r="P385" s="25">
        <v>1</v>
      </c>
      <c r="Q385" s="25">
        <f>VLOOKUP(E385, Factor!$CL$5:$CV$50, 9, 0)*P385*VLOOKUP(D385, Factor!$BZ$5:$CJ$49, 11, 0)</f>
        <v>1</v>
      </c>
      <c r="R385" s="25" t="str">
        <f>VLOOKUP(E385, Factor!$CL$5:$CV$50, 10, 0)</f>
        <v>target</v>
      </c>
      <c r="S385" s="25" t="str">
        <f>VLOOKUP(E385, Factor!$CL$5:$CV$50, 11, 0)</f>
        <v>circle</v>
      </c>
      <c r="T385" s="25">
        <v>1</v>
      </c>
      <c r="U385" s="25">
        <v>1</v>
      </c>
      <c r="V385" s="25">
        <v>1</v>
      </c>
      <c r="W385" s="25">
        <v>1</v>
      </c>
      <c r="X385" s="25">
        <v>1</v>
      </c>
      <c r="Y385" s="25">
        <v>1</v>
      </c>
      <c r="Z385" s="25">
        <v>1</v>
      </c>
      <c r="AA385" s="25" cm="1">
        <f t="array" ref="AA385">_xlfn.LET(_xlpm.기본_색인번호, 2,
_xlpm.추가_색인번호, 3,
_xlpm.개별보정치, T385,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14400</v>
      </c>
      <c r="AB385" s="25" cm="1">
        <f t="array" ref="AB385">_xlfn.LET(_xlpm.기본_색인번호, 3,
_xlpm.추가_색인번호, 4,
_xlpm.개별보정치, U385,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85" s="25" cm="1">
        <f t="array" ref="AC385">_xlfn.LET(_xlpm.기본_색인번호, 4,
_xlpm.추가_색인번호, 5,
_xlpm.개별보정치, V385,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85" s="25" cm="1">
        <f t="array" ref="AD385">_xlfn.LET(_xlpm.기본_색인번호, 5,
_xlpm.추가_색인번호, 6,
_xlpm.개별보정치, W385,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E385" s="25" cm="1">
        <f t="array" ref="AE385">_xlfn.LET(_xlpm.기본_색인번호, 6,
_xlpm.추가_색인번호, 7,
_xlpm.개별보정치, X385,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  <c r="AF385" s="25" cm="1">
        <f t="array" ref="AF385">_xlfn.LET(_xlpm.기본_색인번호, 7,
_xlpm.추가_색인번호, 8,
_xlpm.개별보정치, Y385,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85" s="27" cm="1">
        <f t="array" ref="AG385">_xlfn.LET(_xlpm.기본_색인번호, 8,
_xlpm.추가_색인번호, 9,
_xlpm.개별보정치, Z385,
_xlpm.패턴보정치, VLOOKUP($G385, Factor!$B$5:$I$51, _xlpm.기본_색인번호, 0),
_xlpm.소모탄환보정치, VLOOKUP($H385, Factor!$T$5:$AA$51, _xlpm.기본_색인번호, 0),
_xlpm.지형보정치, VLOOKUP($I385, Factor!$K$12:$R$13, _xlpm.기본_색인번호, 0),
_xlpm.공격속성보정치, VLOOKUP($J385, Factor!$K$5:$R$7, _xlpm.기본_색인번호, 0),
_xlpm.피해범위보정치, INDEX(Factor!$AN$5:$AV$51, _xlfn.XMATCH(IF(OR($G385="blast", $G385="curved",  $G385= "debuff"), $L385, 0), Factor!$AN$5:$AN$51, -1), _xlpm.추가_색인번호)-IF(AND(OR($G385="blast", $G385="curved", $G385= "debuff"), MOD($L385,1)&lt;&gt;0),INDEX(Factor!$AN$5:$AV$51, _xlfn.XMATCH(IF(OR($G385="blast", $G385="curved", $G385= "debuff"), $L385, 0), Factor!$AN$5:$AN$51, -1), 2)*MOD($L385,1)*10,0),
_xlpm.상태이상보정치, VLOOKUP(IF($G385 = "debuff", $M385, "null"), Factor!$AX$5:$BE$51, _xlpm.기본_색인번호, 0),
_xlpm.지속시간보정치, INDEX(Factor!$BG$5:$BO$51, _xlfn.XMATCH(IF(OR($G385 ="debuff", $G385 = "shot", $G385 = "pierce"), $O385, 0), Factor!$BG$5:$BG$51, -1), _xlpm.추가_색인번호)-IF(AND(OR($G385 ="debuff", $G385 = "shot", $G385 = "pierce"), MOD($O385, 1)&lt;&gt;0), 10*MOD($O385, 1)*INDEX(Factor!$BG$5:$BO$51, _xlfn.XMATCH(IF(OR($G385 ="debuff", $G385 = "shot", $G385 = "pierce"), $O385, 0), Factor!$BG$5:$BG$51, -1), 2), 0),
_xlpm.탄환개수보정치, VLOOKUP(IF(OR($G385 = "curved", $G385 = "shot"), $Q385, 1), Factor!$BQ$5:$BX$51, _xlpm.기본_색인번호, 0),
_xlpm.상태이상탄환생성위치보정치, IF($G385 = "debuff", VLOOKUP($R385, Factor!$K$18:$R$19, _xlpm.기본_색인번호, 0),1),
_xlpm.상태이상탄환형태보정치, IF($G385 = "debuff", VLOOKUP($S385, Factor!$K$24:$R$25, _xlpm.기본_색인번호, 0),1),
_xlpm.가격보정치, INDEX(Factor!$AE$5:$AL$51, _xlfn.XMATCH($F385,Factor!$AE$5:$AE$51, -1), _xlpm.기본_색인번호),
_xlpm.구경보정치, VLOOKUP($D385,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</v>
      </c>
    </row>
    <row r="386" spans="1:33" ht="15.75" customHeight="1">
      <c r="A386" s="28" t="str">
        <f>"weapon_"&amp;G386&amp;"_"&amp;VLOOKUP(H386, Factor!$T$5:$AB$7, 9, 0)&amp;"_"&amp;IF(COUNTIFS($G$4:G385, G386, $H$4:H385, H386)+1&gt;=100, COUNTIFS($G$4:G385, G386, $H$4:H385, H386)+1,IF(COUNTIFS($G$4:G385, G386, $H$4:H385, H386)+1&gt;=10, "0"&amp;COUNTIFS($G$4:G385, G386, $H$4:H385, H386)+1, "00"&amp;COUNTIFS($G$4:G385, G386, $H$4:H385, H386)+1))</f>
        <v>weapon_debuff_Ms_030</v>
      </c>
      <c r="B386" s="37" t="str">
        <f t="shared" si="6"/>
        <v>T3 240mm벙커버스터 미사일 발사대</v>
      </c>
      <c r="C386" s="37" t="s">
        <v>156</v>
      </c>
      <c r="D386" s="37" t="s">
        <v>267</v>
      </c>
      <c r="E386" s="37" t="s">
        <v>207</v>
      </c>
      <c r="F386" s="29">
        <f>VLOOKUP(C386, Factor!$AD$5:$AE$15, 2, 0)</f>
        <v>3000</v>
      </c>
      <c r="G386" s="29" t="str">
        <f>VLOOKUP(E386, Factor!$CL$5:$CV$50, 2, 0)</f>
        <v>debuff</v>
      </c>
      <c r="H386" s="29" t="str">
        <f>VLOOKUP(E386, Factor!$CL$5:$CV$50, 3, 0)</f>
        <v>missile</v>
      </c>
      <c r="I386" s="29" t="str">
        <f>VLOOKUP(E386, Factor!$CL$5:$CV$50, 4, 0)</f>
        <v>L</v>
      </c>
      <c r="J386" s="29" t="str">
        <f>VLOOKUP(E386, Factor!$CL$5:$CV$50, 5, 0)</f>
        <v>armored</v>
      </c>
      <c r="K386" s="29">
        <v>1</v>
      </c>
      <c r="L386" s="29">
        <f>VLOOKUP(E386, Factor!$CL$5:$CV$50, 6, 0)*K386*VLOOKUP(D386, Factor!$BZ$5:$CJ$49, 9, 0)</f>
        <v>0</v>
      </c>
      <c r="M386" s="29" t="str">
        <f>VLOOKUP(E386, Factor!$CL$5:$CV$50, 7, 0)</f>
        <v>deflow</v>
      </c>
      <c r="N386" s="29">
        <v>1</v>
      </c>
      <c r="O386" s="29">
        <f>VLOOKUP(E386, Factor!$CL$5:$CV$50, 8, 0)*N386*VLOOKUP(D386, Factor!$BZ$5:$CJ$49, 10, 0)</f>
        <v>40</v>
      </c>
      <c r="P386" s="29">
        <v>1</v>
      </c>
      <c r="Q386" s="29">
        <f>VLOOKUP(E386, Factor!$CL$5:$CV$50, 9, 0)*P386*VLOOKUP(D386, Factor!$BZ$5:$CJ$49, 11, 0)</f>
        <v>8</v>
      </c>
      <c r="R386" s="29" t="str">
        <f>VLOOKUP(E386, Factor!$CL$5:$CV$50, 10, 0)</f>
        <v>target</v>
      </c>
      <c r="S386" s="29" t="str">
        <f>VLOOKUP(E386, Factor!$CL$5:$CV$50, 11, 0)</f>
        <v>circle</v>
      </c>
      <c r="T386" s="29">
        <v>1</v>
      </c>
      <c r="U386" s="29">
        <v>1</v>
      </c>
      <c r="V386" s="29">
        <v>1</v>
      </c>
      <c r="W386" s="29">
        <v>1</v>
      </c>
      <c r="X386" s="29">
        <v>1</v>
      </c>
      <c r="Y386" s="29">
        <v>1</v>
      </c>
      <c r="Z386" s="29">
        <v>1</v>
      </c>
      <c r="AA386" s="29" cm="1">
        <f t="array" ref="AA386">_xlfn.LET(_xlpm.기본_색인번호, 2,
_xlpm.추가_색인번호, 3,
_xlpm.개별보정치, T386,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28800</v>
      </c>
      <c r="AB386" s="29" cm="1">
        <f t="array" ref="AB386">_xlfn.LET(_xlpm.기본_색인번호, 3,
_xlpm.추가_색인번호, 4,
_xlpm.개별보정치, U386,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C386" s="29" cm="1">
        <f t="array" ref="AC386">_xlfn.LET(_xlpm.기본_색인번호, 4,
_xlpm.추가_색인번호, 5,
_xlpm.개별보정치, V386,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86" s="29" cm="1">
        <f t="array" ref="AD386">_xlfn.LET(_xlpm.기본_색인번호, 5,
_xlpm.추가_색인번호, 6,
_xlpm.개별보정치, W386,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E386" s="29" cm="1">
        <f t="array" ref="AE386">_xlfn.LET(_xlpm.기본_색인번호, 6,
_xlpm.추가_색인번호, 7,
_xlpm.개별보정치, X386,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F386" s="29" cm="1">
        <f t="array" ref="AF386">_xlfn.LET(_xlpm.기본_색인번호, 7,
_xlpm.추가_색인번호, 8,
_xlpm.개별보정치, Y386,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86" s="30" cm="1">
        <f t="array" ref="AG386">_xlfn.LET(_xlpm.기본_색인번호, 8,
_xlpm.추가_색인번호, 9,
_xlpm.개별보정치, Z386,
_xlpm.패턴보정치, VLOOKUP($G386, Factor!$B$5:$I$51, _xlpm.기본_색인번호, 0),
_xlpm.소모탄환보정치, VLOOKUP($H386, Factor!$T$5:$AA$51, _xlpm.기본_색인번호, 0),
_xlpm.지형보정치, VLOOKUP($I386, Factor!$K$12:$R$13, _xlpm.기본_색인번호, 0),
_xlpm.공격속성보정치, VLOOKUP($J386, Factor!$K$5:$R$7, _xlpm.기본_색인번호, 0),
_xlpm.피해범위보정치, INDEX(Factor!$AN$5:$AV$51, _xlfn.XMATCH(IF(OR($G386="blast", $G386="curved",  $G386= "debuff"), $L386, 0), Factor!$AN$5:$AN$51, -1), _xlpm.추가_색인번호)-IF(AND(OR($G386="blast", $G386="curved", $G386= "debuff"), MOD($L386,1)&lt;&gt;0),INDEX(Factor!$AN$5:$AV$51, _xlfn.XMATCH(IF(OR($G386="blast", $G386="curved", $G386= "debuff"), $L386, 0), Factor!$AN$5:$AN$51, -1), 2)*MOD($L386,1)*10,0),
_xlpm.상태이상보정치, VLOOKUP(IF($G386 = "debuff", $M386, "null"), Factor!$AX$5:$BE$51, _xlpm.기본_색인번호, 0),
_xlpm.지속시간보정치, INDEX(Factor!$BG$5:$BO$51, _xlfn.XMATCH(IF(OR($G386 ="debuff", $G386 = "shot", $G386 = "pierce"), $O386, 0), Factor!$BG$5:$BG$51, -1), _xlpm.추가_색인번호)-IF(AND(OR($G386 ="debuff", $G386 = "shot", $G386 = "pierce"), MOD($O386, 1)&lt;&gt;0), 10*MOD($O386, 1)*INDEX(Factor!$BG$5:$BO$51, _xlfn.XMATCH(IF(OR($G386 ="debuff", $G386 = "shot", $G386 = "pierce"), $O386, 0), Factor!$BG$5:$BG$51, -1), 2), 0),
_xlpm.탄환개수보정치, VLOOKUP(IF(OR($G386 = "curved", $G386 = "shot"), $Q386, 1), Factor!$BQ$5:$BX$51, _xlpm.기본_색인번호, 0),
_xlpm.상태이상탄환생성위치보정치, IF($G386 = "debuff", VLOOKUP($R386, Factor!$K$18:$R$19, _xlpm.기본_색인번호, 0),1),
_xlpm.상태이상탄환형태보정치, IF($G386 = "debuff", VLOOKUP($S386, Factor!$K$24:$R$25, _xlpm.기본_색인번호, 0),1),
_xlpm.가격보정치, INDEX(Factor!$AE$5:$AL$51, _xlfn.XMATCH($F386,Factor!$AE$5:$AE$51, -1), _xlpm.기본_색인번호),
_xlpm.구경보정치, VLOOKUP($D386,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</row>
    <row r="387" spans="1:33" ht="15.75" customHeight="1">
      <c r="A387" s="24" t="str">
        <f>"weapon_"&amp;G387&amp;"_"&amp;VLOOKUP(H387, Factor!$T$5:$AB$7, 9, 0)&amp;"_"&amp;IF(COUNTIFS($G$4:G386, G387, $H$4:H386, H387)+1&gt;=100, COUNTIFS($G$4:G386, G387, $H$4:H386, H387)+1,IF(COUNTIFS($G$4:G386, G387, $H$4:H386, H387)+1&gt;=10, "0"&amp;COUNTIFS($G$4:G386, G387, $H$4:H386, H387)+1, "00"&amp;COUNTIFS($G$4:G386, G387, $H$4:H386, H387)+1))</f>
        <v>weapon_debuff_Ms_031</v>
      </c>
      <c r="B387" s="36" t="str">
        <f t="shared" si="6"/>
        <v>T4 벙커버스터 미사일 발사대</v>
      </c>
      <c r="C387" s="36" t="s">
        <v>157</v>
      </c>
      <c r="D387" s="36" t="s">
        <v>275</v>
      </c>
      <c r="E387" s="36" t="s">
        <v>207</v>
      </c>
      <c r="F387" s="25">
        <f>VLOOKUP(C387, Factor!$AD$5:$AE$15, 2, 0)</f>
        <v>4000</v>
      </c>
      <c r="G387" s="26" t="str">
        <f>VLOOKUP(E387, Factor!$CL$5:$CV$50, 2, 0)</f>
        <v>debuff</v>
      </c>
      <c r="H387" s="25" t="str">
        <f>VLOOKUP(E387, Factor!$CL$5:$CV$50, 3, 0)</f>
        <v>missile</v>
      </c>
      <c r="I387" s="25" t="str">
        <f>VLOOKUP(E387, Factor!$CL$5:$CV$50, 4, 0)</f>
        <v>L</v>
      </c>
      <c r="J387" s="25" t="str">
        <f>VLOOKUP(E387, Factor!$CL$5:$CV$50, 5, 0)</f>
        <v>armored</v>
      </c>
      <c r="K387" s="25">
        <v>1</v>
      </c>
      <c r="L387" s="25">
        <f>VLOOKUP(E387, Factor!$CL$5:$CV$50, 6, 0)*K387*VLOOKUP(D387, Factor!$BZ$5:$CJ$49, 9, 0)</f>
        <v>0</v>
      </c>
      <c r="M387" s="25" t="str">
        <f>VLOOKUP(E387, Factor!$CL$5:$CV$50, 7, 0)</f>
        <v>deflow</v>
      </c>
      <c r="N387" s="25">
        <v>1</v>
      </c>
      <c r="O387" s="25">
        <f>VLOOKUP(E387, Factor!$CL$5:$CV$50, 8, 0)*N387*VLOOKUP(D387, Factor!$BZ$5:$CJ$49, 10, 0)</f>
        <v>5</v>
      </c>
      <c r="P387" s="25">
        <v>1</v>
      </c>
      <c r="Q387" s="25">
        <f>VLOOKUP(E387, Factor!$CL$5:$CV$50, 9, 0)*P387*VLOOKUP(D387, Factor!$BZ$5:$CJ$49, 11, 0)</f>
        <v>1</v>
      </c>
      <c r="R387" s="25" t="str">
        <f>VLOOKUP(E387, Factor!$CL$5:$CV$50, 10, 0)</f>
        <v>target</v>
      </c>
      <c r="S387" s="25" t="str">
        <f>VLOOKUP(E387, Factor!$CL$5:$CV$50, 11, 0)</f>
        <v>circle</v>
      </c>
      <c r="T387" s="25">
        <v>1</v>
      </c>
      <c r="U387" s="25">
        <v>1</v>
      </c>
      <c r="V387" s="25">
        <v>1</v>
      </c>
      <c r="W387" s="25">
        <v>1</v>
      </c>
      <c r="X387" s="25">
        <v>1</v>
      </c>
      <c r="Y387" s="25">
        <v>1</v>
      </c>
      <c r="Z387" s="25">
        <v>1</v>
      </c>
      <c r="AA387" s="25" cm="1">
        <f t="array" ref="AA387">_xlfn.LET(_xlpm.기본_색인번호, 2,
_xlpm.추가_색인번호, 3,
_xlpm.개별보정치, T387,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18000</v>
      </c>
      <c r="AB387" s="25" cm="1">
        <f t="array" ref="AB387">_xlfn.LET(_xlpm.기본_색인번호, 3,
_xlpm.추가_색인번호, 4,
_xlpm.개별보정치, U387,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87" s="25" cm="1">
        <f t="array" ref="AC387">_xlfn.LET(_xlpm.기본_색인번호, 4,
_xlpm.추가_색인번호, 5,
_xlpm.개별보정치, V387,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87" s="25" cm="1">
        <f t="array" ref="AD387">_xlfn.LET(_xlpm.기본_색인번호, 5,
_xlpm.추가_색인번호, 6,
_xlpm.개별보정치, W387,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E387" s="25" cm="1">
        <f t="array" ref="AE387">_xlfn.LET(_xlpm.기본_색인번호, 6,
_xlpm.추가_색인번호, 7,
_xlpm.개별보정치, X387,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F387" s="25" cm="1">
        <f t="array" ref="AF387">_xlfn.LET(_xlpm.기본_색인번호, 7,
_xlpm.추가_색인번호, 8,
_xlpm.개별보정치, Y387,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87" s="27" cm="1">
        <f t="array" ref="AG387">_xlfn.LET(_xlpm.기본_색인번호, 8,
_xlpm.추가_색인번호, 9,
_xlpm.개별보정치, Z387,
_xlpm.패턴보정치, VLOOKUP($G387, Factor!$B$5:$I$51, _xlpm.기본_색인번호, 0),
_xlpm.소모탄환보정치, VLOOKUP($H387, Factor!$T$5:$AA$51, _xlpm.기본_색인번호, 0),
_xlpm.지형보정치, VLOOKUP($I387, Factor!$K$12:$R$13, _xlpm.기본_색인번호, 0),
_xlpm.공격속성보정치, VLOOKUP($J387, Factor!$K$5:$R$7, _xlpm.기본_색인번호, 0),
_xlpm.피해범위보정치, INDEX(Factor!$AN$5:$AV$51, _xlfn.XMATCH(IF(OR($G387="blast", $G387="curved",  $G387= "debuff"), $L387, 0), Factor!$AN$5:$AN$51, -1), _xlpm.추가_색인번호)-IF(AND(OR($G387="blast", $G387="curved", $G387= "debuff"), MOD($L387,1)&lt;&gt;0),INDEX(Factor!$AN$5:$AV$51, _xlfn.XMATCH(IF(OR($G387="blast", $G387="curved", $G387= "debuff"), $L387, 0), Factor!$AN$5:$AN$51, -1), 2)*MOD($L387,1)*10,0),
_xlpm.상태이상보정치, VLOOKUP(IF($G387 = "debuff", $M387, "null"), Factor!$AX$5:$BE$51, _xlpm.기본_색인번호, 0),
_xlpm.지속시간보정치, INDEX(Factor!$BG$5:$BO$51, _xlfn.XMATCH(IF(OR($G387 ="debuff", $G387 = "shot", $G387 = "pierce"), $O387, 0), Factor!$BG$5:$BG$51, -1), _xlpm.추가_색인번호)-IF(AND(OR($G387 ="debuff", $G387 = "shot", $G387 = "pierce"), MOD($O387, 1)&lt;&gt;0), 10*MOD($O387, 1)*INDEX(Factor!$BG$5:$BO$51, _xlfn.XMATCH(IF(OR($G387 ="debuff", $G387 = "shot", $G387 = "pierce"), $O387, 0), Factor!$BG$5:$BG$51, -1), 2), 0),
_xlpm.탄환개수보정치, VLOOKUP(IF(OR($G387 = "curved", $G387 = "shot"), $Q387, 1), Factor!$BQ$5:$BX$51, _xlpm.기본_색인번호, 0),
_xlpm.상태이상탄환생성위치보정치, IF($G387 = "debuff", VLOOKUP($R387, Factor!$K$18:$R$19, _xlpm.기본_색인번호, 0),1),
_xlpm.상태이상탄환형태보정치, IF($G387 = "debuff", VLOOKUP($S387, Factor!$K$24:$R$25, _xlpm.기본_색인번호, 0),1),
_xlpm.가격보정치, INDEX(Factor!$AE$5:$AL$51, _xlfn.XMATCH($F387,Factor!$AE$5:$AE$51, -1), _xlpm.기본_색인번호),
_xlpm.구경보정치, VLOOKUP($D387,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</row>
    <row r="388" spans="1:33" ht="15.75" customHeight="1">
      <c r="A388" s="28" t="str">
        <f>"weapon_"&amp;G388&amp;"_"&amp;VLOOKUP(H388, Factor!$T$5:$AB$7, 9, 0)&amp;"_"&amp;IF(COUNTIFS($G$4:G387, G388, $H$4:H387, H388)+1&gt;=100, COUNTIFS($G$4:G387, G388, $H$4:H387, H388)+1,IF(COUNTIFS($G$4:G387, G388, $H$4:H387, H388)+1&gt;=10, "0"&amp;COUNTIFS($G$4:G387, G388, $H$4:H387, H388)+1, "00"&amp;COUNTIFS($G$4:G387, G388, $H$4:H387, H388)+1))</f>
        <v>weapon_debuff_Ms_032</v>
      </c>
      <c r="B388" s="37" t="str">
        <f t="shared" si="6"/>
        <v>T4 240mm벙커버스터 미사일 발사대</v>
      </c>
      <c r="C388" s="37" t="s">
        <v>157</v>
      </c>
      <c r="D388" s="37" t="s">
        <v>267</v>
      </c>
      <c r="E388" s="37" t="s">
        <v>207</v>
      </c>
      <c r="F388" s="29">
        <f>VLOOKUP(C388, Factor!$AD$5:$AE$15, 2, 0)</f>
        <v>4000</v>
      </c>
      <c r="G388" s="29" t="str">
        <f>VLOOKUP(E388, Factor!$CL$5:$CV$50, 2, 0)</f>
        <v>debuff</v>
      </c>
      <c r="H388" s="29" t="str">
        <f>VLOOKUP(E388, Factor!$CL$5:$CV$50, 3, 0)</f>
        <v>missile</v>
      </c>
      <c r="I388" s="29" t="str">
        <f>VLOOKUP(E388, Factor!$CL$5:$CV$50, 4, 0)</f>
        <v>L</v>
      </c>
      <c r="J388" s="29" t="str">
        <f>VLOOKUP(E388, Factor!$CL$5:$CV$50, 5, 0)</f>
        <v>armored</v>
      </c>
      <c r="K388" s="29">
        <v>1</v>
      </c>
      <c r="L388" s="29">
        <f>VLOOKUP(E388, Factor!$CL$5:$CV$50, 6, 0)*K388*VLOOKUP(D388, Factor!$BZ$5:$CJ$49, 9, 0)</f>
        <v>0</v>
      </c>
      <c r="M388" s="29" t="str">
        <f>VLOOKUP(E388, Factor!$CL$5:$CV$50, 7, 0)</f>
        <v>deflow</v>
      </c>
      <c r="N388" s="29">
        <v>1</v>
      </c>
      <c r="O388" s="29">
        <f>VLOOKUP(E388, Factor!$CL$5:$CV$50, 8, 0)*N388*VLOOKUP(D388, Factor!$BZ$5:$CJ$49, 10, 0)</f>
        <v>40</v>
      </c>
      <c r="P388" s="29">
        <v>1</v>
      </c>
      <c r="Q388" s="29">
        <f>VLOOKUP(E388, Factor!$CL$5:$CV$50, 9, 0)*P388*VLOOKUP(D388, Factor!$BZ$5:$CJ$49, 11, 0)</f>
        <v>8</v>
      </c>
      <c r="R388" s="29" t="str">
        <f>VLOOKUP(E388, Factor!$CL$5:$CV$50, 10, 0)</f>
        <v>target</v>
      </c>
      <c r="S388" s="29" t="str">
        <f>VLOOKUP(E388, Factor!$CL$5:$CV$50, 11, 0)</f>
        <v>circle</v>
      </c>
      <c r="T388" s="29">
        <v>1</v>
      </c>
      <c r="U388" s="29">
        <v>1</v>
      </c>
      <c r="V388" s="29">
        <v>1</v>
      </c>
      <c r="W388" s="29">
        <v>1</v>
      </c>
      <c r="X388" s="29">
        <v>1</v>
      </c>
      <c r="Y388" s="29">
        <v>1</v>
      </c>
      <c r="Z388" s="29">
        <v>1</v>
      </c>
      <c r="AA388" s="29" cm="1">
        <f t="array" ref="AA388">_xlfn.LET(_xlpm.기본_색인번호, 2,
_xlpm.추가_색인번호, 3,
_xlpm.개별보정치, T388,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36000</v>
      </c>
      <c r="AB388" s="29" cm="1">
        <f t="array" ref="AB388">_xlfn.LET(_xlpm.기본_색인번호, 3,
_xlpm.추가_색인번호, 4,
_xlpm.개별보정치, U388,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C388" s="29" cm="1">
        <f t="array" ref="AC388">_xlfn.LET(_xlpm.기본_색인번호, 4,
_xlpm.추가_색인번호, 5,
_xlpm.개별보정치, V388,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88" s="29" cm="1">
        <f t="array" ref="AD388">_xlfn.LET(_xlpm.기본_색인번호, 5,
_xlpm.추가_색인번호, 6,
_xlpm.개별보정치, W388,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E388" s="29" cm="1">
        <f t="array" ref="AE388">_xlfn.LET(_xlpm.기본_색인번호, 6,
_xlpm.추가_색인번호, 7,
_xlpm.개별보정치, X388,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F388" s="29" cm="1">
        <f t="array" ref="AF388">_xlfn.LET(_xlpm.기본_색인번호, 7,
_xlpm.추가_색인번호, 8,
_xlpm.개별보정치, Y388,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88" s="30" cm="1">
        <f t="array" ref="AG388">_xlfn.LET(_xlpm.기본_색인번호, 8,
_xlpm.추가_색인번호, 9,
_xlpm.개별보정치, Z388,
_xlpm.패턴보정치, VLOOKUP($G388, Factor!$B$5:$I$51, _xlpm.기본_색인번호, 0),
_xlpm.소모탄환보정치, VLOOKUP($H388, Factor!$T$5:$AA$51, _xlpm.기본_색인번호, 0),
_xlpm.지형보정치, VLOOKUP($I388, Factor!$K$12:$R$13, _xlpm.기본_색인번호, 0),
_xlpm.공격속성보정치, VLOOKUP($J388, Factor!$K$5:$R$7, _xlpm.기본_색인번호, 0),
_xlpm.피해범위보정치, INDEX(Factor!$AN$5:$AV$51, _xlfn.XMATCH(IF(OR($G388="blast", $G388="curved",  $G388= "debuff"), $L388, 0), Factor!$AN$5:$AN$51, -1), _xlpm.추가_색인번호)-IF(AND(OR($G388="blast", $G388="curved", $G388= "debuff"), MOD($L388,1)&lt;&gt;0),INDEX(Factor!$AN$5:$AV$51, _xlfn.XMATCH(IF(OR($G388="blast", $G388="curved", $G388= "debuff"), $L388, 0), Factor!$AN$5:$AN$51, -1), 2)*MOD($L388,1)*10,0),
_xlpm.상태이상보정치, VLOOKUP(IF($G388 = "debuff", $M388, "null"), Factor!$AX$5:$BE$51, _xlpm.기본_색인번호, 0),
_xlpm.지속시간보정치, INDEX(Factor!$BG$5:$BO$51, _xlfn.XMATCH(IF(OR($G388 ="debuff", $G388 = "shot", $G388 = "pierce"), $O388, 0), Factor!$BG$5:$BG$51, -1), _xlpm.추가_색인번호)-IF(AND(OR($G388 ="debuff", $G388 = "shot", $G388 = "pierce"), MOD($O388, 1)&lt;&gt;0), 10*MOD($O388, 1)*INDEX(Factor!$BG$5:$BO$51, _xlfn.XMATCH(IF(OR($G388 ="debuff", $G388 = "shot", $G388 = "pierce"), $O388, 0), Factor!$BG$5:$BG$51, -1), 2), 0),
_xlpm.탄환개수보정치, VLOOKUP(IF(OR($G388 = "curved", $G388 = "shot"), $Q388, 1), Factor!$BQ$5:$BX$51, _xlpm.기본_색인번호, 0),
_xlpm.상태이상탄환생성위치보정치, IF($G388 = "debuff", VLOOKUP($R388, Factor!$K$18:$R$19, _xlpm.기본_색인번호, 0),1),
_xlpm.상태이상탄환형태보정치, IF($G388 = "debuff", VLOOKUP($S388, Factor!$K$24:$R$25, _xlpm.기본_색인번호, 0),1),
_xlpm.가격보정치, INDEX(Factor!$AE$5:$AL$51, _xlfn.XMATCH($F388,Factor!$AE$5:$AE$51, -1), _xlpm.기본_색인번호),
_xlpm.구경보정치, VLOOKUP($D388,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</row>
    <row r="389" spans="1:33" ht="15.75" customHeight="1">
      <c r="A389" s="24" t="str">
        <f>"weapon_"&amp;G389&amp;"_"&amp;VLOOKUP(H389, Factor!$T$5:$AB$7, 9, 0)&amp;"_"&amp;IF(COUNTIFS($G$4:G388, G389, $H$4:H388, H389)+1&gt;=100, COUNTIFS($G$4:G388, G389, $H$4:H388, H389)+1,IF(COUNTIFS($G$4:G388, G389, $H$4:H388, H389)+1&gt;=10, "0"&amp;COUNTIFS($G$4:G388, G389, $H$4:H388, H389)+1, "00"&amp;COUNTIFS($G$4:G388, G389, $H$4:H388, H389)+1))</f>
        <v>weapon_debuff_Ms_033</v>
      </c>
      <c r="B389" s="36" t="str">
        <f t="shared" si="6"/>
        <v>T5 벙커버스터 미사일 발사대</v>
      </c>
      <c r="C389" s="36" t="s">
        <v>158</v>
      </c>
      <c r="D389" s="36" t="s">
        <v>275</v>
      </c>
      <c r="E389" s="36" t="s">
        <v>207</v>
      </c>
      <c r="F389" s="25">
        <f>VLOOKUP(C389, Factor!$AD$5:$AE$15, 2, 0)</f>
        <v>5000</v>
      </c>
      <c r="G389" s="26" t="str">
        <f>VLOOKUP(E389, Factor!$CL$5:$CV$50, 2, 0)</f>
        <v>debuff</v>
      </c>
      <c r="H389" s="25" t="str">
        <f>VLOOKUP(E389, Factor!$CL$5:$CV$50, 3, 0)</f>
        <v>missile</v>
      </c>
      <c r="I389" s="25" t="str">
        <f>VLOOKUP(E389, Factor!$CL$5:$CV$50, 4, 0)</f>
        <v>L</v>
      </c>
      <c r="J389" s="25" t="str">
        <f>VLOOKUP(E389, Factor!$CL$5:$CV$50, 5, 0)</f>
        <v>armored</v>
      </c>
      <c r="K389" s="25">
        <v>1</v>
      </c>
      <c r="L389" s="25">
        <f>VLOOKUP(E389, Factor!$CL$5:$CV$50, 6, 0)*K389*VLOOKUP(D389, Factor!$BZ$5:$CJ$49, 9, 0)</f>
        <v>0</v>
      </c>
      <c r="M389" s="25" t="str">
        <f>VLOOKUP(E389, Factor!$CL$5:$CV$50, 7, 0)</f>
        <v>deflow</v>
      </c>
      <c r="N389" s="25">
        <v>1</v>
      </c>
      <c r="O389" s="25">
        <f>VLOOKUP(E389, Factor!$CL$5:$CV$50, 8, 0)*N389*VLOOKUP(D389, Factor!$BZ$5:$CJ$49, 10, 0)</f>
        <v>5</v>
      </c>
      <c r="P389" s="25">
        <v>1</v>
      </c>
      <c r="Q389" s="25">
        <f>VLOOKUP(E389, Factor!$CL$5:$CV$50, 9, 0)*P389*VLOOKUP(D389, Factor!$BZ$5:$CJ$49, 11, 0)</f>
        <v>1</v>
      </c>
      <c r="R389" s="25" t="str">
        <f>VLOOKUP(E389, Factor!$CL$5:$CV$50, 10, 0)</f>
        <v>target</v>
      </c>
      <c r="S389" s="25" t="str">
        <f>VLOOKUP(E389, Factor!$CL$5:$CV$50, 11, 0)</f>
        <v>circle</v>
      </c>
      <c r="T389" s="25">
        <v>1</v>
      </c>
      <c r="U389" s="25">
        <v>1</v>
      </c>
      <c r="V389" s="25">
        <v>1</v>
      </c>
      <c r="W389" s="25">
        <v>1</v>
      </c>
      <c r="X389" s="25">
        <v>1</v>
      </c>
      <c r="Y389" s="25">
        <v>1</v>
      </c>
      <c r="Z389" s="25">
        <v>1</v>
      </c>
      <c r="AA389" s="25" cm="1">
        <f t="array" ref="AA389">_xlfn.LET(_xlpm.기본_색인번호, 2,
_xlpm.추가_색인번호, 3,
_xlpm.개별보정치, T389,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B389" s="25" cm="1">
        <f t="array" ref="AB389">_xlfn.LET(_xlpm.기본_색인번호, 3,
_xlpm.추가_색인번호, 4,
_xlpm.개별보정치, U389,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C389" s="25" cm="1">
        <f t="array" ref="AC389">_xlfn.LET(_xlpm.기본_색인번호, 4,
_xlpm.추가_색인번호, 5,
_xlpm.개별보정치, V389,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89" s="25" cm="1">
        <f t="array" ref="AD389">_xlfn.LET(_xlpm.기본_색인번호, 5,
_xlpm.추가_색인번호, 6,
_xlpm.개별보정치, W389,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E389" s="25" cm="1">
        <f t="array" ref="AE389">_xlfn.LET(_xlpm.기본_색인번호, 6,
_xlpm.추가_색인번호, 7,
_xlpm.개별보정치, X389,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F389" s="25" cm="1">
        <f t="array" ref="AF389">_xlfn.LET(_xlpm.기본_색인번호, 7,
_xlpm.추가_색인번호, 8,
_xlpm.개별보정치, Y389,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89" s="27" cm="1">
        <f t="array" ref="AG389">_xlfn.LET(_xlpm.기본_색인번호, 8,
_xlpm.추가_색인번호, 9,
_xlpm.개별보정치, Z389,
_xlpm.패턴보정치, VLOOKUP($G389, Factor!$B$5:$I$51, _xlpm.기본_색인번호, 0),
_xlpm.소모탄환보정치, VLOOKUP($H389, Factor!$T$5:$AA$51, _xlpm.기본_색인번호, 0),
_xlpm.지형보정치, VLOOKUP($I389, Factor!$K$12:$R$13, _xlpm.기본_색인번호, 0),
_xlpm.공격속성보정치, VLOOKUP($J389, Factor!$K$5:$R$7, _xlpm.기본_색인번호, 0),
_xlpm.피해범위보정치, INDEX(Factor!$AN$5:$AV$51, _xlfn.XMATCH(IF(OR($G389="blast", $G389="curved",  $G389= "debuff"), $L389, 0), Factor!$AN$5:$AN$51, -1), _xlpm.추가_색인번호)-IF(AND(OR($G389="blast", $G389="curved", $G389= "debuff"), MOD($L389,1)&lt;&gt;0),INDEX(Factor!$AN$5:$AV$51, _xlfn.XMATCH(IF(OR($G389="blast", $G389="curved", $G389= "debuff"), $L389, 0), Factor!$AN$5:$AN$51, -1), 2)*MOD($L389,1)*10,0),
_xlpm.상태이상보정치, VLOOKUP(IF($G389 = "debuff", $M389, "null"), Factor!$AX$5:$BE$51, _xlpm.기본_색인번호, 0),
_xlpm.지속시간보정치, INDEX(Factor!$BG$5:$BO$51, _xlfn.XMATCH(IF(OR($G389 ="debuff", $G389 = "shot", $G389 = "pierce"), $O389, 0), Factor!$BG$5:$BG$51, -1), _xlpm.추가_색인번호)-IF(AND(OR($G389 ="debuff", $G389 = "shot", $G389 = "pierce"), MOD($O389, 1)&lt;&gt;0), 10*MOD($O389, 1)*INDEX(Factor!$BG$5:$BO$51, _xlfn.XMATCH(IF(OR($G389 ="debuff", $G389 = "shot", $G389 = "pierce"), $O389, 0), Factor!$BG$5:$BG$51, -1), 2), 0),
_xlpm.탄환개수보정치, VLOOKUP(IF(OR($G389 = "curved", $G389 = "shot"), $Q389, 1), Factor!$BQ$5:$BX$51, _xlpm.기본_색인번호, 0),
_xlpm.상태이상탄환생성위치보정치, IF($G389 = "debuff", VLOOKUP($R389, Factor!$K$18:$R$19, _xlpm.기본_색인번호, 0),1),
_xlpm.상태이상탄환형태보정치, IF($G389 = "debuff", VLOOKUP($S389, Factor!$K$24:$R$25, _xlpm.기본_색인번호, 0),1),
_xlpm.가격보정치, INDEX(Factor!$AE$5:$AL$51, _xlfn.XMATCH($F389,Factor!$AE$5:$AE$51, -1), _xlpm.기본_색인번호),
_xlpm.구경보정치, VLOOKUP($D389,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</row>
    <row r="390" spans="1:33" ht="15.75" customHeight="1">
      <c r="A390" s="28" t="str">
        <f>"weapon_"&amp;G390&amp;"_"&amp;VLOOKUP(H390, Factor!$T$5:$AB$7, 9, 0)&amp;"_"&amp;IF(COUNTIFS($G$4:G389, G390, $H$4:H389, H390)+1&gt;=100, COUNTIFS($G$4:G389, G390, $H$4:H389, H390)+1,IF(COUNTIFS($G$4:G389, G390, $H$4:H389, H390)+1&gt;=10, "0"&amp;COUNTIFS($G$4:G389, G390, $H$4:H389, H390)+1, "00"&amp;COUNTIFS($G$4:G389, G390, $H$4:H389, H390)+1))</f>
        <v>weapon_debuff_Ms_034</v>
      </c>
      <c r="B390" s="37" t="str">
        <f t="shared" si="6"/>
        <v>T5 240mm벙커버스터 미사일 발사대</v>
      </c>
      <c r="C390" s="37" t="s">
        <v>158</v>
      </c>
      <c r="D390" s="37" t="s">
        <v>267</v>
      </c>
      <c r="E390" s="37" t="s">
        <v>207</v>
      </c>
      <c r="F390" s="29">
        <f>VLOOKUP(C390, Factor!$AD$5:$AE$15, 2, 0)</f>
        <v>5000</v>
      </c>
      <c r="G390" s="29" t="str">
        <f>VLOOKUP(E390, Factor!$CL$5:$CV$50, 2, 0)</f>
        <v>debuff</v>
      </c>
      <c r="H390" s="29" t="str">
        <f>VLOOKUP(E390, Factor!$CL$5:$CV$50, 3, 0)</f>
        <v>missile</v>
      </c>
      <c r="I390" s="29" t="str">
        <f>VLOOKUP(E390, Factor!$CL$5:$CV$50, 4, 0)</f>
        <v>L</v>
      </c>
      <c r="J390" s="29" t="str">
        <f>VLOOKUP(E390, Factor!$CL$5:$CV$50, 5, 0)</f>
        <v>armored</v>
      </c>
      <c r="K390" s="29">
        <v>1</v>
      </c>
      <c r="L390" s="29">
        <f>VLOOKUP(E390, Factor!$CL$5:$CV$50, 6, 0)*K390*VLOOKUP(D390, Factor!$BZ$5:$CJ$49, 9, 0)</f>
        <v>0</v>
      </c>
      <c r="M390" s="29" t="str">
        <f>VLOOKUP(E390, Factor!$CL$5:$CV$50, 7, 0)</f>
        <v>deflow</v>
      </c>
      <c r="N390" s="29">
        <v>1</v>
      </c>
      <c r="O390" s="29">
        <f>VLOOKUP(E390, Factor!$CL$5:$CV$50, 8, 0)*N390*VLOOKUP(D390, Factor!$BZ$5:$CJ$49, 10, 0)</f>
        <v>40</v>
      </c>
      <c r="P390" s="29">
        <v>1</v>
      </c>
      <c r="Q390" s="29">
        <f>VLOOKUP(E390, Factor!$CL$5:$CV$50, 9, 0)*P390*VLOOKUP(D390, Factor!$BZ$5:$CJ$49, 11, 0)</f>
        <v>8</v>
      </c>
      <c r="R390" s="29" t="str">
        <f>VLOOKUP(E390, Factor!$CL$5:$CV$50, 10, 0)</f>
        <v>target</v>
      </c>
      <c r="S390" s="29" t="str">
        <f>VLOOKUP(E390, Factor!$CL$5:$CV$50, 11, 0)</f>
        <v>circle</v>
      </c>
      <c r="T390" s="29">
        <v>1</v>
      </c>
      <c r="U390" s="29">
        <v>1</v>
      </c>
      <c r="V390" s="29">
        <v>1</v>
      </c>
      <c r="W390" s="29">
        <v>1</v>
      </c>
      <c r="X390" s="29">
        <v>1</v>
      </c>
      <c r="Y390" s="29">
        <v>1</v>
      </c>
      <c r="Z390" s="29">
        <v>1</v>
      </c>
      <c r="AA390" s="29" cm="1">
        <f t="array" ref="AA390">_xlfn.LET(_xlpm.기본_색인번호, 2,
_xlpm.추가_색인번호, 3,
_xlpm.개별보정치, T390,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B390" s="29" cm="1">
        <f t="array" ref="AB390">_xlfn.LET(_xlpm.기본_색인번호, 3,
_xlpm.추가_색인번호, 4,
_xlpm.개별보정치, U390,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C390" s="29" cm="1">
        <f t="array" ref="AC390">_xlfn.LET(_xlpm.기본_색인번호, 4,
_xlpm.추가_색인번호, 5,
_xlpm.개별보정치, V390,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90" s="29" cm="1">
        <f t="array" ref="AD390">_xlfn.LET(_xlpm.기본_색인번호, 5,
_xlpm.추가_색인번호, 6,
_xlpm.개별보정치, W390,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E390" s="29" cm="1">
        <f t="array" ref="AE390">_xlfn.LET(_xlpm.기본_색인번호, 6,
_xlpm.추가_색인번호, 7,
_xlpm.개별보정치, X390,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F390" s="29" cm="1">
        <f t="array" ref="AF390">_xlfn.LET(_xlpm.기본_색인번호, 7,
_xlpm.추가_색인번호, 8,
_xlpm.개별보정치, Y390,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90" s="30" cm="1">
        <f t="array" ref="AG390">_xlfn.LET(_xlpm.기본_색인번호, 8,
_xlpm.추가_색인번호, 9,
_xlpm.개별보정치, Z390,
_xlpm.패턴보정치, VLOOKUP($G390, Factor!$B$5:$I$51, _xlpm.기본_색인번호, 0),
_xlpm.소모탄환보정치, VLOOKUP($H390, Factor!$T$5:$AA$51, _xlpm.기본_색인번호, 0),
_xlpm.지형보정치, VLOOKUP($I390, Factor!$K$12:$R$13, _xlpm.기본_색인번호, 0),
_xlpm.공격속성보정치, VLOOKUP($J390, Factor!$K$5:$R$7, _xlpm.기본_색인번호, 0),
_xlpm.피해범위보정치, INDEX(Factor!$AN$5:$AV$51, _xlfn.XMATCH(IF(OR($G390="blast", $G390="curved",  $G390= "debuff"), $L390, 0), Factor!$AN$5:$AN$51, -1), _xlpm.추가_색인번호)-IF(AND(OR($G390="blast", $G390="curved", $G390= "debuff"), MOD($L390,1)&lt;&gt;0),INDEX(Factor!$AN$5:$AV$51, _xlfn.XMATCH(IF(OR($G390="blast", $G390="curved", $G390= "debuff"), $L390, 0), Factor!$AN$5:$AN$51, -1), 2)*MOD($L390,1)*10,0),
_xlpm.상태이상보정치, VLOOKUP(IF($G390 = "debuff", $M390, "null"), Factor!$AX$5:$BE$51, _xlpm.기본_색인번호, 0),
_xlpm.지속시간보정치, INDEX(Factor!$BG$5:$BO$51, _xlfn.XMATCH(IF(OR($G390 ="debuff", $G390 = "shot", $G390 = "pierce"), $O390, 0), Factor!$BG$5:$BG$51, -1), _xlpm.추가_색인번호)-IF(AND(OR($G390 ="debuff", $G390 = "shot", $G390 = "pierce"), MOD($O390, 1)&lt;&gt;0), 10*MOD($O390, 1)*INDEX(Factor!$BG$5:$BO$51, _xlfn.XMATCH(IF(OR($G390 ="debuff", $G390 = "shot", $G390 = "pierce"), $O390, 0), Factor!$BG$5:$BG$51, -1), 2), 0),
_xlpm.탄환개수보정치, VLOOKUP(IF(OR($G390 = "curved", $G390 = "shot"), $Q390, 1), Factor!$BQ$5:$BX$51, _xlpm.기본_색인번호, 0),
_xlpm.상태이상탄환생성위치보정치, IF($G390 = "debuff", VLOOKUP($R390, Factor!$K$18:$R$19, _xlpm.기본_색인번호, 0),1),
_xlpm.상태이상탄환형태보정치, IF($G390 = "debuff", VLOOKUP($S390, Factor!$K$24:$R$25, _xlpm.기본_색인번호, 0),1),
_xlpm.가격보정치, INDEX(Factor!$AE$5:$AL$51, _xlfn.XMATCH($F390,Factor!$AE$5:$AE$51, -1), _xlpm.기본_색인번호),
_xlpm.구경보정치, VLOOKUP($D390,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</row>
    <row r="391" spans="1:33" ht="15.75" customHeight="1">
      <c r="A391" s="24" t="str">
        <f>"weapon_"&amp;G391&amp;"_"&amp;VLOOKUP(H391, Factor!$T$5:$AB$7, 9, 0)&amp;"_"&amp;IF(COUNTIFS($G$4:G390, G391, $H$4:H390, H391)+1&gt;=100, COUNTIFS($G$4:G390, G391, $H$4:H390, H391)+1,IF(COUNTIFS($G$4:G390, G391, $H$4:H390, H391)+1&gt;=10, "0"&amp;COUNTIFS($G$4:G390, G391, $H$4:H390, H391)+1, "00"&amp;COUNTIFS($G$4:G390, G391, $H$4:H390, H391)+1))</f>
        <v>weapon_debuff_Ms_035</v>
      </c>
      <c r="B391" s="36" t="str">
        <f t="shared" si="6"/>
        <v>T6 벙커버스터 미사일 발사대</v>
      </c>
      <c r="C391" s="36" t="s">
        <v>159</v>
      </c>
      <c r="D391" s="36" t="s">
        <v>275</v>
      </c>
      <c r="E391" s="36" t="s">
        <v>207</v>
      </c>
      <c r="F391" s="25">
        <f>VLOOKUP(C391, Factor!$AD$5:$AE$15, 2, 0)</f>
        <v>6000</v>
      </c>
      <c r="G391" s="26" t="str">
        <f>VLOOKUP(E391, Factor!$CL$5:$CV$50, 2, 0)</f>
        <v>debuff</v>
      </c>
      <c r="H391" s="25" t="str">
        <f>VLOOKUP(E391, Factor!$CL$5:$CV$50, 3, 0)</f>
        <v>missile</v>
      </c>
      <c r="I391" s="25" t="str">
        <f>VLOOKUP(E391, Factor!$CL$5:$CV$50, 4, 0)</f>
        <v>L</v>
      </c>
      <c r="J391" s="25" t="str">
        <f>VLOOKUP(E391, Factor!$CL$5:$CV$50, 5, 0)</f>
        <v>armored</v>
      </c>
      <c r="K391" s="25">
        <v>1</v>
      </c>
      <c r="L391" s="25">
        <f>VLOOKUP(E391, Factor!$CL$5:$CV$50, 6, 0)*K391*VLOOKUP(D391, Factor!$BZ$5:$CJ$49, 9, 0)</f>
        <v>0</v>
      </c>
      <c r="M391" s="25" t="str">
        <f>VLOOKUP(E391, Factor!$CL$5:$CV$50, 7, 0)</f>
        <v>deflow</v>
      </c>
      <c r="N391" s="25">
        <v>1</v>
      </c>
      <c r="O391" s="25">
        <f>VLOOKUP(E391, Factor!$CL$5:$CV$50, 8, 0)*N391*VLOOKUP(D391, Factor!$BZ$5:$CJ$49, 10, 0)</f>
        <v>5</v>
      </c>
      <c r="P391" s="25">
        <v>1</v>
      </c>
      <c r="Q391" s="25">
        <f>VLOOKUP(E391, Factor!$CL$5:$CV$50, 9, 0)*P391*VLOOKUP(D391, Factor!$BZ$5:$CJ$49, 11, 0)</f>
        <v>1</v>
      </c>
      <c r="R391" s="25" t="str">
        <f>VLOOKUP(E391, Factor!$CL$5:$CV$50, 10, 0)</f>
        <v>target</v>
      </c>
      <c r="S391" s="25" t="str">
        <f>VLOOKUP(E391, Factor!$CL$5:$CV$50, 11, 0)</f>
        <v>circle</v>
      </c>
      <c r="T391" s="25">
        <v>1</v>
      </c>
      <c r="U391" s="25">
        <v>1</v>
      </c>
      <c r="V391" s="25">
        <v>1</v>
      </c>
      <c r="W391" s="25">
        <v>1</v>
      </c>
      <c r="X391" s="25">
        <v>1</v>
      </c>
      <c r="Y391" s="25">
        <v>1</v>
      </c>
      <c r="Z391" s="25">
        <v>1</v>
      </c>
      <c r="AA391" s="25" cm="1">
        <f t="array" ref="AA391">_xlfn.LET(_xlpm.기본_색인번호, 2,
_xlpm.추가_색인번호, 3,
_xlpm.개별보정치, T391,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25200</v>
      </c>
      <c r="AB391" s="25" cm="1">
        <f t="array" ref="AB391">_xlfn.LET(_xlpm.기본_색인번호, 3,
_xlpm.추가_색인번호, 4,
_xlpm.개별보정치, U391,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91" s="25" cm="1">
        <f t="array" ref="AC391">_xlfn.LET(_xlpm.기본_색인번호, 4,
_xlpm.추가_색인번호, 5,
_xlpm.개별보정치, V391,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91" s="25" cm="1">
        <f t="array" ref="AD391">_xlfn.LET(_xlpm.기본_색인번호, 5,
_xlpm.추가_색인번호, 6,
_xlpm.개별보정치, W391,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E391" s="25" cm="1">
        <f t="array" ref="AE391">_xlfn.LET(_xlpm.기본_색인번호, 6,
_xlpm.추가_색인번호, 7,
_xlpm.개별보정치, X391,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F391" s="25" cm="1">
        <f t="array" ref="AF391">_xlfn.LET(_xlpm.기본_색인번호, 7,
_xlpm.추가_색인번호, 8,
_xlpm.개별보정치, Y391,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91" s="27" cm="1">
        <f t="array" ref="AG391">_xlfn.LET(_xlpm.기본_색인번호, 8,
_xlpm.추가_색인번호, 9,
_xlpm.개별보정치, Z391,
_xlpm.패턴보정치, VLOOKUP($G391, Factor!$B$5:$I$51, _xlpm.기본_색인번호, 0),
_xlpm.소모탄환보정치, VLOOKUP($H391, Factor!$T$5:$AA$51, _xlpm.기본_색인번호, 0),
_xlpm.지형보정치, VLOOKUP($I391, Factor!$K$12:$R$13, _xlpm.기본_색인번호, 0),
_xlpm.공격속성보정치, VLOOKUP($J391, Factor!$K$5:$R$7, _xlpm.기본_색인번호, 0),
_xlpm.피해범위보정치, INDEX(Factor!$AN$5:$AV$51, _xlfn.XMATCH(IF(OR($G391="blast", $G391="curved",  $G391= "debuff"), $L391, 0), Factor!$AN$5:$AN$51, -1), _xlpm.추가_색인번호)-IF(AND(OR($G391="blast", $G391="curved", $G391= "debuff"), MOD($L391,1)&lt;&gt;0),INDEX(Factor!$AN$5:$AV$51, _xlfn.XMATCH(IF(OR($G391="blast", $G391="curved", $G391= "debuff"), $L391, 0), Factor!$AN$5:$AN$51, -1), 2)*MOD($L391,1)*10,0),
_xlpm.상태이상보정치, VLOOKUP(IF($G391 = "debuff", $M391, "null"), Factor!$AX$5:$BE$51, _xlpm.기본_색인번호, 0),
_xlpm.지속시간보정치, INDEX(Factor!$BG$5:$BO$51, _xlfn.XMATCH(IF(OR($G391 ="debuff", $G391 = "shot", $G391 = "pierce"), $O391, 0), Factor!$BG$5:$BG$51, -1), _xlpm.추가_색인번호)-IF(AND(OR($G391 ="debuff", $G391 = "shot", $G391 = "pierce"), MOD($O391, 1)&lt;&gt;0), 10*MOD($O391, 1)*INDEX(Factor!$BG$5:$BO$51, _xlfn.XMATCH(IF(OR($G391 ="debuff", $G391 = "shot", $G391 = "pierce"), $O391, 0), Factor!$BG$5:$BG$51, -1), 2), 0),
_xlpm.탄환개수보정치, VLOOKUP(IF(OR($G391 = "curved", $G391 = "shot"), $Q391, 1), Factor!$BQ$5:$BX$51, _xlpm.기본_색인번호, 0),
_xlpm.상태이상탄환생성위치보정치, IF($G391 = "debuff", VLOOKUP($R391, Factor!$K$18:$R$19, _xlpm.기본_색인번호, 0),1),
_xlpm.상태이상탄환형태보정치, IF($G391 = "debuff", VLOOKUP($S391, Factor!$K$24:$R$25, _xlpm.기본_색인번호, 0),1),
_xlpm.가격보정치, INDEX(Factor!$AE$5:$AL$51, _xlfn.XMATCH($F391,Factor!$AE$5:$AE$51, -1), _xlpm.기본_색인번호),
_xlpm.구경보정치, VLOOKUP($D391,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</row>
    <row r="392" spans="1:33" ht="15.75" customHeight="1">
      <c r="A392" s="28" t="str">
        <f>"weapon_"&amp;G392&amp;"_"&amp;VLOOKUP(H392, Factor!$T$5:$AB$7, 9, 0)&amp;"_"&amp;IF(COUNTIFS($G$4:G391, G392, $H$4:H391, H392)+1&gt;=100, COUNTIFS($G$4:G391, G392, $H$4:H391, H392)+1,IF(COUNTIFS($G$4:G391, G392, $H$4:H391, H392)+1&gt;=10, "0"&amp;COUNTIFS($G$4:G391, G392, $H$4:H391, H392)+1, "00"&amp;COUNTIFS($G$4:G391, G392, $H$4:H391, H392)+1))</f>
        <v>weapon_debuff_Ms_036</v>
      </c>
      <c r="B392" s="37" t="str">
        <f t="shared" si="6"/>
        <v>T6 240mm벙커버스터 미사일 발사대</v>
      </c>
      <c r="C392" s="37" t="s">
        <v>159</v>
      </c>
      <c r="D392" s="37" t="s">
        <v>267</v>
      </c>
      <c r="E392" s="37" t="s">
        <v>207</v>
      </c>
      <c r="F392" s="29">
        <f>VLOOKUP(C392, Factor!$AD$5:$AE$15, 2, 0)</f>
        <v>6000</v>
      </c>
      <c r="G392" s="29" t="str">
        <f>VLOOKUP(E392, Factor!$CL$5:$CV$50, 2, 0)</f>
        <v>debuff</v>
      </c>
      <c r="H392" s="29" t="str">
        <f>VLOOKUP(E392, Factor!$CL$5:$CV$50, 3, 0)</f>
        <v>missile</v>
      </c>
      <c r="I392" s="29" t="str">
        <f>VLOOKUP(E392, Factor!$CL$5:$CV$50, 4, 0)</f>
        <v>L</v>
      </c>
      <c r="J392" s="29" t="str">
        <f>VLOOKUP(E392, Factor!$CL$5:$CV$50, 5, 0)</f>
        <v>armored</v>
      </c>
      <c r="K392" s="29">
        <v>1</v>
      </c>
      <c r="L392" s="29">
        <f>VLOOKUP(E392, Factor!$CL$5:$CV$50, 6, 0)*K392*VLOOKUP(D392, Factor!$BZ$5:$CJ$49, 9, 0)</f>
        <v>0</v>
      </c>
      <c r="M392" s="29" t="str">
        <f>VLOOKUP(E392, Factor!$CL$5:$CV$50, 7, 0)</f>
        <v>deflow</v>
      </c>
      <c r="N392" s="29">
        <v>1</v>
      </c>
      <c r="O392" s="29">
        <f>VLOOKUP(E392, Factor!$CL$5:$CV$50, 8, 0)*N392*VLOOKUP(D392, Factor!$BZ$5:$CJ$49, 10, 0)</f>
        <v>40</v>
      </c>
      <c r="P392" s="29">
        <v>1</v>
      </c>
      <c r="Q392" s="29">
        <f>VLOOKUP(E392, Factor!$CL$5:$CV$50, 9, 0)*P392*VLOOKUP(D392, Factor!$BZ$5:$CJ$49, 11, 0)</f>
        <v>8</v>
      </c>
      <c r="R392" s="29" t="str">
        <f>VLOOKUP(E392, Factor!$CL$5:$CV$50, 10, 0)</f>
        <v>target</v>
      </c>
      <c r="S392" s="29" t="str">
        <f>VLOOKUP(E392, Factor!$CL$5:$CV$50, 11, 0)</f>
        <v>circle</v>
      </c>
      <c r="T392" s="29">
        <v>1</v>
      </c>
      <c r="U392" s="29">
        <v>1</v>
      </c>
      <c r="V392" s="29">
        <v>1</v>
      </c>
      <c r="W392" s="29">
        <v>1</v>
      </c>
      <c r="X392" s="29">
        <v>1</v>
      </c>
      <c r="Y392" s="29">
        <v>1</v>
      </c>
      <c r="Z392" s="29">
        <v>1</v>
      </c>
      <c r="AA392" s="29" cm="1">
        <f t="array" ref="AA392">_xlfn.LET(_xlpm.기본_색인번호, 2,
_xlpm.추가_색인번호, 3,
_xlpm.개별보정치, T392,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50400</v>
      </c>
      <c r="AB392" s="29" cm="1">
        <f t="array" ref="AB392">_xlfn.LET(_xlpm.기본_색인번호, 3,
_xlpm.추가_색인번호, 4,
_xlpm.개별보정치, U392,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C392" s="29" cm="1">
        <f t="array" ref="AC392">_xlfn.LET(_xlpm.기본_색인번호, 4,
_xlpm.추가_색인번호, 5,
_xlpm.개별보정치, V392,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92" s="29" cm="1">
        <f t="array" ref="AD392">_xlfn.LET(_xlpm.기본_색인번호, 5,
_xlpm.추가_색인번호, 6,
_xlpm.개별보정치, W392,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</v>
      </c>
      <c r="AE392" s="29" cm="1">
        <f t="array" ref="AE392">_xlfn.LET(_xlpm.기본_색인번호, 6,
_xlpm.추가_색인번호, 7,
_xlpm.개별보정치, X392,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</v>
      </c>
      <c r="AF392" s="29" cm="1">
        <f t="array" ref="AF392">_xlfn.LET(_xlpm.기본_색인번호, 7,
_xlpm.추가_색인번호, 8,
_xlpm.개별보정치, Y392,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92" s="30" cm="1">
        <f t="array" ref="AG392">_xlfn.LET(_xlpm.기본_색인번호, 8,
_xlpm.추가_색인번호, 9,
_xlpm.개별보정치, Z392,
_xlpm.패턴보정치, VLOOKUP($G392, Factor!$B$5:$I$51, _xlpm.기본_색인번호, 0),
_xlpm.소모탄환보정치, VLOOKUP($H392, Factor!$T$5:$AA$51, _xlpm.기본_색인번호, 0),
_xlpm.지형보정치, VLOOKUP($I392, Factor!$K$12:$R$13, _xlpm.기본_색인번호, 0),
_xlpm.공격속성보정치, VLOOKUP($J392, Factor!$K$5:$R$7, _xlpm.기본_색인번호, 0),
_xlpm.피해범위보정치, INDEX(Factor!$AN$5:$AV$51, _xlfn.XMATCH(IF(OR($G392="blast", $G392="curved",  $G392= "debuff"), $L392, 0), Factor!$AN$5:$AN$51, -1), _xlpm.추가_색인번호)-IF(AND(OR($G392="blast", $G392="curved", $G392= "debuff"), MOD($L392,1)&lt;&gt;0),INDEX(Factor!$AN$5:$AV$51, _xlfn.XMATCH(IF(OR($G392="blast", $G392="curved", $G392= "debuff"), $L392, 0), Factor!$AN$5:$AN$51, -1), 2)*MOD($L392,1)*10,0),
_xlpm.상태이상보정치, VLOOKUP(IF($G392 = "debuff", $M392, "null"), Factor!$AX$5:$BE$51, _xlpm.기본_색인번호, 0),
_xlpm.지속시간보정치, INDEX(Factor!$BG$5:$BO$51, _xlfn.XMATCH(IF(OR($G392 ="debuff", $G392 = "shot", $G392 = "pierce"), $O392, 0), Factor!$BG$5:$BG$51, -1), _xlpm.추가_색인번호)-IF(AND(OR($G392 ="debuff", $G392 = "shot", $G392 = "pierce"), MOD($O392, 1)&lt;&gt;0), 10*MOD($O392, 1)*INDEX(Factor!$BG$5:$BO$51, _xlfn.XMATCH(IF(OR($G392 ="debuff", $G392 = "shot", $G392 = "pierce"), $O392, 0), Factor!$BG$5:$BG$51, -1), 2), 0),
_xlpm.탄환개수보정치, VLOOKUP(IF(OR($G392 = "curved", $G392 = "shot"), $Q392, 1), Factor!$BQ$5:$BX$51, _xlpm.기본_색인번호, 0),
_xlpm.상태이상탄환생성위치보정치, IF($G392 = "debuff", VLOOKUP($R392, Factor!$K$18:$R$19, _xlpm.기본_색인번호, 0),1),
_xlpm.상태이상탄환형태보정치, IF($G392 = "debuff", VLOOKUP($S392, Factor!$K$24:$R$25, _xlpm.기본_색인번호, 0),1),
_xlpm.가격보정치, INDEX(Factor!$AE$5:$AL$51, _xlfn.XMATCH($F392,Factor!$AE$5:$AE$51, -1), _xlpm.기본_색인번호),
_xlpm.구경보정치, VLOOKUP($D392,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</v>
      </c>
    </row>
    <row r="393" spans="1:33" ht="15.75" customHeight="1">
      <c r="A393" s="24" t="str">
        <f>"weapon_"&amp;G393&amp;"_"&amp;VLOOKUP(H393, Factor!$T$5:$AB$7, 9, 0)&amp;"_"&amp;IF(COUNTIFS($G$4:G392, G393, $H$4:H392, H393)+1&gt;=100, COUNTIFS($G$4:G392, G393, $H$4:H392, H393)+1,IF(COUNTIFS($G$4:G392, G393, $H$4:H392, H393)+1&gt;=10, "0"&amp;COUNTIFS($G$4:G392, G393, $H$4:H392, H393)+1, "00"&amp;COUNTIFS($G$4:G392, G393, $H$4:H392, H393)+1))</f>
        <v>weapon_debuff_Ms_037</v>
      </c>
      <c r="B393" s="36" t="str">
        <f t="shared" si="6"/>
        <v>T7 벙커버스터 미사일 발사대</v>
      </c>
      <c r="C393" s="36" t="s">
        <v>160</v>
      </c>
      <c r="D393" s="36" t="s">
        <v>275</v>
      </c>
      <c r="E393" s="36" t="s">
        <v>207</v>
      </c>
      <c r="F393" s="25">
        <f>VLOOKUP(C393, Factor!$AD$5:$AE$15, 2, 0)</f>
        <v>7000</v>
      </c>
      <c r="G393" s="26" t="str">
        <f>VLOOKUP(E393, Factor!$CL$5:$CV$50, 2, 0)</f>
        <v>debuff</v>
      </c>
      <c r="H393" s="25" t="str">
        <f>VLOOKUP(E393, Factor!$CL$5:$CV$50, 3, 0)</f>
        <v>missile</v>
      </c>
      <c r="I393" s="25" t="str">
        <f>VLOOKUP(E393, Factor!$CL$5:$CV$50, 4, 0)</f>
        <v>L</v>
      </c>
      <c r="J393" s="25" t="str">
        <f>VLOOKUP(E393, Factor!$CL$5:$CV$50, 5, 0)</f>
        <v>armored</v>
      </c>
      <c r="K393" s="25">
        <v>1</v>
      </c>
      <c r="L393" s="25">
        <f>VLOOKUP(E393, Factor!$CL$5:$CV$50, 6, 0)*K393*VLOOKUP(D393, Factor!$BZ$5:$CJ$49, 9, 0)</f>
        <v>0</v>
      </c>
      <c r="M393" s="25" t="str">
        <f>VLOOKUP(E393, Factor!$CL$5:$CV$50, 7, 0)</f>
        <v>deflow</v>
      </c>
      <c r="N393" s="25">
        <v>1</v>
      </c>
      <c r="O393" s="25">
        <f>VLOOKUP(E393, Factor!$CL$5:$CV$50, 8, 0)*N393*VLOOKUP(D393, Factor!$BZ$5:$CJ$49, 10, 0)</f>
        <v>5</v>
      </c>
      <c r="P393" s="25">
        <v>1</v>
      </c>
      <c r="Q393" s="25">
        <f>VLOOKUP(E393, Factor!$CL$5:$CV$50, 9, 0)*P393*VLOOKUP(D393, Factor!$BZ$5:$CJ$49, 11, 0)</f>
        <v>1</v>
      </c>
      <c r="R393" s="25" t="str">
        <f>VLOOKUP(E393, Factor!$CL$5:$CV$50, 10, 0)</f>
        <v>target</v>
      </c>
      <c r="S393" s="25" t="str">
        <f>VLOOKUP(E393, Factor!$CL$5:$CV$50, 11, 0)</f>
        <v>circle</v>
      </c>
      <c r="T393" s="25">
        <v>1</v>
      </c>
      <c r="U393" s="25">
        <v>1</v>
      </c>
      <c r="V393" s="25">
        <v>1</v>
      </c>
      <c r="W393" s="25">
        <v>1</v>
      </c>
      <c r="X393" s="25">
        <v>1</v>
      </c>
      <c r="Y393" s="25">
        <v>1</v>
      </c>
      <c r="Z393" s="25">
        <v>1</v>
      </c>
      <c r="AA393" s="25" cm="1">
        <f t="array" ref="AA393">_xlfn.LET(_xlpm.기본_색인번호, 2,
_xlpm.추가_색인번호, 3,
_xlpm.개별보정치, T393,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28800</v>
      </c>
      <c r="AB393" s="25" cm="1">
        <f t="array" ref="AB393">_xlfn.LET(_xlpm.기본_색인번호, 3,
_xlpm.추가_색인번호, 4,
_xlpm.개별보정치, U393,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93" s="25" cm="1">
        <f t="array" ref="AC393">_xlfn.LET(_xlpm.기본_색인번호, 4,
_xlpm.추가_색인번호, 5,
_xlpm.개별보정치, V393,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93" s="25" cm="1">
        <f t="array" ref="AD393">_xlfn.LET(_xlpm.기본_색인번호, 5,
_xlpm.추가_색인번호, 6,
_xlpm.개별보정치, W393,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E393" s="25" cm="1">
        <f t="array" ref="AE393">_xlfn.LET(_xlpm.기본_색인번호, 6,
_xlpm.추가_색인번호, 7,
_xlpm.개별보정치, X393,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  <c r="AF393" s="25" cm="1">
        <f t="array" ref="AF393">_xlfn.LET(_xlpm.기본_색인번호, 7,
_xlpm.추가_색인번호, 8,
_xlpm.개별보정치, Y393,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93" s="27" cm="1">
        <f t="array" ref="AG393">_xlfn.LET(_xlpm.기본_색인번호, 8,
_xlpm.추가_색인번호, 9,
_xlpm.개별보정치, Z393,
_xlpm.패턴보정치, VLOOKUP($G393, Factor!$B$5:$I$51, _xlpm.기본_색인번호, 0),
_xlpm.소모탄환보정치, VLOOKUP($H393, Factor!$T$5:$AA$51, _xlpm.기본_색인번호, 0),
_xlpm.지형보정치, VLOOKUP($I393, Factor!$K$12:$R$13, _xlpm.기본_색인번호, 0),
_xlpm.공격속성보정치, VLOOKUP($J393, Factor!$K$5:$R$7, _xlpm.기본_색인번호, 0),
_xlpm.피해범위보정치, INDEX(Factor!$AN$5:$AV$51, _xlfn.XMATCH(IF(OR($G393="blast", $G393="curved",  $G393= "debuff"), $L393, 0), Factor!$AN$5:$AN$51, -1), _xlpm.추가_색인번호)-IF(AND(OR($G393="blast", $G393="curved", $G393= "debuff"), MOD($L393,1)&lt;&gt;0),INDEX(Factor!$AN$5:$AV$51, _xlfn.XMATCH(IF(OR($G393="blast", $G393="curved", $G393= "debuff"), $L393, 0), Factor!$AN$5:$AN$51, -1), 2)*MOD($L393,1)*10,0),
_xlpm.상태이상보정치, VLOOKUP(IF($G393 = "debuff", $M393, "null"), Factor!$AX$5:$BE$51, _xlpm.기본_색인번호, 0),
_xlpm.지속시간보정치, INDEX(Factor!$BG$5:$BO$51, _xlfn.XMATCH(IF(OR($G393 ="debuff", $G393 = "shot", $G393 = "pierce"), $O393, 0), Factor!$BG$5:$BG$51, -1), _xlpm.추가_색인번호)-IF(AND(OR($G393 ="debuff", $G393 = "shot", $G393 = "pierce"), MOD($O393, 1)&lt;&gt;0), 10*MOD($O393, 1)*INDEX(Factor!$BG$5:$BO$51, _xlfn.XMATCH(IF(OR($G393 ="debuff", $G393 = "shot", $G393 = "pierce"), $O393, 0), Factor!$BG$5:$BG$51, -1), 2), 0),
_xlpm.탄환개수보정치, VLOOKUP(IF(OR($G393 = "curved", $G393 = "shot"), $Q393, 1), Factor!$BQ$5:$BX$51, _xlpm.기본_색인번호, 0),
_xlpm.상태이상탄환생성위치보정치, IF($G393 = "debuff", VLOOKUP($R393, Factor!$K$18:$R$19, _xlpm.기본_색인번호, 0),1),
_xlpm.상태이상탄환형태보정치, IF($G393 = "debuff", VLOOKUP($S393, Factor!$K$24:$R$25, _xlpm.기본_색인번호, 0),1),
_xlpm.가격보정치, INDEX(Factor!$AE$5:$AL$51, _xlfn.XMATCH($F393,Factor!$AE$5:$AE$51, -1), _xlpm.기본_색인번호),
_xlpm.구경보정치, VLOOKUP($D393,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1440</v>
      </c>
    </row>
    <row r="394" spans="1:33" ht="15.75" customHeight="1">
      <c r="A394" s="28" t="str">
        <f>"weapon_"&amp;G394&amp;"_"&amp;VLOOKUP(H394, Factor!$T$5:$AB$7, 9, 0)&amp;"_"&amp;IF(COUNTIFS($G$4:G393, G394, $H$4:H393, H394)+1&gt;=100, COUNTIFS($G$4:G393, G394, $H$4:H393, H394)+1,IF(COUNTIFS($G$4:G393, G394, $H$4:H393, H394)+1&gt;=10, "0"&amp;COUNTIFS($G$4:G393, G394, $H$4:H393, H394)+1, "00"&amp;COUNTIFS($G$4:G393, G394, $H$4:H393, H394)+1))</f>
        <v>weapon_debuff_Ms_038</v>
      </c>
      <c r="B394" s="37" t="str">
        <f t="shared" si="6"/>
        <v>T7 240mm벙커버스터 미사일 발사대</v>
      </c>
      <c r="C394" s="37" t="s">
        <v>160</v>
      </c>
      <c r="D394" s="37" t="s">
        <v>267</v>
      </c>
      <c r="E394" s="37" t="s">
        <v>207</v>
      </c>
      <c r="F394" s="29">
        <f>VLOOKUP(C394, Factor!$AD$5:$AE$15, 2, 0)</f>
        <v>7000</v>
      </c>
      <c r="G394" s="29" t="str">
        <f>VLOOKUP(E394, Factor!$CL$5:$CV$50, 2, 0)</f>
        <v>debuff</v>
      </c>
      <c r="H394" s="29" t="str">
        <f>VLOOKUP(E394, Factor!$CL$5:$CV$50, 3, 0)</f>
        <v>missile</v>
      </c>
      <c r="I394" s="29" t="str">
        <f>VLOOKUP(E394, Factor!$CL$5:$CV$50, 4, 0)</f>
        <v>L</v>
      </c>
      <c r="J394" s="29" t="str">
        <f>VLOOKUP(E394, Factor!$CL$5:$CV$50, 5, 0)</f>
        <v>armored</v>
      </c>
      <c r="K394" s="29">
        <v>1</v>
      </c>
      <c r="L394" s="29">
        <f>VLOOKUP(E394, Factor!$CL$5:$CV$50, 6, 0)*K394*VLOOKUP(D394, Factor!$BZ$5:$CJ$49, 9, 0)</f>
        <v>0</v>
      </c>
      <c r="M394" s="29" t="str">
        <f>VLOOKUP(E394, Factor!$CL$5:$CV$50, 7, 0)</f>
        <v>deflow</v>
      </c>
      <c r="N394" s="29">
        <v>1</v>
      </c>
      <c r="O394" s="29">
        <f>VLOOKUP(E394, Factor!$CL$5:$CV$50, 8, 0)*N394*VLOOKUP(D394, Factor!$BZ$5:$CJ$49, 10, 0)</f>
        <v>40</v>
      </c>
      <c r="P394" s="29">
        <v>1</v>
      </c>
      <c r="Q394" s="29">
        <f>VLOOKUP(E394, Factor!$CL$5:$CV$50, 9, 0)*P394*VLOOKUP(D394, Factor!$BZ$5:$CJ$49, 11, 0)</f>
        <v>8</v>
      </c>
      <c r="R394" s="29" t="str">
        <f>VLOOKUP(E394, Factor!$CL$5:$CV$50, 10, 0)</f>
        <v>target</v>
      </c>
      <c r="S394" s="29" t="str">
        <f>VLOOKUP(E394, Factor!$CL$5:$CV$50, 11, 0)</f>
        <v>circle</v>
      </c>
      <c r="T394" s="29">
        <v>1</v>
      </c>
      <c r="U394" s="29">
        <v>1</v>
      </c>
      <c r="V394" s="29">
        <v>1</v>
      </c>
      <c r="W394" s="29">
        <v>1</v>
      </c>
      <c r="X394" s="29">
        <v>1</v>
      </c>
      <c r="Y394" s="29">
        <v>1</v>
      </c>
      <c r="Z394" s="29">
        <v>1</v>
      </c>
      <c r="AA394" s="29" cm="1">
        <f t="array" ref="AA394">_xlfn.LET(_xlpm.기본_색인번호, 2,
_xlpm.추가_색인번호, 3,
_xlpm.개별보정치, T394,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57600</v>
      </c>
      <c r="AB394" s="29" cm="1">
        <f t="array" ref="AB394">_xlfn.LET(_xlpm.기본_색인번호, 3,
_xlpm.추가_색인번호, 4,
_xlpm.개별보정치, U394,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C394" s="29" cm="1">
        <f t="array" ref="AC394">_xlfn.LET(_xlpm.기본_색인번호, 4,
_xlpm.추가_색인번호, 5,
_xlpm.개별보정치, V394,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94" s="29" cm="1">
        <f t="array" ref="AD394">_xlfn.LET(_xlpm.기본_색인번호, 5,
_xlpm.추가_색인번호, 6,
_xlpm.개별보정치, W394,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E394" s="29" cm="1">
        <f t="array" ref="AE394">_xlfn.LET(_xlpm.기본_색인번호, 6,
_xlpm.추가_색인번호, 7,
_xlpm.개별보정치, X394,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  <c r="AF394" s="29" cm="1">
        <f t="array" ref="AF394">_xlfn.LET(_xlpm.기본_색인번호, 7,
_xlpm.추가_색인번호, 8,
_xlpm.개별보정치, Y394,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94" s="30" cm="1">
        <f t="array" ref="AG394">_xlfn.LET(_xlpm.기본_색인번호, 8,
_xlpm.추가_색인번호, 9,
_xlpm.개별보정치, Z394,
_xlpm.패턴보정치, VLOOKUP($G394, Factor!$B$5:$I$51, _xlpm.기본_색인번호, 0),
_xlpm.소모탄환보정치, VLOOKUP($H394, Factor!$T$5:$AA$51, _xlpm.기본_색인번호, 0),
_xlpm.지형보정치, VLOOKUP($I394, Factor!$K$12:$R$13, _xlpm.기본_색인번호, 0),
_xlpm.공격속성보정치, VLOOKUP($J394, Factor!$K$5:$R$7, _xlpm.기본_색인번호, 0),
_xlpm.피해범위보정치, INDEX(Factor!$AN$5:$AV$51, _xlfn.XMATCH(IF(OR($G394="blast", $G394="curved",  $G394= "debuff"), $L394, 0), Factor!$AN$5:$AN$51, -1), _xlpm.추가_색인번호)-IF(AND(OR($G394="blast", $G394="curved", $G394= "debuff"), MOD($L394,1)&lt;&gt;0),INDEX(Factor!$AN$5:$AV$51, _xlfn.XMATCH(IF(OR($G394="blast", $G394="curved", $G394= "debuff"), $L394, 0), Factor!$AN$5:$AN$51, -1), 2)*MOD($L394,1)*10,0),
_xlpm.상태이상보정치, VLOOKUP(IF($G394 = "debuff", $M394, "null"), Factor!$AX$5:$BE$51, _xlpm.기본_색인번호, 0),
_xlpm.지속시간보정치, INDEX(Factor!$BG$5:$BO$51, _xlfn.XMATCH(IF(OR($G394 ="debuff", $G394 = "shot", $G394 = "pierce"), $O394, 0), Factor!$BG$5:$BG$51, -1), _xlpm.추가_색인번호)-IF(AND(OR($G394 ="debuff", $G394 = "shot", $G394 = "pierce"), MOD($O394, 1)&lt;&gt;0), 10*MOD($O394, 1)*INDEX(Factor!$BG$5:$BO$51, _xlfn.XMATCH(IF(OR($G394 ="debuff", $G394 = "shot", $G394 = "pierce"), $O394, 0), Factor!$BG$5:$BG$51, -1), 2), 0),
_xlpm.탄환개수보정치, VLOOKUP(IF(OR($G394 = "curved", $G394 = "shot"), $Q394, 1), Factor!$BQ$5:$BX$51, _xlpm.기본_색인번호, 0),
_xlpm.상태이상탄환생성위치보정치, IF($G394 = "debuff", VLOOKUP($R394, Factor!$K$18:$R$19, _xlpm.기본_색인번호, 0),1),
_xlpm.상태이상탄환형태보정치, IF($G394 = "debuff", VLOOKUP($S394, Factor!$K$24:$R$25, _xlpm.기본_색인번호, 0),1),
_xlpm.가격보정치, INDEX(Factor!$AE$5:$AL$51, _xlfn.XMATCH($F394,Factor!$AE$5:$AE$51, -1), _xlpm.기본_색인번호),
_xlpm.구경보정치, VLOOKUP($D394,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2880</v>
      </c>
    </row>
    <row r="395" spans="1:33" ht="15.75" customHeight="1">
      <c r="A395" s="24" t="str">
        <f>"weapon_"&amp;G395&amp;"_"&amp;VLOOKUP(H395, Factor!$T$5:$AB$7, 9, 0)&amp;"_"&amp;IF(COUNTIFS($G$4:G394, G395, $H$4:H394, H395)+1&gt;=100, COUNTIFS($G$4:G394, G395, $H$4:H394, H395)+1,IF(COUNTIFS($G$4:G394, G395, $H$4:H394, H395)+1&gt;=10, "0"&amp;COUNTIFS($G$4:G394, G395, $H$4:H394, H395)+1, "00"&amp;COUNTIFS($G$4:G394, G395, $H$4:H394, H395)+1))</f>
        <v>weapon_debuff_Ms_039</v>
      </c>
      <c r="B395" s="36" t="str">
        <f t="shared" si="6"/>
        <v>T8 벙커버스터 미사일 발사대</v>
      </c>
      <c r="C395" s="36" t="s">
        <v>161</v>
      </c>
      <c r="D395" s="36" t="s">
        <v>275</v>
      </c>
      <c r="E395" s="36" t="s">
        <v>207</v>
      </c>
      <c r="F395" s="25">
        <f>VLOOKUP(C395, Factor!$AD$5:$AE$15, 2, 0)</f>
        <v>8000</v>
      </c>
      <c r="G395" s="26" t="str">
        <f>VLOOKUP(E395, Factor!$CL$5:$CV$50, 2, 0)</f>
        <v>debuff</v>
      </c>
      <c r="H395" s="25" t="str">
        <f>VLOOKUP(E395, Factor!$CL$5:$CV$50, 3, 0)</f>
        <v>missile</v>
      </c>
      <c r="I395" s="25" t="str">
        <f>VLOOKUP(E395, Factor!$CL$5:$CV$50, 4, 0)</f>
        <v>L</v>
      </c>
      <c r="J395" s="25" t="str">
        <f>VLOOKUP(E395, Factor!$CL$5:$CV$50, 5, 0)</f>
        <v>armored</v>
      </c>
      <c r="K395" s="25">
        <v>1</v>
      </c>
      <c r="L395" s="25">
        <f>VLOOKUP(E395, Factor!$CL$5:$CV$50, 6, 0)*K395*VLOOKUP(D395, Factor!$BZ$5:$CJ$49, 9, 0)</f>
        <v>0</v>
      </c>
      <c r="M395" s="25" t="str">
        <f>VLOOKUP(E395, Factor!$CL$5:$CV$50, 7, 0)</f>
        <v>deflow</v>
      </c>
      <c r="N395" s="25">
        <v>1</v>
      </c>
      <c r="O395" s="25">
        <f>VLOOKUP(E395, Factor!$CL$5:$CV$50, 8, 0)*N395*VLOOKUP(D395, Factor!$BZ$5:$CJ$49, 10, 0)</f>
        <v>5</v>
      </c>
      <c r="P395" s="25">
        <v>1</v>
      </c>
      <c r="Q395" s="25">
        <f>VLOOKUP(E395, Factor!$CL$5:$CV$50, 9, 0)*P395*VLOOKUP(D395, Factor!$BZ$5:$CJ$49, 11, 0)</f>
        <v>1</v>
      </c>
      <c r="R395" s="25" t="str">
        <f>VLOOKUP(E395, Factor!$CL$5:$CV$50, 10, 0)</f>
        <v>target</v>
      </c>
      <c r="S395" s="25" t="str">
        <f>VLOOKUP(E395, Factor!$CL$5:$CV$50, 11, 0)</f>
        <v>circle</v>
      </c>
      <c r="T395" s="25">
        <v>1</v>
      </c>
      <c r="U395" s="25">
        <v>1</v>
      </c>
      <c r="V395" s="25">
        <v>1</v>
      </c>
      <c r="W395" s="25">
        <v>1</v>
      </c>
      <c r="X395" s="25">
        <v>1</v>
      </c>
      <c r="Y395" s="25">
        <v>1</v>
      </c>
      <c r="Z395" s="25">
        <v>1</v>
      </c>
      <c r="AA395" s="25" cm="1">
        <f t="array" ref="AA395">_xlfn.LET(_xlpm.기본_색인번호, 2,
_xlpm.추가_색인번호, 3,
_xlpm.개별보정치, T395,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32400</v>
      </c>
      <c r="AB395" s="25" cm="1">
        <f t="array" ref="AB395">_xlfn.LET(_xlpm.기본_색인번호, 3,
_xlpm.추가_색인번호, 4,
_xlpm.개별보정치, U395,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1080</v>
      </c>
      <c r="AC395" s="25" cm="1">
        <f t="array" ref="AC395">_xlfn.LET(_xlpm.기본_색인번호, 4,
_xlpm.추가_색인번호, 5,
_xlpm.개별보정치, V395,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95" s="25" cm="1">
        <f t="array" ref="AD395">_xlfn.LET(_xlpm.기본_색인번호, 5,
_xlpm.추가_색인번호, 6,
_xlpm.개별보정치, W395,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E395" s="25" cm="1">
        <f t="array" ref="AE395">_xlfn.LET(_xlpm.기본_색인번호, 6,
_xlpm.추가_색인번호, 7,
_xlpm.개별보정치, X395,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  <c r="AF395" s="25" cm="1">
        <f t="array" ref="AF395">_xlfn.LET(_xlpm.기본_색인번호, 7,
_xlpm.추가_색인번호, 8,
_xlpm.개별보정치, Y395,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95" s="27" cm="1">
        <f t="array" ref="AG395">_xlfn.LET(_xlpm.기본_색인번호, 8,
_xlpm.추가_색인번호, 9,
_xlpm.개별보정치, Z395,
_xlpm.패턴보정치, VLOOKUP($G395, Factor!$B$5:$I$51, _xlpm.기본_색인번호, 0),
_xlpm.소모탄환보정치, VLOOKUP($H395, Factor!$T$5:$AA$51, _xlpm.기본_색인번호, 0),
_xlpm.지형보정치, VLOOKUP($I395, Factor!$K$12:$R$13, _xlpm.기본_색인번호, 0),
_xlpm.공격속성보정치, VLOOKUP($J395, Factor!$K$5:$R$7, _xlpm.기본_색인번호, 0),
_xlpm.피해범위보정치, INDEX(Factor!$AN$5:$AV$51, _xlfn.XMATCH(IF(OR($G395="blast", $G395="curved",  $G395= "debuff"), $L395, 0), Factor!$AN$5:$AN$51, -1), _xlpm.추가_색인번호)-IF(AND(OR($G395="blast", $G395="curved", $G395= "debuff"), MOD($L395,1)&lt;&gt;0),INDEX(Factor!$AN$5:$AV$51, _xlfn.XMATCH(IF(OR($G395="blast", $G395="curved", $G395= "debuff"), $L395, 0), Factor!$AN$5:$AN$51, -1), 2)*MOD($L395,1)*10,0),
_xlpm.상태이상보정치, VLOOKUP(IF($G395 = "debuff", $M395, "null"), Factor!$AX$5:$BE$51, _xlpm.기본_색인번호, 0),
_xlpm.지속시간보정치, INDEX(Factor!$BG$5:$BO$51, _xlfn.XMATCH(IF(OR($G395 ="debuff", $G395 = "shot", $G395 = "pierce"), $O395, 0), Factor!$BG$5:$BG$51, -1), _xlpm.추가_색인번호)-IF(AND(OR($G395 ="debuff", $G395 = "shot", $G395 = "pierce"), MOD($O395, 1)&lt;&gt;0), 10*MOD($O395, 1)*INDEX(Factor!$BG$5:$BO$51, _xlfn.XMATCH(IF(OR($G395 ="debuff", $G395 = "shot", $G395 = "pierce"), $O395, 0), Factor!$BG$5:$BG$51, -1), 2), 0),
_xlpm.탄환개수보정치, VLOOKUP(IF(OR($G395 = "curved", $G395 = "shot"), $Q395, 1), Factor!$BQ$5:$BX$51, _xlpm.기본_색인번호, 0),
_xlpm.상태이상탄환생성위치보정치, IF($G395 = "debuff", VLOOKUP($R395, Factor!$K$18:$R$19, _xlpm.기본_색인번호, 0),1),
_xlpm.상태이상탄환형태보정치, IF($G395 = "debuff", VLOOKUP($S395, Factor!$K$24:$R$25, _xlpm.기본_색인번호, 0),1),
_xlpm.가격보정치, INDEX(Factor!$AE$5:$AL$51, _xlfn.XMATCH($F395,Factor!$AE$5:$AE$51, -1), _xlpm.기본_색인번호),
_xlpm.구경보정치, VLOOKUP($D395,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1620</v>
      </c>
    </row>
    <row r="396" spans="1:33" ht="15.75" customHeight="1">
      <c r="A396" s="28" t="str">
        <f>"weapon_"&amp;G396&amp;"_"&amp;VLOOKUP(H396, Factor!$T$5:$AB$7, 9, 0)&amp;"_"&amp;IF(COUNTIFS($G$4:G395, G396, $H$4:H395, H396)+1&gt;=100, COUNTIFS($G$4:G395, G396, $H$4:H395, H396)+1,IF(COUNTIFS($G$4:G395, G396, $H$4:H395, H396)+1&gt;=10, "0"&amp;COUNTIFS($G$4:G395, G396, $H$4:H395, H396)+1, "00"&amp;COUNTIFS($G$4:G395, G396, $H$4:H395, H396)+1))</f>
        <v>weapon_debuff_Ms_040</v>
      </c>
      <c r="B396" s="37" t="str">
        <f t="shared" si="6"/>
        <v>T8 240mm벙커버스터 미사일 발사대</v>
      </c>
      <c r="C396" s="37" t="s">
        <v>161</v>
      </c>
      <c r="D396" s="37" t="s">
        <v>267</v>
      </c>
      <c r="E396" s="37" t="s">
        <v>207</v>
      </c>
      <c r="F396" s="29">
        <f>VLOOKUP(C396, Factor!$AD$5:$AE$15, 2, 0)</f>
        <v>8000</v>
      </c>
      <c r="G396" s="29" t="str">
        <f>VLOOKUP(E396, Factor!$CL$5:$CV$50, 2, 0)</f>
        <v>debuff</v>
      </c>
      <c r="H396" s="29" t="str">
        <f>VLOOKUP(E396, Factor!$CL$5:$CV$50, 3, 0)</f>
        <v>missile</v>
      </c>
      <c r="I396" s="29" t="str">
        <f>VLOOKUP(E396, Factor!$CL$5:$CV$50, 4, 0)</f>
        <v>L</v>
      </c>
      <c r="J396" s="29" t="str">
        <f>VLOOKUP(E396, Factor!$CL$5:$CV$50, 5, 0)</f>
        <v>armored</v>
      </c>
      <c r="K396" s="29">
        <v>1</v>
      </c>
      <c r="L396" s="29">
        <f>VLOOKUP(E396, Factor!$CL$5:$CV$50, 6, 0)*K396*VLOOKUP(D396, Factor!$BZ$5:$CJ$49, 9, 0)</f>
        <v>0</v>
      </c>
      <c r="M396" s="29" t="str">
        <f>VLOOKUP(E396, Factor!$CL$5:$CV$50, 7, 0)</f>
        <v>deflow</v>
      </c>
      <c r="N396" s="29">
        <v>1</v>
      </c>
      <c r="O396" s="29">
        <f>VLOOKUP(E396, Factor!$CL$5:$CV$50, 8, 0)*N396*VLOOKUP(D396, Factor!$BZ$5:$CJ$49, 10, 0)</f>
        <v>40</v>
      </c>
      <c r="P396" s="29">
        <v>1</v>
      </c>
      <c r="Q396" s="29">
        <f>VLOOKUP(E396, Factor!$CL$5:$CV$50, 9, 0)*P396*VLOOKUP(D396, Factor!$BZ$5:$CJ$49, 11, 0)</f>
        <v>8</v>
      </c>
      <c r="R396" s="29" t="str">
        <f>VLOOKUP(E396, Factor!$CL$5:$CV$50, 10, 0)</f>
        <v>target</v>
      </c>
      <c r="S396" s="29" t="str">
        <f>VLOOKUP(E396, Factor!$CL$5:$CV$50, 11, 0)</f>
        <v>circle</v>
      </c>
      <c r="T396" s="29">
        <v>1</v>
      </c>
      <c r="U396" s="29">
        <v>1</v>
      </c>
      <c r="V396" s="29">
        <v>1</v>
      </c>
      <c r="W396" s="29">
        <v>1</v>
      </c>
      <c r="X396" s="29">
        <v>1</v>
      </c>
      <c r="Y396" s="29">
        <v>1</v>
      </c>
      <c r="Z396" s="29">
        <v>1</v>
      </c>
      <c r="AA396" s="29" cm="1">
        <f t="array" ref="AA396">_xlfn.LET(_xlpm.기본_색인번호, 2,
_xlpm.추가_색인번호, 3,
_xlpm.개별보정치, T396,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64800</v>
      </c>
      <c r="AB396" s="29" cm="1">
        <f t="array" ref="AB396">_xlfn.LET(_xlpm.기본_색인번호, 3,
_xlpm.추가_색인번호, 4,
_xlpm.개별보정치, U396,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</v>
      </c>
      <c r="AC396" s="29" cm="1">
        <f t="array" ref="AC396">_xlfn.LET(_xlpm.기본_색인번호, 4,
_xlpm.추가_색인번호, 5,
_xlpm.개별보정치, V396,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96" s="29" cm="1">
        <f t="array" ref="AD396">_xlfn.LET(_xlpm.기본_색인번호, 5,
_xlpm.추가_색인번호, 6,
_xlpm.개별보정치, W396,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E396" s="29" cm="1">
        <f t="array" ref="AE396">_xlfn.LET(_xlpm.기본_색인번호, 6,
_xlpm.추가_색인번호, 7,
_xlpm.개별보정치, X396,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  <c r="AF396" s="29" cm="1">
        <f t="array" ref="AF396">_xlfn.LET(_xlpm.기본_색인번호, 7,
_xlpm.추가_색인번호, 8,
_xlpm.개별보정치, Y396,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96" s="30" cm="1">
        <f t="array" ref="AG396">_xlfn.LET(_xlpm.기본_색인번호, 8,
_xlpm.추가_색인번호, 9,
_xlpm.개별보정치, Z396,
_xlpm.패턴보정치, VLOOKUP($G396, Factor!$B$5:$I$51, _xlpm.기본_색인번호, 0),
_xlpm.소모탄환보정치, VLOOKUP($H396, Factor!$T$5:$AA$51, _xlpm.기본_색인번호, 0),
_xlpm.지형보정치, VLOOKUP($I396, Factor!$K$12:$R$13, _xlpm.기본_색인번호, 0),
_xlpm.공격속성보정치, VLOOKUP($J396, Factor!$K$5:$R$7, _xlpm.기본_색인번호, 0),
_xlpm.피해범위보정치, INDEX(Factor!$AN$5:$AV$51, _xlfn.XMATCH(IF(OR($G396="blast", $G396="curved",  $G396= "debuff"), $L396, 0), Factor!$AN$5:$AN$51, -1), _xlpm.추가_색인번호)-IF(AND(OR($G396="blast", $G396="curved", $G396= "debuff"), MOD($L396,1)&lt;&gt;0),INDEX(Factor!$AN$5:$AV$51, _xlfn.XMATCH(IF(OR($G396="blast", $G396="curved", $G396= "debuff"), $L396, 0), Factor!$AN$5:$AN$51, -1), 2)*MOD($L396,1)*10,0),
_xlpm.상태이상보정치, VLOOKUP(IF($G396 = "debuff", $M396, "null"), Factor!$AX$5:$BE$51, _xlpm.기본_색인번호, 0),
_xlpm.지속시간보정치, INDEX(Factor!$BG$5:$BO$51, _xlfn.XMATCH(IF(OR($G396 ="debuff", $G396 = "shot", $G396 = "pierce"), $O396, 0), Factor!$BG$5:$BG$51, -1), _xlpm.추가_색인번호)-IF(AND(OR($G396 ="debuff", $G396 = "shot", $G396 = "pierce"), MOD($O396, 1)&lt;&gt;0), 10*MOD($O396, 1)*INDEX(Factor!$BG$5:$BO$51, _xlfn.XMATCH(IF(OR($G396 ="debuff", $G396 = "shot", $G396 = "pierce"), $O396, 0), Factor!$BG$5:$BG$51, -1), 2), 0),
_xlpm.탄환개수보정치, VLOOKUP(IF(OR($G396 = "curved", $G396 = "shot"), $Q396, 1), Factor!$BQ$5:$BX$51, _xlpm.기본_색인번호, 0),
_xlpm.상태이상탄환생성위치보정치, IF($G396 = "debuff", VLOOKUP($R396, Factor!$K$18:$R$19, _xlpm.기본_색인번호, 0),1),
_xlpm.상태이상탄환형태보정치, IF($G396 = "debuff", VLOOKUP($S396, Factor!$K$24:$R$25, _xlpm.기본_색인번호, 0),1),
_xlpm.가격보정치, INDEX(Factor!$AE$5:$AL$51, _xlfn.XMATCH($F396,Factor!$AE$5:$AE$51, -1), _xlpm.기본_색인번호),
_xlpm.구경보정치, VLOOKUP($D396,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3240</v>
      </c>
    </row>
    <row r="397" spans="1:33" ht="15.75" customHeight="1">
      <c r="A397" s="24" t="str">
        <f>"weapon_"&amp;G397&amp;"_"&amp;VLOOKUP(H397, Factor!$T$5:$AB$7, 9, 0)&amp;"_"&amp;IF(COUNTIFS($G$4:G396, G397, $H$4:H396, H397)+1&gt;=100, COUNTIFS($G$4:G396, G397, $H$4:H396, H397)+1,IF(COUNTIFS($G$4:G396, G397, $H$4:H396, H397)+1&gt;=10, "0"&amp;COUNTIFS($G$4:G396, G397, $H$4:H396, H397)+1, "00"&amp;COUNTIFS($G$4:G396, G397, $H$4:H396, H397)+1))</f>
        <v>weapon_debuff_Ms_041</v>
      </c>
      <c r="B397" s="36" t="str">
        <f t="shared" si="6"/>
        <v>T9 벙커버스터 미사일 발사대</v>
      </c>
      <c r="C397" s="36" t="s">
        <v>162</v>
      </c>
      <c r="D397" s="36" t="s">
        <v>275</v>
      </c>
      <c r="E397" s="36" t="s">
        <v>207</v>
      </c>
      <c r="F397" s="25">
        <f>VLOOKUP(C397, Factor!$AD$5:$AE$15, 2, 0)</f>
        <v>9000</v>
      </c>
      <c r="G397" s="26" t="str">
        <f>VLOOKUP(E397, Factor!$CL$5:$CV$50, 2, 0)</f>
        <v>debuff</v>
      </c>
      <c r="H397" s="25" t="str">
        <f>VLOOKUP(E397, Factor!$CL$5:$CV$50, 3, 0)</f>
        <v>missile</v>
      </c>
      <c r="I397" s="25" t="str">
        <f>VLOOKUP(E397, Factor!$CL$5:$CV$50, 4, 0)</f>
        <v>L</v>
      </c>
      <c r="J397" s="25" t="str">
        <f>VLOOKUP(E397, Factor!$CL$5:$CV$50, 5, 0)</f>
        <v>armored</v>
      </c>
      <c r="K397" s="25">
        <v>1</v>
      </c>
      <c r="L397" s="25">
        <f>VLOOKUP(E397, Factor!$CL$5:$CV$50, 6, 0)*K397*VLOOKUP(D397, Factor!$BZ$5:$CJ$49, 9, 0)</f>
        <v>0</v>
      </c>
      <c r="M397" s="25" t="str">
        <f>VLOOKUP(E397, Factor!$CL$5:$CV$50, 7, 0)</f>
        <v>deflow</v>
      </c>
      <c r="N397" s="25">
        <v>1</v>
      </c>
      <c r="O397" s="25">
        <f>VLOOKUP(E397, Factor!$CL$5:$CV$50, 8, 0)*N397*VLOOKUP(D397, Factor!$BZ$5:$CJ$49, 10, 0)</f>
        <v>5</v>
      </c>
      <c r="P397" s="25">
        <v>1</v>
      </c>
      <c r="Q397" s="25">
        <f>VLOOKUP(E397, Factor!$CL$5:$CV$50, 9, 0)*P397*VLOOKUP(D397, Factor!$BZ$5:$CJ$49, 11, 0)</f>
        <v>1</v>
      </c>
      <c r="R397" s="25" t="str">
        <f>VLOOKUP(E397, Factor!$CL$5:$CV$50, 10, 0)</f>
        <v>target</v>
      </c>
      <c r="S397" s="25" t="str">
        <f>VLOOKUP(E397, Factor!$CL$5:$CV$50, 11, 0)</f>
        <v>circle</v>
      </c>
      <c r="T397" s="25">
        <v>1</v>
      </c>
      <c r="U397" s="25">
        <v>1</v>
      </c>
      <c r="V397" s="25">
        <v>1</v>
      </c>
      <c r="W397" s="25">
        <v>1</v>
      </c>
      <c r="X397" s="25">
        <v>1</v>
      </c>
      <c r="Y397" s="25">
        <v>1</v>
      </c>
      <c r="Z397" s="25">
        <v>1</v>
      </c>
      <c r="AA397" s="25" cm="1">
        <f t="array" ref="AA397">_xlfn.LET(_xlpm.기본_색인번호, 2,
_xlpm.추가_색인번호, 3,
_xlpm.개별보정치, T397,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36000</v>
      </c>
      <c r="AB397" s="25" cm="1">
        <f t="array" ref="AB397">_xlfn.LET(_xlpm.기본_색인번호, 3,
_xlpm.추가_색인번호, 4,
_xlpm.개별보정치, U397,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C397" s="25" cm="1">
        <f t="array" ref="AC397">_xlfn.LET(_xlpm.기본_색인번호, 4,
_xlpm.추가_색인번호, 5,
_xlpm.개별보정치, V397,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97" s="25" cm="1">
        <f t="array" ref="AD397">_xlfn.LET(_xlpm.기본_색인번호, 5,
_xlpm.추가_색인번호, 6,
_xlpm.개별보정치, W397,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E397" s="25" cm="1">
        <f t="array" ref="AE397">_xlfn.LET(_xlpm.기본_색인번호, 6,
_xlpm.추가_색인번호, 7,
_xlpm.개별보정치, X397,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F397" s="25" cm="1">
        <f t="array" ref="AF397">_xlfn.LET(_xlpm.기본_색인번호, 7,
_xlpm.추가_색인번호, 8,
_xlpm.개별보정치, Y397,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97" s="27" cm="1">
        <f t="array" ref="AG397">_xlfn.LET(_xlpm.기본_색인번호, 8,
_xlpm.추가_색인번호, 9,
_xlpm.개별보정치, Z397,
_xlpm.패턴보정치, VLOOKUP($G397, Factor!$B$5:$I$51, _xlpm.기본_색인번호, 0),
_xlpm.소모탄환보정치, VLOOKUP($H397, Factor!$T$5:$AA$51, _xlpm.기본_색인번호, 0),
_xlpm.지형보정치, VLOOKUP($I397, Factor!$K$12:$R$13, _xlpm.기본_색인번호, 0),
_xlpm.공격속성보정치, VLOOKUP($J397, Factor!$K$5:$R$7, _xlpm.기본_색인번호, 0),
_xlpm.피해범위보정치, INDEX(Factor!$AN$5:$AV$51, _xlfn.XMATCH(IF(OR($G397="blast", $G397="curved",  $G397= "debuff"), $L397, 0), Factor!$AN$5:$AN$51, -1), _xlpm.추가_색인번호)-IF(AND(OR($G397="blast", $G397="curved", $G397= "debuff"), MOD($L397,1)&lt;&gt;0),INDEX(Factor!$AN$5:$AV$51, _xlfn.XMATCH(IF(OR($G397="blast", $G397="curved", $G397= "debuff"), $L397, 0), Factor!$AN$5:$AN$51, -1), 2)*MOD($L397,1)*10,0),
_xlpm.상태이상보정치, VLOOKUP(IF($G397 = "debuff", $M397, "null"), Factor!$AX$5:$BE$51, _xlpm.기본_색인번호, 0),
_xlpm.지속시간보정치, INDEX(Factor!$BG$5:$BO$51, _xlfn.XMATCH(IF(OR($G397 ="debuff", $G397 = "shot", $G397 = "pierce"), $O397, 0), Factor!$BG$5:$BG$51, -1), _xlpm.추가_색인번호)-IF(AND(OR($G397 ="debuff", $G397 = "shot", $G397 = "pierce"), MOD($O397, 1)&lt;&gt;0), 10*MOD($O397, 1)*INDEX(Factor!$BG$5:$BO$51, _xlfn.XMATCH(IF(OR($G397 ="debuff", $G397 = "shot", $G397 = "pierce"), $O397, 0), Factor!$BG$5:$BG$51, -1), 2), 0),
_xlpm.탄환개수보정치, VLOOKUP(IF(OR($G397 = "curved", $G397 = "shot"), $Q397, 1), Factor!$BQ$5:$BX$51, _xlpm.기본_색인번호, 0),
_xlpm.상태이상탄환생성위치보정치, IF($G397 = "debuff", VLOOKUP($R397, Factor!$K$18:$R$19, _xlpm.기본_색인번호, 0),1),
_xlpm.상태이상탄환형태보정치, IF($G397 = "debuff", VLOOKUP($S397, Factor!$K$24:$R$25, _xlpm.기본_색인번호, 0),1),
_xlpm.가격보정치, INDEX(Factor!$AE$5:$AL$51, _xlfn.XMATCH($F397,Factor!$AE$5:$AE$51, -1), _xlpm.기본_색인번호),
_xlpm.구경보정치, VLOOKUP($D397,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</row>
    <row r="398" spans="1:33" ht="15.75" customHeight="1">
      <c r="A398" s="28" t="str">
        <f>"weapon_"&amp;G398&amp;"_"&amp;VLOOKUP(H398, Factor!$T$5:$AB$7, 9, 0)&amp;"_"&amp;IF(COUNTIFS($G$4:G397, G398, $H$4:H397, H398)+1&gt;=100, COUNTIFS($G$4:G397, G398, $H$4:H397, H398)+1,IF(COUNTIFS($G$4:G397, G398, $H$4:H397, H398)+1&gt;=10, "0"&amp;COUNTIFS($G$4:G397, G398, $H$4:H397, H398)+1, "00"&amp;COUNTIFS($G$4:G397, G398, $H$4:H397, H398)+1))</f>
        <v>weapon_debuff_Ms_042</v>
      </c>
      <c r="B398" s="37" t="str">
        <f t="shared" si="6"/>
        <v>T9 240mm벙커버스터 미사일 발사대</v>
      </c>
      <c r="C398" s="37" t="s">
        <v>162</v>
      </c>
      <c r="D398" s="37" t="s">
        <v>267</v>
      </c>
      <c r="E398" s="37" t="s">
        <v>207</v>
      </c>
      <c r="F398" s="29">
        <f>VLOOKUP(C398, Factor!$AD$5:$AE$15, 2, 0)</f>
        <v>9000</v>
      </c>
      <c r="G398" s="29" t="str">
        <f>VLOOKUP(E398, Factor!$CL$5:$CV$50, 2, 0)</f>
        <v>debuff</v>
      </c>
      <c r="H398" s="29" t="str">
        <f>VLOOKUP(E398, Factor!$CL$5:$CV$50, 3, 0)</f>
        <v>missile</v>
      </c>
      <c r="I398" s="29" t="str">
        <f>VLOOKUP(E398, Factor!$CL$5:$CV$50, 4, 0)</f>
        <v>L</v>
      </c>
      <c r="J398" s="29" t="str">
        <f>VLOOKUP(E398, Factor!$CL$5:$CV$50, 5, 0)</f>
        <v>armored</v>
      </c>
      <c r="K398" s="29">
        <v>1</v>
      </c>
      <c r="L398" s="29">
        <f>VLOOKUP(E398, Factor!$CL$5:$CV$50, 6, 0)*K398*VLOOKUP(D398, Factor!$BZ$5:$CJ$49, 9, 0)</f>
        <v>0</v>
      </c>
      <c r="M398" s="29" t="str">
        <f>VLOOKUP(E398, Factor!$CL$5:$CV$50, 7, 0)</f>
        <v>deflow</v>
      </c>
      <c r="N398" s="29">
        <v>1</v>
      </c>
      <c r="O398" s="29">
        <f>VLOOKUP(E398, Factor!$CL$5:$CV$50, 8, 0)*N398*VLOOKUP(D398, Factor!$BZ$5:$CJ$49, 10, 0)</f>
        <v>40</v>
      </c>
      <c r="P398" s="29">
        <v>1</v>
      </c>
      <c r="Q398" s="29">
        <f>VLOOKUP(E398, Factor!$CL$5:$CV$50, 9, 0)*P398*VLOOKUP(D398, Factor!$BZ$5:$CJ$49, 11, 0)</f>
        <v>8</v>
      </c>
      <c r="R398" s="29" t="str">
        <f>VLOOKUP(E398, Factor!$CL$5:$CV$50, 10, 0)</f>
        <v>target</v>
      </c>
      <c r="S398" s="29" t="str">
        <f>VLOOKUP(E398, Factor!$CL$5:$CV$50, 11, 0)</f>
        <v>circle</v>
      </c>
      <c r="T398" s="29">
        <v>1</v>
      </c>
      <c r="U398" s="29">
        <v>1</v>
      </c>
      <c r="V398" s="29">
        <v>1</v>
      </c>
      <c r="W398" s="29">
        <v>1</v>
      </c>
      <c r="X398" s="29">
        <v>1</v>
      </c>
      <c r="Y398" s="29">
        <v>1</v>
      </c>
      <c r="Z398" s="29">
        <v>1</v>
      </c>
      <c r="AA398" s="29" cm="1">
        <f t="array" ref="AA398">_xlfn.LET(_xlpm.기본_색인번호, 2,
_xlpm.추가_색인번호, 3,
_xlpm.개별보정치, T398,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72000</v>
      </c>
      <c r="AB398" s="29" cm="1">
        <f t="array" ref="AB398">_xlfn.LET(_xlpm.기본_색인번호, 3,
_xlpm.추가_색인번호, 4,
_xlpm.개별보정치, U398,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</v>
      </c>
      <c r="AC398" s="29" cm="1">
        <f t="array" ref="AC398">_xlfn.LET(_xlpm.기본_색인번호, 4,
_xlpm.추가_색인번호, 5,
_xlpm.개별보정치, V398,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398" s="29" cm="1">
        <f t="array" ref="AD398">_xlfn.LET(_xlpm.기본_색인번호, 5,
_xlpm.추가_색인번호, 6,
_xlpm.개별보정치, W398,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E398" s="29" cm="1">
        <f t="array" ref="AE398">_xlfn.LET(_xlpm.기본_색인번호, 6,
_xlpm.추가_색인번호, 7,
_xlpm.개별보정치, X398,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F398" s="29" cm="1">
        <f t="array" ref="AF398">_xlfn.LET(_xlpm.기본_색인번호, 7,
_xlpm.추가_색인번호, 8,
_xlpm.개별보정치, Y398,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398" s="30" cm="1">
        <f t="array" ref="AG398">_xlfn.LET(_xlpm.기본_색인번호, 8,
_xlpm.추가_색인번호, 9,
_xlpm.개별보정치, Z398,
_xlpm.패턴보정치, VLOOKUP($G398, Factor!$B$5:$I$51, _xlpm.기본_색인번호, 0),
_xlpm.소모탄환보정치, VLOOKUP($H398, Factor!$T$5:$AA$51, _xlpm.기본_색인번호, 0),
_xlpm.지형보정치, VLOOKUP($I398, Factor!$K$12:$R$13, _xlpm.기본_색인번호, 0),
_xlpm.공격속성보정치, VLOOKUP($J398, Factor!$K$5:$R$7, _xlpm.기본_색인번호, 0),
_xlpm.피해범위보정치, INDEX(Factor!$AN$5:$AV$51, _xlfn.XMATCH(IF(OR($G398="blast", $G398="curved",  $G398= "debuff"), $L398, 0), Factor!$AN$5:$AN$51, -1), _xlpm.추가_색인번호)-IF(AND(OR($G398="blast", $G398="curved", $G398= "debuff"), MOD($L398,1)&lt;&gt;0),INDEX(Factor!$AN$5:$AV$51, _xlfn.XMATCH(IF(OR($G398="blast", $G398="curved", $G398= "debuff"), $L398, 0), Factor!$AN$5:$AN$51, -1), 2)*MOD($L398,1)*10,0),
_xlpm.상태이상보정치, VLOOKUP(IF($G398 = "debuff", $M398, "null"), Factor!$AX$5:$BE$51, _xlpm.기본_색인번호, 0),
_xlpm.지속시간보정치, INDEX(Factor!$BG$5:$BO$51, _xlfn.XMATCH(IF(OR($G398 ="debuff", $G398 = "shot", $G398 = "pierce"), $O398, 0), Factor!$BG$5:$BG$51, -1), _xlpm.추가_색인번호)-IF(AND(OR($G398 ="debuff", $G398 = "shot", $G398 = "pierce"), MOD($O398, 1)&lt;&gt;0), 10*MOD($O398, 1)*INDEX(Factor!$BG$5:$BO$51, _xlfn.XMATCH(IF(OR($G398 ="debuff", $G398 = "shot", $G398 = "pierce"), $O398, 0), Factor!$BG$5:$BG$51, -1), 2), 0),
_xlpm.탄환개수보정치, VLOOKUP(IF(OR($G398 = "curved", $G398 = "shot"), $Q398, 1), Factor!$BQ$5:$BX$51, _xlpm.기본_색인번호, 0),
_xlpm.상태이상탄환생성위치보정치, IF($G398 = "debuff", VLOOKUP($R398, Factor!$K$18:$R$19, _xlpm.기본_색인번호, 0),1),
_xlpm.상태이상탄환형태보정치, IF($G398 = "debuff", VLOOKUP($S398, Factor!$K$24:$R$25, _xlpm.기본_색인번호, 0),1),
_xlpm.가격보정치, INDEX(Factor!$AE$5:$AL$51, _xlfn.XMATCH($F398,Factor!$AE$5:$AE$51, -1), _xlpm.기본_색인번호),
_xlpm.구경보정치, VLOOKUP($D398,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</row>
    <row r="399" spans="1:33" ht="15.75" customHeight="1">
      <c r="A399" s="24" t="str">
        <f>"weapon_"&amp;G399&amp;"_"&amp;VLOOKUP(H399, Factor!$T$5:$AB$7, 9, 0)&amp;"_"&amp;IF(COUNTIFS($G$4:G398, G399, $H$4:H398, H399)+1&gt;=100, COUNTIFS($G$4:G398, G399, $H$4:H398, H399)+1,IF(COUNTIFS($G$4:G398, G399, $H$4:H398, H399)+1&gt;=10, "0"&amp;COUNTIFS($G$4:G398, G399, $H$4:H398, H399)+1, "00"&amp;COUNTIFS($G$4:G398, G399, $H$4:H398, H399)+1))</f>
        <v>weapon_debuff_Ms_043</v>
      </c>
      <c r="B399" s="36" t="str">
        <f t="shared" si="6"/>
        <v>T10 벙커버스터 미사일 발사대</v>
      </c>
      <c r="C399" s="36" t="s">
        <v>163</v>
      </c>
      <c r="D399" s="36" t="s">
        <v>275</v>
      </c>
      <c r="E399" s="36" t="s">
        <v>207</v>
      </c>
      <c r="F399" s="25">
        <f>VLOOKUP(C399, Factor!$AD$5:$AE$15, 2, 0)</f>
        <v>10000</v>
      </c>
      <c r="G399" s="26" t="str">
        <f>VLOOKUP(E399, Factor!$CL$5:$CV$50, 2, 0)</f>
        <v>debuff</v>
      </c>
      <c r="H399" s="25" t="str">
        <f>VLOOKUP(E399, Factor!$CL$5:$CV$50, 3, 0)</f>
        <v>missile</v>
      </c>
      <c r="I399" s="25" t="str">
        <f>VLOOKUP(E399, Factor!$CL$5:$CV$50, 4, 0)</f>
        <v>L</v>
      </c>
      <c r="J399" s="25" t="str">
        <f>VLOOKUP(E399, Factor!$CL$5:$CV$50, 5, 0)</f>
        <v>armored</v>
      </c>
      <c r="K399" s="25">
        <v>1</v>
      </c>
      <c r="L399" s="25">
        <f>VLOOKUP(E399, Factor!$CL$5:$CV$50, 6, 0)*K399*VLOOKUP(D399, Factor!$BZ$5:$CJ$49, 9, 0)</f>
        <v>0</v>
      </c>
      <c r="M399" s="25" t="str">
        <f>VLOOKUP(E399, Factor!$CL$5:$CV$50, 7, 0)</f>
        <v>deflow</v>
      </c>
      <c r="N399" s="25">
        <v>1</v>
      </c>
      <c r="O399" s="25">
        <f>VLOOKUP(E399, Factor!$CL$5:$CV$50, 8, 0)*N399*VLOOKUP(D399, Factor!$BZ$5:$CJ$49, 10, 0)</f>
        <v>5</v>
      </c>
      <c r="P399" s="25">
        <v>1</v>
      </c>
      <c r="Q399" s="25">
        <f>VLOOKUP(E399, Factor!$CL$5:$CV$50, 9, 0)*P399*VLOOKUP(D399, Factor!$BZ$5:$CJ$49, 11, 0)</f>
        <v>1</v>
      </c>
      <c r="R399" s="25" t="str">
        <f>VLOOKUP(E399, Factor!$CL$5:$CV$50, 10, 0)</f>
        <v>target</v>
      </c>
      <c r="S399" s="25" t="str">
        <f>VLOOKUP(E399, Factor!$CL$5:$CV$50, 11, 0)</f>
        <v>circle</v>
      </c>
      <c r="T399" s="25">
        <v>1</v>
      </c>
      <c r="U399" s="25">
        <v>1</v>
      </c>
      <c r="V399" s="25">
        <v>1</v>
      </c>
      <c r="W399" s="25">
        <v>1</v>
      </c>
      <c r="X399" s="25">
        <v>1</v>
      </c>
      <c r="Y399" s="25">
        <v>1</v>
      </c>
      <c r="Z399" s="25">
        <v>1</v>
      </c>
      <c r="AA399" s="25" cm="1">
        <f t="array" ref="AA399">_xlfn.LET(_xlpm.기본_색인번호, 2,
_xlpm.추가_색인번호, 3,
_xlpm.개별보정치, T399,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39600</v>
      </c>
      <c r="AB399" s="25" cm="1">
        <f t="array" ref="AB399">_xlfn.LET(_xlpm.기본_색인번호, 3,
_xlpm.추가_색인번호, 4,
_xlpm.개별보정치, U399,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1260</v>
      </c>
      <c r="AC399" s="25" cm="1">
        <f t="array" ref="AC399">_xlfn.LET(_xlpm.기본_색인번호, 4,
_xlpm.추가_색인번호, 5,
_xlpm.개별보정치, V399,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D399" s="25" cm="1">
        <f t="array" ref="AD399">_xlfn.LET(_xlpm.기본_색인번호, 5,
_xlpm.추가_색인번호, 6,
_xlpm.개별보정치, W399,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  <c r="AE399" s="25" cm="1">
        <f t="array" ref="AE399">_xlfn.LET(_xlpm.기본_색인번호, 6,
_xlpm.추가_색인번호, 7,
_xlpm.개별보정치, X399,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  <c r="AF399" s="25" cm="1">
        <f t="array" ref="AF399">_xlfn.LET(_xlpm.기본_색인번호, 7,
_xlpm.추가_색인번호, 8,
_xlpm.개별보정치, Y399,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21600</v>
      </c>
      <c r="AG399" s="27" cm="1">
        <f t="array" ref="AG399">_xlfn.LET(_xlpm.기본_색인번호, 8,
_xlpm.추가_색인번호, 9,
_xlpm.개별보정치, Z399,
_xlpm.패턴보정치, VLOOKUP($G399, Factor!$B$5:$I$51, _xlpm.기본_색인번호, 0),
_xlpm.소모탄환보정치, VLOOKUP($H399, Factor!$T$5:$AA$51, _xlpm.기본_색인번호, 0),
_xlpm.지형보정치, VLOOKUP($I399, Factor!$K$12:$R$13, _xlpm.기본_색인번호, 0),
_xlpm.공격속성보정치, VLOOKUP($J399, Factor!$K$5:$R$7, _xlpm.기본_색인번호, 0),
_xlpm.피해범위보정치, INDEX(Factor!$AN$5:$AV$51, _xlfn.XMATCH(IF(OR($G399="blast", $G399="curved",  $G399= "debuff"), $L399, 0), Factor!$AN$5:$AN$51, -1), _xlpm.추가_색인번호)-IF(AND(OR($G399="blast", $G399="curved", $G399= "debuff"), MOD($L399,1)&lt;&gt;0),INDEX(Factor!$AN$5:$AV$51, _xlfn.XMATCH(IF(OR($G399="blast", $G399="curved", $G399= "debuff"), $L399, 0), Factor!$AN$5:$AN$51, -1), 2)*MOD($L399,1)*10,0),
_xlpm.상태이상보정치, VLOOKUP(IF($G399 = "debuff", $M399, "null"), Factor!$AX$5:$BE$51, _xlpm.기본_색인번호, 0),
_xlpm.지속시간보정치, INDEX(Factor!$BG$5:$BO$51, _xlfn.XMATCH(IF(OR($G399 ="debuff", $G399 = "shot", $G399 = "pierce"), $O399, 0), Factor!$BG$5:$BG$51, -1), _xlpm.추가_색인번호)-IF(AND(OR($G399 ="debuff", $G399 = "shot", $G399 = "pierce"), MOD($O399, 1)&lt;&gt;0), 10*MOD($O399, 1)*INDEX(Factor!$BG$5:$BO$51, _xlfn.XMATCH(IF(OR($G399 ="debuff", $G399 = "shot", $G399 = "pierce"), $O399, 0), Factor!$BG$5:$BG$51, -1), 2), 0),
_xlpm.탄환개수보정치, VLOOKUP(IF(OR($G399 = "curved", $G399 = "shot"), $Q399, 1), Factor!$BQ$5:$BX$51, _xlpm.기본_색인번호, 0),
_xlpm.상태이상탄환생성위치보정치, IF($G399 = "debuff", VLOOKUP($R399, Factor!$K$18:$R$19, _xlpm.기본_색인번호, 0),1),
_xlpm.상태이상탄환형태보정치, IF($G399 = "debuff", VLOOKUP($S399, Factor!$K$24:$R$25, _xlpm.기본_색인번호, 0),1),
_xlpm.가격보정치, INDEX(Factor!$AE$5:$AL$51, _xlfn.XMATCH($F399,Factor!$AE$5:$AE$51, -1), _xlpm.기본_색인번호),
_xlpm.구경보정치, VLOOKUP($D399,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1980</v>
      </c>
    </row>
    <row r="400" spans="1:33" ht="15.75" customHeight="1">
      <c r="A400" s="28" t="str">
        <f>"weapon_"&amp;G400&amp;"_"&amp;VLOOKUP(H400, Factor!$T$5:$AB$7, 9, 0)&amp;"_"&amp;IF(COUNTIFS($G$4:G399, G400, $H$4:H399, H400)+1&gt;=100, COUNTIFS($G$4:G399, G400, $H$4:H399, H400)+1,IF(COUNTIFS($G$4:G399, G400, $H$4:H399, H400)+1&gt;=10, "0"&amp;COUNTIFS($G$4:G399, G400, $H$4:H399, H400)+1, "00"&amp;COUNTIFS($G$4:G399, G400, $H$4:H399, H400)+1))</f>
        <v>weapon_debuff_Ms_044</v>
      </c>
      <c r="B400" s="37" t="str">
        <f t="shared" si="6"/>
        <v>T10 240mm벙커버스터 미사일 발사대</v>
      </c>
      <c r="C400" s="37" t="s">
        <v>163</v>
      </c>
      <c r="D400" s="37" t="s">
        <v>267</v>
      </c>
      <c r="E400" s="37" t="s">
        <v>207</v>
      </c>
      <c r="F400" s="29">
        <f>VLOOKUP(C400, Factor!$AD$5:$AE$15, 2, 0)</f>
        <v>10000</v>
      </c>
      <c r="G400" s="29" t="str">
        <f>VLOOKUP(E400, Factor!$CL$5:$CV$50, 2, 0)</f>
        <v>debuff</v>
      </c>
      <c r="H400" s="29" t="str">
        <f>VLOOKUP(E400, Factor!$CL$5:$CV$50, 3, 0)</f>
        <v>missile</v>
      </c>
      <c r="I400" s="29" t="str">
        <f>VLOOKUP(E400, Factor!$CL$5:$CV$50, 4, 0)</f>
        <v>L</v>
      </c>
      <c r="J400" s="29" t="str">
        <f>VLOOKUP(E400, Factor!$CL$5:$CV$50, 5, 0)</f>
        <v>armored</v>
      </c>
      <c r="K400" s="29">
        <v>1</v>
      </c>
      <c r="L400" s="29">
        <f>VLOOKUP(E400, Factor!$CL$5:$CV$50, 6, 0)*K400*VLOOKUP(D400, Factor!$BZ$5:$CJ$49, 9, 0)</f>
        <v>0</v>
      </c>
      <c r="M400" s="29" t="str">
        <f>VLOOKUP(E400, Factor!$CL$5:$CV$50, 7, 0)</f>
        <v>deflow</v>
      </c>
      <c r="N400" s="29">
        <v>1</v>
      </c>
      <c r="O400" s="29">
        <f>VLOOKUP(E400, Factor!$CL$5:$CV$50, 8, 0)*N400*VLOOKUP(D400, Factor!$BZ$5:$CJ$49, 10, 0)</f>
        <v>40</v>
      </c>
      <c r="P400" s="29">
        <v>1</v>
      </c>
      <c r="Q400" s="29">
        <f>VLOOKUP(E400, Factor!$CL$5:$CV$50, 9, 0)*P400*VLOOKUP(D400, Factor!$BZ$5:$CJ$49, 11, 0)</f>
        <v>8</v>
      </c>
      <c r="R400" s="29" t="str">
        <f>VLOOKUP(E400, Factor!$CL$5:$CV$50, 10, 0)</f>
        <v>target</v>
      </c>
      <c r="S400" s="29" t="str">
        <f>VLOOKUP(E400, Factor!$CL$5:$CV$50, 11, 0)</f>
        <v>circle</v>
      </c>
      <c r="T400" s="29">
        <v>1</v>
      </c>
      <c r="U400" s="29">
        <v>1</v>
      </c>
      <c r="V400" s="29">
        <v>1</v>
      </c>
      <c r="W400" s="29">
        <v>1</v>
      </c>
      <c r="X400" s="29">
        <v>1</v>
      </c>
      <c r="Y400" s="29">
        <v>1</v>
      </c>
      <c r="Z400" s="29">
        <v>1</v>
      </c>
      <c r="AA400" s="29" cm="1">
        <f t="array" ref="AA400">_xlfn.LET(_xlpm.기본_색인번호, 2,
_xlpm.추가_색인번호, 3,
_xlpm.개별보정치, T400,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79200</v>
      </c>
      <c r="AB400" s="29" cm="1">
        <f t="array" ref="AB400">_xlfn.LET(_xlpm.기본_색인번호, 3,
_xlpm.추가_색인번호, 4,
_xlpm.개별보정치, U400,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2520</v>
      </c>
      <c r="AC400" s="29" cm="1">
        <f t="array" ref="AC400">_xlfn.LET(_xlpm.기본_색인번호, 4,
_xlpm.추가_색인번호, 5,
_xlpm.개별보정치, V400,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</v>
      </c>
      <c r="AD400" s="29" cm="1">
        <f t="array" ref="AD400">_xlfn.LET(_xlpm.기본_색인번호, 5,
_xlpm.추가_색인번호, 6,
_xlpm.개별보정치, W400,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3960</v>
      </c>
      <c r="AE400" s="29" cm="1">
        <f t="array" ref="AE400">_xlfn.LET(_xlpm.기본_색인번호, 6,
_xlpm.추가_색인번호, 7,
_xlpm.개별보정치, X400,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3960</v>
      </c>
      <c r="AF400" s="29" cm="1">
        <f t="array" ref="AF400">_xlfn.LET(_xlpm.기본_색인번호, 7,
_xlpm.추가_색인번호, 8,
_xlpm.개별보정치, Y400,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43200</v>
      </c>
      <c r="AG400" s="30" cm="1">
        <f t="array" ref="AG400">_xlfn.LET(_xlpm.기본_색인번호, 8,
_xlpm.추가_색인번호, 9,
_xlpm.개별보정치, Z400,
_xlpm.패턴보정치, VLOOKUP($G400, Factor!$B$5:$I$51, _xlpm.기본_색인번호, 0),
_xlpm.소모탄환보정치, VLOOKUP($H400, Factor!$T$5:$AA$51, _xlpm.기본_색인번호, 0),
_xlpm.지형보정치, VLOOKUP($I400, Factor!$K$12:$R$13, _xlpm.기본_색인번호, 0),
_xlpm.공격속성보정치, VLOOKUP($J400, Factor!$K$5:$R$7, _xlpm.기본_색인번호, 0),
_xlpm.피해범위보정치, INDEX(Factor!$AN$5:$AV$51, _xlfn.XMATCH(IF(OR($G400="blast", $G400="curved",  $G400= "debuff"), $L400, 0), Factor!$AN$5:$AN$51, -1), _xlpm.추가_색인번호)-IF(AND(OR($G400="blast", $G400="curved", $G400= "debuff"), MOD($L400,1)&lt;&gt;0),INDEX(Factor!$AN$5:$AV$51, _xlfn.XMATCH(IF(OR($G400="blast", $G400="curved", $G400= "debuff"), $L400, 0), Factor!$AN$5:$AN$51, -1), 2)*MOD($L400,1)*10,0),
_xlpm.상태이상보정치, VLOOKUP(IF($G400 = "debuff", $M400, "null"), Factor!$AX$5:$BE$51, _xlpm.기본_색인번호, 0),
_xlpm.지속시간보정치, INDEX(Factor!$BG$5:$BO$51, _xlfn.XMATCH(IF(OR($G400 ="debuff", $G400 = "shot", $G400 = "pierce"), $O400, 0), Factor!$BG$5:$BG$51, -1), _xlpm.추가_색인번호)-IF(AND(OR($G400 ="debuff", $G400 = "shot", $G400 = "pierce"), MOD($O400, 1)&lt;&gt;0), 10*MOD($O400, 1)*INDEX(Factor!$BG$5:$BO$51, _xlfn.XMATCH(IF(OR($G400 ="debuff", $G400 = "shot", $G400 = "pierce"), $O400, 0), Factor!$BG$5:$BG$51, -1), 2), 0),
_xlpm.탄환개수보정치, VLOOKUP(IF(OR($G400 = "curved", $G400 = "shot"), $Q400, 1), Factor!$BQ$5:$BX$51, _xlpm.기본_색인번호, 0),
_xlpm.상태이상탄환생성위치보정치, IF($G400 = "debuff", VLOOKUP($R400, Factor!$K$18:$R$19, _xlpm.기본_색인번호, 0),1),
_xlpm.상태이상탄환형태보정치, IF($G400 = "debuff", VLOOKUP($S400, Factor!$K$24:$R$25, _xlpm.기본_색인번호, 0),1),
_xlpm.가격보정치, INDEX(Factor!$AE$5:$AL$51, _xlfn.XMATCH($F400,Factor!$AE$5:$AE$51, -1), _xlpm.기본_색인번호),
_xlpm.구경보정치, VLOOKUP($D400,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3960</v>
      </c>
    </row>
    <row r="401" spans="1:33" ht="15.75" customHeight="1">
      <c r="A401" s="24" t="str">
        <f>"weapon_"&amp;G401&amp;"_"&amp;VLOOKUP(H401, Factor!$T$5:$AB$7, 9, 0)&amp;"_"&amp;IF(COUNTIFS($G$4:G400, G401, $H$4:H400, H401)+1&gt;=100, COUNTIFS($G$4:G400, G401, $H$4:H400, H401)+1,IF(COUNTIFS($G$4:G400, G401, $H$4:H400, H401)+1&gt;=10, "0"&amp;COUNTIFS($G$4:G400, G401, $H$4:H400, H401)+1, "00"&amp;COUNTIFS($G$4:G400, G401, $H$4:H400, H401)+1))</f>
        <v>weapon_debuff_Ms_045</v>
      </c>
      <c r="B401" s="36" t="str">
        <f t="shared" si="6"/>
        <v>녹슨 액화질소 살포 미사일 발사대</v>
      </c>
      <c r="C401" s="36" t="s">
        <v>239</v>
      </c>
      <c r="D401" s="36" t="s">
        <v>275</v>
      </c>
      <c r="E401" s="36" t="s">
        <v>209</v>
      </c>
      <c r="F401" s="25">
        <f>VLOOKUP(C401, Factor!$AD$5:$AE$15, 2, 0)</f>
        <v>0</v>
      </c>
      <c r="G401" s="26" t="str">
        <f>VLOOKUP(E401, Factor!$CL$5:$CV$50, 2, 0)</f>
        <v>debuff</v>
      </c>
      <c r="H401" s="25" t="str">
        <f>VLOOKUP(E401, Factor!$CL$5:$CV$50, 3, 0)</f>
        <v>missile</v>
      </c>
      <c r="I401" s="25" t="str">
        <f>VLOOKUP(E401, Factor!$CL$5:$CV$50, 4, 0)</f>
        <v>L</v>
      </c>
      <c r="J401" s="25" t="str">
        <f>VLOOKUP(E401, Factor!$CL$5:$CV$50, 5, 0)</f>
        <v>spread</v>
      </c>
      <c r="K401" s="25">
        <v>1</v>
      </c>
      <c r="L401" s="25">
        <f>VLOOKUP(E401, Factor!$CL$5:$CV$50, 6, 0)*K401*VLOOKUP(D401, Factor!$BZ$5:$CJ$49, 9, 0)</f>
        <v>0</v>
      </c>
      <c r="M401" s="25" t="str">
        <f>VLOOKUP(E401, Factor!$CL$5:$CV$50, 7, 0)</f>
        <v>stun</v>
      </c>
      <c r="N401" s="25">
        <v>1</v>
      </c>
      <c r="O401" s="25">
        <f>VLOOKUP(E401, Factor!$CL$5:$CV$50, 8, 0)*N401*VLOOKUP(D401, Factor!$BZ$5:$CJ$49, 10, 0)</f>
        <v>5</v>
      </c>
      <c r="P401" s="25">
        <v>1</v>
      </c>
      <c r="Q401" s="25">
        <f>VLOOKUP(E401, Factor!$CL$5:$CV$50, 9, 0)*P401*VLOOKUP(D401, Factor!$BZ$5:$CJ$49, 11, 0)</f>
        <v>1</v>
      </c>
      <c r="R401" s="25" t="str">
        <f>VLOOKUP(E401, Factor!$CL$5:$CV$50, 10, 0)</f>
        <v>target</v>
      </c>
      <c r="S401" s="25" t="str">
        <f>VLOOKUP(E401, Factor!$CL$5:$CV$50, 11, 0)</f>
        <v>circle</v>
      </c>
      <c r="T401" s="25">
        <v>1</v>
      </c>
      <c r="U401" s="25">
        <v>1</v>
      </c>
      <c r="V401" s="25">
        <v>1</v>
      </c>
      <c r="W401" s="25">
        <v>1</v>
      </c>
      <c r="X401" s="25">
        <v>1</v>
      </c>
      <c r="Y401" s="25">
        <v>1</v>
      </c>
      <c r="Z401" s="25">
        <v>1</v>
      </c>
      <c r="AA401" s="25" cm="1">
        <f t="array" ref="AA401">_xlfn.LET(_xlpm.기본_색인번호, 2,
_xlpm.추가_색인번호, 3,
_xlpm.개별보정치, T401,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B401" s="25" cm="1">
        <f t="array" ref="AB401">_xlfn.LET(_xlpm.기본_색인번호, 3,
_xlpm.추가_색인번호, 4,
_xlpm.개별보정치, U401,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401" s="25" cm="1">
        <f t="array" ref="AC401">_xlfn.LET(_xlpm.기본_색인번호, 4,
_xlpm.추가_색인번호, 5,
_xlpm.개별보정치, V401,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01" s="25" cm="1">
        <f t="array" ref="AD401">_xlfn.LET(_xlpm.기본_색인번호, 5,
_xlpm.추가_색인번호, 6,
_xlpm.개별보정치, W401,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E401" s="25" cm="1">
        <f t="array" ref="AE401">_xlfn.LET(_xlpm.기본_색인번호, 6,
_xlpm.추가_색인번호, 7,
_xlpm.개별보정치, X401,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F401" s="25" cm="1">
        <f t="array" ref="AF401">_xlfn.LET(_xlpm.기본_색인번호, 7,
_xlpm.추가_색인번호, 8,
_xlpm.개별보정치, Y401,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01" s="27" cm="1">
        <f t="array" ref="AG401">_xlfn.LET(_xlpm.기본_색인번호, 8,
_xlpm.추가_색인번호, 9,
_xlpm.개별보정치, Z401,
_xlpm.패턴보정치, VLOOKUP($G401, Factor!$B$5:$I$51, _xlpm.기본_색인번호, 0),
_xlpm.소모탄환보정치, VLOOKUP($H401, Factor!$T$5:$AA$51, _xlpm.기본_색인번호, 0),
_xlpm.지형보정치, VLOOKUP($I401, Factor!$K$12:$R$13, _xlpm.기본_색인번호, 0),
_xlpm.공격속성보정치, VLOOKUP($J401, Factor!$K$5:$R$7, _xlpm.기본_색인번호, 0),
_xlpm.피해범위보정치, INDEX(Factor!$AN$5:$AV$51, _xlfn.XMATCH(IF(OR($G401="blast", $G401="curved",  $G401= "debuff"), $L401, 0), Factor!$AN$5:$AN$51, -1), _xlpm.추가_색인번호)-IF(AND(OR($G401="blast", $G401="curved", $G401= "debuff"), MOD($L401,1)&lt;&gt;0),INDEX(Factor!$AN$5:$AV$51, _xlfn.XMATCH(IF(OR($G401="blast", $G401="curved", $G401= "debuff"), $L401, 0), Factor!$AN$5:$AN$51, -1), 2)*MOD($L401,1)*10,0),
_xlpm.상태이상보정치, VLOOKUP(IF($G401 = "debuff", $M401, "null"), Factor!$AX$5:$BE$51, _xlpm.기본_색인번호, 0),
_xlpm.지속시간보정치, INDEX(Factor!$BG$5:$BO$51, _xlfn.XMATCH(IF(OR($G401 ="debuff", $G401 = "shot", $G401 = "pierce"), $O401, 0), Factor!$BG$5:$BG$51, -1), _xlpm.추가_색인번호)-IF(AND(OR($G401 ="debuff", $G401 = "shot", $G401 = "pierce"), MOD($O401, 1)&lt;&gt;0), 10*MOD($O401, 1)*INDEX(Factor!$BG$5:$BO$51, _xlfn.XMATCH(IF(OR($G401 ="debuff", $G401 = "shot", $G401 = "pierce"), $O401, 0), Factor!$BG$5:$BG$51, -1), 2), 0),
_xlpm.탄환개수보정치, VLOOKUP(IF(OR($G401 = "curved", $G401 = "shot"), $Q401, 1), Factor!$BQ$5:$BX$51, _xlpm.기본_색인번호, 0),
_xlpm.상태이상탄환생성위치보정치, IF($G401 = "debuff", VLOOKUP($R401, Factor!$K$18:$R$19, _xlpm.기본_색인번호, 0),1),
_xlpm.상태이상탄환형태보정치, IF($G401 = "debuff", VLOOKUP($S401, Factor!$K$24:$R$25, _xlpm.기본_색인번호, 0),1),
_xlpm.가격보정치, INDEX(Factor!$AE$5:$AL$51, _xlfn.XMATCH($F401,Factor!$AE$5:$AE$51, -1), _xlpm.기본_색인번호),
_xlpm.구경보정치, VLOOKUP($D401,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</row>
    <row r="402" spans="1:33" ht="15.75" customHeight="1">
      <c r="A402" s="28" t="str">
        <f>"weapon_"&amp;G402&amp;"_"&amp;VLOOKUP(H402, Factor!$T$5:$AB$7, 9, 0)&amp;"_"&amp;IF(COUNTIFS($G$4:G401, G402, $H$4:H401, H402)+1&gt;=100, COUNTIFS($G$4:G401, G402, $H$4:H401, H402)+1,IF(COUNTIFS($G$4:G401, G402, $H$4:H401, H402)+1&gt;=10, "0"&amp;COUNTIFS($G$4:G401, G402, $H$4:H401, H402)+1, "00"&amp;COUNTIFS($G$4:G401, G402, $H$4:H401, H402)+1))</f>
        <v>weapon_debuff_Ms_046</v>
      </c>
      <c r="B402" s="37" t="str">
        <f t="shared" si="6"/>
        <v>녹슨 240mm액화질소 살포 미사일 발사대</v>
      </c>
      <c r="C402" s="37" t="s">
        <v>239</v>
      </c>
      <c r="D402" s="37" t="s">
        <v>267</v>
      </c>
      <c r="E402" s="37" t="s">
        <v>209</v>
      </c>
      <c r="F402" s="29">
        <f>VLOOKUP(C402, Factor!$AD$5:$AE$15, 2, 0)</f>
        <v>0</v>
      </c>
      <c r="G402" s="29" t="str">
        <f>VLOOKUP(E402, Factor!$CL$5:$CV$50, 2, 0)</f>
        <v>debuff</v>
      </c>
      <c r="H402" s="29" t="str">
        <f>VLOOKUP(E402, Factor!$CL$5:$CV$50, 3, 0)</f>
        <v>missile</v>
      </c>
      <c r="I402" s="29" t="str">
        <f>VLOOKUP(E402, Factor!$CL$5:$CV$50, 4, 0)</f>
        <v>L</v>
      </c>
      <c r="J402" s="29" t="str">
        <f>VLOOKUP(E402, Factor!$CL$5:$CV$50, 5, 0)</f>
        <v>spread</v>
      </c>
      <c r="K402" s="29">
        <v>1</v>
      </c>
      <c r="L402" s="29">
        <f>VLOOKUP(E402, Factor!$CL$5:$CV$50, 6, 0)*K402*VLOOKUP(D402, Factor!$BZ$5:$CJ$49, 9, 0)</f>
        <v>0</v>
      </c>
      <c r="M402" s="29" t="str">
        <f>VLOOKUP(E402, Factor!$CL$5:$CV$50, 7, 0)</f>
        <v>stun</v>
      </c>
      <c r="N402" s="29">
        <v>1</v>
      </c>
      <c r="O402" s="29">
        <f>VLOOKUP(E402, Factor!$CL$5:$CV$50, 8, 0)*N402*VLOOKUP(D402, Factor!$BZ$5:$CJ$49, 10, 0)</f>
        <v>40</v>
      </c>
      <c r="P402" s="29">
        <v>1</v>
      </c>
      <c r="Q402" s="29">
        <f>VLOOKUP(E402, Factor!$CL$5:$CV$50, 9, 0)*P402*VLOOKUP(D402, Factor!$BZ$5:$CJ$49, 11, 0)</f>
        <v>8</v>
      </c>
      <c r="R402" s="29" t="str">
        <f>VLOOKUP(E402, Factor!$CL$5:$CV$50, 10, 0)</f>
        <v>target</v>
      </c>
      <c r="S402" s="29" t="str">
        <f>VLOOKUP(E402, Factor!$CL$5:$CV$50, 11, 0)</f>
        <v>circle</v>
      </c>
      <c r="T402" s="29">
        <v>1</v>
      </c>
      <c r="U402" s="29">
        <v>1</v>
      </c>
      <c r="V402" s="29">
        <v>1</v>
      </c>
      <c r="W402" s="29">
        <v>1</v>
      </c>
      <c r="X402" s="29">
        <v>1</v>
      </c>
      <c r="Y402" s="29">
        <v>1</v>
      </c>
      <c r="Z402" s="29">
        <v>1</v>
      </c>
      <c r="AA402" s="29" cm="1">
        <f t="array" ref="AA402">_xlfn.LET(_xlpm.기본_색인번호, 2,
_xlpm.추가_색인번호, 3,
_xlpm.개별보정치, T402,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402" s="29" cm="1">
        <f t="array" ref="AB402">_xlfn.LET(_xlpm.기본_색인번호, 3,
_xlpm.추가_색인번호, 4,
_xlpm.개별보정치, U402,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02" s="29" cm="1">
        <f t="array" ref="AC402">_xlfn.LET(_xlpm.기본_색인번호, 4,
_xlpm.추가_색인번호, 5,
_xlpm.개별보정치, V402,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02" s="29" cm="1">
        <f t="array" ref="AD402">_xlfn.LET(_xlpm.기본_색인번호, 5,
_xlpm.추가_색인번호, 6,
_xlpm.개별보정치, W402,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402" s="29" cm="1">
        <f t="array" ref="AE402">_xlfn.LET(_xlpm.기본_색인번호, 6,
_xlpm.추가_색인번호, 7,
_xlpm.개별보정치, X402,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402" s="29" cm="1">
        <f t="array" ref="AF402">_xlfn.LET(_xlpm.기본_색인번호, 7,
_xlpm.추가_색인번호, 8,
_xlpm.개별보정치, Y402,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02" s="30" cm="1">
        <f t="array" ref="AG402">_xlfn.LET(_xlpm.기본_색인번호, 8,
_xlpm.추가_색인번호, 9,
_xlpm.개별보정치, Z402,
_xlpm.패턴보정치, VLOOKUP($G402, Factor!$B$5:$I$51, _xlpm.기본_색인번호, 0),
_xlpm.소모탄환보정치, VLOOKUP($H402, Factor!$T$5:$AA$51, _xlpm.기본_색인번호, 0),
_xlpm.지형보정치, VLOOKUP($I402, Factor!$K$12:$R$13, _xlpm.기본_색인번호, 0),
_xlpm.공격속성보정치, VLOOKUP($J402, Factor!$K$5:$R$7, _xlpm.기본_색인번호, 0),
_xlpm.피해범위보정치, INDEX(Factor!$AN$5:$AV$51, _xlfn.XMATCH(IF(OR($G402="blast", $G402="curved",  $G402= "debuff"), $L402, 0), Factor!$AN$5:$AN$51, -1), _xlpm.추가_색인번호)-IF(AND(OR($G402="blast", $G402="curved", $G402= "debuff"), MOD($L402,1)&lt;&gt;0),INDEX(Factor!$AN$5:$AV$51, _xlfn.XMATCH(IF(OR($G402="blast", $G402="curved", $G402= "debuff"), $L402, 0), Factor!$AN$5:$AN$51, -1), 2)*MOD($L402,1)*10,0),
_xlpm.상태이상보정치, VLOOKUP(IF($G402 = "debuff", $M402, "null"), Factor!$AX$5:$BE$51, _xlpm.기본_색인번호, 0),
_xlpm.지속시간보정치, INDEX(Factor!$BG$5:$BO$51, _xlfn.XMATCH(IF(OR($G402 ="debuff", $G402 = "shot", $G402 = "pierce"), $O402, 0), Factor!$BG$5:$BG$51, -1), _xlpm.추가_색인번호)-IF(AND(OR($G402 ="debuff", $G402 = "shot", $G402 = "pierce"), MOD($O402, 1)&lt;&gt;0), 10*MOD($O402, 1)*INDEX(Factor!$BG$5:$BO$51, _xlfn.XMATCH(IF(OR($G402 ="debuff", $G402 = "shot", $G402 = "pierce"), $O402, 0), Factor!$BG$5:$BG$51, -1), 2), 0),
_xlpm.탄환개수보정치, VLOOKUP(IF(OR($G402 = "curved", $G402 = "shot"), $Q402, 1), Factor!$BQ$5:$BX$51, _xlpm.기본_색인번호, 0),
_xlpm.상태이상탄환생성위치보정치, IF($G402 = "debuff", VLOOKUP($R402, Factor!$K$18:$R$19, _xlpm.기본_색인번호, 0),1),
_xlpm.상태이상탄환형태보정치, IF($G402 = "debuff", VLOOKUP($S402, Factor!$K$24:$R$25, _xlpm.기본_색인번호, 0),1),
_xlpm.가격보정치, INDEX(Factor!$AE$5:$AL$51, _xlfn.XMATCH($F402,Factor!$AE$5:$AE$51, -1), _xlpm.기본_색인번호),
_xlpm.구경보정치, VLOOKUP($D402,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403" spans="1:33" ht="15.75" customHeight="1">
      <c r="A403" s="24" t="str">
        <f>"weapon_"&amp;G403&amp;"_"&amp;VLOOKUP(H403, Factor!$T$5:$AB$7, 9, 0)&amp;"_"&amp;IF(COUNTIFS($G$4:G402, G403, $H$4:H402, H403)+1&gt;=100, COUNTIFS($G$4:G402, G403, $H$4:H402, H403)+1,IF(COUNTIFS($G$4:G402, G403, $H$4:H402, H403)+1&gt;=10, "0"&amp;COUNTIFS($G$4:G402, G403, $H$4:H402, H403)+1, "00"&amp;COUNTIFS($G$4:G402, G403, $H$4:H402, H403)+1))</f>
        <v>weapon_debuff_Ms_047</v>
      </c>
      <c r="B403" s="36" t="str">
        <f t="shared" si="6"/>
        <v>T1 액화질소 살포 미사일 발사대</v>
      </c>
      <c r="C403" s="36" t="s">
        <v>237</v>
      </c>
      <c r="D403" s="36" t="s">
        <v>275</v>
      </c>
      <c r="E403" s="36" t="s">
        <v>209</v>
      </c>
      <c r="F403" s="25">
        <f>VLOOKUP(C403, Factor!$AD$5:$AE$15, 2, 0)</f>
        <v>1000</v>
      </c>
      <c r="G403" s="26" t="str">
        <f>VLOOKUP(E403, Factor!$CL$5:$CV$50, 2, 0)</f>
        <v>debuff</v>
      </c>
      <c r="H403" s="25" t="str">
        <f>VLOOKUP(E403, Factor!$CL$5:$CV$50, 3, 0)</f>
        <v>missile</v>
      </c>
      <c r="I403" s="25" t="str">
        <f>VLOOKUP(E403, Factor!$CL$5:$CV$50, 4, 0)</f>
        <v>L</v>
      </c>
      <c r="J403" s="25" t="str">
        <f>VLOOKUP(E403, Factor!$CL$5:$CV$50, 5, 0)</f>
        <v>spread</v>
      </c>
      <c r="K403" s="25">
        <v>1</v>
      </c>
      <c r="L403" s="25">
        <f>VLOOKUP(E403, Factor!$CL$5:$CV$50, 6, 0)*K403*VLOOKUP(D403, Factor!$BZ$5:$CJ$49, 9, 0)</f>
        <v>0</v>
      </c>
      <c r="M403" s="25" t="str">
        <f>VLOOKUP(E403, Factor!$CL$5:$CV$50, 7, 0)</f>
        <v>stun</v>
      </c>
      <c r="N403" s="25">
        <v>1</v>
      </c>
      <c r="O403" s="25">
        <f>VLOOKUP(E403, Factor!$CL$5:$CV$50, 8, 0)*N403*VLOOKUP(D403, Factor!$BZ$5:$CJ$49, 10, 0)</f>
        <v>5</v>
      </c>
      <c r="P403" s="25">
        <v>1</v>
      </c>
      <c r="Q403" s="25">
        <f>VLOOKUP(E403, Factor!$CL$5:$CV$50, 9, 0)*P403*VLOOKUP(D403, Factor!$BZ$5:$CJ$49, 11, 0)</f>
        <v>1</v>
      </c>
      <c r="R403" s="25" t="str">
        <f>VLOOKUP(E403, Factor!$CL$5:$CV$50, 10, 0)</f>
        <v>target</v>
      </c>
      <c r="S403" s="25" t="str">
        <f>VLOOKUP(E403, Factor!$CL$5:$CV$50, 11, 0)</f>
        <v>circle</v>
      </c>
      <c r="T403" s="25">
        <v>1</v>
      </c>
      <c r="U403" s="25">
        <v>1</v>
      </c>
      <c r="V403" s="25">
        <v>1</v>
      </c>
      <c r="W403" s="25">
        <v>1</v>
      </c>
      <c r="X403" s="25">
        <v>1</v>
      </c>
      <c r="Y403" s="25">
        <v>1</v>
      </c>
      <c r="Z403" s="25">
        <v>1</v>
      </c>
      <c r="AA403" s="25" cm="1">
        <f t="array" ref="AA403">_xlfn.LET(_xlpm.기본_색인번호, 2,
_xlpm.추가_색인번호, 3,
_xlpm.개별보정치, T403,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403" s="25" cm="1">
        <f t="array" ref="AB403">_xlfn.LET(_xlpm.기본_색인번호, 3,
_xlpm.추가_색인번호, 4,
_xlpm.개별보정치, U403,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403" s="25" cm="1">
        <f t="array" ref="AC403">_xlfn.LET(_xlpm.기본_색인번호, 4,
_xlpm.추가_색인번호, 5,
_xlpm.개별보정치, V403,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03" s="25" cm="1">
        <f t="array" ref="AD403">_xlfn.LET(_xlpm.기본_색인번호, 5,
_xlpm.추가_색인번호, 6,
_xlpm.개별보정치, W403,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403" s="25" cm="1">
        <f t="array" ref="AE403">_xlfn.LET(_xlpm.기본_색인번호, 6,
_xlpm.추가_색인번호, 7,
_xlpm.개별보정치, X403,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403" s="25" cm="1">
        <f t="array" ref="AF403">_xlfn.LET(_xlpm.기본_색인번호, 7,
_xlpm.추가_색인번호, 8,
_xlpm.개별보정치, Y403,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03" s="27" cm="1">
        <f t="array" ref="AG403">_xlfn.LET(_xlpm.기본_색인번호, 8,
_xlpm.추가_색인번호, 9,
_xlpm.개별보정치, Z403,
_xlpm.패턴보정치, VLOOKUP($G403, Factor!$B$5:$I$51, _xlpm.기본_색인번호, 0),
_xlpm.소모탄환보정치, VLOOKUP($H403, Factor!$T$5:$AA$51, _xlpm.기본_색인번호, 0),
_xlpm.지형보정치, VLOOKUP($I403, Factor!$K$12:$R$13, _xlpm.기본_색인번호, 0),
_xlpm.공격속성보정치, VLOOKUP($J403, Factor!$K$5:$R$7, _xlpm.기본_색인번호, 0),
_xlpm.피해범위보정치, INDEX(Factor!$AN$5:$AV$51, _xlfn.XMATCH(IF(OR($G403="blast", $G403="curved",  $G403= "debuff"), $L403, 0), Factor!$AN$5:$AN$51, -1), _xlpm.추가_색인번호)-IF(AND(OR($G403="blast", $G403="curved", $G403= "debuff"), MOD($L403,1)&lt;&gt;0),INDEX(Factor!$AN$5:$AV$51, _xlfn.XMATCH(IF(OR($G403="blast", $G403="curved", $G403= "debuff"), $L403, 0), Factor!$AN$5:$AN$51, -1), 2)*MOD($L403,1)*10,0),
_xlpm.상태이상보정치, VLOOKUP(IF($G403 = "debuff", $M403, "null"), Factor!$AX$5:$BE$51, _xlpm.기본_색인번호, 0),
_xlpm.지속시간보정치, INDEX(Factor!$BG$5:$BO$51, _xlfn.XMATCH(IF(OR($G403 ="debuff", $G403 = "shot", $G403 = "pierce"), $O403, 0), Factor!$BG$5:$BG$51, -1), _xlpm.추가_색인번호)-IF(AND(OR($G403 ="debuff", $G403 = "shot", $G403 = "pierce"), MOD($O403, 1)&lt;&gt;0), 10*MOD($O403, 1)*INDEX(Factor!$BG$5:$BO$51, _xlfn.XMATCH(IF(OR($G403 ="debuff", $G403 = "shot", $G403 = "pierce"), $O403, 0), Factor!$BG$5:$BG$51, -1), 2), 0),
_xlpm.탄환개수보정치, VLOOKUP(IF(OR($G403 = "curved", $G403 = "shot"), $Q403, 1), Factor!$BQ$5:$BX$51, _xlpm.기본_색인번호, 0),
_xlpm.상태이상탄환생성위치보정치, IF($G403 = "debuff", VLOOKUP($R403, Factor!$K$18:$R$19, _xlpm.기본_색인번호, 0),1),
_xlpm.상태이상탄환형태보정치, IF($G403 = "debuff", VLOOKUP($S403, Factor!$K$24:$R$25, _xlpm.기본_색인번호, 0),1),
_xlpm.가격보정치, INDEX(Factor!$AE$5:$AL$51, _xlfn.XMATCH($F403,Factor!$AE$5:$AE$51, -1), _xlpm.기본_색인번호),
_xlpm.구경보정치, VLOOKUP($D403,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404" spans="1:33" ht="15.75" customHeight="1">
      <c r="A404" s="28" t="str">
        <f>"weapon_"&amp;G404&amp;"_"&amp;VLOOKUP(H404, Factor!$T$5:$AB$7, 9, 0)&amp;"_"&amp;IF(COUNTIFS($G$4:G403, G404, $H$4:H403, H404)+1&gt;=100, COUNTIFS($G$4:G403, G404, $H$4:H403, H404)+1,IF(COUNTIFS($G$4:G403, G404, $H$4:H403, H404)+1&gt;=10, "0"&amp;COUNTIFS($G$4:G403, G404, $H$4:H403, H404)+1, "00"&amp;COUNTIFS($G$4:G403, G404, $H$4:H403, H404)+1))</f>
        <v>weapon_debuff_Ms_048</v>
      </c>
      <c r="B404" s="37" t="str">
        <f t="shared" si="6"/>
        <v>T1 240mm액화질소 살포 미사일 발사대</v>
      </c>
      <c r="C404" s="37" t="s">
        <v>237</v>
      </c>
      <c r="D404" s="37" t="s">
        <v>267</v>
      </c>
      <c r="E404" s="37" t="s">
        <v>209</v>
      </c>
      <c r="F404" s="29">
        <f>VLOOKUP(C404, Factor!$AD$5:$AE$15, 2, 0)</f>
        <v>1000</v>
      </c>
      <c r="G404" s="29" t="str">
        <f>VLOOKUP(E404, Factor!$CL$5:$CV$50, 2, 0)</f>
        <v>debuff</v>
      </c>
      <c r="H404" s="29" t="str">
        <f>VLOOKUP(E404, Factor!$CL$5:$CV$50, 3, 0)</f>
        <v>missile</v>
      </c>
      <c r="I404" s="29" t="str">
        <f>VLOOKUP(E404, Factor!$CL$5:$CV$50, 4, 0)</f>
        <v>L</v>
      </c>
      <c r="J404" s="29" t="str">
        <f>VLOOKUP(E404, Factor!$CL$5:$CV$50, 5, 0)</f>
        <v>spread</v>
      </c>
      <c r="K404" s="29">
        <v>1</v>
      </c>
      <c r="L404" s="29">
        <f>VLOOKUP(E404, Factor!$CL$5:$CV$50, 6, 0)*K404*VLOOKUP(D404, Factor!$BZ$5:$CJ$49, 9, 0)</f>
        <v>0</v>
      </c>
      <c r="M404" s="29" t="str">
        <f>VLOOKUP(E404, Factor!$CL$5:$CV$50, 7, 0)</f>
        <v>stun</v>
      </c>
      <c r="N404" s="29">
        <v>1</v>
      </c>
      <c r="O404" s="29">
        <f>VLOOKUP(E404, Factor!$CL$5:$CV$50, 8, 0)*N404*VLOOKUP(D404, Factor!$BZ$5:$CJ$49, 10, 0)</f>
        <v>40</v>
      </c>
      <c r="P404" s="29">
        <v>1</v>
      </c>
      <c r="Q404" s="29">
        <f>VLOOKUP(E404, Factor!$CL$5:$CV$50, 9, 0)*P404*VLOOKUP(D404, Factor!$BZ$5:$CJ$49, 11, 0)</f>
        <v>8</v>
      </c>
      <c r="R404" s="29" t="str">
        <f>VLOOKUP(E404, Factor!$CL$5:$CV$50, 10, 0)</f>
        <v>target</v>
      </c>
      <c r="S404" s="29" t="str">
        <f>VLOOKUP(E404, Factor!$CL$5:$CV$50, 11, 0)</f>
        <v>circle</v>
      </c>
      <c r="T404" s="29">
        <v>1</v>
      </c>
      <c r="U404" s="29">
        <v>1</v>
      </c>
      <c r="V404" s="29">
        <v>1</v>
      </c>
      <c r="W404" s="29">
        <v>1</v>
      </c>
      <c r="X404" s="29">
        <v>1</v>
      </c>
      <c r="Y404" s="29">
        <v>1</v>
      </c>
      <c r="Z404" s="29">
        <v>1</v>
      </c>
      <c r="AA404" s="29" cm="1">
        <f t="array" ref="AA404">_xlfn.LET(_xlpm.기본_색인번호, 2,
_xlpm.추가_색인번호, 3,
_xlpm.개별보정치, T404,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404" s="29" cm="1">
        <f t="array" ref="AB404">_xlfn.LET(_xlpm.기본_색인번호, 3,
_xlpm.추가_색인번호, 4,
_xlpm.개별보정치, U404,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04" s="29" cm="1">
        <f t="array" ref="AC404">_xlfn.LET(_xlpm.기본_색인번호, 4,
_xlpm.추가_색인번호, 5,
_xlpm.개별보정치, V404,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04" s="29" cm="1">
        <f t="array" ref="AD404">_xlfn.LET(_xlpm.기본_색인번호, 5,
_xlpm.추가_색인번호, 6,
_xlpm.개별보정치, W404,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404" s="29" cm="1">
        <f t="array" ref="AE404">_xlfn.LET(_xlpm.기본_색인번호, 6,
_xlpm.추가_색인번호, 7,
_xlpm.개별보정치, X404,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404" s="29" cm="1">
        <f t="array" ref="AF404">_xlfn.LET(_xlpm.기본_색인번호, 7,
_xlpm.추가_색인번호, 8,
_xlpm.개별보정치, Y404,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04" s="30" cm="1">
        <f t="array" ref="AG404">_xlfn.LET(_xlpm.기본_색인번호, 8,
_xlpm.추가_색인번호, 9,
_xlpm.개별보정치, Z404,
_xlpm.패턴보정치, VLOOKUP($G404, Factor!$B$5:$I$51, _xlpm.기본_색인번호, 0),
_xlpm.소모탄환보정치, VLOOKUP($H404, Factor!$T$5:$AA$51, _xlpm.기본_색인번호, 0),
_xlpm.지형보정치, VLOOKUP($I404, Factor!$K$12:$R$13, _xlpm.기본_색인번호, 0),
_xlpm.공격속성보정치, VLOOKUP($J404, Factor!$K$5:$R$7, _xlpm.기본_색인번호, 0),
_xlpm.피해범위보정치, INDEX(Factor!$AN$5:$AV$51, _xlfn.XMATCH(IF(OR($G404="blast", $G404="curved",  $G404= "debuff"), $L404, 0), Factor!$AN$5:$AN$51, -1), _xlpm.추가_색인번호)-IF(AND(OR($G404="blast", $G404="curved", $G404= "debuff"), MOD($L404,1)&lt;&gt;0),INDEX(Factor!$AN$5:$AV$51, _xlfn.XMATCH(IF(OR($G404="blast", $G404="curved", $G404= "debuff"), $L404, 0), Factor!$AN$5:$AN$51, -1), 2)*MOD($L404,1)*10,0),
_xlpm.상태이상보정치, VLOOKUP(IF($G404 = "debuff", $M404, "null"), Factor!$AX$5:$BE$51, _xlpm.기본_색인번호, 0),
_xlpm.지속시간보정치, INDEX(Factor!$BG$5:$BO$51, _xlfn.XMATCH(IF(OR($G404 ="debuff", $G404 = "shot", $G404 = "pierce"), $O404, 0), Factor!$BG$5:$BG$51, -1), _xlpm.추가_색인번호)-IF(AND(OR($G404 ="debuff", $G404 = "shot", $G404 = "pierce"), MOD($O404, 1)&lt;&gt;0), 10*MOD($O404, 1)*INDEX(Factor!$BG$5:$BO$51, _xlfn.XMATCH(IF(OR($G404 ="debuff", $G404 = "shot", $G404 = "pierce"), $O404, 0), Factor!$BG$5:$BG$51, -1), 2), 0),
_xlpm.탄환개수보정치, VLOOKUP(IF(OR($G404 = "curved", $G404 = "shot"), $Q404, 1), Factor!$BQ$5:$BX$51, _xlpm.기본_색인번호, 0),
_xlpm.상태이상탄환생성위치보정치, IF($G404 = "debuff", VLOOKUP($R404, Factor!$K$18:$R$19, _xlpm.기본_색인번호, 0),1),
_xlpm.상태이상탄환형태보정치, IF($G404 = "debuff", VLOOKUP($S404, Factor!$K$24:$R$25, _xlpm.기본_색인번호, 0),1),
_xlpm.가격보정치, INDEX(Factor!$AE$5:$AL$51, _xlfn.XMATCH($F404,Factor!$AE$5:$AE$51, -1), _xlpm.기본_색인번호),
_xlpm.구경보정치, VLOOKUP($D404,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405" spans="1:33" ht="15.75" customHeight="1">
      <c r="A405" s="24" t="str">
        <f>"weapon_"&amp;G405&amp;"_"&amp;VLOOKUP(H405, Factor!$T$5:$AB$7, 9, 0)&amp;"_"&amp;IF(COUNTIFS($G$4:G404, G405, $H$4:H404, H405)+1&gt;=100, COUNTIFS($G$4:G404, G405, $H$4:H404, H405)+1,IF(COUNTIFS($G$4:G404, G405, $H$4:H404, H405)+1&gt;=10, "0"&amp;COUNTIFS($G$4:G404, G405, $H$4:H404, H405)+1, "00"&amp;COUNTIFS($G$4:G404, G405, $H$4:H404, H405)+1))</f>
        <v>weapon_debuff_Ms_049</v>
      </c>
      <c r="B405" s="36" t="str">
        <f t="shared" si="6"/>
        <v>T2 액화질소 살포 미사일 발사대</v>
      </c>
      <c r="C405" s="36" t="s">
        <v>155</v>
      </c>
      <c r="D405" s="36" t="s">
        <v>275</v>
      </c>
      <c r="E405" s="36" t="s">
        <v>209</v>
      </c>
      <c r="F405" s="25">
        <f>VLOOKUP(C405, Factor!$AD$5:$AE$15, 2, 0)</f>
        <v>2000</v>
      </c>
      <c r="G405" s="26" t="str">
        <f>VLOOKUP(E405, Factor!$CL$5:$CV$50, 2, 0)</f>
        <v>debuff</v>
      </c>
      <c r="H405" s="25" t="str">
        <f>VLOOKUP(E405, Factor!$CL$5:$CV$50, 3, 0)</f>
        <v>missile</v>
      </c>
      <c r="I405" s="25" t="str">
        <f>VLOOKUP(E405, Factor!$CL$5:$CV$50, 4, 0)</f>
        <v>L</v>
      </c>
      <c r="J405" s="25" t="str">
        <f>VLOOKUP(E405, Factor!$CL$5:$CV$50, 5, 0)</f>
        <v>spread</v>
      </c>
      <c r="K405" s="25">
        <v>1</v>
      </c>
      <c r="L405" s="25">
        <f>VLOOKUP(E405, Factor!$CL$5:$CV$50, 6, 0)*K405*VLOOKUP(D405, Factor!$BZ$5:$CJ$49, 9, 0)</f>
        <v>0</v>
      </c>
      <c r="M405" s="25" t="str">
        <f>VLOOKUP(E405, Factor!$CL$5:$CV$50, 7, 0)</f>
        <v>stun</v>
      </c>
      <c r="N405" s="25">
        <v>1</v>
      </c>
      <c r="O405" s="25">
        <f>VLOOKUP(E405, Factor!$CL$5:$CV$50, 8, 0)*N405*VLOOKUP(D405, Factor!$BZ$5:$CJ$49, 10, 0)</f>
        <v>5</v>
      </c>
      <c r="P405" s="25">
        <v>1</v>
      </c>
      <c r="Q405" s="25">
        <f>VLOOKUP(E405, Factor!$CL$5:$CV$50, 9, 0)*P405*VLOOKUP(D405, Factor!$BZ$5:$CJ$49, 11, 0)</f>
        <v>1</v>
      </c>
      <c r="R405" s="25" t="str">
        <f>VLOOKUP(E405, Factor!$CL$5:$CV$50, 10, 0)</f>
        <v>target</v>
      </c>
      <c r="S405" s="25" t="str">
        <f>VLOOKUP(E405, Factor!$CL$5:$CV$50, 11, 0)</f>
        <v>circle</v>
      </c>
      <c r="T405" s="25">
        <v>1</v>
      </c>
      <c r="U405" s="25">
        <v>1</v>
      </c>
      <c r="V405" s="25">
        <v>1</v>
      </c>
      <c r="W405" s="25">
        <v>1</v>
      </c>
      <c r="X405" s="25">
        <v>1</v>
      </c>
      <c r="Y405" s="25">
        <v>1</v>
      </c>
      <c r="Z405" s="25">
        <v>1</v>
      </c>
      <c r="AA405" s="25" cm="1">
        <f t="array" ref="AA405">_xlfn.LET(_xlpm.기본_색인번호, 2,
_xlpm.추가_색인번호, 3,
_xlpm.개별보정치, T405,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900</v>
      </c>
      <c r="AB405" s="25" cm="1">
        <f t="array" ref="AB405">_xlfn.LET(_xlpm.기본_색인번호, 3,
_xlpm.추가_색인번호, 4,
_xlpm.개별보정치, U405,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C405" s="25" cm="1">
        <f t="array" ref="AC405">_xlfn.LET(_xlpm.기본_색인번호, 4,
_xlpm.추가_색인번호, 5,
_xlpm.개별보정치, V405,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05" s="25" cm="1">
        <f t="array" ref="AD405">_xlfn.LET(_xlpm.기본_색인번호, 5,
_xlpm.추가_색인번호, 6,
_xlpm.개별보정치, W405,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E405" s="25" cm="1">
        <f t="array" ref="AE405">_xlfn.LET(_xlpm.기본_색인번호, 6,
_xlpm.추가_색인번호, 7,
_xlpm.개별보정치, X405,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  <c r="AF405" s="25" cm="1">
        <f t="array" ref="AF405">_xlfn.LET(_xlpm.기본_색인번호, 7,
_xlpm.추가_색인번호, 8,
_xlpm.개별보정치, Y405,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05" s="27" cm="1">
        <f t="array" ref="AG405">_xlfn.LET(_xlpm.기본_색인번호, 8,
_xlpm.추가_색인번호, 9,
_xlpm.개별보정치, Z405,
_xlpm.패턴보정치, VLOOKUP($G405, Factor!$B$5:$I$51, _xlpm.기본_색인번호, 0),
_xlpm.소모탄환보정치, VLOOKUP($H405, Factor!$T$5:$AA$51, _xlpm.기본_색인번호, 0),
_xlpm.지형보정치, VLOOKUP($I405, Factor!$K$12:$R$13, _xlpm.기본_색인번호, 0),
_xlpm.공격속성보정치, VLOOKUP($J405, Factor!$K$5:$R$7, _xlpm.기본_색인번호, 0),
_xlpm.피해범위보정치, INDEX(Factor!$AN$5:$AV$51, _xlfn.XMATCH(IF(OR($G405="blast", $G405="curved",  $G405= "debuff"), $L405, 0), Factor!$AN$5:$AN$51, -1), _xlpm.추가_색인번호)-IF(AND(OR($G405="blast", $G405="curved", $G405= "debuff"), MOD($L405,1)&lt;&gt;0),INDEX(Factor!$AN$5:$AV$51, _xlfn.XMATCH(IF(OR($G405="blast", $G405="curved", $G405= "debuff"), $L405, 0), Factor!$AN$5:$AN$51, -1), 2)*MOD($L405,1)*10,0),
_xlpm.상태이상보정치, VLOOKUP(IF($G405 = "debuff", $M405, "null"), Factor!$AX$5:$BE$51, _xlpm.기본_색인번호, 0),
_xlpm.지속시간보정치, INDEX(Factor!$BG$5:$BO$51, _xlfn.XMATCH(IF(OR($G405 ="debuff", $G405 = "shot", $G405 = "pierce"), $O405, 0), Factor!$BG$5:$BG$51, -1), _xlpm.추가_색인번호)-IF(AND(OR($G405 ="debuff", $G405 = "shot", $G405 = "pierce"), MOD($O405, 1)&lt;&gt;0), 10*MOD($O405, 1)*INDEX(Factor!$BG$5:$BO$51, _xlfn.XMATCH(IF(OR($G405 ="debuff", $G405 = "shot", $G405 = "pierce"), $O405, 0), Factor!$BG$5:$BG$51, -1), 2), 0),
_xlpm.탄환개수보정치, VLOOKUP(IF(OR($G405 = "curved", $G405 = "shot"), $Q405, 1), Factor!$BQ$5:$BX$51, _xlpm.기본_색인번호, 0),
_xlpm.상태이상탄환생성위치보정치, IF($G405 = "debuff", VLOOKUP($R405, Factor!$K$18:$R$19, _xlpm.기본_색인번호, 0),1),
_xlpm.상태이상탄환형태보정치, IF($G405 = "debuff", VLOOKUP($S405, Factor!$K$24:$R$25, _xlpm.기본_색인번호, 0),1),
_xlpm.가격보정치, INDEX(Factor!$AE$5:$AL$51, _xlfn.XMATCH($F405,Factor!$AE$5:$AE$51, -1), _xlpm.기본_색인번호),
_xlpm.구경보정치, VLOOKUP($D405,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45</v>
      </c>
    </row>
    <row r="406" spans="1:33" ht="15.75" customHeight="1">
      <c r="A406" s="28" t="str">
        <f>"weapon_"&amp;G406&amp;"_"&amp;VLOOKUP(H406, Factor!$T$5:$AB$7, 9, 0)&amp;"_"&amp;IF(COUNTIFS($G$4:G405, G406, $H$4:H405, H406)+1&gt;=100, COUNTIFS($G$4:G405, G406, $H$4:H405, H406)+1,IF(COUNTIFS($G$4:G405, G406, $H$4:H405, H406)+1&gt;=10, "0"&amp;COUNTIFS($G$4:G405, G406, $H$4:H405, H406)+1, "00"&amp;COUNTIFS($G$4:G405, G406, $H$4:H405, H406)+1))</f>
        <v>weapon_debuff_Ms_050</v>
      </c>
      <c r="B406" s="37" t="str">
        <f t="shared" si="6"/>
        <v>T2 240mm액화질소 살포 미사일 발사대</v>
      </c>
      <c r="C406" s="37" t="s">
        <v>155</v>
      </c>
      <c r="D406" s="37" t="s">
        <v>267</v>
      </c>
      <c r="E406" s="37" t="s">
        <v>209</v>
      </c>
      <c r="F406" s="29">
        <f>VLOOKUP(C406, Factor!$AD$5:$AE$15, 2, 0)</f>
        <v>2000</v>
      </c>
      <c r="G406" s="29" t="str">
        <f>VLOOKUP(E406, Factor!$CL$5:$CV$50, 2, 0)</f>
        <v>debuff</v>
      </c>
      <c r="H406" s="29" t="str">
        <f>VLOOKUP(E406, Factor!$CL$5:$CV$50, 3, 0)</f>
        <v>missile</v>
      </c>
      <c r="I406" s="29" t="str">
        <f>VLOOKUP(E406, Factor!$CL$5:$CV$50, 4, 0)</f>
        <v>L</v>
      </c>
      <c r="J406" s="29" t="str">
        <f>VLOOKUP(E406, Factor!$CL$5:$CV$50, 5, 0)</f>
        <v>spread</v>
      </c>
      <c r="K406" s="29">
        <v>1</v>
      </c>
      <c r="L406" s="29">
        <f>VLOOKUP(E406, Factor!$CL$5:$CV$50, 6, 0)*K406*VLOOKUP(D406, Factor!$BZ$5:$CJ$49, 9, 0)</f>
        <v>0</v>
      </c>
      <c r="M406" s="29" t="str">
        <f>VLOOKUP(E406, Factor!$CL$5:$CV$50, 7, 0)</f>
        <v>stun</v>
      </c>
      <c r="N406" s="29">
        <v>1</v>
      </c>
      <c r="O406" s="29">
        <f>VLOOKUP(E406, Factor!$CL$5:$CV$50, 8, 0)*N406*VLOOKUP(D406, Factor!$BZ$5:$CJ$49, 10, 0)</f>
        <v>40</v>
      </c>
      <c r="P406" s="29">
        <v>1</v>
      </c>
      <c r="Q406" s="29">
        <f>VLOOKUP(E406, Factor!$CL$5:$CV$50, 9, 0)*P406*VLOOKUP(D406, Factor!$BZ$5:$CJ$49, 11, 0)</f>
        <v>8</v>
      </c>
      <c r="R406" s="29" t="str">
        <f>VLOOKUP(E406, Factor!$CL$5:$CV$50, 10, 0)</f>
        <v>target</v>
      </c>
      <c r="S406" s="29" t="str">
        <f>VLOOKUP(E406, Factor!$CL$5:$CV$50, 11, 0)</f>
        <v>circle</v>
      </c>
      <c r="T406" s="29">
        <v>1</v>
      </c>
      <c r="U406" s="29">
        <v>1</v>
      </c>
      <c r="V406" s="29">
        <v>1</v>
      </c>
      <c r="W406" s="29">
        <v>1</v>
      </c>
      <c r="X406" s="29">
        <v>1</v>
      </c>
      <c r="Y406" s="29">
        <v>1</v>
      </c>
      <c r="Z406" s="29">
        <v>1</v>
      </c>
      <c r="AA406" s="29" cm="1">
        <f t="array" ref="AA406">_xlfn.LET(_xlpm.기본_색인번호, 2,
_xlpm.추가_색인번호, 3,
_xlpm.개별보정치, T406,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406" s="29" cm="1">
        <f t="array" ref="AB406">_xlfn.LET(_xlpm.기본_색인번호, 3,
_xlpm.추가_색인번호, 4,
_xlpm.개별보정치, U406,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06" s="29" cm="1">
        <f t="array" ref="AC406">_xlfn.LET(_xlpm.기본_색인번호, 4,
_xlpm.추가_색인번호, 5,
_xlpm.개별보정치, V406,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06" s="29" cm="1">
        <f t="array" ref="AD406">_xlfn.LET(_xlpm.기본_색인번호, 5,
_xlpm.추가_색인번호, 6,
_xlpm.개별보정치, W406,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406" s="29" cm="1">
        <f t="array" ref="AE406">_xlfn.LET(_xlpm.기본_색인번호, 6,
_xlpm.추가_색인번호, 7,
_xlpm.개별보정치, X406,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406" s="29" cm="1">
        <f t="array" ref="AF406">_xlfn.LET(_xlpm.기본_색인번호, 7,
_xlpm.추가_색인번호, 8,
_xlpm.개별보정치, Y406,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06" s="30" cm="1">
        <f t="array" ref="AG406">_xlfn.LET(_xlpm.기본_색인번호, 8,
_xlpm.추가_색인번호, 9,
_xlpm.개별보정치, Z406,
_xlpm.패턴보정치, VLOOKUP($G406, Factor!$B$5:$I$51, _xlpm.기본_색인번호, 0),
_xlpm.소모탄환보정치, VLOOKUP($H406, Factor!$T$5:$AA$51, _xlpm.기본_색인번호, 0),
_xlpm.지형보정치, VLOOKUP($I406, Factor!$K$12:$R$13, _xlpm.기본_색인번호, 0),
_xlpm.공격속성보정치, VLOOKUP($J406, Factor!$K$5:$R$7, _xlpm.기본_색인번호, 0),
_xlpm.피해범위보정치, INDEX(Factor!$AN$5:$AV$51, _xlfn.XMATCH(IF(OR($G406="blast", $G406="curved",  $G406= "debuff"), $L406, 0), Factor!$AN$5:$AN$51, -1), _xlpm.추가_색인번호)-IF(AND(OR($G406="blast", $G406="curved", $G406= "debuff"), MOD($L406,1)&lt;&gt;0),INDEX(Factor!$AN$5:$AV$51, _xlfn.XMATCH(IF(OR($G406="blast", $G406="curved", $G406= "debuff"), $L406, 0), Factor!$AN$5:$AN$51, -1), 2)*MOD($L406,1)*10,0),
_xlpm.상태이상보정치, VLOOKUP(IF($G406 = "debuff", $M406, "null"), Factor!$AX$5:$BE$51, _xlpm.기본_색인번호, 0),
_xlpm.지속시간보정치, INDEX(Factor!$BG$5:$BO$51, _xlfn.XMATCH(IF(OR($G406 ="debuff", $G406 = "shot", $G406 = "pierce"), $O406, 0), Factor!$BG$5:$BG$51, -1), _xlpm.추가_색인번호)-IF(AND(OR($G406 ="debuff", $G406 = "shot", $G406 = "pierce"), MOD($O406, 1)&lt;&gt;0), 10*MOD($O406, 1)*INDEX(Factor!$BG$5:$BO$51, _xlfn.XMATCH(IF(OR($G406 ="debuff", $G406 = "shot", $G406 = "pierce"), $O406, 0), Factor!$BG$5:$BG$51, -1), 2), 0),
_xlpm.탄환개수보정치, VLOOKUP(IF(OR($G406 = "curved", $G406 = "shot"), $Q406, 1), Factor!$BQ$5:$BX$51, _xlpm.기본_색인번호, 0),
_xlpm.상태이상탄환생성위치보정치, IF($G406 = "debuff", VLOOKUP($R406, Factor!$K$18:$R$19, _xlpm.기본_색인번호, 0),1),
_xlpm.상태이상탄환형태보정치, IF($G406 = "debuff", VLOOKUP($S406, Factor!$K$24:$R$25, _xlpm.기본_색인번호, 0),1),
_xlpm.가격보정치, INDEX(Factor!$AE$5:$AL$51, _xlfn.XMATCH($F406,Factor!$AE$5:$AE$51, -1), _xlpm.기본_색인번호),
_xlpm.구경보정치, VLOOKUP($D406,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407" spans="1:33" ht="15.75" customHeight="1">
      <c r="A407" s="24" t="str">
        <f>"weapon_"&amp;G407&amp;"_"&amp;VLOOKUP(H407, Factor!$T$5:$AB$7, 9, 0)&amp;"_"&amp;IF(COUNTIFS($G$4:G406, G407, $H$4:H406, H407)+1&gt;=100, COUNTIFS($G$4:G406, G407, $H$4:H406, H407)+1,IF(COUNTIFS($G$4:G406, G407, $H$4:H406, H407)+1&gt;=10, "0"&amp;COUNTIFS($G$4:G406, G407, $H$4:H406, H407)+1, "00"&amp;COUNTIFS($G$4:G406, G407, $H$4:H406, H407)+1))</f>
        <v>weapon_debuff_Ms_051</v>
      </c>
      <c r="B407" s="36" t="str">
        <f t="shared" si="6"/>
        <v>T3 액화질소 살포 미사일 발사대</v>
      </c>
      <c r="C407" s="36" t="s">
        <v>156</v>
      </c>
      <c r="D407" s="36" t="s">
        <v>275</v>
      </c>
      <c r="E407" s="36" t="s">
        <v>209</v>
      </c>
      <c r="F407" s="25">
        <f>VLOOKUP(C407, Factor!$AD$5:$AE$15, 2, 0)</f>
        <v>3000</v>
      </c>
      <c r="G407" s="26" t="str">
        <f>VLOOKUP(E407, Factor!$CL$5:$CV$50, 2, 0)</f>
        <v>debuff</v>
      </c>
      <c r="H407" s="25" t="str">
        <f>VLOOKUP(E407, Factor!$CL$5:$CV$50, 3, 0)</f>
        <v>missile</v>
      </c>
      <c r="I407" s="25" t="str">
        <f>VLOOKUP(E407, Factor!$CL$5:$CV$50, 4, 0)</f>
        <v>L</v>
      </c>
      <c r="J407" s="25" t="str">
        <f>VLOOKUP(E407, Factor!$CL$5:$CV$50, 5, 0)</f>
        <v>spread</v>
      </c>
      <c r="K407" s="25">
        <v>1</v>
      </c>
      <c r="L407" s="25">
        <f>VLOOKUP(E407, Factor!$CL$5:$CV$50, 6, 0)*K407*VLOOKUP(D407, Factor!$BZ$5:$CJ$49, 9, 0)</f>
        <v>0</v>
      </c>
      <c r="M407" s="25" t="str">
        <f>VLOOKUP(E407, Factor!$CL$5:$CV$50, 7, 0)</f>
        <v>stun</v>
      </c>
      <c r="N407" s="25">
        <v>1</v>
      </c>
      <c r="O407" s="25">
        <f>VLOOKUP(E407, Factor!$CL$5:$CV$50, 8, 0)*N407*VLOOKUP(D407, Factor!$BZ$5:$CJ$49, 10, 0)</f>
        <v>5</v>
      </c>
      <c r="P407" s="25">
        <v>1</v>
      </c>
      <c r="Q407" s="25">
        <f>VLOOKUP(E407, Factor!$CL$5:$CV$50, 9, 0)*P407*VLOOKUP(D407, Factor!$BZ$5:$CJ$49, 11, 0)</f>
        <v>1</v>
      </c>
      <c r="R407" s="25" t="str">
        <f>VLOOKUP(E407, Factor!$CL$5:$CV$50, 10, 0)</f>
        <v>target</v>
      </c>
      <c r="S407" s="25" t="str">
        <f>VLOOKUP(E407, Factor!$CL$5:$CV$50, 11, 0)</f>
        <v>circle</v>
      </c>
      <c r="T407" s="25">
        <v>1</v>
      </c>
      <c r="U407" s="25">
        <v>1</v>
      </c>
      <c r="V407" s="25">
        <v>1</v>
      </c>
      <c r="W407" s="25">
        <v>1</v>
      </c>
      <c r="X407" s="25">
        <v>1</v>
      </c>
      <c r="Y407" s="25">
        <v>1</v>
      </c>
      <c r="Z407" s="25">
        <v>1</v>
      </c>
      <c r="AA407" s="25" cm="1">
        <f t="array" ref="AA407">_xlfn.LET(_xlpm.기본_색인번호, 2,
_xlpm.추가_색인번호, 3,
_xlpm.개별보정치, T407,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407" s="25" cm="1">
        <f t="array" ref="AB407">_xlfn.LET(_xlpm.기본_색인번호, 3,
_xlpm.추가_색인번호, 4,
_xlpm.개별보정치, U407,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  <c r="AC407" s="25" cm="1">
        <f t="array" ref="AC407">_xlfn.LET(_xlpm.기본_색인번호, 4,
_xlpm.추가_색인번호, 5,
_xlpm.개별보정치, V407,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07" s="25" cm="1">
        <f t="array" ref="AD407">_xlfn.LET(_xlpm.기본_색인번호, 5,
_xlpm.추가_색인번호, 6,
_xlpm.개별보정치, W407,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407" s="25" cm="1">
        <f t="array" ref="AE407">_xlfn.LET(_xlpm.기본_색인번호, 6,
_xlpm.추가_색인번호, 7,
_xlpm.개별보정치, X407,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407" s="25" cm="1">
        <f t="array" ref="AF407">_xlfn.LET(_xlpm.기본_색인번호, 7,
_xlpm.추가_색인번호, 8,
_xlpm.개별보정치, Y407,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07" s="27" cm="1">
        <f t="array" ref="AG407">_xlfn.LET(_xlpm.기본_색인번호, 8,
_xlpm.추가_색인번호, 9,
_xlpm.개별보정치, Z407,
_xlpm.패턴보정치, VLOOKUP($G407, Factor!$B$5:$I$51, _xlpm.기본_색인번호, 0),
_xlpm.소모탄환보정치, VLOOKUP($H407, Factor!$T$5:$AA$51, _xlpm.기본_색인번호, 0),
_xlpm.지형보정치, VLOOKUP($I407, Factor!$K$12:$R$13, _xlpm.기본_색인번호, 0),
_xlpm.공격속성보정치, VLOOKUP($J407, Factor!$K$5:$R$7, _xlpm.기본_색인번호, 0),
_xlpm.피해범위보정치, INDEX(Factor!$AN$5:$AV$51, _xlfn.XMATCH(IF(OR($G407="blast", $G407="curved",  $G407= "debuff"), $L407, 0), Factor!$AN$5:$AN$51, -1), _xlpm.추가_색인번호)-IF(AND(OR($G407="blast", $G407="curved", $G407= "debuff"), MOD($L407,1)&lt;&gt;0),INDEX(Factor!$AN$5:$AV$51, _xlfn.XMATCH(IF(OR($G407="blast", $G407="curved", $G407= "debuff"), $L407, 0), Factor!$AN$5:$AN$51, -1), 2)*MOD($L407,1)*10,0),
_xlpm.상태이상보정치, VLOOKUP(IF($G407 = "debuff", $M407, "null"), Factor!$AX$5:$BE$51, _xlpm.기본_색인번호, 0),
_xlpm.지속시간보정치, INDEX(Factor!$BG$5:$BO$51, _xlfn.XMATCH(IF(OR($G407 ="debuff", $G407 = "shot", $G407 = "pierce"), $O407, 0), Factor!$BG$5:$BG$51, -1), _xlpm.추가_색인번호)-IF(AND(OR($G407 ="debuff", $G407 = "shot", $G407 = "pierce"), MOD($O407, 1)&lt;&gt;0), 10*MOD($O407, 1)*INDEX(Factor!$BG$5:$BO$51, _xlfn.XMATCH(IF(OR($G407 ="debuff", $G407 = "shot", $G407 = "pierce"), $O407, 0), Factor!$BG$5:$BG$51, -1), 2), 0),
_xlpm.탄환개수보정치, VLOOKUP(IF(OR($G407 = "curved", $G407 = "shot"), $Q407, 1), Factor!$BQ$5:$BX$51, _xlpm.기본_색인번호, 0),
_xlpm.상태이상탄환생성위치보정치, IF($G407 = "debuff", VLOOKUP($R407, Factor!$K$18:$R$19, _xlpm.기본_색인번호, 0),1),
_xlpm.상태이상탄환형태보정치, IF($G407 = "debuff", VLOOKUP($S407, Factor!$K$24:$R$25, _xlpm.기본_색인번호, 0),1),
_xlpm.가격보정치, INDEX(Factor!$AE$5:$AL$51, _xlfn.XMATCH($F407,Factor!$AE$5:$AE$51, -1), _xlpm.기본_색인번호),
_xlpm.구경보정치, VLOOKUP($D407,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408" spans="1:33" ht="15.75" customHeight="1">
      <c r="A408" s="28" t="str">
        <f>"weapon_"&amp;G408&amp;"_"&amp;VLOOKUP(H408, Factor!$T$5:$AB$7, 9, 0)&amp;"_"&amp;IF(COUNTIFS($G$4:G407, G408, $H$4:H407, H408)+1&gt;=100, COUNTIFS($G$4:G407, G408, $H$4:H407, H408)+1,IF(COUNTIFS($G$4:G407, G408, $H$4:H407, H408)+1&gt;=10, "0"&amp;COUNTIFS($G$4:G407, G408, $H$4:H407, H408)+1, "00"&amp;COUNTIFS($G$4:G407, G408, $H$4:H407, H408)+1))</f>
        <v>weapon_debuff_Ms_052</v>
      </c>
      <c r="B408" s="37" t="str">
        <f t="shared" si="6"/>
        <v>T3 240mm액화질소 살포 미사일 발사대</v>
      </c>
      <c r="C408" s="37" t="s">
        <v>156</v>
      </c>
      <c r="D408" s="37" t="s">
        <v>267</v>
      </c>
      <c r="E408" s="37" t="s">
        <v>209</v>
      </c>
      <c r="F408" s="29">
        <f>VLOOKUP(C408, Factor!$AD$5:$AE$15, 2, 0)</f>
        <v>3000</v>
      </c>
      <c r="G408" s="29" t="str">
        <f>VLOOKUP(E408, Factor!$CL$5:$CV$50, 2, 0)</f>
        <v>debuff</v>
      </c>
      <c r="H408" s="29" t="str">
        <f>VLOOKUP(E408, Factor!$CL$5:$CV$50, 3, 0)</f>
        <v>missile</v>
      </c>
      <c r="I408" s="29" t="str">
        <f>VLOOKUP(E408, Factor!$CL$5:$CV$50, 4, 0)</f>
        <v>L</v>
      </c>
      <c r="J408" s="29" t="str">
        <f>VLOOKUP(E408, Factor!$CL$5:$CV$50, 5, 0)</f>
        <v>spread</v>
      </c>
      <c r="K408" s="29">
        <v>1</v>
      </c>
      <c r="L408" s="29">
        <f>VLOOKUP(E408, Factor!$CL$5:$CV$50, 6, 0)*K408*VLOOKUP(D408, Factor!$BZ$5:$CJ$49, 9, 0)</f>
        <v>0</v>
      </c>
      <c r="M408" s="29" t="str">
        <f>VLOOKUP(E408, Factor!$CL$5:$CV$50, 7, 0)</f>
        <v>stun</v>
      </c>
      <c r="N408" s="29">
        <v>1</v>
      </c>
      <c r="O408" s="29">
        <f>VLOOKUP(E408, Factor!$CL$5:$CV$50, 8, 0)*N408*VLOOKUP(D408, Factor!$BZ$5:$CJ$49, 10, 0)</f>
        <v>40</v>
      </c>
      <c r="P408" s="29">
        <v>1</v>
      </c>
      <c r="Q408" s="29">
        <f>VLOOKUP(E408, Factor!$CL$5:$CV$50, 9, 0)*P408*VLOOKUP(D408, Factor!$BZ$5:$CJ$49, 11, 0)</f>
        <v>8</v>
      </c>
      <c r="R408" s="29" t="str">
        <f>VLOOKUP(E408, Factor!$CL$5:$CV$50, 10, 0)</f>
        <v>target</v>
      </c>
      <c r="S408" s="29" t="str">
        <f>VLOOKUP(E408, Factor!$CL$5:$CV$50, 11, 0)</f>
        <v>circle</v>
      </c>
      <c r="T408" s="29">
        <v>1</v>
      </c>
      <c r="U408" s="29">
        <v>1</v>
      </c>
      <c r="V408" s="29">
        <v>1</v>
      </c>
      <c r="W408" s="29">
        <v>1</v>
      </c>
      <c r="X408" s="29">
        <v>1</v>
      </c>
      <c r="Y408" s="29">
        <v>1</v>
      </c>
      <c r="Z408" s="29">
        <v>1</v>
      </c>
      <c r="AA408" s="29" cm="1">
        <f t="array" ref="AA408">_xlfn.LET(_xlpm.기본_색인번호, 2,
_xlpm.추가_색인번호, 3,
_xlpm.개별보정치, T408,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408" s="29" cm="1">
        <f t="array" ref="AB408">_xlfn.LET(_xlpm.기본_색인번호, 3,
_xlpm.추가_색인번호, 4,
_xlpm.개별보정치, U408,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08" s="29" cm="1">
        <f t="array" ref="AC408">_xlfn.LET(_xlpm.기본_색인번호, 4,
_xlpm.추가_색인번호, 5,
_xlpm.개별보정치, V408,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08" s="29" cm="1">
        <f t="array" ref="AD408">_xlfn.LET(_xlpm.기본_색인번호, 5,
_xlpm.추가_색인번호, 6,
_xlpm.개별보정치, W408,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408" s="29" cm="1">
        <f t="array" ref="AE408">_xlfn.LET(_xlpm.기본_색인번호, 6,
_xlpm.추가_색인번호, 7,
_xlpm.개별보정치, X408,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408" s="29" cm="1">
        <f t="array" ref="AF408">_xlfn.LET(_xlpm.기본_색인번호, 7,
_xlpm.추가_색인번호, 8,
_xlpm.개별보정치, Y408,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08" s="30" cm="1">
        <f t="array" ref="AG408">_xlfn.LET(_xlpm.기본_색인번호, 8,
_xlpm.추가_색인번호, 9,
_xlpm.개별보정치, Z408,
_xlpm.패턴보정치, VLOOKUP($G408, Factor!$B$5:$I$51, _xlpm.기본_색인번호, 0),
_xlpm.소모탄환보정치, VLOOKUP($H408, Factor!$T$5:$AA$51, _xlpm.기본_색인번호, 0),
_xlpm.지형보정치, VLOOKUP($I408, Factor!$K$12:$R$13, _xlpm.기본_색인번호, 0),
_xlpm.공격속성보정치, VLOOKUP($J408, Factor!$K$5:$R$7, _xlpm.기본_색인번호, 0),
_xlpm.피해범위보정치, INDEX(Factor!$AN$5:$AV$51, _xlfn.XMATCH(IF(OR($G408="blast", $G408="curved",  $G408= "debuff"), $L408, 0), Factor!$AN$5:$AN$51, -1), _xlpm.추가_색인번호)-IF(AND(OR($G408="blast", $G408="curved", $G408= "debuff"), MOD($L408,1)&lt;&gt;0),INDEX(Factor!$AN$5:$AV$51, _xlfn.XMATCH(IF(OR($G408="blast", $G408="curved", $G408= "debuff"), $L408, 0), Factor!$AN$5:$AN$51, -1), 2)*MOD($L408,1)*10,0),
_xlpm.상태이상보정치, VLOOKUP(IF($G408 = "debuff", $M408, "null"), Factor!$AX$5:$BE$51, _xlpm.기본_색인번호, 0),
_xlpm.지속시간보정치, INDEX(Factor!$BG$5:$BO$51, _xlfn.XMATCH(IF(OR($G408 ="debuff", $G408 = "shot", $G408 = "pierce"), $O408, 0), Factor!$BG$5:$BG$51, -1), _xlpm.추가_색인번호)-IF(AND(OR($G408 ="debuff", $G408 = "shot", $G408 = "pierce"), MOD($O408, 1)&lt;&gt;0), 10*MOD($O408, 1)*INDEX(Factor!$BG$5:$BO$51, _xlfn.XMATCH(IF(OR($G408 ="debuff", $G408 = "shot", $G408 = "pierce"), $O408, 0), Factor!$BG$5:$BG$51, -1), 2), 0),
_xlpm.탄환개수보정치, VLOOKUP(IF(OR($G408 = "curved", $G408 = "shot"), $Q408, 1), Factor!$BQ$5:$BX$51, _xlpm.기본_색인번호, 0),
_xlpm.상태이상탄환생성위치보정치, IF($G408 = "debuff", VLOOKUP($R408, Factor!$K$18:$R$19, _xlpm.기본_색인번호, 0),1),
_xlpm.상태이상탄환형태보정치, IF($G408 = "debuff", VLOOKUP($S408, Factor!$K$24:$R$25, _xlpm.기본_색인번호, 0),1),
_xlpm.가격보정치, INDEX(Factor!$AE$5:$AL$51, _xlfn.XMATCH($F408,Factor!$AE$5:$AE$51, -1), _xlpm.기본_색인번호),
_xlpm.구경보정치, VLOOKUP($D408,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409" spans="1:33" ht="15.75" customHeight="1">
      <c r="A409" s="24" t="str">
        <f>"weapon_"&amp;G409&amp;"_"&amp;VLOOKUP(H409, Factor!$T$5:$AB$7, 9, 0)&amp;"_"&amp;IF(COUNTIFS($G$4:G408, G409, $H$4:H408, H409)+1&gt;=100, COUNTIFS($G$4:G408, G409, $H$4:H408, H409)+1,IF(COUNTIFS($G$4:G408, G409, $H$4:H408, H409)+1&gt;=10, "0"&amp;COUNTIFS($G$4:G408, G409, $H$4:H408, H409)+1, "00"&amp;COUNTIFS($G$4:G408, G409, $H$4:H408, H409)+1))</f>
        <v>weapon_debuff_Ms_053</v>
      </c>
      <c r="B409" s="36" t="str">
        <f t="shared" si="6"/>
        <v>T4 액화질소 살포 미사일 발사대</v>
      </c>
      <c r="C409" s="36" t="s">
        <v>157</v>
      </c>
      <c r="D409" s="36" t="s">
        <v>275</v>
      </c>
      <c r="E409" s="36" t="s">
        <v>209</v>
      </c>
      <c r="F409" s="25">
        <f>VLOOKUP(C409, Factor!$AD$5:$AE$15, 2, 0)</f>
        <v>4000</v>
      </c>
      <c r="G409" s="26" t="str">
        <f>VLOOKUP(E409, Factor!$CL$5:$CV$50, 2, 0)</f>
        <v>debuff</v>
      </c>
      <c r="H409" s="25" t="str">
        <f>VLOOKUP(E409, Factor!$CL$5:$CV$50, 3, 0)</f>
        <v>missile</v>
      </c>
      <c r="I409" s="25" t="str">
        <f>VLOOKUP(E409, Factor!$CL$5:$CV$50, 4, 0)</f>
        <v>L</v>
      </c>
      <c r="J409" s="25" t="str">
        <f>VLOOKUP(E409, Factor!$CL$5:$CV$50, 5, 0)</f>
        <v>spread</v>
      </c>
      <c r="K409" s="25">
        <v>1</v>
      </c>
      <c r="L409" s="25">
        <f>VLOOKUP(E409, Factor!$CL$5:$CV$50, 6, 0)*K409*VLOOKUP(D409, Factor!$BZ$5:$CJ$49, 9, 0)</f>
        <v>0</v>
      </c>
      <c r="M409" s="25" t="str">
        <f>VLOOKUP(E409, Factor!$CL$5:$CV$50, 7, 0)</f>
        <v>stun</v>
      </c>
      <c r="N409" s="25">
        <v>1</v>
      </c>
      <c r="O409" s="25">
        <f>VLOOKUP(E409, Factor!$CL$5:$CV$50, 8, 0)*N409*VLOOKUP(D409, Factor!$BZ$5:$CJ$49, 10, 0)</f>
        <v>5</v>
      </c>
      <c r="P409" s="25">
        <v>1</v>
      </c>
      <c r="Q409" s="25">
        <f>VLOOKUP(E409, Factor!$CL$5:$CV$50, 9, 0)*P409*VLOOKUP(D409, Factor!$BZ$5:$CJ$49, 11, 0)</f>
        <v>1</v>
      </c>
      <c r="R409" s="25" t="str">
        <f>VLOOKUP(E409, Factor!$CL$5:$CV$50, 10, 0)</f>
        <v>target</v>
      </c>
      <c r="S409" s="25" t="str">
        <f>VLOOKUP(E409, Factor!$CL$5:$CV$50, 11, 0)</f>
        <v>circle</v>
      </c>
      <c r="T409" s="25">
        <v>1</v>
      </c>
      <c r="U409" s="25">
        <v>1</v>
      </c>
      <c r="V409" s="25">
        <v>1</v>
      </c>
      <c r="W409" s="25">
        <v>1</v>
      </c>
      <c r="X409" s="25">
        <v>1</v>
      </c>
      <c r="Y409" s="25">
        <v>1</v>
      </c>
      <c r="Z409" s="25">
        <v>1</v>
      </c>
      <c r="AA409" s="25" cm="1">
        <f t="array" ref="AA409">_xlfn.LET(_xlpm.기본_색인번호, 2,
_xlpm.추가_색인번호, 3,
_xlpm.개별보정치, T409,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1500</v>
      </c>
      <c r="AB409" s="25" cm="1">
        <f t="array" ref="AB409">_xlfn.LET(_xlpm.기본_색인번호, 3,
_xlpm.추가_색인번호, 4,
_xlpm.개별보정치, U409,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  <c r="AC409" s="25" cm="1">
        <f t="array" ref="AC409">_xlfn.LET(_xlpm.기본_색인번호, 4,
_xlpm.추가_색인번호, 5,
_xlpm.개별보정치, V409,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09" s="25" cm="1">
        <f t="array" ref="AD409">_xlfn.LET(_xlpm.기본_색인번호, 5,
_xlpm.추가_색인번호, 6,
_xlpm.개별보정치, W409,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  <c r="AE409" s="25" cm="1">
        <f t="array" ref="AE409">_xlfn.LET(_xlpm.기본_색인번호, 6,
_xlpm.추가_색인번호, 7,
_xlpm.개별보정치, X409,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  <c r="AF409" s="25" cm="1">
        <f t="array" ref="AF409">_xlfn.LET(_xlpm.기본_색인번호, 7,
_xlpm.추가_색인번호, 8,
_xlpm.개별보정치, Y409,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09" s="27" cm="1">
        <f t="array" ref="AG409">_xlfn.LET(_xlpm.기본_색인번호, 8,
_xlpm.추가_색인번호, 9,
_xlpm.개별보정치, Z409,
_xlpm.패턴보정치, VLOOKUP($G409, Factor!$B$5:$I$51, _xlpm.기본_색인번호, 0),
_xlpm.소모탄환보정치, VLOOKUP($H409, Factor!$T$5:$AA$51, _xlpm.기본_색인번호, 0),
_xlpm.지형보정치, VLOOKUP($I409, Factor!$K$12:$R$13, _xlpm.기본_색인번호, 0),
_xlpm.공격속성보정치, VLOOKUP($J409, Factor!$K$5:$R$7, _xlpm.기본_색인번호, 0),
_xlpm.피해범위보정치, INDEX(Factor!$AN$5:$AV$51, _xlfn.XMATCH(IF(OR($G409="blast", $G409="curved",  $G409= "debuff"), $L409, 0), Factor!$AN$5:$AN$51, -1), _xlpm.추가_색인번호)-IF(AND(OR($G409="blast", $G409="curved", $G409= "debuff"), MOD($L409,1)&lt;&gt;0),INDEX(Factor!$AN$5:$AV$51, _xlfn.XMATCH(IF(OR($G409="blast", $G409="curved", $G409= "debuff"), $L409, 0), Factor!$AN$5:$AN$51, -1), 2)*MOD($L409,1)*10,0),
_xlpm.상태이상보정치, VLOOKUP(IF($G409 = "debuff", $M409, "null"), Factor!$AX$5:$BE$51, _xlpm.기본_색인번호, 0),
_xlpm.지속시간보정치, INDEX(Factor!$BG$5:$BO$51, _xlfn.XMATCH(IF(OR($G409 ="debuff", $G409 = "shot", $G409 = "pierce"), $O409, 0), Factor!$BG$5:$BG$51, -1), _xlpm.추가_색인번호)-IF(AND(OR($G409 ="debuff", $G409 = "shot", $G409 = "pierce"), MOD($O409, 1)&lt;&gt;0), 10*MOD($O409, 1)*INDEX(Factor!$BG$5:$BO$51, _xlfn.XMATCH(IF(OR($G409 ="debuff", $G409 = "shot", $G409 = "pierce"), $O409, 0), Factor!$BG$5:$BG$51, -1), 2), 0),
_xlpm.탄환개수보정치, VLOOKUP(IF(OR($G409 = "curved", $G409 = "shot"), $Q409, 1), Factor!$BQ$5:$BX$51, _xlpm.기본_색인번호, 0),
_xlpm.상태이상탄환생성위치보정치, IF($G409 = "debuff", VLOOKUP($R409, Factor!$K$18:$R$19, _xlpm.기본_색인번호, 0),1),
_xlpm.상태이상탄환형태보정치, IF($G409 = "debuff", VLOOKUP($S409, Factor!$K$24:$R$25, _xlpm.기본_색인번호, 0),1),
_xlpm.가격보정치, INDEX(Factor!$AE$5:$AL$51, _xlfn.XMATCH($F409,Factor!$AE$5:$AE$51, -1), _xlpm.기본_색인번호),
_xlpm.구경보정치, VLOOKUP($D409,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</row>
    <row r="410" spans="1:33" ht="15.75" customHeight="1">
      <c r="A410" s="28" t="str">
        <f>"weapon_"&amp;G410&amp;"_"&amp;VLOOKUP(H410, Factor!$T$5:$AB$7, 9, 0)&amp;"_"&amp;IF(COUNTIFS($G$4:G409, G410, $H$4:H409, H410)+1&gt;=100, COUNTIFS($G$4:G409, G410, $H$4:H409, H410)+1,IF(COUNTIFS($G$4:G409, G410, $H$4:H409, H410)+1&gt;=10, "0"&amp;COUNTIFS($G$4:G409, G410, $H$4:H409, H410)+1, "00"&amp;COUNTIFS($G$4:G409, G410, $H$4:H409, H410)+1))</f>
        <v>weapon_debuff_Ms_054</v>
      </c>
      <c r="B410" s="37" t="str">
        <f t="shared" si="6"/>
        <v>T4 240mm액화질소 살포 미사일 발사대</v>
      </c>
      <c r="C410" s="37" t="s">
        <v>157</v>
      </c>
      <c r="D410" s="37" t="s">
        <v>267</v>
      </c>
      <c r="E410" s="37" t="s">
        <v>209</v>
      </c>
      <c r="F410" s="29">
        <f>VLOOKUP(C410, Factor!$AD$5:$AE$15, 2, 0)</f>
        <v>4000</v>
      </c>
      <c r="G410" s="29" t="str">
        <f>VLOOKUP(E410, Factor!$CL$5:$CV$50, 2, 0)</f>
        <v>debuff</v>
      </c>
      <c r="H410" s="29" t="str">
        <f>VLOOKUP(E410, Factor!$CL$5:$CV$50, 3, 0)</f>
        <v>missile</v>
      </c>
      <c r="I410" s="29" t="str">
        <f>VLOOKUP(E410, Factor!$CL$5:$CV$50, 4, 0)</f>
        <v>L</v>
      </c>
      <c r="J410" s="29" t="str">
        <f>VLOOKUP(E410, Factor!$CL$5:$CV$50, 5, 0)</f>
        <v>spread</v>
      </c>
      <c r="K410" s="29">
        <v>1</v>
      </c>
      <c r="L410" s="29">
        <f>VLOOKUP(E410, Factor!$CL$5:$CV$50, 6, 0)*K410*VLOOKUP(D410, Factor!$BZ$5:$CJ$49, 9, 0)</f>
        <v>0</v>
      </c>
      <c r="M410" s="29" t="str">
        <f>VLOOKUP(E410, Factor!$CL$5:$CV$50, 7, 0)</f>
        <v>stun</v>
      </c>
      <c r="N410" s="29">
        <v>1</v>
      </c>
      <c r="O410" s="29">
        <f>VLOOKUP(E410, Factor!$CL$5:$CV$50, 8, 0)*N410*VLOOKUP(D410, Factor!$BZ$5:$CJ$49, 10, 0)</f>
        <v>40</v>
      </c>
      <c r="P410" s="29">
        <v>1</v>
      </c>
      <c r="Q410" s="29">
        <f>VLOOKUP(E410, Factor!$CL$5:$CV$50, 9, 0)*P410*VLOOKUP(D410, Factor!$BZ$5:$CJ$49, 11, 0)</f>
        <v>8</v>
      </c>
      <c r="R410" s="29" t="str">
        <f>VLOOKUP(E410, Factor!$CL$5:$CV$50, 10, 0)</f>
        <v>target</v>
      </c>
      <c r="S410" s="29" t="str">
        <f>VLOOKUP(E410, Factor!$CL$5:$CV$50, 11, 0)</f>
        <v>circle</v>
      </c>
      <c r="T410" s="29">
        <v>1</v>
      </c>
      <c r="U410" s="29">
        <v>1</v>
      </c>
      <c r="V410" s="29">
        <v>1</v>
      </c>
      <c r="W410" s="29">
        <v>1</v>
      </c>
      <c r="X410" s="29">
        <v>1</v>
      </c>
      <c r="Y410" s="29">
        <v>1</v>
      </c>
      <c r="Z410" s="29">
        <v>1</v>
      </c>
      <c r="AA410" s="29" cm="1">
        <f t="array" ref="AA410">_xlfn.LET(_xlpm.기본_색인번호, 2,
_xlpm.추가_색인번호, 3,
_xlpm.개별보정치, T410,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410" s="29" cm="1">
        <f t="array" ref="AB410">_xlfn.LET(_xlpm.기본_색인번호, 3,
_xlpm.추가_색인번호, 4,
_xlpm.개별보정치, U410,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10" s="29" cm="1">
        <f t="array" ref="AC410">_xlfn.LET(_xlpm.기본_색인번호, 4,
_xlpm.추가_색인번호, 5,
_xlpm.개별보정치, V410,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10" s="29" cm="1">
        <f t="array" ref="AD410">_xlfn.LET(_xlpm.기본_색인번호, 5,
_xlpm.추가_색인번호, 6,
_xlpm.개별보정치, W410,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E410" s="29" cm="1">
        <f t="array" ref="AE410">_xlfn.LET(_xlpm.기본_색인번호, 6,
_xlpm.추가_색인번호, 7,
_xlpm.개별보정치, X410,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F410" s="29" cm="1">
        <f t="array" ref="AF410">_xlfn.LET(_xlpm.기본_색인번호, 7,
_xlpm.추가_색인번호, 8,
_xlpm.개별보정치, Y410,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10" s="30" cm="1">
        <f t="array" ref="AG410">_xlfn.LET(_xlpm.기본_색인번호, 8,
_xlpm.추가_색인번호, 9,
_xlpm.개별보정치, Z410,
_xlpm.패턴보정치, VLOOKUP($G410, Factor!$B$5:$I$51, _xlpm.기본_색인번호, 0),
_xlpm.소모탄환보정치, VLOOKUP($H410, Factor!$T$5:$AA$51, _xlpm.기본_색인번호, 0),
_xlpm.지형보정치, VLOOKUP($I410, Factor!$K$12:$R$13, _xlpm.기본_색인번호, 0),
_xlpm.공격속성보정치, VLOOKUP($J410, Factor!$K$5:$R$7, _xlpm.기본_색인번호, 0),
_xlpm.피해범위보정치, INDEX(Factor!$AN$5:$AV$51, _xlfn.XMATCH(IF(OR($G410="blast", $G410="curved",  $G410= "debuff"), $L410, 0), Factor!$AN$5:$AN$51, -1), _xlpm.추가_색인번호)-IF(AND(OR($G410="blast", $G410="curved", $G410= "debuff"), MOD($L410,1)&lt;&gt;0),INDEX(Factor!$AN$5:$AV$51, _xlfn.XMATCH(IF(OR($G410="blast", $G410="curved", $G410= "debuff"), $L410, 0), Factor!$AN$5:$AN$51, -1), 2)*MOD($L410,1)*10,0),
_xlpm.상태이상보정치, VLOOKUP(IF($G410 = "debuff", $M410, "null"), Factor!$AX$5:$BE$51, _xlpm.기본_색인번호, 0),
_xlpm.지속시간보정치, INDEX(Factor!$BG$5:$BO$51, _xlfn.XMATCH(IF(OR($G410 ="debuff", $G410 = "shot", $G410 = "pierce"), $O410, 0), Factor!$BG$5:$BG$51, -1), _xlpm.추가_색인번호)-IF(AND(OR($G410 ="debuff", $G410 = "shot", $G410 = "pierce"), MOD($O410, 1)&lt;&gt;0), 10*MOD($O410, 1)*INDEX(Factor!$BG$5:$BO$51, _xlfn.XMATCH(IF(OR($G410 ="debuff", $G410 = "shot", $G410 = "pierce"), $O410, 0), Factor!$BG$5:$BG$51, -1), 2), 0),
_xlpm.탄환개수보정치, VLOOKUP(IF(OR($G410 = "curved", $G410 = "shot"), $Q410, 1), Factor!$BQ$5:$BX$51, _xlpm.기본_색인번호, 0),
_xlpm.상태이상탄환생성위치보정치, IF($G410 = "debuff", VLOOKUP($R410, Factor!$K$18:$R$19, _xlpm.기본_색인번호, 0),1),
_xlpm.상태이상탄환형태보정치, IF($G410 = "debuff", VLOOKUP($S410, Factor!$K$24:$R$25, _xlpm.기본_색인번호, 0),1),
_xlpm.가격보정치, INDEX(Factor!$AE$5:$AL$51, _xlfn.XMATCH($F410,Factor!$AE$5:$AE$51, -1), _xlpm.기본_색인번호),
_xlpm.구경보정치, VLOOKUP($D410,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</row>
    <row r="411" spans="1:33" ht="15.75" customHeight="1">
      <c r="A411" s="24" t="str">
        <f>"weapon_"&amp;G411&amp;"_"&amp;VLOOKUP(H411, Factor!$T$5:$AB$7, 9, 0)&amp;"_"&amp;IF(COUNTIFS($G$4:G410, G411, $H$4:H410, H411)+1&gt;=100, COUNTIFS($G$4:G410, G411, $H$4:H410, H411)+1,IF(COUNTIFS($G$4:G410, G411, $H$4:H410, H411)+1&gt;=10, "0"&amp;COUNTIFS($G$4:G410, G411, $H$4:H410, H411)+1, "00"&amp;COUNTIFS($G$4:G410, G411, $H$4:H410, H411)+1))</f>
        <v>weapon_debuff_Ms_055</v>
      </c>
      <c r="B411" s="36" t="str">
        <f t="shared" si="6"/>
        <v>T5 액화질소 살포 미사일 발사대</v>
      </c>
      <c r="C411" s="36" t="s">
        <v>158</v>
      </c>
      <c r="D411" s="36" t="s">
        <v>275</v>
      </c>
      <c r="E411" s="36" t="s">
        <v>209</v>
      </c>
      <c r="F411" s="25">
        <f>VLOOKUP(C411, Factor!$AD$5:$AE$15, 2, 0)</f>
        <v>5000</v>
      </c>
      <c r="G411" s="26" t="str">
        <f>VLOOKUP(E411, Factor!$CL$5:$CV$50, 2, 0)</f>
        <v>debuff</v>
      </c>
      <c r="H411" s="25" t="str">
        <f>VLOOKUP(E411, Factor!$CL$5:$CV$50, 3, 0)</f>
        <v>missile</v>
      </c>
      <c r="I411" s="25" t="str">
        <f>VLOOKUP(E411, Factor!$CL$5:$CV$50, 4, 0)</f>
        <v>L</v>
      </c>
      <c r="J411" s="25" t="str">
        <f>VLOOKUP(E411, Factor!$CL$5:$CV$50, 5, 0)</f>
        <v>spread</v>
      </c>
      <c r="K411" s="25">
        <v>1</v>
      </c>
      <c r="L411" s="25">
        <f>VLOOKUP(E411, Factor!$CL$5:$CV$50, 6, 0)*K411*VLOOKUP(D411, Factor!$BZ$5:$CJ$49, 9, 0)</f>
        <v>0</v>
      </c>
      <c r="M411" s="25" t="str">
        <f>VLOOKUP(E411, Factor!$CL$5:$CV$50, 7, 0)</f>
        <v>stun</v>
      </c>
      <c r="N411" s="25">
        <v>1</v>
      </c>
      <c r="O411" s="25">
        <f>VLOOKUP(E411, Factor!$CL$5:$CV$50, 8, 0)*N411*VLOOKUP(D411, Factor!$BZ$5:$CJ$49, 10, 0)</f>
        <v>5</v>
      </c>
      <c r="P411" s="25">
        <v>1</v>
      </c>
      <c r="Q411" s="25">
        <f>VLOOKUP(E411, Factor!$CL$5:$CV$50, 9, 0)*P411*VLOOKUP(D411, Factor!$BZ$5:$CJ$49, 11, 0)</f>
        <v>1</v>
      </c>
      <c r="R411" s="25" t="str">
        <f>VLOOKUP(E411, Factor!$CL$5:$CV$50, 10, 0)</f>
        <v>target</v>
      </c>
      <c r="S411" s="25" t="str">
        <f>VLOOKUP(E411, Factor!$CL$5:$CV$50, 11, 0)</f>
        <v>circle</v>
      </c>
      <c r="T411" s="25">
        <v>1</v>
      </c>
      <c r="U411" s="25">
        <v>1</v>
      </c>
      <c r="V411" s="25">
        <v>1</v>
      </c>
      <c r="W411" s="25">
        <v>1</v>
      </c>
      <c r="X411" s="25">
        <v>1</v>
      </c>
      <c r="Y411" s="25">
        <v>1</v>
      </c>
      <c r="Z411" s="25">
        <v>1</v>
      </c>
      <c r="AA411" s="25" cm="1">
        <f t="array" ref="AA411">_xlfn.LET(_xlpm.기본_색인번호, 2,
_xlpm.추가_색인번호, 3,
_xlpm.개별보정치, T411,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411" s="25" cm="1">
        <f t="array" ref="AB411">_xlfn.LET(_xlpm.기본_색인번호, 3,
_xlpm.추가_색인번호, 4,
_xlpm.개별보정치, U411,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75</v>
      </c>
      <c r="AC411" s="25" cm="1">
        <f t="array" ref="AC411">_xlfn.LET(_xlpm.기본_색인번호, 4,
_xlpm.추가_색인번호, 5,
_xlpm.개별보정치, V411,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11" s="25" cm="1">
        <f t="array" ref="AD411">_xlfn.LET(_xlpm.기본_색인번호, 5,
_xlpm.추가_색인번호, 6,
_xlpm.개별보정치, W411,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411" s="25" cm="1">
        <f t="array" ref="AE411">_xlfn.LET(_xlpm.기본_색인번호, 6,
_xlpm.추가_색인번호, 7,
_xlpm.개별보정치, X411,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411" s="25" cm="1">
        <f t="array" ref="AF411">_xlfn.LET(_xlpm.기본_색인번호, 7,
_xlpm.추가_색인번호, 8,
_xlpm.개별보정치, Y411,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11" s="27" cm="1">
        <f t="array" ref="AG411">_xlfn.LET(_xlpm.기본_색인번호, 8,
_xlpm.추가_색인번호, 9,
_xlpm.개별보정치, Z411,
_xlpm.패턴보정치, VLOOKUP($G411, Factor!$B$5:$I$51, _xlpm.기본_색인번호, 0),
_xlpm.소모탄환보정치, VLOOKUP($H411, Factor!$T$5:$AA$51, _xlpm.기본_색인번호, 0),
_xlpm.지형보정치, VLOOKUP($I411, Factor!$K$12:$R$13, _xlpm.기본_색인번호, 0),
_xlpm.공격속성보정치, VLOOKUP($J411, Factor!$K$5:$R$7, _xlpm.기본_색인번호, 0),
_xlpm.피해범위보정치, INDEX(Factor!$AN$5:$AV$51, _xlfn.XMATCH(IF(OR($G411="blast", $G411="curved",  $G411= "debuff"), $L411, 0), Factor!$AN$5:$AN$51, -1), _xlpm.추가_색인번호)-IF(AND(OR($G411="blast", $G411="curved", $G411= "debuff"), MOD($L411,1)&lt;&gt;0),INDEX(Factor!$AN$5:$AV$51, _xlfn.XMATCH(IF(OR($G411="blast", $G411="curved", $G411= "debuff"), $L411, 0), Factor!$AN$5:$AN$51, -1), 2)*MOD($L411,1)*10,0),
_xlpm.상태이상보정치, VLOOKUP(IF($G411 = "debuff", $M411, "null"), Factor!$AX$5:$BE$51, _xlpm.기본_색인번호, 0),
_xlpm.지속시간보정치, INDEX(Factor!$BG$5:$BO$51, _xlfn.XMATCH(IF(OR($G411 ="debuff", $G411 = "shot", $G411 = "pierce"), $O411, 0), Factor!$BG$5:$BG$51, -1), _xlpm.추가_색인번호)-IF(AND(OR($G411 ="debuff", $G411 = "shot", $G411 = "pierce"), MOD($O411, 1)&lt;&gt;0), 10*MOD($O411, 1)*INDEX(Factor!$BG$5:$BO$51, _xlfn.XMATCH(IF(OR($G411 ="debuff", $G411 = "shot", $G411 = "pierce"), $O411, 0), Factor!$BG$5:$BG$51, -1), 2), 0),
_xlpm.탄환개수보정치, VLOOKUP(IF(OR($G411 = "curved", $G411 = "shot"), $Q411, 1), Factor!$BQ$5:$BX$51, _xlpm.기본_색인번호, 0),
_xlpm.상태이상탄환생성위치보정치, IF($G411 = "debuff", VLOOKUP($R411, Factor!$K$18:$R$19, _xlpm.기본_색인번호, 0),1),
_xlpm.상태이상탄환형태보정치, IF($G411 = "debuff", VLOOKUP($S411, Factor!$K$24:$R$25, _xlpm.기본_색인번호, 0),1),
_xlpm.가격보정치, INDEX(Factor!$AE$5:$AL$51, _xlfn.XMATCH($F411,Factor!$AE$5:$AE$51, -1), _xlpm.기본_색인번호),
_xlpm.구경보정치, VLOOKUP($D411,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412" spans="1:33" ht="15.75" customHeight="1">
      <c r="A412" s="28" t="str">
        <f>"weapon_"&amp;G412&amp;"_"&amp;VLOOKUP(H412, Factor!$T$5:$AB$7, 9, 0)&amp;"_"&amp;IF(COUNTIFS($G$4:G411, G412, $H$4:H411, H412)+1&gt;=100, COUNTIFS($G$4:G411, G412, $H$4:H411, H412)+1,IF(COUNTIFS($G$4:G411, G412, $H$4:H411, H412)+1&gt;=10, "0"&amp;COUNTIFS($G$4:G411, G412, $H$4:H411, H412)+1, "00"&amp;COUNTIFS($G$4:G411, G412, $H$4:H411, H412)+1))</f>
        <v>weapon_debuff_Ms_056</v>
      </c>
      <c r="B412" s="37" t="str">
        <f t="shared" si="6"/>
        <v>T5 240mm액화질소 살포 미사일 발사대</v>
      </c>
      <c r="C412" s="37" t="s">
        <v>158</v>
      </c>
      <c r="D412" s="37" t="s">
        <v>267</v>
      </c>
      <c r="E412" s="37" t="s">
        <v>209</v>
      </c>
      <c r="F412" s="29">
        <f>VLOOKUP(C412, Factor!$AD$5:$AE$15, 2, 0)</f>
        <v>5000</v>
      </c>
      <c r="G412" s="29" t="str">
        <f>VLOOKUP(E412, Factor!$CL$5:$CV$50, 2, 0)</f>
        <v>debuff</v>
      </c>
      <c r="H412" s="29" t="str">
        <f>VLOOKUP(E412, Factor!$CL$5:$CV$50, 3, 0)</f>
        <v>missile</v>
      </c>
      <c r="I412" s="29" t="str">
        <f>VLOOKUP(E412, Factor!$CL$5:$CV$50, 4, 0)</f>
        <v>L</v>
      </c>
      <c r="J412" s="29" t="str">
        <f>VLOOKUP(E412, Factor!$CL$5:$CV$50, 5, 0)</f>
        <v>spread</v>
      </c>
      <c r="K412" s="29">
        <v>1</v>
      </c>
      <c r="L412" s="29">
        <f>VLOOKUP(E412, Factor!$CL$5:$CV$50, 6, 0)*K412*VLOOKUP(D412, Factor!$BZ$5:$CJ$49, 9, 0)</f>
        <v>0</v>
      </c>
      <c r="M412" s="29" t="str">
        <f>VLOOKUP(E412, Factor!$CL$5:$CV$50, 7, 0)</f>
        <v>stun</v>
      </c>
      <c r="N412" s="29">
        <v>1</v>
      </c>
      <c r="O412" s="29">
        <f>VLOOKUP(E412, Factor!$CL$5:$CV$50, 8, 0)*N412*VLOOKUP(D412, Factor!$BZ$5:$CJ$49, 10, 0)</f>
        <v>40</v>
      </c>
      <c r="P412" s="29">
        <v>1</v>
      </c>
      <c r="Q412" s="29">
        <f>VLOOKUP(E412, Factor!$CL$5:$CV$50, 9, 0)*P412*VLOOKUP(D412, Factor!$BZ$5:$CJ$49, 11, 0)</f>
        <v>8</v>
      </c>
      <c r="R412" s="29" t="str">
        <f>VLOOKUP(E412, Factor!$CL$5:$CV$50, 10, 0)</f>
        <v>target</v>
      </c>
      <c r="S412" s="29" t="str">
        <f>VLOOKUP(E412, Factor!$CL$5:$CV$50, 11, 0)</f>
        <v>circle</v>
      </c>
      <c r="T412" s="29">
        <v>1</v>
      </c>
      <c r="U412" s="29">
        <v>1</v>
      </c>
      <c r="V412" s="29">
        <v>1</v>
      </c>
      <c r="W412" s="29">
        <v>1</v>
      </c>
      <c r="X412" s="29">
        <v>1</v>
      </c>
      <c r="Y412" s="29">
        <v>1</v>
      </c>
      <c r="Z412" s="29">
        <v>1</v>
      </c>
      <c r="AA412" s="29" cm="1">
        <f t="array" ref="AA412">_xlfn.LET(_xlpm.기본_색인번호, 2,
_xlpm.추가_색인번호, 3,
_xlpm.개별보정치, T412,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412" s="29" cm="1">
        <f t="array" ref="AB412">_xlfn.LET(_xlpm.기본_색인번호, 3,
_xlpm.추가_색인번호, 4,
_xlpm.개별보정치, U412,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12" s="29" cm="1">
        <f t="array" ref="AC412">_xlfn.LET(_xlpm.기본_색인번호, 4,
_xlpm.추가_색인번호, 5,
_xlpm.개별보정치, V412,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12" s="29" cm="1">
        <f t="array" ref="AD412">_xlfn.LET(_xlpm.기본_색인번호, 5,
_xlpm.추가_색인번호, 6,
_xlpm.개별보정치, W412,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412" s="29" cm="1">
        <f t="array" ref="AE412">_xlfn.LET(_xlpm.기본_색인번호, 6,
_xlpm.추가_색인번호, 7,
_xlpm.개별보정치, X412,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412" s="29" cm="1">
        <f t="array" ref="AF412">_xlfn.LET(_xlpm.기본_색인번호, 7,
_xlpm.추가_색인번호, 8,
_xlpm.개별보정치, Y412,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12" s="30" cm="1">
        <f t="array" ref="AG412">_xlfn.LET(_xlpm.기본_색인번호, 8,
_xlpm.추가_색인번호, 9,
_xlpm.개별보정치, Z412,
_xlpm.패턴보정치, VLOOKUP($G412, Factor!$B$5:$I$51, _xlpm.기본_색인번호, 0),
_xlpm.소모탄환보정치, VLOOKUP($H412, Factor!$T$5:$AA$51, _xlpm.기본_색인번호, 0),
_xlpm.지형보정치, VLOOKUP($I412, Factor!$K$12:$R$13, _xlpm.기본_색인번호, 0),
_xlpm.공격속성보정치, VLOOKUP($J412, Factor!$K$5:$R$7, _xlpm.기본_색인번호, 0),
_xlpm.피해범위보정치, INDEX(Factor!$AN$5:$AV$51, _xlfn.XMATCH(IF(OR($G412="blast", $G412="curved",  $G412= "debuff"), $L412, 0), Factor!$AN$5:$AN$51, -1), _xlpm.추가_색인번호)-IF(AND(OR($G412="blast", $G412="curved", $G412= "debuff"), MOD($L412,1)&lt;&gt;0),INDEX(Factor!$AN$5:$AV$51, _xlfn.XMATCH(IF(OR($G412="blast", $G412="curved", $G412= "debuff"), $L412, 0), Factor!$AN$5:$AN$51, -1), 2)*MOD($L412,1)*10,0),
_xlpm.상태이상보정치, VLOOKUP(IF($G412 = "debuff", $M412, "null"), Factor!$AX$5:$BE$51, _xlpm.기본_색인번호, 0),
_xlpm.지속시간보정치, INDEX(Factor!$BG$5:$BO$51, _xlfn.XMATCH(IF(OR($G412 ="debuff", $G412 = "shot", $G412 = "pierce"), $O412, 0), Factor!$BG$5:$BG$51, -1), _xlpm.추가_색인번호)-IF(AND(OR($G412 ="debuff", $G412 = "shot", $G412 = "pierce"), MOD($O412, 1)&lt;&gt;0), 10*MOD($O412, 1)*INDEX(Factor!$BG$5:$BO$51, _xlfn.XMATCH(IF(OR($G412 ="debuff", $G412 = "shot", $G412 = "pierce"), $O412, 0), Factor!$BG$5:$BG$51, -1), 2), 0),
_xlpm.탄환개수보정치, VLOOKUP(IF(OR($G412 = "curved", $G412 = "shot"), $Q412, 1), Factor!$BQ$5:$BX$51, _xlpm.기본_색인번호, 0),
_xlpm.상태이상탄환생성위치보정치, IF($G412 = "debuff", VLOOKUP($R412, Factor!$K$18:$R$19, _xlpm.기본_색인번호, 0),1),
_xlpm.상태이상탄환형태보정치, IF($G412 = "debuff", VLOOKUP($S412, Factor!$K$24:$R$25, _xlpm.기본_색인번호, 0),1),
_xlpm.가격보정치, INDEX(Factor!$AE$5:$AL$51, _xlfn.XMATCH($F412,Factor!$AE$5:$AE$51, -1), _xlpm.기본_색인번호),
_xlpm.구경보정치, VLOOKUP($D412,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413" spans="1:33" ht="15.75" customHeight="1">
      <c r="A413" s="24" t="str">
        <f>"weapon_"&amp;G413&amp;"_"&amp;VLOOKUP(H413, Factor!$T$5:$AB$7, 9, 0)&amp;"_"&amp;IF(COUNTIFS($G$4:G412, G413, $H$4:H412, H413)+1&gt;=100, COUNTIFS($G$4:G412, G413, $H$4:H412, H413)+1,IF(COUNTIFS($G$4:G412, G413, $H$4:H412, H413)+1&gt;=10, "0"&amp;COUNTIFS($G$4:G412, G413, $H$4:H412, H413)+1, "00"&amp;COUNTIFS($G$4:G412, G413, $H$4:H412, H413)+1))</f>
        <v>weapon_debuff_Ms_057</v>
      </c>
      <c r="B413" s="36" t="str">
        <f t="shared" si="6"/>
        <v>T6 액화질소 살포 미사일 발사대</v>
      </c>
      <c r="C413" s="36" t="s">
        <v>159</v>
      </c>
      <c r="D413" s="36" t="s">
        <v>275</v>
      </c>
      <c r="E413" s="36" t="s">
        <v>209</v>
      </c>
      <c r="F413" s="25">
        <f>VLOOKUP(C413, Factor!$AD$5:$AE$15, 2, 0)</f>
        <v>6000</v>
      </c>
      <c r="G413" s="26" t="str">
        <f>VLOOKUP(E413, Factor!$CL$5:$CV$50, 2, 0)</f>
        <v>debuff</v>
      </c>
      <c r="H413" s="25" t="str">
        <f>VLOOKUP(E413, Factor!$CL$5:$CV$50, 3, 0)</f>
        <v>missile</v>
      </c>
      <c r="I413" s="25" t="str">
        <f>VLOOKUP(E413, Factor!$CL$5:$CV$50, 4, 0)</f>
        <v>L</v>
      </c>
      <c r="J413" s="25" t="str">
        <f>VLOOKUP(E413, Factor!$CL$5:$CV$50, 5, 0)</f>
        <v>spread</v>
      </c>
      <c r="K413" s="25">
        <v>1</v>
      </c>
      <c r="L413" s="25">
        <f>VLOOKUP(E413, Factor!$CL$5:$CV$50, 6, 0)*K413*VLOOKUP(D413, Factor!$BZ$5:$CJ$49, 9, 0)</f>
        <v>0</v>
      </c>
      <c r="M413" s="25" t="str">
        <f>VLOOKUP(E413, Factor!$CL$5:$CV$50, 7, 0)</f>
        <v>stun</v>
      </c>
      <c r="N413" s="25">
        <v>1</v>
      </c>
      <c r="O413" s="25">
        <f>VLOOKUP(E413, Factor!$CL$5:$CV$50, 8, 0)*N413*VLOOKUP(D413, Factor!$BZ$5:$CJ$49, 10, 0)</f>
        <v>5</v>
      </c>
      <c r="P413" s="25">
        <v>1</v>
      </c>
      <c r="Q413" s="25">
        <f>VLOOKUP(E413, Factor!$CL$5:$CV$50, 9, 0)*P413*VLOOKUP(D413, Factor!$BZ$5:$CJ$49, 11, 0)</f>
        <v>1</v>
      </c>
      <c r="R413" s="25" t="str">
        <f>VLOOKUP(E413, Factor!$CL$5:$CV$50, 10, 0)</f>
        <v>target</v>
      </c>
      <c r="S413" s="25" t="str">
        <f>VLOOKUP(E413, Factor!$CL$5:$CV$50, 11, 0)</f>
        <v>circle</v>
      </c>
      <c r="T413" s="25">
        <v>1</v>
      </c>
      <c r="U413" s="25">
        <v>1</v>
      </c>
      <c r="V413" s="25">
        <v>1</v>
      </c>
      <c r="W413" s="25">
        <v>1</v>
      </c>
      <c r="X413" s="25">
        <v>1</v>
      </c>
      <c r="Y413" s="25">
        <v>1</v>
      </c>
      <c r="Z413" s="25">
        <v>1</v>
      </c>
      <c r="AA413" s="25" cm="1">
        <f t="array" ref="AA413">_xlfn.LET(_xlpm.기본_색인번호, 2,
_xlpm.추가_색인번호, 3,
_xlpm.개별보정치, T413,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2100</v>
      </c>
      <c r="AB413" s="25" cm="1">
        <f t="array" ref="AB413">_xlfn.LET(_xlpm.기본_색인번호, 3,
_xlpm.추가_색인번호, 4,
_xlpm.개별보정치, U413,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C413" s="25" cm="1">
        <f t="array" ref="AC413">_xlfn.LET(_xlpm.기본_색인번호, 4,
_xlpm.추가_색인번호, 5,
_xlpm.개별보정치, V413,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13" s="25" cm="1">
        <f t="array" ref="AD413">_xlfn.LET(_xlpm.기본_색인번호, 5,
_xlpm.추가_색인번호, 6,
_xlpm.개별보정치, W413,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</v>
      </c>
      <c r="AE413" s="25" cm="1">
        <f t="array" ref="AE413">_xlfn.LET(_xlpm.기본_색인번호, 6,
_xlpm.추가_색인번호, 7,
_xlpm.개별보정치, X413,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</v>
      </c>
      <c r="AF413" s="25" cm="1">
        <f t="array" ref="AF413">_xlfn.LET(_xlpm.기본_색인번호, 7,
_xlpm.추가_색인번호, 8,
_xlpm.개별보정치, Y413,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13" s="27" cm="1">
        <f t="array" ref="AG413">_xlfn.LET(_xlpm.기본_색인번호, 8,
_xlpm.추가_색인번호, 9,
_xlpm.개별보정치, Z413,
_xlpm.패턴보정치, VLOOKUP($G413, Factor!$B$5:$I$51, _xlpm.기본_색인번호, 0),
_xlpm.소모탄환보정치, VLOOKUP($H413, Factor!$T$5:$AA$51, _xlpm.기본_색인번호, 0),
_xlpm.지형보정치, VLOOKUP($I413, Factor!$K$12:$R$13, _xlpm.기본_색인번호, 0),
_xlpm.공격속성보정치, VLOOKUP($J413, Factor!$K$5:$R$7, _xlpm.기본_색인번호, 0),
_xlpm.피해범위보정치, INDEX(Factor!$AN$5:$AV$51, _xlfn.XMATCH(IF(OR($G413="blast", $G413="curved",  $G413= "debuff"), $L413, 0), Factor!$AN$5:$AN$51, -1), _xlpm.추가_색인번호)-IF(AND(OR($G413="blast", $G413="curved", $G413= "debuff"), MOD($L413,1)&lt;&gt;0),INDEX(Factor!$AN$5:$AV$51, _xlfn.XMATCH(IF(OR($G413="blast", $G413="curved", $G413= "debuff"), $L413, 0), Factor!$AN$5:$AN$51, -1), 2)*MOD($L413,1)*10,0),
_xlpm.상태이상보정치, VLOOKUP(IF($G413 = "debuff", $M413, "null"), Factor!$AX$5:$BE$51, _xlpm.기본_색인번호, 0),
_xlpm.지속시간보정치, INDEX(Factor!$BG$5:$BO$51, _xlfn.XMATCH(IF(OR($G413 ="debuff", $G413 = "shot", $G413 = "pierce"), $O413, 0), Factor!$BG$5:$BG$51, -1), _xlpm.추가_색인번호)-IF(AND(OR($G413 ="debuff", $G413 = "shot", $G413 = "pierce"), MOD($O413, 1)&lt;&gt;0), 10*MOD($O413, 1)*INDEX(Factor!$BG$5:$BO$51, _xlfn.XMATCH(IF(OR($G413 ="debuff", $G413 = "shot", $G413 = "pierce"), $O413, 0), Factor!$BG$5:$BG$51, -1), 2), 0),
_xlpm.탄환개수보정치, VLOOKUP(IF(OR($G413 = "curved", $G413 = "shot"), $Q413, 1), Factor!$BQ$5:$BX$51, _xlpm.기본_색인번호, 0),
_xlpm.상태이상탄환생성위치보정치, IF($G413 = "debuff", VLOOKUP($R413, Factor!$K$18:$R$19, _xlpm.기본_색인번호, 0),1),
_xlpm.상태이상탄환형태보정치, IF($G413 = "debuff", VLOOKUP($S413, Factor!$K$24:$R$25, _xlpm.기본_색인번호, 0),1),
_xlpm.가격보정치, INDEX(Factor!$AE$5:$AL$51, _xlfn.XMATCH($F413,Factor!$AE$5:$AE$51, -1), _xlpm.기본_색인번호),
_xlpm.구경보정치, VLOOKUP($D413,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</v>
      </c>
    </row>
    <row r="414" spans="1:33" ht="15.75" customHeight="1">
      <c r="A414" s="28" t="str">
        <f>"weapon_"&amp;G414&amp;"_"&amp;VLOOKUP(H414, Factor!$T$5:$AB$7, 9, 0)&amp;"_"&amp;IF(COUNTIFS($G$4:G413, G414, $H$4:H413, H414)+1&gt;=100, COUNTIFS($G$4:G413, G414, $H$4:H413, H414)+1,IF(COUNTIFS($G$4:G413, G414, $H$4:H413, H414)+1&gt;=10, "0"&amp;COUNTIFS($G$4:G413, G414, $H$4:H413, H414)+1, "00"&amp;COUNTIFS($G$4:G413, G414, $H$4:H413, H414)+1))</f>
        <v>weapon_debuff_Ms_058</v>
      </c>
      <c r="B414" s="37" t="str">
        <f t="shared" si="6"/>
        <v>T6 240mm액화질소 살포 미사일 발사대</v>
      </c>
      <c r="C414" s="37" t="s">
        <v>159</v>
      </c>
      <c r="D414" s="37" t="s">
        <v>267</v>
      </c>
      <c r="E414" s="37" t="s">
        <v>209</v>
      </c>
      <c r="F414" s="29">
        <f>VLOOKUP(C414, Factor!$AD$5:$AE$15, 2, 0)</f>
        <v>6000</v>
      </c>
      <c r="G414" s="29" t="str">
        <f>VLOOKUP(E414, Factor!$CL$5:$CV$50, 2, 0)</f>
        <v>debuff</v>
      </c>
      <c r="H414" s="29" t="str">
        <f>VLOOKUP(E414, Factor!$CL$5:$CV$50, 3, 0)</f>
        <v>missile</v>
      </c>
      <c r="I414" s="29" t="str">
        <f>VLOOKUP(E414, Factor!$CL$5:$CV$50, 4, 0)</f>
        <v>L</v>
      </c>
      <c r="J414" s="29" t="str">
        <f>VLOOKUP(E414, Factor!$CL$5:$CV$50, 5, 0)</f>
        <v>spread</v>
      </c>
      <c r="K414" s="29">
        <v>1</v>
      </c>
      <c r="L414" s="29">
        <f>VLOOKUP(E414, Factor!$CL$5:$CV$50, 6, 0)*K414*VLOOKUP(D414, Factor!$BZ$5:$CJ$49, 9, 0)</f>
        <v>0</v>
      </c>
      <c r="M414" s="29" t="str">
        <f>VLOOKUP(E414, Factor!$CL$5:$CV$50, 7, 0)</f>
        <v>stun</v>
      </c>
      <c r="N414" s="29">
        <v>1</v>
      </c>
      <c r="O414" s="29">
        <f>VLOOKUP(E414, Factor!$CL$5:$CV$50, 8, 0)*N414*VLOOKUP(D414, Factor!$BZ$5:$CJ$49, 10, 0)</f>
        <v>40</v>
      </c>
      <c r="P414" s="29">
        <v>1</v>
      </c>
      <c r="Q414" s="29">
        <f>VLOOKUP(E414, Factor!$CL$5:$CV$50, 9, 0)*P414*VLOOKUP(D414, Factor!$BZ$5:$CJ$49, 11, 0)</f>
        <v>8</v>
      </c>
      <c r="R414" s="29" t="str">
        <f>VLOOKUP(E414, Factor!$CL$5:$CV$50, 10, 0)</f>
        <v>target</v>
      </c>
      <c r="S414" s="29" t="str">
        <f>VLOOKUP(E414, Factor!$CL$5:$CV$50, 11, 0)</f>
        <v>circle</v>
      </c>
      <c r="T414" s="29">
        <v>1</v>
      </c>
      <c r="U414" s="29">
        <v>1</v>
      </c>
      <c r="V414" s="29">
        <v>1</v>
      </c>
      <c r="W414" s="29">
        <v>1</v>
      </c>
      <c r="X414" s="29">
        <v>1</v>
      </c>
      <c r="Y414" s="29">
        <v>1</v>
      </c>
      <c r="Z414" s="29">
        <v>1</v>
      </c>
      <c r="AA414" s="29" cm="1">
        <f t="array" ref="AA414">_xlfn.LET(_xlpm.기본_색인번호, 2,
_xlpm.추가_색인번호, 3,
_xlpm.개별보정치, T414,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4200</v>
      </c>
      <c r="AB414" s="29" cm="1">
        <f t="array" ref="AB414">_xlfn.LET(_xlpm.기본_색인번호, 3,
_xlpm.추가_색인번호, 4,
_xlpm.개별보정치, U414,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14" s="29" cm="1">
        <f t="array" ref="AC414">_xlfn.LET(_xlpm.기본_색인번호, 4,
_xlpm.추가_색인번호, 5,
_xlpm.개별보정치, V414,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14" s="29" cm="1">
        <f t="array" ref="AD414">_xlfn.LET(_xlpm.기본_색인번호, 5,
_xlpm.추가_색인번호, 6,
_xlpm.개별보정치, W414,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E414" s="29" cm="1">
        <f t="array" ref="AE414">_xlfn.LET(_xlpm.기본_색인번호, 6,
_xlpm.추가_색인번호, 7,
_xlpm.개별보정치, X414,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F414" s="29" cm="1">
        <f t="array" ref="AF414">_xlfn.LET(_xlpm.기본_색인번호, 7,
_xlpm.추가_색인번호, 8,
_xlpm.개별보정치, Y414,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14" s="30" cm="1">
        <f t="array" ref="AG414">_xlfn.LET(_xlpm.기본_색인번호, 8,
_xlpm.추가_색인번호, 9,
_xlpm.개별보정치, Z414,
_xlpm.패턴보정치, VLOOKUP($G414, Factor!$B$5:$I$51, _xlpm.기본_색인번호, 0),
_xlpm.소모탄환보정치, VLOOKUP($H414, Factor!$T$5:$AA$51, _xlpm.기본_색인번호, 0),
_xlpm.지형보정치, VLOOKUP($I414, Factor!$K$12:$R$13, _xlpm.기본_색인번호, 0),
_xlpm.공격속성보정치, VLOOKUP($J414, Factor!$K$5:$R$7, _xlpm.기본_색인번호, 0),
_xlpm.피해범위보정치, INDEX(Factor!$AN$5:$AV$51, _xlfn.XMATCH(IF(OR($G414="blast", $G414="curved",  $G414= "debuff"), $L414, 0), Factor!$AN$5:$AN$51, -1), _xlpm.추가_색인번호)-IF(AND(OR($G414="blast", $G414="curved", $G414= "debuff"), MOD($L414,1)&lt;&gt;0),INDEX(Factor!$AN$5:$AV$51, _xlfn.XMATCH(IF(OR($G414="blast", $G414="curved", $G414= "debuff"), $L414, 0), Factor!$AN$5:$AN$51, -1), 2)*MOD($L414,1)*10,0),
_xlpm.상태이상보정치, VLOOKUP(IF($G414 = "debuff", $M414, "null"), Factor!$AX$5:$BE$51, _xlpm.기본_색인번호, 0),
_xlpm.지속시간보정치, INDEX(Factor!$BG$5:$BO$51, _xlfn.XMATCH(IF(OR($G414 ="debuff", $G414 = "shot", $G414 = "pierce"), $O414, 0), Factor!$BG$5:$BG$51, -1), _xlpm.추가_색인번호)-IF(AND(OR($G414 ="debuff", $G414 = "shot", $G414 = "pierce"), MOD($O414, 1)&lt;&gt;0), 10*MOD($O414, 1)*INDEX(Factor!$BG$5:$BO$51, _xlfn.XMATCH(IF(OR($G414 ="debuff", $G414 = "shot", $G414 = "pierce"), $O414, 0), Factor!$BG$5:$BG$51, -1), 2), 0),
_xlpm.탄환개수보정치, VLOOKUP(IF(OR($G414 = "curved", $G414 = "shot"), $Q414, 1), Factor!$BQ$5:$BX$51, _xlpm.기본_색인번호, 0),
_xlpm.상태이상탄환생성위치보정치, IF($G414 = "debuff", VLOOKUP($R414, Factor!$K$18:$R$19, _xlpm.기본_색인번호, 0),1),
_xlpm.상태이상탄환형태보정치, IF($G414 = "debuff", VLOOKUP($S414, Factor!$K$24:$R$25, _xlpm.기본_색인번호, 0),1),
_xlpm.가격보정치, INDEX(Factor!$AE$5:$AL$51, _xlfn.XMATCH($F414,Factor!$AE$5:$AE$51, -1), _xlpm.기본_색인번호),
_xlpm.구경보정치, VLOOKUP($D414,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</row>
    <row r="415" spans="1:33" ht="15.75" customHeight="1">
      <c r="A415" s="24" t="str">
        <f>"weapon_"&amp;G415&amp;"_"&amp;VLOOKUP(H415, Factor!$T$5:$AB$7, 9, 0)&amp;"_"&amp;IF(COUNTIFS($G$4:G414, G415, $H$4:H414, H415)+1&gt;=100, COUNTIFS($G$4:G414, G415, $H$4:H414, H415)+1,IF(COUNTIFS($G$4:G414, G415, $H$4:H414, H415)+1&gt;=10, "0"&amp;COUNTIFS($G$4:G414, G415, $H$4:H414, H415)+1, "00"&amp;COUNTIFS($G$4:G414, G415, $H$4:H414, H415)+1))</f>
        <v>weapon_debuff_Ms_059</v>
      </c>
      <c r="B415" s="36" t="str">
        <f t="shared" si="6"/>
        <v>T7 액화질소 살포 미사일 발사대</v>
      </c>
      <c r="C415" s="36" t="s">
        <v>160</v>
      </c>
      <c r="D415" s="36" t="s">
        <v>275</v>
      </c>
      <c r="E415" s="36" t="s">
        <v>209</v>
      </c>
      <c r="F415" s="25">
        <f>VLOOKUP(C415, Factor!$AD$5:$AE$15, 2, 0)</f>
        <v>7000</v>
      </c>
      <c r="G415" s="26" t="str">
        <f>VLOOKUP(E415, Factor!$CL$5:$CV$50, 2, 0)</f>
        <v>debuff</v>
      </c>
      <c r="H415" s="25" t="str">
        <f>VLOOKUP(E415, Factor!$CL$5:$CV$50, 3, 0)</f>
        <v>missile</v>
      </c>
      <c r="I415" s="25" t="str">
        <f>VLOOKUP(E415, Factor!$CL$5:$CV$50, 4, 0)</f>
        <v>L</v>
      </c>
      <c r="J415" s="25" t="str">
        <f>VLOOKUP(E415, Factor!$CL$5:$CV$50, 5, 0)</f>
        <v>spread</v>
      </c>
      <c r="K415" s="25">
        <v>1</v>
      </c>
      <c r="L415" s="25">
        <f>VLOOKUP(E415, Factor!$CL$5:$CV$50, 6, 0)*K415*VLOOKUP(D415, Factor!$BZ$5:$CJ$49, 9, 0)</f>
        <v>0</v>
      </c>
      <c r="M415" s="25" t="str">
        <f>VLOOKUP(E415, Factor!$CL$5:$CV$50, 7, 0)</f>
        <v>stun</v>
      </c>
      <c r="N415" s="25">
        <v>1</v>
      </c>
      <c r="O415" s="25">
        <f>VLOOKUP(E415, Factor!$CL$5:$CV$50, 8, 0)*N415*VLOOKUP(D415, Factor!$BZ$5:$CJ$49, 10, 0)</f>
        <v>5</v>
      </c>
      <c r="P415" s="25">
        <v>1</v>
      </c>
      <c r="Q415" s="25">
        <f>VLOOKUP(E415, Factor!$CL$5:$CV$50, 9, 0)*P415*VLOOKUP(D415, Factor!$BZ$5:$CJ$49, 11, 0)</f>
        <v>1</v>
      </c>
      <c r="R415" s="25" t="str">
        <f>VLOOKUP(E415, Factor!$CL$5:$CV$50, 10, 0)</f>
        <v>target</v>
      </c>
      <c r="S415" s="25" t="str">
        <f>VLOOKUP(E415, Factor!$CL$5:$CV$50, 11, 0)</f>
        <v>circle</v>
      </c>
      <c r="T415" s="25">
        <v>1</v>
      </c>
      <c r="U415" s="25">
        <v>1</v>
      </c>
      <c r="V415" s="25">
        <v>1</v>
      </c>
      <c r="W415" s="25">
        <v>1</v>
      </c>
      <c r="X415" s="25">
        <v>1</v>
      </c>
      <c r="Y415" s="25">
        <v>1</v>
      </c>
      <c r="Z415" s="25">
        <v>1</v>
      </c>
      <c r="AA415" s="25" cm="1">
        <f t="array" ref="AA415">_xlfn.LET(_xlpm.기본_색인번호, 2,
_xlpm.추가_색인번호, 3,
_xlpm.개별보정치, T415,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415" s="25" cm="1">
        <f t="array" ref="AB415">_xlfn.LET(_xlpm.기본_색인번호, 3,
_xlpm.추가_색인번호, 4,
_xlpm.개별보정치, U415,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C415" s="25" cm="1">
        <f t="array" ref="AC415">_xlfn.LET(_xlpm.기본_색인번호, 4,
_xlpm.추가_색인번호, 5,
_xlpm.개별보정치, V415,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15" s="25" cm="1">
        <f t="array" ref="AD415">_xlfn.LET(_xlpm.기본_색인번호, 5,
_xlpm.추가_색인번호, 6,
_xlpm.개별보정치, W415,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415" s="25" cm="1">
        <f t="array" ref="AE415">_xlfn.LET(_xlpm.기본_색인번호, 6,
_xlpm.추가_색인번호, 7,
_xlpm.개별보정치, X415,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415" s="25" cm="1">
        <f t="array" ref="AF415">_xlfn.LET(_xlpm.기본_색인번호, 7,
_xlpm.추가_색인번호, 8,
_xlpm.개별보정치, Y415,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15" s="27" cm="1">
        <f t="array" ref="AG415">_xlfn.LET(_xlpm.기본_색인번호, 8,
_xlpm.추가_색인번호, 9,
_xlpm.개별보정치, Z415,
_xlpm.패턴보정치, VLOOKUP($G415, Factor!$B$5:$I$51, _xlpm.기본_색인번호, 0),
_xlpm.소모탄환보정치, VLOOKUP($H415, Factor!$T$5:$AA$51, _xlpm.기본_색인번호, 0),
_xlpm.지형보정치, VLOOKUP($I415, Factor!$K$12:$R$13, _xlpm.기본_색인번호, 0),
_xlpm.공격속성보정치, VLOOKUP($J415, Factor!$K$5:$R$7, _xlpm.기본_색인번호, 0),
_xlpm.피해범위보정치, INDEX(Factor!$AN$5:$AV$51, _xlfn.XMATCH(IF(OR($G415="blast", $G415="curved",  $G415= "debuff"), $L415, 0), Factor!$AN$5:$AN$51, -1), _xlpm.추가_색인번호)-IF(AND(OR($G415="blast", $G415="curved", $G415= "debuff"), MOD($L415,1)&lt;&gt;0),INDEX(Factor!$AN$5:$AV$51, _xlfn.XMATCH(IF(OR($G415="blast", $G415="curved", $G415= "debuff"), $L415, 0), Factor!$AN$5:$AN$51, -1), 2)*MOD($L415,1)*10,0),
_xlpm.상태이상보정치, VLOOKUP(IF($G415 = "debuff", $M415, "null"), Factor!$AX$5:$BE$51, _xlpm.기본_색인번호, 0),
_xlpm.지속시간보정치, INDEX(Factor!$BG$5:$BO$51, _xlfn.XMATCH(IF(OR($G415 ="debuff", $G415 = "shot", $G415 = "pierce"), $O415, 0), Factor!$BG$5:$BG$51, -1), _xlpm.추가_색인번호)-IF(AND(OR($G415 ="debuff", $G415 = "shot", $G415 = "pierce"), MOD($O415, 1)&lt;&gt;0), 10*MOD($O415, 1)*INDEX(Factor!$BG$5:$BO$51, _xlfn.XMATCH(IF(OR($G415 ="debuff", $G415 = "shot", $G415 = "pierce"), $O415, 0), Factor!$BG$5:$BG$51, -1), 2), 0),
_xlpm.탄환개수보정치, VLOOKUP(IF(OR($G415 = "curved", $G415 = "shot"), $Q415, 1), Factor!$BQ$5:$BX$51, _xlpm.기본_색인번호, 0),
_xlpm.상태이상탄환생성위치보정치, IF($G415 = "debuff", VLOOKUP($R415, Factor!$K$18:$R$19, _xlpm.기본_색인번호, 0),1),
_xlpm.상태이상탄환형태보정치, IF($G415 = "debuff", VLOOKUP($S415, Factor!$K$24:$R$25, _xlpm.기본_색인번호, 0),1),
_xlpm.가격보정치, INDEX(Factor!$AE$5:$AL$51, _xlfn.XMATCH($F415,Factor!$AE$5:$AE$51, -1), _xlpm.기본_색인번호),
_xlpm.구경보정치, VLOOKUP($D415,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416" spans="1:33" ht="15.75" customHeight="1">
      <c r="A416" s="28" t="str">
        <f>"weapon_"&amp;G416&amp;"_"&amp;VLOOKUP(H416, Factor!$T$5:$AB$7, 9, 0)&amp;"_"&amp;IF(COUNTIFS($G$4:G415, G416, $H$4:H415, H416)+1&gt;=100, COUNTIFS($G$4:G415, G416, $H$4:H415, H416)+1,IF(COUNTIFS($G$4:G415, G416, $H$4:H415, H416)+1&gt;=10, "0"&amp;COUNTIFS($G$4:G415, G416, $H$4:H415, H416)+1, "00"&amp;COUNTIFS($G$4:G415, G416, $H$4:H415, H416)+1))</f>
        <v>weapon_debuff_Ms_060</v>
      </c>
      <c r="B416" s="37" t="str">
        <f t="shared" si="6"/>
        <v>T7 240mm액화질소 살포 미사일 발사대</v>
      </c>
      <c r="C416" s="37" t="s">
        <v>160</v>
      </c>
      <c r="D416" s="37" t="s">
        <v>267</v>
      </c>
      <c r="E416" s="37" t="s">
        <v>209</v>
      </c>
      <c r="F416" s="29">
        <f>VLOOKUP(C416, Factor!$AD$5:$AE$15, 2, 0)</f>
        <v>7000</v>
      </c>
      <c r="G416" s="29" t="str">
        <f>VLOOKUP(E416, Factor!$CL$5:$CV$50, 2, 0)</f>
        <v>debuff</v>
      </c>
      <c r="H416" s="29" t="str">
        <f>VLOOKUP(E416, Factor!$CL$5:$CV$50, 3, 0)</f>
        <v>missile</v>
      </c>
      <c r="I416" s="29" t="str">
        <f>VLOOKUP(E416, Factor!$CL$5:$CV$50, 4, 0)</f>
        <v>L</v>
      </c>
      <c r="J416" s="29" t="str">
        <f>VLOOKUP(E416, Factor!$CL$5:$CV$50, 5, 0)</f>
        <v>spread</v>
      </c>
      <c r="K416" s="29">
        <v>1</v>
      </c>
      <c r="L416" s="29">
        <f>VLOOKUP(E416, Factor!$CL$5:$CV$50, 6, 0)*K416*VLOOKUP(D416, Factor!$BZ$5:$CJ$49, 9, 0)</f>
        <v>0</v>
      </c>
      <c r="M416" s="29" t="str">
        <f>VLOOKUP(E416, Factor!$CL$5:$CV$50, 7, 0)</f>
        <v>stun</v>
      </c>
      <c r="N416" s="29">
        <v>1</v>
      </c>
      <c r="O416" s="29">
        <f>VLOOKUP(E416, Factor!$CL$5:$CV$50, 8, 0)*N416*VLOOKUP(D416, Factor!$BZ$5:$CJ$49, 10, 0)</f>
        <v>40</v>
      </c>
      <c r="P416" s="29">
        <v>1</v>
      </c>
      <c r="Q416" s="29">
        <f>VLOOKUP(E416, Factor!$CL$5:$CV$50, 9, 0)*P416*VLOOKUP(D416, Factor!$BZ$5:$CJ$49, 11, 0)</f>
        <v>8</v>
      </c>
      <c r="R416" s="29" t="str">
        <f>VLOOKUP(E416, Factor!$CL$5:$CV$50, 10, 0)</f>
        <v>target</v>
      </c>
      <c r="S416" s="29" t="str">
        <f>VLOOKUP(E416, Factor!$CL$5:$CV$50, 11, 0)</f>
        <v>circle</v>
      </c>
      <c r="T416" s="29">
        <v>1</v>
      </c>
      <c r="U416" s="29">
        <v>1</v>
      </c>
      <c r="V416" s="29">
        <v>1</v>
      </c>
      <c r="W416" s="29">
        <v>1</v>
      </c>
      <c r="X416" s="29">
        <v>1</v>
      </c>
      <c r="Y416" s="29">
        <v>1</v>
      </c>
      <c r="Z416" s="29">
        <v>1</v>
      </c>
      <c r="AA416" s="29" cm="1">
        <f t="array" ref="AA416">_xlfn.LET(_xlpm.기본_색인번호, 2,
_xlpm.추가_색인번호, 3,
_xlpm.개별보정치, T416,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416" s="29" cm="1">
        <f t="array" ref="AB416">_xlfn.LET(_xlpm.기본_색인번호, 3,
_xlpm.추가_색인번호, 4,
_xlpm.개별보정치, U416,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16" s="29" cm="1">
        <f t="array" ref="AC416">_xlfn.LET(_xlpm.기본_색인번호, 4,
_xlpm.추가_색인번호, 5,
_xlpm.개별보정치, V416,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16" s="29" cm="1">
        <f t="array" ref="AD416">_xlfn.LET(_xlpm.기본_색인번호, 5,
_xlpm.추가_색인번호, 6,
_xlpm.개별보정치, W416,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416" s="29" cm="1">
        <f t="array" ref="AE416">_xlfn.LET(_xlpm.기본_색인번호, 6,
_xlpm.추가_색인번호, 7,
_xlpm.개별보정치, X416,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416" s="29" cm="1">
        <f t="array" ref="AF416">_xlfn.LET(_xlpm.기본_색인번호, 7,
_xlpm.추가_색인번호, 8,
_xlpm.개별보정치, Y416,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16" s="30" cm="1">
        <f t="array" ref="AG416">_xlfn.LET(_xlpm.기본_색인번호, 8,
_xlpm.추가_색인번호, 9,
_xlpm.개별보정치, Z416,
_xlpm.패턴보정치, VLOOKUP($G416, Factor!$B$5:$I$51, _xlpm.기본_색인번호, 0),
_xlpm.소모탄환보정치, VLOOKUP($H416, Factor!$T$5:$AA$51, _xlpm.기본_색인번호, 0),
_xlpm.지형보정치, VLOOKUP($I416, Factor!$K$12:$R$13, _xlpm.기본_색인번호, 0),
_xlpm.공격속성보정치, VLOOKUP($J416, Factor!$K$5:$R$7, _xlpm.기본_색인번호, 0),
_xlpm.피해범위보정치, INDEX(Factor!$AN$5:$AV$51, _xlfn.XMATCH(IF(OR($G416="blast", $G416="curved",  $G416= "debuff"), $L416, 0), Factor!$AN$5:$AN$51, -1), _xlpm.추가_색인번호)-IF(AND(OR($G416="blast", $G416="curved", $G416= "debuff"), MOD($L416,1)&lt;&gt;0),INDEX(Factor!$AN$5:$AV$51, _xlfn.XMATCH(IF(OR($G416="blast", $G416="curved", $G416= "debuff"), $L416, 0), Factor!$AN$5:$AN$51, -1), 2)*MOD($L416,1)*10,0),
_xlpm.상태이상보정치, VLOOKUP(IF($G416 = "debuff", $M416, "null"), Factor!$AX$5:$BE$51, _xlpm.기본_색인번호, 0),
_xlpm.지속시간보정치, INDEX(Factor!$BG$5:$BO$51, _xlfn.XMATCH(IF(OR($G416 ="debuff", $G416 = "shot", $G416 = "pierce"), $O416, 0), Factor!$BG$5:$BG$51, -1), _xlpm.추가_색인번호)-IF(AND(OR($G416 ="debuff", $G416 = "shot", $G416 = "pierce"), MOD($O416, 1)&lt;&gt;0), 10*MOD($O416, 1)*INDEX(Factor!$BG$5:$BO$51, _xlfn.XMATCH(IF(OR($G416 ="debuff", $G416 = "shot", $G416 = "pierce"), $O416, 0), Factor!$BG$5:$BG$51, -1), 2), 0),
_xlpm.탄환개수보정치, VLOOKUP(IF(OR($G416 = "curved", $G416 = "shot"), $Q416, 1), Factor!$BQ$5:$BX$51, _xlpm.기본_색인번호, 0),
_xlpm.상태이상탄환생성위치보정치, IF($G416 = "debuff", VLOOKUP($R416, Factor!$K$18:$R$19, _xlpm.기본_색인번호, 0),1),
_xlpm.상태이상탄환형태보정치, IF($G416 = "debuff", VLOOKUP($S416, Factor!$K$24:$R$25, _xlpm.기본_색인번호, 0),1),
_xlpm.가격보정치, INDEX(Factor!$AE$5:$AL$51, _xlfn.XMATCH($F416,Factor!$AE$5:$AE$51, -1), _xlpm.기본_색인번호),
_xlpm.구경보정치, VLOOKUP($D416,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417" spans="1:33" ht="15.75" customHeight="1">
      <c r="A417" s="24" t="str">
        <f>"weapon_"&amp;G417&amp;"_"&amp;VLOOKUP(H417, Factor!$T$5:$AB$7, 9, 0)&amp;"_"&amp;IF(COUNTIFS($G$4:G416, G417, $H$4:H416, H417)+1&gt;=100, COUNTIFS($G$4:G416, G417, $H$4:H416, H417)+1,IF(COUNTIFS($G$4:G416, G417, $H$4:H416, H417)+1&gt;=10, "0"&amp;COUNTIFS($G$4:G416, G417, $H$4:H416, H417)+1, "00"&amp;COUNTIFS($G$4:G416, G417, $H$4:H416, H417)+1))</f>
        <v>weapon_debuff_Ms_061</v>
      </c>
      <c r="B417" s="36" t="str">
        <f t="shared" si="6"/>
        <v>T8 액화질소 살포 미사일 발사대</v>
      </c>
      <c r="C417" s="36" t="s">
        <v>161</v>
      </c>
      <c r="D417" s="36" t="s">
        <v>275</v>
      </c>
      <c r="E417" s="36" t="s">
        <v>209</v>
      </c>
      <c r="F417" s="25">
        <f>VLOOKUP(C417, Factor!$AD$5:$AE$15, 2, 0)</f>
        <v>8000</v>
      </c>
      <c r="G417" s="26" t="str">
        <f>VLOOKUP(E417, Factor!$CL$5:$CV$50, 2, 0)</f>
        <v>debuff</v>
      </c>
      <c r="H417" s="25" t="str">
        <f>VLOOKUP(E417, Factor!$CL$5:$CV$50, 3, 0)</f>
        <v>missile</v>
      </c>
      <c r="I417" s="25" t="str">
        <f>VLOOKUP(E417, Factor!$CL$5:$CV$50, 4, 0)</f>
        <v>L</v>
      </c>
      <c r="J417" s="25" t="str">
        <f>VLOOKUP(E417, Factor!$CL$5:$CV$50, 5, 0)</f>
        <v>spread</v>
      </c>
      <c r="K417" s="25">
        <v>1</v>
      </c>
      <c r="L417" s="25">
        <f>VLOOKUP(E417, Factor!$CL$5:$CV$50, 6, 0)*K417*VLOOKUP(D417, Factor!$BZ$5:$CJ$49, 9, 0)</f>
        <v>0</v>
      </c>
      <c r="M417" s="25" t="str">
        <f>VLOOKUP(E417, Factor!$CL$5:$CV$50, 7, 0)</f>
        <v>stun</v>
      </c>
      <c r="N417" s="25">
        <v>1</v>
      </c>
      <c r="O417" s="25">
        <f>VLOOKUP(E417, Factor!$CL$5:$CV$50, 8, 0)*N417*VLOOKUP(D417, Factor!$BZ$5:$CJ$49, 10, 0)</f>
        <v>5</v>
      </c>
      <c r="P417" s="25">
        <v>1</v>
      </c>
      <c r="Q417" s="25">
        <f>VLOOKUP(E417, Factor!$CL$5:$CV$50, 9, 0)*P417*VLOOKUP(D417, Factor!$BZ$5:$CJ$49, 11, 0)</f>
        <v>1</v>
      </c>
      <c r="R417" s="25" t="str">
        <f>VLOOKUP(E417, Factor!$CL$5:$CV$50, 10, 0)</f>
        <v>target</v>
      </c>
      <c r="S417" s="25" t="str">
        <f>VLOOKUP(E417, Factor!$CL$5:$CV$50, 11, 0)</f>
        <v>circle</v>
      </c>
      <c r="T417" s="25">
        <v>1</v>
      </c>
      <c r="U417" s="25">
        <v>1</v>
      </c>
      <c r="V417" s="25">
        <v>1</v>
      </c>
      <c r="W417" s="25">
        <v>1</v>
      </c>
      <c r="X417" s="25">
        <v>1</v>
      </c>
      <c r="Y417" s="25">
        <v>1</v>
      </c>
      <c r="Z417" s="25">
        <v>1</v>
      </c>
      <c r="AA417" s="25" cm="1">
        <f t="array" ref="AA417">_xlfn.LET(_xlpm.기본_색인번호, 2,
_xlpm.추가_색인번호, 3,
_xlpm.개별보정치, T417,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2700</v>
      </c>
      <c r="AB417" s="25" cm="1">
        <f t="array" ref="AB417">_xlfn.LET(_xlpm.기본_색인번호, 3,
_xlpm.추가_색인번호, 4,
_xlpm.개별보정치, U417,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C417" s="25" cm="1">
        <f t="array" ref="AC417">_xlfn.LET(_xlpm.기본_색인번호, 4,
_xlpm.추가_색인번호, 5,
_xlpm.개별보정치, V417,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17" s="25" cm="1">
        <f t="array" ref="AD417">_xlfn.LET(_xlpm.기본_색인번호, 5,
_xlpm.추가_색인번호, 6,
_xlpm.개별보정치, W417,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E417" s="25" cm="1">
        <f t="array" ref="AE417">_xlfn.LET(_xlpm.기본_색인번호, 6,
_xlpm.추가_색인번호, 7,
_xlpm.개별보정치, X417,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  <c r="AF417" s="25" cm="1">
        <f t="array" ref="AF417">_xlfn.LET(_xlpm.기본_색인번호, 7,
_xlpm.추가_색인번호, 8,
_xlpm.개별보정치, Y417,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17" s="27" cm="1">
        <f t="array" ref="AG417">_xlfn.LET(_xlpm.기본_색인번호, 8,
_xlpm.추가_색인번호, 9,
_xlpm.개별보정치, Z417,
_xlpm.패턴보정치, VLOOKUP($G417, Factor!$B$5:$I$51, _xlpm.기본_색인번호, 0),
_xlpm.소모탄환보정치, VLOOKUP($H417, Factor!$T$5:$AA$51, _xlpm.기본_색인번호, 0),
_xlpm.지형보정치, VLOOKUP($I417, Factor!$K$12:$R$13, _xlpm.기본_색인번호, 0),
_xlpm.공격속성보정치, VLOOKUP($J417, Factor!$K$5:$R$7, _xlpm.기본_색인번호, 0),
_xlpm.피해범위보정치, INDEX(Factor!$AN$5:$AV$51, _xlfn.XMATCH(IF(OR($G417="blast", $G417="curved",  $G417= "debuff"), $L417, 0), Factor!$AN$5:$AN$51, -1), _xlpm.추가_색인번호)-IF(AND(OR($G417="blast", $G417="curved", $G417= "debuff"), MOD($L417,1)&lt;&gt;0),INDEX(Factor!$AN$5:$AV$51, _xlfn.XMATCH(IF(OR($G417="blast", $G417="curved", $G417= "debuff"), $L417, 0), Factor!$AN$5:$AN$51, -1), 2)*MOD($L417,1)*10,0),
_xlpm.상태이상보정치, VLOOKUP(IF($G417 = "debuff", $M417, "null"), Factor!$AX$5:$BE$51, _xlpm.기본_색인번호, 0),
_xlpm.지속시간보정치, INDEX(Factor!$BG$5:$BO$51, _xlfn.XMATCH(IF(OR($G417 ="debuff", $G417 = "shot", $G417 = "pierce"), $O417, 0), Factor!$BG$5:$BG$51, -1), _xlpm.추가_색인번호)-IF(AND(OR($G417 ="debuff", $G417 = "shot", $G417 = "pierce"), MOD($O417, 1)&lt;&gt;0), 10*MOD($O417, 1)*INDEX(Factor!$BG$5:$BO$51, _xlfn.XMATCH(IF(OR($G417 ="debuff", $G417 = "shot", $G417 = "pierce"), $O417, 0), Factor!$BG$5:$BG$51, -1), 2), 0),
_xlpm.탄환개수보정치, VLOOKUP(IF(OR($G417 = "curved", $G417 = "shot"), $Q417, 1), Factor!$BQ$5:$BX$51, _xlpm.기본_색인번호, 0),
_xlpm.상태이상탄환생성위치보정치, IF($G417 = "debuff", VLOOKUP($R417, Factor!$K$18:$R$19, _xlpm.기본_색인번호, 0),1),
_xlpm.상태이상탄환형태보정치, IF($G417 = "debuff", VLOOKUP($S417, Factor!$K$24:$R$25, _xlpm.기본_색인번호, 0),1),
_xlpm.가격보정치, INDEX(Factor!$AE$5:$AL$51, _xlfn.XMATCH($F417,Factor!$AE$5:$AE$51, -1), _xlpm.기본_색인번호),
_xlpm.구경보정치, VLOOKUP($D417,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135</v>
      </c>
    </row>
    <row r="418" spans="1:33" ht="15.75" customHeight="1">
      <c r="A418" s="28" t="str">
        <f>"weapon_"&amp;G418&amp;"_"&amp;VLOOKUP(H418, Factor!$T$5:$AB$7, 9, 0)&amp;"_"&amp;IF(COUNTIFS($G$4:G417, G418, $H$4:H417, H418)+1&gt;=100, COUNTIFS($G$4:G417, G418, $H$4:H417, H418)+1,IF(COUNTIFS($G$4:G417, G418, $H$4:H417, H418)+1&gt;=10, "0"&amp;COUNTIFS($G$4:G417, G418, $H$4:H417, H418)+1, "00"&amp;COUNTIFS($G$4:G417, G418, $H$4:H417, H418)+1))</f>
        <v>weapon_debuff_Ms_062</v>
      </c>
      <c r="B418" s="37" t="str">
        <f t="shared" si="6"/>
        <v>T8 240mm액화질소 살포 미사일 발사대</v>
      </c>
      <c r="C418" s="37" t="s">
        <v>161</v>
      </c>
      <c r="D418" s="37" t="s">
        <v>267</v>
      </c>
      <c r="E418" s="37" t="s">
        <v>209</v>
      </c>
      <c r="F418" s="29">
        <f>VLOOKUP(C418, Factor!$AD$5:$AE$15, 2, 0)</f>
        <v>8000</v>
      </c>
      <c r="G418" s="29" t="str">
        <f>VLOOKUP(E418, Factor!$CL$5:$CV$50, 2, 0)</f>
        <v>debuff</v>
      </c>
      <c r="H418" s="29" t="str">
        <f>VLOOKUP(E418, Factor!$CL$5:$CV$50, 3, 0)</f>
        <v>missile</v>
      </c>
      <c r="I418" s="29" t="str">
        <f>VLOOKUP(E418, Factor!$CL$5:$CV$50, 4, 0)</f>
        <v>L</v>
      </c>
      <c r="J418" s="29" t="str">
        <f>VLOOKUP(E418, Factor!$CL$5:$CV$50, 5, 0)</f>
        <v>spread</v>
      </c>
      <c r="K418" s="29">
        <v>1</v>
      </c>
      <c r="L418" s="29">
        <f>VLOOKUP(E418, Factor!$CL$5:$CV$50, 6, 0)*K418*VLOOKUP(D418, Factor!$BZ$5:$CJ$49, 9, 0)</f>
        <v>0</v>
      </c>
      <c r="M418" s="29" t="str">
        <f>VLOOKUP(E418, Factor!$CL$5:$CV$50, 7, 0)</f>
        <v>stun</v>
      </c>
      <c r="N418" s="29">
        <v>1</v>
      </c>
      <c r="O418" s="29">
        <f>VLOOKUP(E418, Factor!$CL$5:$CV$50, 8, 0)*N418*VLOOKUP(D418, Factor!$BZ$5:$CJ$49, 10, 0)</f>
        <v>40</v>
      </c>
      <c r="P418" s="29">
        <v>1</v>
      </c>
      <c r="Q418" s="29">
        <f>VLOOKUP(E418, Factor!$CL$5:$CV$50, 9, 0)*P418*VLOOKUP(D418, Factor!$BZ$5:$CJ$49, 11, 0)</f>
        <v>8</v>
      </c>
      <c r="R418" s="29" t="str">
        <f>VLOOKUP(E418, Factor!$CL$5:$CV$50, 10, 0)</f>
        <v>target</v>
      </c>
      <c r="S418" s="29" t="str">
        <f>VLOOKUP(E418, Factor!$CL$5:$CV$50, 11, 0)</f>
        <v>circle</v>
      </c>
      <c r="T418" s="29">
        <v>1</v>
      </c>
      <c r="U418" s="29">
        <v>1</v>
      </c>
      <c r="V418" s="29">
        <v>1</v>
      </c>
      <c r="W418" s="29">
        <v>1</v>
      </c>
      <c r="X418" s="29">
        <v>1</v>
      </c>
      <c r="Y418" s="29">
        <v>1</v>
      </c>
      <c r="Z418" s="29">
        <v>1</v>
      </c>
      <c r="AA418" s="29" cm="1">
        <f t="array" ref="AA418">_xlfn.LET(_xlpm.기본_색인번호, 2,
_xlpm.추가_색인번호, 3,
_xlpm.개별보정치, T418,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418" s="29" cm="1">
        <f t="array" ref="AB418">_xlfn.LET(_xlpm.기본_색인번호, 3,
_xlpm.추가_색인번호, 4,
_xlpm.개별보정치, U418,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18" s="29" cm="1">
        <f t="array" ref="AC418">_xlfn.LET(_xlpm.기본_색인번호, 4,
_xlpm.추가_색인번호, 5,
_xlpm.개별보정치, V418,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18" s="29" cm="1">
        <f t="array" ref="AD418">_xlfn.LET(_xlpm.기본_색인번호, 5,
_xlpm.추가_색인번호, 6,
_xlpm.개별보정치, W418,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418" s="29" cm="1">
        <f t="array" ref="AE418">_xlfn.LET(_xlpm.기본_색인번호, 6,
_xlpm.추가_색인번호, 7,
_xlpm.개별보정치, X418,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418" s="29" cm="1">
        <f t="array" ref="AF418">_xlfn.LET(_xlpm.기본_색인번호, 7,
_xlpm.추가_색인번호, 8,
_xlpm.개별보정치, Y418,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18" s="30" cm="1">
        <f t="array" ref="AG418">_xlfn.LET(_xlpm.기본_색인번호, 8,
_xlpm.추가_색인번호, 9,
_xlpm.개별보정치, Z418,
_xlpm.패턴보정치, VLOOKUP($G418, Factor!$B$5:$I$51, _xlpm.기본_색인번호, 0),
_xlpm.소모탄환보정치, VLOOKUP($H418, Factor!$T$5:$AA$51, _xlpm.기본_색인번호, 0),
_xlpm.지형보정치, VLOOKUP($I418, Factor!$K$12:$R$13, _xlpm.기본_색인번호, 0),
_xlpm.공격속성보정치, VLOOKUP($J418, Factor!$K$5:$R$7, _xlpm.기본_색인번호, 0),
_xlpm.피해범위보정치, INDEX(Factor!$AN$5:$AV$51, _xlfn.XMATCH(IF(OR($G418="blast", $G418="curved",  $G418= "debuff"), $L418, 0), Factor!$AN$5:$AN$51, -1), _xlpm.추가_색인번호)-IF(AND(OR($G418="blast", $G418="curved", $G418= "debuff"), MOD($L418,1)&lt;&gt;0),INDEX(Factor!$AN$5:$AV$51, _xlfn.XMATCH(IF(OR($G418="blast", $G418="curved", $G418= "debuff"), $L418, 0), Factor!$AN$5:$AN$51, -1), 2)*MOD($L418,1)*10,0),
_xlpm.상태이상보정치, VLOOKUP(IF($G418 = "debuff", $M418, "null"), Factor!$AX$5:$BE$51, _xlpm.기본_색인번호, 0),
_xlpm.지속시간보정치, INDEX(Factor!$BG$5:$BO$51, _xlfn.XMATCH(IF(OR($G418 ="debuff", $G418 = "shot", $G418 = "pierce"), $O418, 0), Factor!$BG$5:$BG$51, -1), _xlpm.추가_색인번호)-IF(AND(OR($G418 ="debuff", $G418 = "shot", $G418 = "pierce"), MOD($O418, 1)&lt;&gt;0), 10*MOD($O418, 1)*INDEX(Factor!$BG$5:$BO$51, _xlfn.XMATCH(IF(OR($G418 ="debuff", $G418 = "shot", $G418 = "pierce"), $O418, 0), Factor!$BG$5:$BG$51, -1), 2), 0),
_xlpm.탄환개수보정치, VLOOKUP(IF(OR($G418 = "curved", $G418 = "shot"), $Q418, 1), Factor!$BQ$5:$BX$51, _xlpm.기본_색인번호, 0),
_xlpm.상태이상탄환생성위치보정치, IF($G418 = "debuff", VLOOKUP($R418, Factor!$K$18:$R$19, _xlpm.기본_색인번호, 0),1),
_xlpm.상태이상탄환형태보정치, IF($G418 = "debuff", VLOOKUP($S418, Factor!$K$24:$R$25, _xlpm.기본_색인번호, 0),1),
_xlpm.가격보정치, INDEX(Factor!$AE$5:$AL$51, _xlfn.XMATCH($F418,Factor!$AE$5:$AE$51, -1), _xlpm.기본_색인번호),
_xlpm.구경보정치, VLOOKUP($D418,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419" spans="1:33" ht="15.75" customHeight="1">
      <c r="A419" s="24" t="str">
        <f>"weapon_"&amp;G419&amp;"_"&amp;VLOOKUP(H419, Factor!$T$5:$AB$7, 9, 0)&amp;"_"&amp;IF(COUNTIFS($G$4:G418, G419, $H$4:H418, H419)+1&gt;=100, COUNTIFS($G$4:G418, G419, $H$4:H418, H419)+1,IF(COUNTIFS($G$4:G418, G419, $H$4:H418, H419)+1&gt;=10, "0"&amp;COUNTIFS($G$4:G418, G419, $H$4:H418, H419)+1, "00"&amp;COUNTIFS($G$4:G418, G419, $H$4:H418, H419)+1))</f>
        <v>weapon_debuff_Ms_063</v>
      </c>
      <c r="B419" s="36" t="str">
        <f t="shared" si="6"/>
        <v>T9 액화질소 살포 미사일 발사대</v>
      </c>
      <c r="C419" s="36" t="s">
        <v>162</v>
      </c>
      <c r="D419" s="36" t="s">
        <v>275</v>
      </c>
      <c r="E419" s="36" t="s">
        <v>209</v>
      </c>
      <c r="F419" s="25">
        <f>VLOOKUP(C419, Factor!$AD$5:$AE$15, 2, 0)</f>
        <v>9000</v>
      </c>
      <c r="G419" s="26" t="str">
        <f>VLOOKUP(E419, Factor!$CL$5:$CV$50, 2, 0)</f>
        <v>debuff</v>
      </c>
      <c r="H419" s="25" t="str">
        <f>VLOOKUP(E419, Factor!$CL$5:$CV$50, 3, 0)</f>
        <v>missile</v>
      </c>
      <c r="I419" s="25" t="str">
        <f>VLOOKUP(E419, Factor!$CL$5:$CV$50, 4, 0)</f>
        <v>L</v>
      </c>
      <c r="J419" s="25" t="str">
        <f>VLOOKUP(E419, Factor!$CL$5:$CV$50, 5, 0)</f>
        <v>spread</v>
      </c>
      <c r="K419" s="25">
        <v>1</v>
      </c>
      <c r="L419" s="25">
        <f>VLOOKUP(E419, Factor!$CL$5:$CV$50, 6, 0)*K419*VLOOKUP(D419, Factor!$BZ$5:$CJ$49, 9, 0)</f>
        <v>0</v>
      </c>
      <c r="M419" s="25" t="str">
        <f>VLOOKUP(E419, Factor!$CL$5:$CV$50, 7, 0)</f>
        <v>stun</v>
      </c>
      <c r="N419" s="25">
        <v>1</v>
      </c>
      <c r="O419" s="25">
        <f>VLOOKUP(E419, Factor!$CL$5:$CV$50, 8, 0)*N419*VLOOKUP(D419, Factor!$BZ$5:$CJ$49, 10, 0)</f>
        <v>5</v>
      </c>
      <c r="P419" s="25">
        <v>1</v>
      </c>
      <c r="Q419" s="25">
        <f>VLOOKUP(E419, Factor!$CL$5:$CV$50, 9, 0)*P419*VLOOKUP(D419, Factor!$BZ$5:$CJ$49, 11, 0)</f>
        <v>1</v>
      </c>
      <c r="R419" s="25" t="str">
        <f>VLOOKUP(E419, Factor!$CL$5:$CV$50, 10, 0)</f>
        <v>target</v>
      </c>
      <c r="S419" s="25" t="str">
        <f>VLOOKUP(E419, Factor!$CL$5:$CV$50, 11, 0)</f>
        <v>circle</v>
      </c>
      <c r="T419" s="25">
        <v>1</v>
      </c>
      <c r="U419" s="25">
        <v>1</v>
      </c>
      <c r="V419" s="25">
        <v>1</v>
      </c>
      <c r="W419" s="25">
        <v>1</v>
      </c>
      <c r="X419" s="25">
        <v>1</v>
      </c>
      <c r="Y419" s="25">
        <v>1</v>
      </c>
      <c r="Z419" s="25">
        <v>1</v>
      </c>
      <c r="AA419" s="25" cm="1">
        <f t="array" ref="AA419">_xlfn.LET(_xlpm.기본_색인번호, 2,
_xlpm.추가_색인번호, 3,
_xlpm.개별보정치, T419,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419" s="25" cm="1">
        <f t="array" ref="AB419">_xlfn.LET(_xlpm.기본_색인번호, 3,
_xlpm.추가_색인번호, 4,
_xlpm.개별보정치, U419,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</v>
      </c>
      <c r="AC419" s="25" cm="1">
        <f t="array" ref="AC419">_xlfn.LET(_xlpm.기본_색인번호, 4,
_xlpm.추가_색인번호, 5,
_xlpm.개별보정치, V419,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19" s="25" cm="1">
        <f t="array" ref="AD419">_xlfn.LET(_xlpm.기본_색인번호, 5,
_xlpm.추가_색인번호, 6,
_xlpm.개별보정치, W419,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E419" s="25" cm="1">
        <f t="array" ref="AE419">_xlfn.LET(_xlpm.기본_색인번호, 6,
_xlpm.추가_색인번호, 7,
_xlpm.개별보정치, X419,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F419" s="25" cm="1">
        <f t="array" ref="AF419">_xlfn.LET(_xlpm.기본_색인번호, 7,
_xlpm.추가_색인번호, 8,
_xlpm.개별보정치, Y419,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19" s="27" cm="1">
        <f t="array" ref="AG419">_xlfn.LET(_xlpm.기본_색인번호, 8,
_xlpm.추가_색인번호, 9,
_xlpm.개별보정치, Z419,
_xlpm.패턴보정치, VLOOKUP($G419, Factor!$B$5:$I$51, _xlpm.기본_색인번호, 0),
_xlpm.소모탄환보정치, VLOOKUP($H419, Factor!$T$5:$AA$51, _xlpm.기본_색인번호, 0),
_xlpm.지형보정치, VLOOKUP($I419, Factor!$K$12:$R$13, _xlpm.기본_색인번호, 0),
_xlpm.공격속성보정치, VLOOKUP($J419, Factor!$K$5:$R$7, _xlpm.기본_색인번호, 0),
_xlpm.피해범위보정치, INDEX(Factor!$AN$5:$AV$51, _xlfn.XMATCH(IF(OR($G419="blast", $G419="curved",  $G419= "debuff"), $L419, 0), Factor!$AN$5:$AN$51, -1), _xlpm.추가_색인번호)-IF(AND(OR($G419="blast", $G419="curved", $G419= "debuff"), MOD($L419,1)&lt;&gt;0),INDEX(Factor!$AN$5:$AV$51, _xlfn.XMATCH(IF(OR($G419="blast", $G419="curved", $G419= "debuff"), $L419, 0), Factor!$AN$5:$AN$51, -1), 2)*MOD($L419,1)*10,0),
_xlpm.상태이상보정치, VLOOKUP(IF($G419 = "debuff", $M419, "null"), Factor!$AX$5:$BE$51, _xlpm.기본_색인번호, 0),
_xlpm.지속시간보정치, INDEX(Factor!$BG$5:$BO$51, _xlfn.XMATCH(IF(OR($G419 ="debuff", $G419 = "shot", $G419 = "pierce"), $O419, 0), Factor!$BG$5:$BG$51, -1), _xlpm.추가_색인번호)-IF(AND(OR($G419 ="debuff", $G419 = "shot", $G419 = "pierce"), MOD($O419, 1)&lt;&gt;0), 10*MOD($O419, 1)*INDEX(Factor!$BG$5:$BO$51, _xlfn.XMATCH(IF(OR($G419 ="debuff", $G419 = "shot", $G419 = "pierce"), $O419, 0), Factor!$BG$5:$BG$51, -1), 2), 0),
_xlpm.탄환개수보정치, VLOOKUP(IF(OR($G419 = "curved", $G419 = "shot"), $Q419, 1), Factor!$BQ$5:$BX$51, _xlpm.기본_색인번호, 0),
_xlpm.상태이상탄환생성위치보정치, IF($G419 = "debuff", VLOOKUP($R419, Factor!$K$18:$R$19, _xlpm.기본_색인번호, 0),1),
_xlpm.상태이상탄환형태보정치, IF($G419 = "debuff", VLOOKUP($S419, Factor!$K$24:$R$25, _xlpm.기본_색인번호, 0),1),
_xlpm.가격보정치, INDEX(Factor!$AE$5:$AL$51, _xlfn.XMATCH($F419,Factor!$AE$5:$AE$51, -1), _xlpm.기본_색인번호),
_xlpm.구경보정치, VLOOKUP($D419,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</row>
    <row r="420" spans="1:33" ht="15.75" customHeight="1">
      <c r="A420" s="28" t="str">
        <f>"weapon_"&amp;G420&amp;"_"&amp;VLOOKUP(H420, Factor!$T$5:$AB$7, 9, 0)&amp;"_"&amp;IF(COUNTIFS($G$4:G419, G420, $H$4:H419, H420)+1&gt;=100, COUNTIFS($G$4:G419, G420, $H$4:H419, H420)+1,IF(COUNTIFS($G$4:G419, G420, $H$4:H419, H420)+1&gt;=10, "0"&amp;COUNTIFS($G$4:G419, G420, $H$4:H419, H420)+1, "00"&amp;COUNTIFS($G$4:G419, G420, $H$4:H419, H420)+1))</f>
        <v>weapon_debuff_Ms_064</v>
      </c>
      <c r="B420" s="37" t="str">
        <f t="shared" si="6"/>
        <v>T9 240mm액화질소 살포 미사일 발사대</v>
      </c>
      <c r="C420" s="37" t="s">
        <v>162</v>
      </c>
      <c r="D420" s="37" t="s">
        <v>267</v>
      </c>
      <c r="E420" s="37" t="s">
        <v>209</v>
      </c>
      <c r="F420" s="29">
        <f>VLOOKUP(C420, Factor!$AD$5:$AE$15, 2, 0)</f>
        <v>9000</v>
      </c>
      <c r="G420" s="29" t="str">
        <f>VLOOKUP(E420, Factor!$CL$5:$CV$50, 2, 0)</f>
        <v>debuff</v>
      </c>
      <c r="H420" s="29" t="str">
        <f>VLOOKUP(E420, Factor!$CL$5:$CV$50, 3, 0)</f>
        <v>missile</v>
      </c>
      <c r="I420" s="29" t="str">
        <f>VLOOKUP(E420, Factor!$CL$5:$CV$50, 4, 0)</f>
        <v>L</v>
      </c>
      <c r="J420" s="29" t="str">
        <f>VLOOKUP(E420, Factor!$CL$5:$CV$50, 5, 0)</f>
        <v>spread</v>
      </c>
      <c r="K420" s="29">
        <v>1</v>
      </c>
      <c r="L420" s="29">
        <f>VLOOKUP(E420, Factor!$CL$5:$CV$50, 6, 0)*K420*VLOOKUP(D420, Factor!$BZ$5:$CJ$49, 9, 0)</f>
        <v>0</v>
      </c>
      <c r="M420" s="29" t="str">
        <f>VLOOKUP(E420, Factor!$CL$5:$CV$50, 7, 0)</f>
        <v>stun</v>
      </c>
      <c r="N420" s="29">
        <v>1</v>
      </c>
      <c r="O420" s="29">
        <f>VLOOKUP(E420, Factor!$CL$5:$CV$50, 8, 0)*N420*VLOOKUP(D420, Factor!$BZ$5:$CJ$49, 10, 0)</f>
        <v>40</v>
      </c>
      <c r="P420" s="29">
        <v>1</v>
      </c>
      <c r="Q420" s="29">
        <f>VLOOKUP(E420, Factor!$CL$5:$CV$50, 9, 0)*P420*VLOOKUP(D420, Factor!$BZ$5:$CJ$49, 11, 0)</f>
        <v>8</v>
      </c>
      <c r="R420" s="29" t="str">
        <f>VLOOKUP(E420, Factor!$CL$5:$CV$50, 10, 0)</f>
        <v>target</v>
      </c>
      <c r="S420" s="29" t="str">
        <f>VLOOKUP(E420, Factor!$CL$5:$CV$50, 11, 0)</f>
        <v>circle</v>
      </c>
      <c r="T420" s="29">
        <v>1</v>
      </c>
      <c r="U420" s="29">
        <v>1</v>
      </c>
      <c r="V420" s="29">
        <v>1</v>
      </c>
      <c r="W420" s="29">
        <v>1</v>
      </c>
      <c r="X420" s="29">
        <v>1</v>
      </c>
      <c r="Y420" s="29">
        <v>1</v>
      </c>
      <c r="Z420" s="29">
        <v>1</v>
      </c>
      <c r="AA420" s="29" cm="1">
        <f t="array" ref="AA420">_xlfn.LET(_xlpm.기본_색인번호, 2,
_xlpm.추가_색인번호, 3,
_xlpm.개별보정치, T420,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6000</v>
      </c>
      <c r="AB420" s="29" cm="1">
        <f t="array" ref="AB420">_xlfn.LET(_xlpm.기본_색인번호, 3,
_xlpm.추가_색인번호, 4,
_xlpm.개별보정치, U420,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20" s="29" cm="1">
        <f t="array" ref="AC420">_xlfn.LET(_xlpm.기본_색인번호, 4,
_xlpm.추가_색인번호, 5,
_xlpm.개별보정치, V420,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0" s="29" cm="1">
        <f t="array" ref="AD420">_xlfn.LET(_xlpm.기본_색인번호, 5,
_xlpm.추가_색인번호, 6,
_xlpm.개별보정치, W420,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E420" s="29" cm="1">
        <f t="array" ref="AE420">_xlfn.LET(_xlpm.기본_색인번호, 6,
_xlpm.추가_색인번호, 7,
_xlpm.개별보정치, X420,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F420" s="29" cm="1">
        <f t="array" ref="AF420">_xlfn.LET(_xlpm.기본_색인번호, 7,
_xlpm.추가_색인번호, 8,
_xlpm.개별보정치, Y420,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0" s="30" cm="1">
        <f t="array" ref="AG420">_xlfn.LET(_xlpm.기본_색인번호, 8,
_xlpm.추가_색인번호, 9,
_xlpm.개별보정치, Z420,
_xlpm.패턴보정치, VLOOKUP($G420, Factor!$B$5:$I$51, _xlpm.기본_색인번호, 0),
_xlpm.소모탄환보정치, VLOOKUP($H420, Factor!$T$5:$AA$51, _xlpm.기본_색인번호, 0),
_xlpm.지형보정치, VLOOKUP($I420, Factor!$K$12:$R$13, _xlpm.기본_색인번호, 0),
_xlpm.공격속성보정치, VLOOKUP($J420, Factor!$K$5:$R$7, _xlpm.기본_색인번호, 0),
_xlpm.피해범위보정치, INDEX(Factor!$AN$5:$AV$51, _xlfn.XMATCH(IF(OR($G420="blast", $G420="curved",  $G420= "debuff"), $L420, 0), Factor!$AN$5:$AN$51, -1), _xlpm.추가_색인번호)-IF(AND(OR($G420="blast", $G420="curved", $G420= "debuff"), MOD($L420,1)&lt;&gt;0),INDEX(Factor!$AN$5:$AV$51, _xlfn.XMATCH(IF(OR($G420="blast", $G420="curved", $G420= "debuff"), $L420, 0), Factor!$AN$5:$AN$51, -1), 2)*MOD($L420,1)*10,0),
_xlpm.상태이상보정치, VLOOKUP(IF($G420 = "debuff", $M420, "null"), Factor!$AX$5:$BE$51, _xlpm.기본_색인번호, 0),
_xlpm.지속시간보정치, INDEX(Factor!$BG$5:$BO$51, _xlfn.XMATCH(IF(OR($G420 ="debuff", $G420 = "shot", $G420 = "pierce"), $O420, 0), Factor!$BG$5:$BG$51, -1), _xlpm.추가_색인번호)-IF(AND(OR($G420 ="debuff", $G420 = "shot", $G420 = "pierce"), MOD($O420, 1)&lt;&gt;0), 10*MOD($O420, 1)*INDEX(Factor!$BG$5:$BO$51, _xlfn.XMATCH(IF(OR($G420 ="debuff", $G420 = "shot", $G420 = "pierce"), $O420, 0), Factor!$BG$5:$BG$51, -1), 2), 0),
_xlpm.탄환개수보정치, VLOOKUP(IF(OR($G420 = "curved", $G420 = "shot"), $Q420, 1), Factor!$BQ$5:$BX$51, _xlpm.기본_색인번호, 0),
_xlpm.상태이상탄환생성위치보정치, IF($G420 = "debuff", VLOOKUP($R420, Factor!$K$18:$R$19, _xlpm.기본_색인번호, 0),1),
_xlpm.상태이상탄환형태보정치, IF($G420 = "debuff", VLOOKUP($S420, Factor!$K$24:$R$25, _xlpm.기본_색인번호, 0),1),
_xlpm.가격보정치, INDEX(Factor!$AE$5:$AL$51, _xlfn.XMATCH($F420,Factor!$AE$5:$AE$51, -1), _xlpm.기본_색인번호),
_xlpm.구경보정치, VLOOKUP($D420,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</row>
    <row r="421" spans="1:33" ht="15.75" customHeight="1">
      <c r="A421" s="24" t="str">
        <f>"weapon_"&amp;G421&amp;"_"&amp;VLOOKUP(H421, Factor!$T$5:$AB$7, 9, 0)&amp;"_"&amp;IF(COUNTIFS($G$4:G420, G421, $H$4:H420, H421)+1&gt;=100, COUNTIFS($G$4:G420, G421, $H$4:H420, H421)+1,IF(COUNTIFS($G$4:G420, G421, $H$4:H420, H421)+1&gt;=10, "0"&amp;COUNTIFS($G$4:G420, G421, $H$4:H420, H421)+1, "00"&amp;COUNTIFS($G$4:G420, G421, $H$4:H420, H421)+1))</f>
        <v>weapon_debuff_Ms_065</v>
      </c>
      <c r="B421" s="36" t="str">
        <f t="shared" si="6"/>
        <v>T10 액화질소 살포 미사일 발사대</v>
      </c>
      <c r="C421" s="36" t="s">
        <v>163</v>
      </c>
      <c r="D421" s="36" t="s">
        <v>275</v>
      </c>
      <c r="E421" s="36" t="s">
        <v>209</v>
      </c>
      <c r="F421" s="25">
        <f>VLOOKUP(C421, Factor!$AD$5:$AE$15, 2, 0)</f>
        <v>10000</v>
      </c>
      <c r="G421" s="26" t="str">
        <f>VLOOKUP(E421, Factor!$CL$5:$CV$50, 2, 0)</f>
        <v>debuff</v>
      </c>
      <c r="H421" s="25" t="str">
        <f>VLOOKUP(E421, Factor!$CL$5:$CV$50, 3, 0)</f>
        <v>missile</v>
      </c>
      <c r="I421" s="25" t="str">
        <f>VLOOKUP(E421, Factor!$CL$5:$CV$50, 4, 0)</f>
        <v>L</v>
      </c>
      <c r="J421" s="25" t="str">
        <f>VLOOKUP(E421, Factor!$CL$5:$CV$50, 5, 0)</f>
        <v>spread</v>
      </c>
      <c r="K421" s="25">
        <v>1</v>
      </c>
      <c r="L421" s="25">
        <f>VLOOKUP(E421, Factor!$CL$5:$CV$50, 6, 0)*K421*VLOOKUP(D421, Factor!$BZ$5:$CJ$49, 9, 0)</f>
        <v>0</v>
      </c>
      <c r="M421" s="25" t="str">
        <f>VLOOKUP(E421, Factor!$CL$5:$CV$50, 7, 0)</f>
        <v>stun</v>
      </c>
      <c r="N421" s="25">
        <v>1</v>
      </c>
      <c r="O421" s="25">
        <f>VLOOKUP(E421, Factor!$CL$5:$CV$50, 8, 0)*N421*VLOOKUP(D421, Factor!$BZ$5:$CJ$49, 10, 0)</f>
        <v>5</v>
      </c>
      <c r="P421" s="25">
        <v>1</v>
      </c>
      <c r="Q421" s="25">
        <f>VLOOKUP(E421, Factor!$CL$5:$CV$50, 9, 0)*P421*VLOOKUP(D421, Factor!$BZ$5:$CJ$49, 11, 0)</f>
        <v>1</v>
      </c>
      <c r="R421" s="25" t="str">
        <f>VLOOKUP(E421, Factor!$CL$5:$CV$50, 10, 0)</f>
        <v>target</v>
      </c>
      <c r="S421" s="25" t="str">
        <f>VLOOKUP(E421, Factor!$CL$5:$CV$50, 11, 0)</f>
        <v>circle</v>
      </c>
      <c r="T421" s="25">
        <v>1</v>
      </c>
      <c r="U421" s="25">
        <v>1</v>
      </c>
      <c r="V421" s="25">
        <v>1</v>
      </c>
      <c r="W421" s="25">
        <v>1</v>
      </c>
      <c r="X421" s="25">
        <v>1</v>
      </c>
      <c r="Y421" s="25">
        <v>1</v>
      </c>
      <c r="Z421" s="25">
        <v>1</v>
      </c>
      <c r="AA421" s="25" cm="1">
        <f t="array" ref="AA421">_xlfn.LET(_xlpm.기본_색인번호, 2,
_xlpm.추가_색인번호, 3,
_xlpm.개별보정치, T421,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3300</v>
      </c>
      <c r="AB421" s="25" cm="1">
        <f t="array" ref="AB421">_xlfn.LET(_xlpm.기본_색인번호, 3,
_xlpm.추가_색인번호, 4,
_xlpm.개별보정치, U421,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105</v>
      </c>
      <c r="AC421" s="25" cm="1">
        <f t="array" ref="AC421">_xlfn.LET(_xlpm.기본_색인번호, 4,
_xlpm.추가_색인번호, 5,
_xlpm.개별보정치, V421,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</v>
      </c>
      <c r="AD421" s="25" cm="1">
        <f t="array" ref="AD421">_xlfn.LET(_xlpm.기본_색인번호, 5,
_xlpm.추가_색인번호, 6,
_xlpm.개별보정치, W421,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165</v>
      </c>
      <c r="AE421" s="25" cm="1">
        <f t="array" ref="AE421">_xlfn.LET(_xlpm.기본_색인번호, 6,
_xlpm.추가_색인번호, 7,
_xlpm.개별보정치, X421,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165</v>
      </c>
      <c r="AF421" s="25" cm="1">
        <f t="array" ref="AF421">_xlfn.LET(_xlpm.기본_색인번호, 7,
_xlpm.추가_색인번호, 8,
_xlpm.개별보정치, Y421,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G421" s="27" cm="1">
        <f t="array" ref="AG421">_xlfn.LET(_xlpm.기본_색인번호, 8,
_xlpm.추가_색인번호, 9,
_xlpm.개별보정치, Z421,
_xlpm.패턴보정치, VLOOKUP($G421, Factor!$B$5:$I$51, _xlpm.기본_색인번호, 0),
_xlpm.소모탄환보정치, VLOOKUP($H421, Factor!$T$5:$AA$51, _xlpm.기본_색인번호, 0),
_xlpm.지형보정치, VLOOKUP($I421, Factor!$K$12:$R$13, _xlpm.기본_색인번호, 0),
_xlpm.공격속성보정치, VLOOKUP($J421, Factor!$K$5:$R$7, _xlpm.기본_색인번호, 0),
_xlpm.피해범위보정치, INDEX(Factor!$AN$5:$AV$51, _xlfn.XMATCH(IF(OR($G421="blast", $G421="curved",  $G421= "debuff"), $L421, 0), Factor!$AN$5:$AN$51, -1), _xlpm.추가_색인번호)-IF(AND(OR($G421="blast", $G421="curved", $G421= "debuff"), MOD($L421,1)&lt;&gt;0),INDEX(Factor!$AN$5:$AV$51, _xlfn.XMATCH(IF(OR($G421="blast", $G421="curved", $G421= "debuff"), $L421, 0), Factor!$AN$5:$AN$51, -1), 2)*MOD($L421,1)*10,0),
_xlpm.상태이상보정치, VLOOKUP(IF($G421 = "debuff", $M421, "null"), Factor!$AX$5:$BE$51, _xlpm.기본_색인번호, 0),
_xlpm.지속시간보정치, INDEX(Factor!$BG$5:$BO$51, _xlfn.XMATCH(IF(OR($G421 ="debuff", $G421 = "shot", $G421 = "pierce"), $O421, 0), Factor!$BG$5:$BG$51, -1), _xlpm.추가_색인번호)-IF(AND(OR($G421 ="debuff", $G421 = "shot", $G421 = "pierce"), MOD($O421, 1)&lt;&gt;0), 10*MOD($O421, 1)*INDEX(Factor!$BG$5:$BO$51, _xlfn.XMATCH(IF(OR($G421 ="debuff", $G421 = "shot", $G421 = "pierce"), $O421, 0), Factor!$BG$5:$BG$51, -1), 2), 0),
_xlpm.탄환개수보정치, VLOOKUP(IF(OR($G421 = "curved", $G421 = "shot"), $Q421, 1), Factor!$BQ$5:$BX$51, _xlpm.기본_색인번호, 0),
_xlpm.상태이상탄환생성위치보정치, IF($G421 = "debuff", VLOOKUP($R421, Factor!$K$18:$R$19, _xlpm.기본_색인번호, 0),1),
_xlpm.상태이상탄환형태보정치, IF($G421 = "debuff", VLOOKUP($S421, Factor!$K$24:$R$25, _xlpm.기본_색인번호, 0),1),
_xlpm.가격보정치, INDEX(Factor!$AE$5:$AL$51, _xlfn.XMATCH($F421,Factor!$AE$5:$AE$51, -1), _xlpm.기본_색인번호),
_xlpm.구경보정치, VLOOKUP($D421,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165</v>
      </c>
    </row>
    <row r="422" spans="1:33" ht="15.75" customHeight="1">
      <c r="A422" s="28" t="str">
        <f>"weapon_"&amp;G422&amp;"_"&amp;VLOOKUP(H422, Factor!$T$5:$AB$7, 9, 0)&amp;"_"&amp;IF(COUNTIFS($G$4:G421, G422, $H$4:H421, H422)+1&gt;=100, COUNTIFS($G$4:G421, G422, $H$4:H421, H422)+1,IF(COUNTIFS($G$4:G421, G422, $H$4:H421, H422)+1&gt;=10, "0"&amp;COUNTIFS($G$4:G421, G422, $H$4:H421, H422)+1, "00"&amp;COUNTIFS($G$4:G421, G422, $H$4:H421, H422)+1))</f>
        <v>weapon_debuff_Ms_066</v>
      </c>
      <c r="B422" s="37" t="str">
        <f t="shared" si="6"/>
        <v>T10 240mm액화질소 살포 미사일 발사대</v>
      </c>
      <c r="C422" s="37" t="s">
        <v>163</v>
      </c>
      <c r="D422" s="37" t="s">
        <v>267</v>
      </c>
      <c r="E422" s="37" t="s">
        <v>209</v>
      </c>
      <c r="F422" s="29">
        <f>VLOOKUP(C422, Factor!$AD$5:$AE$15, 2, 0)</f>
        <v>10000</v>
      </c>
      <c r="G422" s="29" t="str">
        <f>VLOOKUP(E422, Factor!$CL$5:$CV$50, 2, 0)</f>
        <v>debuff</v>
      </c>
      <c r="H422" s="29" t="str">
        <f>VLOOKUP(E422, Factor!$CL$5:$CV$50, 3, 0)</f>
        <v>missile</v>
      </c>
      <c r="I422" s="29" t="str">
        <f>VLOOKUP(E422, Factor!$CL$5:$CV$50, 4, 0)</f>
        <v>L</v>
      </c>
      <c r="J422" s="29" t="str">
        <f>VLOOKUP(E422, Factor!$CL$5:$CV$50, 5, 0)</f>
        <v>spread</v>
      </c>
      <c r="K422" s="29">
        <v>1</v>
      </c>
      <c r="L422" s="29">
        <f>VLOOKUP(E422, Factor!$CL$5:$CV$50, 6, 0)*K422*VLOOKUP(D422, Factor!$BZ$5:$CJ$49, 9, 0)</f>
        <v>0</v>
      </c>
      <c r="M422" s="29" t="str">
        <f>VLOOKUP(E422, Factor!$CL$5:$CV$50, 7, 0)</f>
        <v>stun</v>
      </c>
      <c r="N422" s="29">
        <v>1</v>
      </c>
      <c r="O422" s="29">
        <f>VLOOKUP(E422, Factor!$CL$5:$CV$50, 8, 0)*N422*VLOOKUP(D422, Factor!$BZ$5:$CJ$49, 10, 0)</f>
        <v>40</v>
      </c>
      <c r="P422" s="29">
        <v>1</v>
      </c>
      <c r="Q422" s="29">
        <f>VLOOKUP(E422, Factor!$CL$5:$CV$50, 9, 0)*P422*VLOOKUP(D422, Factor!$BZ$5:$CJ$49, 11, 0)</f>
        <v>8</v>
      </c>
      <c r="R422" s="29" t="str">
        <f>VLOOKUP(E422, Factor!$CL$5:$CV$50, 10, 0)</f>
        <v>target</v>
      </c>
      <c r="S422" s="29" t="str">
        <f>VLOOKUP(E422, Factor!$CL$5:$CV$50, 11, 0)</f>
        <v>circle</v>
      </c>
      <c r="T422" s="29">
        <v>1</v>
      </c>
      <c r="U422" s="29">
        <v>1</v>
      </c>
      <c r="V422" s="29">
        <v>1</v>
      </c>
      <c r="W422" s="29">
        <v>1</v>
      </c>
      <c r="X422" s="29">
        <v>1</v>
      </c>
      <c r="Y422" s="29">
        <v>1</v>
      </c>
      <c r="Z422" s="29">
        <v>1</v>
      </c>
      <c r="AA422" s="29" cm="1">
        <f t="array" ref="AA422">_xlfn.LET(_xlpm.기본_색인번호, 2,
_xlpm.추가_색인번호, 3,
_xlpm.개별보정치, T422,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6600</v>
      </c>
      <c r="AB422" s="29" cm="1">
        <f t="array" ref="AB422">_xlfn.LET(_xlpm.기본_색인번호, 3,
_xlpm.추가_색인번호, 4,
_xlpm.개별보정치, U422,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22" s="29" cm="1">
        <f t="array" ref="AC422">_xlfn.LET(_xlpm.기본_색인번호, 4,
_xlpm.추가_색인번호, 5,
_xlpm.개별보정치, V422,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2" s="29" cm="1">
        <f t="array" ref="AD422">_xlfn.LET(_xlpm.기본_색인번호, 5,
_xlpm.추가_색인번호, 6,
_xlpm.개별보정치, W422,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E422" s="29" cm="1">
        <f t="array" ref="AE422">_xlfn.LET(_xlpm.기본_색인번호, 6,
_xlpm.추가_색인번호, 7,
_xlpm.개별보정치, X422,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F422" s="29" cm="1">
        <f t="array" ref="AF422">_xlfn.LET(_xlpm.기본_색인번호, 7,
_xlpm.추가_색인번호, 8,
_xlpm.개별보정치, Y422,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2" s="30" cm="1">
        <f t="array" ref="AG422">_xlfn.LET(_xlpm.기본_색인번호, 8,
_xlpm.추가_색인번호, 9,
_xlpm.개별보정치, Z422,
_xlpm.패턴보정치, VLOOKUP($G422, Factor!$B$5:$I$51, _xlpm.기본_색인번호, 0),
_xlpm.소모탄환보정치, VLOOKUP($H422, Factor!$T$5:$AA$51, _xlpm.기본_색인번호, 0),
_xlpm.지형보정치, VLOOKUP($I422, Factor!$K$12:$R$13, _xlpm.기본_색인번호, 0),
_xlpm.공격속성보정치, VLOOKUP($J422, Factor!$K$5:$R$7, _xlpm.기본_색인번호, 0),
_xlpm.피해범위보정치, INDEX(Factor!$AN$5:$AV$51, _xlfn.XMATCH(IF(OR($G422="blast", $G422="curved",  $G422= "debuff"), $L422, 0), Factor!$AN$5:$AN$51, -1), _xlpm.추가_색인번호)-IF(AND(OR($G422="blast", $G422="curved", $G422= "debuff"), MOD($L422,1)&lt;&gt;0),INDEX(Factor!$AN$5:$AV$51, _xlfn.XMATCH(IF(OR($G422="blast", $G422="curved", $G422= "debuff"), $L422, 0), Factor!$AN$5:$AN$51, -1), 2)*MOD($L422,1)*10,0),
_xlpm.상태이상보정치, VLOOKUP(IF($G422 = "debuff", $M422, "null"), Factor!$AX$5:$BE$51, _xlpm.기본_색인번호, 0),
_xlpm.지속시간보정치, INDEX(Factor!$BG$5:$BO$51, _xlfn.XMATCH(IF(OR($G422 ="debuff", $G422 = "shot", $G422 = "pierce"), $O422, 0), Factor!$BG$5:$BG$51, -1), _xlpm.추가_색인번호)-IF(AND(OR($G422 ="debuff", $G422 = "shot", $G422 = "pierce"), MOD($O422, 1)&lt;&gt;0), 10*MOD($O422, 1)*INDEX(Factor!$BG$5:$BO$51, _xlfn.XMATCH(IF(OR($G422 ="debuff", $G422 = "shot", $G422 = "pierce"), $O422, 0), Factor!$BG$5:$BG$51, -1), 2), 0),
_xlpm.탄환개수보정치, VLOOKUP(IF(OR($G422 = "curved", $G422 = "shot"), $Q422, 1), Factor!$BQ$5:$BX$51, _xlpm.기본_색인번호, 0),
_xlpm.상태이상탄환생성위치보정치, IF($G422 = "debuff", VLOOKUP($R422, Factor!$K$18:$R$19, _xlpm.기본_색인번호, 0),1),
_xlpm.상태이상탄환형태보정치, IF($G422 = "debuff", VLOOKUP($S422, Factor!$K$24:$R$25, _xlpm.기본_색인번호, 0),1),
_xlpm.가격보정치, INDEX(Factor!$AE$5:$AL$51, _xlfn.XMATCH($F422,Factor!$AE$5:$AE$51, -1), _xlpm.기본_색인번호),
_xlpm.구경보정치, VLOOKUP($D422,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</row>
    <row r="423" spans="1:33" ht="15.75" customHeight="1">
      <c r="A423" s="24" t="str">
        <f>"weapon_"&amp;G423&amp;"_"&amp;VLOOKUP(H423, Factor!$T$5:$AB$7, 9, 0)&amp;"_"&amp;IF(COUNTIFS($G$4:G422, G423, $H$4:H422, H423)+1&gt;=100, COUNTIFS($G$4:G422, G423, $H$4:H422, H423)+1,IF(COUNTIFS($G$4:G422, G423, $H$4:H422, H423)+1&gt;=10, "0"&amp;COUNTIFS($G$4:G422, G423, $H$4:H422, H423)+1, "00"&amp;COUNTIFS($G$4:G422, G423, $H$4:H422, H423)+1))</f>
        <v>weapon_debuff_Am_012</v>
      </c>
      <c r="B423" s="36" t="str">
        <f t="shared" si="6"/>
        <v>녹슨 40mm연막탄 발사기</v>
      </c>
      <c r="C423" s="36" t="s">
        <v>239</v>
      </c>
      <c r="D423" s="36" t="s">
        <v>262</v>
      </c>
      <c r="E423" s="36" t="s">
        <v>216</v>
      </c>
      <c r="F423" s="25">
        <f>VLOOKUP(C423, Factor!$AD$5:$AE$15, 2, 0)</f>
        <v>0</v>
      </c>
      <c r="G423" s="26" t="str">
        <f>VLOOKUP(E423, Factor!$CL$5:$CV$50, 2, 0)</f>
        <v>debuff</v>
      </c>
      <c r="H423" s="25" t="str">
        <f>VLOOKUP(E423, Factor!$CL$5:$CV$50, 3, 0)</f>
        <v>ammo</v>
      </c>
      <c r="I423" s="25" t="str">
        <f>VLOOKUP(E423, Factor!$CL$5:$CV$50, 4, 0)</f>
        <v>L</v>
      </c>
      <c r="J423" s="25" t="str">
        <f>VLOOKUP(E423, Factor!$CL$5:$CV$50, 5, 0)</f>
        <v>spread</v>
      </c>
      <c r="K423" s="25">
        <v>1</v>
      </c>
      <c r="L423" s="25">
        <f>VLOOKUP(E423, Factor!$CL$5:$CV$50, 6, 0)*K423*VLOOKUP(D423, Factor!$BZ$5:$CJ$49, 9, 0)</f>
        <v>0</v>
      </c>
      <c r="M423" s="25" t="str">
        <f>VLOOKUP(E423, Factor!$CL$5:$CV$50, 7, 0)</f>
        <v>slow</v>
      </c>
      <c r="N423" s="25">
        <v>1</v>
      </c>
      <c r="O423" s="25">
        <f>VLOOKUP(E423, Factor!$CL$5:$CV$50, 8, 0)*N423*VLOOKUP(D423, Factor!$BZ$5:$CJ$49, 10, 0)</f>
        <v>30</v>
      </c>
      <c r="P423" s="25">
        <v>1</v>
      </c>
      <c r="Q423" s="25">
        <f>VLOOKUP(E423, Factor!$CL$5:$CV$50, 9, 0)*P423*VLOOKUP(D423, Factor!$BZ$5:$CJ$49, 11, 0)</f>
        <v>6</v>
      </c>
      <c r="R423" s="25" t="str">
        <f>VLOOKUP(E423, Factor!$CL$5:$CV$50, 10, 0)</f>
        <v>target</v>
      </c>
      <c r="S423" s="25" t="str">
        <f>VLOOKUP(E423, Factor!$CL$5:$CV$50, 11, 0)</f>
        <v>circle</v>
      </c>
      <c r="T423" s="25">
        <v>1</v>
      </c>
      <c r="U423" s="25">
        <v>1</v>
      </c>
      <c r="V423" s="25">
        <v>1</v>
      </c>
      <c r="W423" s="25">
        <v>1</v>
      </c>
      <c r="X423" s="25">
        <v>1</v>
      </c>
      <c r="Y423" s="25">
        <v>1</v>
      </c>
      <c r="Z423" s="25">
        <v>1</v>
      </c>
      <c r="AA423" s="25" cm="1">
        <f t="array" ref="AA423">_xlfn.LET(_xlpm.기본_색인번호, 2,
_xlpm.추가_색인번호, 3,
_xlpm.개별보정치, T423,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423" s="25" cm="1">
        <f t="array" ref="AB423">_xlfn.LET(_xlpm.기본_색인번호, 3,
_xlpm.추가_색인번호, 4,
_xlpm.개별보정치, U423,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3" s="25" cm="1">
        <f t="array" ref="AC423">_xlfn.LET(_xlpm.기본_색인번호, 4,
_xlpm.추가_색인번호, 5,
_xlpm.개별보정치, V423,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3" s="25" cm="1">
        <f t="array" ref="AD423">_xlfn.LET(_xlpm.기본_색인번호, 5,
_xlpm.추가_색인번호, 6,
_xlpm.개별보정치, W423,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423" s="25" cm="1">
        <f t="array" ref="AE423">_xlfn.LET(_xlpm.기본_색인번호, 6,
_xlpm.추가_색인번호, 7,
_xlpm.개별보정치, X423,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423" s="25" cm="1">
        <f t="array" ref="AF423">_xlfn.LET(_xlpm.기본_색인번호, 7,
_xlpm.추가_색인번호, 8,
_xlpm.개별보정치, Y423,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3" s="27" cm="1">
        <f t="array" ref="AG423">_xlfn.LET(_xlpm.기본_색인번호, 8,
_xlpm.추가_색인번호, 9,
_xlpm.개별보정치, Z423,
_xlpm.패턴보정치, VLOOKUP($G423, Factor!$B$5:$I$51, _xlpm.기본_색인번호, 0),
_xlpm.소모탄환보정치, VLOOKUP($H423, Factor!$T$5:$AA$51, _xlpm.기본_색인번호, 0),
_xlpm.지형보정치, VLOOKUP($I423, Factor!$K$12:$R$13, _xlpm.기본_색인번호, 0),
_xlpm.공격속성보정치, VLOOKUP($J423, Factor!$K$5:$R$7, _xlpm.기본_색인번호, 0),
_xlpm.피해범위보정치, INDEX(Factor!$AN$5:$AV$51, _xlfn.XMATCH(IF(OR($G423="blast", $G423="curved",  $G423= "debuff"), $L423, 0), Factor!$AN$5:$AN$51, -1), _xlpm.추가_색인번호)-IF(AND(OR($G423="blast", $G423="curved", $G423= "debuff"), MOD($L423,1)&lt;&gt;0),INDEX(Factor!$AN$5:$AV$51, _xlfn.XMATCH(IF(OR($G423="blast", $G423="curved", $G423= "debuff"), $L423, 0), Factor!$AN$5:$AN$51, -1), 2)*MOD($L423,1)*10,0),
_xlpm.상태이상보정치, VLOOKUP(IF($G423 = "debuff", $M423, "null"), Factor!$AX$5:$BE$51, _xlpm.기본_색인번호, 0),
_xlpm.지속시간보정치, INDEX(Factor!$BG$5:$BO$51, _xlfn.XMATCH(IF(OR($G423 ="debuff", $G423 = "shot", $G423 = "pierce"), $O423, 0), Factor!$BG$5:$BG$51, -1), _xlpm.추가_색인번호)-IF(AND(OR($G423 ="debuff", $G423 = "shot", $G423 = "pierce"), MOD($O423, 1)&lt;&gt;0), 10*MOD($O423, 1)*INDEX(Factor!$BG$5:$BO$51, _xlfn.XMATCH(IF(OR($G423 ="debuff", $G423 = "shot", $G423 = "pierce"), $O423, 0), Factor!$BG$5:$BG$51, -1), 2), 0),
_xlpm.탄환개수보정치, VLOOKUP(IF(OR($G423 = "curved", $G423 = "shot"), $Q423, 1), Factor!$BQ$5:$BX$51, _xlpm.기본_색인번호, 0),
_xlpm.상태이상탄환생성위치보정치, IF($G423 = "debuff", VLOOKUP($R423, Factor!$K$18:$R$19, _xlpm.기본_색인번호, 0),1),
_xlpm.상태이상탄환형태보정치, IF($G423 = "debuff", VLOOKUP($S423, Factor!$K$24:$R$25, _xlpm.기본_색인번호, 0),1),
_xlpm.가격보정치, INDEX(Factor!$AE$5:$AL$51, _xlfn.XMATCH($F423,Factor!$AE$5:$AE$51, -1), _xlpm.기본_색인번호),
_xlpm.구경보정치, VLOOKUP($D423,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424" spans="1:33" ht="15.75" customHeight="1">
      <c r="A424" s="28" t="str">
        <f>"weapon_"&amp;G424&amp;"_"&amp;VLOOKUP(H424, Factor!$T$5:$AB$7, 9, 0)&amp;"_"&amp;IF(COUNTIFS($G$4:G423, G424, $H$4:H423, H424)+1&gt;=100, COUNTIFS($G$4:G423, G424, $H$4:H423, H424)+1,IF(COUNTIFS($G$4:G423, G424, $H$4:H423, H424)+1&gt;=10, "0"&amp;COUNTIFS($G$4:G423, G424, $H$4:H423, H424)+1, "00"&amp;COUNTIFS($G$4:G423, G424, $H$4:H423, H424)+1))</f>
        <v>weapon_debuff_Am_013</v>
      </c>
      <c r="B424" s="37" t="str">
        <f t="shared" si="6"/>
        <v>녹슨 55mm연막탄 발사기</v>
      </c>
      <c r="C424" s="37" t="s">
        <v>239</v>
      </c>
      <c r="D424" s="37" t="s">
        <v>263</v>
      </c>
      <c r="E424" s="37" t="s">
        <v>216</v>
      </c>
      <c r="F424" s="29">
        <f>VLOOKUP(C424, Factor!$AD$5:$AE$15, 2, 0)</f>
        <v>0</v>
      </c>
      <c r="G424" s="29" t="str">
        <f>VLOOKUP(E424, Factor!$CL$5:$CV$50, 2, 0)</f>
        <v>debuff</v>
      </c>
      <c r="H424" s="29" t="str">
        <f>VLOOKUP(E424, Factor!$CL$5:$CV$50, 3, 0)</f>
        <v>ammo</v>
      </c>
      <c r="I424" s="29" t="str">
        <f>VLOOKUP(E424, Factor!$CL$5:$CV$50, 4, 0)</f>
        <v>L</v>
      </c>
      <c r="J424" s="29" t="str">
        <f>VLOOKUP(E424, Factor!$CL$5:$CV$50, 5, 0)</f>
        <v>spread</v>
      </c>
      <c r="K424" s="29">
        <v>1</v>
      </c>
      <c r="L424" s="29">
        <f>VLOOKUP(E424, Factor!$CL$5:$CV$50, 6, 0)*K424*VLOOKUP(D424, Factor!$BZ$5:$CJ$49, 9, 0)</f>
        <v>0</v>
      </c>
      <c r="M424" s="29" t="str">
        <f>VLOOKUP(E424, Factor!$CL$5:$CV$50, 7, 0)</f>
        <v>slow</v>
      </c>
      <c r="N424" s="29">
        <v>1</v>
      </c>
      <c r="O424" s="29">
        <f>VLOOKUP(E424, Factor!$CL$5:$CV$50, 8, 0)*N424*VLOOKUP(D424, Factor!$BZ$5:$CJ$49, 10, 0)</f>
        <v>35</v>
      </c>
      <c r="P424" s="29">
        <v>1</v>
      </c>
      <c r="Q424" s="29">
        <f>VLOOKUP(E424, Factor!$CL$5:$CV$50, 9, 0)*P424*VLOOKUP(D424, Factor!$BZ$5:$CJ$49, 11, 0)</f>
        <v>7</v>
      </c>
      <c r="R424" s="29" t="str">
        <f>VLOOKUP(E424, Factor!$CL$5:$CV$50, 10, 0)</f>
        <v>target</v>
      </c>
      <c r="S424" s="29" t="str">
        <f>VLOOKUP(E424, Factor!$CL$5:$CV$50, 11, 0)</f>
        <v>circle</v>
      </c>
      <c r="T424" s="29">
        <v>1</v>
      </c>
      <c r="U424" s="29">
        <v>1</v>
      </c>
      <c r="V424" s="29">
        <v>1</v>
      </c>
      <c r="W424" s="29">
        <v>1</v>
      </c>
      <c r="X424" s="29">
        <v>1</v>
      </c>
      <c r="Y424" s="29">
        <v>1</v>
      </c>
      <c r="Z424" s="29">
        <v>1</v>
      </c>
      <c r="AA424" s="29" cm="1">
        <f t="array" ref="AA424">_xlfn.LET(_xlpm.기본_색인번호, 2,
_xlpm.추가_색인번호, 3,
_xlpm.개별보정치, T424,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</v>
      </c>
      <c r="AB424" s="29" cm="1">
        <f t="array" ref="AB424">_xlfn.LET(_xlpm.기본_색인번호, 3,
_xlpm.추가_색인번호, 4,
_xlpm.개별보정치, U424,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4" s="29" cm="1">
        <f t="array" ref="AC424">_xlfn.LET(_xlpm.기본_색인번호, 4,
_xlpm.추가_색인번호, 5,
_xlpm.개별보정치, V424,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4" s="29" cm="1">
        <f t="array" ref="AD424">_xlfn.LET(_xlpm.기본_색인번호, 5,
_xlpm.추가_색인번호, 6,
_xlpm.개별보정치, W424,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E424" s="29" cm="1">
        <f t="array" ref="AE424">_xlfn.LET(_xlpm.기본_색인번호, 6,
_xlpm.추가_색인번호, 7,
_xlpm.개별보정치, X424,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F424" s="29" cm="1">
        <f t="array" ref="AF424">_xlfn.LET(_xlpm.기본_색인번호, 7,
_xlpm.추가_색인번호, 8,
_xlpm.개별보정치, Y424,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4" s="30" cm="1">
        <f t="array" ref="AG424">_xlfn.LET(_xlpm.기본_색인번호, 8,
_xlpm.추가_색인번호, 9,
_xlpm.개별보정치, Z424,
_xlpm.패턴보정치, VLOOKUP($G424, Factor!$B$5:$I$51, _xlpm.기본_색인번호, 0),
_xlpm.소모탄환보정치, VLOOKUP($H424, Factor!$T$5:$AA$51, _xlpm.기본_색인번호, 0),
_xlpm.지형보정치, VLOOKUP($I424, Factor!$K$12:$R$13, _xlpm.기본_색인번호, 0),
_xlpm.공격속성보정치, VLOOKUP($J424, Factor!$K$5:$R$7, _xlpm.기본_색인번호, 0),
_xlpm.피해범위보정치, INDEX(Factor!$AN$5:$AV$51, _xlfn.XMATCH(IF(OR($G424="blast", $G424="curved",  $G424= "debuff"), $L424, 0), Factor!$AN$5:$AN$51, -1), _xlpm.추가_색인번호)-IF(AND(OR($G424="blast", $G424="curved", $G424= "debuff"), MOD($L424,1)&lt;&gt;0),INDEX(Factor!$AN$5:$AV$51, _xlfn.XMATCH(IF(OR($G424="blast", $G424="curved", $G424= "debuff"), $L424, 0), Factor!$AN$5:$AN$51, -1), 2)*MOD($L424,1)*10,0),
_xlpm.상태이상보정치, VLOOKUP(IF($G424 = "debuff", $M424, "null"), Factor!$AX$5:$BE$51, _xlpm.기본_색인번호, 0),
_xlpm.지속시간보정치, INDEX(Factor!$BG$5:$BO$51, _xlfn.XMATCH(IF(OR($G424 ="debuff", $G424 = "shot", $G424 = "pierce"), $O424, 0), Factor!$BG$5:$BG$51, -1), _xlpm.추가_색인번호)-IF(AND(OR($G424 ="debuff", $G424 = "shot", $G424 = "pierce"), MOD($O424, 1)&lt;&gt;0), 10*MOD($O424, 1)*INDEX(Factor!$BG$5:$BO$51, _xlfn.XMATCH(IF(OR($G424 ="debuff", $G424 = "shot", $G424 = "pierce"), $O424, 0), Factor!$BG$5:$BG$51, -1), 2), 0),
_xlpm.탄환개수보정치, VLOOKUP(IF(OR($G424 = "curved", $G424 = "shot"), $Q424, 1), Factor!$BQ$5:$BX$51, _xlpm.기본_색인번호, 0),
_xlpm.상태이상탄환생성위치보정치, IF($G424 = "debuff", VLOOKUP($R424, Factor!$K$18:$R$19, _xlpm.기본_색인번호, 0),1),
_xlpm.상태이상탄환형태보정치, IF($G424 = "debuff", VLOOKUP($S424, Factor!$K$24:$R$25, _xlpm.기본_색인번호, 0),1),
_xlpm.가격보정치, INDEX(Factor!$AE$5:$AL$51, _xlfn.XMATCH($F424,Factor!$AE$5:$AE$51, -1), _xlpm.기본_색인번호),
_xlpm.구경보정치, VLOOKUP($D424,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</row>
    <row r="425" spans="1:33" ht="15.75" customHeight="1">
      <c r="A425" s="24" t="str">
        <f>"weapon_"&amp;G425&amp;"_"&amp;VLOOKUP(H425, Factor!$T$5:$AB$7, 9, 0)&amp;"_"&amp;IF(COUNTIFS($G$4:G424, G425, $H$4:H424, H425)+1&gt;=100, COUNTIFS($G$4:G424, G425, $H$4:H424, H425)+1,IF(COUNTIFS($G$4:G424, G425, $H$4:H424, H425)+1&gt;=10, "0"&amp;COUNTIFS($G$4:G424, G425, $H$4:H424, H425)+1, "00"&amp;COUNTIFS($G$4:G424, G425, $H$4:H424, H425)+1))</f>
        <v>weapon_debuff_Am_014</v>
      </c>
      <c r="B425" s="36" t="str">
        <f t="shared" si="6"/>
        <v>T1 40mm연막탄 발사기</v>
      </c>
      <c r="C425" s="36" t="s">
        <v>237</v>
      </c>
      <c r="D425" s="36" t="s">
        <v>262</v>
      </c>
      <c r="E425" s="36" t="s">
        <v>216</v>
      </c>
      <c r="F425" s="25">
        <f>VLOOKUP(C425, Factor!$AD$5:$AE$15, 2, 0)</f>
        <v>1000</v>
      </c>
      <c r="G425" s="26" t="str">
        <f>VLOOKUP(E425, Factor!$CL$5:$CV$50, 2, 0)</f>
        <v>debuff</v>
      </c>
      <c r="H425" s="25" t="str">
        <f>VLOOKUP(E425, Factor!$CL$5:$CV$50, 3, 0)</f>
        <v>ammo</v>
      </c>
      <c r="I425" s="25" t="str">
        <f>VLOOKUP(E425, Factor!$CL$5:$CV$50, 4, 0)</f>
        <v>L</v>
      </c>
      <c r="J425" s="25" t="str">
        <f>VLOOKUP(E425, Factor!$CL$5:$CV$50, 5, 0)</f>
        <v>spread</v>
      </c>
      <c r="K425" s="25">
        <v>1</v>
      </c>
      <c r="L425" s="25">
        <f>VLOOKUP(E425, Factor!$CL$5:$CV$50, 6, 0)*K425*VLOOKUP(D425, Factor!$BZ$5:$CJ$49, 9, 0)</f>
        <v>0</v>
      </c>
      <c r="M425" s="25" t="str">
        <f>VLOOKUP(E425, Factor!$CL$5:$CV$50, 7, 0)</f>
        <v>slow</v>
      </c>
      <c r="N425" s="25">
        <v>1</v>
      </c>
      <c r="O425" s="25">
        <f>VLOOKUP(E425, Factor!$CL$5:$CV$50, 8, 0)*N425*VLOOKUP(D425, Factor!$BZ$5:$CJ$49, 10, 0)</f>
        <v>30</v>
      </c>
      <c r="P425" s="25">
        <v>1</v>
      </c>
      <c r="Q425" s="25">
        <f>VLOOKUP(E425, Factor!$CL$5:$CV$50, 9, 0)*P425*VLOOKUP(D425, Factor!$BZ$5:$CJ$49, 11, 0)</f>
        <v>6</v>
      </c>
      <c r="R425" s="25" t="str">
        <f>VLOOKUP(E425, Factor!$CL$5:$CV$50, 10, 0)</f>
        <v>target</v>
      </c>
      <c r="S425" s="25" t="str">
        <f>VLOOKUP(E425, Factor!$CL$5:$CV$50, 11, 0)</f>
        <v>circle</v>
      </c>
      <c r="T425" s="25">
        <v>1</v>
      </c>
      <c r="U425" s="25">
        <v>1</v>
      </c>
      <c r="V425" s="25">
        <v>1</v>
      </c>
      <c r="W425" s="25">
        <v>1</v>
      </c>
      <c r="X425" s="25">
        <v>1</v>
      </c>
      <c r="Y425" s="25">
        <v>1</v>
      </c>
      <c r="Z425" s="25">
        <v>1</v>
      </c>
      <c r="AA425" s="25" cm="1">
        <f t="array" ref="AA425">_xlfn.LET(_xlpm.기본_색인번호, 2,
_xlpm.추가_색인번호, 3,
_xlpm.개별보정치, T425,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425" s="25" cm="1">
        <f t="array" ref="AB425">_xlfn.LET(_xlpm.기본_색인번호, 3,
_xlpm.추가_색인번호, 4,
_xlpm.개별보정치, U425,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5" s="25" cm="1">
        <f t="array" ref="AC425">_xlfn.LET(_xlpm.기본_색인번호, 4,
_xlpm.추가_색인번호, 5,
_xlpm.개별보정치, V425,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5" s="25" cm="1">
        <f t="array" ref="AD425">_xlfn.LET(_xlpm.기본_색인번호, 5,
_xlpm.추가_색인번호, 6,
_xlpm.개별보정치, W425,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425" s="25" cm="1">
        <f t="array" ref="AE425">_xlfn.LET(_xlpm.기본_색인번호, 6,
_xlpm.추가_색인번호, 7,
_xlpm.개별보정치, X425,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425" s="25" cm="1">
        <f t="array" ref="AF425">_xlfn.LET(_xlpm.기본_색인번호, 7,
_xlpm.추가_색인번호, 8,
_xlpm.개별보정치, Y425,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5" s="27" cm="1">
        <f t="array" ref="AG425">_xlfn.LET(_xlpm.기본_색인번호, 8,
_xlpm.추가_색인번호, 9,
_xlpm.개별보정치, Z425,
_xlpm.패턴보정치, VLOOKUP($G425, Factor!$B$5:$I$51, _xlpm.기본_색인번호, 0),
_xlpm.소모탄환보정치, VLOOKUP($H425, Factor!$T$5:$AA$51, _xlpm.기본_색인번호, 0),
_xlpm.지형보정치, VLOOKUP($I425, Factor!$K$12:$R$13, _xlpm.기본_색인번호, 0),
_xlpm.공격속성보정치, VLOOKUP($J425, Factor!$K$5:$R$7, _xlpm.기본_색인번호, 0),
_xlpm.피해범위보정치, INDEX(Factor!$AN$5:$AV$51, _xlfn.XMATCH(IF(OR($G425="blast", $G425="curved",  $G425= "debuff"), $L425, 0), Factor!$AN$5:$AN$51, -1), _xlpm.추가_색인번호)-IF(AND(OR($G425="blast", $G425="curved", $G425= "debuff"), MOD($L425,1)&lt;&gt;0),INDEX(Factor!$AN$5:$AV$51, _xlfn.XMATCH(IF(OR($G425="blast", $G425="curved", $G425= "debuff"), $L425, 0), Factor!$AN$5:$AN$51, -1), 2)*MOD($L425,1)*10,0),
_xlpm.상태이상보정치, VLOOKUP(IF($G425 = "debuff", $M425, "null"), Factor!$AX$5:$BE$51, _xlpm.기본_색인번호, 0),
_xlpm.지속시간보정치, INDEX(Factor!$BG$5:$BO$51, _xlfn.XMATCH(IF(OR($G425 ="debuff", $G425 = "shot", $G425 = "pierce"), $O425, 0), Factor!$BG$5:$BG$51, -1), _xlpm.추가_색인번호)-IF(AND(OR($G425 ="debuff", $G425 = "shot", $G425 = "pierce"), MOD($O425, 1)&lt;&gt;0), 10*MOD($O425, 1)*INDEX(Factor!$BG$5:$BO$51, _xlfn.XMATCH(IF(OR($G425 ="debuff", $G425 = "shot", $G425 = "pierce"), $O425, 0), Factor!$BG$5:$BG$51, -1), 2), 0),
_xlpm.탄환개수보정치, VLOOKUP(IF(OR($G425 = "curved", $G425 = "shot"), $Q425, 1), Factor!$BQ$5:$BX$51, _xlpm.기본_색인번호, 0),
_xlpm.상태이상탄환생성위치보정치, IF($G425 = "debuff", VLOOKUP($R425, Factor!$K$18:$R$19, _xlpm.기본_색인번호, 0),1),
_xlpm.상태이상탄환형태보정치, IF($G425 = "debuff", VLOOKUP($S425, Factor!$K$24:$R$25, _xlpm.기본_색인번호, 0),1),
_xlpm.가격보정치, INDEX(Factor!$AE$5:$AL$51, _xlfn.XMATCH($F425,Factor!$AE$5:$AE$51, -1), _xlpm.기본_색인번호),
_xlpm.구경보정치, VLOOKUP($D425,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426" spans="1:33" ht="15.75" customHeight="1">
      <c r="A426" s="28" t="str">
        <f>"weapon_"&amp;G426&amp;"_"&amp;VLOOKUP(H426, Factor!$T$5:$AB$7, 9, 0)&amp;"_"&amp;IF(COUNTIFS($G$4:G425, G426, $H$4:H425, H426)+1&gt;=100, COUNTIFS($G$4:G425, G426, $H$4:H425, H426)+1,IF(COUNTIFS($G$4:G425, G426, $H$4:H425, H426)+1&gt;=10, "0"&amp;COUNTIFS($G$4:G425, G426, $H$4:H425, H426)+1, "00"&amp;COUNTIFS($G$4:G425, G426, $H$4:H425, H426)+1))</f>
        <v>weapon_debuff_Am_015</v>
      </c>
      <c r="B426" s="37" t="str">
        <f t="shared" si="6"/>
        <v>T1 55mm연막탄 발사기</v>
      </c>
      <c r="C426" s="37" t="s">
        <v>237</v>
      </c>
      <c r="D426" s="37" t="s">
        <v>263</v>
      </c>
      <c r="E426" s="37" t="s">
        <v>216</v>
      </c>
      <c r="F426" s="29">
        <f>VLOOKUP(C426, Factor!$AD$5:$AE$15, 2, 0)</f>
        <v>1000</v>
      </c>
      <c r="G426" s="29" t="str">
        <f>VLOOKUP(E426, Factor!$CL$5:$CV$50, 2, 0)</f>
        <v>debuff</v>
      </c>
      <c r="H426" s="29" t="str">
        <f>VLOOKUP(E426, Factor!$CL$5:$CV$50, 3, 0)</f>
        <v>ammo</v>
      </c>
      <c r="I426" s="29" t="str">
        <f>VLOOKUP(E426, Factor!$CL$5:$CV$50, 4, 0)</f>
        <v>L</v>
      </c>
      <c r="J426" s="29" t="str">
        <f>VLOOKUP(E426, Factor!$CL$5:$CV$50, 5, 0)</f>
        <v>spread</v>
      </c>
      <c r="K426" s="29">
        <v>1</v>
      </c>
      <c r="L426" s="29">
        <f>VLOOKUP(E426, Factor!$CL$5:$CV$50, 6, 0)*K426*VLOOKUP(D426, Factor!$BZ$5:$CJ$49, 9, 0)</f>
        <v>0</v>
      </c>
      <c r="M426" s="29" t="str">
        <f>VLOOKUP(E426, Factor!$CL$5:$CV$50, 7, 0)</f>
        <v>slow</v>
      </c>
      <c r="N426" s="29">
        <v>1</v>
      </c>
      <c r="O426" s="29">
        <f>VLOOKUP(E426, Factor!$CL$5:$CV$50, 8, 0)*N426*VLOOKUP(D426, Factor!$BZ$5:$CJ$49, 10, 0)</f>
        <v>35</v>
      </c>
      <c r="P426" s="29">
        <v>1</v>
      </c>
      <c r="Q426" s="29">
        <f>VLOOKUP(E426, Factor!$CL$5:$CV$50, 9, 0)*P426*VLOOKUP(D426, Factor!$BZ$5:$CJ$49, 11, 0)</f>
        <v>7</v>
      </c>
      <c r="R426" s="29" t="str">
        <f>VLOOKUP(E426, Factor!$CL$5:$CV$50, 10, 0)</f>
        <v>target</v>
      </c>
      <c r="S426" s="29" t="str">
        <f>VLOOKUP(E426, Factor!$CL$5:$CV$50, 11, 0)</f>
        <v>circle</v>
      </c>
      <c r="T426" s="29">
        <v>1</v>
      </c>
      <c r="U426" s="29">
        <v>1</v>
      </c>
      <c r="V426" s="29">
        <v>1</v>
      </c>
      <c r="W426" s="29">
        <v>1</v>
      </c>
      <c r="X426" s="29">
        <v>1</v>
      </c>
      <c r="Y426" s="29">
        <v>1</v>
      </c>
      <c r="Z426" s="29">
        <v>1</v>
      </c>
      <c r="AA426" s="29" cm="1">
        <f t="array" ref="AA426">_xlfn.LET(_xlpm.기본_색인번호, 2,
_xlpm.추가_색인번호, 3,
_xlpm.개별보정치, T426,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1200</v>
      </c>
      <c r="AB426" s="29" cm="1">
        <f t="array" ref="AB426">_xlfn.LET(_xlpm.기본_색인번호, 3,
_xlpm.추가_색인번호, 4,
_xlpm.개별보정치, U426,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6" s="29" cm="1">
        <f t="array" ref="AC426">_xlfn.LET(_xlpm.기본_색인번호, 4,
_xlpm.추가_색인번호, 5,
_xlpm.개별보정치, V426,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6" s="29" cm="1">
        <f t="array" ref="AD426">_xlfn.LET(_xlpm.기본_색인번호, 5,
_xlpm.추가_색인번호, 6,
_xlpm.개별보정치, W426,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E426" s="29" cm="1">
        <f t="array" ref="AE426">_xlfn.LET(_xlpm.기본_색인번호, 6,
_xlpm.추가_색인번호, 7,
_xlpm.개별보정치, X426,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  <c r="AF426" s="29" cm="1">
        <f t="array" ref="AF426">_xlfn.LET(_xlpm.기본_색인번호, 7,
_xlpm.추가_색인번호, 8,
_xlpm.개별보정치, Y426,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6" s="30" cm="1">
        <f t="array" ref="AG426">_xlfn.LET(_xlpm.기본_색인번호, 8,
_xlpm.추가_색인번호, 9,
_xlpm.개별보정치, Z426,
_xlpm.패턴보정치, VLOOKUP($G426, Factor!$B$5:$I$51, _xlpm.기본_색인번호, 0),
_xlpm.소모탄환보정치, VLOOKUP($H426, Factor!$T$5:$AA$51, _xlpm.기본_색인번호, 0),
_xlpm.지형보정치, VLOOKUP($I426, Factor!$K$12:$R$13, _xlpm.기본_색인번호, 0),
_xlpm.공격속성보정치, VLOOKUP($J426, Factor!$K$5:$R$7, _xlpm.기본_색인번호, 0),
_xlpm.피해범위보정치, INDEX(Factor!$AN$5:$AV$51, _xlfn.XMATCH(IF(OR($G426="blast", $G426="curved",  $G426= "debuff"), $L426, 0), Factor!$AN$5:$AN$51, -1), _xlpm.추가_색인번호)-IF(AND(OR($G426="blast", $G426="curved", $G426= "debuff"), MOD($L426,1)&lt;&gt;0),INDEX(Factor!$AN$5:$AV$51, _xlfn.XMATCH(IF(OR($G426="blast", $G426="curved", $G426= "debuff"), $L426, 0), Factor!$AN$5:$AN$51, -1), 2)*MOD($L426,1)*10,0),
_xlpm.상태이상보정치, VLOOKUP(IF($G426 = "debuff", $M426, "null"), Factor!$AX$5:$BE$51, _xlpm.기본_색인번호, 0),
_xlpm.지속시간보정치, INDEX(Factor!$BG$5:$BO$51, _xlfn.XMATCH(IF(OR($G426 ="debuff", $G426 = "shot", $G426 = "pierce"), $O426, 0), Factor!$BG$5:$BG$51, -1), _xlpm.추가_색인번호)-IF(AND(OR($G426 ="debuff", $G426 = "shot", $G426 = "pierce"), MOD($O426, 1)&lt;&gt;0), 10*MOD($O426, 1)*INDEX(Factor!$BG$5:$BO$51, _xlfn.XMATCH(IF(OR($G426 ="debuff", $G426 = "shot", $G426 = "pierce"), $O426, 0), Factor!$BG$5:$BG$51, -1), 2), 0),
_xlpm.탄환개수보정치, VLOOKUP(IF(OR($G426 = "curved", $G426 = "shot"), $Q426, 1), Factor!$BQ$5:$BX$51, _xlpm.기본_색인번호, 0),
_xlpm.상태이상탄환생성위치보정치, IF($G426 = "debuff", VLOOKUP($R426, Factor!$K$18:$R$19, _xlpm.기본_색인번호, 0),1),
_xlpm.상태이상탄환형태보정치, IF($G426 = "debuff", VLOOKUP($S426, Factor!$K$24:$R$25, _xlpm.기본_색인번호, 0),1),
_xlpm.가격보정치, INDEX(Factor!$AE$5:$AL$51, _xlfn.XMATCH($F426,Factor!$AE$5:$AE$51, -1), _xlpm.기본_색인번호),
_xlpm.구경보정치, VLOOKUP($D426,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</v>
      </c>
    </row>
    <row r="427" spans="1:33" ht="15.75" customHeight="1">
      <c r="A427" s="24" t="str">
        <f>"weapon_"&amp;G427&amp;"_"&amp;VLOOKUP(H427, Factor!$T$5:$AB$7, 9, 0)&amp;"_"&amp;IF(COUNTIFS($G$4:G426, G427, $H$4:H426, H427)+1&gt;=100, COUNTIFS($G$4:G426, G427, $H$4:H426, H427)+1,IF(COUNTIFS($G$4:G426, G427, $H$4:H426, H427)+1&gt;=10, "0"&amp;COUNTIFS($G$4:G426, G427, $H$4:H426, H427)+1, "00"&amp;COUNTIFS($G$4:G426, G427, $H$4:H426, H427)+1))</f>
        <v>weapon_debuff_Am_016</v>
      </c>
      <c r="B427" s="36" t="str">
        <f t="shared" si="6"/>
        <v>T2 40mm연막탄 발사기</v>
      </c>
      <c r="C427" s="36" t="s">
        <v>155</v>
      </c>
      <c r="D427" s="36" t="s">
        <v>262</v>
      </c>
      <c r="E427" s="36" t="s">
        <v>216</v>
      </c>
      <c r="F427" s="25">
        <f>VLOOKUP(C427, Factor!$AD$5:$AE$15, 2, 0)</f>
        <v>2000</v>
      </c>
      <c r="G427" s="26" t="str">
        <f>VLOOKUP(E427, Factor!$CL$5:$CV$50, 2, 0)</f>
        <v>debuff</v>
      </c>
      <c r="H427" s="25" t="str">
        <f>VLOOKUP(E427, Factor!$CL$5:$CV$50, 3, 0)</f>
        <v>ammo</v>
      </c>
      <c r="I427" s="25" t="str">
        <f>VLOOKUP(E427, Factor!$CL$5:$CV$50, 4, 0)</f>
        <v>L</v>
      </c>
      <c r="J427" s="25" t="str">
        <f>VLOOKUP(E427, Factor!$CL$5:$CV$50, 5, 0)</f>
        <v>spread</v>
      </c>
      <c r="K427" s="25">
        <v>1</v>
      </c>
      <c r="L427" s="25">
        <f>VLOOKUP(E427, Factor!$CL$5:$CV$50, 6, 0)*K427*VLOOKUP(D427, Factor!$BZ$5:$CJ$49, 9, 0)</f>
        <v>0</v>
      </c>
      <c r="M427" s="25" t="str">
        <f>VLOOKUP(E427, Factor!$CL$5:$CV$50, 7, 0)</f>
        <v>slow</v>
      </c>
      <c r="N427" s="25">
        <v>1</v>
      </c>
      <c r="O427" s="25">
        <f>VLOOKUP(E427, Factor!$CL$5:$CV$50, 8, 0)*N427*VLOOKUP(D427, Factor!$BZ$5:$CJ$49, 10, 0)</f>
        <v>30</v>
      </c>
      <c r="P427" s="25">
        <v>1</v>
      </c>
      <c r="Q427" s="25">
        <f>VLOOKUP(E427, Factor!$CL$5:$CV$50, 9, 0)*P427*VLOOKUP(D427, Factor!$BZ$5:$CJ$49, 11, 0)</f>
        <v>6</v>
      </c>
      <c r="R427" s="25" t="str">
        <f>VLOOKUP(E427, Factor!$CL$5:$CV$50, 10, 0)</f>
        <v>target</v>
      </c>
      <c r="S427" s="25" t="str">
        <f>VLOOKUP(E427, Factor!$CL$5:$CV$50, 11, 0)</f>
        <v>circle</v>
      </c>
      <c r="T427" s="25">
        <v>1</v>
      </c>
      <c r="U427" s="25">
        <v>1</v>
      </c>
      <c r="V427" s="25">
        <v>1</v>
      </c>
      <c r="W427" s="25">
        <v>1</v>
      </c>
      <c r="X427" s="25">
        <v>1</v>
      </c>
      <c r="Y427" s="25">
        <v>1</v>
      </c>
      <c r="Z427" s="25">
        <v>1</v>
      </c>
      <c r="AA427" s="25" cm="1">
        <f t="array" ref="AA427">_xlfn.LET(_xlpm.기본_색인번호, 2,
_xlpm.추가_색인번호, 3,
_xlpm.개별보정치, T427,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427" s="25" cm="1">
        <f t="array" ref="AB427">_xlfn.LET(_xlpm.기본_색인번호, 3,
_xlpm.추가_색인번호, 4,
_xlpm.개별보정치, U427,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7" s="25" cm="1">
        <f t="array" ref="AC427">_xlfn.LET(_xlpm.기본_색인번호, 4,
_xlpm.추가_색인번호, 5,
_xlpm.개별보정치, V427,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7" s="25" cm="1">
        <f t="array" ref="AD427">_xlfn.LET(_xlpm.기본_색인번호, 5,
_xlpm.추가_색인번호, 6,
_xlpm.개별보정치, W427,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427" s="25" cm="1">
        <f t="array" ref="AE427">_xlfn.LET(_xlpm.기본_색인번호, 6,
_xlpm.추가_색인번호, 7,
_xlpm.개별보정치, X427,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427" s="25" cm="1">
        <f t="array" ref="AF427">_xlfn.LET(_xlpm.기본_색인번호, 7,
_xlpm.추가_색인번호, 8,
_xlpm.개별보정치, Y427,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7" s="27" cm="1">
        <f t="array" ref="AG427">_xlfn.LET(_xlpm.기본_색인번호, 8,
_xlpm.추가_색인번호, 9,
_xlpm.개별보정치, Z427,
_xlpm.패턴보정치, VLOOKUP($G427, Factor!$B$5:$I$51, _xlpm.기본_색인번호, 0),
_xlpm.소모탄환보정치, VLOOKUP($H427, Factor!$T$5:$AA$51, _xlpm.기본_색인번호, 0),
_xlpm.지형보정치, VLOOKUP($I427, Factor!$K$12:$R$13, _xlpm.기본_색인번호, 0),
_xlpm.공격속성보정치, VLOOKUP($J427, Factor!$K$5:$R$7, _xlpm.기본_색인번호, 0),
_xlpm.피해범위보정치, INDEX(Factor!$AN$5:$AV$51, _xlfn.XMATCH(IF(OR($G427="blast", $G427="curved",  $G427= "debuff"), $L427, 0), Factor!$AN$5:$AN$51, -1), _xlpm.추가_색인번호)-IF(AND(OR($G427="blast", $G427="curved", $G427= "debuff"), MOD($L427,1)&lt;&gt;0),INDEX(Factor!$AN$5:$AV$51, _xlfn.XMATCH(IF(OR($G427="blast", $G427="curved", $G427= "debuff"), $L427, 0), Factor!$AN$5:$AN$51, -1), 2)*MOD($L427,1)*10,0),
_xlpm.상태이상보정치, VLOOKUP(IF($G427 = "debuff", $M427, "null"), Factor!$AX$5:$BE$51, _xlpm.기본_색인번호, 0),
_xlpm.지속시간보정치, INDEX(Factor!$BG$5:$BO$51, _xlfn.XMATCH(IF(OR($G427 ="debuff", $G427 = "shot", $G427 = "pierce"), $O427, 0), Factor!$BG$5:$BG$51, -1), _xlpm.추가_색인번호)-IF(AND(OR($G427 ="debuff", $G427 = "shot", $G427 = "pierce"), MOD($O427, 1)&lt;&gt;0), 10*MOD($O427, 1)*INDEX(Factor!$BG$5:$BO$51, _xlfn.XMATCH(IF(OR($G427 ="debuff", $G427 = "shot", $G427 = "pierce"), $O427, 0), Factor!$BG$5:$BG$51, -1), 2), 0),
_xlpm.탄환개수보정치, VLOOKUP(IF(OR($G427 = "curved", $G427 = "shot"), $Q427, 1), Factor!$BQ$5:$BX$51, _xlpm.기본_색인번호, 0),
_xlpm.상태이상탄환생성위치보정치, IF($G427 = "debuff", VLOOKUP($R427, Factor!$K$18:$R$19, _xlpm.기본_색인번호, 0),1),
_xlpm.상태이상탄환형태보정치, IF($G427 = "debuff", VLOOKUP($S427, Factor!$K$24:$R$25, _xlpm.기본_색인번호, 0),1),
_xlpm.가격보정치, INDEX(Factor!$AE$5:$AL$51, _xlfn.XMATCH($F427,Factor!$AE$5:$AE$51, -1), _xlpm.기본_색인번호),
_xlpm.구경보정치, VLOOKUP($D427,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428" spans="1:33" ht="15.75" customHeight="1">
      <c r="A428" s="28" t="str">
        <f>"weapon_"&amp;G428&amp;"_"&amp;VLOOKUP(H428, Factor!$T$5:$AB$7, 9, 0)&amp;"_"&amp;IF(COUNTIFS($G$4:G427, G428, $H$4:H427, H428)+1&gt;=100, COUNTIFS($G$4:G427, G428, $H$4:H427, H428)+1,IF(COUNTIFS($G$4:G427, G428, $H$4:H427, H428)+1&gt;=10, "0"&amp;COUNTIFS($G$4:G427, G428, $H$4:H427, H428)+1, "00"&amp;COUNTIFS($G$4:G427, G428, $H$4:H427, H428)+1))</f>
        <v>weapon_debuff_Am_017</v>
      </c>
      <c r="B428" s="37" t="str">
        <f t="shared" si="6"/>
        <v>T2 55mm연막탄 발사기</v>
      </c>
      <c r="C428" s="37" t="s">
        <v>155</v>
      </c>
      <c r="D428" s="37" t="s">
        <v>263</v>
      </c>
      <c r="E428" s="37" t="s">
        <v>216</v>
      </c>
      <c r="F428" s="29">
        <f>VLOOKUP(C428, Factor!$AD$5:$AE$15, 2, 0)</f>
        <v>2000</v>
      </c>
      <c r="G428" s="29" t="str">
        <f>VLOOKUP(E428, Factor!$CL$5:$CV$50, 2, 0)</f>
        <v>debuff</v>
      </c>
      <c r="H428" s="29" t="str">
        <f>VLOOKUP(E428, Factor!$CL$5:$CV$50, 3, 0)</f>
        <v>ammo</v>
      </c>
      <c r="I428" s="29" t="str">
        <f>VLOOKUP(E428, Factor!$CL$5:$CV$50, 4, 0)</f>
        <v>L</v>
      </c>
      <c r="J428" s="29" t="str">
        <f>VLOOKUP(E428, Factor!$CL$5:$CV$50, 5, 0)</f>
        <v>spread</v>
      </c>
      <c r="K428" s="29">
        <v>1</v>
      </c>
      <c r="L428" s="29">
        <f>VLOOKUP(E428, Factor!$CL$5:$CV$50, 6, 0)*K428*VLOOKUP(D428, Factor!$BZ$5:$CJ$49, 9, 0)</f>
        <v>0</v>
      </c>
      <c r="M428" s="29" t="str">
        <f>VLOOKUP(E428, Factor!$CL$5:$CV$50, 7, 0)</f>
        <v>slow</v>
      </c>
      <c r="N428" s="29">
        <v>1</v>
      </c>
      <c r="O428" s="29">
        <f>VLOOKUP(E428, Factor!$CL$5:$CV$50, 8, 0)*N428*VLOOKUP(D428, Factor!$BZ$5:$CJ$49, 10, 0)</f>
        <v>35</v>
      </c>
      <c r="P428" s="29">
        <v>1</v>
      </c>
      <c r="Q428" s="29">
        <f>VLOOKUP(E428, Factor!$CL$5:$CV$50, 9, 0)*P428*VLOOKUP(D428, Factor!$BZ$5:$CJ$49, 11, 0)</f>
        <v>7</v>
      </c>
      <c r="R428" s="29" t="str">
        <f>VLOOKUP(E428, Factor!$CL$5:$CV$50, 10, 0)</f>
        <v>target</v>
      </c>
      <c r="S428" s="29" t="str">
        <f>VLOOKUP(E428, Factor!$CL$5:$CV$50, 11, 0)</f>
        <v>circle</v>
      </c>
      <c r="T428" s="29">
        <v>1</v>
      </c>
      <c r="U428" s="29">
        <v>1</v>
      </c>
      <c r="V428" s="29">
        <v>1</v>
      </c>
      <c r="W428" s="29">
        <v>1</v>
      </c>
      <c r="X428" s="29">
        <v>1</v>
      </c>
      <c r="Y428" s="29">
        <v>1</v>
      </c>
      <c r="Z428" s="29">
        <v>1</v>
      </c>
      <c r="AA428" s="29" cm="1">
        <f t="array" ref="AA428">_xlfn.LET(_xlpm.기본_색인번호, 2,
_xlpm.추가_색인번호, 3,
_xlpm.개별보정치, T428,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1800</v>
      </c>
      <c r="AB428" s="29" cm="1">
        <f t="array" ref="AB428">_xlfn.LET(_xlpm.기본_색인번호, 3,
_xlpm.추가_색인번호, 4,
_xlpm.개별보정치, U428,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C428" s="29" cm="1">
        <f t="array" ref="AC428">_xlfn.LET(_xlpm.기본_색인번호, 4,
_xlpm.추가_색인번호, 5,
_xlpm.개별보정치, V428,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8" s="29" cm="1">
        <f t="array" ref="AD428">_xlfn.LET(_xlpm.기본_색인번호, 5,
_xlpm.추가_색인번호, 6,
_xlpm.개별보정치, W428,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E428" s="29" cm="1">
        <f t="array" ref="AE428">_xlfn.LET(_xlpm.기본_색인번호, 6,
_xlpm.추가_색인번호, 7,
_xlpm.개별보정치, X428,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  <c r="AF428" s="29" cm="1">
        <f t="array" ref="AF428">_xlfn.LET(_xlpm.기본_색인번호, 7,
_xlpm.추가_색인번호, 8,
_xlpm.개별보정치, Y428,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8" s="30" cm="1">
        <f t="array" ref="AG428">_xlfn.LET(_xlpm.기본_색인번호, 8,
_xlpm.추가_색인번호, 9,
_xlpm.개별보정치, Z428,
_xlpm.패턴보정치, VLOOKUP($G428, Factor!$B$5:$I$51, _xlpm.기본_색인번호, 0),
_xlpm.소모탄환보정치, VLOOKUP($H428, Factor!$T$5:$AA$51, _xlpm.기본_색인번호, 0),
_xlpm.지형보정치, VLOOKUP($I428, Factor!$K$12:$R$13, _xlpm.기본_색인번호, 0),
_xlpm.공격속성보정치, VLOOKUP($J428, Factor!$K$5:$R$7, _xlpm.기본_색인번호, 0),
_xlpm.피해범위보정치, INDEX(Factor!$AN$5:$AV$51, _xlfn.XMATCH(IF(OR($G428="blast", $G428="curved",  $G428= "debuff"), $L428, 0), Factor!$AN$5:$AN$51, -1), _xlpm.추가_색인번호)-IF(AND(OR($G428="blast", $G428="curved", $G428= "debuff"), MOD($L428,1)&lt;&gt;0),INDEX(Factor!$AN$5:$AV$51, _xlfn.XMATCH(IF(OR($G428="blast", $G428="curved", $G428= "debuff"), $L428, 0), Factor!$AN$5:$AN$51, -1), 2)*MOD($L428,1)*10,0),
_xlpm.상태이상보정치, VLOOKUP(IF($G428 = "debuff", $M428, "null"), Factor!$AX$5:$BE$51, _xlpm.기본_색인번호, 0),
_xlpm.지속시간보정치, INDEX(Factor!$BG$5:$BO$51, _xlfn.XMATCH(IF(OR($G428 ="debuff", $G428 = "shot", $G428 = "pierce"), $O428, 0), Factor!$BG$5:$BG$51, -1), _xlpm.추가_색인번호)-IF(AND(OR($G428 ="debuff", $G428 = "shot", $G428 = "pierce"), MOD($O428, 1)&lt;&gt;0), 10*MOD($O428, 1)*INDEX(Factor!$BG$5:$BO$51, _xlfn.XMATCH(IF(OR($G428 ="debuff", $G428 = "shot", $G428 = "pierce"), $O428, 0), Factor!$BG$5:$BG$51, -1), 2), 0),
_xlpm.탄환개수보정치, VLOOKUP(IF(OR($G428 = "curved", $G428 = "shot"), $Q428, 1), Factor!$BQ$5:$BX$51, _xlpm.기본_색인번호, 0),
_xlpm.상태이상탄환생성위치보정치, IF($G428 = "debuff", VLOOKUP($R428, Factor!$K$18:$R$19, _xlpm.기본_색인번호, 0),1),
_xlpm.상태이상탄환형태보정치, IF($G428 = "debuff", VLOOKUP($S428, Factor!$K$24:$R$25, _xlpm.기본_색인번호, 0),1),
_xlpm.가격보정치, INDEX(Factor!$AE$5:$AL$51, _xlfn.XMATCH($F428,Factor!$AE$5:$AE$51, -1), _xlpm.기본_색인번호),
_xlpm.구경보정치, VLOOKUP($D428,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90</v>
      </c>
    </row>
    <row r="429" spans="1:33" ht="15.75" customHeight="1">
      <c r="A429" s="24" t="str">
        <f>"weapon_"&amp;G429&amp;"_"&amp;VLOOKUP(H429, Factor!$T$5:$AB$7, 9, 0)&amp;"_"&amp;IF(COUNTIFS($G$4:G428, G429, $H$4:H428, H429)+1&gt;=100, COUNTIFS($G$4:G428, G429, $H$4:H428, H429)+1,IF(COUNTIFS($G$4:G428, G429, $H$4:H428, H429)+1&gt;=10, "0"&amp;COUNTIFS($G$4:G428, G429, $H$4:H428, H429)+1, "00"&amp;COUNTIFS($G$4:G428, G429, $H$4:H428, H429)+1))</f>
        <v>weapon_debuff_Am_018</v>
      </c>
      <c r="B429" s="36" t="str">
        <f t="shared" si="6"/>
        <v>T3 40mm연막탄 발사기</v>
      </c>
      <c r="C429" s="36" t="s">
        <v>156</v>
      </c>
      <c r="D429" s="36" t="s">
        <v>262</v>
      </c>
      <c r="E429" s="36" t="s">
        <v>216</v>
      </c>
      <c r="F429" s="25">
        <f>VLOOKUP(C429, Factor!$AD$5:$AE$15, 2, 0)</f>
        <v>3000</v>
      </c>
      <c r="G429" s="26" t="str">
        <f>VLOOKUP(E429, Factor!$CL$5:$CV$50, 2, 0)</f>
        <v>debuff</v>
      </c>
      <c r="H429" s="25" t="str">
        <f>VLOOKUP(E429, Factor!$CL$5:$CV$50, 3, 0)</f>
        <v>ammo</v>
      </c>
      <c r="I429" s="25" t="str">
        <f>VLOOKUP(E429, Factor!$CL$5:$CV$50, 4, 0)</f>
        <v>L</v>
      </c>
      <c r="J429" s="25" t="str">
        <f>VLOOKUP(E429, Factor!$CL$5:$CV$50, 5, 0)</f>
        <v>spread</v>
      </c>
      <c r="K429" s="25">
        <v>1</v>
      </c>
      <c r="L429" s="25">
        <f>VLOOKUP(E429, Factor!$CL$5:$CV$50, 6, 0)*K429*VLOOKUP(D429, Factor!$BZ$5:$CJ$49, 9, 0)</f>
        <v>0</v>
      </c>
      <c r="M429" s="25" t="str">
        <f>VLOOKUP(E429, Factor!$CL$5:$CV$50, 7, 0)</f>
        <v>slow</v>
      </c>
      <c r="N429" s="25">
        <v>1</v>
      </c>
      <c r="O429" s="25">
        <f>VLOOKUP(E429, Factor!$CL$5:$CV$50, 8, 0)*N429*VLOOKUP(D429, Factor!$BZ$5:$CJ$49, 10, 0)</f>
        <v>30</v>
      </c>
      <c r="P429" s="25">
        <v>1</v>
      </c>
      <c r="Q429" s="25">
        <f>VLOOKUP(E429, Factor!$CL$5:$CV$50, 9, 0)*P429*VLOOKUP(D429, Factor!$BZ$5:$CJ$49, 11, 0)</f>
        <v>6</v>
      </c>
      <c r="R429" s="25" t="str">
        <f>VLOOKUP(E429, Factor!$CL$5:$CV$50, 10, 0)</f>
        <v>target</v>
      </c>
      <c r="S429" s="25" t="str">
        <f>VLOOKUP(E429, Factor!$CL$5:$CV$50, 11, 0)</f>
        <v>circle</v>
      </c>
      <c r="T429" s="25">
        <v>1</v>
      </c>
      <c r="U429" s="25">
        <v>1</v>
      </c>
      <c r="V429" s="25">
        <v>1</v>
      </c>
      <c r="W429" s="25">
        <v>1</v>
      </c>
      <c r="X429" s="25">
        <v>1</v>
      </c>
      <c r="Y429" s="25">
        <v>1</v>
      </c>
      <c r="Z429" s="25">
        <v>1</v>
      </c>
      <c r="AA429" s="25" cm="1">
        <f t="array" ref="AA429">_xlfn.LET(_xlpm.기본_색인번호, 2,
_xlpm.추가_색인번호, 3,
_xlpm.개별보정치, T429,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429" s="25" cm="1">
        <f t="array" ref="AB429">_xlfn.LET(_xlpm.기본_색인번호, 3,
_xlpm.추가_색인번호, 4,
_xlpm.개별보정치, U429,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29" s="25" cm="1">
        <f t="array" ref="AC429">_xlfn.LET(_xlpm.기본_색인번호, 4,
_xlpm.추가_색인번호, 5,
_xlpm.개별보정치, V429,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29" s="25" cm="1">
        <f t="array" ref="AD429">_xlfn.LET(_xlpm.기본_색인번호, 5,
_xlpm.추가_색인번호, 6,
_xlpm.개별보정치, W429,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429" s="25" cm="1">
        <f t="array" ref="AE429">_xlfn.LET(_xlpm.기본_색인번호, 6,
_xlpm.추가_색인번호, 7,
_xlpm.개별보정치, X429,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429" s="25" cm="1">
        <f t="array" ref="AF429">_xlfn.LET(_xlpm.기본_색인번호, 7,
_xlpm.추가_색인번호, 8,
_xlpm.개별보정치, Y429,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29" s="27" cm="1">
        <f t="array" ref="AG429">_xlfn.LET(_xlpm.기본_색인번호, 8,
_xlpm.추가_색인번호, 9,
_xlpm.개별보정치, Z429,
_xlpm.패턴보정치, VLOOKUP($G429, Factor!$B$5:$I$51, _xlpm.기본_색인번호, 0),
_xlpm.소모탄환보정치, VLOOKUP($H429, Factor!$T$5:$AA$51, _xlpm.기본_색인번호, 0),
_xlpm.지형보정치, VLOOKUP($I429, Factor!$K$12:$R$13, _xlpm.기본_색인번호, 0),
_xlpm.공격속성보정치, VLOOKUP($J429, Factor!$K$5:$R$7, _xlpm.기본_색인번호, 0),
_xlpm.피해범위보정치, INDEX(Factor!$AN$5:$AV$51, _xlfn.XMATCH(IF(OR($G429="blast", $G429="curved",  $G429= "debuff"), $L429, 0), Factor!$AN$5:$AN$51, -1), _xlpm.추가_색인번호)-IF(AND(OR($G429="blast", $G429="curved", $G429= "debuff"), MOD($L429,1)&lt;&gt;0),INDEX(Factor!$AN$5:$AV$51, _xlfn.XMATCH(IF(OR($G429="blast", $G429="curved", $G429= "debuff"), $L429, 0), Factor!$AN$5:$AN$51, -1), 2)*MOD($L429,1)*10,0),
_xlpm.상태이상보정치, VLOOKUP(IF($G429 = "debuff", $M429, "null"), Factor!$AX$5:$BE$51, _xlpm.기본_색인번호, 0),
_xlpm.지속시간보정치, INDEX(Factor!$BG$5:$BO$51, _xlfn.XMATCH(IF(OR($G429 ="debuff", $G429 = "shot", $G429 = "pierce"), $O429, 0), Factor!$BG$5:$BG$51, -1), _xlpm.추가_색인번호)-IF(AND(OR($G429 ="debuff", $G429 = "shot", $G429 = "pierce"), MOD($O429, 1)&lt;&gt;0), 10*MOD($O429, 1)*INDEX(Factor!$BG$5:$BO$51, _xlfn.XMATCH(IF(OR($G429 ="debuff", $G429 = "shot", $G429 = "pierce"), $O429, 0), Factor!$BG$5:$BG$51, -1), 2), 0),
_xlpm.탄환개수보정치, VLOOKUP(IF(OR($G429 = "curved", $G429 = "shot"), $Q429, 1), Factor!$BQ$5:$BX$51, _xlpm.기본_색인번호, 0),
_xlpm.상태이상탄환생성위치보정치, IF($G429 = "debuff", VLOOKUP($R429, Factor!$K$18:$R$19, _xlpm.기본_색인번호, 0),1),
_xlpm.상태이상탄환형태보정치, IF($G429 = "debuff", VLOOKUP($S429, Factor!$K$24:$R$25, _xlpm.기본_색인번호, 0),1),
_xlpm.가격보정치, INDEX(Factor!$AE$5:$AL$51, _xlfn.XMATCH($F429,Factor!$AE$5:$AE$51, -1), _xlpm.기본_색인번호),
_xlpm.구경보정치, VLOOKUP($D429,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430" spans="1:33" ht="15.75" customHeight="1">
      <c r="A430" s="28" t="str">
        <f>"weapon_"&amp;G430&amp;"_"&amp;VLOOKUP(H430, Factor!$T$5:$AB$7, 9, 0)&amp;"_"&amp;IF(COUNTIFS($G$4:G429, G430, $H$4:H429, H430)+1&gt;=100, COUNTIFS($G$4:G429, G430, $H$4:H429, H430)+1,IF(COUNTIFS($G$4:G429, G430, $H$4:H429, H430)+1&gt;=10, "0"&amp;COUNTIFS($G$4:G429, G430, $H$4:H429, H430)+1, "00"&amp;COUNTIFS($G$4:G429, G430, $H$4:H429, H430)+1))</f>
        <v>weapon_debuff_Am_019</v>
      </c>
      <c r="B430" s="37" t="str">
        <f t="shared" si="6"/>
        <v>T3 55mm연막탄 발사기</v>
      </c>
      <c r="C430" s="37" t="s">
        <v>156</v>
      </c>
      <c r="D430" s="37" t="s">
        <v>263</v>
      </c>
      <c r="E430" s="37" t="s">
        <v>216</v>
      </c>
      <c r="F430" s="29">
        <f>VLOOKUP(C430, Factor!$AD$5:$AE$15, 2, 0)</f>
        <v>3000</v>
      </c>
      <c r="G430" s="29" t="str">
        <f>VLOOKUP(E430, Factor!$CL$5:$CV$50, 2, 0)</f>
        <v>debuff</v>
      </c>
      <c r="H430" s="29" t="str">
        <f>VLOOKUP(E430, Factor!$CL$5:$CV$50, 3, 0)</f>
        <v>ammo</v>
      </c>
      <c r="I430" s="29" t="str">
        <f>VLOOKUP(E430, Factor!$CL$5:$CV$50, 4, 0)</f>
        <v>L</v>
      </c>
      <c r="J430" s="29" t="str">
        <f>VLOOKUP(E430, Factor!$CL$5:$CV$50, 5, 0)</f>
        <v>spread</v>
      </c>
      <c r="K430" s="29">
        <v>1</v>
      </c>
      <c r="L430" s="29">
        <f>VLOOKUP(E430, Factor!$CL$5:$CV$50, 6, 0)*K430*VLOOKUP(D430, Factor!$BZ$5:$CJ$49, 9, 0)</f>
        <v>0</v>
      </c>
      <c r="M430" s="29" t="str">
        <f>VLOOKUP(E430, Factor!$CL$5:$CV$50, 7, 0)</f>
        <v>slow</v>
      </c>
      <c r="N430" s="29">
        <v>1</v>
      </c>
      <c r="O430" s="29">
        <f>VLOOKUP(E430, Factor!$CL$5:$CV$50, 8, 0)*N430*VLOOKUP(D430, Factor!$BZ$5:$CJ$49, 10, 0)</f>
        <v>35</v>
      </c>
      <c r="P430" s="29">
        <v>1</v>
      </c>
      <c r="Q430" s="29">
        <f>VLOOKUP(E430, Factor!$CL$5:$CV$50, 9, 0)*P430*VLOOKUP(D430, Factor!$BZ$5:$CJ$49, 11, 0)</f>
        <v>7</v>
      </c>
      <c r="R430" s="29" t="str">
        <f>VLOOKUP(E430, Factor!$CL$5:$CV$50, 10, 0)</f>
        <v>target</v>
      </c>
      <c r="S430" s="29" t="str">
        <f>VLOOKUP(E430, Factor!$CL$5:$CV$50, 11, 0)</f>
        <v>circle</v>
      </c>
      <c r="T430" s="29">
        <v>1</v>
      </c>
      <c r="U430" s="29">
        <v>1</v>
      </c>
      <c r="V430" s="29">
        <v>1</v>
      </c>
      <c r="W430" s="29">
        <v>1</v>
      </c>
      <c r="X430" s="29">
        <v>1</v>
      </c>
      <c r="Y430" s="29">
        <v>1</v>
      </c>
      <c r="Z430" s="29">
        <v>1</v>
      </c>
      <c r="AA430" s="29" cm="1">
        <f t="array" ref="AA430">_xlfn.LET(_xlpm.기본_색인번호, 2,
_xlpm.추가_색인번호, 3,
_xlpm.개별보정치, T430,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2400</v>
      </c>
      <c r="AB430" s="29" cm="1">
        <f t="array" ref="AB430">_xlfn.LET(_xlpm.기본_색인번호, 3,
_xlpm.추가_색인번호, 4,
_xlpm.개별보정치, U430,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30" s="29" cm="1">
        <f t="array" ref="AC430">_xlfn.LET(_xlpm.기본_색인번호, 4,
_xlpm.추가_색인번호, 5,
_xlpm.개별보정치, V430,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0" s="29" cm="1">
        <f t="array" ref="AD430">_xlfn.LET(_xlpm.기본_색인번호, 5,
_xlpm.추가_색인번호, 6,
_xlpm.개별보정치, W430,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E430" s="29" cm="1">
        <f t="array" ref="AE430">_xlfn.LET(_xlpm.기본_색인번호, 6,
_xlpm.추가_색인번호, 7,
_xlpm.개별보정치, X430,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  <c r="AF430" s="29" cm="1">
        <f t="array" ref="AF430">_xlfn.LET(_xlpm.기본_색인번호, 7,
_xlpm.추가_색인번호, 8,
_xlpm.개별보정치, Y430,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0" s="30" cm="1">
        <f t="array" ref="AG430">_xlfn.LET(_xlpm.기본_색인번호, 8,
_xlpm.추가_색인번호, 9,
_xlpm.개별보정치, Z430,
_xlpm.패턴보정치, VLOOKUP($G430, Factor!$B$5:$I$51, _xlpm.기본_색인번호, 0),
_xlpm.소모탄환보정치, VLOOKUP($H430, Factor!$T$5:$AA$51, _xlpm.기본_색인번호, 0),
_xlpm.지형보정치, VLOOKUP($I430, Factor!$K$12:$R$13, _xlpm.기본_색인번호, 0),
_xlpm.공격속성보정치, VLOOKUP($J430, Factor!$K$5:$R$7, _xlpm.기본_색인번호, 0),
_xlpm.피해범위보정치, INDEX(Factor!$AN$5:$AV$51, _xlfn.XMATCH(IF(OR($G430="blast", $G430="curved",  $G430= "debuff"), $L430, 0), Factor!$AN$5:$AN$51, -1), _xlpm.추가_색인번호)-IF(AND(OR($G430="blast", $G430="curved", $G430= "debuff"), MOD($L430,1)&lt;&gt;0),INDEX(Factor!$AN$5:$AV$51, _xlfn.XMATCH(IF(OR($G430="blast", $G430="curved", $G430= "debuff"), $L430, 0), Factor!$AN$5:$AN$51, -1), 2)*MOD($L430,1)*10,0),
_xlpm.상태이상보정치, VLOOKUP(IF($G430 = "debuff", $M430, "null"), Factor!$AX$5:$BE$51, _xlpm.기본_색인번호, 0),
_xlpm.지속시간보정치, INDEX(Factor!$BG$5:$BO$51, _xlfn.XMATCH(IF(OR($G430 ="debuff", $G430 = "shot", $G430 = "pierce"), $O430, 0), Factor!$BG$5:$BG$51, -1), _xlpm.추가_색인번호)-IF(AND(OR($G430 ="debuff", $G430 = "shot", $G430 = "pierce"), MOD($O430, 1)&lt;&gt;0), 10*MOD($O430, 1)*INDEX(Factor!$BG$5:$BO$51, _xlfn.XMATCH(IF(OR($G430 ="debuff", $G430 = "shot", $G430 = "pierce"), $O430, 0), Factor!$BG$5:$BG$51, -1), 2), 0),
_xlpm.탄환개수보정치, VLOOKUP(IF(OR($G430 = "curved", $G430 = "shot"), $Q430, 1), Factor!$BQ$5:$BX$51, _xlpm.기본_색인번호, 0),
_xlpm.상태이상탄환생성위치보정치, IF($G430 = "debuff", VLOOKUP($R430, Factor!$K$18:$R$19, _xlpm.기본_색인번호, 0),1),
_xlpm.상태이상탄환형태보정치, IF($G430 = "debuff", VLOOKUP($S430, Factor!$K$24:$R$25, _xlpm.기본_색인번호, 0),1),
_xlpm.가격보정치, INDEX(Factor!$AE$5:$AL$51, _xlfn.XMATCH($F430,Factor!$AE$5:$AE$51, -1), _xlpm.기본_색인번호),
_xlpm.구경보정치, VLOOKUP($D430,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120</v>
      </c>
    </row>
    <row r="431" spans="1:33" ht="15.75" customHeight="1">
      <c r="A431" s="24" t="str">
        <f>"weapon_"&amp;G431&amp;"_"&amp;VLOOKUP(H431, Factor!$T$5:$AB$7, 9, 0)&amp;"_"&amp;IF(COUNTIFS($G$4:G430, G431, $H$4:H430, H431)+1&gt;=100, COUNTIFS($G$4:G430, G431, $H$4:H430, H431)+1,IF(COUNTIFS($G$4:G430, G431, $H$4:H430, H431)+1&gt;=10, "0"&amp;COUNTIFS($G$4:G430, G431, $H$4:H430, H431)+1, "00"&amp;COUNTIFS($G$4:G430, G431, $H$4:H430, H431)+1))</f>
        <v>weapon_debuff_Am_020</v>
      </c>
      <c r="B431" s="36" t="str">
        <f t="shared" si="6"/>
        <v>T4 40mm연막탄 발사기</v>
      </c>
      <c r="C431" s="36" t="s">
        <v>157</v>
      </c>
      <c r="D431" s="36" t="s">
        <v>262</v>
      </c>
      <c r="E431" s="36" t="s">
        <v>216</v>
      </c>
      <c r="F431" s="25">
        <f>VLOOKUP(C431, Factor!$AD$5:$AE$15, 2, 0)</f>
        <v>4000</v>
      </c>
      <c r="G431" s="26" t="str">
        <f>VLOOKUP(E431, Factor!$CL$5:$CV$50, 2, 0)</f>
        <v>debuff</v>
      </c>
      <c r="H431" s="25" t="str">
        <f>VLOOKUP(E431, Factor!$CL$5:$CV$50, 3, 0)</f>
        <v>ammo</v>
      </c>
      <c r="I431" s="25" t="str">
        <f>VLOOKUP(E431, Factor!$CL$5:$CV$50, 4, 0)</f>
        <v>L</v>
      </c>
      <c r="J431" s="25" t="str">
        <f>VLOOKUP(E431, Factor!$CL$5:$CV$50, 5, 0)</f>
        <v>spread</v>
      </c>
      <c r="K431" s="25">
        <v>1</v>
      </c>
      <c r="L431" s="25">
        <f>VLOOKUP(E431, Factor!$CL$5:$CV$50, 6, 0)*K431*VLOOKUP(D431, Factor!$BZ$5:$CJ$49, 9, 0)</f>
        <v>0</v>
      </c>
      <c r="M431" s="25" t="str">
        <f>VLOOKUP(E431, Factor!$CL$5:$CV$50, 7, 0)</f>
        <v>slow</v>
      </c>
      <c r="N431" s="25">
        <v>1</v>
      </c>
      <c r="O431" s="25">
        <f>VLOOKUP(E431, Factor!$CL$5:$CV$50, 8, 0)*N431*VLOOKUP(D431, Factor!$BZ$5:$CJ$49, 10, 0)</f>
        <v>30</v>
      </c>
      <c r="P431" s="25">
        <v>1</v>
      </c>
      <c r="Q431" s="25">
        <f>VLOOKUP(E431, Factor!$CL$5:$CV$50, 9, 0)*P431*VLOOKUP(D431, Factor!$BZ$5:$CJ$49, 11, 0)</f>
        <v>6</v>
      </c>
      <c r="R431" s="25" t="str">
        <f>VLOOKUP(E431, Factor!$CL$5:$CV$50, 10, 0)</f>
        <v>target</v>
      </c>
      <c r="S431" s="25" t="str">
        <f>VLOOKUP(E431, Factor!$CL$5:$CV$50, 11, 0)</f>
        <v>circle</v>
      </c>
      <c r="T431" s="25">
        <v>1</v>
      </c>
      <c r="U431" s="25">
        <v>1</v>
      </c>
      <c r="V431" s="25">
        <v>1</v>
      </c>
      <c r="W431" s="25">
        <v>1</v>
      </c>
      <c r="X431" s="25">
        <v>1</v>
      </c>
      <c r="Y431" s="25">
        <v>1</v>
      </c>
      <c r="Z431" s="25">
        <v>1</v>
      </c>
      <c r="AA431" s="25" cm="1">
        <f t="array" ref="AA431">_xlfn.LET(_xlpm.기본_색인번호, 2,
_xlpm.추가_색인번호, 3,
_xlpm.개별보정치, T431,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431" s="25" cm="1">
        <f t="array" ref="AB431">_xlfn.LET(_xlpm.기본_색인번호, 3,
_xlpm.추가_색인번호, 4,
_xlpm.개별보정치, U431,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31" s="25" cm="1">
        <f t="array" ref="AC431">_xlfn.LET(_xlpm.기본_색인번호, 4,
_xlpm.추가_색인번호, 5,
_xlpm.개별보정치, V431,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1" s="25" cm="1">
        <f t="array" ref="AD431">_xlfn.LET(_xlpm.기본_색인번호, 5,
_xlpm.추가_색인번호, 6,
_xlpm.개별보정치, W431,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E431" s="25" cm="1">
        <f t="array" ref="AE431">_xlfn.LET(_xlpm.기본_색인번호, 6,
_xlpm.추가_색인번호, 7,
_xlpm.개별보정치, X431,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F431" s="25" cm="1">
        <f t="array" ref="AF431">_xlfn.LET(_xlpm.기본_색인번호, 7,
_xlpm.추가_색인번호, 8,
_xlpm.개별보정치, Y431,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1" s="27" cm="1">
        <f t="array" ref="AG431">_xlfn.LET(_xlpm.기본_색인번호, 8,
_xlpm.추가_색인번호, 9,
_xlpm.개별보정치, Z431,
_xlpm.패턴보정치, VLOOKUP($G431, Factor!$B$5:$I$51, _xlpm.기본_색인번호, 0),
_xlpm.소모탄환보정치, VLOOKUP($H431, Factor!$T$5:$AA$51, _xlpm.기본_색인번호, 0),
_xlpm.지형보정치, VLOOKUP($I431, Factor!$K$12:$R$13, _xlpm.기본_색인번호, 0),
_xlpm.공격속성보정치, VLOOKUP($J431, Factor!$K$5:$R$7, _xlpm.기본_색인번호, 0),
_xlpm.피해범위보정치, INDEX(Factor!$AN$5:$AV$51, _xlfn.XMATCH(IF(OR($G431="blast", $G431="curved",  $G431= "debuff"), $L431, 0), Factor!$AN$5:$AN$51, -1), _xlpm.추가_색인번호)-IF(AND(OR($G431="blast", $G431="curved", $G431= "debuff"), MOD($L431,1)&lt;&gt;0),INDEX(Factor!$AN$5:$AV$51, _xlfn.XMATCH(IF(OR($G431="blast", $G431="curved", $G431= "debuff"), $L431, 0), Factor!$AN$5:$AN$51, -1), 2)*MOD($L431,1)*10,0),
_xlpm.상태이상보정치, VLOOKUP(IF($G431 = "debuff", $M431, "null"), Factor!$AX$5:$BE$51, _xlpm.기본_색인번호, 0),
_xlpm.지속시간보정치, INDEX(Factor!$BG$5:$BO$51, _xlfn.XMATCH(IF(OR($G431 ="debuff", $G431 = "shot", $G431 = "pierce"), $O431, 0), Factor!$BG$5:$BG$51, -1), _xlpm.추가_색인번호)-IF(AND(OR($G431 ="debuff", $G431 = "shot", $G431 = "pierce"), MOD($O431, 1)&lt;&gt;0), 10*MOD($O431, 1)*INDEX(Factor!$BG$5:$BO$51, _xlfn.XMATCH(IF(OR($G431 ="debuff", $G431 = "shot", $G431 = "pierce"), $O431, 0), Factor!$BG$5:$BG$51, -1), 2), 0),
_xlpm.탄환개수보정치, VLOOKUP(IF(OR($G431 = "curved", $G431 = "shot"), $Q431, 1), Factor!$BQ$5:$BX$51, _xlpm.기본_색인번호, 0),
_xlpm.상태이상탄환생성위치보정치, IF($G431 = "debuff", VLOOKUP($R431, Factor!$K$18:$R$19, _xlpm.기본_색인번호, 0),1),
_xlpm.상태이상탄환형태보정치, IF($G431 = "debuff", VLOOKUP($S431, Factor!$K$24:$R$25, _xlpm.기본_색인번호, 0),1),
_xlpm.가격보정치, INDEX(Factor!$AE$5:$AL$51, _xlfn.XMATCH($F431,Factor!$AE$5:$AE$51, -1), _xlpm.기본_색인번호),
_xlpm.구경보정치, VLOOKUP($D431,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</row>
    <row r="432" spans="1:33" ht="15.75" customHeight="1">
      <c r="A432" s="28" t="str">
        <f>"weapon_"&amp;G432&amp;"_"&amp;VLOOKUP(H432, Factor!$T$5:$AB$7, 9, 0)&amp;"_"&amp;IF(COUNTIFS($G$4:G431, G432, $H$4:H431, H432)+1&gt;=100, COUNTIFS($G$4:G431, G432, $H$4:H431, H432)+1,IF(COUNTIFS($G$4:G431, G432, $H$4:H431, H432)+1&gt;=10, "0"&amp;COUNTIFS($G$4:G431, G432, $H$4:H431, H432)+1, "00"&amp;COUNTIFS($G$4:G431, G432, $H$4:H431, H432)+1))</f>
        <v>weapon_debuff_Am_021</v>
      </c>
      <c r="B432" s="37" t="str">
        <f t="shared" si="6"/>
        <v>T4 55mm연막탄 발사기</v>
      </c>
      <c r="C432" s="37" t="s">
        <v>157</v>
      </c>
      <c r="D432" s="37" t="s">
        <v>263</v>
      </c>
      <c r="E432" s="37" t="s">
        <v>216</v>
      </c>
      <c r="F432" s="29">
        <f>VLOOKUP(C432, Factor!$AD$5:$AE$15, 2, 0)</f>
        <v>4000</v>
      </c>
      <c r="G432" s="29" t="str">
        <f>VLOOKUP(E432, Factor!$CL$5:$CV$50, 2, 0)</f>
        <v>debuff</v>
      </c>
      <c r="H432" s="29" t="str">
        <f>VLOOKUP(E432, Factor!$CL$5:$CV$50, 3, 0)</f>
        <v>ammo</v>
      </c>
      <c r="I432" s="29" t="str">
        <f>VLOOKUP(E432, Factor!$CL$5:$CV$50, 4, 0)</f>
        <v>L</v>
      </c>
      <c r="J432" s="29" t="str">
        <f>VLOOKUP(E432, Factor!$CL$5:$CV$50, 5, 0)</f>
        <v>spread</v>
      </c>
      <c r="K432" s="29">
        <v>1</v>
      </c>
      <c r="L432" s="29">
        <f>VLOOKUP(E432, Factor!$CL$5:$CV$50, 6, 0)*K432*VLOOKUP(D432, Factor!$BZ$5:$CJ$49, 9, 0)</f>
        <v>0</v>
      </c>
      <c r="M432" s="29" t="str">
        <f>VLOOKUP(E432, Factor!$CL$5:$CV$50, 7, 0)</f>
        <v>slow</v>
      </c>
      <c r="N432" s="29">
        <v>1</v>
      </c>
      <c r="O432" s="29">
        <f>VLOOKUP(E432, Factor!$CL$5:$CV$50, 8, 0)*N432*VLOOKUP(D432, Factor!$BZ$5:$CJ$49, 10, 0)</f>
        <v>35</v>
      </c>
      <c r="P432" s="29">
        <v>1</v>
      </c>
      <c r="Q432" s="29">
        <f>VLOOKUP(E432, Factor!$CL$5:$CV$50, 9, 0)*P432*VLOOKUP(D432, Factor!$BZ$5:$CJ$49, 11, 0)</f>
        <v>7</v>
      </c>
      <c r="R432" s="29" t="str">
        <f>VLOOKUP(E432, Factor!$CL$5:$CV$50, 10, 0)</f>
        <v>target</v>
      </c>
      <c r="S432" s="29" t="str">
        <f>VLOOKUP(E432, Factor!$CL$5:$CV$50, 11, 0)</f>
        <v>circle</v>
      </c>
      <c r="T432" s="29">
        <v>1</v>
      </c>
      <c r="U432" s="29">
        <v>1</v>
      </c>
      <c r="V432" s="29">
        <v>1</v>
      </c>
      <c r="W432" s="29">
        <v>1</v>
      </c>
      <c r="X432" s="29">
        <v>1</v>
      </c>
      <c r="Y432" s="29">
        <v>1</v>
      </c>
      <c r="Z432" s="29">
        <v>1</v>
      </c>
      <c r="AA432" s="29" cm="1">
        <f t="array" ref="AA432">_xlfn.LET(_xlpm.기본_색인번호, 2,
_xlpm.추가_색인번호, 3,
_xlpm.개별보정치, T432,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3000</v>
      </c>
      <c r="AB432" s="29" cm="1">
        <f t="array" ref="AB432">_xlfn.LET(_xlpm.기본_색인번호, 3,
_xlpm.추가_색인번호, 4,
_xlpm.개별보정치, U432,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32" s="29" cm="1">
        <f t="array" ref="AC432">_xlfn.LET(_xlpm.기본_색인번호, 4,
_xlpm.추가_색인번호, 5,
_xlpm.개별보정치, V432,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2" s="29" cm="1">
        <f t="array" ref="AD432">_xlfn.LET(_xlpm.기본_색인번호, 5,
_xlpm.추가_색인번호, 6,
_xlpm.개별보정치, W432,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E432" s="29" cm="1">
        <f t="array" ref="AE432">_xlfn.LET(_xlpm.기본_색인번호, 6,
_xlpm.추가_색인번호, 7,
_xlpm.개별보정치, X432,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F432" s="29" cm="1">
        <f t="array" ref="AF432">_xlfn.LET(_xlpm.기본_색인번호, 7,
_xlpm.추가_색인번호, 8,
_xlpm.개별보정치, Y432,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2" s="30" cm="1">
        <f t="array" ref="AG432">_xlfn.LET(_xlpm.기본_색인번호, 8,
_xlpm.추가_색인번호, 9,
_xlpm.개별보정치, Z432,
_xlpm.패턴보정치, VLOOKUP($G432, Factor!$B$5:$I$51, _xlpm.기본_색인번호, 0),
_xlpm.소모탄환보정치, VLOOKUP($H432, Factor!$T$5:$AA$51, _xlpm.기본_색인번호, 0),
_xlpm.지형보정치, VLOOKUP($I432, Factor!$K$12:$R$13, _xlpm.기본_색인번호, 0),
_xlpm.공격속성보정치, VLOOKUP($J432, Factor!$K$5:$R$7, _xlpm.기본_색인번호, 0),
_xlpm.피해범위보정치, INDEX(Factor!$AN$5:$AV$51, _xlfn.XMATCH(IF(OR($G432="blast", $G432="curved",  $G432= "debuff"), $L432, 0), Factor!$AN$5:$AN$51, -1), _xlpm.추가_색인번호)-IF(AND(OR($G432="blast", $G432="curved", $G432= "debuff"), MOD($L432,1)&lt;&gt;0),INDEX(Factor!$AN$5:$AV$51, _xlfn.XMATCH(IF(OR($G432="blast", $G432="curved", $G432= "debuff"), $L432, 0), Factor!$AN$5:$AN$51, -1), 2)*MOD($L432,1)*10,0),
_xlpm.상태이상보정치, VLOOKUP(IF($G432 = "debuff", $M432, "null"), Factor!$AX$5:$BE$51, _xlpm.기본_색인번호, 0),
_xlpm.지속시간보정치, INDEX(Factor!$BG$5:$BO$51, _xlfn.XMATCH(IF(OR($G432 ="debuff", $G432 = "shot", $G432 = "pierce"), $O432, 0), Factor!$BG$5:$BG$51, -1), _xlpm.추가_색인번호)-IF(AND(OR($G432 ="debuff", $G432 = "shot", $G432 = "pierce"), MOD($O432, 1)&lt;&gt;0), 10*MOD($O432, 1)*INDEX(Factor!$BG$5:$BO$51, _xlfn.XMATCH(IF(OR($G432 ="debuff", $G432 = "shot", $G432 = "pierce"), $O432, 0), Factor!$BG$5:$BG$51, -1), 2), 0),
_xlpm.탄환개수보정치, VLOOKUP(IF(OR($G432 = "curved", $G432 = "shot"), $Q432, 1), Factor!$BQ$5:$BX$51, _xlpm.기본_색인번호, 0),
_xlpm.상태이상탄환생성위치보정치, IF($G432 = "debuff", VLOOKUP($R432, Factor!$K$18:$R$19, _xlpm.기본_색인번호, 0),1),
_xlpm.상태이상탄환형태보정치, IF($G432 = "debuff", VLOOKUP($S432, Factor!$K$24:$R$25, _xlpm.기본_색인번호, 0),1),
_xlpm.가격보정치, INDEX(Factor!$AE$5:$AL$51, _xlfn.XMATCH($F432,Factor!$AE$5:$AE$51, -1), _xlpm.기본_색인번호),
_xlpm.구경보정치, VLOOKUP($D432,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</row>
    <row r="433" spans="1:33" ht="15.75" customHeight="1">
      <c r="A433" s="24" t="str">
        <f>"weapon_"&amp;G433&amp;"_"&amp;VLOOKUP(H433, Factor!$T$5:$AB$7, 9, 0)&amp;"_"&amp;IF(COUNTIFS($G$4:G432, G433, $H$4:H432, H433)+1&gt;=100, COUNTIFS($G$4:G432, G433, $H$4:H432, H433)+1,IF(COUNTIFS($G$4:G432, G433, $H$4:H432, H433)+1&gt;=10, "0"&amp;COUNTIFS($G$4:G432, G433, $H$4:H432, H433)+1, "00"&amp;COUNTIFS($G$4:G432, G433, $H$4:H432, H433)+1))</f>
        <v>weapon_debuff_Am_022</v>
      </c>
      <c r="B433" s="36" t="str">
        <f t="shared" si="6"/>
        <v>T5 40mm연막탄 발사기</v>
      </c>
      <c r="C433" s="36" t="s">
        <v>158</v>
      </c>
      <c r="D433" s="36" t="s">
        <v>262</v>
      </c>
      <c r="E433" s="36" t="s">
        <v>216</v>
      </c>
      <c r="F433" s="25">
        <f>VLOOKUP(C433, Factor!$AD$5:$AE$15, 2, 0)</f>
        <v>5000</v>
      </c>
      <c r="G433" s="26" t="str">
        <f>VLOOKUP(E433, Factor!$CL$5:$CV$50, 2, 0)</f>
        <v>debuff</v>
      </c>
      <c r="H433" s="25" t="str">
        <f>VLOOKUP(E433, Factor!$CL$5:$CV$50, 3, 0)</f>
        <v>ammo</v>
      </c>
      <c r="I433" s="25" t="str">
        <f>VLOOKUP(E433, Factor!$CL$5:$CV$50, 4, 0)</f>
        <v>L</v>
      </c>
      <c r="J433" s="25" t="str">
        <f>VLOOKUP(E433, Factor!$CL$5:$CV$50, 5, 0)</f>
        <v>spread</v>
      </c>
      <c r="K433" s="25">
        <v>1</v>
      </c>
      <c r="L433" s="25">
        <f>VLOOKUP(E433, Factor!$CL$5:$CV$50, 6, 0)*K433*VLOOKUP(D433, Factor!$BZ$5:$CJ$49, 9, 0)</f>
        <v>0</v>
      </c>
      <c r="M433" s="25" t="str">
        <f>VLOOKUP(E433, Factor!$CL$5:$CV$50, 7, 0)</f>
        <v>slow</v>
      </c>
      <c r="N433" s="25">
        <v>1</v>
      </c>
      <c r="O433" s="25">
        <f>VLOOKUP(E433, Factor!$CL$5:$CV$50, 8, 0)*N433*VLOOKUP(D433, Factor!$BZ$5:$CJ$49, 10, 0)</f>
        <v>30</v>
      </c>
      <c r="P433" s="25">
        <v>1</v>
      </c>
      <c r="Q433" s="25">
        <f>VLOOKUP(E433, Factor!$CL$5:$CV$50, 9, 0)*P433*VLOOKUP(D433, Factor!$BZ$5:$CJ$49, 11, 0)</f>
        <v>6</v>
      </c>
      <c r="R433" s="25" t="str">
        <f>VLOOKUP(E433, Factor!$CL$5:$CV$50, 10, 0)</f>
        <v>target</v>
      </c>
      <c r="S433" s="25" t="str">
        <f>VLOOKUP(E433, Factor!$CL$5:$CV$50, 11, 0)</f>
        <v>circle</v>
      </c>
      <c r="T433" s="25">
        <v>1</v>
      </c>
      <c r="U433" s="25">
        <v>1</v>
      </c>
      <c r="V433" s="25">
        <v>1</v>
      </c>
      <c r="W433" s="25">
        <v>1</v>
      </c>
      <c r="X433" s="25">
        <v>1</v>
      </c>
      <c r="Y433" s="25">
        <v>1</v>
      </c>
      <c r="Z433" s="25">
        <v>1</v>
      </c>
      <c r="AA433" s="25" cm="1">
        <f t="array" ref="AA433">_xlfn.LET(_xlpm.기본_색인번호, 2,
_xlpm.추가_색인번호, 3,
_xlpm.개별보정치, T433,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433" s="25" cm="1">
        <f t="array" ref="AB433">_xlfn.LET(_xlpm.기본_색인번호, 3,
_xlpm.추가_색인번호, 4,
_xlpm.개별보정치, U433,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33" s="25" cm="1">
        <f t="array" ref="AC433">_xlfn.LET(_xlpm.기본_색인번호, 4,
_xlpm.추가_색인번호, 5,
_xlpm.개별보정치, V433,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3" s="25" cm="1">
        <f t="array" ref="AD433">_xlfn.LET(_xlpm.기본_색인번호, 5,
_xlpm.추가_색인번호, 6,
_xlpm.개별보정치, W433,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433" s="25" cm="1">
        <f t="array" ref="AE433">_xlfn.LET(_xlpm.기본_색인번호, 6,
_xlpm.추가_색인번호, 7,
_xlpm.개별보정치, X433,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433" s="25" cm="1">
        <f t="array" ref="AF433">_xlfn.LET(_xlpm.기본_색인번호, 7,
_xlpm.추가_색인번호, 8,
_xlpm.개별보정치, Y433,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3" s="27" cm="1">
        <f t="array" ref="AG433">_xlfn.LET(_xlpm.기본_색인번호, 8,
_xlpm.추가_색인번호, 9,
_xlpm.개별보정치, Z433,
_xlpm.패턴보정치, VLOOKUP($G433, Factor!$B$5:$I$51, _xlpm.기본_색인번호, 0),
_xlpm.소모탄환보정치, VLOOKUP($H433, Factor!$T$5:$AA$51, _xlpm.기본_색인번호, 0),
_xlpm.지형보정치, VLOOKUP($I433, Factor!$K$12:$R$13, _xlpm.기본_색인번호, 0),
_xlpm.공격속성보정치, VLOOKUP($J433, Factor!$K$5:$R$7, _xlpm.기본_색인번호, 0),
_xlpm.피해범위보정치, INDEX(Factor!$AN$5:$AV$51, _xlfn.XMATCH(IF(OR($G433="blast", $G433="curved",  $G433= "debuff"), $L433, 0), Factor!$AN$5:$AN$51, -1), _xlpm.추가_색인번호)-IF(AND(OR($G433="blast", $G433="curved", $G433= "debuff"), MOD($L433,1)&lt;&gt;0),INDEX(Factor!$AN$5:$AV$51, _xlfn.XMATCH(IF(OR($G433="blast", $G433="curved", $G433= "debuff"), $L433, 0), Factor!$AN$5:$AN$51, -1), 2)*MOD($L433,1)*10,0),
_xlpm.상태이상보정치, VLOOKUP(IF($G433 = "debuff", $M433, "null"), Factor!$AX$5:$BE$51, _xlpm.기본_색인번호, 0),
_xlpm.지속시간보정치, INDEX(Factor!$BG$5:$BO$51, _xlfn.XMATCH(IF(OR($G433 ="debuff", $G433 = "shot", $G433 = "pierce"), $O433, 0), Factor!$BG$5:$BG$51, -1), _xlpm.추가_색인번호)-IF(AND(OR($G433 ="debuff", $G433 = "shot", $G433 = "pierce"), MOD($O433, 1)&lt;&gt;0), 10*MOD($O433, 1)*INDEX(Factor!$BG$5:$BO$51, _xlfn.XMATCH(IF(OR($G433 ="debuff", $G433 = "shot", $G433 = "pierce"), $O433, 0), Factor!$BG$5:$BG$51, -1), 2), 0),
_xlpm.탄환개수보정치, VLOOKUP(IF(OR($G433 = "curved", $G433 = "shot"), $Q433, 1), Factor!$BQ$5:$BX$51, _xlpm.기본_색인번호, 0),
_xlpm.상태이상탄환생성위치보정치, IF($G433 = "debuff", VLOOKUP($R433, Factor!$K$18:$R$19, _xlpm.기본_색인번호, 0),1),
_xlpm.상태이상탄환형태보정치, IF($G433 = "debuff", VLOOKUP($S433, Factor!$K$24:$R$25, _xlpm.기본_색인번호, 0),1),
_xlpm.가격보정치, INDEX(Factor!$AE$5:$AL$51, _xlfn.XMATCH($F433,Factor!$AE$5:$AE$51, -1), _xlpm.기본_색인번호),
_xlpm.구경보정치, VLOOKUP($D433,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434" spans="1:33" ht="15.75" customHeight="1">
      <c r="A434" s="28" t="str">
        <f>"weapon_"&amp;G434&amp;"_"&amp;VLOOKUP(H434, Factor!$T$5:$AB$7, 9, 0)&amp;"_"&amp;IF(COUNTIFS($G$4:G433, G434, $H$4:H433, H434)+1&gt;=100, COUNTIFS($G$4:G433, G434, $H$4:H433, H434)+1,IF(COUNTIFS($G$4:G433, G434, $H$4:H433, H434)+1&gt;=10, "0"&amp;COUNTIFS($G$4:G433, G434, $H$4:H433, H434)+1, "00"&amp;COUNTIFS($G$4:G433, G434, $H$4:H433, H434)+1))</f>
        <v>weapon_debuff_Am_023</v>
      </c>
      <c r="B434" s="37" t="str">
        <f t="shared" si="6"/>
        <v>T5 55mm연막탄 발사기</v>
      </c>
      <c r="C434" s="37" t="s">
        <v>158</v>
      </c>
      <c r="D434" s="37" t="s">
        <v>263</v>
      </c>
      <c r="E434" s="37" t="s">
        <v>216</v>
      </c>
      <c r="F434" s="29">
        <f>VLOOKUP(C434, Factor!$AD$5:$AE$15, 2, 0)</f>
        <v>5000</v>
      </c>
      <c r="G434" s="29" t="str">
        <f>VLOOKUP(E434, Factor!$CL$5:$CV$50, 2, 0)</f>
        <v>debuff</v>
      </c>
      <c r="H434" s="29" t="str">
        <f>VLOOKUP(E434, Factor!$CL$5:$CV$50, 3, 0)</f>
        <v>ammo</v>
      </c>
      <c r="I434" s="29" t="str">
        <f>VLOOKUP(E434, Factor!$CL$5:$CV$50, 4, 0)</f>
        <v>L</v>
      </c>
      <c r="J434" s="29" t="str">
        <f>VLOOKUP(E434, Factor!$CL$5:$CV$50, 5, 0)</f>
        <v>spread</v>
      </c>
      <c r="K434" s="29">
        <v>1</v>
      </c>
      <c r="L434" s="29">
        <f>VLOOKUP(E434, Factor!$CL$5:$CV$50, 6, 0)*K434*VLOOKUP(D434, Factor!$BZ$5:$CJ$49, 9, 0)</f>
        <v>0</v>
      </c>
      <c r="M434" s="29" t="str">
        <f>VLOOKUP(E434, Factor!$CL$5:$CV$50, 7, 0)</f>
        <v>slow</v>
      </c>
      <c r="N434" s="29">
        <v>1</v>
      </c>
      <c r="O434" s="29">
        <f>VLOOKUP(E434, Factor!$CL$5:$CV$50, 8, 0)*N434*VLOOKUP(D434, Factor!$BZ$5:$CJ$49, 10, 0)</f>
        <v>35</v>
      </c>
      <c r="P434" s="29">
        <v>1</v>
      </c>
      <c r="Q434" s="29">
        <f>VLOOKUP(E434, Factor!$CL$5:$CV$50, 9, 0)*P434*VLOOKUP(D434, Factor!$BZ$5:$CJ$49, 11, 0)</f>
        <v>7</v>
      </c>
      <c r="R434" s="29" t="str">
        <f>VLOOKUP(E434, Factor!$CL$5:$CV$50, 10, 0)</f>
        <v>target</v>
      </c>
      <c r="S434" s="29" t="str">
        <f>VLOOKUP(E434, Factor!$CL$5:$CV$50, 11, 0)</f>
        <v>circle</v>
      </c>
      <c r="T434" s="29">
        <v>1</v>
      </c>
      <c r="U434" s="29">
        <v>1</v>
      </c>
      <c r="V434" s="29">
        <v>1</v>
      </c>
      <c r="W434" s="29">
        <v>1</v>
      </c>
      <c r="X434" s="29">
        <v>1</v>
      </c>
      <c r="Y434" s="29">
        <v>1</v>
      </c>
      <c r="Z434" s="29">
        <v>1</v>
      </c>
      <c r="AA434" s="29" cm="1">
        <f t="array" ref="AA434">_xlfn.LET(_xlpm.기본_색인번호, 2,
_xlpm.추가_색인번호, 3,
_xlpm.개별보정치, T434,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B434" s="29" cm="1">
        <f t="array" ref="AB434">_xlfn.LET(_xlpm.기본_색인번호, 3,
_xlpm.추가_색인번호, 4,
_xlpm.개별보정치, U434,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150</v>
      </c>
      <c r="AC434" s="29" cm="1">
        <f t="array" ref="AC434">_xlfn.LET(_xlpm.기본_색인번호, 4,
_xlpm.추가_색인번호, 5,
_xlpm.개별보정치, V434,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4" s="29" cm="1">
        <f t="array" ref="AD434">_xlfn.LET(_xlpm.기본_색인번호, 5,
_xlpm.추가_색인번호, 6,
_xlpm.개별보정치, W434,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E434" s="29" cm="1">
        <f t="array" ref="AE434">_xlfn.LET(_xlpm.기본_색인번호, 6,
_xlpm.추가_색인번호, 7,
_xlpm.개별보정치, X434,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F434" s="29" cm="1">
        <f t="array" ref="AF434">_xlfn.LET(_xlpm.기본_색인번호, 7,
_xlpm.추가_색인번호, 8,
_xlpm.개별보정치, Y434,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4" s="30" cm="1">
        <f t="array" ref="AG434">_xlfn.LET(_xlpm.기본_색인번호, 8,
_xlpm.추가_색인번호, 9,
_xlpm.개별보정치, Z434,
_xlpm.패턴보정치, VLOOKUP($G434, Factor!$B$5:$I$51, _xlpm.기본_색인번호, 0),
_xlpm.소모탄환보정치, VLOOKUP($H434, Factor!$T$5:$AA$51, _xlpm.기본_색인번호, 0),
_xlpm.지형보정치, VLOOKUP($I434, Factor!$K$12:$R$13, _xlpm.기본_색인번호, 0),
_xlpm.공격속성보정치, VLOOKUP($J434, Factor!$K$5:$R$7, _xlpm.기본_색인번호, 0),
_xlpm.피해범위보정치, INDEX(Factor!$AN$5:$AV$51, _xlfn.XMATCH(IF(OR($G434="blast", $G434="curved",  $G434= "debuff"), $L434, 0), Factor!$AN$5:$AN$51, -1), _xlpm.추가_색인번호)-IF(AND(OR($G434="blast", $G434="curved", $G434= "debuff"), MOD($L434,1)&lt;&gt;0),INDEX(Factor!$AN$5:$AV$51, _xlfn.XMATCH(IF(OR($G434="blast", $G434="curved", $G434= "debuff"), $L434, 0), Factor!$AN$5:$AN$51, -1), 2)*MOD($L434,1)*10,0),
_xlpm.상태이상보정치, VLOOKUP(IF($G434 = "debuff", $M434, "null"), Factor!$AX$5:$BE$51, _xlpm.기본_색인번호, 0),
_xlpm.지속시간보정치, INDEX(Factor!$BG$5:$BO$51, _xlfn.XMATCH(IF(OR($G434 ="debuff", $G434 = "shot", $G434 = "pierce"), $O434, 0), Factor!$BG$5:$BG$51, -1), _xlpm.추가_색인번호)-IF(AND(OR($G434 ="debuff", $G434 = "shot", $G434 = "pierce"), MOD($O434, 1)&lt;&gt;0), 10*MOD($O434, 1)*INDEX(Factor!$BG$5:$BO$51, _xlfn.XMATCH(IF(OR($G434 ="debuff", $G434 = "shot", $G434 = "pierce"), $O434, 0), Factor!$BG$5:$BG$51, -1), 2), 0),
_xlpm.탄환개수보정치, VLOOKUP(IF(OR($G434 = "curved", $G434 = "shot"), $Q434, 1), Factor!$BQ$5:$BX$51, _xlpm.기본_색인번호, 0),
_xlpm.상태이상탄환생성위치보정치, IF($G434 = "debuff", VLOOKUP($R434, Factor!$K$18:$R$19, _xlpm.기본_색인번호, 0),1),
_xlpm.상태이상탄환형태보정치, IF($G434 = "debuff", VLOOKUP($S434, Factor!$K$24:$R$25, _xlpm.기본_색인번호, 0),1),
_xlpm.가격보정치, INDEX(Factor!$AE$5:$AL$51, _xlfn.XMATCH($F434,Factor!$AE$5:$AE$51, -1), _xlpm.기본_색인번호),
_xlpm.구경보정치, VLOOKUP($D434,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</row>
    <row r="435" spans="1:33" ht="15.75" customHeight="1">
      <c r="A435" s="24" t="str">
        <f>"weapon_"&amp;G435&amp;"_"&amp;VLOOKUP(H435, Factor!$T$5:$AB$7, 9, 0)&amp;"_"&amp;IF(COUNTIFS($G$4:G434, G435, $H$4:H434, H435)+1&gt;=100, COUNTIFS($G$4:G434, G435, $H$4:H434, H435)+1,IF(COUNTIFS($G$4:G434, G435, $H$4:H434, H435)+1&gt;=10, "0"&amp;COUNTIFS($G$4:G434, G435, $H$4:H434, H435)+1, "00"&amp;COUNTIFS($G$4:G434, G435, $H$4:H434, H435)+1))</f>
        <v>weapon_debuff_Am_024</v>
      </c>
      <c r="B435" s="36" t="str">
        <f t="shared" si="6"/>
        <v>T6 40mm연막탄 발사기</v>
      </c>
      <c r="C435" s="36" t="s">
        <v>159</v>
      </c>
      <c r="D435" s="36" t="s">
        <v>262</v>
      </c>
      <c r="E435" s="36" t="s">
        <v>216</v>
      </c>
      <c r="F435" s="25">
        <f>VLOOKUP(C435, Factor!$AD$5:$AE$15, 2, 0)</f>
        <v>6000</v>
      </c>
      <c r="G435" s="26" t="str">
        <f>VLOOKUP(E435, Factor!$CL$5:$CV$50, 2, 0)</f>
        <v>debuff</v>
      </c>
      <c r="H435" s="25" t="str">
        <f>VLOOKUP(E435, Factor!$CL$5:$CV$50, 3, 0)</f>
        <v>ammo</v>
      </c>
      <c r="I435" s="25" t="str">
        <f>VLOOKUP(E435, Factor!$CL$5:$CV$50, 4, 0)</f>
        <v>L</v>
      </c>
      <c r="J435" s="25" t="str">
        <f>VLOOKUP(E435, Factor!$CL$5:$CV$50, 5, 0)</f>
        <v>spread</v>
      </c>
      <c r="K435" s="25">
        <v>1</v>
      </c>
      <c r="L435" s="25">
        <f>VLOOKUP(E435, Factor!$CL$5:$CV$50, 6, 0)*K435*VLOOKUP(D435, Factor!$BZ$5:$CJ$49, 9, 0)</f>
        <v>0</v>
      </c>
      <c r="M435" s="25" t="str">
        <f>VLOOKUP(E435, Factor!$CL$5:$CV$50, 7, 0)</f>
        <v>slow</v>
      </c>
      <c r="N435" s="25">
        <v>1</v>
      </c>
      <c r="O435" s="25">
        <f>VLOOKUP(E435, Factor!$CL$5:$CV$50, 8, 0)*N435*VLOOKUP(D435, Factor!$BZ$5:$CJ$49, 10, 0)</f>
        <v>30</v>
      </c>
      <c r="P435" s="25">
        <v>1</v>
      </c>
      <c r="Q435" s="25">
        <f>VLOOKUP(E435, Factor!$CL$5:$CV$50, 9, 0)*P435*VLOOKUP(D435, Factor!$BZ$5:$CJ$49, 11, 0)</f>
        <v>6</v>
      </c>
      <c r="R435" s="25" t="str">
        <f>VLOOKUP(E435, Factor!$CL$5:$CV$50, 10, 0)</f>
        <v>target</v>
      </c>
      <c r="S435" s="25" t="str">
        <f>VLOOKUP(E435, Factor!$CL$5:$CV$50, 11, 0)</f>
        <v>circle</v>
      </c>
      <c r="T435" s="25">
        <v>1</v>
      </c>
      <c r="U435" s="25">
        <v>1</v>
      </c>
      <c r="V435" s="25">
        <v>1</v>
      </c>
      <c r="W435" s="25">
        <v>1</v>
      </c>
      <c r="X435" s="25">
        <v>1</v>
      </c>
      <c r="Y435" s="25">
        <v>1</v>
      </c>
      <c r="Z435" s="25">
        <v>1</v>
      </c>
      <c r="AA435" s="25" cm="1">
        <f t="array" ref="AA435">_xlfn.LET(_xlpm.기본_색인번호, 2,
_xlpm.추가_색인번호, 3,
_xlpm.개별보정치, T435,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4200</v>
      </c>
      <c r="AB435" s="25" cm="1">
        <f t="array" ref="AB435">_xlfn.LET(_xlpm.기본_색인번호, 3,
_xlpm.추가_색인번호, 4,
_xlpm.개별보정치, U435,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35" s="25" cm="1">
        <f t="array" ref="AC435">_xlfn.LET(_xlpm.기본_색인번호, 4,
_xlpm.추가_색인번호, 5,
_xlpm.개별보정치, V435,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5" s="25" cm="1">
        <f t="array" ref="AD435">_xlfn.LET(_xlpm.기본_색인번호, 5,
_xlpm.추가_색인번호, 6,
_xlpm.개별보정치, W435,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E435" s="25" cm="1">
        <f t="array" ref="AE435">_xlfn.LET(_xlpm.기본_색인번호, 6,
_xlpm.추가_색인번호, 7,
_xlpm.개별보정치, X435,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F435" s="25" cm="1">
        <f t="array" ref="AF435">_xlfn.LET(_xlpm.기본_색인번호, 7,
_xlpm.추가_색인번호, 8,
_xlpm.개별보정치, Y435,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5" s="27" cm="1">
        <f t="array" ref="AG435">_xlfn.LET(_xlpm.기본_색인번호, 8,
_xlpm.추가_색인번호, 9,
_xlpm.개별보정치, Z435,
_xlpm.패턴보정치, VLOOKUP($G435, Factor!$B$5:$I$51, _xlpm.기본_색인번호, 0),
_xlpm.소모탄환보정치, VLOOKUP($H435, Factor!$T$5:$AA$51, _xlpm.기본_색인번호, 0),
_xlpm.지형보정치, VLOOKUP($I435, Factor!$K$12:$R$13, _xlpm.기본_색인번호, 0),
_xlpm.공격속성보정치, VLOOKUP($J435, Factor!$K$5:$R$7, _xlpm.기본_색인번호, 0),
_xlpm.피해범위보정치, INDEX(Factor!$AN$5:$AV$51, _xlfn.XMATCH(IF(OR($G435="blast", $G435="curved",  $G435= "debuff"), $L435, 0), Factor!$AN$5:$AN$51, -1), _xlpm.추가_색인번호)-IF(AND(OR($G435="blast", $G435="curved", $G435= "debuff"), MOD($L435,1)&lt;&gt;0),INDEX(Factor!$AN$5:$AV$51, _xlfn.XMATCH(IF(OR($G435="blast", $G435="curved", $G435= "debuff"), $L435, 0), Factor!$AN$5:$AN$51, -1), 2)*MOD($L435,1)*10,0),
_xlpm.상태이상보정치, VLOOKUP(IF($G435 = "debuff", $M435, "null"), Factor!$AX$5:$BE$51, _xlpm.기본_색인번호, 0),
_xlpm.지속시간보정치, INDEX(Factor!$BG$5:$BO$51, _xlfn.XMATCH(IF(OR($G435 ="debuff", $G435 = "shot", $G435 = "pierce"), $O435, 0), Factor!$BG$5:$BG$51, -1), _xlpm.추가_색인번호)-IF(AND(OR($G435 ="debuff", $G435 = "shot", $G435 = "pierce"), MOD($O435, 1)&lt;&gt;0), 10*MOD($O435, 1)*INDEX(Factor!$BG$5:$BO$51, _xlfn.XMATCH(IF(OR($G435 ="debuff", $G435 = "shot", $G435 = "pierce"), $O435, 0), Factor!$BG$5:$BG$51, -1), 2), 0),
_xlpm.탄환개수보정치, VLOOKUP(IF(OR($G435 = "curved", $G435 = "shot"), $Q435, 1), Factor!$BQ$5:$BX$51, _xlpm.기본_색인번호, 0),
_xlpm.상태이상탄환생성위치보정치, IF($G435 = "debuff", VLOOKUP($R435, Factor!$K$18:$R$19, _xlpm.기본_색인번호, 0),1),
_xlpm.상태이상탄환형태보정치, IF($G435 = "debuff", VLOOKUP($S435, Factor!$K$24:$R$25, _xlpm.기본_색인번호, 0),1),
_xlpm.가격보정치, INDEX(Factor!$AE$5:$AL$51, _xlfn.XMATCH($F435,Factor!$AE$5:$AE$51, -1), _xlpm.기본_색인번호),
_xlpm.구경보정치, VLOOKUP($D435,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</row>
    <row r="436" spans="1:33" ht="15.75" customHeight="1">
      <c r="A436" s="28" t="str">
        <f>"weapon_"&amp;G436&amp;"_"&amp;VLOOKUP(H436, Factor!$T$5:$AB$7, 9, 0)&amp;"_"&amp;IF(COUNTIFS($G$4:G435, G436, $H$4:H435, H436)+1&gt;=100, COUNTIFS($G$4:G435, G436, $H$4:H435, H436)+1,IF(COUNTIFS($G$4:G435, G436, $H$4:H435, H436)+1&gt;=10, "0"&amp;COUNTIFS($G$4:G435, G436, $H$4:H435, H436)+1, "00"&amp;COUNTIFS($G$4:G435, G436, $H$4:H435, H436)+1))</f>
        <v>weapon_debuff_Am_025</v>
      </c>
      <c r="B436" s="37" t="str">
        <f t="shared" si="6"/>
        <v>T6 55mm연막탄 발사기</v>
      </c>
      <c r="C436" s="37" t="s">
        <v>159</v>
      </c>
      <c r="D436" s="37" t="s">
        <v>263</v>
      </c>
      <c r="E436" s="37" t="s">
        <v>216</v>
      </c>
      <c r="F436" s="29">
        <f>VLOOKUP(C436, Factor!$AD$5:$AE$15, 2, 0)</f>
        <v>6000</v>
      </c>
      <c r="G436" s="29" t="str">
        <f>VLOOKUP(E436, Factor!$CL$5:$CV$50, 2, 0)</f>
        <v>debuff</v>
      </c>
      <c r="H436" s="29" t="str">
        <f>VLOOKUP(E436, Factor!$CL$5:$CV$50, 3, 0)</f>
        <v>ammo</v>
      </c>
      <c r="I436" s="29" t="str">
        <f>VLOOKUP(E436, Factor!$CL$5:$CV$50, 4, 0)</f>
        <v>L</v>
      </c>
      <c r="J436" s="29" t="str">
        <f>VLOOKUP(E436, Factor!$CL$5:$CV$50, 5, 0)</f>
        <v>spread</v>
      </c>
      <c r="K436" s="29">
        <v>1</v>
      </c>
      <c r="L436" s="29">
        <f>VLOOKUP(E436, Factor!$CL$5:$CV$50, 6, 0)*K436*VLOOKUP(D436, Factor!$BZ$5:$CJ$49, 9, 0)</f>
        <v>0</v>
      </c>
      <c r="M436" s="29" t="str">
        <f>VLOOKUP(E436, Factor!$CL$5:$CV$50, 7, 0)</f>
        <v>slow</v>
      </c>
      <c r="N436" s="29">
        <v>1</v>
      </c>
      <c r="O436" s="29">
        <f>VLOOKUP(E436, Factor!$CL$5:$CV$50, 8, 0)*N436*VLOOKUP(D436, Factor!$BZ$5:$CJ$49, 10, 0)</f>
        <v>35</v>
      </c>
      <c r="P436" s="29">
        <v>1</v>
      </c>
      <c r="Q436" s="29">
        <f>VLOOKUP(E436, Factor!$CL$5:$CV$50, 9, 0)*P436*VLOOKUP(D436, Factor!$BZ$5:$CJ$49, 11, 0)</f>
        <v>7</v>
      </c>
      <c r="R436" s="29" t="str">
        <f>VLOOKUP(E436, Factor!$CL$5:$CV$50, 10, 0)</f>
        <v>target</v>
      </c>
      <c r="S436" s="29" t="str">
        <f>VLOOKUP(E436, Factor!$CL$5:$CV$50, 11, 0)</f>
        <v>circle</v>
      </c>
      <c r="T436" s="29">
        <v>1</v>
      </c>
      <c r="U436" s="29">
        <v>1</v>
      </c>
      <c r="V436" s="29">
        <v>1</v>
      </c>
      <c r="W436" s="29">
        <v>1</v>
      </c>
      <c r="X436" s="29">
        <v>1</v>
      </c>
      <c r="Y436" s="29">
        <v>1</v>
      </c>
      <c r="Z436" s="29">
        <v>1</v>
      </c>
      <c r="AA436" s="29" cm="1">
        <f t="array" ref="AA436">_xlfn.LET(_xlpm.기본_색인번호, 2,
_xlpm.추가_색인번호, 3,
_xlpm.개별보정치, T436,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4200</v>
      </c>
      <c r="AB436" s="29" cm="1">
        <f t="array" ref="AB436">_xlfn.LET(_xlpm.기본_색인번호, 3,
_xlpm.추가_색인번호, 4,
_xlpm.개별보정치, U436,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36" s="29" cm="1">
        <f t="array" ref="AC436">_xlfn.LET(_xlpm.기본_색인번호, 4,
_xlpm.추가_색인번호, 5,
_xlpm.개별보정치, V436,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6" s="29" cm="1">
        <f t="array" ref="AD436">_xlfn.LET(_xlpm.기본_색인번호, 5,
_xlpm.추가_색인번호, 6,
_xlpm.개별보정치, W436,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E436" s="29" cm="1">
        <f t="array" ref="AE436">_xlfn.LET(_xlpm.기본_색인번호, 6,
_xlpm.추가_색인번호, 7,
_xlpm.개별보정치, X436,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F436" s="29" cm="1">
        <f t="array" ref="AF436">_xlfn.LET(_xlpm.기본_색인번호, 7,
_xlpm.추가_색인번호, 8,
_xlpm.개별보정치, Y436,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6" s="30" cm="1">
        <f t="array" ref="AG436">_xlfn.LET(_xlpm.기본_색인번호, 8,
_xlpm.추가_색인번호, 9,
_xlpm.개별보정치, Z436,
_xlpm.패턴보정치, VLOOKUP($G436, Factor!$B$5:$I$51, _xlpm.기본_색인번호, 0),
_xlpm.소모탄환보정치, VLOOKUP($H436, Factor!$T$5:$AA$51, _xlpm.기본_색인번호, 0),
_xlpm.지형보정치, VLOOKUP($I436, Factor!$K$12:$R$13, _xlpm.기본_색인번호, 0),
_xlpm.공격속성보정치, VLOOKUP($J436, Factor!$K$5:$R$7, _xlpm.기본_색인번호, 0),
_xlpm.피해범위보정치, INDEX(Factor!$AN$5:$AV$51, _xlfn.XMATCH(IF(OR($G436="blast", $G436="curved",  $G436= "debuff"), $L436, 0), Factor!$AN$5:$AN$51, -1), _xlpm.추가_색인번호)-IF(AND(OR($G436="blast", $G436="curved", $G436= "debuff"), MOD($L436,1)&lt;&gt;0),INDEX(Factor!$AN$5:$AV$51, _xlfn.XMATCH(IF(OR($G436="blast", $G436="curved", $G436= "debuff"), $L436, 0), Factor!$AN$5:$AN$51, -1), 2)*MOD($L436,1)*10,0),
_xlpm.상태이상보정치, VLOOKUP(IF($G436 = "debuff", $M436, "null"), Factor!$AX$5:$BE$51, _xlpm.기본_색인번호, 0),
_xlpm.지속시간보정치, INDEX(Factor!$BG$5:$BO$51, _xlfn.XMATCH(IF(OR($G436 ="debuff", $G436 = "shot", $G436 = "pierce"), $O436, 0), Factor!$BG$5:$BG$51, -1), _xlpm.추가_색인번호)-IF(AND(OR($G436 ="debuff", $G436 = "shot", $G436 = "pierce"), MOD($O436, 1)&lt;&gt;0), 10*MOD($O436, 1)*INDEX(Factor!$BG$5:$BO$51, _xlfn.XMATCH(IF(OR($G436 ="debuff", $G436 = "shot", $G436 = "pierce"), $O436, 0), Factor!$BG$5:$BG$51, -1), 2), 0),
_xlpm.탄환개수보정치, VLOOKUP(IF(OR($G436 = "curved", $G436 = "shot"), $Q436, 1), Factor!$BQ$5:$BX$51, _xlpm.기본_색인번호, 0),
_xlpm.상태이상탄환생성위치보정치, IF($G436 = "debuff", VLOOKUP($R436, Factor!$K$18:$R$19, _xlpm.기본_색인번호, 0),1),
_xlpm.상태이상탄환형태보정치, IF($G436 = "debuff", VLOOKUP($S436, Factor!$K$24:$R$25, _xlpm.기본_색인번호, 0),1),
_xlpm.가격보정치, INDEX(Factor!$AE$5:$AL$51, _xlfn.XMATCH($F436,Factor!$AE$5:$AE$51, -1), _xlpm.기본_색인번호),
_xlpm.구경보정치, VLOOKUP($D436,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</row>
    <row r="437" spans="1:33" ht="15.75" customHeight="1">
      <c r="A437" s="24" t="str">
        <f>"weapon_"&amp;G437&amp;"_"&amp;VLOOKUP(H437, Factor!$T$5:$AB$7, 9, 0)&amp;"_"&amp;IF(COUNTIFS($G$4:G436, G437, $H$4:H436, H437)+1&gt;=100, COUNTIFS($G$4:G436, G437, $H$4:H436, H437)+1,IF(COUNTIFS($G$4:G436, G437, $H$4:H436, H437)+1&gt;=10, "0"&amp;COUNTIFS($G$4:G436, G437, $H$4:H436, H437)+1, "00"&amp;COUNTIFS($G$4:G436, G437, $H$4:H436, H437)+1))</f>
        <v>weapon_debuff_Am_026</v>
      </c>
      <c r="B437" s="36" t="str">
        <f t="shared" si="6"/>
        <v>T7 40mm연막탄 발사기</v>
      </c>
      <c r="C437" s="36" t="s">
        <v>160</v>
      </c>
      <c r="D437" s="36" t="s">
        <v>262</v>
      </c>
      <c r="E437" s="36" t="s">
        <v>216</v>
      </c>
      <c r="F437" s="25">
        <f>VLOOKUP(C437, Factor!$AD$5:$AE$15, 2, 0)</f>
        <v>7000</v>
      </c>
      <c r="G437" s="26" t="str">
        <f>VLOOKUP(E437, Factor!$CL$5:$CV$50, 2, 0)</f>
        <v>debuff</v>
      </c>
      <c r="H437" s="25" t="str">
        <f>VLOOKUP(E437, Factor!$CL$5:$CV$50, 3, 0)</f>
        <v>ammo</v>
      </c>
      <c r="I437" s="25" t="str">
        <f>VLOOKUP(E437, Factor!$CL$5:$CV$50, 4, 0)</f>
        <v>L</v>
      </c>
      <c r="J437" s="25" t="str">
        <f>VLOOKUP(E437, Factor!$CL$5:$CV$50, 5, 0)</f>
        <v>spread</v>
      </c>
      <c r="K437" s="25">
        <v>1</v>
      </c>
      <c r="L437" s="25">
        <f>VLOOKUP(E437, Factor!$CL$5:$CV$50, 6, 0)*K437*VLOOKUP(D437, Factor!$BZ$5:$CJ$49, 9, 0)</f>
        <v>0</v>
      </c>
      <c r="M437" s="25" t="str">
        <f>VLOOKUP(E437, Factor!$CL$5:$CV$50, 7, 0)</f>
        <v>slow</v>
      </c>
      <c r="N437" s="25">
        <v>1</v>
      </c>
      <c r="O437" s="25">
        <f>VLOOKUP(E437, Factor!$CL$5:$CV$50, 8, 0)*N437*VLOOKUP(D437, Factor!$BZ$5:$CJ$49, 10, 0)</f>
        <v>30</v>
      </c>
      <c r="P437" s="25">
        <v>1</v>
      </c>
      <c r="Q437" s="25">
        <f>VLOOKUP(E437, Factor!$CL$5:$CV$50, 9, 0)*P437*VLOOKUP(D437, Factor!$BZ$5:$CJ$49, 11, 0)</f>
        <v>6</v>
      </c>
      <c r="R437" s="25" t="str">
        <f>VLOOKUP(E437, Factor!$CL$5:$CV$50, 10, 0)</f>
        <v>target</v>
      </c>
      <c r="S437" s="25" t="str">
        <f>VLOOKUP(E437, Factor!$CL$5:$CV$50, 11, 0)</f>
        <v>circle</v>
      </c>
      <c r="T437" s="25">
        <v>1</v>
      </c>
      <c r="U437" s="25">
        <v>1</v>
      </c>
      <c r="V437" s="25">
        <v>1</v>
      </c>
      <c r="W437" s="25">
        <v>1</v>
      </c>
      <c r="X437" s="25">
        <v>1</v>
      </c>
      <c r="Y437" s="25">
        <v>1</v>
      </c>
      <c r="Z437" s="25">
        <v>1</v>
      </c>
      <c r="AA437" s="25" cm="1">
        <f t="array" ref="AA437">_xlfn.LET(_xlpm.기본_색인번호, 2,
_xlpm.추가_색인번호, 3,
_xlpm.개별보정치, T437,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437" s="25" cm="1">
        <f t="array" ref="AB437">_xlfn.LET(_xlpm.기본_색인번호, 3,
_xlpm.추가_색인번호, 4,
_xlpm.개별보정치, U437,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37" s="25" cm="1">
        <f t="array" ref="AC437">_xlfn.LET(_xlpm.기본_색인번호, 4,
_xlpm.추가_색인번호, 5,
_xlpm.개별보정치, V437,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7" s="25" cm="1">
        <f t="array" ref="AD437">_xlfn.LET(_xlpm.기본_색인번호, 5,
_xlpm.추가_색인번호, 6,
_xlpm.개별보정치, W437,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437" s="25" cm="1">
        <f t="array" ref="AE437">_xlfn.LET(_xlpm.기본_색인번호, 6,
_xlpm.추가_색인번호, 7,
_xlpm.개별보정치, X437,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437" s="25" cm="1">
        <f t="array" ref="AF437">_xlfn.LET(_xlpm.기본_색인번호, 7,
_xlpm.추가_색인번호, 8,
_xlpm.개별보정치, Y437,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7" s="27" cm="1">
        <f t="array" ref="AG437">_xlfn.LET(_xlpm.기본_색인번호, 8,
_xlpm.추가_색인번호, 9,
_xlpm.개별보정치, Z437,
_xlpm.패턴보정치, VLOOKUP($G437, Factor!$B$5:$I$51, _xlpm.기본_색인번호, 0),
_xlpm.소모탄환보정치, VLOOKUP($H437, Factor!$T$5:$AA$51, _xlpm.기본_색인번호, 0),
_xlpm.지형보정치, VLOOKUP($I437, Factor!$K$12:$R$13, _xlpm.기본_색인번호, 0),
_xlpm.공격속성보정치, VLOOKUP($J437, Factor!$K$5:$R$7, _xlpm.기본_색인번호, 0),
_xlpm.피해범위보정치, INDEX(Factor!$AN$5:$AV$51, _xlfn.XMATCH(IF(OR($G437="blast", $G437="curved",  $G437= "debuff"), $L437, 0), Factor!$AN$5:$AN$51, -1), _xlpm.추가_색인번호)-IF(AND(OR($G437="blast", $G437="curved", $G437= "debuff"), MOD($L437,1)&lt;&gt;0),INDEX(Factor!$AN$5:$AV$51, _xlfn.XMATCH(IF(OR($G437="blast", $G437="curved", $G437= "debuff"), $L437, 0), Factor!$AN$5:$AN$51, -1), 2)*MOD($L437,1)*10,0),
_xlpm.상태이상보정치, VLOOKUP(IF($G437 = "debuff", $M437, "null"), Factor!$AX$5:$BE$51, _xlpm.기본_색인번호, 0),
_xlpm.지속시간보정치, INDEX(Factor!$BG$5:$BO$51, _xlfn.XMATCH(IF(OR($G437 ="debuff", $G437 = "shot", $G437 = "pierce"), $O437, 0), Factor!$BG$5:$BG$51, -1), _xlpm.추가_색인번호)-IF(AND(OR($G437 ="debuff", $G437 = "shot", $G437 = "pierce"), MOD($O437, 1)&lt;&gt;0), 10*MOD($O437, 1)*INDEX(Factor!$BG$5:$BO$51, _xlfn.XMATCH(IF(OR($G437 ="debuff", $G437 = "shot", $G437 = "pierce"), $O437, 0), Factor!$BG$5:$BG$51, -1), 2), 0),
_xlpm.탄환개수보정치, VLOOKUP(IF(OR($G437 = "curved", $G437 = "shot"), $Q437, 1), Factor!$BQ$5:$BX$51, _xlpm.기본_색인번호, 0),
_xlpm.상태이상탄환생성위치보정치, IF($G437 = "debuff", VLOOKUP($R437, Factor!$K$18:$R$19, _xlpm.기본_색인번호, 0),1),
_xlpm.상태이상탄환형태보정치, IF($G437 = "debuff", VLOOKUP($S437, Factor!$K$24:$R$25, _xlpm.기본_색인번호, 0),1),
_xlpm.가격보정치, INDEX(Factor!$AE$5:$AL$51, _xlfn.XMATCH($F437,Factor!$AE$5:$AE$51, -1), _xlpm.기본_색인번호),
_xlpm.구경보정치, VLOOKUP($D437,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438" spans="1:33" ht="15.75" customHeight="1">
      <c r="A438" s="28" t="str">
        <f>"weapon_"&amp;G438&amp;"_"&amp;VLOOKUP(H438, Factor!$T$5:$AB$7, 9, 0)&amp;"_"&amp;IF(COUNTIFS($G$4:G437, G438, $H$4:H437, H438)+1&gt;=100, COUNTIFS($G$4:G437, G438, $H$4:H437, H438)+1,IF(COUNTIFS($G$4:G437, G438, $H$4:H437, H438)+1&gt;=10, "0"&amp;COUNTIFS($G$4:G437, G438, $H$4:H437, H438)+1, "00"&amp;COUNTIFS($G$4:G437, G438, $H$4:H437, H438)+1))</f>
        <v>weapon_debuff_Am_027</v>
      </c>
      <c r="B438" s="37" t="str">
        <f t="shared" si="6"/>
        <v>T7 55mm연막탄 발사기</v>
      </c>
      <c r="C438" s="37" t="s">
        <v>160</v>
      </c>
      <c r="D438" s="37" t="s">
        <v>263</v>
      </c>
      <c r="E438" s="37" t="s">
        <v>216</v>
      </c>
      <c r="F438" s="29">
        <f>VLOOKUP(C438, Factor!$AD$5:$AE$15, 2, 0)</f>
        <v>7000</v>
      </c>
      <c r="G438" s="29" t="str">
        <f>VLOOKUP(E438, Factor!$CL$5:$CV$50, 2, 0)</f>
        <v>debuff</v>
      </c>
      <c r="H438" s="29" t="str">
        <f>VLOOKUP(E438, Factor!$CL$5:$CV$50, 3, 0)</f>
        <v>ammo</v>
      </c>
      <c r="I438" s="29" t="str">
        <f>VLOOKUP(E438, Factor!$CL$5:$CV$50, 4, 0)</f>
        <v>L</v>
      </c>
      <c r="J438" s="29" t="str">
        <f>VLOOKUP(E438, Factor!$CL$5:$CV$50, 5, 0)</f>
        <v>spread</v>
      </c>
      <c r="K438" s="29">
        <v>1</v>
      </c>
      <c r="L438" s="29">
        <f>VLOOKUP(E438, Factor!$CL$5:$CV$50, 6, 0)*K438*VLOOKUP(D438, Factor!$BZ$5:$CJ$49, 9, 0)</f>
        <v>0</v>
      </c>
      <c r="M438" s="29" t="str">
        <f>VLOOKUP(E438, Factor!$CL$5:$CV$50, 7, 0)</f>
        <v>slow</v>
      </c>
      <c r="N438" s="29">
        <v>1</v>
      </c>
      <c r="O438" s="29">
        <f>VLOOKUP(E438, Factor!$CL$5:$CV$50, 8, 0)*N438*VLOOKUP(D438, Factor!$BZ$5:$CJ$49, 10, 0)</f>
        <v>35</v>
      </c>
      <c r="P438" s="29">
        <v>1</v>
      </c>
      <c r="Q438" s="29">
        <f>VLOOKUP(E438, Factor!$CL$5:$CV$50, 9, 0)*P438*VLOOKUP(D438, Factor!$BZ$5:$CJ$49, 11, 0)</f>
        <v>7</v>
      </c>
      <c r="R438" s="29" t="str">
        <f>VLOOKUP(E438, Factor!$CL$5:$CV$50, 10, 0)</f>
        <v>target</v>
      </c>
      <c r="S438" s="29" t="str">
        <f>VLOOKUP(E438, Factor!$CL$5:$CV$50, 11, 0)</f>
        <v>circle</v>
      </c>
      <c r="T438" s="29">
        <v>1</v>
      </c>
      <c r="U438" s="29">
        <v>1</v>
      </c>
      <c r="V438" s="29">
        <v>1</v>
      </c>
      <c r="W438" s="29">
        <v>1</v>
      </c>
      <c r="X438" s="29">
        <v>1</v>
      </c>
      <c r="Y438" s="29">
        <v>1</v>
      </c>
      <c r="Z438" s="29">
        <v>1</v>
      </c>
      <c r="AA438" s="29" cm="1">
        <f t="array" ref="AA438">_xlfn.LET(_xlpm.기본_색인번호, 2,
_xlpm.추가_색인번호, 3,
_xlpm.개별보정치, T438,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4800</v>
      </c>
      <c r="AB438" s="29" cm="1">
        <f t="array" ref="AB438">_xlfn.LET(_xlpm.기본_색인번호, 3,
_xlpm.추가_색인번호, 4,
_xlpm.개별보정치, U438,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38" s="29" cm="1">
        <f t="array" ref="AC438">_xlfn.LET(_xlpm.기본_색인번호, 4,
_xlpm.추가_색인번호, 5,
_xlpm.개별보정치, V438,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8" s="29" cm="1">
        <f t="array" ref="AD438">_xlfn.LET(_xlpm.기본_색인번호, 5,
_xlpm.추가_색인번호, 6,
_xlpm.개별보정치, W438,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E438" s="29" cm="1">
        <f t="array" ref="AE438">_xlfn.LET(_xlpm.기본_색인번호, 6,
_xlpm.추가_색인번호, 7,
_xlpm.개별보정치, X438,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  <c r="AF438" s="29" cm="1">
        <f t="array" ref="AF438">_xlfn.LET(_xlpm.기본_색인번호, 7,
_xlpm.추가_색인번호, 8,
_xlpm.개별보정치, Y438,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8" s="30" cm="1">
        <f t="array" ref="AG438">_xlfn.LET(_xlpm.기본_색인번호, 8,
_xlpm.추가_색인번호, 9,
_xlpm.개별보정치, Z438,
_xlpm.패턴보정치, VLOOKUP($G438, Factor!$B$5:$I$51, _xlpm.기본_색인번호, 0),
_xlpm.소모탄환보정치, VLOOKUP($H438, Factor!$T$5:$AA$51, _xlpm.기본_색인번호, 0),
_xlpm.지형보정치, VLOOKUP($I438, Factor!$K$12:$R$13, _xlpm.기본_색인번호, 0),
_xlpm.공격속성보정치, VLOOKUP($J438, Factor!$K$5:$R$7, _xlpm.기본_색인번호, 0),
_xlpm.피해범위보정치, INDEX(Factor!$AN$5:$AV$51, _xlfn.XMATCH(IF(OR($G438="blast", $G438="curved",  $G438= "debuff"), $L438, 0), Factor!$AN$5:$AN$51, -1), _xlpm.추가_색인번호)-IF(AND(OR($G438="blast", $G438="curved", $G438= "debuff"), MOD($L438,1)&lt;&gt;0),INDEX(Factor!$AN$5:$AV$51, _xlfn.XMATCH(IF(OR($G438="blast", $G438="curved", $G438= "debuff"), $L438, 0), Factor!$AN$5:$AN$51, -1), 2)*MOD($L438,1)*10,0),
_xlpm.상태이상보정치, VLOOKUP(IF($G438 = "debuff", $M438, "null"), Factor!$AX$5:$BE$51, _xlpm.기본_색인번호, 0),
_xlpm.지속시간보정치, INDEX(Factor!$BG$5:$BO$51, _xlfn.XMATCH(IF(OR($G438 ="debuff", $G438 = "shot", $G438 = "pierce"), $O438, 0), Factor!$BG$5:$BG$51, -1), _xlpm.추가_색인번호)-IF(AND(OR($G438 ="debuff", $G438 = "shot", $G438 = "pierce"), MOD($O438, 1)&lt;&gt;0), 10*MOD($O438, 1)*INDEX(Factor!$BG$5:$BO$51, _xlfn.XMATCH(IF(OR($G438 ="debuff", $G438 = "shot", $G438 = "pierce"), $O438, 0), Factor!$BG$5:$BG$51, -1), 2), 0),
_xlpm.탄환개수보정치, VLOOKUP(IF(OR($G438 = "curved", $G438 = "shot"), $Q438, 1), Factor!$BQ$5:$BX$51, _xlpm.기본_색인번호, 0),
_xlpm.상태이상탄환생성위치보정치, IF($G438 = "debuff", VLOOKUP($R438, Factor!$K$18:$R$19, _xlpm.기본_색인번호, 0),1),
_xlpm.상태이상탄환형태보정치, IF($G438 = "debuff", VLOOKUP($S438, Factor!$K$24:$R$25, _xlpm.기본_색인번호, 0),1),
_xlpm.가격보정치, INDEX(Factor!$AE$5:$AL$51, _xlfn.XMATCH($F438,Factor!$AE$5:$AE$51, -1), _xlpm.기본_색인번호),
_xlpm.구경보정치, VLOOKUP($D438,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240</v>
      </c>
    </row>
    <row r="439" spans="1:33" ht="15.75" customHeight="1">
      <c r="A439" s="24" t="str">
        <f>"weapon_"&amp;G439&amp;"_"&amp;VLOOKUP(H439, Factor!$T$5:$AB$7, 9, 0)&amp;"_"&amp;IF(COUNTIFS($G$4:G438, G439, $H$4:H438, H439)+1&gt;=100, COUNTIFS($G$4:G438, G439, $H$4:H438, H439)+1,IF(COUNTIFS($G$4:G438, G439, $H$4:H438, H439)+1&gt;=10, "0"&amp;COUNTIFS($G$4:G438, G439, $H$4:H438, H439)+1, "00"&amp;COUNTIFS($G$4:G438, G439, $H$4:H438, H439)+1))</f>
        <v>weapon_debuff_Am_028</v>
      </c>
      <c r="B439" s="36" t="str">
        <f t="shared" ref="B439:B444" si="7">C439&amp;" "&amp;IF(D439 = "none","", D439)&amp;E439</f>
        <v>T8 40mm연막탄 발사기</v>
      </c>
      <c r="C439" s="36" t="s">
        <v>161</v>
      </c>
      <c r="D439" s="36" t="s">
        <v>262</v>
      </c>
      <c r="E439" s="36" t="s">
        <v>216</v>
      </c>
      <c r="F439" s="25">
        <f>VLOOKUP(C439, Factor!$AD$5:$AE$15, 2, 0)</f>
        <v>8000</v>
      </c>
      <c r="G439" s="26" t="str">
        <f>VLOOKUP(E439, Factor!$CL$5:$CV$50, 2, 0)</f>
        <v>debuff</v>
      </c>
      <c r="H439" s="25" t="str">
        <f>VLOOKUP(E439, Factor!$CL$5:$CV$50, 3, 0)</f>
        <v>ammo</v>
      </c>
      <c r="I439" s="25" t="str">
        <f>VLOOKUP(E439, Factor!$CL$5:$CV$50, 4, 0)</f>
        <v>L</v>
      </c>
      <c r="J439" s="25" t="str">
        <f>VLOOKUP(E439, Factor!$CL$5:$CV$50, 5, 0)</f>
        <v>spread</v>
      </c>
      <c r="K439" s="25">
        <v>1</v>
      </c>
      <c r="L439" s="25">
        <f>VLOOKUP(E439, Factor!$CL$5:$CV$50, 6, 0)*K439*VLOOKUP(D439, Factor!$BZ$5:$CJ$49, 9, 0)</f>
        <v>0</v>
      </c>
      <c r="M439" s="25" t="str">
        <f>VLOOKUP(E439, Factor!$CL$5:$CV$50, 7, 0)</f>
        <v>slow</v>
      </c>
      <c r="N439" s="25">
        <v>1</v>
      </c>
      <c r="O439" s="25">
        <f>VLOOKUP(E439, Factor!$CL$5:$CV$50, 8, 0)*N439*VLOOKUP(D439, Factor!$BZ$5:$CJ$49, 10, 0)</f>
        <v>30</v>
      </c>
      <c r="P439" s="25">
        <v>1</v>
      </c>
      <c r="Q439" s="25">
        <f>VLOOKUP(E439, Factor!$CL$5:$CV$50, 9, 0)*P439*VLOOKUP(D439, Factor!$BZ$5:$CJ$49, 11, 0)</f>
        <v>6</v>
      </c>
      <c r="R439" s="25" t="str">
        <f>VLOOKUP(E439, Factor!$CL$5:$CV$50, 10, 0)</f>
        <v>target</v>
      </c>
      <c r="S439" s="25" t="str">
        <f>VLOOKUP(E439, Factor!$CL$5:$CV$50, 11, 0)</f>
        <v>circle</v>
      </c>
      <c r="T439" s="25">
        <v>1</v>
      </c>
      <c r="U439" s="25">
        <v>1</v>
      </c>
      <c r="V439" s="25">
        <v>1</v>
      </c>
      <c r="W439" s="25">
        <v>1</v>
      </c>
      <c r="X439" s="25">
        <v>1</v>
      </c>
      <c r="Y439" s="25">
        <v>1</v>
      </c>
      <c r="Z439" s="25">
        <v>1</v>
      </c>
      <c r="AA439" s="25" cm="1">
        <f t="array" ref="AA439">_xlfn.LET(_xlpm.기본_색인번호, 2,
_xlpm.추가_색인번호, 3,
_xlpm.개별보정치, T439,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439" s="25" cm="1">
        <f t="array" ref="AB439">_xlfn.LET(_xlpm.기본_색인번호, 3,
_xlpm.추가_색인번호, 4,
_xlpm.개별보정치, U439,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39" s="25" cm="1">
        <f t="array" ref="AC439">_xlfn.LET(_xlpm.기본_색인번호, 4,
_xlpm.추가_색인번호, 5,
_xlpm.개별보정치, V439,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39" s="25" cm="1">
        <f t="array" ref="AD439">_xlfn.LET(_xlpm.기본_색인번호, 5,
_xlpm.추가_색인번호, 6,
_xlpm.개별보정치, W439,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439" s="25" cm="1">
        <f t="array" ref="AE439">_xlfn.LET(_xlpm.기본_색인번호, 6,
_xlpm.추가_색인번호, 7,
_xlpm.개별보정치, X439,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439" s="25" cm="1">
        <f t="array" ref="AF439">_xlfn.LET(_xlpm.기본_색인번호, 7,
_xlpm.추가_색인번호, 8,
_xlpm.개별보정치, Y439,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39" s="27" cm="1">
        <f t="array" ref="AG439">_xlfn.LET(_xlpm.기본_색인번호, 8,
_xlpm.추가_색인번호, 9,
_xlpm.개별보정치, Z439,
_xlpm.패턴보정치, VLOOKUP($G439, Factor!$B$5:$I$51, _xlpm.기본_색인번호, 0),
_xlpm.소모탄환보정치, VLOOKUP($H439, Factor!$T$5:$AA$51, _xlpm.기본_색인번호, 0),
_xlpm.지형보정치, VLOOKUP($I439, Factor!$K$12:$R$13, _xlpm.기본_색인번호, 0),
_xlpm.공격속성보정치, VLOOKUP($J439, Factor!$K$5:$R$7, _xlpm.기본_색인번호, 0),
_xlpm.피해범위보정치, INDEX(Factor!$AN$5:$AV$51, _xlfn.XMATCH(IF(OR($G439="blast", $G439="curved",  $G439= "debuff"), $L439, 0), Factor!$AN$5:$AN$51, -1), _xlpm.추가_색인번호)-IF(AND(OR($G439="blast", $G439="curved", $G439= "debuff"), MOD($L439,1)&lt;&gt;0),INDEX(Factor!$AN$5:$AV$51, _xlfn.XMATCH(IF(OR($G439="blast", $G439="curved", $G439= "debuff"), $L439, 0), Factor!$AN$5:$AN$51, -1), 2)*MOD($L439,1)*10,0),
_xlpm.상태이상보정치, VLOOKUP(IF($G439 = "debuff", $M439, "null"), Factor!$AX$5:$BE$51, _xlpm.기본_색인번호, 0),
_xlpm.지속시간보정치, INDEX(Factor!$BG$5:$BO$51, _xlfn.XMATCH(IF(OR($G439 ="debuff", $G439 = "shot", $G439 = "pierce"), $O439, 0), Factor!$BG$5:$BG$51, -1), _xlpm.추가_색인번호)-IF(AND(OR($G439 ="debuff", $G439 = "shot", $G439 = "pierce"), MOD($O439, 1)&lt;&gt;0), 10*MOD($O439, 1)*INDEX(Factor!$BG$5:$BO$51, _xlfn.XMATCH(IF(OR($G439 ="debuff", $G439 = "shot", $G439 = "pierce"), $O439, 0), Factor!$BG$5:$BG$51, -1), 2), 0),
_xlpm.탄환개수보정치, VLOOKUP(IF(OR($G439 = "curved", $G439 = "shot"), $Q439, 1), Factor!$BQ$5:$BX$51, _xlpm.기본_색인번호, 0),
_xlpm.상태이상탄환생성위치보정치, IF($G439 = "debuff", VLOOKUP($R439, Factor!$K$18:$R$19, _xlpm.기본_색인번호, 0),1),
_xlpm.상태이상탄환형태보정치, IF($G439 = "debuff", VLOOKUP($S439, Factor!$K$24:$R$25, _xlpm.기본_색인번호, 0),1),
_xlpm.가격보정치, INDEX(Factor!$AE$5:$AL$51, _xlfn.XMATCH($F439,Factor!$AE$5:$AE$51, -1), _xlpm.기본_색인번호),
_xlpm.구경보정치, VLOOKUP($D439,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440" spans="1:33" ht="15.75" customHeight="1">
      <c r="A440" s="28" t="str">
        <f>"weapon_"&amp;G440&amp;"_"&amp;VLOOKUP(H440, Factor!$T$5:$AB$7, 9, 0)&amp;"_"&amp;IF(COUNTIFS($G$4:G439, G440, $H$4:H439, H440)+1&gt;=100, COUNTIFS($G$4:G439, G440, $H$4:H439, H440)+1,IF(COUNTIFS($G$4:G439, G440, $H$4:H439, H440)+1&gt;=10, "0"&amp;COUNTIFS($G$4:G439, G440, $H$4:H439, H440)+1, "00"&amp;COUNTIFS($G$4:G439, G440, $H$4:H439, H440)+1))</f>
        <v>weapon_debuff_Am_029</v>
      </c>
      <c r="B440" s="37" t="str">
        <f t="shared" si="7"/>
        <v>T8 55mm연막탄 발사기</v>
      </c>
      <c r="C440" s="37" t="s">
        <v>161</v>
      </c>
      <c r="D440" s="37" t="s">
        <v>263</v>
      </c>
      <c r="E440" s="37" t="s">
        <v>216</v>
      </c>
      <c r="F440" s="29">
        <f>VLOOKUP(C440, Factor!$AD$5:$AE$15, 2, 0)</f>
        <v>8000</v>
      </c>
      <c r="G440" s="29" t="str">
        <f>VLOOKUP(E440, Factor!$CL$5:$CV$50, 2, 0)</f>
        <v>debuff</v>
      </c>
      <c r="H440" s="29" t="str">
        <f>VLOOKUP(E440, Factor!$CL$5:$CV$50, 3, 0)</f>
        <v>ammo</v>
      </c>
      <c r="I440" s="29" t="str">
        <f>VLOOKUP(E440, Factor!$CL$5:$CV$50, 4, 0)</f>
        <v>L</v>
      </c>
      <c r="J440" s="29" t="str">
        <f>VLOOKUP(E440, Factor!$CL$5:$CV$50, 5, 0)</f>
        <v>spread</v>
      </c>
      <c r="K440" s="29">
        <v>1</v>
      </c>
      <c r="L440" s="29">
        <f>VLOOKUP(E440, Factor!$CL$5:$CV$50, 6, 0)*K440*VLOOKUP(D440, Factor!$BZ$5:$CJ$49, 9, 0)</f>
        <v>0</v>
      </c>
      <c r="M440" s="29" t="str">
        <f>VLOOKUP(E440, Factor!$CL$5:$CV$50, 7, 0)</f>
        <v>slow</v>
      </c>
      <c r="N440" s="29">
        <v>1</v>
      </c>
      <c r="O440" s="29">
        <f>VLOOKUP(E440, Factor!$CL$5:$CV$50, 8, 0)*N440*VLOOKUP(D440, Factor!$BZ$5:$CJ$49, 10, 0)</f>
        <v>35</v>
      </c>
      <c r="P440" s="29">
        <v>1</v>
      </c>
      <c r="Q440" s="29">
        <f>VLOOKUP(E440, Factor!$CL$5:$CV$50, 9, 0)*P440*VLOOKUP(D440, Factor!$BZ$5:$CJ$49, 11, 0)</f>
        <v>7</v>
      </c>
      <c r="R440" s="29" t="str">
        <f>VLOOKUP(E440, Factor!$CL$5:$CV$50, 10, 0)</f>
        <v>target</v>
      </c>
      <c r="S440" s="29" t="str">
        <f>VLOOKUP(E440, Factor!$CL$5:$CV$50, 11, 0)</f>
        <v>circle</v>
      </c>
      <c r="T440" s="29">
        <v>1</v>
      </c>
      <c r="U440" s="29">
        <v>1</v>
      </c>
      <c r="V440" s="29">
        <v>1</v>
      </c>
      <c r="W440" s="29">
        <v>1</v>
      </c>
      <c r="X440" s="29">
        <v>1</v>
      </c>
      <c r="Y440" s="29">
        <v>1</v>
      </c>
      <c r="Z440" s="29">
        <v>1</v>
      </c>
      <c r="AA440" s="29" cm="1">
        <f t="array" ref="AA440">_xlfn.LET(_xlpm.기본_색인번호, 2,
_xlpm.추가_색인번호, 3,
_xlpm.개별보정치, T440,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5400</v>
      </c>
      <c r="AB440" s="29" cm="1">
        <f t="array" ref="AB440">_xlfn.LET(_xlpm.기본_색인번호, 3,
_xlpm.추가_색인번호, 4,
_xlpm.개별보정치, U440,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180</v>
      </c>
      <c r="AC440" s="29" cm="1">
        <f t="array" ref="AC440">_xlfn.LET(_xlpm.기본_색인번호, 4,
_xlpm.추가_색인번호, 5,
_xlpm.개별보정치, V440,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40" s="29" cm="1">
        <f t="array" ref="AD440">_xlfn.LET(_xlpm.기본_색인번호, 5,
_xlpm.추가_색인번호, 6,
_xlpm.개별보정치, W440,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E440" s="29" cm="1">
        <f t="array" ref="AE440">_xlfn.LET(_xlpm.기본_색인번호, 6,
_xlpm.추가_색인번호, 7,
_xlpm.개별보정치, X440,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  <c r="AF440" s="29" cm="1">
        <f t="array" ref="AF440">_xlfn.LET(_xlpm.기본_색인번호, 7,
_xlpm.추가_색인번호, 8,
_xlpm.개별보정치, Y440,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40" s="30" cm="1">
        <f t="array" ref="AG440">_xlfn.LET(_xlpm.기본_색인번호, 8,
_xlpm.추가_색인번호, 9,
_xlpm.개별보정치, Z440,
_xlpm.패턴보정치, VLOOKUP($G440, Factor!$B$5:$I$51, _xlpm.기본_색인번호, 0),
_xlpm.소모탄환보정치, VLOOKUP($H440, Factor!$T$5:$AA$51, _xlpm.기본_색인번호, 0),
_xlpm.지형보정치, VLOOKUP($I440, Factor!$K$12:$R$13, _xlpm.기본_색인번호, 0),
_xlpm.공격속성보정치, VLOOKUP($J440, Factor!$K$5:$R$7, _xlpm.기본_색인번호, 0),
_xlpm.피해범위보정치, INDEX(Factor!$AN$5:$AV$51, _xlfn.XMATCH(IF(OR($G440="blast", $G440="curved",  $G440= "debuff"), $L440, 0), Factor!$AN$5:$AN$51, -1), _xlpm.추가_색인번호)-IF(AND(OR($G440="blast", $G440="curved", $G440= "debuff"), MOD($L440,1)&lt;&gt;0),INDEX(Factor!$AN$5:$AV$51, _xlfn.XMATCH(IF(OR($G440="blast", $G440="curved", $G440= "debuff"), $L440, 0), Factor!$AN$5:$AN$51, -1), 2)*MOD($L440,1)*10,0),
_xlpm.상태이상보정치, VLOOKUP(IF($G440 = "debuff", $M440, "null"), Factor!$AX$5:$BE$51, _xlpm.기본_색인번호, 0),
_xlpm.지속시간보정치, INDEX(Factor!$BG$5:$BO$51, _xlfn.XMATCH(IF(OR($G440 ="debuff", $G440 = "shot", $G440 = "pierce"), $O440, 0), Factor!$BG$5:$BG$51, -1), _xlpm.추가_색인번호)-IF(AND(OR($G440 ="debuff", $G440 = "shot", $G440 = "pierce"), MOD($O440, 1)&lt;&gt;0), 10*MOD($O440, 1)*INDEX(Factor!$BG$5:$BO$51, _xlfn.XMATCH(IF(OR($G440 ="debuff", $G440 = "shot", $G440 = "pierce"), $O440, 0), Factor!$BG$5:$BG$51, -1), 2), 0),
_xlpm.탄환개수보정치, VLOOKUP(IF(OR($G440 = "curved", $G440 = "shot"), $Q440, 1), Factor!$BQ$5:$BX$51, _xlpm.기본_색인번호, 0),
_xlpm.상태이상탄환생성위치보정치, IF($G440 = "debuff", VLOOKUP($R440, Factor!$K$18:$R$19, _xlpm.기본_색인번호, 0),1),
_xlpm.상태이상탄환형태보정치, IF($G440 = "debuff", VLOOKUP($S440, Factor!$K$24:$R$25, _xlpm.기본_색인번호, 0),1),
_xlpm.가격보정치, INDEX(Factor!$AE$5:$AL$51, _xlfn.XMATCH($F440,Factor!$AE$5:$AE$51, -1), _xlpm.기본_색인번호),
_xlpm.구경보정치, VLOOKUP($D440,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270</v>
      </c>
    </row>
    <row r="441" spans="1:33" ht="15.75" customHeight="1">
      <c r="A441" s="24" t="str">
        <f>"weapon_"&amp;G441&amp;"_"&amp;VLOOKUP(H441, Factor!$T$5:$AB$7, 9, 0)&amp;"_"&amp;IF(COUNTIFS($G$4:G440, G441, $H$4:H440, H441)+1&gt;=100, COUNTIFS($G$4:G440, G441, $H$4:H440, H441)+1,IF(COUNTIFS($G$4:G440, G441, $H$4:H440, H441)+1&gt;=10, "0"&amp;COUNTIFS($G$4:G440, G441, $H$4:H440, H441)+1, "00"&amp;COUNTIFS($G$4:G440, G441, $H$4:H440, H441)+1))</f>
        <v>weapon_debuff_Am_030</v>
      </c>
      <c r="B441" s="36" t="str">
        <f t="shared" si="7"/>
        <v>T9 40mm연막탄 발사기</v>
      </c>
      <c r="C441" s="36" t="s">
        <v>162</v>
      </c>
      <c r="D441" s="36" t="s">
        <v>262</v>
      </c>
      <c r="E441" s="36" t="s">
        <v>216</v>
      </c>
      <c r="F441" s="25">
        <f>VLOOKUP(C441, Factor!$AD$5:$AE$15, 2, 0)</f>
        <v>9000</v>
      </c>
      <c r="G441" s="26" t="str">
        <f>VLOOKUP(E441, Factor!$CL$5:$CV$50, 2, 0)</f>
        <v>debuff</v>
      </c>
      <c r="H441" s="25" t="str">
        <f>VLOOKUP(E441, Factor!$CL$5:$CV$50, 3, 0)</f>
        <v>ammo</v>
      </c>
      <c r="I441" s="25" t="str">
        <f>VLOOKUP(E441, Factor!$CL$5:$CV$50, 4, 0)</f>
        <v>L</v>
      </c>
      <c r="J441" s="25" t="str">
        <f>VLOOKUP(E441, Factor!$CL$5:$CV$50, 5, 0)</f>
        <v>spread</v>
      </c>
      <c r="K441" s="25">
        <v>1</v>
      </c>
      <c r="L441" s="25">
        <f>VLOOKUP(E441, Factor!$CL$5:$CV$50, 6, 0)*K441*VLOOKUP(D441, Factor!$BZ$5:$CJ$49, 9, 0)</f>
        <v>0</v>
      </c>
      <c r="M441" s="25" t="str">
        <f>VLOOKUP(E441, Factor!$CL$5:$CV$50, 7, 0)</f>
        <v>slow</v>
      </c>
      <c r="N441" s="25">
        <v>1</v>
      </c>
      <c r="O441" s="25">
        <f>VLOOKUP(E441, Factor!$CL$5:$CV$50, 8, 0)*N441*VLOOKUP(D441, Factor!$BZ$5:$CJ$49, 10, 0)</f>
        <v>30</v>
      </c>
      <c r="P441" s="25">
        <v>1</v>
      </c>
      <c r="Q441" s="25">
        <f>VLOOKUP(E441, Factor!$CL$5:$CV$50, 9, 0)*P441*VLOOKUP(D441, Factor!$BZ$5:$CJ$49, 11, 0)</f>
        <v>6</v>
      </c>
      <c r="R441" s="25" t="str">
        <f>VLOOKUP(E441, Factor!$CL$5:$CV$50, 10, 0)</f>
        <v>target</v>
      </c>
      <c r="S441" s="25" t="str">
        <f>VLOOKUP(E441, Factor!$CL$5:$CV$50, 11, 0)</f>
        <v>circle</v>
      </c>
      <c r="T441" s="25">
        <v>1</v>
      </c>
      <c r="U441" s="25">
        <v>1</v>
      </c>
      <c r="V441" s="25">
        <v>1</v>
      </c>
      <c r="W441" s="25">
        <v>1</v>
      </c>
      <c r="X441" s="25">
        <v>1</v>
      </c>
      <c r="Y441" s="25">
        <v>1</v>
      </c>
      <c r="Z441" s="25">
        <v>1</v>
      </c>
      <c r="AA441" s="25" cm="1">
        <f t="array" ref="AA441">_xlfn.LET(_xlpm.기본_색인번호, 2,
_xlpm.추가_색인번호, 3,
_xlpm.개별보정치, T441,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6000</v>
      </c>
      <c r="AB441" s="25" cm="1">
        <f t="array" ref="AB441">_xlfn.LET(_xlpm.기본_색인번호, 3,
_xlpm.추가_색인번호, 4,
_xlpm.개별보정치, U441,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41" s="25" cm="1">
        <f t="array" ref="AC441">_xlfn.LET(_xlpm.기본_색인번호, 4,
_xlpm.추가_색인번호, 5,
_xlpm.개별보정치, V441,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41" s="25" cm="1">
        <f t="array" ref="AD441">_xlfn.LET(_xlpm.기본_색인번호, 5,
_xlpm.추가_색인번호, 6,
_xlpm.개별보정치, W441,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E441" s="25" cm="1">
        <f t="array" ref="AE441">_xlfn.LET(_xlpm.기본_색인번호, 6,
_xlpm.추가_색인번호, 7,
_xlpm.개별보정치, X441,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F441" s="25" cm="1">
        <f t="array" ref="AF441">_xlfn.LET(_xlpm.기본_색인번호, 7,
_xlpm.추가_색인번호, 8,
_xlpm.개별보정치, Y441,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41" s="27" cm="1">
        <f t="array" ref="AG441">_xlfn.LET(_xlpm.기본_색인번호, 8,
_xlpm.추가_색인번호, 9,
_xlpm.개별보정치, Z441,
_xlpm.패턴보정치, VLOOKUP($G441, Factor!$B$5:$I$51, _xlpm.기본_색인번호, 0),
_xlpm.소모탄환보정치, VLOOKUP($H441, Factor!$T$5:$AA$51, _xlpm.기본_색인번호, 0),
_xlpm.지형보정치, VLOOKUP($I441, Factor!$K$12:$R$13, _xlpm.기본_색인번호, 0),
_xlpm.공격속성보정치, VLOOKUP($J441, Factor!$K$5:$R$7, _xlpm.기본_색인번호, 0),
_xlpm.피해범위보정치, INDEX(Factor!$AN$5:$AV$51, _xlfn.XMATCH(IF(OR($G441="blast", $G441="curved",  $G441= "debuff"), $L441, 0), Factor!$AN$5:$AN$51, -1), _xlpm.추가_색인번호)-IF(AND(OR($G441="blast", $G441="curved", $G441= "debuff"), MOD($L441,1)&lt;&gt;0),INDEX(Factor!$AN$5:$AV$51, _xlfn.XMATCH(IF(OR($G441="blast", $G441="curved", $G441= "debuff"), $L441, 0), Factor!$AN$5:$AN$51, -1), 2)*MOD($L441,1)*10,0),
_xlpm.상태이상보정치, VLOOKUP(IF($G441 = "debuff", $M441, "null"), Factor!$AX$5:$BE$51, _xlpm.기본_색인번호, 0),
_xlpm.지속시간보정치, INDEX(Factor!$BG$5:$BO$51, _xlfn.XMATCH(IF(OR($G441 ="debuff", $G441 = "shot", $G441 = "pierce"), $O441, 0), Factor!$BG$5:$BG$51, -1), _xlpm.추가_색인번호)-IF(AND(OR($G441 ="debuff", $G441 = "shot", $G441 = "pierce"), MOD($O441, 1)&lt;&gt;0), 10*MOD($O441, 1)*INDEX(Factor!$BG$5:$BO$51, _xlfn.XMATCH(IF(OR($G441 ="debuff", $G441 = "shot", $G441 = "pierce"), $O441, 0), Factor!$BG$5:$BG$51, -1), 2), 0),
_xlpm.탄환개수보정치, VLOOKUP(IF(OR($G441 = "curved", $G441 = "shot"), $Q441, 1), Factor!$BQ$5:$BX$51, _xlpm.기본_색인번호, 0),
_xlpm.상태이상탄환생성위치보정치, IF($G441 = "debuff", VLOOKUP($R441, Factor!$K$18:$R$19, _xlpm.기본_색인번호, 0),1),
_xlpm.상태이상탄환형태보정치, IF($G441 = "debuff", VLOOKUP($S441, Factor!$K$24:$R$25, _xlpm.기본_색인번호, 0),1),
_xlpm.가격보정치, INDEX(Factor!$AE$5:$AL$51, _xlfn.XMATCH($F441,Factor!$AE$5:$AE$51, -1), _xlpm.기본_색인번호),
_xlpm.구경보정치, VLOOKUP($D441,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</row>
    <row r="442" spans="1:33" ht="15.75" customHeight="1">
      <c r="A442" s="28" t="str">
        <f>"weapon_"&amp;G442&amp;"_"&amp;VLOOKUP(H442, Factor!$T$5:$AB$7, 9, 0)&amp;"_"&amp;IF(COUNTIFS($G$4:G441, G442, $H$4:H441, H442)+1&gt;=100, COUNTIFS($G$4:G441, G442, $H$4:H441, H442)+1,IF(COUNTIFS($G$4:G441, G442, $H$4:H441, H442)+1&gt;=10, "0"&amp;COUNTIFS($G$4:G441, G442, $H$4:H441, H442)+1, "00"&amp;COUNTIFS($G$4:G441, G442, $H$4:H441, H442)+1))</f>
        <v>weapon_debuff_Am_031</v>
      </c>
      <c r="B442" s="37" t="str">
        <f t="shared" si="7"/>
        <v>T9 55mm연막탄 발사기</v>
      </c>
      <c r="C442" s="37" t="s">
        <v>162</v>
      </c>
      <c r="D442" s="37" t="s">
        <v>263</v>
      </c>
      <c r="E442" s="37" t="s">
        <v>216</v>
      </c>
      <c r="F442" s="29">
        <f>VLOOKUP(C442, Factor!$AD$5:$AE$15, 2, 0)</f>
        <v>9000</v>
      </c>
      <c r="G442" s="29" t="str">
        <f>VLOOKUP(E442, Factor!$CL$5:$CV$50, 2, 0)</f>
        <v>debuff</v>
      </c>
      <c r="H442" s="29" t="str">
        <f>VLOOKUP(E442, Factor!$CL$5:$CV$50, 3, 0)</f>
        <v>ammo</v>
      </c>
      <c r="I442" s="29" t="str">
        <f>VLOOKUP(E442, Factor!$CL$5:$CV$50, 4, 0)</f>
        <v>L</v>
      </c>
      <c r="J442" s="29" t="str">
        <f>VLOOKUP(E442, Factor!$CL$5:$CV$50, 5, 0)</f>
        <v>spread</v>
      </c>
      <c r="K442" s="29">
        <v>1</v>
      </c>
      <c r="L442" s="29">
        <f>VLOOKUP(E442, Factor!$CL$5:$CV$50, 6, 0)*K442*VLOOKUP(D442, Factor!$BZ$5:$CJ$49, 9, 0)</f>
        <v>0</v>
      </c>
      <c r="M442" s="29" t="str">
        <f>VLOOKUP(E442, Factor!$CL$5:$CV$50, 7, 0)</f>
        <v>slow</v>
      </c>
      <c r="N442" s="29">
        <v>1</v>
      </c>
      <c r="O442" s="29">
        <f>VLOOKUP(E442, Factor!$CL$5:$CV$50, 8, 0)*N442*VLOOKUP(D442, Factor!$BZ$5:$CJ$49, 10, 0)</f>
        <v>35</v>
      </c>
      <c r="P442" s="29">
        <v>1</v>
      </c>
      <c r="Q442" s="29">
        <f>VLOOKUP(E442, Factor!$CL$5:$CV$50, 9, 0)*P442*VLOOKUP(D442, Factor!$BZ$5:$CJ$49, 11, 0)</f>
        <v>7</v>
      </c>
      <c r="R442" s="29" t="str">
        <f>VLOOKUP(E442, Factor!$CL$5:$CV$50, 10, 0)</f>
        <v>target</v>
      </c>
      <c r="S442" s="29" t="str">
        <f>VLOOKUP(E442, Factor!$CL$5:$CV$50, 11, 0)</f>
        <v>circle</v>
      </c>
      <c r="T442" s="29">
        <v>1</v>
      </c>
      <c r="U442" s="29">
        <v>1</v>
      </c>
      <c r="V442" s="29">
        <v>1</v>
      </c>
      <c r="W442" s="29">
        <v>1</v>
      </c>
      <c r="X442" s="29">
        <v>1</v>
      </c>
      <c r="Y442" s="29">
        <v>1</v>
      </c>
      <c r="Z442" s="29">
        <v>1</v>
      </c>
      <c r="AA442" s="29" cm="1">
        <f t="array" ref="AA442">_xlfn.LET(_xlpm.기본_색인번호, 2,
_xlpm.추가_색인번호, 3,
_xlpm.개별보정치, T442,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6000</v>
      </c>
      <c r="AB442" s="29" cm="1">
        <f t="array" ref="AB442">_xlfn.LET(_xlpm.기본_색인번호, 3,
_xlpm.추가_색인번호, 4,
_xlpm.개별보정치, U442,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42" s="29" cm="1">
        <f t="array" ref="AC442">_xlfn.LET(_xlpm.기본_색인번호, 4,
_xlpm.추가_색인번호, 5,
_xlpm.개별보정치, V442,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42" s="29" cm="1">
        <f t="array" ref="AD442">_xlfn.LET(_xlpm.기본_색인번호, 5,
_xlpm.추가_색인번호, 6,
_xlpm.개별보정치, W442,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E442" s="29" cm="1">
        <f t="array" ref="AE442">_xlfn.LET(_xlpm.기본_색인번호, 6,
_xlpm.추가_색인번호, 7,
_xlpm.개별보정치, X442,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  <c r="AF442" s="29" cm="1">
        <f t="array" ref="AF442">_xlfn.LET(_xlpm.기본_색인번호, 7,
_xlpm.추가_색인번호, 8,
_xlpm.개별보정치, Y442,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42" s="30" cm="1">
        <f t="array" ref="AG442">_xlfn.LET(_xlpm.기본_색인번호, 8,
_xlpm.추가_색인번호, 9,
_xlpm.개별보정치, Z442,
_xlpm.패턴보정치, VLOOKUP($G442, Factor!$B$5:$I$51, _xlpm.기본_색인번호, 0),
_xlpm.소모탄환보정치, VLOOKUP($H442, Factor!$T$5:$AA$51, _xlpm.기본_색인번호, 0),
_xlpm.지형보정치, VLOOKUP($I442, Factor!$K$12:$R$13, _xlpm.기본_색인번호, 0),
_xlpm.공격속성보정치, VLOOKUP($J442, Factor!$K$5:$R$7, _xlpm.기본_색인번호, 0),
_xlpm.피해범위보정치, INDEX(Factor!$AN$5:$AV$51, _xlfn.XMATCH(IF(OR($G442="blast", $G442="curved",  $G442= "debuff"), $L442, 0), Factor!$AN$5:$AN$51, -1), _xlpm.추가_색인번호)-IF(AND(OR($G442="blast", $G442="curved", $G442= "debuff"), MOD($L442,1)&lt;&gt;0),INDEX(Factor!$AN$5:$AV$51, _xlfn.XMATCH(IF(OR($G442="blast", $G442="curved", $G442= "debuff"), $L442, 0), Factor!$AN$5:$AN$51, -1), 2)*MOD($L442,1)*10,0),
_xlpm.상태이상보정치, VLOOKUP(IF($G442 = "debuff", $M442, "null"), Factor!$AX$5:$BE$51, _xlpm.기본_색인번호, 0),
_xlpm.지속시간보정치, INDEX(Factor!$BG$5:$BO$51, _xlfn.XMATCH(IF(OR($G442 ="debuff", $G442 = "shot", $G442 = "pierce"), $O442, 0), Factor!$BG$5:$BG$51, -1), _xlpm.추가_색인번호)-IF(AND(OR($G442 ="debuff", $G442 = "shot", $G442 = "pierce"), MOD($O442, 1)&lt;&gt;0), 10*MOD($O442, 1)*INDEX(Factor!$BG$5:$BO$51, _xlfn.XMATCH(IF(OR($G442 ="debuff", $G442 = "shot", $G442 = "pierce"), $O442, 0), Factor!$BG$5:$BG$51, -1), 2), 0),
_xlpm.탄환개수보정치, VLOOKUP(IF(OR($G442 = "curved", $G442 = "shot"), $Q442, 1), Factor!$BQ$5:$BX$51, _xlpm.기본_색인번호, 0),
_xlpm.상태이상탄환생성위치보정치, IF($G442 = "debuff", VLOOKUP($R442, Factor!$K$18:$R$19, _xlpm.기본_색인번호, 0),1),
_xlpm.상태이상탄환형태보정치, IF($G442 = "debuff", VLOOKUP($S442, Factor!$K$24:$R$25, _xlpm.기본_색인번호, 0),1),
_xlpm.가격보정치, INDEX(Factor!$AE$5:$AL$51, _xlfn.XMATCH($F442,Factor!$AE$5:$AE$51, -1), _xlpm.기본_색인번호),
_xlpm.구경보정치, VLOOKUP($D442,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300</v>
      </c>
    </row>
    <row r="443" spans="1:33" ht="15.75" customHeight="1">
      <c r="A443" s="24" t="str">
        <f>"weapon_"&amp;G443&amp;"_"&amp;VLOOKUP(H443, Factor!$T$5:$AB$7, 9, 0)&amp;"_"&amp;IF(COUNTIFS($G$4:G442, G443, $H$4:H442, H443)+1&gt;=100, COUNTIFS($G$4:G442, G443, $H$4:H442, H443)+1,IF(COUNTIFS($G$4:G442, G443, $H$4:H442, H443)+1&gt;=10, "0"&amp;COUNTIFS($G$4:G442, G443, $H$4:H442, H443)+1, "00"&amp;COUNTIFS($G$4:G442, G443, $H$4:H442, H443)+1))</f>
        <v>weapon_debuff_Am_032</v>
      </c>
      <c r="B443" s="36" t="str">
        <f t="shared" si="7"/>
        <v>T10 40mm연막탄 발사기</v>
      </c>
      <c r="C443" s="36" t="s">
        <v>163</v>
      </c>
      <c r="D443" s="36" t="s">
        <v>262</v>
      </c>
      <c r="E443" s="36" t="s">
        <v>216</v>
      </c>
      <c r="F443" s="25">
        <f>VLOOKUP(C443, Factor!$AD$5:$AE$15, 2, 0)</f>
        <v>10000</v>
      </c>
      <c r="G443" s="26" t="str">
        <f>VLOOKUP(E443, Factor!$CL$5:$CV$50, 2, 0)</f>
        <v>debuff</v>
      </c>
      <c r="H443" s="25" t="str">
        <f>VLOOKUP(E443, Factor!$CL$5:$CV$50, 3, 0)</f>
        <v>ammo</v>
      </c>
      <c r="I443" s="25" t="str">
        <f>VLOOKUP(E443, Factor!$CL$5:$CV$50, 4, 0)</f>
        <v>L</v>
      </c>
      <c r="J443" s="25" t="str">
        <f>VLOOKUP(E443, Factor!$CL$5:$CV$50, 5, 0)</f>
        <v>spread</v>
      </c>
      <c r="K443" s="25">
        <v>1</v>
      </c>
      <c r="L443" s="25">
        <f>VLOOKUP(E443, Factor!$CL$5:$CV$50, 6, 0)*K443*VLOOKUP(D443, Factor!$BZ$5:$CJ$49, 9, 0)</f>
        <v>0</v>
      </c>
      <c r="M443" s="25" t="str">
        <f>VLOOKUP(E443, Factor!$CL$5:$CV$50, 7, 0)</f>
        <v>slow</v>
      </c>
      <c r="N443" s="25">
        <v>1</v>
      </c>
      <c r="O443" s="25">
        <f>VLOOKUP(E443, Factor!$CL$5:$CV$50, 8, 0)*N443*VLOOKUP(D443, Factor!$BZ$5:$CJ$49, 10, 0)</f>
        <v>30</v>
      </c>
      <c r="P443" s="25">
        <v>1</v>
      </c>
      <c r="Q443" s="25">
        <f>VLOOKUP(E443, Factor!$CL$5:$CV$50, 9, 0)*P443*VLOOKUP(D443, Factor!$BZ$5:$CJ$49, 11, 0)</f>
        <v>6</v>
      </c>
      <c r="R443" s="25" t="str">
        <f>VLOOKUP(E443, Factor!$CL$5:$CV$50, 10, 0)</f>
        <v>target</v>
      </c>
      <c r="S443" s="25" t="str">
        <f>VLOOKUP(E443, Factor!$CL$5:$CV$50, 11, 0)</f>
        <v>circle</v>
      </c>
      <c r="T443" s="25">
        <v>1</v>
      </c>
      <c r="U443" s="25">
        <v>1</v>
      </c>
      <c r="V443" s="25">
        <v>1</v>
      </c>
      <c r="W443" s="25">
        <v>1</v>
      </c>
      <c r="X443" s="25">
        <v>1</v>
      </c>
      <c r="Y443" s="25">
        <v>1</v>
      </c>
      <c r="Z443" s="25">
        <v>1</v>
      </c>
      <c r="AA443" s="25" cm="1">
        <f t="array" ref="AA443">_xlfn.LET(_xlpm.기본_색인번호, 2,
_xlpm.추가_색인번호, 3,
_xlpm.개별보정치, T443,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6600</v>
      </c>
      <c r="AB443" s="25" cm="1">
        <f t="array" ref="AB443">_xlfn.LET(_xlpm.기본_색인번호, 3,
_xlpm.추가_색인번호, 4,
_xlpm.개별보정치, U443,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43" s="25" cm="1">
        <f t="array" ref="AC443">_xlfn.LET(_xlpm.기본_색인번호, 4,
_xlpm.추가_색인번호, 5,
_xlpm.개별보정치, V443,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43" s="25" cm="1">
        <f t="array" ref="AD443">_xlfn.LET(_xlpm.기본_색인번호, 5,
_xlpm.추가_색인번호, 6,
_xlpm.개별보정치, W443,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E443" s="25" cm="1">
        <f t="array" ref="AE443">_xlfn.LET(_xlpm.기본_색인번호, 6,
_xlpm.추가_색인번호, 7,
_xlpm.개별보정치, X443,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F443" s="25" cm="1">
        <f t="array" ref="AF443">_xlfn.LET(_xlpm.기본_색인번호, 7,
_xlpm.추가_색인번호, 8,
_xlpm.개별보정치, Y443,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43" s="27" cm="1">
        <f t="array" ref="AG443">_xlfn.LET(_xlpm.기본_색인번호, 8,
_xlpm.추가_색인번호, 9,
_xlpm.개별보정치, Z443,
_xlpm.패턴보정치, VLOOKUP($G443, Factor!$B$5:$I$51, _xlpm.기본_색인번호, 0),
_xlpm.소모탄환보정치, VLOOKUP($H443, Factor!$T$5:$AA$51, _xlpm.기본_색인번호, 0),
_xlpm.지형보정치, VLOOKUP($I443, Factor!$K$12:$R$13, _xlpm.기본_색인번호, 0),
_xlpm.공격속성보정치, VLOOKUP($J443, Factor!$K$5:$R$7, _xlpm.기본_색인번호, 0),
_xlpm.피해범위보정치, INDEX(Factor!$AN$5:$AV$51, _xlfn.XMATCH(IF(OR($G443="blast", $G443="curved",  $G443= "debuff"), $L443, 0), Factor!$AN$5:$AN$51, -1), _xlpm.추가_색인번호)-IF(AND(OR($G443="blast", $G443="curved", $G443= "debuff"), MOD($L443,1)&lt;&gt;0),INDEX(Factor!$AN$5:$AV$51, _xlfn.XMATCH(IF(OR($G443="blast", $G443="curved", $G443= "debuff"), $L443, 0), Factor!$AN$5:$AN$51, -1), 2)*MOD($L443,1)*10,0),
_xlpm.상태이상보정치, VLOOKUP(IF($G443 = "debuff", $M443, "null"), Factor!$AX$5:$BE$51, _xlpm.기본_색인번호, 0),
_xlpm.지속시간보정치, INDEX(Factor!$BG$5:$BO$51, _xlfn.XMATCH(IF(OR($G443 ="debuff", $G443 = "shot", $G443 = "pierce"), $O443, 0), Factor!$BG$5:$BG$51, -1), _xlpm.추가_색인번호)-IF(AND(OR($G443 ="debuff", $G443 = "shot", $G443 = "pierce"), MOD($O443, 1)&lt;&gt;0), 10*MOD($O443, 1)*INDEX(Factor!$BG$5:$BO$51, _xlfn.XMATCH(IF(OR($G443 ="debuff", $G443 = "shot", $G443 = "pierce"), $O443, 0), Factor!$BG$5:$BG$51, -1), 2), 0),
_xlpm.탄환개수보정치, VLOOKUP(IF(OR($G443 = "curved", $G443 = "shot"), $Q443, 1), Factor!$BQ$5:$BX$51, _xlpm.기본_색인번호, 0),
_xlpm.상태이상탄환생성위치보정치, IF($G443 = "debuff", VLOOKUP($R443, Factor!$K$18:$R$19, _xlpm.기본_색인번호, 0),1),
_xlpm.상태이상탄환형태보정치, IF($G443 = "debuff", VLOOKUP($S443, Factor!$K$24:$R$25, _xlpm.기본_색인번호, 0),1),
_xlpm.가격보정치, INDEX(Factor!$AE$5:$AL$51, _xlfn.XMATCH($F443,Factor!$AE$5:$AE$51, -1), _xlpm.기본_색인번호),
_xlpm.구경보정치, VLOOKUP($D443,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</row>
    <row r="444" spans="1:33" ht="15.75" customHeight="1">
      <c r="A444" s="28" t="str">
        <f>"weapon_"&amp;G444&amp;"_"&amp;VLOOKUP(H444, Factor!$T$5:$AB$7, 9, 0)&amp;"_"&amp;IF(COUNTIFS($G$4:G443, G444, $H$4:H443, H444)+1&gt;=100, COUNTIFS($G$4:G443, G444, $H$4:H443, H444)+1,IF(COUNTIFS($G$4:G443, G444, $H$4:H443, H444)+1&gt;=10, "0"&amp;COUNTIFS($G$4:G443, G444, $H$4:H443, H444)+1, "00"&amp;COUNTIFS($G$4:G443, G444, $H$4:H443, H444)+1))</f>
        <v>weapon_debuff_Am_033</v>
      </c>
      <c r="B444" s="37" t="str">
        <f t="shared" si="7"/>
        <v>T10 55mm연막탄 발사기</v>
      </c>
      <c r="C444" s="37" t="s">
        <v>163</v>
      </c>
      <c r="D444" s="37" t="s">
        <v>263</v>
      </c>
      <c r="E444" s="37" t="s">
        <v>216</v>
      </c>
      <c r="F444" s="29">
        <f>VLOOKUP(C444, Factor!$AD$5:$AE$15, 2, 0)</f>
        <v>10000</v>
      </c>
      <c r="G444" s="29" t="str">
        <f>VLOOKUP(E444, Factor!$CL$5:$CV$50, 2, 0)</f>
        <v>debuff</v>
      </c>
      <c r="H444" s="29" t="str">
        <f>VLOOKUP(E444, Factor!$CL$5:$CV$50, 3, 0)</f>
        <v>ammo</v>
      </c>
      <c r="I444" s="29" t="str">
        <f>VLOOKUP(E444, Factor!$CL$5:$CV$50, 4, 0)</f>
        <v>L</v>
      </c>
      <c r="J444" s="29" t="str">
        <f>VLOOKUP(E444, Factor!$CL$5:$CV$50, 5, 0)</f>
        <v>spread</v>
      </c>
      <c r="K444" s="29">
        <v>1</v>
      </c>
      <c r="L444" s="29">
        <f>VLOOKUP(E444, Factor!$CL$5:$CV$50, 6, 0)*K444*VLOOKUP(D444, Factor!$BZ$5:$CJ$49, 9, 0)</f>
        <v>0</v>
      </c>
      <c r="M444" s="29" t="str">
        <f>VLOOKUP(E444, Factor!$CL$5:$CV$50, 7, 0)</f>
        <v>slow</v>
      </c>
      <c r="N444" s="29">
        <v>1</v>
      </c>
      <c r="O444" s="29">
        <f>VLOOKUP(E444, Factor!$CL$5:$CV$50, 8, 0)*N444*VLOOKUP(D444, Factor!$BZ$5:$CJ$49, 10, 0)</f>
        <v>35</v>
      </c>
      <c r="P444" s="29">
        <v>1</v>
      </c>
      <c r="Q444" s="29">
        <f>VLOOKUP(E444, Factor!$CL$5:$CV$50, 9, 0)*P444*VLOOKUP(D444, Factor!$BZ$5:$CJ$49, 11, 0)</f>
        <v>7</v>
      </c>
      <c r="R444" s="29" t="str">
        <f>VLOOKUP(E444, Factor!$CL$5:$CV$50, 10, 0)</f>
        <v>target</v>
      </c>
      <c r="S444" s="29" t="str">
        <f>VLOOKUP(E444, Factor!$CL$5:$CV$50, 11, 0)</f>
        <v>circle</v>
      </c>
      <c r="T444" s="29">
        <v>1</v>
      </c>
      <c r="U444" s="29">
        <v>1</v>
      </c>
      <c r="V444" s="29">
        <v>1</v>
      </c>
      <c r="W444" s="29">
        <v>1</v>
      </c>
      <c r="X444" s="29">
        <v>1</v>
      </c>
      <c r="Y444" s="29">
        <v>1</v>
      </c>
      <c r="Z444" s="29">
        <v>1</v>
      </c>
      <c r="AA444" s="29" cm="1">
        <f t="array" ref="AA444">_xlfn.LET(_xlpm.기본_색인번호, 2,
_xlpm.추가_색인번호, 3,
_xlpm.개별보정치, T444,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6600</v>
      </c>
      <c r="AB444" s="29" cm="1">
        <f t="array" ref="AB444">_xlfn.LET(_xlpm.기본_색인번호, 3,
_xlpm.추가_색인번호, 4,
_xlpm.개별보정치, U444,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210</v>
      </c>
      <c r="AC444" s="29" cm="1">
        <f t="array" ref="AC444">_xlfn.LET(_xlpm.기본_색인번호, 4,
_xlpm.추가_색인번호, 5,
_xlpm.개별보정치, V444,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30</v>
      </c>
      <c r="AD444" s="29" cm="1">
        <f t="array" ref="AD444">_xlfn.LET(_xlpm.기본_색인번호, 5,
_xlpm.추가_색인번호, 6,
_xlpm.개별보정치, W444,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E444" s="29" cm="1">
        <f t="array" ref="AE444">_xlfn.LET(_xlpm.기본_색인번호, 6,
_xlpm.추가_색인번호, 7,
_xlpm.개별보정치, X444,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  <c r="AF444" s="29" cm="1">
        <f t="array" ref="AF444">_xlfn.LET(_xlpm.기본_색인번호, 7,
_xlpm.추가_색인번호, 8,
_xlpm.개별보정치, Y444,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3600</v>
      </c>
      <c r="AG444" s="30" cm="1">
        <f t="array" ref="AG444">_xlfn.LET(_xlpm.기본_색인번호, 8,
_xlpm.추가_색인번호, 9,
_xlpm.개별보정치, Z444,
_xlpm.패턴보정치, VLOOKUP($G444, Factor!$B$5:$I$51, _xlpm.기본_색인번호, 0),
_xlpm.소모탄환보정치, VLOOKUP($H444, Factor!$T$5:$AA$51, _xlpm.기본_색인번호, 0),
_xlpm.지형보정치, VLOOKUP($I444, Factor!$K$12:$R$13, _xlpm.기본_색인번호, 0),
_xlpm.공격속성보정치, VLOOKUP($J444, Factor!$K$5:$R$7, _xlpm.기본_색인번호, 0),
_xlpm.피해범위보정치, INDEX(Factor!$AN$5:$AV$51, _xlfn.XMATCH(IF(OR($G444="blast", $G444="curved",  $G444= "debuff"), $L444, 0), Factor!$AN$5:$AN$51, -1), _xlpm.추가_색인번호)-IF(AND(OR($G444="blast", $G444="curved", $G444= "debuff"), MOD($L444,1)&lt;&gt;0),INDEX(Factor!$AN$5:$AV$51, _xlfn.XMATCH(IF(OR($G444="blast", $G444="curved", $G444= "debuff"), $L444, 0), Factor!$AN$5:$AN$51, -1), 2)*MOD($L444,1)*10,0),
_xlpm.상태이상보정치, VLOOKUP(IF($G444 = "debuff", $M444, "null"), Factor!$AX$5:$BE$51, _xlpm.기본_색인번호, 0),
_xlpm.지속시간보정치, INDEX(Factor!$BG$5:$BO$51, _xlfn.XMATCH(IF(OR($G444 ="debuff", $G444 = "shot", $G444 = "pierce"), $O444, 0), Factor!$BG$5:$BG$51, -1), _xlpm.추가_색인번호)-IF(AND(OR($G444 ="debuff", $G444 = "shot", $G444 = "pierce"), MOD($O444, 1)&lt;&gt;0), 10*MOD($O444, 1)*INDEX(Factor!$BG$5:$BO$51, _xlfn.XMATCH(IF(OR($G444 ="debuff", $G444 = "shot", $G444 = "pierce"), $O444, 0), Factor!$BG$5:$BG$51, -1), 2), 0),
_xlpm.탄환개수보정치, VLOOKUP(IF(OR($G444 = "curved", $G444 = "shot"), $Q444, 1), Factor!$BQ$5:$BX$51, _xlpm.기본_색인번호, 0),
_xlpm.상태이상탄환생성위치보정치, IF($G444 = "debuff", VLOOKUP($R444, Factor!$K$18:$R$19, _xlpm.기본_색인번호, 0),1),
_xlpm.상태이상탄환형태보정치, IF($G444 = "debuff", VLOOKUP($S444, Factor!$K$24:$R$25, _xlpm.기본_색인번호, 0),1),
_xlpm.가격보정치, INDEX(Factor!$AE$5:$AL$51, _xlfn.XMATCH($F444,Factor!$AE$5:$AE$51, -1), _xlpm.기본_색인번호),
_xlpm.구경보정치, VLOOKUP($D444, Factor!$BZ$5:$CJ$56, _xlpm.기본_색인번호, 0),
_xlpm.결과, _xlpm.개별보정치*_xlpm.패턴보정치*_xlpm.소모탄환보정치*_xlpm.지형보정치*_xlpm.공격속성보정치*_xlpm.피해범위보정치*_xlpm.상태이상보정치*_xlpm.지속시간보정치*_xlpm.탄환개수보정치*_xlpm.상태이상탄환생성위치보정치*_xlpm.상태이상탄환형태보정치*_xlpm.가격보정치*_xlpm.구경보정치,
_xlpm.결과)</f>
        <v>330</v>
      </c>
    </row>
  </sheetData>
  <autoFilter ref="A4:Z54" xr:uid="{00000000-0001-0000-0100-000000000000}"/>
  <mergeCells count="1">
    <mergeCell ref="A1:X1"/>
  </mergeCells>
  <phoneticPr fontId="8" type="noConversion"/>
  <dataValidations count="2">
    <dataValidation type="decimal" operator="greaterThanOrEqual" allowBlank="1" showInputMessage="1" showErrorMessage="1" sqref="O5:P1048576 L5:L1048576" xr:uid="{D79238AD-E30F-4BF0-873F-D910B16CDC47}">
      <formula1>0</formula1>
    </dataValidation>
    <dataValidation type="whole" operator="greaterThanOrEqual" allowBlank="1" showInputMessage="1" showErrorMessage="1" sqref="Q5:Q1048576" xr:uid="{092F14CB-23D4-4D35-B2AA-E58FA42DD9AE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A15C4E0-C34A-46CA-87B5-62FB775BB8EF}">
          <x14:formula1>
            <xm:f>Factor!$B$5:$B$10</xm:f>
          </x14:formula1>
          <xm:sqref>G5:G1048576</xm:sqref>
        </x14:dataValidation>
        <x14:dataValidation type="list" allowBlank="1" showInputMessage="1" showErrorMessage="1" xr:uid="{E929DAF5-71D5-4316-A75B-51B7F92A3440}">
          <x14:formula1>
            <xm:f>Factor!$T$5:$T$7</xm:f>
          </x14:formula1>
          <xm:sqref>H5:H1048576</xm:sqref>
        </x14:dataValidation>
        <x14:dataValidation type="list" allowBlank="1" showInputMessage="1" showErrorMessage="1" xr:uid="{078999BE-1C20-40A9-8608-4280A3DF75DD}">
          <x14:formula1>
            <xm:f>Factor!$K$12:$K$13</xm:f>
          </x14:formula1>
          <xm:sqref>I5:I1048576</xm:sqref>
        </x14:dataValidation>
        <x14:dataValidation type="list" allowBlank="1" showInputMessage="1" showErrorMessage="1" xr:uid="{692A32AD-038C-4CD4-86C8-10081CF2A9B5}">
          <x14:formula1>
            <xm:f>Factor!$K$5:$K$7</xm:f>
          </x14:formula1>
          <xm:sqref>J5:J1048576</xm:sqref>
        </x14:dataValidation>
        <x14:dataValidation type="list" allowBlank="1" showInputMessage="1" showErrorMessage="1" xr:uid="{1CC92830-E010-4C4C-84CC-C0CD0B627FC3}">
          <x14:formula1>
            <xm:f>Factor!$AX$5:$AX$9</xm:f>
          </x14:formula1>
          <xm:sqref>M5:M1048576</xm:sqref>
        </x14:dataValidation>
        <x14:dataValidation type="list" allowBlank="1" showInputMessage="1" showErrorMessage="1" xr:uid="{078AA71C-295F-4687-812E-8185A79F1808}">
          <x14:formula1>
            <xm:f>Factor!$K$18:$K$20</xm:f>
          </x14:formula1>
          <xm:sqref>R5:R1048576</xm:sqref>
        </x14:dataValidation>
        <x14:dataValidation type="list" allowBlank="1" showInputMessage="1" showErrorMessage="1" xr:uid="{F4503CF8-9ECD-4905-B7EA-7CA03892A5B1}">
          <x14:formula1>
            <xm:f>Factor!$K$24:$K$26</xm:f>
          </x14:formula1>
          <xm:sqref>S5:S1048576</xm:sqref>
        </x14:dataValidation>
        <x14:dataValidation type="list" allowBlank="1" showInputMessage="1" showErrorMessage="1" xr:uid="{97693691-0556-401A-952C-B1C867F457F7}">
          <x14:formula1>
            <xm:f>Factor!$AD$5:$AD$15</xm:f>
          </x14:formula1>
          <xm:sqref>C5:C1048576</xm:sqref>
        </x14:dataValidation>
        <x14:dataValidation type="list" allowBlank="1" showInputMessage="1" showErrorMessage="1" xr:uid="{BD33327E-93AB-4685-A34C-335DABEF1021}">
          <x14:formula1>
            <xm:f>Factor!$BZ$5:$BZ$15</xm:f>
          </x14:formula1>
          <xm:sqref>D5:D1048576</xm:sqref>
        </x14:dataValidation>
        <x14:dataValidation type="list" allowBlank="1" showInputMessage="1" showErrorMessage="1" xr:uid="{391AB0F9-DB09-4DC2-AACF-64F5490C3249}">
          <x14:formula1>
            <xm:f>Factor!$CL$5:$CL$21</xm:f>
          </x14:formula1>
          <xm:sqref>E5:E1048576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개요</vt:lpstr>
      <vt:lpstr>Factor</vt:lpstr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해욱 정</cp:lastModifiedBy>
  <dcterms:modified xsi:type="dcterms:W3CDTF">2026-08-17T07:30:18Z</dcterms:modified>
</cp:coreProperties>
</file>