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gh\OneDrive\바탕 화면\게임기획_지원_정해욱\1_쿼터뷰 열차슈팅_Siecletrain_프로젝트\2_데이터작업\"/>
    </mc:Choice>
  </mc:AlternateContent>
  <xr:revisionPtr revIDLastSave="0" documentId="13_ncr:1_{82D7E5B4-8C26-4E03-8387-B847D7DAF4F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개요" sheetId="1" r:id="rId1"/>
    <sheet name="Factor" sheetId="3" r:id="rId2"/>
    <sheet name="MonsterData" sheetId="2" r:id="rId3"/>
    <sheet name="BattleArea" sheetId="5" r:id="rId4"/>
    <sheet name="SpawnData" sheetId="4" r:id="rId5"/>
  </sheets>
  <definedNames>
    <definedName name="_xlnm._FilterDatabase" localSheetId="2" hidden="1">MonsterData!$A$4:$AC$13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T6" i="2"/>
  <c r="T7" i="2"/>
  <c r="T8" i="2"/>
  <c r="T9" i="2"/>
  <c r="T10" i="2"/>
  <c r="T11" i="2"/>
  <c r="T12" i="2"/>
  <c r="T13" i="2"/>
  <c r="R6" i="2"/>
  <c r="R7" i="2"/>
  <c r="R8" i="2"/>
  <c r="R9" i="2"/>
  <c r="R10" i="2"/>
  <c r="R11" i="2"/>
  <c r="R12" i="2"/>
  <c r="R13" i="2"/>
  <c r="E6" i="2"/>
  <c r="E7" i="2"/>
  <c r="E8" i="2"/>
  <c r="E9" i="2"/>
  <c r="E10" i="2"/>
  <c r="E11" i="2"/>
  <c r="E12" i="2"/>
  <c r="E13" i="2"/>
  <c r="T5" i="2"/>
  <c r="A5" i="2" s="1"/>
  <c r="R5" i="2"/>
  <c r="D5" i="2"/>
  <c r="E5" i="2"/>
  <c r="AG5" i="3"/>
  <c r="AG6" i="3" s="1"/>
  <c r="AG7" i="3" s="1"/>
  <c r="AG8" i="3" s="1"/>
  <c r="AG9" i="3" s="1"/>
  <c r="AG10" i="3" s="1"/>
  <c r="AG11" i="3" s="1"/>
  <c r="AG12" i="3" s="1"/>
  <c r="AG13" i="3" s="1"/>
  <c r="AH5" i="3"/>
  <c r="AH6" i="3" s="1"/>
  <c r="AH7" i="3" s="1"/>
  <c r="AH8" i="3" s="1"/>
  <c r="AH9" i="3" s="1"/>
  <c r="AH10" i="3" s="1"/>
  <c r="AH11" i="3" s="1"/>
  <c r="AH12" i="3" s="1"/>
  <c r="AH13" i="3" s="1"/>
  <c r="AI5" i="3"/>
  <c r="AI6" i="3" s="1"/>
  <c r="AI7" i="3" s="1"/>
  <c r="AI8" i="3" s="1"/>
  <c r="AI9" i="3" s="1"/>
  <c r="AI10" i="3" s="1"/>
  <c r="AI11" i="3" s="1"/>
  <c r="AI12" i="3" s="1"/>
  <c r="AI13" i="3" s="1"/>
  <c r="AJ5" i="3"/>
  <c r="AJ6" i="3" s="1"/>
  <c r="AJ7" i="3" s="1"/>
  <c r="AJ8" i="3" s="1"/>
  <c r="AJ9" i="3" s="1"/>
  <c r="AJ10" i="3" s="1"/>
  <c r="AJ11" i="3" s="1"/>
  <c r="AJ12" i="3" s="1"/>
  <c r="AJ13" i="3" s="1"/>
  <c r="AF5" i="3"/>
  <c r="AF6" i="3" s="1"/>
  <c r="AF7" i="3" s="1"/>
  <c r="AF8" i="3" s="1"/>
  <c r="AF9" i="3" s="1"/>
  <c r="AF10" i="3" s="1"/>
  <c r="AF11" i="3" s="1"/>
  <c r="AF12" i="3" s="1"/>
  <c r="AF13" i="3" s="1"/>
  <c r="Z5" i="2" l="1"/>
  <c r="AB5" i="2"/>
  <c r="Z6" i="2"/>
  <c r="AB6" i="2"/>
  <c r="Z7" i="2"/>
  <c r="AB7" i="2"/>
  <c r="Z8" i="2"/>
  <c r="AB8" i="2"/>
  <c r="Z9" i="2"/>
  <c r="AB9" i="2"/>
  <c r="Z10" i="2"/>
  <c r="AB10" i="2"/>
  <c r="Z11" i="2"/>
  <c r="AB11" i="2"/>
  <c r="Z12" i="2"/>
  <c r="AB12" i="2"/>
  <c r="Z13" i="2"/>
  <c r="AB13" i="2"/>
  <c r="A6" i="2"/>
  <c r="A8" i="2"/>
  <c r="A10" i="2"/>
  <c r="A12" i="2"/>
  <c r="A7" i="2"/>
  <c r="A9" i="2"/>
  <c r="A11" i="2"/>
  <c r="A13" i="2"/>
  <c r="U6" i="2" a="1"/>
  <c r="V6" i="2" a="1"/>
  <c r="W6" i="2" a="1"/>
  <c r="X6" i="2" a="1"/>
  <c r="Y6" i="2" a="1"/>
  <c r="U7" i="2" a="1"/>
  <c r="V7" i="2" a="1"/>
  <c r="W7" i="2" a="1"/>
  <c r="X7" i="2" a="1"/>
  <c r="Y7" i="2" a="1"/>
  <c r="U8" i="2" a="1"/>
  <c r="V8" i="2" a="1"/>
  <c r="W8" i="2" a="1"/>
  <c r="X8" i="2" a="1"/>
  <c r="Y8" i="2" a="1"/>
  <c r="U9" i="2" a="1"/>
  <c r="V9" i="2" a="1"/>
  <c r="W9" i="2" a="1"/>
  <c r="X9" i="2" a="1"/>
  <c r="Y9" i="2" a="1"/>
  <c r="U10" i="2" a="1"/>
  <c r="V10" i="2" a="1"/>
  <c r="W10" i="2" a="1"/>
  <c r="X10" i="2" a="1"/>
  <c r="Y10" i="2" a="1"/>
  <c r="U11" i="2" a="1"/>
  <c r="V11" i="2" a="1"/>
  <c r="W11" i="2" a="1"/>
  <c r="X11" i="2" a="1"/>
  <c r="Y11" i="2" a="1"/>
  <c r="U12" i="2" a="1"/>
  <c r="V12" i="2" a="1"/>
  <c r="W12" i="2" a="1"/>
  <c r="X12" i="2" a="1"/>
  <c r="Y12" i="2" a="1"/>
  <c r="U13" i="2" a="1"/>
  <c r="V13" i="2" a="1"/>
  <c r="W13" i="2" a="1"/>
  <c r="X13" i="2" a="1"/>
  <c r="Y13" i="2" a="1"/>
  <c r="U5" i="2" a="1"/>
  <c r="V5" i="2" a="1"/>
  <c r="Y5" i="2" a="1"/>
  <c r="W5" i="2" a="1"/>
  <c r="X5" i="2" a="1"/>
  <c r="G414" i="4" l="1"/>
  <c r="G444" i="4"/>
  <c r="G437" i="4"/>
  <c r="G430" i="4"/>
  <c r="G424" i="4"/>
  <c r="G416" i="4"/>
  <c r="G408" i="4"/>
  <c r="G400" i="4"/>
  <c r="G375" i="4"/>
  <c r="G406" i="4"/>
  <c r="G373" i="4"/>
  <c r="G5" i="4"/>
  <c r="G409" i="4"/>
  <c r="G376" i="4"/>
  <c r="G354" i="4"/>
  <c r="G442" i="4"/>
  <c r="G403" i="4"/>
  <c r="G377" i="4"/>
  <c r="G353" i="4"/>
  <c r="G431" i="4"/>
  <c r="G393" i="4"/>
  <c r="G387" i="4"/>
  <c r="G379" i="4"/>
  <c r="G372" i="4"/>
  <c r="G366" i="4"/>
  <c r="G350" i="4"/>
  <c r="G443" i="4"/>
  <c r="G397" i="4"/>
  <c r="G386" i="4"/>
  <c r="G421" i="4"/>
  <c r="G381" i="4"/>
  <c r="G343" i="4"/>
  <c r="G392" i="4"/>
  <c r="G369" i="4"/>
  <c r="G347" i="4"/>
  <c r="G427" i="4"/>
  <c r="G383" i="4"/>
  <c r="G359" i="4"/>
  <c r="G399" i="4"/>
  <c r="G434" i="4"/>
  <c r="G422" i="4"/>
  <c r="G415" i="4"/>
  <c r="G405" i="4"/>
  <c r="G380" i="4"/>
  <c r="G413" i="4"/>
  <c r="G367" i="4"/>
  <c r="G436" i="4"/>
  <c r="G401" i="4"/>
  <c r="G362" i="4"/>
  <c r="G352" i="4"/>
  <c r="G435" i="4"/>
  <c r="G411" i="4"/>
  <c r="G370" i="4"/>
  <c r="G341" i="4"/>
  <c r="G344" i="4"/>
  <c r="G365" i="4"/>
  <c r="G346" i="4"/>
  <c r="G438" i="4"/>
  <c r="G429" i="4"/>
  <c r="G396" i="4"/>
  <c r="G356" i="4"/>
  <c r="G428" i="4"/>
  <c r="G385" i="4"/>
  <c r="G357" i="4"/>
  <c r="G342" i="4"/>
  <c r="G420" i="4"/>
  <c r="G395" i="4"/>
  <c r="G364" i="4"/>
  <c r="G423" i="4"/>
  <c r="F24" i="5" s="1"/>
  <c r="G388" i="4"/>
  <c r="G440" i="4"/>
  <c r="G418" i="4"/>
  <c r="G390" i="4"/>
  <c r="G412" i="4"/>
  <c r="G441" i="4"/>
  <c r="G433" i="4"/>
  <c r="G426" i="4"/>
  <c r="G419" i="4"/>
  <c r="G410" i="4"/>
  <c r="G404" i="4"/>
  <c r="G398" i="4"/>
  <c r="G391" i="4"/>
  <c r="G384" i="4"/>
  <c r="G378" i="4"/>
  <c r="G371" i="4"/>
  <c r="G363" i="4"/>
  <c r="G360" i="4"/>
  <c r="G355" i="4"/>
  <c r="G351" i="4"/>
  <c r="G340" i="4"/>
  <c r="G6" i="4"/>
  <c r="G439" i="4"/>
  <c r="G432" i="4"/>
  <c r="G425" i="4"/>
  <c r="G417" i="4"/>
  <c r="G407" i="4"/>
  <c r="G402" i="4"/>
  <c r="G394" i="4"/>
  <c r="G389" i="4"/>
  <c r="G382" i="4"/>
  <c r="G374" i="4"/>
  <c r="G368" i="4"/>
  <c r="G361" i="4"/>
  <c r="G358" i="4"/>
  <c r="G8" i="4"/>
  <c r="G7" i="4"/>
  <c r="G348" i="4"/>
  <c r="G296" i="4"/>
  <c r="G339" i="4"/>
  <c r="G338" i="4"/>
  <c r="G349" i="4"/>
  <c r="G288" i="4"/>
  <c r="G299" i="4"/>
  <c r="G304" i="4"/>
  <c r="G310" i="4"/>
  <c r="G321" i="4"/>
  <c r="G329" i="4"/>
  <c r="G335" i="4"/>
  <c r="G290" i="4"/>
  <c r="G300" i="4"/>
  <c r="G307" i="4"/>
  <c r="G320" i="4"/>
  <c r="G327" i="4"/>
  <c r="G333" i="4"/>
  <c r="G293" i="4"/>
  <c r="G301" i="4"/>
  <c r="G308" i="4"/>
  <c r="G322" i="4"/>
  <c r="G330" i="4"/>
  <c r="G292" i="4"/>
  <c r="G302" i="4"/>
  <c r="G309" i="4"/>
  <c r="G323" i="4"/>
  <c r="G332" i="4"/>
  <c r="G294" i="4"/>
  <c r="G303" i="4"/>
  <c r="G318" i="4"/>
  <c r="G170" i="4"/>
  <c r="G172" i="4"/>
  <c r="G189" i="4"/>
  <c r="G159" i="4"/>
  <c r="G181" i="4"/>
  <c r="G201" i="4"/>
  <c r="G325" i="4"/>
  <c r="G331" i="4"/>
  <c r="G337" i="4"/>
  <c r="G295" i="4"/>
  <c r="G298" i="4"/>
  <c r="G306" i="4"/>
  <c r="G319" i="4"/>
  <c r="G326" i="4"/>
  <c r="G334" i="4"/>
  <c r="G297" i="4"/>
  <c r="G317" i="4"/>
  <c r="G324" i="4"/>
  <c r="G328" i="4"/>
  <c r="G336" i="4"/>
  <c r="G305" i="4"/>
  <c r="G251" i="4"/>
  <c r="G260" i="4"/>
  <c r="G265" i="4"/>
  <c r="G270" i="4"/>
  <c r="G277" i="4"/>
  <c r="G284" i="4"/>
  <c r="G252" i="4"/>
  <c r="G261" i="4"/>
  <c r="G267" i="4"/>
  <c r="G274" i="4"/>
  <c r="G282" i="4"/>
  <c r="G289" i="4"/>
  <c r="G253" i="4"/>
  <c r="G263" i="4"/>
  <c r="G268" i="4"/>
  <c r="G275" i="4"/>
  <c r="G283" i="4"/>
  <c r="G238" i="4"/>
  <c r="G173" i="4"/>
  <c r="G192" i="4"/>
  <c r="G199" i="4"/>
  <c r="G163" i="4"/>
  <c r="G186" i="4"/>
  <c r="G202" i="4"/>
  <c r="G177" i="4"/>
  <c r="G164" i="4"/>
  <c r="G193" i="4"/>
  <c r="G176" i="4"/>
  <c r="G195" i="4"/>
  <c r="G255" i="4"/>
  <c r="G264" i="4"/>
  <c r="G271" i="4"/>
  <c r="G281" i="4"/>
  <c r="G254" i="4"/>
  <c r="G262" i="4"/>
  <c r="G272" i="4"/>
  <c r="G280" i="4"/>
  <c r="G286" i="4"/>
  <c r="G256" i="4"/>
  <c r="G273" i="4"/>
  <c r="G291" i="4"/>
  <c r="G257" i="4"/>
  <c r="G258" i="4"/>
  <c r="G269" i="4"/>
  <c r="G278" i="4"/>
  <c r="G287" i="4"/>
  <c r="G259" i="4"/>
  <c r="G279" i="4"/>
  <c r="G285" i="4"/>
  <c r="G276" i="4"/>
  <c r="G206" i="4"/>
  <c r="G215" i="4"/>
  <c r="G226" i="4"/>
  <c r="G235" i="4"/>
  <c r="G242" i="4"/>
  <c r="G205" i="4"/>
  <c r="G212" i="4"/>
  <c r="G220" i="4"/>
  <c r="G228" i="4"/>
  <c r="G248" i="4"/>
  <c r="G184" i="4"/>
  <c r="F13" i="5" s="1"/>
  <c r="G203" i="4"/>
  <c r="F14" i="5" s="1"/>
  <c r="G180" i="4"/>
  <c r="G191" i="4"/>
  <c r="G152" i="4"/>
  <c r="G155" i="4"/>
  <c r="G178" i="4"/>
  <c r="G157" i="4"/>
  <c r="G167" i="4"/>
  <c r="G213" i="4"/>
  <c r="G224" i="4"/>
  <c r="G230" i="4"/>
  <c r="G239" i="4"/>
  <c r="G250" i="4"/>
  <c r="G204" i="4"/>
  <c r="G210" i="4"/>
  <c r="G218" i="4"/>
  <c r="G227" i="4"/>
  <c r="G234" i="4"/>
  <c r="G243" i="4"/>
  <c r="G207" i="4"/>
  <c r="G211" i="4"/>
  <c r="G223" i="4"/>
  <c r="G233" i="4"/>
  <c r="G244" i="4"/>
  <c r="G208" i="4"/>
  <c r="G217" i="4"/>
  <c r="G231" i="4"/>
  <c r="G241" i="4"/>
  <c r="G175" i="4"/>
  <c r="G216" i="4"/>
  <c r="G225" i="4"/>
  <c r="G237" i="4"/>
  <c r="G246" i="4"/>
  <c r="G209" i="4"/>
  <c r="G236" i="4"/>
  <c r="G245" i="4"/>
  <c r="G187" i="4"/>
  <c r="G214" i="4"/>
  <c r="G240" i="4"/>
  <c r="G221" i="4"/>
  <c r="G232" i="4"/>
  <c r="G266" i="4"/>
  <c r="G312" i="4"/>
  <c r="G314" i="4"/>
  <c r="G316" i="4"/>
  <c r="G146" i="4"/>
  <c r="G162" i="4"/>
  <c r="G179" i="4"/>
  <c r="G188" i="4"/>
  <c r="G196" i="4"/>
  <c r="G150" i="4"/>
  <c r="G174" i="4"/>
  <c r="G197" i="4"/>
  <c r="G161" i="4"/>
  <c r="G182" i="4"/>
  <c r="G183" i="4"/>
  <c r="G168" i="4"/>
  <c r="G185" i="4"/>
  <c r="G129" i="4"/>
  <c r="G219" i="4"/>
  <c r="G229" i="4"/>
  <c r="G247" i="4"/>
  <c r="G222" i="4"/>
  <c r="G249" i="4"/>
  <c r="G311" i="4"/>
  <c r="G313" i="4"/>
  <c r="F19" i="5" s="1"/>
  <c r="G315" i="4"/>
  <c r="G198" i="4"/>
  <c r="G190" i="4"/>
  <c r="G166" i="4"/>
  <c r="G194" i="4"/>
  <c r="G200" i="4"/>
  <c r="G58" i="4"/>
  <c r="F7" i="5" s="1"/>
  <c r="G87" i="4"/>
  <c r="G92" i="4"/>
  <c r="G103" i="4"/>
  <c r="G112" i="4"/>
  <c r="G119" i="4"/>
  <c r="F10" i="5" s="1"/>
  <c r="G125" i="4"/>
  <c r="G130" i="4"/>
  <c r="G127" i="4"/>
  <c r="G104" i="4"/>
  <c r="G109" i="4"/>
  <c r="G62" i="4"/>
  <c r="G85" i="4"/>
  <c r="G97" i="4"/>
  <c r="G105" i="4"/>
  <c r="G114" i="4"/>
  <c r="G117" i="4"/>
  <c r="G134" i="4"/>
  <c r="G123" i="4"/>
  <c r="G71" i="4"/>
  <c r="G82" i="4"/>
  <c r="G89" i="4"/>
  <c r="G96" i="4"/>
  <c r="G102" i="4"/>
  <c r="G116" i="4"/>
  <c r="G122" i="4"/>
  <c r="G132" i="4"/>
  <c r="G67" i="4"/>
  <c r="G83" i="4"/>
  <c r="G93" i="4"/>
  <c r="G99" i="4"/>
  <c r="G107" i="4"/>
  <c r="G113" i="4"/>
  <c r="G121" i="4"/>
  <c r="G128" i="4"/>
  <c r="G135" i="4"/>
  <c r="G74" i="4"/>
  <c r="G84" i="4"/>
  <c r="G94" i="4"/>
  <c r="G101" i="4"/>
  <c r="G110" i="4"/>
  <c r="G118" i="4"/>
  <c r="G124" i="4"/>
  <c r="G133" i="4"/>
  <c r="G98" i="4"/>
  <c r="G76" i="4"/>
  <c r="G79" i="4"/>
  <c r="G77" i="4"/>
  <c r="G88" i="4"/>
  <c r="G90" i="4"/>
  <c r="G65" i="4"/>
  <c r="G139" i="4"/>
  <c r="G144" i="4"/>
  <c r="G141" i="4"/>
  <c r="G148" i="4"/>
  <c r="G137" i="4"/>
  <c r="G153" i="4"/>
  <c r="G142" i="4"/>
  <c r="G154" i="4"/>
  <c r="G143" i="4"/>
  <c r="G138" i="4"/>
  <c r="G149" i="4"/>
  <c r="G15" i="4"/>
  <c r="G147" i="4"/>
  <c r="G136" i="4"/>
  <c r="G158" i="4"/>
  <c r="G169" i="4"/>
  <c r="G345" i="4"/>
  <c r="G28" i="4"/>
  <c r="G38" i="4"/>
  <c r="G41" i="4"/>
  <c r="G46" i="4"/>
  <c r="G43" i="4"/>
  <c r="G32" i="4"/>
  <c r="G35" i="4"/>
  <c r="G29" i="4"/>
  <c r="G36" i="4"/>
  <c r="G40" i="4"/>
  <c r="G45" i="4"/>
  <c r="G54" i="4"/>
  <c r="G47" i="4"/>
  <c r="G61" i="4"/>
  <c r="G33" i="4"/>
  <c r="G31" i="4"/>
  <c r="G42" i="4"/>
  <c r="G50" i="4"/>
  <c r="G57" i="4"/>
  <c r="G48" i="4"/>
  <c r="G52" i="4"/>
  <c r="G60" i="4"/>
  <c r="G30" i="4"/>
  <c r="G39" i="4"/>
  <c r="G44" i="4"/>
  <c r="G49" i="4"/>
  <c r="G56" i="4"/>
  <c r="G34" i="4"/>
  <c r="G53" i="4"/>
  <c r="G59" i="4"/>
  <c r="G68" i="4"/>
  <c r="G63" i="4"/>
  <c r="G72" i="4"/>
  <c r="G64" i="4"/>
  <c r="G73" i="4"/>
  <c r="G78" i="4"/>
  <c r="G69" i="4"/>
  <c r="G81" i="4"/>
  <c r="G70" i="4"/>
  <c r="G86" i="4"/>
  <c r="G126" i="4"/>
  <c r="G111" i="4"/>
  <c r="G151" i="4"/>
  <c r="G115" i="4"/>
  <c r="G75" i="4"/>
  <c r="G160" i="4"/>
  <c r="G95" i="4"/>
  <c r="G100" i="4"/>
  <c r="G80" i="4"/>
  <c r="G131" i="4"/>
  <c r="G66" i="4"/>
  <c r="G156" i="4"/>
  <c r="G145" i="4"/>
  <c r="G55" i="4"/>
  <c r="G140" i="4"/>
  <c r="G165" i="4"/>
  <c r="G91" i="4"/>
  <c r="G106" i="4"/>
  <c r="G120" i="4"/>
  <c r="G171" i="4"/>
  <c r="G20" i="4"/>
  <c r="G16" i="4"/>
  <c r="G21" i="4"/>
  <c r="G22" i="4"/>
  <c r="G23" i="4"/>
  <c r="G24" i="4"/>
  <c r="G25" i="4"/>
  <c r="G27" i="4"/>
  <c r="G51" i="4"/>
  <c r="G108" i="4"/>
  <c r="G37" i="4"/>
  <c r="G26" i="4"/>
  <c r="G13" i="4"/>
  <c r="G19" i="4"/>
  <c r="G12" i="4"/>
  <c r="G18" i="4"/>
  <c r="G14" i="4"/>
  <c r="G17" i="4"/>
  <c r="G9" i="4"/>
  <c r="G11" i="4"/>
  <c r="G10" i="4"/>
  <c r="F6" i="5"/>
  <c r="F12" i="5" l="1"/>
  <c r="F8" i="5"/>
  <c r="F22" i="5"/>
  <c r="F23" i="5"/>
  <c r="F21" i="5"/>
  <c r="F5" i="5"/>
  <c r="F20" i="5"/>
  <c r="F17" i="5"/>
  <c r="F18" i="5"/>
  <c r="F16" i="5"/>
  <c r="F9" i="5"/>
  <c r="F11" i="5"/>
  <c r="F15" i="5"/>
  <c r="D24" i="5"/>
  <c r="E24" i="5"/>
  <c r="E14" i="5"/>
  <c r="D14" i="5"/>
  <c r="E19" i="5"/>
  <c r="D19" i="5"/>
  <c r="D10" i="5"/>
  <c r="E10" i="5"/>
  <c r="E7" i="5"/>
  <c r="D7" i="5"/>
  <c r="D13" i="5"/>
  <c r="E13" i="5"/>
  <c r="E6" i="5"/>
  <c r="D6" i="5"/>
  <c r="D12" i="5" l="1"/>
  <c r="E12" i="5"/>
  <c r="D8" i="5"/>
  <c r="E8" i="5"/>
  <c r="D11" i="5"/>
  <c r="E11" i="5"/>
  <c r="D22" i="5"/>
  <c r="E22" i="5"/>
  <c r="E23" i="5"/>
  <c r="D23" i="5"/>
  <c r="D21" i="5"/>
  <c r="E21" i="5"/>
  <c r="E5" i="5"/>
  <c r="D5" i="5"/>
  <c r="D20" i="5"/>
  <c r="E20" i="5"/>
  <c r="E17" i="5"/>
  <c r="D17" i="5"/>
  <c r="E18" i="5"/>
  <c r="D18" i="5"/>
  <c r="E16" i="5"/>
  <c r="D16" i="5"/>
  <c r="D9" i="5"/>
  <c r="E9" i="5"/>
  <c r="E15" i="5"/>
  <c r="D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GACHON</author>
  </authors>
  <commentList>
    <comment ref="J4" authorId="0" shapeId="0" xr:uid="{DB245989-F453-4CE7-9ED8-DE37F8F5A99C}">
      <text>
        <r>
          <rPr>
            <b/>
            <sz val="9"/>
            <color indexed="81"/>
            <rFont val="Tahoma"/>
            <family val="2"/>
          </rPr>
          <t>GACHON:</t>
        </r>
        <r>
          <rPr>
            <b/>
            <sz val="9"/>
            <color indexed="81"/>
            <rFont val="돋움"/>
            <family val="3"/>
            <charset val="129"/>
          </rPr>
          <t>대량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쾌감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제공
</t>
        </r>
      </text>
    </comment>
    <comment ref="J5" authorId="0" shapeId="0" xr:uid="{2C36EEF6-53A1-462E-BD60-E11EB9234760}">
      <text>
        <r>
          <rPr>
            <b/>
            <sz val="9"/>
            <color indexed="81"/>
            <rFont val="Tahoma"/>
            <family val="2"/>
          </rPr>
          <t>GACHON: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목적
</t>
        </r>
      </text>
    </comment>
    <comment ref="J6" authorId="0" shapeId="0" xr:uid="{D0126A34-FAC6-48EC-A636-B50E354ED04D}">
      <text>
        <r>
          <rPr>
            <b/>
            <sz val="9"/>
            <color indexed="81"/>
            <rFont val="Tahoma"/>
            <family val="2"/>
          </rPr>
          <t>GACHON: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위기감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조성
</t>
        </r>
      </text>
    </comment>
    <comment ref="J7" authorId="0" shapeId="0" xr:uid="{AA8EBCFF-47AC-4E2A-91E0-D0A769130EE0}">
      <text>
        <r>
          <rPr>
            <b/>
            <sz val="9"/>
            <color indexed="81"/>
            <rFont val="Tahoma"/>
            <family val="2"/>
          </rPr>
          <t>GACHON: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<sst xmlns="http://schemas.openxmlformats.org/spreadsheetml/2006/main" count="2334" uniqueCount="362">
  <si>
    <t>Monster_data</t>
  </si>
  <si>
    <t>column명</t>
  </si>
  <si>
    <t>한글 명칭</t>
  </si>
  <si>
    <t>형식 설명</t>
  </si>
  <si>
    <t>설명</t>
  </si>
  <si>
    <t>monsterId</t>
  </si>
  <si>
    <t>string</t>
  </si>
  <si>
    <t>몬스터 ID 저장</t>
  </si>
  <si>
    <t>monsterName</t>
  </si>
  <si>
    <t>몬스터의 이름 저장</t>
  </si>
  <si>
    <t>monsterGrade</t>
  </si>
  <si>
    <t>몬스터의 등급 저장, "Alpha", "Bravo", "Charlie", "Delta", "Echo" 다섯개 중 하나의 값이 들어갈 수 있다.</t>
  </si>
  <si>
    <t>monsterFaction</t>
  </si>
  <si>
    <t>monsterPower</t>
  </si>
  <si>
    <t>int</t>
  </si>
  <si>
    <t>몬스터의 위력(공격력)수치 저장</t>
  </si>
  <si>
    <t>monsterHp</t>
  </si>
  <si>
    <t>몬스터의 체력수치 저장</t>
  </si>
  <si>
    <t>monsterDef</t>
  </si>
  <si>
    <t>몬스터의 방어력수치 저장</t>
  </si>
  <si>
    <t>monsterAtkcycle</t>
  </si>
  <si>
    <t>float</t>
  </si>
  <si>
    <t>몬스터의 공격 주기 수치 저장</t>
  </si>
  <si>
    <t>monsterRange</t>
  </si>
  <si>
    <t>몬스터의 공격 사거리 범위 수치 저장</t>
  </si>
  <si>
    <t>monsterSpeed</t>
  </si>
  <si>
    <t>몬스터의 이동 속도 수치 저장</t>
  </si>
  <si>
    <t>monsterRangeType</t>
  </si>
  <si>
    <t>몬스터의 사거리 속성 저장(설정집에서 표시용), "근접", "원거리" 2가지 값중 1개가 들어간다.</t>
  </si>
  <si>
    <t>monsterLandType</t>
  </si>
  <si>
    <t>monsterDefType</t>
  </si>
  <si>
    <t>monsterHitboxSize</t>
  </si>
  <si>
    <t>몬스터의 히트박스 크기 저장</t>
  </si>
  <si>
    <t>monsterModelId</t>
  </si>
  <si>
    <t>몬스터가 사용할 모델링의 ID 저장</t>
  </si>
  <si>
    <t>라바</t>
  </si>
  <si>
    <t>Small</t>
  </si>
  <si>
    <t>Midium</t>
  </si>
  <si>
    <t>앤틸리온</t>
  </si>
  <si>
    <t>님프</t>
  </si>
  <si>
    <t>골렘</t>
  </si>
  <si>
    <t>Big</t>
  </si>
  <si>
    <t>밴시</t>
  </si>
  <si>
    <t>타이탄</t>
  </si>
  <si>
    <t>타이탄의 코어</t>
  </si>
  <si>
    <t>바위</t>
  </si>
  <si>
    <t>코쿤</t>
    <phoneticPr fontId="3" type="noConversion"/>
  </si>
  <si>
    <t>HP</t>
    <phoneticPr fontId="3" type="noConversion"/>
  </si>
  <si>
    <t>DEF</t>
    <phoneticPr fontId="3" type="noConversion"/>
  </si>
  <si>
    <t>Range</t>
    <phoneticPr fontId="3" type="noConversion"/>
  </si>
  <si>
    <t>Attack</t>
    <phoneticPr fontId="3" type="noConversion"/>
  </si>
  <si>
    <t>Atkcycle</t>
    <phoneticPr fontId="3" type="noConversion"/>
  </si>
  <si>
    <t>Speed</t>
    <phoneticPr fontId="3" type="noConversion"/>
  </si>
  <si>
    <t>지형요소 보정</t>
    <phoneticPr fontId="3" type="noConversion"/>
  </si>
  <si>
    <t>Hack_and_slash</t>
    <phoneticPr fontId="3" type="noConversion"/>
  </si>
  <si>
    <t>None</t>
    <phoneticPr fontId="3" type="noConversion"/>
  </si>
  <si>
    <t>Dangerous</t>
    <phoneticPr fontId="3" type="noConversion"/>
  </si>
  <si>
    <t>disturbance</t>
    <phoneticPr fontId="3" type="noConversion"/>
  </si>
  <si>
    <t>사거리 구별</t>
    <phoneticPr fontId="3" type="noConversion"/>
  </si>
  <si>
    <t>등급 구별</t>
    <phoneticPr fontId="3" type="noConversion"/>
  </si>
  <si>
    <t>목적 구분</t>
    <phoneticPr fontId="3" type="noConversion"/>
  </si>
  <si>
    <t>지형 구분</t>
    <phoneticPr fontId="3" type="noConversion"/>
  </si>
  <si>
    <t>변이체 ID</t>
    <phoneticPr fontId="3" type="noConversion"/>
  </si>
  <si>
    <r>
      <t>변이체</t>
    </r>
    <r>
      <rPr>
        <sz val="10"/>
        <color rgb="FF000000"/>
        <rFont val="맑은 고딕"/>
        <family val="3"/>
        <charset val="129"/>
      </rPr>
      <t xml:space="preserve"> 등급</t>
    </r>
    <phoneticPr fontId="3" type="noConversion"/>
  </si>
  <si>
    <t>변이체 팩션</t>
    <phoneticPr fontId="3" type="noConversion"/>
  </si>
  <si>
    <t>공격력보정치</t>
    <phoneticPr fontId="3" type="noConversion"/>
  </si>
  <si>
    <t>체력보정치</t>
    <phoneticPr fontId="3" type="noConversion"/>
  </si>
  <si>
    <t>방어력보정치</t>
    <phoneticPr fontId="3" type="noConversion"/>
  </si>
  <si>
    <t>공격주기 보정치</t>
    <phoneticPr fontId="3" type="noConversion"/>
  </si>
  <si>
    <t>사거리 보정치</t>
    <phoneticPr fontId="3" type="noConversion"/>
  </si>
  <si>
    <t>이동속도 보정치</t>
    <phoneticPr fontId="3" type="noConversion"/>
  </si>
  <si>
    <t>스테이지 구분</t>
    <phoneticPr fontId="3" type="noConversion"/>
  </si>
  <si>
    <t>등장지역</t>
    <phoneticPr fontId="3" type="noConversion"/>
  </si>
  <si>
    <t>Hack_and_slash</t>
    <phoneticPr fontId="3" type="noConversion"/>
  </si>
  <si>
    <t>string</t>
    <phoneticPr fontId="3" type="noConversion"/>
  </si>
  <si>
    <r>
      <t>변이체</t>
    </r>
    <r>
      <rPr>
        <sz val="10"/>
        <color rgb="FF000000"/>
        <rFont val="맑은 고딕"/>
        <family val="3"/>
        <charset val="129"/>
      </rPr>
      <t xml:space="preserve"> 방어형식</t>
    </r>
    <phoneticPr fontId="3" type="noConversion"/>
  </si>
  <si>
    <t>변이체 히트박스 사이즈</t>
    <phoneticPr fontId="3" type="noConversion"/>
  </si>
  <si>
    <t>변이체 모델ID</t>
    <phoneticPr fontId="3" type="noConversion"/>
  </si>
  <si>
    <t>변이체 사거리타입</t>
    <phoneticPr fontId="3" type="noConversion"/>
  </si>
  <si>
    <t>변이체 지형타입</t>
    <phoneticPr fontId="3" type="noConversion"/>
  </si>
  <si>
    <t>변이체 체력</t>
    <phoneticPr fontId="3" type="noConversion"/>
  </si>
  <si>
    <t>변이체 방어력</t>
    <phoneticPr fontId="3" type="noConversion"/>
  </si>
  <si>
    <t>변이체 공격력</t>
    <phoneticPr fontId="3" type="noConversion"/>
  </si>
  <si>
    <t>변이체 공격주기</t>
    <phoneticPr fontId="3" type="noConversion"/>
  </si>
  <si>
    <t>변이체 이동속도</t>
    <phoneticPr fontId="3" type="noConversion"/>
  </si>
  <si>
    <t>변이체 사거리</t>
    <phoneticPr fontId="3" type="noConversion"/>
  </si>
  <si>
    <t>S</t>
    <phoneticPr fontId="3" type="noConversion"/>
  </si>
  <si>
    <t>M</t>
    <phoneticPr fontId="3" type="noConversion"/>
  </si>
  <si>
    <t>Monster_model_00001.fbx</t>
    <phoneticPr fontId="3" type="noConversion"/>
  </si>
  <si>
    <t>F01</t>
    <phoneticPr fontId="3" type="noConversion"/>
  </si>
  <si>
    <t>몬스터 성향</t>
    <phoneticPr fontId="3" type="noConversion"/>
  </si>
  <si>
    <t>A</t>
    <phoneticPr fontId="3" type="noConversion"/>
  </si>
  <si>
    <t>ml</t>
    <phoneticPr fontId="3" type="noConversion"/>
  </si>
  <si>
    <t>ra</t>
    <phoneticPr fontId="3" type="noConversion"/>
  </si>
  <si>
    <t>L</t>
    <phoneticPr fontId="3" type="noConversion"/>
  </si>
  <si>
    <t>F</t>
    <phoneticPr fontId="3" type="noConversion"/>
  </si>
  <si>
    <t>레벨</t>
    <phoneticPr fontId="3" type="noConversion"/>
  </si>
  <si>
    <t>발사체 속도</t>
    <phoneticPr fontId="3" type="noConversion"/>
  </si>
  <si>
    <t>사용 스킬</t>
    <phoneticPr fontId="3" type="noConversion"/>
  </si>
  <si>
    <t>B</t>
    <phoneticPr fontId="3" type="noConversion"/>
  </si>
  <si>
    <t>C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</si>
  <si>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</si>
  <si>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</si>
  <si>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</si>
  <si>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</si>
  <si>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ml</t>
    <phoneticPr fontId="3" type="noConversion"/>
  </si>
  <si>
    <t>ra</t>
    <phoneticPr fontId="3" type="noConversion"/>
  </si>
  <si>
    <t>L</t>
    <phoneticPr fontId="3" type="noConversion"/>
  </si>
  <si>
    <t>F</t>
    <phoneticPr fontId="3" type="noConversion"/>
  </si>
  <si>
    <t>F01</t>
    <phoneticPr fontId="3" type="noConversion"/>
  </si>
  <si>
    <t>F02</t>
    <phoneticPr fontId="3" type="noConversion"/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</si>
  <si>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</si>
  <si>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</si>
  <si>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</si>
  <si>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</si>
  <si>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</si>
  <si>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</si>
  <si>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</si>
  <si>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</si>
  <si>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</si>
  <si>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</si>
  <si>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레벨구분(해당 값 이하)</t>
    <phoneticPr fontId="3" type="noConversion"/>
  </si>
  <si>
    <t>Vector3</t>
  </si>
  <si>
    <t>levelId</t>
  </si>
  <si>
    <t>levelInnerId</t>
  </si>
  <si>
    <t>levelSpawnSpawnpoint</t>
  </si>
  <si>
    <t>levelSpawnPos</t>
  </si>
  <si>
    <t>levelSpawnMonsterId</t>
  </si>
  <si>
    <t>levelSpawnCooltime</t>
    <phoneticPr fontId="3" type="noConversion"/>
  </si>
  <si>
    <t>battleAreaId</t>
  </si>
  <si>
    <t>battleLevelId</t>
  </si>
  <si>
    <t>battleAreaType</t>
  </si>
  <si>
    <t>battleAreaGoldReword</t>
    <phoneticPr fontId="3" type="noConversion"/>
  </si>
  <si>
    <t>battleAreaExpReword</t>
    <phoneticPr fontId="3" type="noConversion"/>
  </si>
  <si>
    <t>{"type":"always","id":""}</t>
  </si>
  <si>
    <t>보상 배율</t>
    <phoneticPr fontId="3" type="noConversion"/>
  </si>
  <si>
    <t>monsterLv</t>
    <phoneticPr fontId="3" type="noConversion"/>
  </si>
  <si>
    <t>int</t>
    <phoneticPr fontId="3" type="noConversion"/>
  </si>
  <si>
    <t>보정치</t>
    <phoneticPr fontId="3" type="noConversion"/>
  </si>
  <si>
    <t>null</t>
    <phoneticPr fontId="3" type="noConversion"/>
  </si>
  <si>
    <t>skill_Enpc_B_001</t>
    <phoneticPr fontId="3" type="noConversion"/>
  </si>
  <si>
    <t>skill_Enpc_B_002, skill_Enpc_B_003</t>
    <phoneticPr fontId="3" type="noConversion"/>
  </si>
  <si>
    <t>enpc_Ai_Basic_001</t>
    <phoneticPr fontId="3" type="noConversion"/>
  </si>
  <si>
    <t>enpc_Ai_Golem_001</t>
    <phoneticPr fontId="3" type="noConversion"/>
  </si>
  <si>
    <t>enpc_Ai_Banshee_001</t>
    <phoneticPr fontId="3" type="noConversion"/>
  </si>
  <si>
    <t>skill_Enpc_C_001, skill_Enpc_C_002, skill_Enpc_C_003</t>
    <phoneticPr fontId="3" type="noConversion"/>
  </si>
  <si>
    <t>enpc_Ai_Titan_001</t>
    <phoneticPr fontId="3" type="noConversion"/>
  </si>
  <si>
    <t>float</t>
    <phoneticPr fontId="3" type="noConversion"/>
  </si>
  <si>
    <t>shootSpeed</t>
    <phoneticPr fontId="3" type="noConversion"/>
  </si>
  <si>
    <t>monsterUseSkill</t>
    <phoneticPr fontId="3" type="noConversion"/>
  </si>
  <si>
    <t>monsterAi</t>
    <phoneticPr fontId="3" type="noConversion"/>
  </si>
  <si>
    <t>경험치</t>
    <phoneticPr fontId="3" type="noConversion"/>
  </si>
  <si>
    <t>골드</t>
    <phoneticPr fontId="3" type="noConversion"/>
  </si>
  <si>
    <t>levelAverage</t>
    <phoneticPr fontId="3" type="noConversion"/>
  </si>
  <si>
    <t>battle_Area_F01_00001</t>
    <phoneticPr fontId="3" type="noConversion"/>
  </si>
  <si>
    <t>level_Data_F01_00001</t>
    <phoneticPr fontId="3" type="noConversion"/>
  </si>
  <si>
    <t>battle_Area_F01_00002</t>
  </si>
  <si>
    <t>level_Data_F01_00002</t>
  </si>
  <si>
    <t>battle_Area_F01_00003</t>
  </si>
  <si>
    <t>level_Data_F01_00003</t>
  </si>
  <si>
    <t>battle_Area_F01_00004</t>
  </si>
  <si>
    <t>level_Data_F01_00004</t>
  </si>
  <si>
    <t>battle_Area_F01_00005</t>
  </si>
  <si>
    <t>level_Data_F01_00005</t>
  </si>
  <si>
    <t>battle_Area_F01_00006</t>
  </si>
  <si>
    <t>level_Data_F01_00006</t>
  </si>
  <si>
    <t>battle_Area_F01_00007</t>
  </si>
  <si>
    <t>level_Data_F01_00007</t>
  </si>
  <si>
    <t>battle_Area_F01_00008</t>
  </si>
  <si>
    <t>level_Data_F01_00008</t>
  </si>
  <si>
    <t>battle_Area_F01_00009</t>
  </si>
  <si>
    <t>level_Data_F01_00009</t>
  </si>
  <si>
    <t>battle_Area_F01_00010</t>
  </si>
  <si>
    <t>level_Data_F01_00010</t>
  </si>
  <si>
    <t>battle_Area_F01_00011</t>
  </si>
  <si>
    <t>level_Data_F01_00011</t>
  </si>
  <si>
    <t>battle_Area_F01_00012</t>
  </si>
  <si>
    <t>level_Data_F01_00012</t>
  </si>
  <si>
    <t>battle_Area_F01_00013</t>
  </si>
  <si>
    <t>level_Data_F01_00013</t>
  </si>
  <si>
    <t>battle_Area_F01_00014</t>
  </si>
  <si>
    <t>level_Data_F01_00014</t>
  </si>
  <si>
    <t>battle_Area_F01_00015</t>
  </si>
  <si>
    <t>level_Data_F01_00015</t>
  </si>
  <si>
    <t>battle_Area_F01_00016</t>
  </si>
  <si>
    <t>level_Data_F01_00016</t>
  </si>
  <si>
    <t>battle_Area_F01_00017</t>
  </si>
  <si>
    <t>level_Data_F01_00017</t>
  </si>
  <si>
    <t>battle_Area_F01_00018</t>
  </si>
  <si>
    <t>level_Data_F01_00018</t>
  </si>
  <si>
    <t>battle_Area_F01_00019</t>
  </si>
  <si>
    <t>level_Data_F01_00019</t>
  </si>
  <si>
    <t>battle_Area_F01_00020</t>
  </si>
  <si>
    <t>level_Data_F01_00020</t>
  </si>
  <si>
    <t>monsterUseArea</t>
    <phoneticPr fontId="3" type="noConversion"/>
  </si>
  <si>
    <t>색인용 표시</t>
    <phoneticPr fontId="3" type="noConversion"/>
  </si>
  <si>
    <t>Monster_model_00002.fbx</t>
  </si>
  <si>
    <t>Monster_model_00003.fbx</t>
  </si>
  <si>
    <t>Monster_model_00004.fbx</t>
  </si>
  <si>
    <t>Monster_model_00005.fbx</t>
  </si>
  <si>
    <t>Monster_model_00006.fbx</t>
  </si>
  <si>
    <t>Monster_model_00008.fbx</t>
  </si>
  <si>
    <t>monsterTendency</t>
    <phoneticPr fontId="3" type="noConversion"/>
  </si>
  <si>
    <t>전투구역 평균레벨</t>
    <phoneticPr fontId="3" type="noConversion"/>
  </si>
  <si>
    <t>level_Data_F01_00001</t>
  </si>
  <si>
    <t>spawner</t>
  </si>
  <si>
    <t>{"X":0.0,"Y":0.0,"Z":0.0}</t>
  </si>
  <si>
    <t>enpc_F01_A_Lava_001</t>
  </si>
  <si>
    <t>enpc_F01_A_Cocoon_001</t>
  </si>
  <si>
    <t>enpc_F01_A_Antlion_001</t>
  </si>
  <si>
    <t>enpc_F01_A_Nymphe_001</t>
  </si>
  <si>
    <t>level_Data_F01_00002</t>
    <phoneticPr fontId="3" type="noConversion"/>
  </si>
  <si>
    <t>level_Data_F01_00003</t>
    <phoneticPr fontId="3" type="noConversion"/>
  </si>
  <si>
    <t>level_Data_F01_00004</t>
    <phoneticPr fontId="3" type="noConversion"/>
  </si>
  <si>
    <t>level_Data_F01_00005</t>
    <phoneticPr fontId="3" type="noConversion"/>
  </si>
  <si>
    <t>level_Data_F01_00006</t>
    <phoneticPr fontId="3" type="noConversion"/>
  </si>
  <si>
    <t>level_Data_F01_00007</t>
    <phoneticPr fontId="3" type="noConversion"/>
  </si>
  <si>
    <t>level_Data_F01_00008</t>
    <phoneticPr fontId="3" type="noConversion"/>
  </si>
  <si>
    <t>level_Data_F01_00009</t>
    <phoneticPr fontId="3" type="noConversion"/>
  </si>
  <si>
    <t>level_Data_F01_00010</t>
    <phoneticPr fontId="3" type="noConversion"/>
  </si>
  <si>
    <t>level_Data_F01_00011</t>
    <phoneticPr fontId="3" type="noConversion"/>
  </si>
  <si>
    <t>level_Data_F01_00012</t>
    <phoneticPr fontId="3" type="noConversion"/>
  </si>
  <si>
    <t>level_Data_F01_00013</t>
    <phoneticPr fontId="3" type="noConversion"/>
  </si>
  <si>
    <t>level_Data_F01_00014</t>
    <phoneticPr fontId="3" type="noConversion"/>
  </si>
  <si>
    <t>level_Data_F01_00015</t>
    <phoneticPr fontId="3" type="noConversion"/>
  </si>
  <si>
    <t>level_Data_F01_00016</t>
    <phoneticPr fontId="3" type="noConversion"/>
  </si>
  <si>
    <t>level_Data_F01_00017</t>
    <phoneticPr fontId="3" type="noConversion"/>
  </si>
  <si>
    <t>level_Data_F01_00018</t>
    <phoneticPr fontId="3" type="noConversion"/>
  </si>
  <si>
    <t>level_Data_F01_00019</t>
    <phoneticPr fontId="3" type="noConversion"/>
  </si>
  <si>
    <t>level_Data_F01_00020</t>
    <phoneticPr fontId="3" type="noConversion"/>
  </si>
  <si>
    <t>spawnStandard</t>
    <phoneticPr fontId="3" type="noConversion"/>
  </si>
  <si>
    <t>BattleArea</t>
  </si>
  <si>
    <t>데이터 형식</t>
  </si>
  <si>
    <t>전투구역 ID</t>
  </si>
  <si>
    <t>"Battle_area_merbin_00001"</t>
  </si>
  <si>
    <t>전투구역 ID 저장</t>
  </si>
  <si>
    <t>사용할 레벨디자인 데이터 ID</t>
  </si>
  <si>
    <t>"Level_data_merbin_00001"</t>
  </si>
  <si>
    <t>레벨디자인 데이터 ID 저장</t>
  </si>
  <si>
    <t>전투구역 형식</t>
  </si>
  <si>
    <t>json</t>
  </si>
  <si>
    <t>{"type" : "always", "id" : ""}</t>
  </si>
  <si>
    <t>battleAreaReword</t>
  </si>
  <si>
    <t>전투구역 보상</t>
  </si>
  <si>
    <t>{"experience":00, "mile":00}</t>
  </si>
  <si>
    <t>{경험치:제공수치, 마일(돈):제공수치}</t>
  </si>
  <si>
    <t>LeveldesignData</t>
  </si>
  <si>
    <t>형식 설명(예시)</t>
  </si>
  <si>
    <t>소환 순서 표기</t>
  </si>
  <si>
    <t>"world"</t>
  </si>
  <si>
    <t>"world", "spawner" 2가지 값중 1개가 들어간다.</t>
  </si>
  <si>
    <t>{"X":0.0, "Y":0.0, "Z":0.0f}</t>
  </si>
  <si>
    <t>생성할 위치의 좌표값을 적는다.</t>
  </si>
  <si>
    <t>"Monster_alpha_00001"</t>
  </si>
  <si>
    <t>levelSpawnCooltime</t>
  </si>
  <si>
    <t>몬스터 소환 후 다음 몬스터 소환까지의 대기시간 최소값은 0.1f</t>
  </si>
  <si>
    <t>"ml"</t>
    <phoneticPr fontId="3" type="noConversion"/>
  </si>
  <si>
    <t>"L"</t>
    <phoneticPr fontId="3" type="noConversion"/>
  </si>
  <si>
    <t>"S"</t>
    <phoneticPr fontId="3" type="noConversion"/>
  </si>
  <si>
    <t>"Small"</t>
    <phoneticPr fontId="3" type="noConversion"/>
  </si>
  <si>
    <t>"Monster_model_00001.fbx"</t>
    <phoneticPr fontId="3" type="noConversion"/>
  </si>
  <si>
    <t>"enpc_F01_A_Lava_001"</t>
    <phoneticPr fontId="3" type="noConversion"/>
  </si>
  <si>
    <t>"A"</t>
    <phoneticPr fontId="3" type="noConversion"/>
  </si>
  <si>
    <t>"Enpc"</t>
    <phoneticPr fontId="3" type="noConversion"/>
  </si>
  <si>
    <t>전투구역에 등장하는 몬스터의 평균 레벨수치이다.</t>
    <phoneticPr fontId="3" type="noConversion"/>
  </si>
  <si>
    <t>등급별 기본 능력치</t>
    <phoneticPr fontId="3" type="noConversion"/>
  </si>
  <si>
    <t>사거리별 보정치</t>
    <phoneticPr fontId="3" type="noConversion"/>
  </si>
  <si>
    <t>몬스터 성향 요소 보정치</t>
    <phoneticPr fontId="3" type="noConversion"/>
  </si>
  <si>
    <t>등장지역 보정치</t>
    <phoneticPr fontId="3" type="noConversion"/>
  </si>
  <si>
    <r>
      <t>레벨 보정</t>
    </r>
    <r>
      <rPr>
        <sz val="10"/>
        <color rgb="FF000000"/>
        <rFont val="맑은 고딕"/>
        <family val="2"/>
        <charset val="129"/>
      </rPr>
      <t>치</t>
    </r>
    <phoneticPr fontId="3" type="noConversion"/>
  </si>
  <si>
    <t>이전 레벨 배율</t>
    <phoneticPr fontId="3" type="noConversion"/>
  </si>
  <si>
    <t>발사체속도 보정치</t>
    <phoneticPr fontId="3" type="noConversion"/>
  </si>
  <si>
    <r>
      <t xml:space="preserve">● </t>
    </r>
    <r>
      <rPr>
        <sz val="10"/>
        <color rgb="FF000000"/>
        <rFont val="&quot;맑은 고딕&quot;"/>
        <family val="2"/>
        <charset val="129"/>
      </rPr>
      <t>해당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페이지는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실제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사용할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데이터에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대한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내용이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적힌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테이블이다</t>
    </r>
    <r>
      <rPr>
        <sz val="10"/>
        <color rgb="FF000000"/>
        <rFont val="Segoe UI Symbol"/>
        <family val="2"/>
      </rPr>
      <t>.
● 3</t>
    </r>
    <r>
      <rPr>
        <sz val="10"/>
        <color rgb="FF000000"/>
        <rFont val="&quot;맑은 고딕&quot;"/>
        <family val="2"/>
        <charset val="129"/>
      </rPr>
      <t>열은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데이터의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자료형이며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자료형이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한글로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되어있는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경우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인게임에서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사용하지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않는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데이터지만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테이블에서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수치조정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또는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색인을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위해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넣은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데이터이다</t>
    </r>
    <r>
      <rPr>
        <sz val="10"/>
        <color rgb="FF000000"/>
        <rFont val="Segoe UI Symbol"/>
        <family val="2"/>
      </rPr>
      <t xml:space="preserve">.
● </t>
    </r>
    <r>
      <rPr>
        <sz val="10"/>
        <color rgb="FF000000"/>
        <rFont val="&quot;맑은 고딕&quot;"/>
        <family val="2"/>
        <charset val="129"/>
      </rPr>
      <t>보정치의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수치를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조정해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각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 xml:space="preserve">몬스터 </t>
    </r>
    <r>
      <rPr>
        <sz val="10"/>
        <color rgb="FF000000"/>
        <rFont val="&quot;맑은 고딕&quot;"/>
        <family val="2"/>
        <charset val="129"/>
      </rPr>
      <t>별로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상세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능력치를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조정할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&quot;맑은 고딕&quot;"/>
        <family val="2"/>
        <charset val="129"/>
      </rPr>
      <t>있다</t>
    </r>
    <r>
      <rPr>
        <sz val="10"/>
        <color rgb="FF000000"/>
        <rFont val="Segoe UI Symbol"/>
        <family val="2"/>
      </rPr>
      <t xml:space="preserve">.
● </t>
    </r>
    <r>
      <rPr>
        <sz val="10"/>
        <color rgb="FF000000"/>
        <rFont val="맑은 고딕"/>
        <family val="2"/>
        <charset val="129"/>
      </rPr>
      <t>보정값의 경우 수치 조정의도가 없는 경우 1을 유지한다.</t>
    </r>
    <r>
      <rPr>
        <sz val="10"/>
        <color rgb="FF000000"/>
        <rFont val="Segoe UI Symbol"/>
        <family val="2"/>
      </rPr>
      <t xml:space="preserve">
● </t>
    </r>
    <r>
      <rPr>
        <sz val="10"/>
        <color rgb="FF000000"/>
        <rFont val="맑은 고딕"/>
        <family val="2"/>
        <charset val="129"/>
      </rPr>
      <t xml:space="preserve">플레이어에게만 적대적일경우 </t>
    </r>
    <r>
      <rPr>
        <sz val="10"/>
        <color rgb="FF000000"/>
        <rFont val="Segoe UI Symbol"/>
        <family val="2"/>
      </rPr>
      <t>Enpc</t>
    </r>
    <r>
      <rPr>
        <sz val="10"/>
        <color rgb="FF000000"/>
        <rFont val="맑은 고딕"/>
        <family val="2"/>
        <charset val="129"/>
      </rPr>
      <t xml:space="preserve">로 표시하며 반대로 몬스터에게 적대적일경우 </t>
    </r>
    <r>
      <rPr>
        <sz val="10"/>
        <color rgb="FF000000"/>
        <rFont val="Segoe UI Symbol"/>
        <family val="2"/>
      </rPr>
      <t>Fnpc</t>
    </r>
    <r>
      <rPr>
        <sz val="10"/>
        <color rgb="FF000000"/>
        <rFont val="맑은 고딕"/>
        <family val="2"/>
        <charset val="129"/>
      </rPr>
      <t>로 설정한다.</t>
    </r>
    <r>
      <rPr>
        <sz val="10"/>
        <color rgb="FF000000"/>
        <rFont val="Segoe UI Symbol"/>
        <family val="2"/>
      </rPr>
      <t xml:space="preserve">
●</t>
    </r>
    <r>
      <rPr>
        <sz val="10"/>
        <color rgb="FF000000"/>
        <rFont val="맑은 고딕"/>
        <family val="2"/>
        <charset val="129"/>
      </rPr>
      <t xml:space="preserve"> 변이체 방어형식은 S, M, B가 있으며 각각 소형, 중형, 대형이다.</t>
    </r>
    <r>
      <rPr>
        <sz val="10"/>
        <color rgb="FF000000"/>
        <rFont val="Segoe UI Symbol"/>
        <family val="2"/>
      </rPr>
      <t xml:space="preserve">
● ID</t>
    </r>
    <r>
      <rPr>
        <sz val="10"/>
        <color rgb="FF000000"/>
        <rFont val="맑은 고딕"/>
        <family val="2"/>
        <charset val="129"/>
      </rPr>
      <t>는 변이체구분</t>
    </r>
    <r>
      <rPr>
        <sz val="10"/>
        <color rgb="FF000000"/>
        <rFont val="Segoe UI Symbol"/>
        <family val="2"/>
      </rPr>
      <t>_</t>
    </r>
    <r>
      <rPr>
        <sz val="10"/>
        <color rgb="FF000000"/>
        <rFont val="맑은 고딕"/>
        <family val="2"/>
        <charset val="129"/>
      </rPr>
      <t>등장지역</t>
    </r>
    <r>
      <rPr>
        <sz val="10"/>
        <color rgb="FF000000"/>
        <rFont val="Segoe UI Symbol"/>
        <family val="2"/>
      </rPr>
      <t>_</t>
    </r>
    <r>
      <rPr>
        <sz val="10"/>
        <color rgb="FF000000"/>
        <rFont val="맑은 고딕"/>
        <family val="2"/>
        <charset val="129"/>
      </rPr>
      <t>변이체등급</t>
    </r>
    <r>
      <rPr>
        <sz val="10"/>
        <color rgb="FF000000"/>
        <rFont val="Segoe UI Symbol"/>
        <family val="2"/>
      </rPr>
      <t>_</t>
    </r>
    <r>
      <rPr>
        <sz val="10"/>
        <color rgb="FF000000"/>
        <rFont val="맑은 고딕"/>
        <family val="2"/>
        <charset val="129"/>
      </rPr>
      <t>변이체영문명</t>
    </r>
    <r>
      <rPr>
        <sz val="10"/>
        <color rgb="FF000000"/>
        <rFont val="Segoe UI Symbol"/>
        <family val="2"/>
      </rPr>
      <t>_</t>
    </r>
    <r>
      <rPr>
        <sz val="10"/>
        <color rgb="FF000000"/>
        <rFont val="맑은 고딕"/>
        <family val="2"/>
        <charset val="129"/>
      </rPr>
      <t xml:space="preserve">숫자 형태로 구성된다.
</t>
    </r>
    <r>
      <rPr>
        <sz val="10"/>
        <color rgb="FF000000"/>
        <rFont val="Segoe UI Symbol"/>
        <family val="2"/>
      </rPr>
      <t>●</t>
    </r>
    <r>
      <rPr>
        <sz val="10"/>
        <color rgb="FF000000"/>
        <rFont val="맑은 고딕"/>
        <family val="2"/>
        <charset val="129"/>
      </rPr>
      <t>enpc는 적, einc는 부위가 존재하는 적 부위, ecre는 적이 생성하는 방해형 오브젝트를 뜻한다.</t>
    </r>
    <phoneticPr fontId="3" type="noConversion"/>
  </si>
  <si>
    <t>enpc_F01_B_Golem_001</t>
    <phoneticPr fontId="3" type="noConversion"/>
  </si>
  <si>
    <t>enpc_F01_B_Banshee_001</t>
    <phoneticPr fontId="3" type="noConversion"/>
  </si>
  <si>
    <t>코쿤</t>
  </si>
  <si>
    <r>
      <t xml:space="preserve">● </t>
    </r>
    <r>
      <rPr>
        <sz val="10"/>
        <color rgb="FF000000"/>
        <rFont val="맑은 고딕"/>
        <family val="2"/>
        <charset val="129"/>
      </rPr>
      <t>해당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페이지에서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모든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또는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특정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종류의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몬스터의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능력치를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조절할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수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있다</t>
    </r>
    <r>
      <rPr>
        <sz val="10"/>
        <color rgb="FF000000"/>
        <rFont val="Segoe UI Symbol"/>
        <family val="2"/>
      </rPr>
      <t xml:space="preserve">.
● </t>
    </r>
    <r>
      <rPr>
        <sz val="10"/>
        <color rgb="FF000000"/>
        <rFont val="맑은 고딕"/>
        <family val="2"/>
        <charset val="129"/>
      </rPr>
      <t>전투구역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클리어시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제공하는</t>
    </r>
    <r>
      <rPr>
        <sz val="10"/>
        <color rgb="FF000000"/>
        <rFont val="Segoe UI Symbol"/>
        <family val="2"/>
      </rPr>
      <t xml:space="preserve"> </t>
    </r>
    <r>
      <rPr>
        <sz val="10"/>
        <color rgb="FF000000"/>
        <rFont val="맑은 고딕"/>
        <family val="2"/>
        <charset val="129"/>
      </rPr>
      <t xml:space="preserve">보상의 배율도 조절할 수 있다.
</t>
    </r>
    <r>
      <rPr>
        <sz val="10"/>
        <color rgb="FF000000"/>
        <rFont val="Segoe UI Symbol"/>
        <family val="2"/>
      </rPr>
      <t>●</t>
    </r>
    <r>
      <rPr>
        <sz val="10"/>
        <color rgb="FF000000"/>
        <rFont val="맑은 고딕"/>
        <family val="2"/>
        <charset val="129"/>
      </rPr>
      <t xml:space="preserve"> 기본능력치가 몬스터 능력치의 기준이 되며 보정치는 특정 조건을 만족한 몬스터의 스탯을 배율로 증가시킨다.
</t>
    </r>
    <r>
      <rPr>
        <sz val="10"/>
        <color rgb="FF000000"/>
        <rFont val="Segoe UI Symbol"/>
        <family val="2"/>
      </rPr>
      <t>●</t>
    </r>
    <r>
      <rPr>
        <sz val="10"/>
        <color rgb="FF000000"/>
        <rFont val="맑은 고딕"/>
        <family val="2"/>
        <charset val="129"/>
      </rPr>
      <t xml:space="preserve"> 레벨 보정치는 표기된 레벨 이하일 때를 기준으로 1 레벨당 표시 값*레벨만큼 배율을 적용한다.
</t>
    </r>
    <r>
      <rPr>
        <sz val="10"/>
        <color rgb="FF000000"/>
        <rFont val="Segoe UI Symbol"/>
        <family val="2"/>
      </rPr>
      <t>●</t>
    </r>
    <r>
      <rPr>
        <sz val="10"/>
        <color rgb="FF000000"/>
        <rFont val="맑은 고딕"/>
        <family val="2"/>
        <charset val="129"/>
      </rPr>
      <t xml:space="preserve"> 공격주기 값이 짧을수록 빠르게 공격한다.
</t>
    </r>
    <phoneticPr fontId="3" type="noConversion"/>
  </si>
  <si>
    <t>enpc</t>
    <phoneticPr fontId="3" type="noConversion"/>
  </si>
  <si>
    <t>einc</t>
    <phoneticPr fontId="3" type="noConversion"/>
  </si>
  <si>
    <t>ecre</t>
    <phoneticPr fontId="3" type="noConversion"/>
  </si>
  <si>
    <t>enpc_F01_B_Golem_001</t>
  </si>
  <si>
    <t>enpc_F01_B_Banshee_001</t>
  </si>
  <si>
    <r>
      <t xml:space="preserve">ID </t>
    </r>
    <r>
      <rPr>
        <sz val="10"/>
        <color rgb="FF000000"/>
        <rFont val="맑은 고딕"/>
        <family val="3"/>
        <charset val="129"/>
      </rPr>
      <t>생성 팩터</t>
    </r>
    <phoneticPr fontId="3" type="noConversion"/>
  </si>
  <si>
    <t>변이체 구성요소 표준</t>
    <phoneticPr fontId="3" type="noConversion"/>
  </si>
  <si>
    <t>변이체 이름(구별용)</t>
    <phoneticPr fontId="3" type="noConversion"/>
  </si>
  <si>
    <t>변이체 이름(특수 명칭 추가용)</t>
    <phoneticPr fontId="3" type="noConversion"/>
  </si>
  <si>
    <t>변이체 이름(실제 사용)</t>
    <phoneticPr fontId="3" type="noConversion"/>
  </si>
  <si>
    <t>라바</t>
    <phoneticPr fontId="3" type="noConversion"/>
  </si>
  <si>
    <t>앤틸리온</t>
    <phoneticPr fontId="3" type="noConversion"/>
  </si>
  <si>
    <t>님프</t>
    <phoneticPr fontId="3" type="noConversion"/>
  </si>
  <si>
    <t>골렘</t>
    <phoneticPr fontId="3" type="noConversion"/>
  </si>
  <si>
    <t>밴시</t>
    <phoneticPr fontId="3" type="noConversion"/>
  </si>
  <si>
    <t>타이탄</t>
    <phoneticPr fontId="3" type="noConversion"/>
  </si>
  <si>
    <t>타이탄의 코어</t>
    <phoneticPr fontId="3" type="noConversion"/>
  </si>
  <si>
    <t>바위</t>
    <phoneticPr fontId="3" type="noConversion"/>
  </si>
  <si>
    <t>몬스터별 보정치</t>
    <phoneticPr fontId="3" type="noConversion"/>
  </si>
  <si>
    <r>
      <t xml:space="preserve">ID </t>
    </r>
    <r>
      <rPr>
        <sz val="10"/>
        <color rgb="FF000000"/>
        <rFont val="맑은 고딕"/>
        <family val="2"/>
        <charset val="129"/>
      </rPr>
      <t>중간 명칭</t>
    </r>
    <phoneticPr fontId="3" type="noConversion"/>
  </si>
  <si>
    <r>
      <rPr>
        <sz val="10"/>
        <color rgb="FF000000"/>
        <rFont val="맑은 고딕"/>
        <family val="3"/>
        <charset val="129"/>
      </rPr>
      <t>변이체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방어형식</t>
    </r>
    <phoneticPr fontId="3" type="noConversion"/>
  </si>
  <si>
    <t>색인용 표시(없으면 빈칸)</t>
    <phoneticPr fontId="3" type="noConversion"/>
  </si>
  <si>
    <t>_A_Lava_</t>
    <phoneticPr fontId="3" type="noConversion"/>
  </si>
  <si>
    <t>Monster_model_00007.fbx</t>
  </si>
  <si>
    <t>Monster_model_00009.fbx</t>
  </si>
  <si>
    <t>_A_Cocoon_</t>
  </si>
  <si>
    <t>_A_Antlion_</t>
  </si>
  <si>
    <t>_B_Golem_</t>
  </si>
  <si>
    <t>_B_Banshee_</t>
  </si>
  <si>
    <t>_C_Titan_</t>
  </si>
  <si>
    <t>_A_Nymphe_</t>
  </si>
  <si>
    <t>_C_Titancore_</t>
  </si>
  <si>
    <t>_A_Rock_</t>
  </si>
  <si>
    <t>변이체 AI</t>
    <phoneticPr fontId="3" type="noConversion"/>
  </si>
  <si>
    <t>변이체 사용 스킬</t>
    <phoneticPr fontId="3" type="noConversion"/>
  </si>
  <si>
    <t>"F01"</t>
    <phoneticPr fontId="3" type="noConversion"/>
  </si>
  <si>
    <r>
      <rPr>
        <sz val="11"/>
        <color rgb="FF000000"/>
        <rFont val="Arial"/>
        <family val="3"/>
        <charset val="129"/>
        <scheme val="minor"/>
      </rPr>
      <t>몬스터</t>
    </r>
    <r>
      <rPr>
        <sz val="11"/>
        <color rgb="FF000000"/>
        <rFont val="Arial"/>
        <family val="2"/>
        <scheme val="minor"/>
      </rPr>
      <t>ID</t>
    </r>
  </si>
  <si>
    <r>
      <rPr>
        <sz val="11"/>
        <color rgb="FF000000"/>
        <rFont val="Arial"/>
        <family val="3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이름</t>
    </r>
    <phoneticPr fontId="3" type="noConversion"/>
  </si>
  <si>
    <r>
      <t>"</t>
    </r>
    <r>
      <rPr>
        <sz val="10"/>
        <color rgb="FF000000"/>
        <rFont val="Arial"/>
        <family val="2"/>
        <charset val="129"/>
        <scheme val="minor"/>
      </rPr>
      <t>라바</t>
    </r>
    <r>
      <rPr>
        <sz val="10"/>
        <color rgb="FF000000"/>
        <rFont val="Arial"/>
        <family val="2"/>
        <scheme val="minor"/>
      </rPr>
      <t>"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</si>
  <si>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등급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</si>
  <si>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팩션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</si>
  <si>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몬스터의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팩션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r>
      <rPr>
        <sz val="10"/>
        <color theme="1"/>
        <rFont val="Arial"/>
        <family val="2"/>
        <scheme val="minor"/>
      </rPr>
      <t xml:space="preserve">  "Fnpc", "Enpc" 2</t>
    </r>
    <r>
      <rPr>
        <sz val="10"/>
        <color theme="1"/>
        <rFont val="Arial"/>
        <family val="3"/>
        <charset val="129"/>
        <scheme val="minor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하나가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들어갈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있다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</si>
  <si>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위력</t>
    </r>
  </si>
  <si>
    <r>
      <rPr>
        <sz val="11"/>
        <color rgb="FF000000"/>
        <rFont val="Arial"/>
        <family val="3"/>
        <charset val="129"/>
        <scheme val="minor"/>
      </rPr>
      <t>체력</t>
    </r>
  </si>
  <si>
    <r>
      <rPr>
        <sz val="11"/>
        <color rgb="FF000000"/>
        <rFont val="Arial"/>
        <family val="3"/>
        <charset val="129"/>
        <scheme val="minor"/>
      </rPr>
      <t>방어력</t>
    </r>
  </si>
  <si>
    <r>
      <rPr>
        <sz val="11"/>
        <color rgb="FF000000"/>
        <rFont val="Arial"/>
        <family val="3"/>
        <charset val="129"/>
        <scheme val="minor"/>
      </rPr>
      <t>공격주기</t>
    </r>
  </si>
  <si>
    <r>
      <rPr>
        <sz val="11"/>
        <color rgb="FF000000"/>
        <rFont val="Arial"/>
        <family val="3"/>
        <charset val="129"/>
        <scheme val="minor"/>
      </rPr>
      <t>공격사거리</t>
    </r>
  </si>
  <si>
    <r>
      <rPr>
        <sz val="11"/>
        <color rgb="FF000000"/>
        <rFont val="Arial"/>
        <family val="3"/>
        <charset val="129"/>
        <scheme val="minor"/>
      </rPr>
      <t>이동속도</t>
    </r>
  </si>
  <si>
    <r>
      <rPr>
        <sz val="11"/>
        <color rgb="FF000000"/>
        <rFont val="Arial"/>
        <family val="3"/>
        <charset val="129"/>
        <scheme val="minor"/>
      </rPr>
      <t>사거리속성</t>
    </r>
  </si>
  <si>
    <r>
      <rPr>
        <sz val="11"/>
        <color rgb="FF000000"/>
        <rFont val="Arial"/>
        <family val="3"/>
        <charset val="129"/>
        <scheme val="minor"/>
      </rPr>
      <t>지형속성</t>
    </r>
  </si>
  <si>
    <r>
      <rPr>
        <sz val="10"/>
        <color theme="1"/>
        <rFont val="Arial"/>
        <family val="3"/>
        <charset val="129"/>
        <scheme val="minor"/>
      </rPr>
      <t>몬스터의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지형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속성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r>
      <rPr>
        <sz val="10"/>
        <color theme="1"/>
        <rFont val="Arial"/>
        <family val="2"/>
        <scheme val="minor"/>
      </rPr>
      <t xml:space="preserve"> "L", "F" 2</t>
    </r>
    <r>
      <rPr>
        <sz val="10"/>
        <color theme="1"/>
        <rFont val="Arial"/>
        <family val="3"/>
        <charset val="129"/>
        <scheme val="minor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하나가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들어갈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있다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</si>
  <si>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방어속성</t>
    </r>
  </si>
  <si>
    <r>
      <rPr>
        <sz val="10"/>
        <color theme="1"/>
        <rFont val="Arial"/>
        <family val="3"/>
        <charset val="129"/>
        <scheme val="minor"/>
      </rPr>
      <t>몬스터의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방어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속성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r>
      <rPr>
        <sz val="10"/>
        <color theme="1"/>
        <rFont val="Arial"/>
        <family val="2"/>
        <scheme val="minor"/>
      </rPr>
      <t>, "S", "M", "B" 3</t>
    </r>
    <r>
      <rPr>
        <sz val="10"/>
        <color theme="1"/>
        <rFont val="Arial"/>
        <family val="3"/>
        <charset val="129"/>
        <scheme val="minor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하나가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들어갈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있다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</si>
  <si>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히트박스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크기</t>
    </r>
  </si>
  <si>
    <r>
      <rPr>
        <sz val="11"/>
        <color rgb="FF000000"/>
        <rFont val="Arial"/>
        <family val="3"/>
        <charset val="129"/>
        <scheme val="minor"/>
      </rPr>
      <t>모델링</t>
    </r>
    <r>
      <rPr>
        <sz val="11"/>
        <color rgb="FF000000"/>
        <rFont val="Arial"/>
        <family val="2"/>
        <scheme val="minor"/>
      </rPr>
      <t xml:space="preserve"> ID</t>
    </r>
  </si>
  <si>
    <r>
      <rPr>
        <sz val="11"/>
        <color rgb="FF000000"/>
        <rFont val="Arial"/>
        <family val="3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등장지역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</si>
  <si>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몬스터가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나오는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지역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코드값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저장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</si>
  <si>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레벨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</si>
  <si>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몬스터의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레벨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</si>
  <si>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원거리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몬스터일경우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발사하는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발사체의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속도값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</si>
  <si>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몬스터가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사용하는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스킬의</t>
    </r>
    <r>
      <rPr>
        <sz val="10"/>
        <color theme="1"/>
        <rFont val="Arial"/>
        <family val="2"/>
        <scheme val="minor"/>
      </rPr>
      <t xml:space="preserve"> ID</t>
    </r>
    <r>
      <rPr>
        <sz val="10"/>
        <color theme="1"/>
        <rFont val="Arial"/>
        <family val="3"/>
        <charset val="129"/>
        <scheme val="minor"/>
      </rPr>
      <t>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phoneticPr fontId="3" type="noConversion"/>
  </si>
  <si>
    <r>
      <rPr>
        <sz val="11"/>
        <color rgb="FF000000"/>
        <rFont val="Arial"/>
        <family val="2"/>
        <charset val="129"/>
        <scheme val="minor"/>
      </rPr>
      <t>변이체</t>
    </r>
    <r>
      <rPr>
        <sz val="11"/>
        <color rgb="FF000000"/>
        <rFont val="Arial"/>
        <family val="2"/>
        <scheme val="minor"/>
      </rPr>
      <t xml:space="preserve"> AI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</si>
  <si>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몬스터의</t>
    </r>
    <r>
      <rPr>
        <sz val="10"/>
        <color theme="1"/>
        <rFont val="Arial"/>
        <family val="2"/>
        <scheme val="minor"/>
      </rPr>
      <t xml:space="preserve"> AI ID</t>
    </r>
    <r>
      <rPr>
        <sz val="10"/>
        <color theme="1"/>
        <rFont val="Arial"/>
        <family val="3"/>
        <charset val="129"/>
        <scheme val="minor"/>
      </rPr>
      <t>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</t>
    </r>
    <phoneticPr fontId="3" type="noConversion"/>
  </si>
  <si>
    <r>
      <t>type</t>
    </r>
    <r>
      <rPr>
        <sz val="10"/>
        <color theme="1"/>
        <rFont val="Arial"/>
        <family val="3"/>
        <charset val="129"/>
        <scheme val="minor"/>
      </rPr>
      <t>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다음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값중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들어간다</t>
    </r>
    <r>
      <rPr>
        <sz val="10"/>
        <color theme="1"/>
        <rFont val="Arial"/>
        <family val="2"/>
        <scheme val="minor"/>
      </rPr>
      <t>.
- "always"</t>
    </r>
    <r>
      <rPr>
        <sz val="10"/>
        <color theme="1"/>
        <rFont val="Arial"/>
        <family val="3"/>
        <charset val="129"/>
        <scheme val="minor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이전에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클리어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했더라도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게임에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진입시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활성화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전투구역이다</t>
    </r>
    <r>
      <rPr>
        <sz val="10"/>
        <color theme="1"/>
        <rFont val="Arial"/>
        <family val="2"/>
        <scheme val="minor"/>
      </rPr>
      <t>.
- "playing"</t>
    </r>
    <r>
      <rPr>
        <sz val="10"/>
        <color theme="1"/>
        <rFont val="Arial"/>
        <family val="3"/>
        <charset val="129"/>
        <scheme val="minor"/>
      </rPr>
      <t>은</t>
    </r>
    <r>
      <rPr>
        <sz val="10"/>
        <color theme="1"/>
        <rFont val="Arial"/>
        <family val="2"/>
        <scheme val="minor"/>
      </rPr>
      <t xml:space="preserve"> ID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해당하는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퀘스트가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진행중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상태면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활성화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전투구역이다</t>
    </r>
    <r>
      <rPr>
        <sz val="10"/>
        <color theme="1"/>
        <rFont val="Arial"/>
        <family val="2"/>
        <scheme val="minor"/>
      </rPr>
      <t>.
- "after"</t>
    </r>
    <r>
      <rPr>
        <sz val="10"/>
        <color theme="1"/>
        <rFont val="Arial"/>
        <family val="3"/>
        <charset val="129"/>
        <scheme val="minor"/>
      </rPr>
      <t>는</t>
    </r>
    <r>
      <rPr>
        <sz val="10"/>
        <color theme="1"/>
        <rFont val="Arial"/>
        <family val="2"/>
        <scheme val="minor"/>
      </rPr>
      <t xml:space="preserve"> ID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해당하는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퀘스트가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완료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상태면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활성화되는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전투구역이다</t>
    </r>
    <r>
      <rPr>
        <sz val="10"/>
        <color theme="1"/>
        <rFont val="Arial"/>
        <family val="2"/>
        <scheme val="minor"/>
      </rPr>
      <t>.
ID</t>
    </r>
    <r>
      <rPr>
        <sz val="10"/>
        <color theme="1"/>
        <rFont val="Arial"/>
        <family val="3"/>
        <charset val="129"/>
        <scheme val="minor"/>
      </rPr>
      <t>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퀘스트의</t>
    </r>
    <r>
      <rPr>
        <sz val="10"/>
        <color theme="1"/>
        <rFont val="Arial"/>
        <family val="2"/>
        <scheme val="minor"/>
      </rPr>
      <t xml:space="preserve"> ID</t>
    </r>
    <r>
      <rPr>
        <sz val="10"/>
        <color theme="1"/>
        <rFont val="Arial"/>
        <family val="3"/>
        <charset val="129"/>
        <scheme val="minor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입력한다</t>
    </r>
    <r>
      <rPr>
        <sz val="10"/>
        <color theme="1"/>
        <rFont val="Arial"/>
        <family val="2"/>
        <scheme val="minor"/>
      </rPr>
      <t>.
type</t>
    </r>
    <r>
      <rPr>
        <sz val="10"/>
        <color theme="1"/>
        <rFont val="Arial"/>
        <family val="3"/>
        <charset val="129"/>
        <scheme val="minor"/>
      </rPr>
      <t>이</t>
    </r>
    <r>
      <rPr>
        <sz val="10"/>
        <color theme="1"/>
        <rFont val="Arial"/>
        <family val="2"/>
        <scheme val="minor"/>
      </rPr>
      <t xml:space="preserve"> always</t>
    </r>
    <r>
      <rPr>
        <sz val="10"/>
        <color theme="1"/>
        <rFont val="Arial"/>
        <family val="3"/>
        <charset val="129"/>
        <scheme val="minor"/>
      </rPr>
      <t>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경우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값을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가지지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않는다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</si>
  <si>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rPr>
        <sz val="11"/>
        <color rgb="FF000000"/>
        <rFont val="Arial"/>
        <family val="3"/>
        <charset val="129"/>
        <scheme val="minor"/>
      </rPr>
      <t>레벨디자인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데이터</t>
    </r>
    <r>
      <rPr>
        <sz val="11"/>
        <color rgb="FF000000"/>
        <rFont val="Arial"/>
        <family val="2"/>
        <scheme val="minor"/>
      </rPr>
      <t xml:space="preserve"> ID</t>
    </r>
  </si>
  <si>
    <r>
      <rPr>
        <sz val="11"/>
        <color rgb="FF000000"/>
        <rFont val="Arial"/>
        <family val="3"/>
        <charset val="129"/>
        <scheme val="minor"/>
      </rPr>
      <t>내부</t>
    </r>
    <r>
      <rPr>
        <sz val="11"/>
        <color rgb="FF000000"/>
        <rFont val="Arial"/>
        <family val="2"/>
        <scheme val="minor"/>
      </rPr>
      <t xml:space="preserve"> ID(</t>
    </r>
    <r>
      <rPr>
        <sz val="11"/>
        <color rgb="FF000000"/>
        <rFont val="Arial"/>
        <family val="3"/>
        <charset val="129"/>
        <scheme val="minor"/>
      </rPr>
      <t>번호</t>
    </r>
    <r>
      <rPr>
        <sz val="11"/>
        <color rgb="FF000000"/>
        <rFont val="Arial"/>
        <family val="2"/>
        <scheme val="minor"/>
      </rPr>
      <t>)</t>
    </r>
  </si>
  <si>
    <r>
      <rPr>
        <sz val="11"/>
        <color rgb="FF000000"/>
        <rFont val="Arial"/>
        <family val="3"/>
        <charset val="129"/>
        <scheme val="minor"/>
      </rPr>
      <t>생성위치</t>
    </r>
  </si>
  <si>
    <r>
      <rPr>
        <sz val="11"/>
        <color rgb="FF000000"/>
        <rFont val="Arial"/>
        <family val="3"/>
        <charset val="129"/>
        <scheme val="minor"/>
      </rPr>
      <t>생성좌표</t>
    </r>
  </si>
  <si>
    <r>
      <rPr>
        <sz val="11"/>
        <color rgb="FF000000"/>
        <rFont val="Arial"/>
        <family val="3"/>
        <charset val="129"/>
        <scheme val="minor"/>
      </rPr>
      <t>스폰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대기시간</t>
    </r>
  </si>
  <si>
    <r>
      <t xml:space="preserve">● </t>
    </r>
    <r>
      <rPr>
        <sz val="10"/>
        <color rgb="FF000000"/>
        <rFont val="Arial"/>
        <family val="3"/>
        <charset val="129"/>
        <scheme val="minor"/>
      </rPr>
      <t>전투구역에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스폰할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레벨디자인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저장하고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맵에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존재할지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특정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퀘스트가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존재할지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저장한다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scheme val="minor"/>
      </rPr>
      <t>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클리어시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제공할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보상에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저장합니다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데이터에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오류가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없음으로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표시된다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</si>
  <si>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</si>
  <si>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레벨디자인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</si>
  <si>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속성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</si>
  <si>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골드보상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</si>
  <si>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경험치보상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</si>
  <si>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전투구역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평균레벨</t>
    </r>
    <phoneticPr fontId="3" type="noConversion"/>
  </si>
  <si>
    <r>
      <t xml:space="preserve">● </t>
    </r>
    <r>
      <rPr>
        <sz val="10"/>
        <color rgb="FF000000"/>
        <rFont val="Arial"/>
        <family val="2"/>
        <charset val="129"/>
        <scheme val="minor"/>
      </rPr>
      <t>전투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구역에서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몬스터들의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저장하는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테이블이다</t>
    </r>
    <r>
      <rPr>
        <sz val="10"/>
        <color rgb="FF000000"/>
        <rFont val="Arial"/>
        <family val="2"/>
        <scheme val="minor"/>
      </rPr>
      <t xml:space="preserve">.
● InnerId </t>
    </r>
    <r>
      <rPr>
        <sz val="10"/>
        <color rgb="FF000000"/>
        <rFont val="Arial"/>
        <family val="2"/>
        <charset val="129"/>
        <scheme val="minor"/>
      </rPr>
      <t>순서대로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스폰된다</t>
    </r>
    <r>
      <rPr>
        <sz val="10"/>
        <color rgb="FF000000"/>
        <rFont val="Arial"/>
        <family val="2"/>
        <scheme val="minor"/>
      </rPr>
      <t>.
● spawnStandard</t>
    </r>
    <r>
      <rPr>
        <sz val="10"/>
        <color rgb="FF000000"/>
        <rFont val="Arial"/>
        <family val="2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spawner</t>
    </r>
    <r>
      <rPr>
        <sz val="10"/>
        <color rgb="FF000000"/>
        <rFont val="Arial"/>
        <family val="2"/>
        <charset val="129"/>
        <scheme val="minor"/>
      </rPr>
      <t>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좌표를</t>
    </r>
    <r>
      <rPr>
        <sz val="10"/>
        <color rgb="FF000000"/>
        <rFont val="Arial"/>
        <family val="2"/>
        <scheme val="minor"/>
      </rPr>
      <t xml:space="preserve"> 0,0,0</t>
    </r>
    <r>
      <rPr>
        <sz val="10"/>
        <color rgb="FF000000"/>
        <rFont val="Arial"/>
        <family val="2"/>
        <charset val="129"/>
        <scheme val="minor"/>
      </rPr>
      <t>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랜덤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스폰된다</t>
    </r>
    <r>
      <rPr>
        <sz val="10"/>
        <color rgb="FF000000"/>
        <rFont val="Arial"/>
        <family val="2"/>
        <scheme val="minor"/>
      </rPr>
      <t>.
● spawnStandard</t>
    </r>
    <r>
      <rPr>
        <sz val="10"/>
        <color rgb="FF000000"/>
        <rFont val="Arial"/>
        <family val="2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spawner</t>
    </r>
    <r>
      <rPr>
        <sz val="10"/>
        <color rgb="FF000000"/>
        <rFont val="Arial"/>
        <family val="2"/>
        <charset val="129"/>
        <scheme val="minor"/>
      </rPr>
      <t>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좌표를</t>
    </r>
    <r>
      <rPr>
        <sz val="10"/>
        <color rgb="FF000000"/>
        <rFont val="Arial"/>
        <family val="2"/>
        <scheme val="minor"/>
      </rPr>
      <t xml:space="preserve"> 0,0,0</t>
    </r>
    <r>
      <rPr>
        <sz val="10"/>
        <color rgb="FF000000"/>
        <rFont val="Arial"/>
        <family val="2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아니면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화면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중심기준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해당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위치에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스폰한다</t>
    </r>
    <r>
      <rPr>
        <sz val="10"/>
        <color rgb="FF000000"/>
        <rFont val="Arial"/>
        <family val="2"/>
        <scheme val="minor"/>
      </rPr>
      <t>.
● spawnStandard</t>
    </r>
    <r>
      <rPr>
        <sz val="10"/>
        <color rgb="FF000000"/>
        <rFont val="Arial"/>
        <family val="2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world</t>
    </r>
    <r>
      <rPr>
        <sz val="10"/>
        <color rgb="FF000000"/>
        <rFont val="Arial"/>
        <family val="2"/>
        <charset val="129"/>
        <scheme val="minor"/>
      </rPr>
      <t>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월드의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해당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스폰위치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좌표에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스폰된다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</si>
  <si>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레벨디자인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</si>
  <si>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레벨디자인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</si>
  <si>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스폰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기준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</si>
  <si>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스폰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위치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</si>
  <si>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스폰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</si>
  <si>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스폰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대기시간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</si>
  <si>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테이블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표기용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</si>
  <si>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레벨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</si>
</sst>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2"/>
      <charset val="129"/>
    </font>
    <font>
      <sz val="10"/>
      <color theme="1"/>
      <name val="Arial"/>
      <family val="3"/>
    </font>
    <font>
      <sz val="10"/>
      <color rgb="FF000000"/>
      <name val="Arial"/>
      <family val="3"/>
    </font>
    <font>
      <sz val="10"/>
      <color rgb="FF000000"/>
      <name val="Segoe UI Symbol"/>
      <family val="2"/>
    </font>
    <font>
      <sz val="10"/>
      <color rgb="FF000000"/>
      <name val="&quot;맑은 고딕&quot;"/>
      <family val="2"/>
      <charset val="129"/>
    </font>
    <font>
      <sz val="12"/>
      <color theme="1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3"/>
      <charset val="129"/>
      <scheme val="minor"/>
    </font>
    <font>
      <sz val="10"/>
      <color rgb="FF000000"/>
      <name val="Arial"/>
      <family val="2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charset val="129"/>
      <scheme val="minor"/>
    </font>
    <font>
      <sz val="11"/>
      <color rgb="FF000000"/>
      <name val="Arial"/>
      <family val="2"/>
      <charset val="129"/>
      <scheme val="minor"/>
    </font>
    <font>
      <sz val="10"/>
      <color rgb="FF000000"/>
      <name val="Arial"/>
      <family val="3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2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6" fillId="0" borderId="0" xfId="0" applyFont="1"/>
    <xf numFmtId="0" fontId="7" fillId="0" borderId="4" xfId="0" applyFont="1" applyBorder="1"/>
    <xf numFmtId="0" fontId="6" fillId="0" borderId="4" xfId="0" applyFont="1" applyBorder="1"/>
    <xf numFmtId="0" fontId="0" fillId="0" borderId="4" xfId="0" applyBorder="1"/>
    <xf numFmtId="0" fontId="14" fillId="0" borderId="4" xfId="0" applyFont="1" applyBorder="1"/>
    <xf numFmtId="0" fontId="1" fillId="3" borderId="1" xfId="0" applyFont="1" applyFill="1" applyBorder="1"/>
    <xf numFmtId="0" fontId="6" fillId="3" borderId="1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2" fillId="0" borderId="0" xfId="0" applyFont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2" fillId="12" borderId="4" xfId="0" applyFont="1" applyFill="1" applyBorder="1"/>
    <xf numFmtId="0" fontId="7" fillId="11" borderId="4" xfId="0" applyFont="1" applyFill="1" applyBorder="1"/>
    <xf numFmtId="0" fontId="6" fillId="11" borderId="4" xfId="0" applyFont="1" applyFill="1" applyBorder="1"/>
    <xf numFmtId="0" fontId="12" fillId="11" borderId="4" xfId="0" applyFont="1" applyFill="1" applyBorder="1"/>
    <xf numFmtId="0" fontId="1" fillId="4" borderId="8" xfId="0" applyFont="1" applyFill="1" applyBorder="1"/>
    <xf numFmtId="0" fontId="6" fillId="4" borderId="8" xfId="0" applyFont="1" applyFill="1" applyBorder="1"/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8" borderId="4" xfId="0" applyFont="1" applyFill="1" applyBorder="1"/>
    <xf numFmtId="0" fontId="7" fillId="9" borderId="12" xfId="0" applyFont="1" applyFill="1" applyBorder="1"/>
    <xf numFmtId="0" fontId="7" fillId="9" borderId="13" xfId="0" applyFont="1" applyFill="1" applyBorder="1"/>
    <xf numFmtId="0" fontId="7" fillId="9" borderId="14" xfId="0" applyFont="1" applyFill="1" applyBorder="1"/>
    <xf numFmtId="0" fontId="18" fillId="0" borderId="4" xfId="0" applyFont="1" applyBorder="1"/>
    <xf numFmtId="0" fontId="15" fillId="0" borderId="0" xfId="0" applyFont="1" applyAlignment="1">
      <alignment horizontal="left" vertical="top" wrapText="1"/>
    </xf>
    <xf numFmtId="0" fontId="7" fillId="6" borderId="1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17" fillId="0" borderId="0" xfId="0" applyFont="1"/>
    <xf numFmtId="0" fontId="1" fillId="3" borderId="1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2" borderId="1" xfId="0" applyFont="1" applyFill="1" applyBorder="1"/>
    <xf numFmtId="0" fontId="19" fillId="0" borderId="1" xfId="0" applyFont="1" applyBorder="1"/>
    <xf numFmtId="0" fontId="19" fillId="4" borderId="9" xfId="0" applyFont="1" applyFill="1" applyBorder="1"/>
    <xf numFmtId="0" fontId="1" fillId="0" borderId="10" xfId="0" applyFont="1" applyBorder="1"/>
    <xf numFmtId="0" fontId="19" fillId="2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4" borderId="1" xfId="0" applyFont="1" applyFill="1" applyBorder="1"/>
    <xf numFmtId="0" fontId="6" fillId="0" borderId="0" xfId="0" applyFont="1" applyAlignment="1">
      <alignment horizontal="left" vertical="top" wrapText="1"/>
    </xf>
    <xf numFmtId="0" fontId="1" fillId="5" borderId="7" xfId="0" applyFont="1" applyFill="1" applyBorder="1"/>
    <xf numFmtId="0" fontId="1" fillId="5" borderId="2" xfId="0" applyFont="1" applyFill="1" applyBorder="1"/>
    <xf numFmtId="176" fontId="1" fillId="5" borderId="2" xfId="0" applyNumberFormat="1" applyFont="1" applyFill="1" applyBorder="1"/>
    <xf numFmtId="176" fontId="1" fillId="5" borderId="3" xfId="0" applyNumberFormat="1" applyFont="1" applyFill="1" applyBorder="1"/>
    <xf numFmtId="0" fontId="1" fillId="0" borderId="7" xfId="0" applyFont="1" applyBorder="1"/>
    <xf numFmtId="0" fontId="1" fillId="0" borderId="2" xfId="0" applyFont="1" applyBorder="1"/>
    <xf numFmtId="176" fontId="1" fillId="0" borderId="2" xfId="0" applyNumberFormat="1" applyFont="1" applyBorder="1"/>
    <xf numFmtId="176" fontId="1" fillId="0" borderId="3" xfId="0" applyNumberFormat="1" applyFont="1" applyBorder="1"/>
    <xf numFmtId="176" fontId="6" fillId="0" borderId="0" xfId="0" applyNumberFormat="1" applyFont="1"/>
    <xf numFmtId="0" fontId="6" fillId="12" borderId="1" xfId="0" applyFont="1" applyFill="1" applyBorder="1"/>
    <xf numFmtId="0" fontId="1" fillId="5" borderId="3" xfId="0" applyFont="1" applyFill="1" applyBorder="1"/>
    <xf numFmtId="0" fontId="1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02"/>
  <sheetViews>
    <sheetView showGridLines="0" workbookViewId="0">
      <selection activeCell="E21" sqref="E21"/>
    </sheetView>
  </sheetViews>
  <sheetFormatPr defaultColWidth="12.5703125" defaultRowHeight="15.75" customHeight="1"/>
  <cols>
    <col min="1" max="1" width="1.7109375" style="1" customWidth="1"/>
    <col min="2" max="2" width="13.42578125" style="1" customWidth="1"/>
    <col min="3" max="3" width="17.5703125" style="1" customWidth="1"/>
    <col min="4" max="4" width="29.5703125" style="1" customWidth="1"/>
    <col min="5" max="5" width="21" style="1" customWidth="1"/>
    <col min="6" max="6" width="34.5703125" style="1" customWidth="1"/>
    <col min="7" max="7" width="106.7109375" style="1" customWidth="1"/>
    <col min="8" max="16384" width="12.5703125" style="1"/>
  </cols>
  <sheetData>
    <row r="1" spans="2:7" s="1" customFormat="1" ht="6.75" customHeight="1">
      <c r="B1" s="59"/>
    </row>
    <row r="2" spans="2:7" s="1" customFormat="1" ht="15">
      <c r="B2" s="59" t="s">
        <v>0</v>
      </c>
    </row>
    <row r="3" spans="2:7" s="1" customFormat="1" ht="15">
      <c r="B3" s="59"/>
      <c r="C3" s="6" t="s">
        <v>1</v>
      </c>
      <c r="D3" s="6" t="s">
        <v>2</v>
      </c>
      <c r="E3" s="60" t="s">
        <v>232</v>
      </c>
      <c r="F3" s="61" t="s">
        <v>3</v>
      </c>
      <c r="G3" s="6" t="s">
        <v>4</v>
      </c>
    </row>
    <row r="4" spans="2:7" s="1" customFormat="1" ht="15">
      <c r="B4" s="59"/>
      <c r="C4" s="62" t="s">
        <v>5</v>
      </c>
      <c r="D4" s="63" t="s">
        <v>313</v>
      </c>
      <c r="E4" s="64" t="s">
        <v>6</v>
      </c>
      <c r="F4" s="3" t="s">
        <v>261</v>
      </c>
      <c r="G4" s="65" t="s">
        <v>7</v>
      </c>
    </row>
    <row r="5" spans="2:7" s="1" customFormat="1" ht="15">
      <c r="B5" s="59"/>
      <c r="C5" s="62" t="s">
        <v>8</v>
      </c>
      <c r="D5" s="63" t="s">
        <v>314</v>
      </c>
      <c r="E5" s="64" t="s">
        <v>6</v>
      </c>
      <c r="F5" s="3" t="s">
        <v>315</v>
      </c>
      <c r="G5" s="65" t="s">
        <v>9</v>
      </c>
    </row>
    <row r="6" spans="2:7" s="1" customFormat="1" ht="15">
      <c r="B6" s="59"/>
      <c r="C6" s="62" t="s">
        <v>10</v>
      </c>
      <c r="D6" s="63" t="s">
        <v>316</v>
      </c>
      <c r="E6" s="64" t="s">
        <v>6</v>
      </c>
      <c r="F6" s="3" t="s">
        <v>262</v>
      </c>
      <c r="G6" s="65" t="s">
        <v>11</v>
      </c>
    </row>
    <row r="7" spans="2:7" s="1" customFormat="1" ht="15">
      <c r="B7" s="59"/>
      <c r="C7" s="62" t="s">
        <v>12</v>
      </c>
      <c r="D7" s="63" t="s">
        <v>317</v>
      </c>
      <c r="E7" s="64" t="s">
        <v>6</v>
      </c>
      <c r="F7" s="3" t="s">
        <v>263</v>
      </c>
      <c r="G7" s="65" t="s">
        <v>318</v>
      </c>
    </row>
    <row r="8" spans="2:7" s="1" customFormat="1" ht="15">
      <c r="B8" s="59"/>
      <c r="C8" s="62" t="s">
        <v>13</v>
      </c>
      <c r="D8" s="63" t="s">
        <v>319</v>
      </c>
      <c r="E8" s="64" t="s">
        <v>14</v>
      </c>
      <c r="F8" s="3">
        <v>1</v>
      </c>
      <c r="G8" s="65" t="s">
        <v>15</v>
      </c>
    </row>
    <row r="9" spans="2:7" s="1" customFormat="1" ht="15">
      <c r="B9" s="59"/>
      <c r="C9" s="62" t="s">
        <v>16</v>
      </c>
      <c r="D9" s="63" t="s">
        <v>320</v>
      </c>
      <c r="E9" s="64" t="s">
        <v>14</v>
      </c>
      <c r="F9" s="3">
        <v>1</v>
      </c>
      <c r="G9" s="65" t="s">
        <v>17</v>
      </c>
    </row>
    <row r="10" spans="2:7" s="1" customFormat="1" ht="15">
      <c r="B10" s="59"/>
      <c r="C10" s="62" t="s">
        <v>18</v>
      </c>
      <c r="D10" s="63" t="s">
        <v>321</v>
      </c>
      <c r="E10" s="64" t="s">
        <v>14</v>
      </c>
      <c r="F10" s="3">
        <v>1</v>
      </c>
      <c r="G10" s="65" t="s">
        <v>19</v>
      </c>
    </row>
    <row r="11" spans="2:7" s="1" customFormat="1" ht="15">
      <c r="B11" s="59"/>
      <c r="C11" s="62" t="s">
        <v>20</v>
      </c>
      <c r="D11" s="63" t="s">
        <v>322</v>
      </c>
      <c r="E11" s="64" t="s">
        <v>21</v>
      </c>
      <c r="F11" s="3">
        <v>1.1000000000000001</v>
      </c>
      <c r="G11" s="65" t="s">
        <v>22</v>
      </c>
    </row>
    <row r="12" spans="2:7" s="1" customFormat="1" ht="15">
      <c r="B12" s="59"/>
      <c r="C12" s="62" t="s">
        <v>23</v>
      </c>
      <c r="D12" s="63" t="s">
        <v>323</v>
      </c>
      <c r="E12" s="64" t="s">
        <v>21</v>
      </c>
      <c r="F12" s="3">
        <v>1.1000000000000001</v>
      </c>
      <c r="G12" s="65" t="s">
        <v>24</v>
      </c>
    </row>
    <row r="13" spans="2:7" s="1" customFormat="1" ht="15">
      <c r="B13" s="59"/>
      <c r="C13" s="62" t="s">
        <v>25</v>
      </c>
      <c r="D13" s="63" t="s">
        <v>324</v>
      </c>
      <c r="E13" s="64" t="s">
        <v>21</v>
      </c>
      <c r="F13" s="3">
        <v>1.1000000000000001</v>
      </c>
      <c r="G13" s="65" t="s">
        <v>26</v>
      </c>
    </row>
    <row r="14" spans="2:7" s="1" customFormat="1" ht="15">
      <c r="B14" s="59"/>
      <c r="C14" s="62" t="s">
        <v>27</v>
      </c>
      <c r="D14" s="63" t="s">
        <v>325</v>
      </c>
      <c r="E14" s="64" t="s">
        <v>6</v>
      </c>
      <c r="F14" s="3" t="s">
        <v>256</v>
      </c>
      <c r="G14" s="65" t="s">
        <v>28</v>
      </c>
    </row>
    <row r="15" spans="2:7" s="1" customFormat="1" ht="15">
      <c r="B15" s="59"/>
      <c r="C15" s="62" t="s">
        <v>29</v>
      </c>
      <c r="D15" s="63" t="s">
        <v>326</v>
      </c>
      <c r="E15" s="64" t="s">
        <v>6</v>
      </c>
      <c r="F15" s="3" t="s">
        <v>257</v>
      </c>
      <c r="G15" s="65" t="s">
        <v>327</v>
      </c>
    </row>
    <row r="16" spans="2:7" s="1" customFormat="1" ht="15">
      <c r="B16" s="59"/>
      <c r="C16" s="62" t="s">
        <v>30</v>
      </c>
      <c r="D16" s="63" t="s">
        <v>328</v>
      </c>
      <c r="E16" s="64" t="s">
        <v>6</v>
      </c>
      <c r="F16" s="3" t="s">
        <v>258</v>
      </c>
      <c r="G16" s="65" t="s">
        <v>329</v>
      </c>
    </row>
    <row r="17" spans="2:7" s="1" customFormat="1" ht="15">
      <c r="B17" s="59"/>
      <c r="C17" s="62" t="s">
        <v>31</v>
      </c>
      <c r="D17" s="63" t="s">
        <v>330</v>
      </c>
      <c r="E17" s="64" t="s">
        <v>6</v>
      </c>
      <c r="F17" s="3" t="s">
        <v>259</v>
      </c>
      <c r="G17" s="65" t="s">
        <v>32</v>
      </c>
    </row>
    <row r="18" spans="2:7" s="1" customFormat="1" ht="15">
      <c r="B18" s="59"/>
      <c r="C18" s="62" t="s">
        <v>33</v>
      </c>
      <c r="D18" s="63" t="s">
        <v>331</v>
      </c>
      <c r="E18" s="64" t="s">
        <v>6</v>
      </c>
      <c r="F18" s="3" t="s">
        <v>260</v>
      </c>
      <c r="G18" s="65" t="s">
        <v>34</v>
      </c>
    </row>
    <row r="19" spans="2:7" s="1" customFormat="1" ht="15">
      <c r="B19" s="59"/>
      <c r="C19" s="62" t="s">
        <v>194</v>
      </c>
      <c r="D19" s="63" t="s">
        <v>332</v>
      </c>
      <c r="E19" s="64" t="s">
        <v>6</v>
      </c>
      <c r="F19" s="3" t="s">
        <v>312</v>
      </c>
      <c r="G19" s="65" t="s">
        <v>333</v>
      </c>
    </row>
    <row r="20" spans="2:7" s="1" customFormat="1" ht="15">
      <c r="B20" s="59"/>
      <c r="C20" s="62" t="s">
        <v>136</v>
      </c>
      <c r="D20" s="63" t="s">
        <v>334</v>
      </c>
      <c r="E20" s="64" t="s">
        <v>14</v>
      </c>
      <c r="F20" s="3">
        <v>1</v>
      </c>
      <c r="G20" s="65" t="s">
        <v>335</v>
      </c>
    </row>
    <row r="21" spans="2:7" s="1" customFormat="1" ht="15">
      <c r="B21" s="59"/>
      <c r="C21" s="62" t="s">
        <v>148</v>
      </c>
      <c r="D21" s="63" t="s">
        <v>97</v>
      </c>
      <c r="E21" s="64" t="s">
        <v>21</v>
      </c>
      <c r="F21" s="3">
        <v>1.1000000000000001</v>
      </c>
      <c r="G21" s="65" t="s">
        <v>336</v>
      </c>
    </row>
    <row r="22" spans="2:7" s="1" customFormat="1" ht="15">
      <c r="B22" s="59"/>
      <c r="C22" s="62" t="s">
        <v>149</v>
      </c>
      <c r="D22" s="63" t="s">
        <v>98</v>
      </c>
      <c r="E22" s="64" t="s">
        <v>6</v>
      </c>
      <c r="F22" s="3" t="s">
        <v>140</v>
      </c>
      <c r="G22" s="65" t="s">
        <v>337</v>
      </c>
    </row>
    <row r="23" spans="2:7" s="1" customFormat="1" ht="15">
      <c r="B23" s="59"/>
      <c r="C23" s="62" t="s">
        <v>150</v>
      </c>
      <c r="D23" s="63" t="s">
        <v>338</v>
      </c>
      <c r="E23" s="64" t="s">
        <v>6</v>
      </c>
      <c r="F23" s="3" t="s">
        <v>143</v>
      </c>
      <c r="G23" s="65" t="s">
        <v>339</v>
      </c>
    </row>
    <row r="24" spans="2:7" s="1" customFormat="1" ht="15">
      <c r="B24" s="59"/>
    </row>
    <row r="25" spans="2:7" s="1" customFormat="1" ht="15">
      <c r="B25" s="30" t="s">
        <v>231</v>
      </c>
      <c r="C25" s="31"/>
      <c r="D25" s="31"/>
      <c r="E25" s="31"/>
      <c r="F25" s="31"/>
      <c r="G25" s="31"/>
    </row>
    <row r="26" spans="2:7" s="1" customFormat="1" ht="15.75" customHeight="1">
      <c r="B26" s="30"/>
      <c r="C26" s="60" t="s">
        <v>1</v>
      </c>
      <c r="D26" s="60" t="s">
        <v>2</v>
      </c>
      <c r="E26" s="60" t="s">
        <v>232</v>
      </c>
      <c r="F26" s="60" t="s">
        <v>3</v>
      </c>
      <c r="G26" s="60" t="s">
        <v>4</v>
      </c>
    </row>
    <row r="27" spans="2:7" s="1" customFormat="1" ht="15.75" customHeight="1">
      <c r="B27" s="30"/>
      <c r="C27" s="32" t="s">
        <v>129</v>
      </c>
      <c r="D27" s="33" t="s">
        <v>233</v>
      </c>
      <c r="E27" s="34" t="s">
        <v>6</v>
      </c>
      <c r="F27" s="33" t="s">
        <v>234</v>
      </c>
      <c r="G27" s="33" t="s">
        <v>235</v>
      </c>
    </row>
    <row r="28" spans="2:7" s="1" customFormat="1" ht="15.75" customHeight="1">
      <c r="B28" s="30"/>
      <c r="C28" s="32" t="s">
        <v>130</v>
      </c>
      <c r="D28" s="33" t="s">
        <v>236</v>
      </c>
      <c r="E28" s="34" t="s">
        <v>6</v>
      </c>
      <c r="F28" s="33" t="s">
        <v>237</v>
      </c>
      <c r="G28" s="33" t="s">
        <v>238</v>
      </c>
    </row>
    <row r="29" spans="2:7" s="1" customFormat="1" ht="108" customHeight="1">
      <c r="B29" s="30"/>
      <c r="C29" s="32" t="s">
        <v>131</v>
      </c>
      <c r="D29" s="33" t="s">
        <v>239</v>
      </c>
      <c r="E29" s="34" t="s">
        <v>240</v>
      </c>
      <c r="F29" s="33" t="s">
        <v>241</v>
      </c>
      <c r="G29" s="35" t="s">
        <v>340</v>
      </c>
    </row>
    <row r="30" spans="2:7" s="1" customFormat="1" ht="15.75" customHeight="1">
      <c r="B30" s="30"/>
      <c r="C30" s="32" t="s">
        <v>242</v>
      </c>
      <c r="D30" s="33" t="s">
        <v>243</v>
      </c>
      <c r="E30" s="34" t="s">
        <v>240</v>
      </c>
      <c r="F30" s="33" t="s">
        <v>244</v>
      </c>
      <c r="G30" s="33" t="s">
        <v>245</v>
      </c>
    </row>
    <row r="31" spans="2:7" s="1" customFormat="1" ht="15.75" customHeight="1">
      <c r="B31" s="30"/>
      <c r="C31" s="32" t="s">
        <v>153</v>
      </c>
      <c r="D31" s="33" t="s">
        <v>203</v>
      </c>
      <c r="E31" s="34" t="s">
        <v>147</v>
      </c>
      <c r="F31" s="33">
        <v>1.1000000000000001</v>
      </c>
      <c r="G31" s="33" t="s">
        <v>264</v>
      </c>
    </row>
    <row r="32" spans="2:7" s="1" customFormat="1" ht="15.75" customHeight="1">
      <c r="B32" s="30"/>
      <c r="C32" s="30"/>
      <c r="D32" s="31"/>
      <c r="E32" s="31"/>
      <c r="F32" s="31"/>
      <c r="G32" s="31"/>
    </row>
    <row r="33" spans="2:7" s="1" customFormat="1" ht="15.75" customHeight="1">
      <c r="B33" s="30" t="s">
        <v>246</v>
      </c>
      <c r="C33" s="31"/>
      <c r="D33" s="31"/>
      <c r="E33" s="31"/>
      <c r="F33" s="31"/>
      <c r="G33" s="31"/>
    </row>
    <row r="34" spans="2:7" s="1" customFormat="1" ht="15.75" customHeight="1">
      <c r="B34" s="30"/>
      <c r="C34" s="60" t="s">
        <v>1</v>
      </c>
      <c r="D34" s="60" t="s">
        <v>2</v>
      </c>
      <c r="E34" s="60" t="s">
        <v>232</v>
      </c>
      <c r="F34" s="60" t="s">
        <v>247</v>
      </c>
      <c r="G34" s="60" t="s">
        <v>4</v>
      </c>
    </row>
    <row r="35" spans="2:7" s="1" customFormat="1" ht="15.75" customHeight="1">
      <c r="B35" s="30"/>
      <c r="C35" s="66" t="s">
        <v>123</v>
      </c>
      <c r="D35" s="67" t="s">
        <v>341</v>
      </c>
      <c r="E35" s="68" t="s">
        <v>6</v>
      </c>
      <c r="F35" s="33" t="s">
        <v>237</v>
      </c>
      <c r="G35" s="33" t="s">
        <v>238</v>
      </c>
    </row>
    <row r="36" spans="2:7" s="1" customFormat="1" ht="15.75" customHeight="1">
      <c r="B36" s="30"/>
      <c r="C36" s="66" t="s">
        <v>124</v>
      </c>
      <c r="D36" s="67" t="s">
        <v>342</v>
      </c>
      <c r="E36" s="68" t="s">
        <v>14</v>
      </c>
      <c r="F36" s="33">
        <v>0</v>
      </c>
      <c r="G36" s="33" t="s">
        <v>248</v>
      </c>
    </row>
    <row r="37" spans="2:7" s="1" customFormat="1" ht="15.75" customHeight="1">
      <c r="B37" s="30"/>
      <c r="C37" s="66" t="s">
        <v>125</v>
      </c>
      <c r="D37" s="67" t="s">
        <v>343</v>
      </c>
      <c r="E37" s="68" t="s">
        <v>6</v>
      </c>
      <c r="F37" s="33" t="s">
        <v>249</v>
      </c>
      <c r="G37" s="33" t="s">
        <v>250</v>
      </c>
    </row>
    <row r="38" spans="2:7" s="1" customFormat="1" ht="15.75" customHeight="1">
      <c r="B38" s="30"/>
      <c r="C38" s="66" t="s">
        <v>126</v>
      </c>
      <c r="D38" s="67" t="s">
        <v>344</v>
      </c>
      <c r="E38" s="68" t="s">
        <v>122</v>
      </c>
      <c r="F38" s="33" t="s">
        <v>251</v>
      </c>
      <c r="G38" s="33" t="s">
        <v>252</v>
      </c>
    </row>
    <row r="39" spans="2:7" s="1" customFormat="1" ht="15.75" customHeight="1">
      <c r="B39" s="30"/>
      <c r="C39" s="66" t="s">
        <v>127</v>
      </c>
      <c r="D39" s="67" t="s">
        <v>313</v>
      </c>
      <c r="E39" s="68" t="s">
        <v>6</v>
      </c>
      <c r="F39" s="33" t="s">
        <v>253</v>
      </c>
      <c r="G39" s="33" t="s">
        <v>7</v>
      </c>
    </row>
    <row r="40" spans="2:7" s="1" customFormat="1" ht="15.75" customHeight="1">
      <c r="B40" s="30"/>
      <c r="C40" s="66" t="s">
        <v>254</v>
      </c>
      <c r="D40" s="67" t="s">
        <v>345</v>
      </c>
      <c r="E40" s="68" t="s">
        <v>21</v>
      </c>
      <c r="F40" s="33">
        <v>0</v>
      </c>
      <c r="G40" s="33" t="s">
        <v>255</v>
      </c>
    </row>
    <row r="41" spans="2:7" s="1" customFormat="1" ht="15.75" customHeight="1">
      <c r="B41" s="30"/>
      <c r="C41" s="31"/>
      <c r="D41" s="31"/>
      <c r="E41" s="31"/>
      <c r="F41" s="31"/>
      <c r="G41" s="31"/>
    </row>
    <row r="42" spans="2:7" s="1" customFormat="1" ht="15">
      <c r="B42" s="59"/>
    </row>
    <row r="43" spans="2:7" s="1" customFormat="1" ht="15">
      <c r="B43" s="59"/>
    </row>
    <row r="44" spans="2:7" s="1" customFormat="1" ht="15">
      <c r="B44" s="59"/>
    </row>
    <row r="45" spans="2:7" s="1" customFormat="1" ht="15">
      <c r="B45" s="59"/>
    </row>
    <row r="46" spans="2:7" s="1" customFormat="1" ht="15">
      <c r="B46" s="59"/>
    </row>
    <row r="47" spans="2:7" s="1" customFormat="1" ht="15">
      <c r="B47" s="59"/>
    </row>
    <row r="48" spans="2:7" s="1" customFormat="1" ht="15">
      <c r="B48" s="59"/>
    </row>
    <row r="49" spans="2:2" s="1" customFormat="1" ht="15">
      <c r="B49" s="59"/>
    </row>
    <row r="50" spans="2:2" s="1" customFormat="1" ht="15">
      <c r="B50" s="59"/>
    </row>
    <row r="51" spans="2:2" s="1" customFormat="1" ht="15">
      <c r="B51" s="59"/>
    </row>
    <row r="52" spans="2:2" s="1" customFormat="1" ht="15">
      <c r="B52" s="59"/>
    </row>
    <row r="53" spans="2:2" s="1" customFormat="1" ht="15">
      <c r="B53" s="59"/>
    </row>
    <row r="54" spans="2:2" s="1" customFormat="1" ht="15">
      <c r="B54" s="59"/>
    </row>
    <row r="55" spans="2:2" s="1" customFormat="1" ht="15">
      <c r="B55" s="59"/>
    </row>
    <row r="56" spans="2:2" s="1" customFormat="1" ht="15">
      <c r="B56" s="59"/>
    </row>
    <row r="57" spans="2:2" s="1" customFormat="1" ht="15">
      <c r="B57" s="59"/>
    </row>
    <row r="58" spans="2:2" s="1" customFormat="1" ht="15">
      <c r="B58" s="59"/>
    </row>
    <row r="59" spans="2:2" s="1" customFormat="1" ht="15">
      <c r="B59" s="59"/>
    </row>
    <row r="60" spans="2:2" s="1" customFormat="1" ht="15">
      <c r="B60" s="59"/>
    </row>
    <row r="61" spans="2:2" s="1" customFormat="1" ht="15">
      <c r="B61" s="59"/>
    </row>
    <row r="62" spans="2:2" s="1" customFormat="1" ht="15">
      <c r="B62" s="59"/>
    </row>
    <row r="63" spans="2:2" s="1" customFormat="1" ht="15">
      <c r="B63" s="59"/>
    </row>
    <row r="64" spans="2:2" s="1" customFormat="1" ht="15">
      <c r="B64" s="59"/>
    </row>
    <row r="65" spans="2:2" s="1" customFormat="1" ht="15">
      <c r="B65" s="59"/>
    </row>
    <row r="66" spans="2:2" s="1" customFormat="1" ht="15">
      <c r="B66" s="59"/>
    </row>
    <row r="67" spans="2:2" s="1" customFormat="1" ht="15">
      <c r="B67" s="59"/>
    </row>
    <row r="68" spans="2:2" s="1" customFormat="1" ht="15">
      <c r="B68" s="59"/>
    </row>
    <row r="69" spans="2:2" s="1" customFormat="1" ht="15">
      <c r="B69" s="59"/>
    </row>
    <row r="70" spans="2:2" s="1" customFormat="1" ht="15">
      <c r="B70" s="59"/>
    </row>
    <row r="71" spans="2:2" s="1" customFormat="1" ht="15">
      <c r="B71" s="59"/>
    </row>
    <row r="72" spans="2:2" s="1" customFormat="1" ht="15">
      <c r="B72" s="59"/>
    </row>
    <row r="73" spans="2:2" s="1" customFormat="1" ht="15">
      <c r="B73" s="59"/>
    </row>
    <row r="74" spans="2:2" s="1" customFormat="1" ht="15">
      <c r="B74" s="59"/>
    </row>
    <row r="75" spans="2:2" s="1" customFormat="1" ht="15">
      <c r="B75" s="59"/>
    </row>
    <row r="76" spans="2:2" s="1" customFormat="1" ht="15">
      <c r="B76" s="59"/>
    </row>
    <row r="77" spans="2:2" s="1" customFormat="1" ht="15">
      <c r="B77" s="59"/>
    </row>
    <row r="78" spans="2:2" s="1" customFormat="1" ht="15">
      <c r="B78" s="59"/>
    </row>
    <row r="79" spans="2:2" s="1" customFormat="1" ht="15">
      <c r="B79" s="59"/>
    </row>
    <row r="80" spans="2:2" s="1" customFormat="1" ht="15">
      <c r="B80" s="59"/>
    </row>
    <row r="81" spans="2:2" s="1" customFormat="1" ht="15">
      <c r="B81" s="59"/>
    </row>
    <row r="82" spans="2:2" s="1" customFormat="1" ht="15">
      <c r="B82" s="59"/>
    </row>
    <row r="83" spans="2:2" s="1" customFormat="1" ht="15">
      <c r="B83" s="59"/>
    </row>
    <row r="84" spans="2:2" s="1" customFormat="1" ht="15">
      <c r="B84" s="59"/>
    </row>
    <row r="85" spans="2:2" s="1" customFormat="1" ht="15">
      <c r="B85" s="59"/>
    </row>
    <row r="86" spans="2:2" s="1" customFormat="1" ht="15">
      <c r="B86" s="59"/>
    </row>
    <row r="87" spans="2:2" s="1" customFormat="1" ht="15">
      <c r="B87" s="59"/>
    </row>
    <row r="88" spans="2:2" s="1" customFormat="1" ht="15">
      <c r="B88" s="59"/>
    </row>
    <row r="89" spans="2:2" s="1" customFormat="1" ht="15">
      <c r="B89" s="59"/>
    </row>
    <row r="90" spans="2:2" s="1" customFormat="1" ht="15">
      <c r="B90" s="59"/>
    </row>
    <row r="91" spans="2:2" s="1" customFormat="1" ht="15">
      <c r="B91" s="59"/>
    </row>
    <row r="92" spans="2:2" s="1" customFormat="1" ht="15">
      <c r="B92" s="59"/>
    </row>
    <row r="93" spans="2:2" s="1" customFormat="1" ht="15">
      <c r="B93" s="59"/>
    </row>
    <row r="94" spans="2:2" s="1" customFormat="1" ht="15">
      <c r="B94" s="59"/>
    </row>
    <row r="95" spans="2:2" s="1" customFormat="1" ht="15">
      <c r="B95" s="59"/>
    </row>
    <row r="96" spans="2:2" s="1" customFormat="1" ht="15">
      <c r="B96" s="59"/>
    </row>
    <row r="97" spans="2:2" s="1" customFormat="1" ht="15">
      <c r="B97" s="59"/>
    </row>
    <row r="98" spans="2:2" s="1" customFormat="1" ht="15">
      <c r="B98" s="59"/>
    </row>
    <row r="99" spans="2:2" s="1" customFormat="1" ht="15">
      <c r="B99" s="59"/>
    </row>
    <row r="100" spans="2:2" s="1" customFormat="1" ht="15">
      <c r="B100" s="59"/>
    </row>
    <row r="101" spans="2:2" s="1" customFormat="1" ht="15">
      <c r="B101" s="59"/>
    </row>
    <row r="102" spans="2:2" s="1" customFormat="1" ht="15">
      <c r="B102" s="59"/>
    </row>
    <row r="103" spans="2:2" s="1" customFormat="1" ht="15">
      <c r="B103" s="59"/>
    </row>
    <row r="104" spans="2:2" s="1" customFormat="1" ht="15">
      <c r="B104" s="59"/>
    </row>
    <row r="105" spans="2:2" s="1" customFormat="1" ht="15">
      <c r="B105" s="59"/>
    </row>
    <row r="106" spans="2:2" s="1" customFormat="1" ht="15">
      <c r="B106" s="59"/>
    </row>
    <row r="107" spans="2:2" s="1" customFormat="1" ht="15">
      <c r="B107" s="59"/>
    </row>
    <row r="108" spans="2:2" s="1" customFormat="1" ht="15">
      <c r="B108" s="59"/>
    </row>
    <row r="109" spans="2:2" s="1" customFormat="1" ht="15">
      <c r="B109" s="59"/>
    </row>
    <row r="110" spans="2:2" s="1" customFormat="1" ht="15">
      <c r="B110" s="59"/>
    </row>
    <row r="111" spans="2:2" s="1" customFormat="1" ht="15">
      <c r="B111" s="59"/>
    </row>
    <row r="112" spans="2:2" s="1" customFormat="1" ht="15">
      <c r="B112" s="59"/>
    </row>
    <row r="113" spans="2:2" s="1" customFormat="1" ht="15">
      <c r="B113" s="59"/>
    </row>
    <row r="114" spans="2:2" s="1" customFormat="1" ht="15">
      <c r="B114" s="59"/>
    </row>
    <row r="115" spans="2:2" s="1" customFormat="1" ht="15">
      <c r="B115" s="59"/>
    </row>
    <row r="116" spans="2:2" s="1" customFormat="1" ht="15">
      <c r="B116" s="59"/>
    </row>
    <row r="117" spans="2:2" s="1" customFormat="1" ht="15">
      <c r="B117" s="59"/>
    </row>
    <row r="118" spans="2:2" s="1" customFormat="1" ht="15">
      <c r="B118" s="59"/>
    </row>
    <row r="119" spans="2:2" s="1" customFormat="1" ht="15">
      <c r="B119" s="59"/>
    </row>
    <row r="120" spans="2:2" s="1" customFormat="1" ht="15">
      <c r="B120" s="59"/>
    </row>
    <row r="121" spans="2:2" s="1" customFormat="1" ht="15">
      <c r="B121" s="59"/>
    </row>
    <row r="122" spans="2:2" s="1" customFormat="1" ht="15">
      <c r="B122" s="59"/>
    </row>
    <row r="123" spans="2:2" s="1" customFormat="1" ht="15">
      <c r="B123" s="59"/>
    </row>
    <row r="124" spans="2:2" s="1" customFormat="1" ht="15">
      <c r="B124" s="59"/>
    </row>
    <row r="125" spans="2:2" s="1" customFormat="1" ht="15">
      <c r="B125" s="59"/>
    </row>
    <row r="126" spans="2:2" s="1" customFormat="1" ht="15">
      <c r="B126" s="59"/>
    </row>
    <row r="127" spans="2:2" s="1" customFormat="1" ht="15">
      <c r="B127" s="59"/>
    </row>
    <row r="128" spans="2:2" s="1" customFormat="1" ht="15">
      <c r="B128" s="59"/>
    </row>
    <row r="129" spans="2:2" s="1" customFormat="1" ht="15">
      <c r="B129" s="59"/>
    </row>
    <row r="130" spans="2:2" s="1" customFormat="1" ht="15">
      <c r="B130" s="59"/>
    </row>
    <row r="131" spans="2:2" s="1" customFormat="1" ht="15">
      <c r="B131" s="59"/>
    </row>
    <row r="132" spans="2:2" s="1" customFormat="1" ht="15">
      <c r="B132" s="59"/>
    </row>
    <row r="133" spans="2:2" s="1" customFormat="1" ht="15">
      <c r="B133" s="59"/>
    </row>
    <row r="134" spans="2:2" s="1" customFormat="1" ht="15">
      <c r="B134" s="59"/>
    </row>
    <row r="135" spans="2:2" s="1" customFormat="1" ht="15">
      <c r="B135" s="59"/>
    </row>
    <row r="136" spans="2:2" s="1" customFormat="1" ht="15">
      <c r="B136" s="59"/>
    </row>
    <row r="137" spans="2:2" s="1" customFormat="1" ht="15">
      <c r="B137" s="59"/>
    </row>
    <row r="138" spans="2:2" s="1" customFormat="1" ht="15">
      <c r="B138" s="59"/>
    </row>
    <row r="139" spans="2:2" s="1" customFormat="1" ht="15">
      <c r="B139" s="59"/>
    </row>
    <row r="140" spans="2:2" s="1" customFormat="1" ht="15">
      <c r="B140" s="59"/>
    </row>
    <row r="141" spans="2:2" s="1" customFormat="1" ht="15">
      <c r="B141" s="59"/>
    </row>
    <row r="142" spans="2:2" s="1" customFormat="1" ht="15">
      <c r="B142" s="59"/>
    </row>
    <row r="143" spans="2:2" s="1" customFormat="1" ht="15">
      <c r="B143" s="59"/>
    </row>
    <row r="144" spans="2:2" s="1" customFormat="1" ht="15">
      <c r="B144" s="59"/>
    </row>
    <row r="145" spans="2:2" s="1" customFormat="1" ht="15">
      <c r="B145" s="59"/>
    </row>
    <row r="146" spans="2:2" s="1" customFormat="1" ht="15">
      <c r="B146" s="59"/>
    </row>
    <row r="147" spans="2:2" s="1" customFormat="1" ht="15">
      <c r="B147" s="59"/>
    </row>
    <row r="148" spans="2:2" s="1" customFormat="1" ht="15">
      <c r="B148" s="59"/>
    </row>
    <row r="149" spans="2:2" s="1" customFormat="1" ht="15">
      <c r="B149" s="59"/>
    </row>
    <row r="150" spans="2:2" s="1" customFormat="1" ht="15">
      <c r="B150" s="59"/>
    </row>
    <row r="151" spans="2:2" s="1" customFormat="1" ht="15">
      <c r="B151" s="59"/>
    </row>
    <row r="152" spans="2:2" s="1" customFormat="1" ht="15">
      <c r="B152" s="59"/>
    </row>
    <row r="153" spans="2:2" s="1" customFormat="1" ht="15">
      <c r="B153" s="59"/>
    </row>
    <row r="154" spans="2:2" s="1" customFormat="1" ht="15">
      <c r="B154" s="59"/>
    </row>
    <row r="155" spans="2:2" s="1" customFormat="1" ht="15">
      <c r="B155" s="59"/>
    </row>
    <row r="156" spans="2:2" s="1" customFormat="1" ht="15">
      <c r="B156" s="59"/>
    </row>
    <row r="157" spans="2:2" s="1" customFormat="1" ht="15">
      <c r="B157" s="59"/>
    </row>
    <row r="158" spans="2:2" s="1" customFormat="1" ht="15">
      <c r="B158" s="59"/>
    </row>
    <row r="159" spans="2:2" s="1" customFormat="1" ht="15">
      <c r="B159" s="59"/>
    </row>
    <row r="160" spans="2:2" s="1" customFormat="1" ht="15">
      <c r="B160" s="59"/>
    </row>
    <row r="161" spans="2:2" s="1" customFormat="1" ht="15">
      <c r="B161" s="59"/>
    </row>
    <row r="162" spans="2:2" s="1" customFormat="1" ht="15">
      <c r="B162" s="59"/>
    </row>
    <row r="163" spans="2:2" s="1" customFormat="1" ht="15">
      <c r="B163" s="59"/>
    </row>
    <row r="164" spans="2:2" s="1" customFormat="1" ht="15">
      <c r="B164" s="59"/>
    </row>
    <row r="165" spans="2:2" s="1" customFormat="1" ht="15">
      <c r="B165" s="59"/>
    </row>
    <row r="166" spans="2:2" s="1" customFormat="1" ht="15">
      <c r="B166" s="59"/>
    </row>
    <row r="167" spans="2:2" s="1" customFormat="1" ht="15">
      <c r="B167" s="59"/>
    </row>
    <row r="168" spans="2:2" s="1" customFormat="1" ht="15">
      <c r="B168" s="59"/>
    </row>
    <row r="169" spans="2:2" s="1" customFormat="1" ht="15">
      <c r="B169" s="59"/>
    </row>
    <row r="170" spans="2:2" s="1" customFormat="1" ht="15">
      <c r="B170" s="59"/>
    </row>
    <row r="171" spans="2:2" s="1" customFormat="1" ht="15">
      <c r="B171" s="59"/>
    </row>
    <row r="172" spans="2:2" s="1" customFormat="1" ht="15">
      <c r="B172" s="59"/>
    </row>
    <row r="173" spans="2:2" s="1" customFormat="1" ht="15">
      <c r="B173" s="59"/>
    </row>
    <row r="174" spans="2:2" s="1" customFormat="1" ht="15">
      <c r="B174" s="59"/>
    </row>
    <row r="175" spans="2:2" s="1" customFormat="1" ht="15">
      <c r="B175" s="59"/>
    </row>
    <row r="176" spans="2:2" s="1" customFormat="1" ht="15">
      <c r="B176" s="59"/>
    </row>
    <row r="177" spans="2:2" s="1" customFormat="1" ht="15">
      <c r="B177" s="59"/>
    </row>
    <row r="178" spans="2:2" s="1" customFormat="1" ht="15">
      <c r="B178" s="59"/>
    </row>
    <row r="179" spans="2:2" s="1" customFormat="1" ht="15">
      <c r="B179" s="59"/>
    </row>
    <row r="180" spans="2:2" s="1" customFormat="1" ht="15">
      <c r="B180" s="59"/>
    </row>
    <row r="181" spans="2:2" s="1" customFormat="1" ht="15">
      <c r="B181" s="59"/>
    </row>
    <row r="182" spans="2:2" s="1" customFormat="1" ht="15">
      <c r="B182" s="59"/>
    </row>
    <row r="183" spans="2:2" s="1" customFormat="1" ht="15">
      <c r="B183" s="59"/>
    </row>
    <row r="184" spans="2:2" s="1" customFormat="1" ht="15">
      <c r="B184" s="59"/>
    </row>
    <row r="185" spans="2:2" s="1" customFormat="1" ht="15">
      <c r="B185" s="59"/>
    </row>
    <row r="186" spans="2:2" s="1" customFormat="1" ht="15">
      <c r="B186" s="59"/>
    </row>
    <row r="187" spans="2:2" s="1" customFormat="1" ht="15">
      <c r="B187" s="59"/>
    </row>
    <row r="188" spans="2:2" s="1" customFormat="1" ht="15">
      <c r="B188" s="59"/>
    </row>
    <row r="189" spans="2:2" s="1" customFormat="1" ht="15">
      <c r="B189" s="59"/>
    </row>
    <row r="190" spans="2:2" s="1" customFormat="1" ht="15">
      <c r="B190" s="59"/>
    </row>
    <row r="191" spans="2:2" s="1" customFormat="1" ht="15">
      <c r="B191" s="59"/>
    </row>
    <row r="192" spans="2:2" s="1" customFormat="1" ht="15">
      <c r="B192" s="59"/>
    </row>
    <row r="193" spans="2:2" s="1" customFormat="1" ht="15">
      <c r="B193" s="59"/>
    </row>
    <row r="194" spans="2:2" s="1" customFormat="1" ht="15">
      <c r="B194" s="59"/>
    </row>
    <row r="195" spans="2:2" s="1" customFormat="1" ht="15">
      <c r="B195" s="59"/>
    </row>
    <row r="196" spans="2:2" s="1" customFormat="1" ht="15">
      <c r="B196" s="59"/>
    </row>
    <row r="197" spans="2:2" s="1" customFormat="1" ht="15">
      <c r="B197" s="59"/>
    </row>
    <row r="198" spans="2:2" s="1" customFormat="1" ht="15">
      <c r="B198" s="59"/>
    </row>
    <row r="199" spans="2:2" s="1" customFormat="1" ht="15">
      <c r="B199" s="59"/>
    </row>
    <row r="200" spans="2:2" s="1" customFormat="1" ht="15">
      <c r="B200" s="59"/>
    </row>
    <row r="201" spans="2:2" s="1" customFormat="1" ht="15">
      <c r="B201" s="59"/>
    </row>
    <row r="202" spans="2:2" s="1" customFormat="1" ht="15">
      <c r="B202" s="59"/>
    </row>
    <row r="203" spans="2:2" s="1" customFormat="1" ht="15">
      <c r="B203" s="59"/>
    </row>
    <row r="204" spans="2:2" s="1" customFormat="1" ht="15">
      <c r="B204" s="59"/>
    </row>
    <row r="205" spans="2:2" s="1" customFormat="1" ht="15">
      <c r="B205" s="59"/>
    </row>
    <row r="206" spans="2:2" s="1" customFormat="1" ht="15">
      <c r="B206" s="59"/>
    </row>
    <row r="207" spans="2:2" s="1" customFormat="1" ht="15">
      <c r="B207" s="59"/>
    </row>
    <row r="208" spans="2:2" s="1" customFormat="1" ht="15">
      <c r="B208" s="59"/>
    </row>
    <row r="209" spans="2:2" s="1" customFormat="1" ht="15">
      <c r="B209" s="59"/>
    </row>
    <row r="210" spans="2:2" s="1" customFormat="1" ht="15">
      <c r="B210" s="59"/>
    </row>
    <row r="211" spans="2:2" s="1" customFormat="1" ht="15">
      <c r="B211" s="59"/>
    </row>
    <row r="212" spans="2:2" s="1" customFormat="1" ht="15">
      <c r="B212" s="59"/>
    </row>
    <row r="213" spans="2:2" s="1" customFormat="1" ht="15">
      <c r="B213" s="59"/>
    </row>
    <row r="214" spans="2:2" s="1" customFormat="1" ht="15">
      <c r="B214" s="59"/>
    </row>
    <row r="215" spans="2:2" s="1" customFormat="1" ht="15">
      <c r="B215" s="59"/>
    </row>
    <row r="216" spans="2:2" s="1" customFormat="1" ht="15">
      <c r="B216" s="59"/>
    </row>
    <row r="217" spans="2:2" s="1" customFormat="1" ht="15">
      <c r="B217" s="59"/>
    </row>
    <row r="218" spans="2:2" s="1" customFormat="1" ht="15">
      <c r="B218" s="59"/>
    </row>
    <row r="219" spans="2:2" s="1" customFormat="1" ht="15">
      <c r="B219" s="59"/>
    </row>
    <row r="220" spans="2:2" s="1" customFormat="1" ht="15">
      <c r="B220" s="59"/>
    </row>
    <row r="221" spans="2:2" s="1" customFormat="1" ht="15">
      <c r="B221" s="59"/>
    </row>
    <row r="222" spans="2:2" s="1" customFormat="1" ht="15">
      <c r="B222" s="59"/>
    </row>
    <row r="223" spans="2:2" s="1" customFormat="1" ht="15">
      <c r="B223" s="59"/>
    </row>
    <row r="224" spans="2:2" s="1" customFormat="1" ht="15">
      <c r="B224" s="59"/>
    </row>
    <row r="225" spans="2:2" s="1" customFormat="1" ht="15">
      <c r="B225" s="59"/>
    </row>
    <row r="226" spans="2:2" s="1" customFormat="1" ht="15">
      <c r="B226" s="59"/>
    </row>
    <row r="227" spans="2:2" s="1" customFormat="1" ht="15">
      <c r="B227" s="59"/>
    </row>
    <row r="228" spans="2:2" s="1" customFormat="1" ht="15">
      <c r="B228" s="59"/>
    </row>
    <row r="229" spans="2:2" s="1" customFormat="1" ht="15">
      <c r="B229" s="59"/>
    </row>
    <row r="230" spans="2:2" s="1" customFormat="1" ht="15">
      <c r="B230" s="59"/>
    </row>
    <row r="231" spans="2:2" s="1" customFormat="1" ht="15">
      <c r="B231" s="59"/>
    </row>
    <row r="232" spans="2:2" s="1" customFormat="1" ht="15">
      <c r="B232" s="59"/>
    </row>
    <row r="233" spans="2:2" s="1" customFormat="1" ht="15">
      <c r="B233" s="59"/>
    </row>
    <row r="234" spans="2:2" s="1" customFormat="1" ht="15">
      <c r="B234" s="59"/>
    </row>
    <row r="235" spans="2:2" s="1" customFormat="1" ht="15">
      <c r="B235" s="59"/>
    </row>
    <row r="236" spans="2:2" s="1" customFormat="1" ht="15">
      <c r="B236" s="59"/>
    </row>
    <row r="237" spans="2:2" s="1" customFormat="1" ht="15">
      <c r="B237" s="59"/>
    </row>
    <row r="238" spans="2:2" s="1" customFormat="1" ht="15">
      <c r="B238" s="59"/>
    </row>
    <row r="239" spans="2:2" s="1" customFormat="1" ht="15">
      <c r="B239" s="59"/>
    </row>
    <row r="240" spans="2:2" s="1" customFormat="1" ht="15">
      <c r="B240" s="59"/>
    </row>
    <row r="241" spans="2:2" s="1" customFormat="1" ht="15">
      <c r="B241" s="59"/>
    </row>
    <row r="242" spans="2:2" s="1" customFormat="1" ht="15">
      <c r="B242" s="59"/>
    </row>
    <row r="243" spans="2:2" s="1" customFormat="1" ht="15">
      <c r="B243" s="59"/>
    </row>
    <row r="244" spans="2:2" s="1" customFormat="1" ht="15">
      <c r="B244" s="59"/>
    </row>
    <row r="245" spans="2:2" s="1" customFormat="1" ht="15">
      <c r="B245" s="59"/>
    </row>
    <row r="246" spans="2:2" s="1" customFormat="1" ht="15">
      <c r="B246" s="59"/>
    </row>
    <row r="247" spans="2:2" s="1" customFormat="1" ht="15">
      <c r="B247" s="59"/>
    </row>
    <row r="248" spans="2:2" s="1" customFormat="1" ht="15">
      <c r="B248" s="59"/>
    </row>
    <row r="249" spans="2:2" s="1" customFormat="1" ht="15">
      <c r="B249" s="59"/>
    </row>
    <row r="250" spans="2:2" s="1" customFormat="1" ht="15">
      <c r="B250" s="59"/>
    </row>
    <row r="251" spans="2:2" s="1" customFormat="1" ht="15">
      <c r="B251" s="59"/>
    </row>
    <row r="252" spans="2:2" s="1" customFormat="1" ht="15">
      <c r="B252" s="59"/>
    </row>
    <row r="253" spans="2:2" s="1" customFormat="1" ht="15">
      <c r="B253" s="59"/>
    </row>
    <row r="254" spans="2:2" s="1" customFormat="1" ht="15">
      <c r="B254" s="59"/>
    </row>
    <row r="255" spans="2:2" s="1" customFormat="1" ht="15">
      <c r="B255" s="59"/>
    </row>
    <row r="256" spans="2:2" s="1" customFormat="1" ht="15">
      <c r="B256" s="59"/>
    </row>
    <row r="257" spans="2:2" s="1" customFormat="1" ht="15">
      <c r="B257" s="59"/>
    </row>
    <row r="258" spans="2:2" s="1" customFormat="1" ht="15">
      <c r="B258" s="59"/>
    </row>
    <row r="259" spans="2:2" s="1" customFormat="1" ht="15">
      <c r="B259" s="59"/>
    </row>
    <row r="260" spans="2:2" s="1" customFormat="1" ht="15">
      <c r="B260" s="59"/>
    </row>
    <row r="261" spans="2:2" s="1" customFormat="1" ht="15">
      <c r="B261" s="59"/>
    </row>
    <row r="262" spans="2:2" s="1" customFormat="1" ht="15">
      <c r="B262" s="59"/>
    </row>
    <row r="263" spans="2:2" s="1" customFormat="1" ht="15">
      <c r="B263" s="59"/>
    </row>
    <row r="264" spans="2:2" s="1" customFormat="1" ht="15">
      <c r="B264" s="59"/>
    </row>
    <row r="265" spans="2:2" s="1" customFormat="1" ht="15">
      <c r="B265" s="59"/>
    </row>
    <row r="266" spans="2:2" s="1" customFormat="1" ht="15">
      <c r="B266" s="59"/>
    </row>
    <row r="267" spans="2:2" s="1" customFormat="1" ht="15">
      <c r="B267" s="59"/>
    </row>
    <row r="268" spans="2:2" s="1" customFormat="1" ht="15">
      <c r="B268" s="59"/>
    </row>
    <row r="269" spans="2:2" s="1" customFormat="1" ht="15">
      <c r="B269" s="59"/>
    </row>
    <row r="270" spans="2:2" s="1" customFormat="1" ht="15">
      <c r="B270" s="59"/>
    </row>
    <row r="271" spans="2:2" s="1" customFormat="1" ht="15">
      <c r="B271" s="59"/>
    </row>
    <row r="272" spans="2:2" s="1" customFormat="1" ht="15">
      <c r="B272" s="59"/>
    </row>
    <row r="273" spans="2:2" s="1" customFormat="1" ht="15">
      <c r="B273" s="59"/>
    </row>
    <row r="274" spans="2:2" s="1" customFormat="1" ht="15">
      <c r="B274" s="59"/>
    </row>
    <row r="275" spans="2:2" s="1" customFormat="1" ht="15">
      <c r="B275" s="59"/>
    </row>
    <row r="276" spans="2:2" s="1" customFormat="1" ht="15">
      <c r="B276" s="59"/>
    </row>
    <row r="277" spans="2:2" s="1" customFormat="1" ht="15">
      <c r="B277" s="59"/>
    </row>
    <row r="278" spans="2:2" s="1" customFormat="1" ht="15">
      <c r="B278" s="59"/>
    </row>
    <row r="279" spans="2:2" s="1" customFormat="1" ht="15">
      <c r="B279" s="59"/>
    </row>
    <row r="280" spans="2:2" s="1" customFormat="1" ht="15">
      <c r="B280" s="59"/>
    </row>
    <row r="281" spans="2:2" s="1" customFormat="1" ht="15">
      <c r="B281" s="59"/>
    </row>
    <row r="282" spans="2:2" s="1" customFormat="1" ht="15">
      <c r="B282" s="59"/>
    </row>
    <row r="283" spans="2:2" s="1" customFormat="1" ht="15">
      <c r="B283" s="59"/>
    </row>
    <row r="284" spans="2:2" s="1" customFormat="1" ht="15">
      <c r="B284" s="59"/>
    </row>
    <row r="285" spans="2:2" s="1" customFormat="1" ht="15">
      <c r="B285" s="59"/>
    </row>
    <row r="286" spans="2:2" s="1" customFormat="1" ht="15">
      <c r="B286" s="59"/>
    </row>
    <row r="287" spans="2:2" s="1" customFormat="1" ht="15">
      <c r="B287" s="59"/>
    </row>
    <row r="288" spans="2:2" s="1" customFormat="1" ht="15">
      <c r="B288" s="59"/>
    </row>
    <row r="289" spans="2:2" s="1" customFormat="1" ht="15">
      <c r="B289" s="59"/>
    </row>
    <row r="290" spans="2:2" s="1" customFormat="1" ht="15">
      <c r="B290" s="59"/>
    </row>
    <row r="291" spans="2:2" s="1" customFormat="1" ht="15">
      <c r="B291" s="59"/>
    </row>
    <row r="292" spans="2:2" s="1" customFormat="1" ht="15">
      <c r="B292" s="59"/>
    </row>
    <row r="293" spans="2:2" s="1" customFormat="1" ht="15">
      <c r="B293" s="59"/>
    </row>
    <row r="294" spans="2:2" s="1" customFormat="1" ht="15">
      <c r="B294" s="59"/>
    </row>
    <row r="295" spans="2:2" s="1" customFormat="1" ht="15">
      <c r="B295" s="59"/>
    </row>
    <row r="296" spans="2:2" s="1" customFormat="1" ht="15">
      <c r="B296" s="59"/>
    </row>
    <row r="297" spans="2:2" s="1" customFormat="1" ht="15">
      <c r="B297" s="59"/>
    </row>
    <row r="298" spans="2:2" s="1" customFormat="1" ht="15">
      <c r="B298" s="59"/>
    </row>
    <row r="299" spans="2:2" s="1" customFormat="1" ht="15">
      <c r="B299" s="59"/>
    </row>
    <row r="300" spans="2:2" s="1" customFormat="1" ht="15">
      <c r="B300" s="59"/>
    </row>
    <row r="301" spans="2:2" s="1" customFormat="1" ht="15">
      <c r="B301" s="59"/>
    </row>
    <row r="302" spans="2:2" s="1" customFormat="1" ht="15">
      <c r="B302" s="59"/>
    </row>
    <row r="303" spans="2:2" s="1" customFormat="1" ht="15">
      <c r="B303" s="59"/>
    </row>
    <row r="304" spans="2:2" s="1" customFormat="1" ht="15">
      <c r="B304" s="59"/>
    </row>
    <row r="305" spans="2:2" s="1" customFormat="1" ht="15">
      <c r="B305" s="59"/>
    </row>
    <row r="306" spans="2:2" s="1" customFormat="1" ht="15">
      <c r="B306" s="59"/>
    </row>
    <row r="307" spans="2:2" s="1" customFormat="1" ht="15">
      <c r="B307" s="59"/>
    </row>
    <row r="308" spans="2:2" s="1" customFormat="1" ht="15">
      <c r="B308" s="59"/>
    </row>
    <row r="309" spans="2:2" s="1" customFormat="1" ht="15">
      <c r="B309" s="59"/>
    </row>
    <row r="310" spans="2:2" s="1" customFormat="1" ht="15">
      <c r="B310" s="59"/>
    </row>
    <row r="311" spans="2:2" s="1" customFormat="1" ht="15">
      <c r="B311" s="59"/>
    </row>
    <row r="312" spans="2:2" s="1" customFormat="1" ht="15">
      <c r="B312" s="59"/>
    </row>
    <row r="313" spans="2:2" s="1" customFormat="1" ht="15">
      <c r="B313" s="59"/>
    </row>
    <row r="314" spans="2:2" s="1" customFormat="1" ht="15">
      <c r="B314" s="59"/>
    </row>
    <row r="315" spans="2:2" s="1" customFormat="1" ht="15">
      <c r="B315" s="59"/>
    </row>
    <row r="316" spans="2:2" s="1" customFormat="1" ht="15">
      <c r="B316" s="59"/>
    </row>
    <row r="317" spans="2:2" s="1" customFormat="1" ht="15">
      <c r="B317" s="59"/>
    </row>
    <row r="318" spans="2:2" s="1" customFormat="1" ht="15">
      <c r="B318" s="59"/>
    </row>
    <row r="319" spans="2:2" s="1" customFormat="1" ht="15">
      <c r="B319" s="59"/>
    </row>
    <row r="320" spans="2:2" s="1" customFormat="1" ht="15">
      <c r="B320" s="59"/>
    </row>
    <row r="321" spans="2:2" s="1" customFormat="1" ht="15">
      <c r="B321" s="59"/>
    </row>
    <row r="322" spans="2:2" s="1" customFormat="1" ht="15">
      <c r="B322" s="59"/>
    </row>
    <row r="323" spans="2:2" s="1" customFormat="1" ht="15">
      <c r="B323" s="59"/>
    </row>
    <row r="324" spans="2:2" s="1" customFormat="1" ht="15">
      <c r="B324" s="59"/>
    </row>
    <row r="325" spans="2:2" s="1" customFormat="1" ht="15">
      <c r="B325" s="59"/>
    </row>
    <row r="326" spans="2:2" s="1" customFormat="1" ht="15">
      <c r="B326" s="59"/>
    </row>
    <row r="327" spans="2:2" s="1" customFormat="1" ht="15">
      <c r="B327" s="59"/>
    </row>
    <row r="328" spans="2:2" s="1" customFormat="1" ht="15">
      <c r="B328" s="59"/>
    </row>
    <row r="329" spans="2:2" s="1" customFormat="1" ht="15">
      <c r="B329" s="59"/>
    </row>
    <row r="330" spans="2:2" s="1" customFormat="1" ht="15">
      <c r="B330" s="59"/>
    </row>
    <row r="331" spans="2:2" s="1" customFormat="1" ht="15">
      <c r="B331" s="59"/>
    </row>
    <row r="332" spans="2:2" s="1" customFormat="1" ht="15">
      <c r="B332" s="59"/>
    </row>
    <row r="333" spans="2:2" s="1" customFormat="1" ht="15">
      <c r="B333" s="59"/>
    </row>
    <row r="334" spans="2:2" s="1" customFormat="1" ht="15">
      <c r="B334" s="59"/>
    </row>
    <row r="335" spans="2:2" s="1" customFormat="1" ht="15">
      <c r="B335" s="59"/>
    </row>
    <row r="336" spans="2:2" s="1" customFormat="1" ht="15">
      <c r="B336" s="59"/>
    </row>
    <row r="337" spans="2:2" s="1" customFormat="1" ht="15">
      <c r="B337" s="59"/>
    </row>
    <row r="338" spans="2:2" s="1" customFormat="1" ht="15">
      <c r="B338" s="59"/>
    </row>
    <row r="339" spans="2:2" s="1" customFormat="1" ht="15">
      <c r="B339" s="59"/>
    </row>
    <row r="340" spans="2:2" s="1" customFormat="1" ht="15">
      <c r="B340" s="59"/>
    </row>
    <row r="341" spans="2:2" s="1" customFormat="1" ht="15">
      <c r="B341" s="59"/>
    </row>
    <row r="342" spans="2:2" s="1" customFormat="1" ht="15">
      <c r="B342" s="59"/>
    </row>
    <row r="343" spans="2:2" s="1" customFormat="1" ht="15">
      <c r="B343" s="59"/>
    </row>
    <row r="344" spans="2:2" s="1" customFormat="1" ht="15">
      <c r="B344" s="59"/>
    </row>
    <row r="345" spans="2:2" s="1" customFormat="1" ht="15">
      <c r="B345" s="59"/>
    </row>
    <row r="346" spans="2:2" s="1" customFormat="1" ht="15">
      <c r="B346" s="59"/>
    </row>
    <row r="347" spans="2:2" s="1" customFormat="1" ht="15">
      <c r="B347" s="59"/>
    </row>
    <row r="348" spans="2:2" s="1" customFormat="1" ht="15">
      <c r="B348" s="59"/>
    </row>
    <row r="349" spans="2:2" s="1" customFormat="1" ht="15">
      <c r="B349" s="59"/>
    </row>
    <row r="350" spans="2:2" s="1" customFormat="1" ht="15">
      <c r="B350" s="59"/>
    </row>
    <row r="351" spans="2:2" s="1" customFormat="1" ht="15">
      <c r="B351" s="59"/>
    </row>
    <row r="352" spans="2:2" s="1" customFormat="1" ht="15">
      <c r="B352" s="59"/>
    </row>
    <row r="353" spans="2:2" s="1" customFormat="1" ht="15">
      <c r="B353" s="59"/>
    </row>
    <row r="354" spans="2:2" s="1" customFormat="1" ht="15">
      <c r="B354" s="59"/>
    </row>
    <row r="355" spans="2:2" s="1" customFormat="1" ht="15">
      <c r="B355" s="59"/>
    </row>
    <row r="356" spans="2:2" s="1" customFormat="1" ht="15">
      <c r="B356" s="59"/>
    </row>
    <row r="357" spans="2:2" s="1" customFormat="1" ht="15">
      <c r="B357" s="59"/>
    </row>
    <row r="358" spans="2:2" s="1" customFormat="1" ht="15">
      <c r="B358" s="59"/>
    </row>
    <row r="359" spans="2:2" s="1" customFormat="1" ht="15">
      <c r="B359" s="59"/>
    </row>
    <row r="360" spans="2:2" s="1" customFormat="1" ht="15">
      <c r="B360" s="59"/>
    </row>
    <row r="361" spans="2:2" s="1" customFormat="1" ht="15">
      <c r="B361" s="59"/>
    </row>
    <row r="362" spans="2:2" s="1" customFormat="1" ht="15">
      <c r="B362" s="59"/>
    </row>
    <row r="363" spans="2:2" s="1" customFormat="1" ht="15">
      <c r="B363" s="59"/>
    </row>
    <row r="364" spans="2:2" s="1" customFormat="1" ht="15">
      <c r="B364" s="59"/>
    </row>
    <row r="365" spans="2:2" s="1" customFormat="1" ht="15">
      <c r="B365" s="59"/>
    </row>
    <row r="366" spans="2:2" s="1" customFormat="1" ht="15">
      <c r="B366" s="59"/>
    </row>
    <row r="367" spans="2:2" s="1" customFormat="1" ht="15">
      <c r="B367" s="59"/>
    </row>
    <row r="368" spans="2:2" s="1" customFormat="1" ht="15">
      <c r="B368" s="59"/>
    </row>
    <row r="369" spans="2:2" s="1" customFormat="1" ht="15">
      <c r="B369" s="59"/>
    </row>
    <row r="370" spans="2:2" s="1" customFormat="1" ht="15">
      <c r="B370" s="59"/>
    </row>
    <row r="371" spans="2:2" s="1" customFormat="1" ht="15">
      <c r="B371" s="59"/>
    </row>
    <row r="372" spans="2:2" s="1" customFormat="1" ht="15">
      <c r="B372" s="59"/>
    </row>
    <row r="373" spans="2:2" s="1" customFormat="1" ht="15">
      <c r="B373" s="59"/>
    </row>
    <row r="374" spans="2:2" s="1" customFormat="1" ht="15">
      <c r="B374" s="59"/>
    </row>
    <row r="375" spans="2:2" s="1" customFormat="1" ht="15">
      <c r="B375" s="59"/>
    </row>
    <row r="376" spans="2:2" s="1" customFormat="1" ht="15">
      <c r="B376" s="59"/>
    </row>
    <row r="377" spans="2:2" s="1" customFormat="1" ht="15">
      <c r="B377" s="59"/>
    </row>
    <row r="378" spans="2:2" s="1" customFormat="1" ht="15">
      <c r="B378" s="59"/>
    </row>
    <row r="379" spans="2:2" s="1" customFormat="1" ht="15">
      <c r="B379" s="59"/>
    </row>
    <row r="380" spans="2:2" s="1" customFormat="1" ht="15">
      <c r="B380" s="59"/>
    </row>
    <row r="381" spans="2:2" s="1" customFormat="1" ht="15">
      <c r="B381" s="59"/>
    </row>
    <row r="382" spans="2:2" s="1" customFormat="1" ht="15">
      <c r="B382" s="59"/>
    </row>
    <row r="383" spans="2:2" s="1" customFormat="1" ht="15">
      <c r="B383" s="59"/>
    </row>
    <row r="384" spans="2:2" s="1" customFormat="1" ht="15">
      <c r="B384" s="59"/>
    </row>
    <row r="385" spans="2:2" s="1" customFormat="1" ht="15">
      <c r="B385" s="59"/>
    </row>
    <row r="386" spans="2:2" s="1" customFormat="1" ht="15">
      <c r="B386" s="59"/>
    </row>
    <row r="387" spans="2:2" s="1" customFormat="1" ht="15">
      <c r="B387" s="59"/>
    </row>
    <row r="388" spans="2:2" s="1" customFormat="1" ht="15">
      <c r="B388" s="59"/>
    </row>
    <row r="389" spans="2:2" s="1" customFormat="1" ht="15">
      <c r="B389" s="59"/>
    </row>
    <row r="390" spans="2:2" s="1" customFormat="1" ht="15">
      <c r="B390" s="59"/>
    </row>
    <row r="391" spans="2:2" s="1" customFormat="1" ht="15">
      <c r="B391" s="59"/>
    </row>
    <row r="392" spans="2:2" s="1" customFormat="1" ht="15">
      <c r="B392" s="59"/>
    </row>
    <row r="393" spans="2:2" s="1" customFormat="1" ht="15">
      <c r="B393" s="59"/>
    </row>
    <row r="394" spans="2:2" s="1" customFormat="1" ht="15">
      <c r="B394" s="59"/>
    </row>
    <row r="395" spans="2:2" s="1" customFormat="1" ht="15">
      <c r="B395" s="59"/>
    </row>
    <row r="396" spans="2:2" s="1" customFormat="1" ht="15">
      <c r="B396" s="59"/>
    </row>
    <row r="397" spans="2:2" s="1" customFormat="1" ht="15">
      <c r="B397" s="59"/>
    </row>
    <row r="398" spans="2:2" s="1" customFormat="1" ht="15">
      <c r="B398" s="59"/>
    </row>
    <row r="399" spans="2:2" s="1" customFormat="1" ht="15">
      <c r="B399" s="59"/>
    </row>
    <row r="400" spans="2:2" s="1" customFormat="1" ht="15">
      <c r="B400" s="59"/>
    </row>
    <row r="401" spans="2:2" s="1" customFormat="1" ht="15">
      <c r="B401" s="59"/>
    </row>
    <row r="402" spans="2:2" s="1" customFormat="1" ht="15">
      <c r="B402" s="59"/>
    </row>
    <row r="403" spans="2:2" s="1" customFormat="1" ht="15">
      <c r="B403" s="59"/>
    </row>
    <row r="404" spans="2:2" s="1" customFormat="1" ht="15">
      <c r="B404" s="59"/>
    </row>
    <row r="405" spans="2:2" s="1" customFormat="1" ht="15">
      <c r="B405" s="59"/>
    </row>
    <row r="406" spans="2:2" s="1" customFormat="1" ht="15">
      <c r="B406" s="59"/>
    </row>
    <row r="407" spans="2:2" s="1" customFormat="1" ht="15">
      <c r="B407" s="59"/>
    </row>
    <row r="408" spans="2:2" s="1" customFormat="1" ht="15">
      <c r="B408" s="59"/>
    </row>
    <row r="409" spans="2:2" s="1" customFormat="1" ht="15">
      <c r="B409" s="59"/>
    </row>
    <row r="410" spans="2:2" s="1" customFormat="1" ht="15">
      <c r="B410" s="59"/>
    </row>
    <row r="411" spans="2:2" s="1" customFormat="1" ht="15">
      <c r="B411" s="59"/>
    </row>
    <row r="412" spans="2:2" s="1" customFormat="1" ht="15">
      <c r="B412" s="59"/>
    </row>
    <row r="413" spans="2:2" s="1" customFormat="1" ht="15">
      <c r="B413" s="59"/>
    </row>
    <row r="414" spans="2:2" s="1" customFormat="1" ht="15">
      <c r="B414" s="59"/>
    </row>
    <row r="415" spans="2:2" s="1" customFormat="1" ht="15">
      <c r="B415" s="59"/>
    </row>
    <row r="416" spans="2:2" s="1" customFormat="1" ht="15">
      <c r="B416" s="59"/>
    </row>
    <row r="417" spans="2:2" s="1" customFormat="1" ht="15">
      <c r="B417" s="59"/>
    </row>
    <row r="418" spans="2:2" s="1" customFormat="1" ht="15">
      <c r="B418" s="59"/>
    </row>
    <row r="419" spans="2:2" s="1" customFormat="1" ht="15">
      <c r="B419" s="59"/>
    </row>
    <row r="420" spans="2:2" s="1" customFormat="1" ht="15">
      <c r="B420" s="59"/>
    </row>
    <row r="421" spans="2:2" s="1" customFormat="1" ht="15">
      <c r="B421" s="59"/>
    </row>
    <row r="422" spans="2:2" s="1" customFormat="1" ht="15">
      <c r="B422" s="59"/>
    </row>
    <row r="423" spans="2:2" s="1" customFormat="1" ht="15">
      <c r="B423" s="59"/>
    </row>
    <row r="424" spans="2:2" s="1" customFormat="1" ht="15">
      <c r="B424" s="59"/>
    </row>
    <row r="425" spans="2:2" s="1" customFormat="1" ht="15">
      <c r="B425" s="59"/>
    </row>
    <row r="426" spans="2:2" s="1" customFormat="1" ht="15">
      <c r="B426" s="59"/>
    </row>
    <row r="427" spans="2:2" s="1" customFormat="1" ht="15">
      <c r="B427" s="59"/>
    </row>
    <row r="428" spans="2:2" s="1" customFormat="1" ht="15">
      <c r="B428" s="59"/>
    </row>
    <row r="429" spans="2:2" s="1" customFormat="1" ht="15">
      <c r="B429" s="59"/>
    </row>
    <row r="430" spans="2:2" s="1" customFormat="1" ht="15">
      <c r="B430" s="59"/>
    </row>
    <row r="431" spans="2:2" s="1" customFormat="1" ht="15">
      <c r="B431" s="59"/>
    </row>
    <row r="432" spans="2:2" s="1" customFormat="1" ht="15">
      <c r="B432" s="59"/>
    </row>
    <row r="433" spans="2:2" s="1" customFormat="1" ht="15">
      <c r="B433" s="59"/>
    </row>
    <row r="434" spans="2:2" s="1" customFormat="1" ht="15">
      <c r="B434" s="59"/>
    </row>
    <row r="435" spans="2:2" s="1" customFormat="1" ht="15">
      <c r="B435" s="59"/>
    </row>
    <row r="436" spans="2:2" s="1" customFormat="1" ht="15">
      <c r="B436" s="59"/>
    </row>
    <row r="437" spans="2:2" s="1" customFormat="1" ht="15">
      <c r="B437" s="59"/>
    </row>
    <row r="438" spans="2:2" s="1" customFormat="1" ht="15">
      <c r="B438" s="59"/>
    </row>
    <row r="439" spans="2:2" s="1" customFormat="1" ht="15">
      <c r="B439" s="59"/>
    </row>
    <row r="440" spans="2:2" s="1" customFormat="1" ht="15">
      <c r="B440" s="59"/>
    </row>
    <row r="441" spans="2:2" s="1" customFormat="1" ht="15">
      <c r="B441" s="59"/>
    </row>
    <row r="442" spans="2:2" s="1" customFormat="1" ht="15">
      <c r="B442" s="59"/>
    </row>
    <row r="443" spans="2:2" s="1" customFormat="1" ht="15">
      <c r="B443" s="59"/>
    </row>
    <row r="444" spans="2:2" s="1" customFormat="1" ht="15">
      <c r="B444" s="59"/>
    </row>
    <row r="445" spans="2:2" s="1" customFormat="1" ht="15">
      <c r="B445" s="59"/>
    </row>
    <row r="446" spans="2:2" s="1" customFormat="1" ht="15">
      <c r="B446" s="59"/>
    </row>
    <row r="447" spans="2:2" s="1" customFormat="1" ht="15">
      <c r="B447" s="59"/>
    </row>
    <row r="448" spans="2:2" s="1" customFormat="1" ht="15">
      <c r="B448" s="59"/>
    </row>
    <row r="449" spans="2:2" s="1" customFormat="1" ht="15">
      <c r="B449" s="59"/>
    </row>
    <row r="450" spans="2:2" s="1" customFormat="1" ht="15">
      <c r="B450" s="59"/>
    </row>
    <row r="451" spans="2:2" s="1" customFormat="1" ht="15">
      <c r="B451" s="59"/>
    </row>
    <row r="452" spans="2:2" s="1" customFormat="1" ht="15">
      <c r="B452" s="59"/>
    </row>
    <row r="453" spans="2:2" s="1" customFormat="1" ht="15">
      <c r="B453" s="59"/>
    </row>
    <row r="454" spans="2:2" s="1" customFormat="1" ht="15">
      <c r="B454" s="59"/>
    </row>
    <row r="455" spans="2:2" s="1" customFormat="1" ht="15">
      <c r="B455" s="59"/>
    </row>
    <row r="456" spans="2:2" s="1" customFormat="1" ht="15">
      <c r="B456" s="59"/>
    </row>
    <row r="457" spans="2:2" s="1" customFormat="1" ht="15">
      <c r="B457" s="59"/>
    </row>
    <row r="458" spans="2:2" s="1" customFormat="1" ht="15">
      <c r="B458" s="59"/>
    </row>
    <row r="459" spans="2:2" s="1" customFormat="1" ht="15">
      <c r="B459" s="59"/>
    </row>
    <row r="460" spans="2:2" s="1" customFormat="1" ht="15">
      <c r="B460" s="59"/>
    </row>
    <row r="461" spans="2:2" s="1" customFormat="1" ht="15">
      <c r="B461" s="59"/>
    </row>
    <row r="462" spans="2:2" s="1" customFormat="1" ht="15">
      <c r="B462" s="59"/>
    </row>
    <row r="463" spans="2:2" s="1" customFormat="1" ht="15">
      <c r="B463" s="59"/>
    </row>
    <row r="464" spans="2:2" s="1" customFormat="1" ht="15">
      <c r="B464" s="59"/>
    </row>
    <row r="465" spans="2:2" s="1" customFormat="1" ht="15">
      <c r="B465" s="59"/>
    </row>
    <row r="466" spans="2:2" s="1" customFormat="1" ht="15">
      <c r="B466" s="59"/>
    </row>
    <row r="467" spans="2:2" s="1" customFormat="1" ht="15">
      <c r="B467" s="59"/>
    </row>
    <row r="468" spans="2:2" s="1" customFormat="1" ht="15">
      <c r="B468" s="59"/>
    </row>
    <row r="469" spans="2:2" s="1" customFormat="1" ht="15">
      <c r="B469" s="59"/>
    </row>
    <row r="470" spans="2:2" s="1" customFormat="1" ht="15">
      <c r="B470" s="59"/>
    </row>
    <row r="471" spans="2:2" s="1" customFormat="1" ht="15">
      <c r="B471" s="59"/>
    </row>
    <row r="472" spans="2:2" s="1" customFormat="1" ht="15">
      <c r="B472" s="59"/>
    </row>
    <row r="473" spans="2:2" s="1" customFormat="1" ht="15">
      <c r="B473" s="59"/>
    </row>
    <row r="474" spans="2:2" s="1" customFormat="1" ht="15">
      <c r="B474" s="59"/>
    </row>
    <row r="475" spans="2:2" s="1" customFormat="1" ht="15">
      <c r="B475" s="59"/>
    </row>
    <row r="476" spans="2:2" s="1" customFormat="1" ht="15">
      <c r="B476" s="59"/>
    </row>
    <row r="477" spans="2:2" s="1" customFormat="1" ht="15">
      <c r="B477" s="59"/>
    </row>
    <row r="478" spans="2:2" s="1" customFormat="1" ht="15">
      <c r="B478" s="59"/>
    </row>
    <row r="479" spans="2:2" s="1" customFormat="1" ht="15">
      <c r="B479" s="59"/>
    </row>
    <row r="480" spans="2:2" s="1" customFormat="1" ht="15">
      <c r="B480" s="59"/>
    </row>
    <row r="481" spans="2:2" s="1" customFormat="1" ht="15">
      <c r="B481" s="59"/>
    </row>
    <row r="482" spans="2:2" s="1" customFormat="1" ht="15">
      <c r="B482" s="59"/>
    </row>
    <row r="483" spans="2:2" s="1" customFormat="1" ht="15">
      <c r="B483" s="59"/>
    </row>
    <row r="484" spans="2:2" s="1" customFormat="1" ht="15">
      <c r="B484" s="59"/>
    </row>
    <row r="485" spans="2:2" s="1" customFormat="1" ht="15">
      <c r="B485" s="59"/>
    </row>
    <row r="486" spans="2:2" s="1" customFormat="1" ht="15">
      <c r="B486" s="59"/>
    </row>
    <row r="487" spans="2:2" s="1" customFormat="1" ht="15">
      <c r="B487" s="59"/>
    </row>
    <row r="488" spans="2:2" s="1" customFormat="1" ht="15">
      <c r="B488" s="59"/>
    </row>
    <row r="489" spans="2:2" s="1" customFormat="1" ht="15">
      <c r="B489" s="59"/>
    </row>
    <row r="490" spans="2:2" s="1" customFormat="1" ht="15">
      <c r="B490" s="59"/>
    </row>
    <row r="491" spans="2:2" s="1" customFormat="1" ht="15">
      <c r="B491" s="59"/>
    </row>
    <row r="492" spans="2:2" s="1" customFormat="1" ht="15">
      <c r="B492" s="59"/>
    </row>
    <row r="493" spans="2:2" s="1" customFormat="1" ht="15">
      <c r="B493" s="59"/>
    </row>
    <row r="494" spans="2:2" s="1" customFormat="1" ht="15">
      <c r="B494" s="59"/>
    </row>
    <row r="495" spans="2:2" s="1" customFormat="1" ht="15">
      <c r="B495" s="59"/>
    </row>
    <row r="496" spans="2:2" s="1" customFormat="1" ht="15">
      <c r="B496" s="59"/>
    </row>
    <row r="497" spans="2:2" s="1" customFormat="1" ht="15">
      <c r="B497" s="59"/>
    </row>
    <row r="498" spans="2:2" s="1" customFormat="1" ht="15">
      <c r="B498" s="59"/>
    </row>
    <row r="499" spans="2:2" s="1" customFormat="1" ht="15">
      <c r="B499" s="59"/>
    </row>
    <row r="500" spans="2:2" s="1" customFormat="1" ht="15">
      <c r="B500" s="59"/>
    </row>
    <row r="501" spans="2:2" s="1" customFormat="1" ht="15">
      <c r="B501" s="59"/>
    </row>
    <row r="502" spans="2:2" s="1" customFormat="1" ht="15">
      <c r="B502" s="59"/>
    </row>
    <row r="503" spans="2:2" s="1" customFormat="1" ht="15">
      <c r="B503" s="59"/>
    </row>
    <row r="504" spans="2:2" s="1" customFormat="1" ht="15">
      <c r="B504" s="59"/>
    </row>
    <row r="505" spans="2:2" s="1" customFormat="1" ht="15">
      <c r="B505" s="59"/>
    </row>
    <row r="506" spans="2:2" s="1" customFormat="1" ht="15">
      <c r="B506" s="59"/>
    </row>
    <row r="507" spans="2:2" s="1" customFormat="1" ht="15">
      <c r="B507" s="59"/>
    </row>
    <row r="508" spans="2:2" s="1" customFormat="1" ht="15">
      <c r="B508" s="59"/>
    </row>
    <row r="509" spans="2:2" s="1" customFormat="1" ht="15">
      <c r="B509" s="59"/>
    </row>
    <row r="510" spans="2:2" s="1" customFormat="1" ht="15">
      <c r="B510" s="59"/>
    </row>
    <row r="511" spans="2:2" s="1" customFormat="1" ht="15">
      <c r="B511" s="59"/>
    </row>
    <row r="512" spans="2:2" s="1" customFormat="1" ht="15">
      <c r="B512" s="59"/>
    </row>
    <row r="513" spans="2:2" s="1" customFormat="1" ht="15">
      <c r="B513" s="59"/>
    </row>
    <row r="514" spans="2:2" s="1" customFormat="1" ht="15">
      <c r="B514" s="59"/>
    </row>
    <row r="515" spans="2:2" s="1" customFormat="1" ht="15">
      <c r="B515" s="59"/>
    </row>
    <row r="516" spans="2:2" s="1" customFormat="1" ht="15">
      <c r="B516" s="59"/>
    </row>
    <row r="517" spans="2:2" s="1" customFormat="1" ht="15">
      <c r="B517" s="59"/>
    </row>
    <row r="518" spans="2:2" s="1" customFormat="1" ht="15">
      <c r="B518" s="59"/>
    </row>
    <row r="519" spans="2:2" s="1" customFormat="1" ht="15">
      <c r="B519" s="59"/>
    </row>
    <row r="520" spans="2:2" s="1" customFormat="1" ht="15">
      <c r="B520" s="59"/>
    </row>
    <row r="521" spans="2:2" s="1" customFormat="1" ht="15">
      <c r="B521" s="59"/>
    </row>
    <row r="522" spans="2:2" s="1" customFormat="1" ht="15">
      <c r="B522" s="59"/>
    </row>
    <row r="523" spans="2:2" s="1" customFormat="1" ht="15">
      <c r="B523" s="59"/>
    </row>
    <row r="524" spans="2:2" s="1" customFormat="1" ht="15">
      <c r="B524" s="59"/>
    </row>
    <row r="525" spans="2:2" s="1" customFormat="1" ht="15">
      <c r="B525" s="59"/>
    </row>
    <row r="526" spans="2:2" s="1" customFormat="1" ht="15">
      <c r="B526" s="59"/>
    </row>
    <row r="527" spans="2:2" s="1" customFormat="1" ht="15">
      <c r="B527" s="59"/>
    </row>
    <row r="528" spans="2:2" s="1" customFormat="1" ht="15">
      <c r="B528" s="59"/>
    </row>
    <row r="529" spans="2:2" s="1" customFormat="1" ht="15">
      <c r="B529" s="59"/>
    </row>
    <row r="530" spans="2:2" s="1" customFormat="1" ht="15">
      <c r="B530" s="59"/>
    </row>
    <row r="531" spans="2:2" s="1" customFormat="1" ht="15">
      <c r="B531" s="59"/>
    </row>
    <row r="532" spans="2:2" s="1" customFormat="1" ht="15">
      <c r="B532" s="59"/>
    </row>
    <row r="533" spans="2:2" s="1" customFormat="1" ht="15">
      <c r="B533" s="59"/>
    </row>
    <row r="534" spans="2:2" s="1" customFormat="1" ht="15">
      <c r="B534" s="59"/>
    </row>
    <row r="535" spans="2:2" s="1" customFormat="1" ht="15">
      <c r="B535" s="59"/>
    </row>
    <row r="536" spans="2:2" s="1" customFormat="1" ht="15">
      <c r="B536" s="59"/>
    </row>
    <row r="537" spans="2:2" s="1" customFormat="1" ht="15">
      <c r="B537" s="59"/>
    </row>
    <row r="538" spans="2:2" s="1" customFormat="1" ht="15">
      <c r="B538" s="59"/>
    </row>
    <row r="539" spans="2:2" s="1" customFormat="1" ht="15">
      <c r="B539" s="59"/>
    </row>
    <row r="540" spans="2:2" s="1" customFormat="1" ht="15">
      <c r="B540" s="59"/>
    </row>
    <row r="541" spans="2:2" s="1" customFormat="1" ht="15">
      <c r="B541" s="59"/>
    </row>
    <row r="542" spans="2:2" s="1" customFormat="1" ht="15">
      <c r="B542" s="59"/>
    </row>
    <row r="543" spans="2:2" s="1" customFormat="1" ht="15">
      <c r="B543" s="59"/>
    </row>
    <row r="544" spans="2:2" s="1" customFormat="1" ht="15">
      <c r="B544" s="59"/>
    </row>
    <row r="545" spans="2:2" s="1" customFormat="1" ht="15">
      <c r="B545" s="59"/>
    </row>
    <row r="546" spans="2:2" s="1" customFormat="1" ht="15">
      <c r="B546" s="59"/>
    </row>
    <row r="547" spans="2:2" s="1" customFormat="1" ht="15">
      <c r="B547" s="59"/>
    </row>
    <row r="548" spans="2:2" s="1" customFormat="1" ht="15">
      <c r="B548" s="59"/>
    </row>
    <row r="549" spans="2:2" s="1" customFormat="1" ht="15">
      <c r="B549" s="59"/>
    </row>
    <row r="550" spans="2:2" s="1" customFormat="1" ht="15">
      <c r="B550" s="59"/>
    </row>
    <row r="551" spans="2:2" s="1" customFormat="1" ht="15">
      <c r="B551" s="59"/>
    </row>
    <row r="552" spans="2:2" s="1" customFormat="1" ht="15">
      <c r="B552" s="59"/>
    </row>
    <row r="553" spans="2:2" s="1" customFormat="1" ht="15">
      <c r="B553" s="59"/>
    </row>
    <row r="554" spans="2:2" s="1" customFormat="1" ht="15">
      <c r="B554" s="59"/>
    </row>
    <row r="555" spans="2:2" s="1" customFormat="1" ht="15">
      <c r="B555" s="59"/>
    </row>
    <row r="556" spans="2:2" s="1" customFormat="1" ht="15">
      <c r="B556" s="59"/>
    </row>
    <row r="557" spans="2:2" s="1" customFormat="1" ht="15">
      <c r="B557" s="59"/>
    </row>
    <row r="558" spans="2:2" s="1" customFormat="1" ht="15">
      <c r="B558" s="59"/>
    </row>
    <row r="559" spans="2:2" s="1" customFormat="1" ht="15">
      <c r="B559" s="59"/>
    </row>
    <row r="560" spans="2:2" s="1" customFormat="1" ht="15">
      <c r="B560" s="59"/>
    </row>
    <row r="561" spans="2:2" s="1" customFormat="1" ht="15">
      <c r="B561" s="59"/>
    </row>
    <row r="562" spans="2:2" s="1" customFormat="1" ht="15">
      <c r="B562" s="59"/>
    </row>
    <row r="563" spans="2:2" s="1" customFormat="1" ht="15">
      <c r="B563" s="59"/>
    </row>
    <row r="564" spans="2:2" s="1" customFormat="1" ht="15">
      <c r="B564" s="59"/>
    </row>
    <row r="565" spans="2:2" s="1" customFormat="1" ht="15">
      <c r="B565" s="59"/>
    </row>
    <row r="566" spans="2:2" s="1" customFormat="1" ht="15">
      <c r="B566" s="59"/>
    </row>
    <row r="567" spans="2:2" s="1" customFormat="1" ht="15">
      <c r="B567" s="59"/>
    </row>
    <row r="568" spans="2:2" s="1" customFormat="1" ht="15">
      <c r="B568" s="59"/>
    </row>
    <row r="569" spans="2:2" s="1" customFormat="1" ht="15">
      <c r="B569" s="59"/>
    </row>
    <row r="570" spans="2:2" s="1" customFormat="1" ht="15">
      <c r="B570" s="59"/>
    </row>
    <row r="571" spans="2:2" s="1" customFormat="1" ht="15">
      <c r="B571" s="59"/>
    </row>
    <row r="572" spans="2:2" s="1" customFormat="1" ht="15">
      <c r="B572" s="59"/>
    </row>
    <row r="573" spans="2:2" s="1" customFormat="1" ht="15">
      <c r="B573" s="59"/>
    </row>
    <row r="574" spans="2:2" s="1" customFormat="1" ht="15">
      <c r="B574" s="59"/>
    </row>
    <row r="575" spans="2:2" s="1" customFormat="1" ht="15">
      <c r="B575" s="59"/>
    </row>
    <row r="576" spans="2:2" s="1" customFormat="1" ht="15">
      <c r="B576" s="59"/>
    </row>
    <row r="577" spans="2:2" s="1" customFormat="1" ht="15">
      <c r="B577" s="59"/>
    </row>
    <row r="578" spans="2:2" s="1" customFormat="1" ht="15">
      <c r="B578" s="59"/>
    </row>
    <row r="579" spans="2:2" s="1" customFormat="1" ht="15">
      <c r="B579" s="59"/>
    </row>
    <row r="580" spans="2:2" s="1" customFormat="1" ht="15">
      <c r="B580" s="59"/>
    </row>
    <row r="581" spans="2:2" s="1" customFormat="1" ht="15">
      <c r="B581" s="59"/>
    </row>
    <row r="582" spans="2:2" s="1" customFormat="1" ht="15">
      <c r="B582" s="59"/>
    </row>
    <row r="583" spans="2:2" s="1" customFormat="1" ht="15">
      <c r="B583" s="59"/>
    </row>
    <row r="584" spans="2:2" s="1" customFormat="1" ht="15">
      <c r="B584" s="59"/>
    </row>
    <row r="585" spans="2:2" s="1" customFormat="1" ht="15">
      <c r="B585" s="59"/>
    </row>
    <row r="586" spans="2:2" s="1" customFormat="1" ht="15">
      <c r="B586" s="59"/>
    </row>
    <row r="587" spans="2:2" s="1" customFormat="1" ht="15">
      <c r="B587" s="59"/>
    </row>
    <row r="588" spans="2:2" s="1" customFormat="1" ht="15">
      <c r="B588" s="59"/>
    </row>
    <row r="589" spans="2:2" s="1" customFormat="1" ht="15">
      <c r="B589" s="59"/>
    </row>
    <row r="590" spans="2:2" s="1" customFormat="1" ht="15">
      <c r="B590" s="59"/>
    </row>
    <row r="591" spans="2:2" s="1" customFormat="1" ht="15">
      <c r="B591" s="59"/>
    </row>
    <row r="592" spans="2:2" s="1" customFormat="1" ht="15">
      <c r="B592" s="59"/>
    </row>
    <row r="593" spans="2:2" s="1" customFormat="1" ht="15">
      <c r="B593" s="59"/>
    </row>
    <row r="594" spans="2:2" s="1" customFormat="1" ht="15">
      <c r="B594" s="59"/>
    </row>
    <row r="595" spans="2:2" s="1" customFormat="1" ht="15">
      <c r="B595" s="59"/>
    </row>
    <row r="596" spans="2:2" s="1" customFormat="1" ht="15">
      <c r="B596" s="59"/>
    </row>
    <row r="597" spans="2:2" s="1" customFormat="1" ht="15">
      <c r="B597" s="59"/>
    </row>
    <row r="598" spans="2:2" s="1" customFormat="1" ht="15">
      <c r="B598" s="59"/>
    </row>
    <row r="599" spans="2:2" s="1" customFormat="1" ht="15">
      <c r="B599" s="59"/>
    </row>
    <row r="600" spans="2:2" s="1" customFormat="1" ht="15">
      <c r="B600" s="59"/>
    </row>
    <row r="601" spans="2:2" s="1" customFormat="1" ht="15">
      <c r="B601" s="59"/>
    </row>
    <row r="602" spans="2:2" s="1" customFormat="1" ht="15">
      <c r="B602" s="59"/>
    </row>
    <row r="603" spans="2:2" s="1" customFormat="1" ht="15">
      <c r="B603" s="59"/>
    </row>
    <row r="604" spans="2:2" s="1" customFormat="1" ht="15">
      <c r="B604" s="59"/>
    </row>
    <row r="605" spans="2:2" s="1" customFormat="1" ht="15">
      <c r="B605" s="59"/>
    </row>
    <row r="606" spans="2:2" s="1" customFormat="1" ht="15">
      <c r="B606" s="59"/>
    </row>
    <row r="607" spans="2:2" s="1" customFormat="1" ht="15">
      <c r="B607" s="59"/>
    </row>
    <row r="608" spans="2:2" s="1" customFormat="1" ht="15">
      <c r="B608" s="59"/>
    </row>
    <row r="609" spans="2:2" s="1" customFormat="1" ht="15">
      <c r="B609" s="59"/>
    </row>
    <row r="610" spans="2:2" s="1" customFormat="1" ht="15">
      <c r="B610" s="59"/>
    </row>
    <row r="611" spans="2:2" s="1" customFormat="1" ht="15">
      <c r="B611" s="59"/>
    </row>
    <row r="612" spans="2:2" s="1" customFormat="1" ht="15">
      <c r="B612" s="59"/>
    </row>
    <row r="613" spans="2:2" s="1" customFormat="1" ht="15">
      <c r="B613" s="59"/>
    </row>
    <row r="614" spans="2:2" s="1" customFormat="1" ht="15">
      <c r="B614" s="59"/>
    </row>
    <row r="615" spans="2:2" s="1" customFormat="1" ht="15">
      <c r="B615" s="59"/>
    </row>
    <row r="616" spans="2:2" s="1" customFormat="1" ht="15">
      <c r="B616" s="59"/>
    </row>
    <row r="617" spans="2:2" s="1" customFormat="1" ht="15">
      <c r="B617" s="59"/>
    </row>
    <row r="618" spans="2:2" s="1" customFormat="1" ht="15">
      <c r="B618" s="59"/>
    </row>
    <row r="619" spans="2:2" s="1" customFormat="1" ht="15">
      <c r="B619" s="59"/>
    </row>
    <row r="620" spans="2:2" s="1" customFormat="1" ht="15">
      <c r="B620" s="59"/>
    </row>
    <row r="621" spans="2:2" s="1" customFormat="1" ht="15">
      <c r="B621" s="59"/>
    </row>
    <row r="622" spans="2:2" s="1" customFormat="1" ht="15">
      <c r="B622" s="59"/>
    </row>
    <row r="623" spans="2:2" s="1" customFormat="1" ht="15">
      <c r="B623" s="59"/>
    </row>
    <row r="624" spans="2:2" s="1" customFormat="1" ht="15">
      <c r="B624" s="59"/>
    </row>
    <row r="625" spans="2:2" s="1" customFormat="1" ht="15">
      <c r="B625" s="59"/>
    </row>
    <row r="626" spans="2:2" s="1" customFormat="1" ht="15">
      <c r="B626" s="59"/>
    </row>
    <row r="627" spans="2:2" s="1" customFormat="1" ht="15">
      <c r="B627" s="59"/>
    </row>
    <row r="628" spans="2:2" s="1" customFormat="1" ht="15">
      <c r="B628" s="59"/>
    </row>
    <row r="629" spans="2:2" s="1" customFormat="1" ht="15">
      <c r="B629" s="59"/>
    </row>
    <row r="630" spans="2:2" s="1" customFormat="1" ht="15">
      <c r="B630" s="59"/>
    </row>
    <row r="631" spans="2:2" s="1" customFormat="1" ht="15">
      <c r="B631" s="59"/>
    </row>
    <row r="632" spans="2:2" s="1" customFormat="1" ht="15">
      <c r="B632" s="59"/>
    </row>
    <row r="633" spans="2:2" s="1" customFormat="1" ht="15">
      <c r="B633" s="59"/>
    </row>
    <row r="634" spans="2:2" s="1" customFormat="1" ht="15">
      <c r="B634" s="59"/>
    </row>
    <row r="635" spans="2:2" s="1" customFormat="1" ht="15">
      <c r="B635" s="59"/>
    </row>
    <row r="636" spans="2:2" s="1" customFormat="1" ht="15">
      <c r="B636" s="59"/>
    </row>
    <row r="637" spans="2:2" s="1" customFormat="1" ht="15">
      <c r="B637" s="59"/>
    </row>
    <row r="638" spans="2:2" s="1" customFormat="1" ht="15">
      <c r="B638" s="59"/>
    </row>
    <row r="639" spans="2:2" s="1" customFormat="1" ht="15">
      <c r="B639" s="59"/>
    </row>
    <row r="640" spans="2:2" s="1" customFormat="1" ht="15">
      <c r="B640" s="59"/>
    </row>
    <row r="641" spans="2:2" s="1" customFormat="1" ht="15">
      <c r="B641" s="59"/>
    </row>
    <row r="642" spans="2:2" s="1" customFormat="1" ht="15">
      <c r="B642" s="59"/>
    </row>
    <row r="643" spans="2:2" s="1" customFormat="1" ht="15">
      <c r="B643" s="59"/>
    </row>
    <row r="644" spans="2:2" s="1" customFormat="1" ht="15">
      <c r="B644" s="59"/>
    </row>
    <row r="645" spans="2:2" s="1" customFormat="1" ht="15">
      <c r="B645" s="59"/>
    </row>
    <row r="646" spans="2:2" s="1" customFormat="1" ht="15">
      <c r="B646" s="59"/>
    </row>
    <row r="647" spans="2:2" s="1" customFormat="1" ht="15">
      <c r="B647" s="59"/>
    </row>
    <row r="648" spans="2:2" s="1" customFormat="1" ht="15">
      <c r="B648" s="59"/>
    </row>
    <row r="649" spans="2:2" s="1" customFormat="1" ht="15">
      <c r="B649" s="59"/>
    </row>
    <row r="650" spans="2:2" s="1" customFormat="1" ht="15">
      <c r="B650" s="59"/>
    </row>
    <row r="651" spans="2:2" s="1" customFormat="1" ht="15">
      <c r="B651" s="59"/>
    </row>
    <row r="652" spans="2:2" s="1" customFormat="1" ht="15">
      <c r="B652" s="59"/>
    </row>
    <row r="653" spans="2:2" s="1" customFormat="1" ht="15">
      <c r="B653" s="59"/>
    </row>
    <row r="654" spans="2:2" s="1" customFormat="1" ht="15">
      <c r="B654" s="59"/>
    </row>
    <row r="655" spans="2:2" s="1" customFormat="1" ht="15">
      <c r="B655" s="59"/>
    </row>
    <row r="656" spans="2:2" s="1" customFormat="1" ht="15">
      <c r="B656" s="59"/>
    </row>
    <row r="657" spans="2:2" s="1" customFormat="1" ht="15">
      <c r="B657" s="59"/>
    </row>
    <row r="658" spans="2:2" s="1" customFormat="1" ht="15">
      <c r="B658" s="59"/>
    </row>
    <row r="659" spans="2:2" s="1" customFormat="1" ht="15">
      <c r="B659" s="59"/>
    </row>
    <row r="660" spans="2:2" s="1" customFormat="1" ht="15">
      <c r="B660" s="59"/>
    </row>
    <row r="661" spans="2:2" s="1" customFormat="1" ht="15">
      <c r="B661" s="59"/>
    </row>
    <row r="662" spans="2:2" s="1" customFormat="1" ht="15">
      <c r="B662" s="59"/>
    </row>
    <row r="663" spans="2:2" s="1" customFormat="1" ht="15">
      <c r="B663" s="59"/>
    </row>
    <row r="664" spans="2:2" s="1" customFormat="1" ht="15">
      <c r="B664" s="59"/>
    </row>
    <row r="665" spans="2:2" s="1" customFormat="1" ht="15">
      <c r="B665" s="59"/>
    </row>
    <row r="666" spans="2:2" s="1" customFormat="1" ht="15">
      <c r="B666" s="59"/>
    </row>
    <row r="667" spans="2:2" s="1" customFormat="1" ht="15">
      <c r="B667" s="59"/>
    </row>
    <row r="668" spans="2:2" s="1" customFormat="1" ht="15">
      <c r="B668" s="59"/>
    </row>
    <row r="669" spans="2:2" s="1" customFormat="1" ht="15">
      <c r="B669" s="59"/>
    </row>
    <row r="670" spans="2:2" s="1" customFormat="1" ht="15">
      <c r="B670" s="59"/>
    </row>
    <row r="671" spans="2:2" s="1" customFormat="1" ht="15">
      <c r="B671" s="59"/>
    </row>
    <row r="672" spans="2:2" s="1" customFormat="1" ht="15">
      <c r="B672" s="59"/>
    </row>
    <row r="673" spans="2:2" s="1" customFormat="1" ht="15">
      <c r="B673" s="59"/>
    </row>
    <row r="674" spans="2:2" s="1" customFormat="1" ht="15">
      <c r="B674" s="59"/>
    </row>
    <row r="675" spans="2:2" s="1" customFormat="1" ht="15">
      <c r="B675" s="59"/>
    </row>
    <row r="676" spans="2:2" s="1" customFormat="1" ht="15">
      <c r="B676" s="59"/>
    </row>
    <row r="677" spans="2:2" s="1" customFormat="1" ht="15">
      <c r="B677" s="59"/>
    </row>
    <row r="678" spans="2:2" s="1" customFormat="1" ht="15">
      <c r="B678" s="59"/>
    </row>
    <row r="679" spans="2:2" s="1" customFormat="1" ht="15">
      <c r="B679" s="59"/>
    </row>
    <row r="680" spans="2:2" s="1" customFormat="1" ht="15">
      <c r="B680" s="59"/>
    </row>
    <row r="681" spans="2:2" s="1" customFormat="1" ht="15">
      <c r="B681" s="59"/>
    </row>
    <row r="682" spans="2:2" s="1" customFormat="1" ht="15">
      <c r="B682" s="59"/>
    </row>
    <row r="683" spans="2:2" s="1" customFormat="1" ht="15">
      <c r="B683" s="59"/>
    </row>
    <row r="684" spans="2:2" s="1" customFormat="1" ht="15">
      <c r="B684" s="59"/>
    </row>
    <row r="685" spans="2:2" s="1" customFormat="1" ht="15">
      <c r="B685" s="59"/>
    </row>
    <row r="686" spans="2:2" s="1" customFormat="1" ht="15">
      <c r="B686" s="59"/>
    </row>
    <row r="687" spans="2:2" s="1" customFormat="1" ht="15">
      <c r="B687" s="59"/>
    </row>
    <row r="688" spans="2:2" s="1" customFormat="1" ht="15">
      <c r="B688" s="59"/>
    </row>
    <row r="689" spans="2:2" s="1" customFormat="1" ht="15">
      <c r="B689" s="59"/>
    </row>
    <row r="690" spans="2:2" s="1" customFormat="1" ht="15">
      <c r="B690" s="59"/>
    </row>
    <row r="691" spans="2:2" s="1" customFormat="1" ht="15">
      <c r="B691" s="59"/>
    </row>
    <row r="692" spans="2:2" s="1" customFormat="1" ht="15">
      <c r="B692" s="59"/>
    </row>
    <row r="693" spans="2:2" s="1" customFormat="1" ht="15">
      <c r="B693" s="59"/>
    </row>
    <row r="694" spans="2:2" s="1" customFormat="1" ht="15">
      <c r="B694" s="59"/>
    </row>
    <row r="695" spans="2:2" s="1" customFormat="1" ht="15">
      <c r="B695" s="59"/>
    </row>
    <row r="696" spans="2:2" s="1" customFormat="1" ht="15">
      <c r="B696" s="59"/>
    </row>
    <row r="697" spans="2:2" s="1" customFormat="1" ht="15">
      <c r="B697" s="59"/>
    </row>
    <row r="698" spans="2:2" s="1" customFormat="1" ht="15">
      <c r="B698" s="59"/>
    </row>
    <row r="699" spans="2:2" s="1" customFormat="1" ht="15">
      <c r="B699" s="59"/>
    </row>
    <row r="700" spans="2:2" s="1" customFormat="1" ht="15">
      <c r="B700" s="59"/>
    </row>
    <row r="701" spans="2:2" s="1" customFormat="1" ht="15">
      <c r="B701" s="59"/>
    </row>
    <row r="702" spans="2:2" s="1" customFormat="1" ht="15">
      <c r="B702" s="59"/>
    </row>
    <row r="703" spans="2:2" s="1" customFormat="1" ht="15">
      <c r="B703" s="59"/>
    </row>
    <row r="704" spans="2:2" s="1" customFormat="1" ht="15">
      <c r="B704" s="59"/>
    </row>
    <row r="705" spans="2:2" s="1" customFormat="1" ht="15">
      <c r="B705" s="59"/>
    </row>
    <row r="706" spans="2:2" s="1" customFormat="1" ht="15">
      <c r="B706" s="59"/>
    </row>
    <row r="707" spans="2:2" s="1" customFormat="1" ht="15">
      <c r="B707" s="59"/>
    </row>
    <row r="708" spans="2:2" s="1" customFormat="1" ht="15">
      <c r="B708" s="59"/>
    </row>
    <row r="709" spans="2:2" s="1" customFormat="1" ht="15">
      <c r="B709" s="59"/>
    </row>
    <row r="710" spans="2:2" s="1" customFormat="1" ht="15">
      <c r="B710" s="59"/>
    </row>
    <row r="711" spans="2:2" s="1" customFormat="1" ht="15">
      <c r="B711" s="59"/>
    </row>
    <row r="712" spans="2:2" s="1" customFormat="1" ht="15">
      <c r="B712" s="59"/>
    </row>
    <row r="713" spans="2:2" s="1" customFormat="1" ht="15">
      <c r="B713" s="59"/>
    </row>
    <row r="714" spans="2:2" s="1" customFormat="1" ht="15">
      <c r="B714" s="59"/>
    </row>
    <row r="715" spans="2:2" s="1" customFormat="1" ht="15">
      <c r="B715" s="59"/>
    </row>
    <row r="716" spans="2:2" s="1" customFormat="1" ht="15">
      <c r="B716" s="59"/>
    </row>
    <row r="717" spans="2:2" s="1" customFormat="1" ht="15">
      <c r="B717" s="59"/>
    </row>
    <row r="718" spans="2:2" s="1" customFormat="1" ht="15">
      <c r="B718" s="59"/>
    </row>
    <row r="719" spans="2:2" s="1" customFormat="1" ht="15">
      <c r="B719" s="59"/>
    </row>
    <row r="720" spans="2:2" s="1" customFormat="1" ht="15">
      <c r="B720" s="59"/>
    </row>
    <row r="721" spans="2:2" s="1" customFormat="1" ht="15">
      <c r="B721" s="59"/>
    </row>
    <row r="722" spans="2:2" s="1" customFormat="1" ht="15">
      <c r="B722" s="59"/>
    </row>
    <row r="723" spans="2:2" s="1" customFormat="1" ht="15">
      <c r="B723" s="59"/>
    </row>
    <row r="724" spans="2:2" s="1" customFormat="1" ht="15">
      <c r="B724" s="59"/>
    </row>
    <row r="725" spans="2:2" s="1" customFormat="1" ht="15">
      <c r="B725" s="59"/>
    </row>
    <row r="726" spans="2:2" s="1" customFormat="1" ht="15">
      <c r="B726" s="59"/>
    </row>
    <row r="727" spans="2:2" s="1" customFormat="1" ht="15">
      <c r="B727" s="59"/>
    </row>
    <row r="728" spans="2:2" s="1" customFormat="1" ht="15">
      <c r="B728" s="59"/>
    </row>
    <row r="729" spans="2:2" s="1" customFormat="1" ht="15">
      <c r="B729" s="59"/>
    </row>
    <row r="730" spans="2:2" s="1" customFormat="1" ht="15">
      <c r="B730" s="59"/>
    </row>
    <row r="731" spans="2:2" s="1" customFormat="1" ht="15">
      <c r="B731" s="59"/>
    </row>
    <row r="732" spans="2:2" s="1" customFormat="1" ht="15">
      <c r="B732" s="59"/>
    </row>
    <row r="733" spans="2:2" s="1" customFormat="1" ht="15">
      <c r="B733" s="59"/>
    </row>
    <row r="734" spans="2:2" s="1" customFormat="1" ht="15">
      <c r="B734" s="59"/>
    </row>
    <row r="735" spans="2:2" s="1" customFormat="1" ht="15">
      <c r="B735" s="59"/>
    </row>
    <row r="736" spans="2:2" s="1" customFormat="1" ht="15">
      <c r="B736" s="59"/>
    </row>
    <row r="737" spans="2:2" s="1" customFormat="1" ht="15">
      <c r="B737" s="59"/>
    </row>
    <row r="738" spans="2:2" s="1" customFormat="1" ht="15">
      <c r="B738" s="59"/>
    </row>
    <row r="739" spans="2:2" s="1" customFormat="1" ht="15">
      <c r="B739" s="59"/>
    </row>
    <row r="740" spans="2:2" s="1" customFormat="1" ht="15">
      <c r="B740" s="59"/>
    </row>
    <row r="741" spans="2:2" s="1" customFormat="1" ht="15">
      <c r="B741" s="59"/>
    </row>
    <row r="742" spans="2:2" s="1" customFormat="1" ht="15">
      <c r="B742" s="59"/>
    </row>
    <row r="743" spans="2:2" s="1" customFormat="1" ht="15">
      <c r="B743" s="59"/>
    </row>
    <row r="744" spans="2:2" s="1" customFormat="1" ht="15">
      <c r="B744" s="59"/>
    </row>
    <row r="745" spans="2:2" s="1" customFormat="1" ht="15">
      <c r="B745" s="59"/>
    </row>
    <row r="746" spans="2:2" s="1" customFormat="1" ht="15">
      <c r="B746" s="59"/>
    </row>
    <row r="747" spans="2:2" s="1" customFormat="1" ht="15">
      <c r="B747" s="59"/>
    </row>
    <row r="748" spans="2:2" s="1" customFormat="1" ht="15">
      <c r="B748" s="59"/>
    </row>
    <row r="749" spans="2:2" s="1" customFormat="1" ht="15">
      <c r="B749" s="59"/>
    </row>
    <row r="750" spans="2:2" s="1" customFormat="1" ht="15">
      <c r="B750" s="59"/>
    </row>
    <row r="751" spans="2:2" s="1" customFormat="1" ht="15">
      <c r="B751" s="59"/>
    </row>
    <row r="752" spans="2:2" s="1" customFormat="1" ht="15">
      <c r="B752" s="59"/>
    </row>
    <row r="753" spans="2:2" s="1" customFormat="1" ht="15">
      <c r="B753" s="59"/>
    </row>
    <row r="754" spans="2:2" s="1" customFormat="1" ht="15">
      <c r="B754" s="59"/>
    </row>
    <row r="755" spans="2:2" s="1" customFormat="1" ht="15">
      <c r="B755" s="59"/>
    </row>
    <row r="756" spans="2:2" s="1" customFormat="1" ht="15">
      <c r="B756" s="59"/>
    </row>
    <row r="757" spans="2:2" s="1" customFormat="1" ht="15">
      <c r="B757" s="59"/>
    </row>
    <row r="758" spans="2:2" s="1" customFormat="1" ht="15">
      <c r="B758" s="59"/>
    </row>
    <row r="759" spans="2:2" s="1" customFormat="1" ht="15">
      <c r="B759" s="59"/>
    </row>
    <row r="760" spans="2:2" s="1" customFormat="1" ht="15">
      <c r="B760" s="59"/>
    </row>
    <row r="761" spans="2:2" s="1" customFormat="1" ht="15">
      <c r="B761" s="59"/>
    </row>
    <row r="762" spans="2:2" s="1" customFormat="1" ht="15">
      <c r="B762" s="59"/>
    </row>
    <row r="763" spans="2:2" s="1" customFormat="1" ht="15">
      <c r="B763" s="59"/>
    </row>
    <row r="764" spans="2:2" s="1" customFormat="1" ht="15">
      <c r="B764" s="59"/>
    </row>
    <row r="765" spans="2:2" s="1" customFormat="1" ht="15">
      <c r="B765" s="59"/>
    </row>
    <row r="766" spans="2:2" s="1" customFormat="1" ht="15">
      <c r="B766" s="59"/>
    </row>
    <row r="767" spans="2:2" s="1" customFormat="1" ht="15">
      <c r="B767" s="59"/>
    </row>
    <row r="768" spans="2:2" s="1" customFormat="1" ht="15">
      <c r="B768" s="59"/>
    </row>
    <row r="769" spans="2:2" s="1" customFormat="1" ht="15">
      <c r="B769" s="59"/>
    </row>
    <row r="770" spans="2:2" s="1" customFormat="1" ht="15">
      <c r="B770" s="59"/>
    </row>
    <row r="771" spans="2:2" s="1" customFormat="1" ht="15">
      <c r="B771" s="59"/>
    </row>
    <row r="772" spans="2:2" s="1" customFormat="1" ht="15">
      <c r="B772" s="59"/>
    </row>
    <row r="773" spans="2:2" s="1" customFormat="1" ht="15">
      <c r="B773" s="59"/>
    </row>
    <row r="774" spans="2:2" s="1" customFormat="1" ht="15">
      <c r="B774" s="59"/>
    </row>
    <row r="775" spans="2:2" s="1" customFormat="1" ht="15">
      <c r="B775" s="59"/>
    </row>
    <row r="776" spans="2:2" s="1" customFormat="1" ht="15">
      <c r="B776" s="59"/>
    </row>
    <row r="777" spans="2:2" s="1" customFormat="1" ht="15">
      <c r="B777" s="59"/>
    </row>
    <row r="778" spans="2:2" s="1" customFormat="1" ht="15">
      <c r="B778" s="59"/>
    </row>
    <row r="779" spans="2:2" s="1" customFormat="1" ht="15">
      <c r="B779" s="59"/>
    </row>
    <row r="780" spans="2:2" s="1" customFormat="1" ht="15">
      <c r="B780" s="59"/>
    </row>
    <row r="781" spans="2:2" s="1" customFormat="1" ht="15">
      <c r="B781" s="59"/>
    </row>
    <row r="782" spans="2:2" s="1" customFormat="1" ht="15">
      <c r="B782" s="59"/>
    </row>
    <row r="783" spans="2:2" s="1" customFormat="1" ht="15">
      <c r="B783" s="59"/>
    </row>
    <row r="784" spans="2:2" s="1" customFormat="1" ht="15">
      <c r="B784" s="59"/>
    </row>
    <row r="785" spans="2:2" s="1" customFormat="1" ht="15">
      <c r="B785" s="59"/>
    </row>
    <row r="786" spans="2:2" s="1" customFormat="1" ht="15">
      <c r="B786" s="59"/>
    </row>
    <row r="787" spans="2:2" s="1" customFormat="1" ht="15">
      <c r="B787" s="59"/>
    </row>
    <row r="788" spans="2:2" s="1" customFormat="1" ht="15">
      <c r="B788" s="59"/>
    </row>
    <row r="789" spans="2:2" s="1" customFormat="1" ht="15">
      <c r="B789" s="59"/>
    </row>
    <row r="790" spans="2:2" s="1" customFormat="1" ht="15">
      <c r="B790" s="59"/>
    </row>
    <row r="791" spans="2:2" s="1" customFormat="1" ht="15">
      <c r="B791" s="59"/>
    </row>
    <row r="792" spans="2:2" s="1" customFormat="1" ht="15">
      <c r="B792" s="59"/>
    </row>
    <row r="793" spans="2:2" s="1" customFormat="1" ht="15">
      <c r="B793" s="59"/>
    </row>
    <row r="794" spans="2:2" s="1" customFormat="1" ht="15">
      <c r="B794" s="59"/>
    </row>
    <row r="795" spans="2:2" s="1" customFormat="1" ht="15">
      <c r="B795" s="59"/>
    </row>
    <row r="796" spans="2:2" s="1" customFormat="1" ht="15">
      <c r="B796" s="59"/>
    </row>
    <row r="797" spans="2:2" s="1" customFormat="1" ht="15">
      <c r="B797" s="59"/>
    </row>
    <row r="798" spans="2:2" s="1" customFormat="1" ht="15">
      <c r="B798" s="59"/>
    </row>
    <row r="799" spans="2:2" s="1" customFormat="1" ht="15">
      <c r="B799" s="59"/>
    </row>
    <row r="800" spans="2:2" s="1" customFormat="1" ht="15">
      <c r="B800" s="59"/>
    </row>
    <row r="801" spans="2:2" s="1" customFormat="1" ht="15">
      <c r="B801" s="59"/>
    </row>
    <row r="802" spans="2:2" s="1" customFormat="1" ht="15">
      <c r="B802" s="59"/>
    </row>
    <row r="803" spans="2:2" s="1" customFormat="1" ht="15">
      <c r="B803" s="59"/>
    </row>
    <row r="804" spans="2:2" s="1" customFormat="1" ht="15">
      <c r="B804" s="59"/>
    </row>
    <row r="805" spans="2:2" s="1" customFormat="1" ht="15">
      <c r="B805" s="59"/>
    </row>
    <row r="806" spans="2:2" s="1" customFormat="1" ht="15">
      <c r="B806" s="59"/>
    </row>
    <row r="807" spans="2:2" s="1" customFormat="1" ht="15">
      <c r="B807" s="59"/>
    </row>
    <row r="808" spans="2:2" s="1" customFormat="1" ht="15">
      <c r="B808" s="59"/>
    </row>
    <row r="809" spans="2:2" s="1" customFormat="1" ht="15">
      <c r="B809" s="59"/>
    </row>
    <row r="810" spans="2:2" s="1" customFormat="1" ht="15">
      <c r="B810" s="59"/>
    </row>
    <row r="811" spans="2:2" s="1" customFormat="1" ht="15">
      <c r="B811" s="59"/>
    </row>
    <row r="812" spans="2:2" s="1" customFormat="1" ht="15">
      <c r="B812" s="59"/>
    </row>
    <row r="813" spans="2:2" s="1" customFormat="1" ht="15">
      <c r="B813" s="59"/>
    </row>
    <row r="814" spans="2:2" s="1" customFormat="1" ht="15">
      <c r="B814" s="59"/>
    </row>
    <row r="815" spans="2:2" s="1" customFormat="1" ht="15">
      <c r="B815" s="59"/>
    </row>
    <row r="816" spans="2:2" s="1" customFormat="1" ht="15">
      <c r="B816" s="59"/>
    </row>
    <row r="817" spans="2:2" s="1" customFormat="1" ht="15">
      <c r="B817" s="59"/>
    </row>
    <row r="818" spans="2:2" s="1" customFormat="1" ht="15">
      <c r="B818" s="59"/>
    </row>
    <row r="819" spans="2:2" s="1" customFormat="1" ht="15">
      <c r="B819" s="59"/>
    </row>
    <row r="820" spans="2:2" s="1" customFormat="1" ht="15">
      <c r="B820" s="59"/>
    </row>
    <row r="821" spans="2:2" s="1" customFormat="1" ht="15">
      <c r="B821" s="59"/>
    </row>
    <row r="822" spans="2:2" s="1" customFormat="1" ht="15">
      <c r="B822" s="59"/>
    </row>
    <row r="823" spans="2:2" s="1" customFormat="1" ht="15">
      <c r="B823" s="59"/>
    </row>
    <row r="824" spans="2:2" s="1" customFormat="1" ht="15">
      <c r="B824" s="59"/>
    </row>
    <row r="825" spans="2:2" s="1" customFormat="1" ht="15">
      <c r="B825" s="59"/>
    </row>
    <row r="826" spans="2:2" s="1" customFormat="1" ht="15">
      <c r="B826" s="59"/>
    </row>
    <row r="827" spans="2:2" s="1" customFormat="1" ht="15">
      <c r="B827" s="59"/>
    </row>
    <row r="828" spans="2:2" s="1" customFormat="1" ht="15">
      <c r="B828" s="59"/>
    </row>
    <row r="829" spans="2:2" s="1" customFormat="1" ht="15">
      <c r="B829" s="59"/>
    </row>
    <row r="830" spans="2:2" s="1" customFormat="1" ht="15">
      <c r="B830" s="59"/>
    </row>
    <row r="831" spans="2:2" s="1" customFormat="1" ht="15">
      <c r="B831" s="59"/>
    </row>
    <row r="832" spans="2:2" s="1" customFormat="1" ht="15">
      <c r="B832" s="59"/>
    </row>
    <row r="833" spans="2:2" s="1" customFormat="1" ht="15">
      <c r="B833" s="59"/>
    </row>
    <row r="834" spans="2:2" s="1" customFormat="1" ht="15">
      <c r="B834" s="59"/>
    </row>
    <row r="835" spans="2:2" s="1" customFormat="1" ht="15">
      <c r="B835" s="59"/>
    </row>
    <row r="836" spans="2:2" s="1" customFormat="1" ht="15">
      <c r="B836" s="59"/>
    </row>
    <row r="837" spans="2:2" s="1" customFormat="1" ht="15">
      <c r="B837" s="59"/>
    </row>
    <row r="838" spans="2:2" s="1" customFormat="1" ht="15">
      <c r="B838" s="59"/>
    </row>
    <row r="839" spans="2:2" s="1" customFormat="1" ht="15">
      <c r="B839" s="59"/>
    </row>
    <row r="840" spans="2:2" s="1" customFormat="1" ht="15">
      <c r="B840" s="59"/>
    </row>
    <row r="841" spans="2:2" s="1" customFormat="1" ht="15">
      <c r="B841" s="59"/>
    </row>
    <row r="842" spans="2:2" s="1" customFormat="1" ht="15">
      <c r="B842" s="59"/>
    </row>
    <row r="843" spans="2:2" s="1" customFormat="1" ht="15">
      <c r="B843" s="59"/>
    </row>
    <row r="844" spans="2:2" s="1" customFormat="1" ht="15">
      <c r="B844" s="59"/>
    </row>
    <row r="845" spans="2:2" s="1" customFormat="1" ht="15">
      <c r="B845" s="59"/>
    </row>
    <row r="846" spans="2:2" s="1" customFormat="1" ht="15">
      <c r="B846" s="59"/>
    </row>
    <row r="847" spans="2:2" s="1" customFormat="1" ht="15">
      <c r="B847" s="59"/>
    </row>
    <row r="848" spans="2:2" s="1" customFormat="1" ht="15">
      <c r="B848" s="59"/>
    </row>
    <row r="849" spans="2:2" s="1" customFormat="1" ht="15">
      <c r="B849" s="59"/>
    </row>
    <row r="850" spans="2:2" s="1" customFormat="1" ht="15">
      <c r="B850" s="59"/>
    </row>
    <row r="851" spans="2:2" s="1" customFormat="1" ht="15">
      <c r="B851" s="59"/>
    </row>
    <row r="852" spans="2:2" s="1" customFormat="1" ht="15">
      <c r="B852" s="59"/>
    </row>
    <row r="853" spans="2:2" s="1" customFormat="1" ht="15">
      <c r="B853" s="59"/>
    </row>
    <row r="854" spans="2:2" s="1" customFormat="1" ht="15">
      <c r="B854" s="59"/>
    </row>
    <row r="855" spans="2:2" s="1" customFormat="1" ht="15">
      <c r="B855" s="59"/>
    </row>
    <row r="856" spans="2:2" s="1" customFormat="1" ht="15">
      <c r="B856" s="59"/>
    </row>
    <row r="857" spans="2:2" s="1" customFormat="1" ht="15">
      <c r="B857" s="59"/>
    </row>
    <row r="858" spans="2:2" s="1" customFormat="1" ht="15">
      <c r="B858" s="59"/>
    </row>
    <row r="859" spans="2:2" s="1" customFormat="1" ht="15">
      <c r="B859" s="59"/>
    </row>
    <row r="860" spans="2:2" s="1" customFormat="1" ht="15">
      <c r="B860" s="59"/>
    </row>
    <row r="861" spans="2:2" s="1" customFormat="1" ht="15">
      <c r="B861" s="59"/>
    </row>
    <row r="862" spans="2:2" s="1" customFormat="1" ht="15">
      <c r="B862" s="59"/>
    </row>
    <row r="863" spans="2:2" s="1" customFormat="1" ht="15">
      <c r="B863" s="59"/>
    </row>
    <row r="864" spans="2:2" s="1" customFormat="1" ht="15">
      <c r="B864" s="59"/>
    </row>
    <row r="865" spans="2:2" s="1" customFormat="1" ht="15">
      <c r="B865" s="59"/>
    </row>
    <row r="866" spans="2:2" s="1" customFormat="1" ht="15">
      <c r="B866" s="59"/>
    </row>
    <row r="867" spans="2:2" s="1" customFormat="1" ht="15">
      <c r="B867" s="59"/>
    </row>
    <row r="868" spans="2:2" s="1" customFormat="1" ht="15">
      <c r="B868" s="59"/>
    </row>
    <row r="869" spans="2:2" s="1" customFormat="1" ht="15">
      <c r="B869" s="59"/>
    </row>
    <row r="870" spans="2:2" s="1" customFormat="1" ht="15">
      <c r="B870" s="59"/>
    </row>
    <row r="871" spans="2:2" s="1" customFormat="1" ht="15">
      <c r="B871" s="59"/>
    </row>
    <row r="872" spans="2:2" s="1" customFormat="1" ht="15">
      <c r="B872" s="59"/>
    </row>
    <row r="873" spans="2:2" s="1" customFormat="1" ht="15">
      <c r="B873" s="59"/>
    </row>
    <row r="874" spans="2:2" s="1" customFormat="1" ht="15">
      <c r="B874" s="59"/>
    </row>
    <row r="875" spans="2:2" s="1" customFormat="1" ht="15">
      <c r="B875" s="59"/>
    </row>
    <row r="876" spans="2:2" s="1" customFormat="1" ht="15">
      <c r="B876" s="59"/>
    </row>
    <row r="877" spans="2:2" s="1" customFormat="1" ht="15">
      <c r="B877" s="59"/>
    </row>
    <row r="878" spans="2:2" s="1" customFormat="1" ht="15">
      <c r="B878" s="59"/>
    </row>
    <row r="879" spans="2:2" s="1" customFormat="1" ht="15">
      <c r="B879" s="59"/>
    </row>
    <row r="880" spans="2:2" s="1" customFormat="1" ht="15">
      <c r="B880" s="59"/>
    </row>
    <row r="881" spans="2:2" s="1" customFormat="1" ht="15">
      <c r="B881" s="59"/>
    </row>
    <row r="882" spans="2:2" s="1" customFormat="1" ht="15">
      <c r="B882" s="59"/>
    </row>
    <row r="883" spans="2:2" s="1" customFormat="1" ht="15">
      <c r="B883" s="59"/>
    </row>
    <row r="884" spans="2:2" s="1" customFormat="1" ht="15">
      <c r="B884" s="59"/>
    </row>
    <row r="885" spans="2:2" s="1" customFormat="1" ht="15">
      <c r="B885" s="59"/>
    </row>
    <row r="886" spans="2:2" s="1" customFormat="1" ht="15">
      <c r="B886" s="59"/>
    </row>
    <row r="887" spans="2:2" s="1" customFormat="1" ht="15">
      <c r="B887" s="59"/>
    </row>
    <row r="888" spans="2:2" s="1" customFormat="1" ht="15">
      <c r="B888" s="59"/>
    </row>
    <row r="889" spans="2:2" s="1" customFormat="1" ht="15">
      <c r="B889" s="59"/>
    </row>
    <row r="890" spans="2:2" s="1" customFormat="1" ht="15">
      <c r="B890" s="59"/>
    </row>
    <row r="891" spans="2:2" s="1" customFormat="1" ht="15">
      <c r="B891" s="59"/>
    </row>
    <row r="892" spans="2:2" s="1" customFormat="1" ht="15">
      <c r="B892" s="59"/>
    </row>
    <row r="893" spans="2:2" s="1" customFormat="1" ht="15">
      <c r="B893" s="59"/>
    </row>
    <row r="894" spans="2:2" s="1" customFormat="1" ht="15">
      <c r="B894" s="59"/>
    </row>
    <row r="895" spans="2:2" s="1" customFormat="1" ht="15">
      <c r="B895" s="59"/>
    </row>
    <row r="896" spans="2:2" s="1" customFormat="1" ht="15">
      <c r="B896" s="59"/>
    </row>
    <row r="897" spans="2:2" s="1" customFormat="1" ht="15">
      <c r="B897" s="59"/>
    </row>
    <row r="898" spans="2:2" s="1" customFormat="1" ht="15">
      <c r="B898" s="59"/>
    </row>
    <row r="899" spans="2:2" s="1" customFormat="1" ht="15">
      <c r="B899" s="59"/>
    </row>
    <row r="900" spans="2:2" s="1" customFormat="1" ht="15">
      <c r="B900" s="59"/>
    </row>
    <row r="901" spans="2:2" s="1" customFormat="1" ht="15">
      <c r="B901" s="59"/>
    </row>
    <row r="902" spans="2:2" s="1" customFormat="1" ht="15">
      <c r="B902" s="59"/>
    </row>
    <row r="903" spans="2:2" s="1" customFormat="1" ht="15">
      <c r="B903" s="59"/>
    </row>
    <row r="904" spans="2:2" s="1" customFormat="1" ht="15">
      <c r="B904" s="59"/>
    </row>
    <row r="905" spans="2:2" s="1" customFormat="1" ht="15">
      <c r="B905" s="59"/>
    </row>
    <row r="906" spans="2:2" s="1" customFormat="1" ht="15">
      <c r="B906" s="59"/>
    </row>
    <row r="907" spans="2:2" s="1" customFormat="1" ht="15">
      <c r="B907" s="59"/>
    </row>
    <row r="908" spans="2:2" s="1" customFormat="1" ht="15">
      <c r="B908" s="59"/>
    </row>
    <row r="909" spans="2:2" s="1" customFormat="1" ht="15">
      <c r="B909" s="59"/>
    </row>
    <row r="910" spans="2:2" s="1" customFormat="1" ht="15">
      <c r="B910" s="59"/>
    </row>
    <row r="911" spans="2:2" s="1" customFormat="1" ht="15">
      <c r="B911" s="59"/>
    </row>
    <row r="912" spans="2:2" s="1" customFormat="1" ht="15">
      <c r="B912" s="59"/>
    </row>
    <row r="913" spans="2:2" s="1" customFormat="1" ht="15">
      <c r="B913" s="59"/>
    </row>
    <row r="914" spans="2:2" s="1" customFormat="1" ht="15">
      <c r="B914" s="59"/>
    </row>
    <row r="915" spans="2:2" s="1" customFormat="1" ht="15">
      <c r="B915" s="59"/>
    </row>
    <row r="916" spans="2:2" s="1" customFormat="1" ht="15">
      <c r="B916" s="59"/>
    </row>
    <row r="917" spans="2:2" s="1" customFormat="1" ht="15">
      <c r="B917" s="59"/>
    </row>
    <row r="918" spans="2:2" s="1" customFormat="1" ht="15">
      <c r="B918" s="59"/>
    </row>
    <row r="919" spans="2:2" s="1" customFormat="1" ht="15">
      <c r="B919" s="59"/>
    </row>
    <row r="920" spans="2:2" s="1" customFormat="1" ht="15">
      <c r="B920" s="59"/>
    </row>
    <row r="921" spans="2:2" s="1" customFormat="1" ht="15">
      <c r="B921" s="59"/>
    </row>
    <row r="922" spans="2:2" s="1" customFormat="1" ht="15">
      <c r="B922" s="59"/>
    </row>
    <row r="923" spans="2:2" s="1" customFormat="1" ht="15">
      <c r="B923" s="59"/>
    </row>
    <row r="924" spans="2:2" s="1" customFormat="1" ht="15">
      <c r="B924" s="59"/>
    </row>
    <row r="925" spans="2:2" s="1" customFormat="1" ht="15">
      <c r="B925" s="59"/>
    </row>
    <row r="926" spans="2:2" s="1" customFormat="1" ht="15">
      <c r="B926" s="59"/>
    </row>
    <row r="927" spans="2:2" s="1" customFormat="1" ht="15">
      <c r="B927" s="59"/>
    </row>
    <row r="928" spans="2:2" s="1" customFormat="1" ht="15">
      <c r="B928" s="59"/>
    </row>
    <row r="929" spans="2:2" s="1" customFormat="1" ht="15">
      <c r="B929" s="59"/>
    </row>
    <row r="930" spans="2:2" s="1" customFormat="1" ht="15">
      <c r="B930" s="59"/>
    </row>
    <row r="931" spans="2:2" s="1" customFormat="1" ht="15">
      <c r="B931" s="59"/>
    </row>
    <row r="932" spans="2:2" s="1" customFormat="1" ht="15">
      <c r="B932" s="59"/>
    </row>
    <row r="933" spans="2:2" s="1" customFormat="1" ht="15">
      <c r="B933" s="59"/>
    </row>
    <row r="934" spans="2:2" s="1" customFormat="1" ht="15">
      <c r="B934" s="59"/>
    </row>
    <row r="935" spans="2:2" s="1" customFormat="1" ht="15">
      <c r="B935" s="59"/>
    </row>
    <row r="936" spans="2:2" s="1" customFormat="1" ht="15">
      <c r="B936" s="59"/>
    </row>
    <row r="937" spans="2:2" s="1" customFormat="1" ht="15">
      <c r="B937" s="59"/>
    </row>
    <row r="938" spans="2:2" s="1" customFormat="1" ht="15">
      <c r="B938" s="59"/>
    </row>
    <row r="939" spans="2:2" s="1" customFormat="1" ht="15">
      <c r="B939" s="59"/>
    </row>
    <row r="940" spans="2:2" s="1" customFormat="1" ht="15">
      <c r="B940" s="59"/>
    </row>
    <row r="941" spans="2:2" s="1" customFormat="1" ht="15">
      <c r="B941" s="59"/>
    </row>
    <row r="942" spans="2:2" s="1" customFormat="1" ht="15">
      <c r="B942" s="59"/>
    </row>
    <row r="943" spans="2:2" s="1" customFormat="1" ht="15">
      <c r="B943" s="59"/>
    </row>
    <row r="944" spans="2:2" s="1" customFormat="1" ht="15">
      <c r="B944" s="59"/>
    </row>
    <row r="945" spans="2:2" s="1" customFormat="1" ht="15">
      <c r="B945" s="59"/>
    </row>
    <row r="946" spans="2:2" s="1" customFormat="1" ht="15">
      <c r="B946" s="59"/>
    </row>
    <row r="947" spans="2:2" s="1" customFormat="1" ht="15">
      <c r="B947" s="59"/>
    </row>
    <row r="948" spans="2:2" s="1" customFormat="1" ht="15">
      <c r="B948" s="59"/>
    </row>
    <row r="949" spans="2:2" s="1" customFormat="1" ht="15">
      <c r="B949" s="59"/>
    </row>
    <row r="950" spans="2:2" s="1" customFormat="1" ht="15">
      <c r="B950" s="59"/>
    </row>
    <row r="951" spans="2:2" s="1" customFormat="1" ht="15">
      <c r="B951" s="59"/>
    </row>
    <row r="952" spans="2:2" s="1" customFormat="1" ht="15">
      <c r="B952" s="59"/>
    </row>
    <row r="953" spans="2:2" s="1" customFormat="1" ht="15">
      <c r="B953" s="59"/>
    </row>
    <row r="954" spans="2:2" s="1" customFormat="1" ht="15">
      <c r="B954" s="59"/>
    </row>
    <row r="955" spans="2:2" s="1" customFormat="1" ht="15">
      <c r="B955" s="59"/>
    </row>
    <row r="956" spans="2:2" s="1" customFormat="1" ht="15">
      <c r="B956" s="59"/>
    </row>
    <row r="957" spans="2:2" s="1" customFormat="1" ht="15">
      <c r="B957" s="59"/>
    </row>
    <row r="958" spans="2:2" s="1" customFormat="1" ht="15">
      <c r="B958" s="59"/>
    </row>
    <row r="959" spans="2:2" s="1" customFormat="1" ht="15">
      <c r="B959" s="59"/>
    </row>
    <row r="960" spans="2:2" s="1" customFormat="1" ht="15">
      <c r="B960" s="59"/>
    </row>
    <row r="961" spans="2:2" s="1" customFormat="1" ht="15">
      <c r="B961" s="59"/>
    </row>
    <row r="962" spans="2:2" s="1" customFormat="1" ht="15">
      <c r="B962" s="59"/>
    </row>
    <row r="963" spans="2:2" s="1" customFormat="1" ht="15">
      <c r="B963" s="59"/>
    </row>
    <row r="964" spans="2:2" s="1" customFormat="1" ht="15">
      <c r="B964" s="59"/>
    </row>
    <row r="965" spans="2:2" s="1" customFormat="1" ht="15">
      <c r="B965" s="59"/>
    </row>
    <row r="966" spans="2:2" s="1" customFormat="1" ht="15">
      <c r="B966" s="59"/>
    </row>
    <row r="967" spans="2:2" s="1" customFormat="1" ht="15">
      <c r="B967" s="59"/>
    </row>
    <row r="968" spans="2:2" s="1" customFormat="1" ht="15">
      <c r="B968" s="59"/>
    </row>
    <row r="969" spans="2:2" s="1" customFormat="1" ht="15">
      <c r="B969" s="59"/>
    </row>
    <row r="970" spans="2:2" s="1" customFormat="1" ht="15">
      <c r="B970" s="59"/>
    </row>
    <row r="971" spans="2:2" s="1" customFormat="1" ht="15">
      <c r="B971" s="59"/>
    </row>
    <row r="972" spans="2:2" s="1" customFormat="1" ht="15">
      <c r="B972" s="59"/>
    </row>
    <row r="973" spans="2:2" s="1" customFormat="1" ht="15">
      <c r="B973" s="59"/>
    </row>
    <row r="974" spans="2:2" s="1" customFormat="1" ht="15">
      <c r="B974" s="59"/>
    </row>
    <row r="975" spans="2:2" s="1" customFormat="1" ht="15">
      <c r="B975" s="59"/>
    </row>
    <row r="976" spans="2:2" s="1" customFormat="1" ht="15">
      <c r="B976" s="59"/>
    </row>
    <row r="977" spans="2:2" s="1" customFormat="1" ht="15">
      <c r="B977" s="59"/>
    </row>
    <row r="978" spans="2:2" s="1" customFormat="1" ht="15">
      <c r="B978" s="59"/>
    </row>
    <row r="979" spans="2:2" s="1" customFormat="1" ht="15">
      <c r="B979" s="59"/>
    </row>
    <row r="980" spans="2:2" s="1" customFormat="1" ht="15">
      <c r="B980" s="59"/>
    </row>
    <row r="981" spans="2:2" s="1" customFormat="1" ht="15">
      <c r="B981" s="59"/>
    </row>
    <row r="982" spans="2:2" s="1" customFormat="1" ht="15">
      <c r="B982" s="59"/>
    </row>
    <row r="983" spans="2:2" s="1" customFormat="1" ht="15">
      <c r="B983" s="59"/>
    </row>
    <row r="984" spans="2:2" s="1" customFormat="1" ht="15">
      <c r="B984" s="59"/>
    </row>
    <row r="985" spans="2:2" s="1" customFormat="1" ht="15">
      <c r="B985" s="59"/>
    </row>
    <row r="986" spans="2:2" s="1" customFormat="1" ht="15">
      <c r="B986" s="59"/>
    </row>
    <row r="987" spans="2:2" s="1" customFormat="1" ht="15">
      <c r="B987" s="59"/>
    </row>
    <row r="988" spans="2:2" s="1" customFormat="1" ht="15">
      <c r="B988" s="59"/>
    </row>
    <row r="989" spans="2:2" s="1" customFormat="1" ht="15">
      <c r="B989" s="59"/>
    </row>
    <row r="990" spans="2:2" s="1" customFormat="1" ht="15">
      <c r="B990" s="59"/>
    </row>
    <row r="991" spans="2:2" s="1" customFormat="1" ht="15">
      <c r="B991" s="59"/>
    </row>
    <row r="992" spans="2:2" s="1" customFormat="1" ht="15">
      <c r="B992" s="59"/>
    </row>
    <row r="993" spans="2:2" s="1" customFormat="1" ht="15">
      <c r="B993" s="59"/>
    </row>
    <row r="994" spans="2:2" s="1" customFormat="1" ht="15">
      <c r="B994" s="59"/>
    </row>
    <row r="995" spans="2:2" s="1" customFormat="1" ht="15">
      <c r="B995" s="59"/>
    </row>
    <row r="996" spans="2:2" s="1" customFormat="1" ht="15">
      <c r="B996" s="59"/>
    </row>
    <row r="997" spans="2:2" s="1" customFormat="1" ht="15">
      <c r="B997" s="59"/>
    </row>
    <row r="998" spans="2:2" s="1" customFormat="1" ht="15">
      <c r="B998" s="59"/>
    </row>
    <row r="999" spans="2:2" s="1" customFormat="1" ht="15">
      <c r="B999" s="59"/>
    </row>
    <row r="1000" spans="2:2" s="1" customFormat="1" ht="15">
      <c r="B1000" s="59"/>
    </row>
    <row r="1001" spans="2:2" s="1" customFormat="1" ht="15">
      <c r="B1001" s="59"/>
    </row>
    <row r="1002" spans="2:2" s="1" customFormat="1" ht="15">
      <c r="B1002" s="5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13A7-C8E5-4D11-BFCA-499E29E18DFD}">
  <dimension ref="B1:AY22"/>
  <sheetViews>
    <sheetView zoomScale="75" zoomScaleNormal="75" workbookViewId="0">
      <pane ySplit="1" topLeftCell="A2" activePane="bottomLeft" state="frozen"/>
      <selection pane="bottomLeft" sqref="A1:XFD1"/>
    </sheetView>
  </sheetViews>
  <sheetFormatPr defaultRowHeight="12.75"/>
  <cols>
    <col min="1" max="1" width="1" customWidth="1"/>
    <col min="2" max="2" width="13.28515625" customWidth="1"/>
    <col min="10" max="10" width="15.140625" customWidth="1"/>
    <col min="24" max="24" width="21" customWidth="1"/>
    <col min="30" max="30" width="9.140625" customWidth="1"/>
    <col min="31" max="31" width="21.7109375" customWidth="1"/>
    <col min="39" max="39" width="14.7109375" customWidth="1"/>
    <col min="40" max="41" width="13.7109375" customWidth="1"/>
    <col min="42" max="42" width="13.140625" customWidth="1"/>
    <col min="43" max="43" width="13" customWidth="1"/>
    <col min="44" max="44" width="14.85546875" customWidth="1"/>
    <col min="45" max="45" width="16.140625" customWidth="1"/>
    <col min="46" max="51" width="20.7109375" customWidth="1"/>
  </cols>
  <sheetData>
    <row r="1" spans="2:51" ht="129.94999999999999" customHeight="1">
      <c r="B1" s="41" t="s">
        <v>276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2:51" ht="13.5">
      <c r="B2" s="56" t="s">
        <v>265</v>
      </c>
      <c r="C2" s="57"/>
      <c r="D2" s="57"/>
      <c r="E2" s="57"/>
      <c r="F2" s="57"/>
      <c r="G2" s="57"/>
      <c r="J2" s="46" t="s">
        <v>267</v>
      </c>
      <c r="K2" s="46"/>
      <c r="L2" s="46"/>
      <c r="M2" s="46"/>
      <c r="N2" s="46"/>
      <c r="O2" s="46"/>
      <c r="Q2" s="47" t="s">
        <v>268</v>
      </c>
      <c r="R2" s="47"/>
      <c r="S2" s="47"/>
      <c r="T2" s="47"/>
      <c r="U2" s="47"/>
      <c r="V2" s="47"/>
      <c r="X2" s="53" t="s">
        <v>269</v>
      </c>
      <c r="Y2" s="54"/>
      <c r="Z2" s="54"/>
      <c r="AA2" s="54"/>
      <c r="AB2" s="54"/>
      <c r="AC2" s="55"/>
      <c r="AE2" s="50" t="s">
        <v>270</v>
      </c>
      <c r="AF2" s="50"/>
      <c r="AG2" s="50"/>
      <c r="AH2" s="50"/>
      <c r="AI2" s="50"/>
      <c r="AJ2" s="50"/>
      <c r="AM2" s="42" t="s">
        <v>295</v>
      </c>
      <c r="AN2" s="43"/>
      <c r="AO2" s="43"/>
      <c r="AP2" s="43"/>
      <c r="AQ2" s="43"/>
      <c r="AR2" s="44"/>
      <c r="AS2" s="36" t="s">
        <v>282</v>
      </c>
      <c r="AT2" s="37" t="s">
        <v>283</v>
      </c>
      <c r="AU2" s="38"/>
      <c r="AV2" s="38"/>
      <c r="AW2" s="38"/>
      <c r="AX2" s="38"/>
      <c r="AY2" s="39"/>
    </row>
    <row r="3" spans="2:51" ht="13.5">
      <c r="B3" s="2" t="s">
        <v>59</v>
      </c>
      <c r="C3" s="3" t="s">
        <v>47</v>
      </c>
      <c r="D3" s="3" t="s">
        <v>48</v>
      </c>
      <c r="E3" s="3" t="s">
        <v>50</v>
      </c>
      <c r="F3" s="3" t="s">
        <v>51</v>
      </c>
      <c r="G3" s="3" t="s">
        <v>52</v>
      </c>
      <c r="J3" s="2" t="s">
        <v>60</v>
      </c>
      <c r="K3" s="3" t="s">
        <v>47</v>
      </c>
      <c r="L3" s="3" t="s">
        <v>48</v>
      </c>
      <c r="M3" s="3" t="s">
        <v>50</v>
      </c>
      <c r="N3" s="3" t="s">
        <v>51</v>
      </c>
      <c r="O3" s="3" t="s">
        <v>52</v>
      </c>
      <c r="Q3" s="2" t="s">
        <v>71</v>
      </c>
      <c r="R3" s="3" t="s">
        <v>47</v>
      </c>
      <c r="S3" s="3" t="s">
        <v>48</v>
      </c>
      <c r="T3" s="3" t="s">
        <v>50</v>
      </c>
      <c r="U3" s="3" t="s">
        <v>51</v>
      </c>
      <c r="V3" s="3" t="s">
        <v>52</v>
      </c>
      <c r="X3" s="2" t="s">
        <v>121</v>
      </c>
      <c r="Y3" s="3" t="s">
        <v>47</v>
      </c>
      <c r="Z3" s="3" t="s">
        <v>48</v>
      </c>
      <c r="AA3" s="3" t="s">
        <v>50</v>
      </c>
      <c r="AB3" s="3" t="s">
        <v>51</v>
      </c>
      <c r="AC3" s="3" t="s">
        <v>52</v>
      </c>
      <c r="AE3" s="2" t="s">
        <v>121</v>
      </c>
      <c r="AF3" s="3" t="s">
        <v>47</v>
      </c>
      <c r="AG3" s="3" t="s">
        <v>48</v>
      </c>
      <c r="AH3" s="3" t="s">
        <v>50</v>
      </c>
      <c r="AI3" s="3" t="s">
        <v>51</v>
      </c>
      <c r="AJ3" s="3" t="s">
        <v>52</v>
      </c>
      <c r="AM3" s="4" t="s">
        <v>59</v>
      </c>
      <c r="AN3" s="4" t="s">
        <v>47</v>
      </c>
      <c r="AO3" s="4" t="s">
        <v>48</v>
      </c>
      <c r="AP3" s="4" t="s">
        <v>50</v>
      </c>
      <c r="AQ3" s="4" t="s">
        <v>51</v>
      </c>
      <c r="AR3" s="4" t="s">
        <v>52</v>
      </c>
      <c r="AS3" s="4" t="s">
        <v>296</v>
      </c>
      <c r="AT3" s="40" t="s">
        <v>297</v>
      </c>
      <c r="AU3" s="4" t="s">
        <v>76</v>
      </c>
      <c r="AV3" s="4" t="s">
        <v>64</v>
      </c>
      <c r="AW3" s="4" t="s">
        <v>63</v>
      </c>
      <c r="AX3" s="4" t="s">
        <v>78</v>
      </c>
      <c r="AY3" s="4" t="s">
        <v>79</v>
      </c>
    </row>
    <row r="4" spans="2:51" ht="13.5">
      <c r="B4" s="3" t="s">
        <v>91</v>
      </c>
      <c r="C4" s="4">
        <v>100</v>
      </c>
      <c r="D4" s="4">
        <v>5</v>
      </c>
      <c r="E4" s="4">
        <v>3</v>
      </c>
      <c r="F4" s="4">
        <v>1</v>
      </c>
      <c r="G4" s="4">
        <v>5</v>
      </c>
      <c r="J4" s="2" t="s">
        <v>54</v>
      </c>
      <c r="K4" s="4">
        <v>0.8</v>
      </c>
      <c r="L4" s="4">
        <v>0.8</v>
      </c>
      <c r="M4" s="4">
        <v>0.8</v>
      </c>
      <c r="N4" s="4">
        <v>1</v>
      </c>
      <c r="O4" s="4">
        <v>1</v>
      </c>
      <c r="Q4" s="2" t="s">
        <v>109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X4" s="2">
        <v>10</v>
      </c>
      <c r="Y4" s="4">
        <v>0.1</v>
      </c>
      <c r="Z4" s="4">
        <v>0.1</v>
      </c>
      <c r="AA4" s="4">
        <v>0.1</v>
      </c>
      <c r="AB4" s="4">
        <v>0.1</v>
      </c>
      <c r="AC4" s="4">
        <v>0.1</v>
      </c>
      <c r="AE4" s="2">
        <v>10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M4" s="4" t="s">
        <v>287</v>
      </c>
      <c r="AN4" s="4">
        <v>100</v>
      </c>
      <c r="AO4" s="4">
        <v>5</v>
      </c>
      <c r="AP4" s="4">
        <v>3</v>
      </c>
      <c r="AQ4" s="4">
        <v>1</v>
      </c>
      <c r="AR4" s="4">
        <v>5</v>
      </c>
      <c r="AS4" s="3" t="s">
        <v>299</v>
      </c>
      <c r="AT4" s="4" t="s">
        <v>86</v>
      </c>
      <c r="AU4" s="4" t="s">
        <v>36</v>
      </c>
      <c r="AV4" s="4" t="s">
        <v>277</v>
      </c>
      <c r="AW4" s="4" t="s">
        <v>91</v>
      </c>
      <c r="AX4" s="4" t="s">
        <v>92</v>
      </c>
      <c r="AY4" s="4" t="s">
        <v>94</v>
      </c>
    </row>
    <row r="5" spans="2:51" ht="13.5">
      <c r="B5" s="3" t="s">
        <v>101</v>
      </c>
      <c r="C5" s="4">
        <v>500</v>
      </c>
      <c r="D5" s="4">
        <v>25</v>
      </c>
      <c r="E5" s="4">
        <v>25</v>
      </c>
      <c r="F5" s="4">
        <v>2</v>
      </c>
      <c r="G5" s="4">
        <v>4</v>
      </c>
      <c r="J5" s="2" t="s">
        <v>57</v>
      </c>
      <c r="K5" s="4">
        <v>2</v>
      </c>
      <c r="L5" s="4">
        <v>2</v>
      </c>
      <c r="M5" s="4">
        <v>0.1</v>
      </c>
      <c r="N5" s="4">
        <v>2</v>
      </c>
      <c r="O5" s="4">
        <v>0.1</v>
      </c>
      <c r="Q5" s="2" t="s">
        <v>110</v>
      </c>
      <c r="R5" s="4">
        <v>1.2</v>
      </c>
      <c r="S5" s="4">
        <v>1.2</v>
      </c>
      <c r="T5" s="4">
        <v>1.2</v>
      </c>
      <c r="U5" s="4">
        <v>1.2</v>
      </c>
      <c r="V5" s="4">
        <v>1.2</v>
      </c>
      <c r="X5" s="2">
        <v>20</v>
      </c>
      <c r="Y5" s="4">
        <v>0.2</v>
      </c>
      <c r="Z5" s="4">
        <v>0.2</v>
      </c>
      <c r="AA5" s="4">
        <v>0.2</v>
      </c>
      <c r="AB5" s="4">
        <v>0.2</v>
      </c>
      <c r="AC5" s="4">
        <v>0.2</v>
      </c>
      <c r="AE5" s="2">
        <v>20</v>
      </c>
      <c r="AF5" s="4">
        <f>Y4*10+AF4</f>
        <v>1</v>
      </c>
      <c r="AG5" s="4">
        <f t="shared" ref="AG5:AJ5" si="0">Z4*10+AG4</f>
        <v>1</v>
      </c>
      <c r="AH5" s="4">
        <f t="shared" si="0"/>
        <v>1</v>
      </c>
      <c r="AI5" s="4">
        <f t="shared" si="0"/>
        <v>1</v>
      </c>
      <c r="AJ5" s="4">
        <f t="shared" si="0"/>
        <v>1</v>
      </c>
      <c r="AM5" s="4" t="s">
        <v>46</v>
      </c>
      <c r="AN5" s="4">
        <v>500</v>
      </c>
      <c r="AO5" s="4">
        <v>25</v>
      </c>
      <c r="AP5" s="4">
        <v>25</v>
      </c>
      <c r="AQ5" s="4">
        <v>2</v>
      </c>
      <c r="AR5" s="4">
        <v>4</v>
      </c>
      <c r="AS5" s="4" t="s">
        <v>302</v>
      </c>
      <c r="AT5" s="4" t="s">
        <v>87</v>
      </c>
      <c r="AU5" s="4" t="s">
        <v>37</v>
      </c>
      <c r="AV5" s="4" t="s">
        <v>277</v>
      </c>
      <c r="AW5" s="4" t="s">
        <v>91</v>
      </c>
      <c r="AX5" s="4" t="s">
        <v>92</v>
      </c>
      <c r="AY5" s="4" t="s">
        <v>94</v>
      </c>
    </row>
    <row r="6" spans="2:51" ht="13.5">
      <c r="B6" s="3" t="s">
        <v>102</v>
      </c>
      <c r="C6" s="4">
        <v>1000</v>
      </c>
      <c r="D6" s="4">
        <v>50</v>
      </c>
      <c r="E6" s="4">
        <v>50</v>
      </c>
      <c r="F6" s="4">
        <v>3</v>
      </c>
      <c r="G6" s="4">
        <v>3</v>
      </c>
      <c r="J6" s="2" t="s">
        <v>56</v>
      </c>
      <c r="K6" s="4">
        <v>1</v>
      </c>
      <c r="L6" s="4">
        <v>1</v>
      </c>
      <c r="M6" s="4">
        <v>2</v>
      </c>
      <c r="N6" s="4">
        <v>0.9</v>
      </c>
      <c r="O6" s="4">
        <v>2</v>
      </c>
      <c r="Q6" s="2" t="s">
        <v>111</v>
      </c>
      <c r="R6" s="4">
        <v>1.4</v>
      </c>
      <c r="S6" s="4">
        <v>1.4</v>
      </c>
      <c r="T6" s="4">
        <v>1.4</v>
      </c>
      <c r="U6" s="4">
        <v>1.4</v>
      </c>
      <c r="V6" s="4">
        <v>1.4</v>
      </c>
      <c r="X6" s="2">
        <v>30</v>
      </c>
      <c r="Y6" s="4">
        <v>0.3</v>
      </c>
      <c r="Z6" s="4">
        <v>0.3</v>
      </c>
      <c r="AA6" s="4">
        <v>0.3</v>
      </c>
      <c r="AB6" s="4">
        <v>0.3</v>
      </c>
      <c r="AC6" s="4">
        <v>0.3</v>
      </c>
      <c r="AE6" s="2">
        <v>30</v>
      </c>
      <c r="AF6" s="4">
        <f t="shared" ref="AF6:AF13" si="1">Y5*10+AF5</f>
        <v>3</v>
      </c>
      <c r="AG6" s="4">
        <f t="shared" ref="AG6:AG13" si="2">Z5*10+AG5</f>
        <v>3</v>
      </c>
      <c r="AH6" s="4">
        <f t="shared" ref="AH6:AH13" si="3">AA5*10+AH5</f>
        <v>3</v>
      </c>
      <c r="AI6" s="4">
        <f t="shared" ref="AI6:AI13" si="4">AB5*10+AI5</f>
        <v>3</v>
      </c>
      <c r="AJ6" s="4">
        <f t="shared" ref="AJ6:AJ13" si="5">AC5*10+AJ5</f>
        <v>3</v>
      </c>
      <c r="AM6" s="4" t="s">
        <v>288</v>
      </c>
      <c r="AN6" s="4">
        <v>1000</v>
      </c>
      <c r="AO6" s="4">
        <v>50</v>
      </c>
      <c r="AP6" s="4">
        <v>50</v>
      </c>
      <c r="AQ6" s="4">
        <v>3</v>
      </c>
      <c r="AR6" s="4">
        <v>3</v>
      </c>
      <c r="AS6" s="4" t="s">
        <v>303</v>
      </c>
      <c r="AT6" s="4" t="s">
        <v>87</v>
      </c>
      <c r="AU6" s="4" t="s">
        <v>37</v>
      </c>
      <c r="AV6" s="4" t="s">
        <v>277</v>
      </c>
      <c r="AW6" s="4" t="s">
        <v>91</v>
      </c>
      <c r="AX6" s="4" t="s">
        <v>93</v>
      </c>
      <c r="AY6" s="4" t="s">
        <v>94</v>
      </c>
    </row>
    <row r="7" spans="2:51" ht="13.5">
      <c r="B7" s="3" t="s">
        <v>103</v>
      </c>
      <c r="C7" s="4">
        <v>5000</v>
      </c>
      <c r="D7" s="4">
        <v>250</v>
      </c>
      <c r="E7" s="4">
        <v>250</v>
      </c>
      <c r="F7" s="4">
        <v>4</v>
      </c>
      <c r="G7" s="4">
        <v>2</v>
      </c>
      <c r="J7" s="2" t="s">
        <v>55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Q7" s="2" t="s">
        <v>112</v>
      </c>
      <c r="R7" s="4">
        <v>1.6</v>
      </c>
      <c r="S7" s="4">
        <v>1.6</v>
      </c>
      <c r="T7" s="4">
        <v>1.6</v>
      </c>
      <c r="U7" s="4">
        <v>1.6</v>
      </c>
      <c r="V7" s="4">
        <v>1.6</v>
      </c>
      <c r="X7" s="2">
        <v>40</v>
      </c>
      <c r="Y7" s="4">
        <v>0.4</v>
      </c>
      <c r="Z7" s="4">
        <v>0.4</v>
      </c>
      <c r="AA7" s="4">
        <v>0.4</v>
      </c>
      <c r="AB7" s="4">
        <v>0.4</v>
      </c>
      <c r="AC7" s="4">
        <v>0.4</v>
      </c>
      <c r="AE7" s="2">
        <v>40</v>
      </c>
      <c r="AF7" s="4">
        <f t="shared" si="1"/>
        <v>6</v>
      </c>
      <c r="AG7" s="4">
        <f t="shared" si="2"/>
        <v>6</v>
      </c>
      <c r="AH7" s="4">
        <f t="shared" si="3"/>
        <v>6</v>
      </c>
      <c r="AI7" s="4">
        <f t="shared" si="4"/>
        <v>6</v>
      </c>
      <c r="AJ7" s="4">
        <f t="shared" si="5"/>
        <v>6</v>
      </c>
      <c r="AM7" s="4" t="s">
        <v>289</v>
      </c>
      <c r="AN7" s="4">
        <v>5000</v>
      </c>
      <c r="AO7" s="4">
        <v>250</v>
      </c>
      <c r="AP7" s="4">
        <v>250</v>
      </c>
      <c r="AQ7" s="4">
        <v>4</v>
      </c>
      <c r="AR7" s="4">
        <v>2</v>
      </c>
      <c r="AS7" s="4" t="s">
        <v>307</v>
      </c>
      <c r="AT7" s="4" t="s">
        <v>86</v>
      </c>
      <c r="AU7" s="4" t="s">
        <v>36</v>
      </c>
      <c r="AV7" s="4" t="s">
        <v>277</v>
      </c>
      <c r="AW7" s="4" t="s">
        <v>91</v>
      </c>
      <c r="AX7" s="4" t="s">
        <v>92</v>
      </c>
      <c r="AY7" s="4" t="s">
        <v>95</v>
      </c>
    </row>
    <row r="8" spans="2:51" ht="13.5">
      <c r="B8" s="3" t="s">
        <v>104</v>
      </c>
      <c r="C8" s="4">
        <v>10000</v>
      </c>
      <c r="D8" s="4">
        <v>1000</v>
      </c>
      <c r="E8" s="4">
        <v>1000</v>
      </c>
      <c r="F8" s="4">
        <v>5</v>
      </c>
      <c r="G8" s="4">
        <v>1</v>
      </c>
      <c r="Q8" s="2" t="s">
        <v>113</v>
      </c>
      <c r="R8" s="4">
        <v>1.8</v>
      </c>
      <c r="S8" s="4">
        <v>1.8</v>
      </c>
      <c r="T8" s="4">
        <v>1.8</v>
      </c>
      <c r="U8" s="4">
        <v>1.8</v>
      </c>
      <c r="V8" s="4">
        <v>1.8</v>
      </c>
      <c r="X8" s="2">
        <v>50</v>
      </c>
      <c r="Y8" s="4">
        <v>0.5</v>
      </c>
      <c r="Z8" s="4">
        <v>0.5</v>
      </c>
      <c r="AA8" s="4">
        <v>0.5</v>
      </c>
      <c r="AB8" s="4">
        <v>0.5</v>
      </c>
      <c r="AC8" s="4">
        <v>0.5</v>
      </c>
      <c r="AE8" s="2">
        <v>50</v>
      </c>
      <c r="AF8" s="4">
        <f t="shared" si="1"/>
        <v>10</v>
      </c>
      <c r="AG8" s="4">
        <f t="shared" si="2"/>
        <v>10</v>
      </c>
      <c r="AH8" s="4">
        <f t="shared" si="3"/>
        <v>10</v>
      </c>
      <c r="AI8" s="4">
        <f t="shared" si="4"/>
        <v>10</v>
      </c>
      <c r="AJ8" s="4">
        <f t="shared" si="5"/>
        <v>10</v>
      </c>
      <c r="AM8" s="4" t="s">
        <v>290</v>
      </c>
      <c r="AN8" s="4">
        <v>10000</v>
      </c>
      <c r="AO8" s="4">
        <v>1000</v>
      </c>
      <c r="AP8" s="4">
        <v>1000</v>
      </c>
      <c r="AQ8" s="4">
        <v>5</v>
      </c>
      <c r="AR8" s="4">
        <v>1</v>
      </c>
      <c r="AS8" s="4" t="s">
        <v>304</v>
      </c>
      <c r="AT8" s="4" t="s">
        <v>99</v>
      </c>
      <c r="AU8" s="4" t="s">
        <v>41</v>
      </c>
      <c r="AV8" s="4" t="s">
        <v>277</v>
      </c>
      <c r="AW8" s="4" t="s">
        <v>99</v>
      </c>
      <c r="AX8" s="4" t="s">
        <v>92</v>
      </c>
      <c r="AY8" s="4" t="s">
        <v>94</v>
      </c>
    </row>
    <row r="9" spans="2:51" ht="13.5">
      <c r="Q9" s="2" t="s">
        <v>114</v>
      </c>
      <c r="R9" s="4">
        <v>2</v>
      </c>
      <c r="S9" s="4">
        <v>2</v>
      </c>
      <c r="T9" s="4">
        <v>2</v>
      </c>
      <c r="U9" s="4">
        <v>2</v>
      </c>
      <c r="V9" s="4">
        <v>2</v>
      </c>
      <c r="X9" s="2">
        <v>60</v>
      </c>
      <c r="Y9" s="4">
        <v>0.6</v>
      </c>
      <c r="Z9" s="4">
        <v>0.6</v>
      </c>
      <c r="AA9" s="4">
        <v>0.6</v>
      </c>
      <c r="AB9" s="4">
        <v>0.6</v>
      </c>
      <c r="AC9" s="4">
        <v>0.6</v>
      </c>
      <c r="AE9" s="2">
        <v>60</v>
      </c>
      <c r="AF9" s="4">
        <f t="shared" si="1"/>
        <v>15</v>
      </c>
      <c r="AG9" s="4">
        <f t="shared" si="2"/>
        <v>15</v>
      </c>
      <c r="AH9" s="4">
        <f t="shared" si="3"/>
        <v>15</v>
      </c>
      <c r="AI9" s="4">
        <f t="shared" si="4"/>
        <v>15</v>
      </c>
      <c r="AJ9" s="4">
        <f t="shared" si="5"/>
        <v>15</v>
      </c>
      <c r="AM9" s="4" t="s">
        <v>291</v>
      </c>
      <c r="AN9" s="4">
        <v>10000</v>
      </c>
      <c r="AO9" s="4">
        <v>1000</v>
      </c>
      <c r="AP9" s="4">
        <v>1000</v>
      </c>
      <c r="AQ9" s="4">
        <v>5</v>
      </c>
      <c r="AR9" s="4">
        <v>1</v>
      </c>
      <c r="AS9" s="4" t="s">
        <v>305</v>
      </c>
      <c r="AT9" s="4" t="s">
        <v>87</v>
      </c>
      <c r="AU9" s="4" t="s">
        <v>37</v>
      </c>
      <c r="AV9" s="4" t="s">
        <v>277</v>
      </c>
      <c r="AW9" s="4" t="s">
        <v>99</v>
      </c>
      <c r="AX9" s="4" t="s">
        <v>93</v>
      </c>
      <c r="AY9" s="4" t="s">
        <v>94</v>
      </c>
    </row>
    <row r="10" spans="2:51" ht="13.5">
      <c r="B10" s="48" t="s">
        <v>266</v>
      </c>
      <c r="C10" s="49"/>
      <c r="D10" s="49"/>
      <c r="E10" s="49"/>
      <c r="F10" s="49"/>
      <c r="G10" s="49"/>
      <c r="H10" s="49"/>
      <c r="Q10" s="2" t="s">
        <v>115</v>
      </c>
      <c r="R10" s="4">
        <v>2.2000000000000002</v>
      </c>
      <c r="S10" s="4">
        <v>2.2000000000000002</v>
      </c>
      <c r="T10" s="4">
        <v>2.2000000000000002</v>
      </c>
      <c r="U10" s="4">
        <v>2.2000000000000002</v>
      </c>
      <c r="V10" s="4">
        <v>2.2000000000000002</v>
      </c>
      <c r="X10" s="2">
        <v>70</v>
      </c>
      <c r="Y10" s="4">
        <v>0.7</v>
      </c>
      <c r="Z10" s="4">
        <v>0.7</v>
      </c>
      <c r="AA10" s="4">
        <v>0.7</v>
      </c>
      <c r="AB10" s="4">
        <v>0.7</v>
      </c>
      <c r="AC10" s="4">
        <v>0.7</v>
      </c>
      <c r="AE10" s="2">
        <v>70</v>
      </c>
      <c r="AF10" s="4">
        <f t="shared" si="1"/>
        <v>21</v>
      </c>
      <c r="AG10" s="4">
        <f t="shared" si="2"/>
        <v>21</v>
      </c>
      <c r="AH10" s="4">
        <f t="shared" si="3"/>
        <v>21</v>
      </c>
      <c r="AI10" s="4">
        <f t="shared" si="4"/>
        <v>21</v>
      </c>
      <c r="AJ10" s="4">
        <f t="shared" si="5"/>
        <v>21</v>
      </c>
      <c r="AM10" s="4" t="s">
        <v>292</v>
      </c>
      <c r="AN10" s="4">
        <v>10000</v>
      </c>
      <c r="AO10" s="4">
        <v>1000</v>
      </c>
      <c r="AP10" s="4">
        <v>1000</v>
      </c>
      <c r="AQ10" s="4">
        <v>5</v>
      </c>
      <c r="AR10" s="4">
        <v>1</v>
      </c>
      <c r="AS10" s="4" t="s">
        <v>306</v>
      </c>
      <c r="AT10" s="4" t="s">
        <v>99</v>
      </c>
      <c r="AU10" s="4" t="s">
        <v>41</v>
      </c>
      <c r="AV10" s="4" t="s">
        <v>277</v>
      </c>
      <c r="AW10" s="4" t="s">
        <v>100</v>
      </c>
      <c r="AX10" s="4" t="s">
        <v>92</v>
      </c>
      <c r="AY10" s="4" t="s">
        <v>94</v>
      </c>
    </row>
    <row r="11" spans="2:51" ht="13.5">
      <c r="B11" s="2" t="s">
        <v>58</v>
      </c>
      <c r="C11" s="3" t="s">
        <v>47</v>
      </c>
      <c r="D11" s="3" t="s">
        <v>48</v>
      </c>
      <c r="E11" s="3" t="s">
        <v>50</v>
      </c>
      <c r="F11" s="3" t="s">
        <v>51</v>
      </c>
      <c r="G11" s="3" t="s">
        <v>52</v>
      </c>
      <c r="H11" s="3" t="s">
        <v>49</v>
      </c>
      <c r="Q11" s="2" t="s">
        <v>116</v>
      </c>
      <c r="R11" s="4">
        <v>2.4</v>
      </c>
      <c r="S11" s="4">
        <v>2.4</v>
      </c>
      <c r="T11" s="4">
        <v>2.4</v>
      </c>
      <c r="U11" s="4">
        <v>2.4</v>
      </c>
      <c r="V11" s="4">
        <v>2.4</v>
      </c>
      <c r="X11" s="2">
        <v>80</v>
      </c>
      <c r="Y11" s="4">
        <v>0.8</v>
      </c>
      <c r="Z11" s="4">
        <v>0.8</v>
      </c>
      <c r="AA11" s="4">
        <v>0.8</v>
      </c>
      <c r="AB11" s="4">
        <v>0.8</v>
      </c>
      <c r="AC11" s="4">
        <v>0.8</v>
      </c>
      <c r="AE11" s="2">
        <v>80</v>
      </c>
      <c r="AF11" s="4">
        <f t="shared" si="1"/>
        <v>28</v>
      </c>
      <c r="AG11" s="4">
        <f t="shared" si="2"/>
        <v>28</v>
      </c>
      <c r="AH11" s="4">
        <f t="shared" si="3"/>
        <v>28</v>
      </c>
      <c r="AI11" s="4">
        <f t="shared" si="4"/>
        <v>28</v>
      </c>
      <c r="AJ11" s="4">
        <f t="shared" si="5"/>
        <v>28</v>
      </c>
      <c r="AM11" s="4" t="s">
        <v>293</v>
      </c>
      <c r="AN11" s="4">
        <v>10000</v>
      </c>
      <c r="AO11" s="4">
        <v>1000</v>
      </c>
      <c r="AP11" s="4">
        <v>1000</v>
      </c>
      <c r="AQ11" s="4">
        <v>5</v>
      </c>
      <c r="AR11" s="4">
        <v>1</v>
      </c>
      <c r="AS11" s="4" t="s">
        <v>308</v>
      </c>
      <c r="AT11" s="4" t="s">
        <v>99</v>
      </c>
      <c r="AU11" s="4" t="s">
        <v>41</v>
      </c>
      <c r="AV11" s="4" t="s">
        <v>278</v>
      </c>
      <c r="AW11" s="4" t="s">
        <v>100</v>
      </c>
      <c r="AX11" s="4" t="s">
        <v>92</v>
      </c>
      <c r="AY11" s="4" t="s">
        <v>94</v>
      </c>
    </row>
    <row r="12" spans="2:51" ht="13.5">
      <c r="B12" s="5" t="s">
        <v>105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Q12" s="2" t="s">
        <v>117</v>
      </c>
      <c r="R12" s="4">
        <v>2.6</v>
      </c>
      <c r="S12" s="4">
        <v>2.6</v>
      </c>
      <c r="T12" s="4">
        <v>2.6</v>
      </c>
      <c r="U12" s="4">
        <v>2.6</v>
      </c>
      <c r="V12" s="4">
        <v>2.6</v>
      </c>
      <c r="X12" s="2">
        <v>90</v>
      </c>
      <c r="Y12" s="4">
        <v>0.9</v>
      </c>
      <c r="Z12" s="4">
        <v>0.9</v>
      </c>
      <c r="AA12" s="4">
        <v>0.9</v>
      </c>
      <c r="AB12" s="4">
        <v>0.9</v>
      </c>
      <c r="AC12" s="4">
        <v>0.9</v>
      </c>
      <c r="AE12" s="2">
        <v>90</v>
      </c>
      <c r="AF12" s="4">
        <f t="shared" si="1"/>
        <v>36</v>
      </c>
      <c r="AG12" s="4">
        <f t="shared" si="2"/>
        <v>36</v>
      </c>
      <c r="AH12" s="4">
        <f t="shared" si="3"/>
        <v>36</v>
      </c>
      <c r="AI12" s="4">
        <f t="shared" si="4"/>
        <v>36</v>
      </c>
      <c r="AJ12" s="4">
        <f t="shared" si="5"/>
        <v>36</v>
      </c>
      <c r="AM12" s="4" t="s">
        <v>294</v>
      </c>
      <c r="AN12" s="4">
        <v>10000</v>
      </c>
      <c r="AO12" s="4">
        <v>1000</v>
      </c>
      <c r="AP12" s="4">
        <v>1000</v>
      </c>
      <c r="AQ12" s="4">
        <v>5</v>
      </c>
      <c r="AR12" s="4">
        <v>1</v>
      </c>
      <c r="AS12" s="4" t="s">
        <v>309</v>
      </c>
      <c r="AT12" s="4" t="s">
        <v>87</v>
      </c>
      <c r="AU12" s="4" t="s">
        <v>37</v>
      </c>
      <c r="AV12" s="4" t="s">
        <v>279</v>
      </c>
      <c r="AW12" s="4" t="s">
        <v>91</v>
      </c>
      <c r="AX12" s="4" t="s">
        <v>92</v>
      </c>
      <c r="AY12" s="4" t="s">
        <v>94</v>
      </c>
    </row>
    <row r="13" spans="2:51" ht="13.5">
      <c r="B13" s="2" t="s">
        <v>106</v>
      </c>
      <c r="C13" s="4">
        <v>0.8</v>
      </c>
      <c r="D13" s="4">
        <v>0.8</v>
      </c>
      <c r="E13" s="4">
        <v>1.2</v>
      </c>
      <c r="F13" s="4">
        <v>1.5</v>
      </c>
      <c r="G13" s="4">
        <v>1</v>
      </c>
      <c r="H13" s="4">
        <v>4</v>
      </c>
      <c r="Q13" s="2" t="s">
        <v>118</v>
      </c>
      <c r="R13" s="4">
        <v>2.8</v>
      </c>
      <c r="S13" s="4">
        <v>2.8</v>
      </c>
      <c r="T13" s="4">
        <v>2.8</v>
      </c>
      <c r="U13" s="4">
        <v>2.8</v>
      </c>
      <c r="V13" s="4">
        <v>2.8</v>
      </c>
      <c r="X13" s="2">
        <v>100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E13" s="2">
        <v>100</v>
      </c>
      <c r="AF13" s="4">
        <f t="shared" si="1"/>
        <v>45</v>
      </c>
      <c r="AG13" s="4">
        <f t="shared" si="2"/>
        <v>45</v>
      </c>
      <c r="AH13" s="4">
        <f t="shared" si="3"/>
        <v>45</v>
      </c>
      <c r="AI13" s="4">
        <f t="shared" si="4"/>
        <v>45</v>
      </c>
      <c r="AJ13" s="4">
        <f t="shared" si="5"/>
        <v>45</v>
      </c>
    </row>
    <row r="14" spans="2:51" ht="13.5">
      <c r="Q14" s="2" t="s">
        <v>119</v>
      </c>
      <c r="R14" s="4">
        <v>3</v>
      </c>
      <c r="S14" s="4">
        <v>3</v>
      </c>
      <c r="T14" s="4">
        <v>3</v>
      </c>
      <c r="U14" s="4">
        <v>3</v>
      </c>
      <c r="V14" s="4">
        <v>3</v>
      </c>
    </row>
    <row r="15" spans="2:51" ht="13.5">
      <c r="B15" s="45" t="s">
        <v>53</v>
      </c>
      <c r="C15" s="45"/>
      <c r="D15" s="45"/>
      <c r="E15" s="45"/>
      <c r="F15" s="45"/>
      <c r="G15" s="45"/>
      <c r="Q15" s="2" t="s">
        <v>120</v>
      </c>
      <c r="R15" s="4">
        <v>3.2</v>
      </c>
      <c r="S15" s="4">
        <v>3.2</v>
      </c>
      <c r="T15" s="4">
        <v>3.2</v>
      </c>
      <c r="U15" s="4">
        <v>3.2</v>
      </c>
      <c r="V15" s="4">
        <v>3.2</v>
      </c>
    </row>
    <row r="16" spans="2:51" ht="13.5">
      <c r="B16" s="2" t="s">
        <v>61</v>
      </c>
      <c r="C16" s="3" t="s">
        <v>47</v>
      </c>
      <c r="D16" s="3" t="s">
        <v>48</v>
      </c>
      <c r="E16" s="3" t="s">
        <v>50</v>
      </c>
      <c r="F16" s="3" t="s">
        <v>51</v>
      </c>
      <c r="G16" s="3" t="s">
        <v>52</v>
      </c>
    </row>
    <row r="17" spans="2:7" ht="13.5">
      <c r="B17" s="2" t="s">
        <v>107</v>
      </c>
      <c r="C17" s="4">
        <v>1.5</v>
      </c>
      <c r="D17" s="4">
        <v>1.5</v>
      </c>
      <c r="E17" s="4">
        <v>1.5</v>
      </c>
      <c r="F17" s="4">
        <v>1</v>
      </c>
      <c r="G17" s="4">
        <v>1</v>
      </c>
    </row>
    <row r="18" spans="2:7" ht="13.5">
      <c r="B18" s="2" t="s">
        <v>108</v>
      </c>
      <c r="C18" s="4">
        <v>1</v>
      </c>
      <c r="D18" s="4">
        <v>1</v>
      </c>
      <c r="E18" s="4">
        <v>1</v>
      </c>
      <c r="F18" s="4">
        <v>1</v>
      </c>
      <c r="G18" s="4">
        <v>3</v>
      </c>
    </row>
    <row r="20" spans="2:7" ht="13.5">
      <c r="B20" s="51" t="s">
        <v>135</v>
      </c>
      <c r="C20" s="51"/>
    </row>
    <row r="21" spans="2:7" ht="13.5">
      <c r="B21" s="2" t="s">
        <v>152</v>
      </c>
      <c r="C21" s="2" t="s">
        <v>151</v>
      </c>
    </row>
    <row r="22" spans="2:7">
      <c r="B22" s="4">
        <v>250</v>
      </c>
      <c r="C22" s="4">
        <v>250</v>
      </c>
    </row>
  </sheetData>
  <mergeCells count="10">
    <mergeCell ref="B20:C20"/>
    <mergeCell ref="B1:AC1"/>
    <mergeCell ref="X2:AC2"/>
    <mergeCell ref="B2:G2"/>
    <mergeCell ref="AM2:AR2"/>
    <mergeCell ref="B15:G15"/>
    <mergeCell ref="J2:O2"/>
    <mergeCell ref="Q2:V2"/>
    <mergeCell ref="B10:H10"/>
    <mergeCell ref="AE2:AJ2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3"/>
  <sheetViews>
    <sheetView zoomScale="75" zoomScaleNormal="75" workbookViewId="0">
      <pane ySplit="4" topLeftCell="A5" activePane="bottomLeft" state="frozen"/>
      <selection pane="bottomLeft" sqref="A1:XFD1"/>
    </sheetView>
  </sheetViews>
  <sheetFormatPr defaultColWidth="12.5703125" defaultRowHeight="15.75" customHeight="1"/>
  <cols>
    <col min="1" max="1" width="31.28515625" customWidth="1"/>
    <col min="2" max="2" width="28.42578125" customWidth="1"/>
    <col min="3" max="3" width="19.28515625" customWidth="1"/>
    <col min="4" max="4" width="24.5703125" customWidth="1"/>
    <col min="5" max="6" width="16.7109375" customWidth="1"/>
    <col min="7" max="7" width="10.85546875" customWidth="1"/>
    <col min="8" max="8" width="17.7109375" customWidth="1"/>
    <col min="9" max="9" width="16.7109375" customWidth="1"/>
    <col min="10" max="10" width="21.28515625" customWidth="1"/>
    <col min="11" max="11" width="14.85546875" bestFit="1" customWidth="1"/>
    <col min="12" max="12" width="14.85546875" customWidth="1"/>
    <col min="13" max="17" width="16.7109375" customWidth="1"/>
    <col min="18" max="18" width="24.5703125" customWidth="1"/>
    <col min="19" max="19" width="28.7109375" customWidth="1"/>
    <col min="20" max="27" width="16.7109375" customWidth="1"/>
    <col min="29" max="29" width="54.7109375" customWidth="1"/>
    <col min="30" max="30" width="26.42578125" customWidth="1"/>
    <col min="31" max="31" width="20.7109375" customWidth="1"/>
  </cols>
  <sheetData>
    <row r="1" spans="1:32" ht="129.94999999999999" customHeight="1">
      <c r="A1" s="41" t="s">
        <v>272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32" ht="15.75" customHeight="1">
      <c r="A2" s="25" t="s">
        <v>62</v>
      </c>
      <c r="B2" s="25" t="s">
        <v>285</v>
      </c>
      <c r="C2" s="25" t="s">
        <v>284</v>
      </c>
      <c r="D2" s="25" t="s">
        <v>286</v>
      </c>
      <c r="E2" s="26" t="s">
        <v>75</v>
      </c>
      <c r="F2" s="27" t="s">
        <v>72</v>
      </c>
      <c r="G2" s="27" t="s">
        <v>96</v>
      </c>
      <c r="H2" s="27" t="s">
        <v>90</v>
      </c>
      <c r="I2" s="26" t="s">
        <v>63</v>
      </c>
      <c r="J2" s="27" t="s">
        <v>78</v>
      </c>
      <c r="K2" s="25" t="s">
        <v>79</v>
      </c>
      <c r="L2" s="25" t="s">
        <v>66</v>
      </c>
      <c r="M2" s="25" t="s">
        <v>67</v>
      </c>
      <c r="N2" s="25" t="s">
        <v>65</v>
      </c>
      <c r="O2" s="25" t="s">
        <v>68</v>
      </c>
      <c r="P2" s="25" t="s">
        <v>70</v>
      </c>
      <c r="Q2" s="25" t="s">
        <v>69</v>
      </c>
      <c r="R2" s="25" t="s">
        <v>76</v>
      </c>
      <c r="S2" s="25" t="s">
        <v>77</v>
      </c>
      <c r="T2" s="25" t="s">
        <v>64</v>
      </c>
      <c r="U2" s="25" t="s">
        <v>80</v>
      </c>
      <c r="V2" s="25" t="s">
        <v>81</v>
      </c>
      <c r="W2" s="25" t="s">
        <v>82</v>
      </c>
      <c r="X2" s="25" t="s">
        <v>83</v>
      </c>
      <c r="Y2" s="25" t="s">
        <v>84</v>
      </c>
      <c r="Z2" s="25" t="s">
        <v>85</v>
      </c>
      <c r="AA2" s="25" t="s">
        <v>271</v>
      </c>
      <c r="AB2" s="25" t="s">
        <v>97</v>
      </c>
      <c r="AC2" s="25" t="s">
        <v>311</v>
      </c>
      <c r="AD2" s="25" t="s">
        <v>310</v>
      </c>
    </row>
    <row r="3" spans="1:32" ht="15.75" customHeight="1">
      <c r="A3" s="8" t="s">
        <v>6</v>
      </c>
      <c r="B3" s="24" t="s">
        <v>298</v>
      </c>
      <c r="C3" s="24" t="s">
        <v>195</v>
      </c>
      <c r="D3" s="8" t="s">
        <v>6</v>
      </c>
      <c r="E3" s="8" t="s">
        <v>6</v>
      </c>
      <c r="F3" s="8" t="s">
        <v>6</v>
      </c>
      <c r="G3" s="9" t="s">
        <v>137</v>
      </c>
      <c r="H3" s="24" t="s">
        <v>195</v>
      </c>
      <c r="I3" s="8" t="s">
        <v>6</v>
      </c>
      <c r="J3" s="8" t="s">
        <v>6</v>
      </c>
      <c r="K3" s="8" t="s">
        <v>6</v>
      </c>
      <c r="L3" s="24" t="s">
        <v>138</v>
      </c>
      <c r="M3" s="24" t="s">
        <v>138</v>
      </c>
      <c r="N3" s="24" t="s">
        <v>138</v>
      </c>
      <c r="O3" s="24" t="s">
        <v>138</v>
      </c>
      <c r="P3" s="24" t="s">
        <v>138</v>
      </c>
      <c r="Q3" s="24" t="s">
        <v>138</v>
      </c>
      <c r="R3" s="8" t="s">
        <v>6</v>
      </c>
      <c r="S3" s="8" t="s">
        <v>6</v>
      </c>
      <c r="T3" s="8" t="s">
        <v>6</v>
      </c>
      <c r="U3" s="8" t="s">
        <v>14</v>
      </c>
      <c r="V3" s="8" t="s">
        <v>14</v>
      </c>
      <c r="W3" s="8" t="s">
        <v>14</v>
      </c>
      <c r="X3" s="8" t="s">
        <v>21</v>
      </c>
      <c r="Y3" s="8" t="s">
        <v>21</v>
      </c>
      <c r="Z3" s="8" t="s">
        <v>21</v>
      </c>
      <c r="AA3" s="24" t="s">
        <v>138</v>
      </c>
      <c r="AB3" s="8" t="s">
        <v>147</v>
      </c>
      <c r="AC3" s="8" t="s">
        <v>74</v>
      </c>
      <c r="AD3" s="8" t="s">
        <v>74</v>
      </c>
      <c r="AF3" s="10"/>
    </row>
    <row r="4" spans="1:32" ht="15.75" customHeight="1">
      <c r="A4" s="11" t="s">
        <v>5</v>
      </c>
      <c r="B4" s="11" t="s">
        <v>8</v>
      </c>
      <c r="C4" s="11" t="s">
        <v>8</v>
      </c>
      <c r="D4" s="11" t="s">
        <v>8</v>
      </c>
      <c r="E4" s="11" t="s">
        <v>30</v>
      </c>
      <c r="F4" s="11" t="s">
        <v>194</v>
      </c>
      <c r="G4" s="12" t="s">
        <v>136</v>
      </c>
      <c r="H4" s="11" t="s">
        <v>202</v>
      </c>
      <c r="I4" s="11" t="s">
        <v>10</v>
      </c>
      <c r="J4" s="11" t="s">
        <v>27</v>
      </c>
      <c r="K4" s="11" t="s">
        <v>29</v>
      </c>
      <c r="L4" s="11" t="s">
        <v>16</v>
      </c>
      <c r="M4" s="11" t="s">
        <v>18</v>
      </c>
      <c r="N4" s="11" t="s">
        <v>13</v>
      </c>
      <c r="O4" s="11" t="s">
        <v>20</v>
      </c>
      <c r="P4" s="11" t="s">
        <v>25</v>
      </c>
      <c r="Q4" s="11" t="s">
        <v>23</v>
      </c>
      <c r="R4" s="11" t="s">
        <v>31</v>
      </c>
      <c r="S4" s="11" t="s">
        <v>33</v>
      </c>
      <c r="T4" s="11" t="s">
        <v>12</v>
      </c>
      <c r="U4" s="11" t="s">
        <v>16</v>
      </c>
      <c r="V4" s="11" t="s">
        <v>18</v>
      </c>
      <c r="W4" s="11" t="s">
        <v>13</v>
      </c>
      <c r="X4" s="11" t="s">
        <v>20</v>
      </c>
      <c r="Y4" s="11" t="s">
        <v>25</v>
      </c>
      <c r="Z4" s="11" t="s">
        <v>23</v>
      </c>
      <c r="AA4" s="11" t="s">
        <v>148</v>
      </c>
      <c r="AB4" s="11" t="s">
        <v>148</v>
      </c>
      <c r="AC4" s="11" t="s">
        <v>149</v>
      </c>
      <c r="AD4" s="11" t="s">
        <v>150</v>
      </c>
    </row>
    <row r="5" spans="1:32" ht="15.75" customHeight="1">
      <c r="A5" s="13" t="str">
        <f>T5&amp;"_"&amp;F5&amp;VLOOKUP($C5, Factor!$AM$4:$AY$14, 7, 0)&amp;IF(COUNTIFS($C$4:C4, C5, $F$4:F4, F5)+1&gt;=100, COUNTIFS($C$4:C4, C5, $F$4:F4, F5)+1,IF(COUNTIFS($C$4:C4, C5, $F$4:F4, F5)+1&gt;=10, "0"&amp;COUNTIFS($C$4:C4, C5, $F$4:F4, F5)+1, "00"&amp;COUNTIFS($C$4:C4, C5, $F$4:F4, F5)+1))</f>
        <v>enpc_F01_A_Lava_001</v>
      </c>
      <c r="B5" s="13"/>
      <c r="C5" s="13" t="s">
        <v>35</v>
      </c>
      <c r="D5" s="13" t="str">
        <f>B5&amp;C5</f>
        <v>라바</v>
      </c>
      <c r="E5" s="13" t="str">
        <f>VLOOKUP($C5, Factor!$AM$4:$AY$12, 8, 0)</f>
        <v>S</v>
      </c>
      <c r="F5" s="13" t="s">
        <v>89</v>
      </c>
      <c r="G5" s="14">
        <v>1</v>
      </c>
      <c r="H5" s="13" t="s">
        <v>73</v>
      </c>
      <c r="I5" s="13" t="str">
        <f>VLOOKUP($C5, Factor!$AM$4:$AY$12, 11, 0)</f>
        <v>A</v>
      </c>
      <c r="J5" s="13" t="str">
        <f>VLOOKUP($C5, Factor!$AM$4:$AY$12, 12, 0)</f>
        <v>ml</v>
      </c>
      <c r="K5" s="13" t="str">
        <f>VLOOKUP($C5, Factor!$AM$4:$AY$12, 13, 0)</f>
        <v>L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 t="str">
        <f>VLOOKUP($C5, Factor!$AM$4:$AY$12, 9, 0)</f>
        <v>Small</v>
      </c>
      <c r="S5" s="13" t="s">
        <v>88</v>
      </c>
      <c r="T5" s="13" t="str">
        <f>VLOOKUP($C5, Factor!$AM$4:$AY$12, 10, 0)</f>
        <v>enpc</v>
      </c>
      <c r="U5" s="13" cm="1">
        <f t="array" ref="U5">L5*VLOOKUP($I5, Factor!$B$4:$G$8, 2, 0)*VLOOKUP($J5, Factor!$B$12:$G$13, 2, 0)*VLOOKUP($K5, Factor!$B$17:$G$18, 2, 0)*VLOOKUP($H5, Factor!$J$4:$O$7, 2, 0)*VLOOKUP($F5, Factor!$Q$4:$V$15, 2, 0)*IF(MOD($G5,10)=0, 10, MOD($G5, 10))*((INDEX(Factor!$X$4:$AC$13, _xlfn.XMATCH($G5, Factor!$X$4:$X$13, 1),2)*IF(MOD(G5, 10) = 0, 10, MOD(G5, 10)))+INDEX(Factor!$AE$4:$AJ$13, _xlfn.XMATCH(MonsterData!$G5, Factor!$AE$4:$AE$13, 1),2))</f>
        <v>12</v>
      </c>
      <c r="V5" s="13" cm="1">
        <f t="array" ref="V5">M5*VLOOKUP($I5, Factor!$B$4:$G$8, 3, 0)*VLOOKUP($J5, Factor!$B$12:$G$13, 3, 0)*VLOOKUP($K5, Factor!$B$17:$G$18, 3, 0)*VLOOKUP($H5, Factor!$J$4:$O$7, 3, 0)*VLOOKUP($F5, Factor!$Q$4:$V$15, 3, 0)*IF(MOD($G5,10)=0, 10, MOD($G5, 10))*((INDEX(Factor!$X$4:$AC$13, _xlfn.XMATCH($G5, Factor!$X$4:$X$13, 1),3)*IF(MOD(G5, 10) = 0, 10, MOD(G5, 10)))+INDEX(Factor!$AE$4:$AJ$13, _xlfn.XMATCH(MonsterData!$G5, Factor!$AE$4:$AE$13, 1),3))</f>
        <v>0.60000000000000009</v>
      </c>
      <c r="W5" s="13" cm="1">
        <f t="array" ref="W5">N5*VLOOKUP($I5, Factor!$B$4:$G$8, 4, 0)*VLOOKUP($J5, Factor!$B$12:$G$13, 4, 0)*VLOOKUP($K5, Factor!$B$17:$G$18, 4, 0)*VLOOKUP($H5, Factor!$J$4:$O$7, 4, 0)*VLOOKUP($F5, Factor!$Q$4:$V$15, 4, 0)*IF(MOD($G5,10)=0, 10, MOD($G5, 10))*((INDEX(Factor!$X$4:$AC$13, _xlfn.XMATCH($G5, Factor!$X$4:$X$13, 1),4)*IF(MOD(G5, 10) = 0, 10, MOD(G5, 10)))+INDEX(Factor!$AE$4:$AJ$13, _xlfn.XMATCH(MonsterData!$G5, Factor!$AE$4:$AE$13, 1),4))</f>
        <v>0.36000000000000004</v>
      </c>
      <c r="X5" s="13" cm="1">
        <f t="array" ref="X5">O5*VLOOKUP($I5, Factor!$B$4:$G$8, 5, 0)*VLOOKUP($J5, Factor!$B$12:$G$13, 5, 0)*VLOOKUP($K5, Factor!$B$17:$G$18, 5, 0)*VLOOKUP($H5, Factor!$J$4:$O$7, 5, 0)*VLOOKUP($F5, Factor!$Q$4:$V$15, 5, 0)*IF(MOD($G5,10)=0, 10, MOD($G5, 10))*((INDEX(Factor!$X$4:$AC$13, _xlfn.XMATCH($G5, Factor!$X$4:$X$13, 1),5)*IF(MOD(G5, 10) = 0, 10, MOD(G5, 10)))+INDEX(Factor!$AE$4:$AJ$13, _xlfn.XMATCH(MonsterData!$G5, Factor!$AE$4:$AE$13, 1),5))</f>
        <v>0.1</v>
      </c>
      <c r="Y5" s="13" cm="1">
        <f t="array" ref="Y5">P5*VLOOKUP($I5, Factor!$B$4:$G$8, 6, 0)*VLOOKUP($J5, Factor!$B$12:$G$13, 6, 0)*VLOOKUP($K5, Factor!$B$17:$G$18, 6, 0)*VLOOKUP($H5, Factor!$J$4:$O$7, 2, 0)*VLOOKUP($F5, Factor!$Q$4:$V$15, 6, 0)*IF(MOD($G5,10)=0, 10, MOD($G5, 10))*((INDEX(Factor!$X$4:$AC$13, _xlfn.XMATCH($G5, Factor!$X$4:$X$13, 1),6)*IF(MOD(G5, 10) = 0, 10, MOD(G5, 10)))+INDEX(Factor!$AE$4:$AJ$13, _xlfn.XMATCH(MonsterData!$G5, Factor!$AE$4:$AE$13, 1),6))</f>
        <v>0.4</v>
      </c>
      <c r="Z5" s="13">
        <f>$Q5*VLOOKUP($J5, Factor!$B$12:$H$13, 7, 0)</f>
        <v>1</v>
      </c>
      <c r="AA5" s="13">
        <v>1</v>
      </c>
      <c r="AB5" s="13">
        <f>IF(J5 = "ml", 0, $Z5*$AA5)</f>
        <v>0</v>
      </c>
      <c r="AC5" s="13" t="s">
        <v>139</v>
      </c>
      <c r="AD5" s="15" t="s">
        <v>142</v>
      </c>
    </row>
    <row r="6" spans="1:32" ht="15.75" customHeight="1">
      <c r="A6" s="16" t="str">
        <f>T6&amp;"_"&amp;F6&amp;VLOOKUP($C6, Factor!$AM$4:$AY$14, 7, 0)&amp;IF(COUNTIFS($C$3:C5, C6, $F$3:F5, F6)+1&gt;=100, COUNTIFS($C$3:C5, C6, $F$3:F5, F6)+1,IF(COUNTIFS($C$3:C5, C6, $F$3:F5, F6)+1&gt;=10, "0"&amp;COUNTIFS($C$3:C5, C6, $F$3:F5, F6)+1, "00"&amp;COUNTIFS($C$3:C5, C6, $F$3:F5, F6)+1))</f>
        <v>enpc_F01_A_Cocoon_001</v>
      </c>
      <c r="B6" s="16"/>
      <c r="C6" s="16" t="s">
        <v>275</v>
      </c>
      <c r="D6" s="16" t="str">
        <f t="shared" ref="D6:D13" si="0">B6&amp;C6</f>
        <v>코쿤</v>
      </c>
      <c r="E6" s="17" t="str">
        <f>VLOOKUP($C6, Factor!$AM$4:$AY$12, 8, 0)</f>
        <v>M</v>
      </c>
      <c r="F6" s="17" t="s">
        <v>89</v>
      </c>
      <c r="G6" s="18">
        <v>2</v>
      </c>
      <c r="H6" s="16" t="s">
        <v>54</v>
      </c>
      <c r="I6" s="16" t="str">
        <f>VLOOKUP($C6, Factor!$AM$4:$AY$12, 11, 0)</f>
        <v>A</v>
      </c>
      <c r="J6" s="16" t="str">
        <f>VLOOKUP($C6, Factor!$AM$4:$AY$12, 12, 0)</f>
        <v>ml</v>
      </c>
      <c r="K6" s="16" t="str">
        <f>VLOOKUP($C6, Factor!$AM$4:$AY$12, 13, 0)</f>
        <v>L</v>
      </c>
      <c r="L6" s="17">
        <v>1</v>
      </c>
      <c r="M6" s="17">
        <v>1</v>
      </c>
      <c r="N6" s="17">
        <v>1</v>
      </c>
      <c r="O6" s="17">
        <v>1</v>
      </c>
      <c r="P6" s="17">
        <v>1</v>
      </c>
      <c r="Q6" s="17">
        <v>1</v>
      </c>
      <c r="R6" s="17" t="str">
        <f>VLOOKUP($C6, Factor!$AM$4:$AY$12, 9, 0)</f>
        <v>Midium</v>
      </c>
      <c r="S6" s="17" t="s">
        <v>196</v>
      </c>
      <c r="T6" s="17" t="str">
        <f>VLOOKUP($C6, Factor!$AM$4:$AY$12, 10, 0)</f>
        <v>enpc</v>
      </c>
      <c r="U6" s="17" cm="1">
        <f t="array" ref="U6">L6*VLOOKUP($I6, Factor!$B$4:$G$8, 2, 0)*VLOOKUP($J6, Factor!$B$12:$G$13, 2, 0)*VLOOKUP($K6, Factor!$B$17:$G$18, 2, 0)*VLOOKUP($H6, Factor!$J$4:$O$7, 2, 0)*VLOOKUP($F6, Factor!$Q$4:$V$15, 2, 0)*IF(MOD($G6,10)=0, 10, MOD($G6, 10))*((INDEX(Factor!$X$4:$AC$13, _xlfn.XMATCH($G6, Factor!$X$4:$X$13, 1),2)*IF(MOD(G6, 10) = 0, 10, MOD(G6, 10)))+INDEX(Factor!$AE$4:$AJ$13, _xlfn.XMATCH(MonsterData!$G6, Factor!$AE$4:$AE$13, 1),2))</f>
        <v>48</v>
      </c>
      <c r="V6" s="17" cm="1">
        <f t="array" ref="V6">M6*VLOOKUP($I6, Factor!$B$4:$G$8, 3, 0)*VLOOKUP($J6, Factor!$B$12:$G$13, 3, 0)*VLOOKUP($K6, Factor!$B$17:$G$18, 3, 0)*VLOOKUP($H6, Factor!$J$4:$O$7, 3, 0)*VLOOKUP($F6, Factor!$Q$4:$V$15, 3, 0)*IF(MOD($G6,10)=0, 10, MOD($G6, 10))*((INDEX(Factor!$X$4:$AC$13, _xlfn.XMATCH($G6, Factor!$X$4:$X$13, 1),3)*IF(MOD(G6, 10) = 0, 10, MOD(G6, 10)))+INDEX(Factor!$AE$4:$AJ$13, _xlfn.XMATCH(MonsterData!$G6, Factor!$AE$4:$AE$13, 1),3))</f>
        <v>2.4000000000000004</v>
      </c>
      <c r="W6" s="17" cm="1">
        <f t="array" ref="W6">N6*VLOOKUP($I6, Factor!$B$4:$G$8, 4, 0)*VLOOKUP($J6, Factor!$B$12:$G$13, 4, 0)*VLOOKUP($K6, Factor!$B$17:$G$18, 4, 0)*VLOOKUP($H6, Factor!$J$4:$O$7, 4, 0)*VLOOKUP($F6, Factor!$Q$4:$V$15, 4, 0)*IF(MOD($G6,10)=0, 10, MOD($G6, 10))*((INDEX(Factor!$X$4:$AC$13, _xlfn.XMATCH($G6, Factor!$X$4:$X$13, 1),4)*IF(MOD(G6, 10) = 0, 10, MOD(G6, 10)))+INDEX(Factor!$AE$4:$AJ$13, _xlfn.XMATCH(MonsterData!$G6, Factor!$AE$4:$AE$13, 1),4))</f>
        <v>1.4400000000000002</v>
      </c>
      <c r="X6" s="17" cm="1">
        <f t="array" ref="X6">O6*VLOOKUP($I6, Factor!$B$4:$G$8, 5, 0)*VLOOKUP($J6, Factor!$B$12:$G$13, 5, 0)*VLOOKUP($K6, Factor!$B$17:$G$18, 5, 0)*VLOOKUP($H6, Factor!$J$4:$O$7, 5, 0)*VLOOKUP($F6, Factor!$Q$4:$V$15, 5, 0)*IF(MOD($G6,10)=0, 10, MOD($G6, 10))*((INDEX(Factor!$X$4:$AC$13, _xlfn.XMATCH($G6, Factor!$X$4:$X$13, 1),5)*IF(MOD(G6, 10) = 0, 10, MOD(G6, 10)))+INDEX(Factor!$AE$4:$AJ$13, _xlfn.XMATCH(MonsterData!$G6, Factor!$AE$4:$AE$13, 1),5))</f>
        <v>0.4</v>
      </c>
      <c r="Y6" s="17" cm="1">
        <f t="array" ref="Y6">P6*VLOOKUP($I6, Factor!$B$4:$G$8, 6, 0)*VLOOKUP($J6, Factor!$B$12:$G$13, 6, 0)*VLOOKUP($K6, Factor!$B$17:$G$18, 6, 0)*VLOOKUP($H6, Factor!$J$4:$O$7, 2, 0)*VLOOKUP($F6, Factor!$Q$4:$V$15, 6, 0)*IF(MOD($G6,10)=0, 10, MOD($G6, 10))*((INDEX(Factor!$X$4:$AC$13, _xlfn.XMATCH($G6, Factor!$X$4:$X$13, 1),6)*IF(MOD(G6, 10) = 0, 10, MOD(G6, 10)))+INDEX(Factor!$AE$4:$AJ$13, _xlfn.XMATCH(MonsterData!$G6, Factor!$AE$4:$AE$13, 1),6))</f>
        <v>1.6</v>
      </c>
      <c r="Z6" s="17">
        <f>$Q6*VLOOKUP($J6, Factor!$B$12:$H$13, 7, 0)</f>
        <v>1</v>
      </c>
      <c r="AA6" s="17">
        <v>2</v>
      </c>
      <c r="AB6" s="17">
        <f t="shared" ref="AB6:AB13" si="1">IF(J6 = "ml", 0, $Z6*$AA6)</f>
        <v>0</v>
      </c>
      <c r="AC6" s="17" t="s">
        <v>139</v>
      </c>
      <c r="AD6" s="19" t="s">
        <v>142</v>
      </c>
    </row>
    <row r="7" spans="1:32" ht="15.75" customHeight="1">
      <c r="A7" s="13" t="str">
        <f>T7&amp;"_"&amp;F7&amp;VLOOKUP($C7, Factor!$AM$4:$AY$14, 7, 0)&amp;IF(COUNTIFS($C$3:C6, C7, $F$3:F6, F7)+1&gt;=100, COUNTIFS($C$3:C6, C7, $F$3:F6, F7)+1,IF(COUNTIFS($C$3:C6, C7, $F$3:F6, F7)+1&gt;=10, "0"&amp;COUNTIFS($C$3:C6, C7, $F$3:F6, F7)+1, "00"&amp;COUNTIFS($C$3:C6, C7, $F$3:F6, F7)+1))</f>
        <v>enpc_F01_A_Antlion_001</v>
      </c>
      <c r="B7" s="13"/>
      <c r="C7" s="13" t="s">
        <v>38</v>
      </c>
      <c r="D7" s="21" t="str">
        <f t="shared" si="0"/>
        <v>앤틸리온</v>
      </c>
      <c r="E7" s="21" t="str">
        <f>VLOOKUP($C7, Factor!$AM$4:$AY$12, 8, 0)</f>
        <v>M</v>
      </c>
      <c r="F7" s="21" t="s">
        <v>89</v>
      </c>
      <c r="G7" s="22">
        <v>3</v>
      </c>
      <c r="H7" s="21" t="s">
        <v>54</v>
      </c>
      <c r="I7" s="21" t="str">
        <f>VLOOKUP($C7, Factor!$AM$4:$AY$12, 11, 0)</f>
        <v>A</v>
      </c>
      <c r="J7" s="21" t="str">
        <f>VLOOKUP($C7, Factor!$AM$4:$AY$12, 12, 0)</f>
        <v>ra</v>
      </c>
      <c r="K7" s="21" t="str">
        <f>VLOOKUP($C7, Factor!$AM$4:$AY$12, 13, 0)</f>
        <v>L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21" t="str">
        <f>VLOOKUP($C7, Factor!$AM$4:$AY$12, 9, 0)</f>
        <v>Midium</v>
      </c>
      <c r="S7" s="13" t="s">
        <v>197</v>
      </c>
      <c r="T7" s="21" t="str">
        <f>VLOOKUP($C7, Factor!$AM$4:$AY$12, 10, 0)</f>
        <v>enpc</v>
      </c>
      <c r="U7" s="21" cm="1">
        <f t="array" ref="U7">L7*VLOOKUP($I7, Factor!$B$4:$G$8, 2, 0)*VLOOKUP($J7, Factor!$B$12:$G$13, 2, 0)*VLOOKUP($K7, Factor!$B$17:$G$18, 2, 0)*VLOOKUP($H7, Factor!$J$4:$O$7, 2, 0)*VLOOKUP($F7, Factor!$Q$4:$V$15, 2, 0)*IF(MOD($G7,10)=0, 10, MOD($G7, 10))*((INDEX(Factor!$X$4:$AC$13, _xlfn.XMATCH($G7, Factor!$X$4:$X$13, 1),2)*IF(MOD(G7, 10) = 0, 10, MOD(G7, 10)))+INDEX(Factor!$AE$4:$AJ$13, _xlfn.XMATCH(MonsterData!$G7, Factor!$AE$4:$AE$13, 1),2))</f>
        <v>86.4</v>
      </c>
      <c r="V7" s="21" cm="1">
        <f t="array" ref="V7">M7*VLOOKUP($I7, Factor!$B$4:$G$8, 3, 0)*VLOOKUP($J7, Factor!$B$12:$G$13, 3, 0)*VLOOKUP($K7, Factor!$B$17:$G$18, 3, 0)*VLOOKUP($H7, Factor!$J$4:$O$7, 3, 0)*VLOOKUP($F7, Factor!$Q$4:$V$15, 3, 0)*IF(MOD($G7,10)=0, 10, MOD($G7, 10))*((INDEX(Factor!$X$4:$AC$13, _xlfn.XMATCH($G7, Factor!$X$4:$X$13, 1),3)*IF(MOD(G7, 10) = 0, 10, MOD(G7, 10)))+INDEX(Factor!$AE$4:$AJ$13, _xlfn.XMATCH(MonsterData!$G7, Factor!$AE$4:$AE$13, 1),3))</f>
        <v>4.3200000000000012</v>
      </c>
      <c r="W7" s="21" cm="1">
        <f t="array" ref="W7">N7*VLOOKUP($I7, Factor!$B$4:$G$8, 4, 0)*VLOOKUP($J7, Factor!$B$12:$G$13, 4, 0)*VLOOKUP($K7, Factor!$B$17:$G$18, 4, 0)*VLOOKUP($H7, Factor!$J$4:$O$7, 4, 0)*VLOOKUP($F7, Factor!$Q$4:$V$15, 4, 0)*IF(MOD($G7,10)=0, 10, MOD($G7, 10))*((INDEX(Factor!$X$4:$AC$13, _xlfn.XMATCH($G7, Factor!$X$4:$X$13, 1),4)*IF(MOD(G7, 10) = 0, 10, MOD(G7, 10)))+INDEX(Factor!$AE$4:$AJ$13, _xlfn.XMATCH(MonsterData!$G7, Factor!$AE$4:$AE$13, 1),4))</f>
        <v>3.8879999999999999</v>
      </c>
      <c r="X7" s="21" cm="1">
        <f t="array" ref="X7">O7*VLOOKUP($I7, Factor!$B$4:$G$8, 5, 0)*VLOOKUP($J7, Factor!$B$12:$G$13, 5, 0)*VLOOKUP($K7, Factor!$B$17:$G$18, 5, 0)*VLOOKUP($H7, Factor!$J$4:$O$7, 5, 0)*VLOOKUP($F7, Factor!$Q$4:$V$15, 5, 0)*IF(MOD($G7,10)=0, 10, MOD($G7, 10))*((INDEX(Factor!$X$4:$AC$13, _xlfn.XMATCH($G7, Factor!$X$4:$X$13, 1),5)*IF(MOD(G7, 10) = 0, 10, MOD(G7, 10)))+INDEX(Factor!$AE$4:$AJ$13, _xlfn.XMATCH(MonsterData!$G7, Factor!$AE$4:$AE$13, 1),5))</f>
        <v>1.35</v>
      </c>
      <c r="Y7" s="21" cm="1">
        <f t="array" ref="Y7">P7*VLOOKUP($I7, Factor!$B$4:$G$8, 6, 0)*VLOOKUP($J7, Factor!$B$12:$G$13, 6, 0)*VLOOKUP($K7, Factor!$B$17:$G$18, 6, 0)*VLOOKUP($H7, Factor!$J$4:$O$7, 2, 0)*VLOOKUP($F7, Factor!$Q$4:$V$15, 6, 0)*IF(MOD($G7,10)=0, 10, MOD($G7, 10))*((INDEX(Factor!$X$4:$AC$13, _xlfn.XMATCH($G7, Factor!$X$4:$X$13, 1),6)*IF(MOD(G7, 10) = 0, 10, MOD(G7, 10)))+INDEX(Factor!$AE$4:$AJ$13, _xlfn.XMATCH(MonsterData!$G7, Factor!$AE$4:$AE$13, 1),6))</f>
        <v>3.6000000000000005</v>
      </c>
      <c r="Z7" s="21">
        <f>$Q7*VLOOKUP($J7, Factor!$B$12:$H$13, 7, 0)</f>
        <v>4</v>
      </c>
      <c r="AA7" s="21">
        <v>3</v>
      </c>
      <c r="AB7" s="21">
        <f t="shared" si="1"/>
        <v>12</v>
      </c>
      <c r="AC7" s="21" t="s">
        <v>139</v>
      </c>
      <c r="AD7" s="23" t="s">
        <v>142</v>
      </c>
    </row>
    <row r="8" spans="1:32" ht="15.75" customHeight="1">
      <c r="A8" s="16" t="str">
        <f>T8&amp;"_"&amp;F8&amp;VLOOKUP($C8, Factor!$AM$4:$AY$14, 7, 0)&amp;IF(COUNTIFS($C$3:C7, C8, $F$3:F7, F8)+1&gt;=100, COUNTIFS($C$3:C7, C8, $F$3:F7, F8)+1,IF(COUNTIFS($C$3:C7, C8, $F$3:F7, F8)+1&gt;=10, "0"&amp;COUNTIFS($C$3:C7, C8, $F$3:F7, F8)+1, "00"&amp;COUNTIFS($C$3:C7, C8, $F$3:F7, F8)+1))</f>
        <v>enpc_F01_A_Nymphe_001</v>
      </c>
      <c r="B8" s="16"/>
      <c r="C8" s="16" t="s">
        <v>39</v>
      </c>
      <c r="D8" s="17" t="str">
        <f t="shared" si="0"/>
        <v>님프</v>
      </c>
      <c r="E8" s="17" t="str">
        <f>VLOOKUP($C8, Factor!$AM$4:$AY$12, 8, 0)</f>
        <v>S</v>
      </c>
      <c r="F8" s="17" t="s">
        <v>89</v>
      </c>
      <c r="G8" s="20">
        <v>4</v>
      </c>
      <c r="H8" s="17" t="s">
        <v>54</v>
      </c>
      <c r="I8" s="17" t="str">
        <f>VLOOKUP($C8, Factor!$AM$4:$AY$12, 11, 0)</f>
        <v>A</v>
      </c>
      <c r="J8" s="17" t="str">
        <f>VLOOKUP($C8, Factor!$AM$4:$AY$12, 12, 0)</f>
        <v>ml</v>
      </c>
      <c r="K8" s="17" t="str">
        <f>VLOOKUP($C8, Factor!$AM$4:$AY$12, 13, 0)</f>
        <v>F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  <c r="Q8" s="17">
        <v>1</v>
      </c>
      <c r="R8" s="17" t="str">
        <f>VLOOKUP($C8, Factor!$AM$4:$AY$12, 9, 0)</f>
        <v>Small</v>
      </c>
      <c r="S8" s="17" t="s">
        <v>198</v>
      </c>
      <c r="T8" s="17" t="str">
        <f>VLOOKUP($C8, Factor!$AM$4:$AY$12, 10, 0)</f>
        <v>enpc</v>
      </c>
      <c r="U8" s="17" cm="1">
        <f t="array" ref="U8">L8*VLOOKUP($I8, Factor!$B$4:$G$8, 2, 0)*VLOOKUP($J8, Factor!$B$12:$G$13, 2, 0)*VLOOKUP($K8, Factor!$B$17:$G$18, 2, 0)*VLOOKUP($H8, Factor!$J$4:$O$7, 2, 0)*VLOOKUP($F8, Factor!$Q$4:$V$15, 2, 0)*IF(MOD($G8,10)=0, 10, MOD($G8, 10))*((INDEX(Factor!$X$4:$AC$13, _xlfn.XMATCH($G8, Factor!$X$4:$X$13, 1),2)*IF(MOD(G8, 10) = 0, 10, MOD(G8, 10)))+INDEX(Factor!$AE$4:$AJ$13, _xlfn.XMATCH(MonsterData!$G8, Factor!$AE$4:$AE$13, 1),2))</f>
        <v>128</v>
      </c>
      <c r="V8" s="17" cm="1">
        <f t="array" ref="V8">M8*VLOOKUP($I8, Factor!$B$4:$G$8, 3, 0)*VLOOKUP($J8, Factor!$B$12:$G$13, 3, 0)*VLOOKUP($K8, Factor!$B$17:$G$18, 3, 0)*VLOOKUP($H8, Factor!$J$4:$O$7, 3, 0)*VLOOKUP($F8, Factor!$Q$4:$V$15, 3, 0)*IF(MOD($G8,10)=0, 10, MOD($G8, 10))*((INDEX(Factor!$X$4:$AC$13, _xlfn.XMATCH($G8, Factor!$X$4:$X$13, 1),3)*IF(MOD(G8, 10) = 0, 10, MOD(G8, 10)))+INDEX(Factor!$AE$4:$AJ$13, _xlfn.XMATCH(MonsterData!$G8, Factor!$AE$4:$AE$13, 1),3))</f>
        <v>6.4</v>
      </c>
      <c r="W8" s="17" cm="1">
        <f t="array" ref="W8">N8*VLOOKUP($I8, Factor!$B$4:$G$8, 4, 0)*VLOOKUP($J8, Factor!$B$12:$G$13, 4, 0)*VLOOKUP($K8, Factor!$B$17:$G$18, 4, 0)*VLOOKUP($H8, Factor!$J$4:$O$7, 4, 0)*VLOOKUP($F8, Factor!$Q$4:$V$15, 4, 0)*IF(MOD($G8,10)=0, 10, MOD($G8, 10))*((INDEX(Factor!$X$4:$AC$13, _xlfn.XMATCH($G8, Factor!$X$4:$X$13, 1),4)*IF(MOD(G8, 10) = 0, 10, MOD(G8, 10)))+INDEX(Factor!$AE$4:$AJ$13, _xlfn.XMATCH(MonsterData!$G8, Factor!$AE$4:$AE$13, 1),4))</f>
        <v>3.8400000000000007</v>
      </c>
      <c r="X8" s="17" cm="1">
        <f t="array" ref="X8">O8*VLOOKUP($I8, Factor!$B$4:$G$8, 5, 0)*VLOOKUP($J8, Factor!$B$12:$G$13, 5, 0)*VLOOKUP($K8, Factor!$B$17:$G$18, 5, 0)*VLOOKUP($H8, Factor!$J$4:$O$7, 5, 0)*VLOOKUP($F8, Factor!$Q$4:$V$15, 5, 0)*IF(MOD($G8,10)=0, 10, MOD($G8, 10))*((INDEX(Factor!$X$4:$AC$13, _xlfn.XMATCH($G8, Factor!$X$4:$X$13, 1),5)*IF(MOD(G8, 10) = 0, 10, MOD(G8, 10)))+INDEX(Factor!$AE$4:$AJ$13, _xlfn.XMATCH(MonsterData!$G8, Factor!$AE$4:$AE$13, 1),5))</f>
        <v>1.6</v>
      </c>
      <c r="Y8" s="17" cm="1">
        <f t="array" ref="Y8">P8*VLOOKUP($I8, Factor!$B$4:$G$8, 6, 0)*VLOOKUP($J8, Factor!$B$12:$G$13, 6, 0)*VLOOKUP($K8, Factor!$B$17:$G$18, 6, 0)*VLOOKUP($H8, Factor!$J$4:$O$7, 2, 0)*VLOOKUP($F8, Factor!$Q$4:$V$15, 6, 0)*IF(MOD($G8,10)=0, 10, MOD($G8, 10))*((INDEX(Factor!$X$4:$AC$13, _xlfn.XMATCH($G8, Factor!$X$4:$X$13, 1),6)*IF(MOD(G8, 10) = 0, 10, MOD(G8, 10)))+INDEX(Factor!$AE$4:$AJ$13, _xlfn.XMATCH(MonsterData!$G8, Factor!$AE$4:$AE$13, 1),6))</f>
        <v>19.200000000000003</v>
      </c>
      <c r="Z8" s="17">
        <f>$Q8*VLOOKUP($J8, Factor!$B$12:$H$13, 7, 0)</f>
        <v>1</v>
      </c>
      <c r="AA8" s="17">
        <v>4</v>
      </c>
      <c r="AB8" s="17">
        <f t="shared" si="1"/>
        <v>0</v>
      </c>
      <c r="AC8" s="17" t="s">
        <v>139</v>
      </c>
      <c r="AD8" s="19" t="s">
        <v>142</v>
      </c>
    </row>
    <row r="9" spans="1:32" ht="15.75" customHeight="1">
      <c r="A9" s="13" t="str">
        <f>T9&amp;"_"&amp;F9&amp;VLOOKUP($C9, Factor!$AM$4:$AY$14, 7, 0)&amp;IF(COUNTIFS($C$3:C8, C9, $F$3:F8, F9)+1&gt;=100, COUNTIFS($C$3:C8, C9, $F$3:F8, F9)+1,IF(COUNTIFS($C$3:C8, C9, $F$3:F8, F9)+1&gt;=10, "0"&amp;COUNTIFS($C$3:C8, C9, $F$3:F8, F9)+1, "00"&amp;COUNTIFS($C$3:C8, C9, $F$3:F8, F9)+1))</f>
        <v>enpc_F01_B_Golem_001</v>
      </c>
      <c r="B9" s="13"/>
      <c r="C9" s="13" t="s">
        <v>40</v>
      </c>
      <c r="D9" s="21" t="str">
        <f t="shared" si="0"/>
        <v>골렘</v>
      </c>
      <c r="E9" s="21" t="str">
        <f>VLOOKUP($C9, Factor!$AM$4:$AY$12, 8, 0)</f>
        <v>B</v>
      </c>
      <c r="F9" s="21" t="s">
        <v>89</v>
      </c>
      <c r="G9" s="22">
        <v>5</v>
      </c>
      <c r="H9" s="21" t="s">
        <v>54</v>
      </c>
      <c r="I9" s="21" t="str">
        <f>VLOOKUP($C9, Factor!$AM$4:$AY$12, 11, 0)</f>
        <v>B</v>
      </c>
      <c r="J9" s="21" t="str">
        <f>VLOOKUP($C9, Factor!$AM$4:$AY$12, 12, 0)</f>
        <v>ml</v>
      </c>
      <c r="K9" s="21" t="str">
        <f>VLOOKUP($C9, Factor!$AM$4:$AY$12, 13, 0)</f>
        <v>L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21" t="str">
        <f>VLOOKUP($C9, Factor!$AM$4:$AY$12, 9, 0)</f>
        <v>Big</v>
      </c>
      <c r="S9" s="13" t="s">
        <v>199</v>
      </c>
      <c r="T9" s="21" t="str">
        <f>VLOOKUP($C9, Factor!$AM$4:$AY$12, 10, 0)</f>
        <v>enpc</v>
      </c>
      <c r="U9" s="21" cm="1">
        <f t="array" ref="U9">L9*VLOOKUP($I9, Factor!$B$4:$G$8, 2, 0)*VLOOKUP($J9, Factor!$B$12:$G$13, 2, 0)*VLOOKUP($K9, Factor!$B$17:$G$18, 2, 0)*VLOOKUP($H9, Factor!$J$4:$O$7, 2, 0)*VLOOKUP($F9, Factor!$Q$4:$V$15, 2, 0)*IF(MOD($G9,10)=0, 10, MOD($G9, 10))*((INDEX(Factor!$X$4:$AC$13, _xlfn.XMATCH($G9, Factor!$X$4:$X$13, 1),2)*IF(MOD(G9, 10) = 0, 10, MOD(G9, 10)))+INDEX(Factor!$AE$4:$AJ$13, _xlfn.XMATCH(MonsterData!$G9, Factor!$AE$4:$AE$13, 1),2))</f>
        <v>1500</v>
      </c>
      <c r="V9" s="21" cm="1">
        <f t="array" ref="V9">M9*VLOOKUP($I9, Factor!$B$4:$G$8, 3, 0)*VLOOKUP($J9, Factor!$B$12:$G$13, 3, 0)*VLOOKUP($K9, Factor!$B$17:$G$18, 3, 0)*VLOOKUP($H9, Factor!$J$4:$O$7, 3, 0)*VLOOKUP($F9, Factor!$Q$4:$V$15, 3, 0)*IF(MOD($G9,10)=0, 10, MOD($G9, 10))*((INDEX(Factor!$X$4:$AC$13, _xlfn.XMATCH($G9, Factor!$X$4:$X$13, 1),3)*IF(MOD(G9, 10) = 0, 10, MOD(G9, 10)))+INDEX(Factor!$AE$4:$AJ$13, _xlfn.XMATCH(MonsterData!$G9, Factor!$AE$4:$AE$13, 1),3))</f>
        <v>75</v>
      </c>
      <c r="W9" s="21" cm="1">
        <f t="array" ref="W9">N9*VLOOKUP($I9, Factor!$B$4:$G$8, 4, 0)*VLOOKUP($J9, Factor!$B$12:$G$13, 4, 0)*VLOOKUP($K9, Factor!$B$17:$G$18, 4, 0)*VLOOKUP($H9, Factor!$J$4:$O$7, 4, 0)*VLOOKUP($F9, Factor!$Q$4:$V$15, 4, 0)*IF(MOD($G9,10)=0, 10, MOD($G9, 10))*((INDEX(Factor!$X$4:$AC$13, _xlfn.XMATCH($G9, Factor!$X$4:$X$13, 1),4)*IF(MOD(G9, 10) = 0, 10, MOD(G9, 10)))+INDEX(Factor!$AE$4:$AJ$13, _xlfn.XMATCH(MonsterData!$G9, Factor!$AE$4:$AE$13, 1),4))</f>
        <v>75</v>
      </c>
      <c r="X9" s="21" cm="1">
        <f t="array" ref="X9">O9*VLOOKUP($I9, Factor!$B$4:$G$8, 5, 0)*VLOOKUP($J9, Factor!$B$12:$G$13, 5, 0)*VLOOKUP($K9, Factor!$B$17:$G$18, 5, 0)*VLOOKUP($H9, Factor!$J$4:$O$7, 5, 0)*VLOOKUP($F9, Factor!$Q$4:$V$15, 5, 0)*IF(MOD($G9,10)=0, 10, MOD($G9, 10))*((INDEX(Factor!$X$4:$AC$13, _xlfn.XMATCH($G9, Factor!$X$4:$X$13, 1),5)*IF(MOD(G9, 10) = 0, 10, MOD(G9, 10)))+INDEX(Factor!$AE$4:$AJ$13, _xlfn.XMATCH(MonsterData!$G9, Factor!$AE$4:$AE$13, 1),5))</f>
        <v>5</v>
      </c>
      <c r="Y9" s="21" cm="1">
        <f t="array" ref="Y9">P9*VLOOKUP($I9, Factor!$B$4:$G$8, 6, 0)*VLOOKUP($J9, Factor!$B$12:$G$13, 6, 0)*VLOOKUP($K9, Factor!$B$17:$G$18, 6, 0)*VLOOKUP($H9, Factor!$J$4:$O$7, 2, 0)*VLOOKUP($F9, Factor!$Q$4:$V$15, 6, 0)*IF(MOD($G9,10)=0, 10, MOD($G9, 10))*((INDEX(Factor!$X$4:$AC$13, _xlfn.XMATCH($G9, Factor!$X$4:$X$13, 1),6)*IF(MOD(G9, 10) = 0, 10, MOD(G9, 10)))+INDEX(Factor!$AE$4:$AJ$13, _xlfn.XMATCH(MonsterData!$G9, Factor!$AE$4:$AE$13, 1),6))</f>
        <v>8</v>
      </c>
      <c r="Z9" s="21">
        <f>$Q9*VLOOKUP($J9, Factor!$B$12:$H$13, 7, 0)</f>
        <v>1</v>
      </c>
      <c r="AA9" s="21">
        <v>5</v>
      </c>
      <c r="AB9" s="21">
        <f t="shared" si="1"/>
        <v>0</v>
      </c>
      <c r="AC9" s="21" t="s">
        <v>140</v>
      </c>
      <c r="AD9" s="23" t="s">
        <v>143</v>
      </c>
    </row>
    <row r="10" spans="1:32" ht="15.75" customHeight="1">
      <c r="A10" s="16" t="str">
        <f>T10&amp;"_"&amp;F10&amp;VLOOKUP($C10, Factor!$AM$4:$AY$14, 7, 0)&amp;IF(COUNTIFS($C$3:C9, C10, $F$3:F9, F10)+1&gt;=100, COUNTIFS($C$3:C9, C10, $F$3:F9, F10)+1,IF(COUNTIFS($C$3:C9, C10, $F$3:F9, F10)+1&gt;=10, "0"&amp;COUNTIFS($C$3:C9, C10, $F$3:F9, F10)+1, "00"&amp;COUNTIFS($C$3:C9, C10, $F$3:F9, F10)+1))</f>
        <v>enpc_F01_B_Banshee_001</v>
      </c>
      <c r="B10" s="16"/>
      <c r="C10" s="16" t="s">
        <v>42</v>
      </c>
      <c r="D10" s="17" t="str">
        <f t="shared" si="0"/>
        <v>밴시</v>
      </c>
      <c r="E10" s="17" t="str">
        <f>VLOOKUP($C10, Factor!$AM$4:$AY$12, 8, 0)</f>
        <v>M</v>
      </c>
      <c r="F10" s="17" t="s">
        <v>89</v>
      </c>
      <c r="G10" s="20">
        <v>6</v>
      </c>
      <c r="H10" s="17" t="s">
        <v>54</v>
      </c>
      <c r="I10" s="17" t="str">
        <f>VLOOKUP($C10, Factor!$AM$4:$AY$12, 11, 0)</f>
        <v>B</v>
      </c>
      <c r="J10" s="17" t="str">
        <f>VLOOKUP($C10, Factor!$AM$4:$AY$12, 12, 0)</f>
        <v>ra</v>
      </c>
      <c r="K10" s="17" t="str">
        <f>VLOOKUP($C10, Factor!$AM$4:$AY$12, 13, 0)</f>
        <v>L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7">
        <v>1</v>
      </c>
      <c r="R10" s="17" t="str">
        <f>VLOOKUP($C10, Factor!$AM$4:$AY$12, 9, 0)</f>
        <v>Midium</v>
      </c>
      <c r="S10" s="17" t="s">
        <v>200</v>
      </c>
      <c r="T10" s="17" t="str">
        <f>VLOOKUP($C10, Factor!$AM$4:$AY$12, 10, 0)</f>
        <v>enpc</v>
      </c>
      <c r="U10" s="17" cm="1">
        <f t="array" ref="U10">L10*VLOOKUP($I10, Factor!$B$4:$G$8, 2, 0)*VLOOKUP($J10, Factor!$B$12:$G$13, 2, 0)*VLOOKUP($K10, Factor!$B$17:$G$18, 2, 0)*VLOOKUP($H10, Factor!$J$4:$O$7, 2, 0)*VLOOKUP($F10, Factor!$Q$4:$V$15, 2, 0)*IF(MOD($G10,10)=0, 10, MOD($G10, 10))*((INDEX(Factor!$X$4:$AC$13, _xlfn.XMATCH($G10, Factor!$X$4:$X$13, 1),2)*IF(MOD(G10, 10) = 0, 10, MOD(G10, 10)))+INDEX(Factor!$AE$4:$AJ$13, _xlfn.XMATCH(MonsterData!$G10, Factor!$AE$4:$AE$13, 1),2))</f>
        <v>1728.0000000000002</v>
      </c>
      <c r="V10" s="17" cm="1">
        <f t="array" ref="V10">M10*VLOOKUP($I10, Factor!$B$4:$G$8, 3, 0)*VLOOKUP($J10, Factor!$B$12:$G$13, 3, 0)*VLOOKUP($K10, Factor!$B$17:$G$18, 3, 0)*VLOOKUP($H10, Factor!$J$4:$O$7, 3, 0)*VLOOKUP($F10, Factor!$Q$4:$V$15, 3, 0)*IF(MOD($G10,10)=0, 10, MOD($G10, 10))*((INDEX(Factor!$X$4:$AC$13, _xlfn.XMATCH($G10, Factor!$X$4:$X$13, 1),3)*IF(MOD(G10, 10) = 0, 10, MOD(G10, 10)))+INDEX(Factor!$AE$4:$AJ$13, _xlfn.XMATCH(MonsterData!$G10, Factor!$AE$4:$AE$13, 1),3))</f>
        <v>86.4</v>
      </c>
      <c r="W10" s="17" cm="1">
        <f t="array" ref="W10">N10*VLOOKUP($I10, Factor!$B$4:$G$8, 4, 0)*VLOOKUP($J10, Factor!$B$12:$G$13, 4, 0)*VLOOKUP($K10, Factor!$B$17:$G$18, 4, 0)*VLOOKUP($H10, Factor!$J$4:$O$7, 4, 0)*VLOOKUP($F10, Factor!$Q$4:$V$15, 4, 0)*IF(MOD($G10,10)=0, 10, MOD($G10, 10))*((INDEX(Factor!$X$4:$AC$13, _xlfn.XMATCH($G10, Factor!$X$4:$X$13, 1),4)*IF(MOD(G10, 10) = 0, 10, MOD(G10, 10)))+INDEX(Factor!$AE$4:$AJ$13, _xlfn.XMATCH(MonsterData!$G10, Factor!$AE$4:$AE$13, 1),4))</f>
        <v>129.60000000000002</v>
      </c>
      <c r="X10" s="17" cm="1">
        <f t="array" ref="X10">O10*VLOOKUP($I10, Factor!$B$4:$G$8, 5, 0)*VLOOKUP($J10, Factor!$B$12:$G$13, 5, 0)*VLOOKUP($K10, Factor!$B$17:$G$18, 5, 0)*VLOOKUP($H10, Factor!$J$4:$O$7, 5, 0)*VLOOKUP($F10, Factor!$Q$4:$V$15, 5, 0)*IF(MOD($G10,10)=0, 10, MOD($G10, 10))*((INDEX(Factor!$X$4:$AC$13, _xlfn.XMATCH($G10, Factor!$X$4:$X$13, 1),5)*IF(MOD(G10, 10) = 0, 10, MOD(G10, 10)))+INDEX(Factor!$AE$4:$AJ$13, _xlfn.XMATCH(MonsterData!$G10, Factor!$AE$4:$AE$13, 1),5))</f>
        <v>10.8</v>
      </c>
      <c r="Y10" s="17" cm="1">
        <f t="array" ref="Y10">P10*VLOOKUP($I10, Factor!$B$4:$G$8, 6, 0)*VLOOKUP($J10, Factor!$B$12:$G$13, 6, 0)*VLOOKUP($K10, Factor!$B$17:$G$18, 6, 0)*VLOOKUP($H10, Factor!$J$4:$O$7, 2, 0)*VLOOKUP($F10, Factor!$Q$4:$V$15, 6, 0)*IF(MOD($G10,10)=0, 10, MOD($G10, 10))*((INDEX(Factor!$X$4:$AC$13, _xlfn.XMATCH($G10, Factor!$X$4:$X$13, 1),6)*IF(MOD(G10, 10) = 0, 10, MOD(G10, 10)))+INDEX(Factor!$AE$4:$AJ$13, _xlfn.XMATCH(MonsterData!$G10, Factor!$AE$4:$AE$13, 1),6))</f>
        <v>11.520000000000003</v>
      </c>
      <c r="Z10" s="17">
        <f>$Q10*VLOOKUP($J10, Factor!$B$12:$H$13, 7, 0)</f>
        <v>4</v>
      </c>
      <c r="AA10" s="17">
        <v>6</v>
      </c>
      <c r="AB10" s="17">
        <f t="shared" si="1"/>
        <v>24</v>
      </c>
      <c r="AC10" s="17" t="s">
        <v>141</v>
      </c>
      <c r="AD10" s="19" t="s">
        <v>144</v>
      </c>
    </row>
    <row r="11" spans="1:32" ht="15.75" customHeight="1">
      <c r="A11" s="13" t="str">
        <f>T11&amp;"_"&amp;F11&amp;VLOOKUP($C11, Factor!$AM$4:$AY$14, 7, 0)&amp;IF(COUNTIFS($C$3:C10, C11, $F$3:F10, F11)+1&gt;=100, COUNTIFS($C$3:C10, C11, $F$3:F10, F11)+1,IF(COUNTIFS($C$3:C10, C11, $F$3:F10, F11)+1&gt;=10, "0"&amp;COUNTIFS($C$3:C10, C11, $F$3:F10, F11)+1, "00"&amp;COUNTIFS($C$3:C10, C11, $F$3:F10, F11)+1))</f>
        <v>enpc_F01_C_Titan_001</v>
      </c>
      <c r="B11" s="13"/>
      <c r="C11" s="13" t="s">
        <v>43</v>
      </c>
      <c r="D11" s="21" t="str">
        <f t="shared" si="0"/>
        <v>타이탄</v>
      </c>
      <c r="E11" s="21" t="str">
        <f>VLOOKUP($C11, Factor!$AM$4:$AY$12, 8, 0)</f>
        <v>B</v>
      </c>
      <c r="F11" s="21" t="s">
        <v>89</v>
      </c>
      <c r="G11" s="22">
        <v>7</v>
      </c>
      <c r="H11" s="21" t="s">
        <v>54</v>
      </c>
      <c r="I11" s="21" t="str">
        <f>VLOOKUP($C11, Factor!$AM$4:$AY$12, 11, 0)</f>
        <v>C</v>
      </c>
      <c r="J11" s="21" t="str">
        <f>VLOOKUP($C11, Factor!$AM$4:$AY$12, 12, 0)</f>
        <v>ml</v>
      </c>
      <c r="K11" s="21" t="str">
        <f>VLOOKUP($C11, Factor!$AM$4:$AY$12, 13, 0)</f>
        <v>L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21" t="str">
        <f>VLOOKUP($C11, Factor!$AM$4:$AY$12, 9, 0)</f>
        <v>Big</v>
      </c>
      <c r="S11" s="13" t="s">
        <v>300</v>
      </c>
      <c r="T11" s="21" t="str">
        <f>VLOOKUP($C11, Factor!$AM$4:$AY$12, 10, 0)</f>
        <v>enpc</v>
      </c>
      <c r="U11" s="21" cm="1">
        <f t="array" ref="U11">L11*VLOOKUP($I11, Factor!$B$4:$G$8, 2, 0)*VLOOKUP($J11, Factor!$B$12:$G$13, 2, 0)*VLOOKUP($K11, Factor!$B$17:$G$18, 2, 0)*VLOOKUP($H11, Factor!$J$4:$O$7, 2, 0)*VLOOKUP($F11, Factor!$Q$4:$V$15, 2, 0)*IF(MOD($G11,10)=0, 10, MOD($G11, 10))*((INDEX(Factor!$X$4:$AC$13, _xlfn.XMATCH($G11, Factor!$X$4:$X$13, 1),2)*IF(MOD(G11, 10) = 0, 10, MOD(G11, 10)))+INDEX(Factor!$AE$4:$AJ$13, _xlfn.XMATCH(MonsterData!$G11, Factor!$AE$4:$AE$13, 1),2))</f>
        <v>5880.0000000000009</v>
      </c>
      <c r="V11" s="21" cm="1">
        <f t="array" ref="V11">M11*VLOOKUP($I11, Factor!$B$4:$G$8, 3, 0)*VLOOKUP($J11, Factor!$B$12:$G$13, 3, 0)*VLOOKUP($K11, Factor!$B$17:$G$18, 3, 0)*VLOOKUP($H11, Factor!$J$4:$O$7, 3, 0)*VLOOKUP($F11, Factor!$Q$4:$V$15, 3, 0)*IF(MOD($G11,10)=0, 10, MOD($G11, 10))*((INDEX(Factor!$X$4:$AC$13, _xlfn.XMATCH($G11, Factor!$X$4:$X$13, 1),3)*IF(MOD(G11, 10) = 0, 10, MOD(G11, 10)))+INDEX(Factor!$AE$4:$AJ$13, _xlfn.XMATCH(MonsterData!$G11, Factor!$AE$4:$AE$13, 1),3))</f>
        <v>294</v>
      </c>
      <c r="W11" s="21" cm="1">
        <f t="array" ref="W11">N11*VLOOKUP($I11, Factor!$B$4:$G$8, 4, 0)*VLOOKUP($J11, Factor!$B$12:$G$13, 4, 0)*VLOOKUP($K11, Factor!$B$17:$G$18, 4, 0)*VLOOKUP($H11, Factor!$J$4:$O$7, 4, 0)*VLOOKUP($F11, Factor!$Q$4:$V$15, 4, 0)*IF(MOD($G11,10)=0, 10, MOD($G11, 10))*((INDEX(Factor!$X$4:$AC$13, _xlfn.XMATCH($G11, Factor!$X$4:$X$13, 1),4)*IF(MOD(G11, 10) = 0, 10, MOD(G11, 10)))+INDEX(Factor!$AE$4:$AJ$13, _xlfn.XMATCH(MonsterData!$G11, Factor!$AE$4:$AE$13, 1),4))</f>
        <v>294</v>
      </c>
      <c r="X11" s="21" cm="1">
        <f t="array" ref="X11">O11*VLOOKUP($I11, Factor!$B$4:$G$8, 5, 0)*VLOOKUP($J11, Factor!$B$12:$G$13, 5, 0)*VLOOKUP($K11, Factor!$B$17:$G$18, 5, 0)*VLOOKUP($H11, Factor!$J$4:$O$7, 5, 0)*VLOOKUP($F11, Factor!$Q$4:$V$15, 5, 0)*IF(MOD($G11,10)=0, 10, MOD($G11, 10))*((INDEX(Factor!$X$4:$AC$13, _xlfn.XMATCH($G11, Factor!$X$4:$X$13, 1),5)*IF(MOD(G11, 10) = 0, 10, MOD(G11, 10)))+INDEX(Factor!$AE$4:$AJ$13, _xlfn.XMATCH(MonsterData!$G11, Factor!$AE$4:$AE$13, 1),5))</f>
        <v>14.700000000000001</v>
      </c>
      <c r="Y11" s="21" cm="1">
        <f t="array" ref="Y11">P11*VLOOKUP($I11, Factor!$B$4:$G$8, 6, 0)*VLOOKUP($J11, Factor!$B$12:$G$13, 6, 0)*VLOOKUP($K11, Factor!$B$17:$G$18, 6, 0)*VLOOKUP($H11, Factor!$J$4:$O$7, 2, 0)*VLOOKUP($F11, Factor!$Q$4:$V$15, 6, 0)*IF(MOD($G11,10)=0, 10, MOD($G11, 10))*((INDEX(Factor!$X$4:$AC$13, _xlfn.XMATCH($G11, Factor!$X$4:$X$13, 1),6)*IF(MOD(G11, 10) = 0, 10, MOD(G11, 10)))+INDEX(Factor!$AE$4:$AJ$13, _xlfn.XMATCH(MonsterData!$G11, Factor!$AE$4:$AE$13, 1),6))</f>
        <v>11.760000000000003</v>
      </c>
      <c r="Z11" s="21">
        <f>$Q11*VLOOKUP($J11, Factor!$B$12:$H$13, 7, 0)</f>
        <v>1</v>
      </c>
      <c r="AA11" s="21">
        <v>7</v>
      </c>
      <c r="AB11" s="21">
        <f t="shared" si="1"/>
        <v>0</v>
      </c>
      <c r="AC11" s="21" t="s">
        <v>145</v>
      </c>
      <c r="AD11" s="23" t="s">
        <v>146</v>
      </c>
    </row>
    <row r="12" spans="1:32" ht="15.75" customHeight="1">
      <c r="A12" s="16" t="str">
        <f>T12&amp;"_"&amp;F12&amp;VLOOKUP($C12, Factor!$AM$4:$AY$14, 7, 0)&amp;IF(COUNTIFS($C$3:C11, C12, $F$3:F11, F12)+1&gt;=100, COUNTIFS($C$3:C11, C12, $F$3:F11, F12)+1,IF(COUNTIFS($C$3:C11, C12, $F$3:F11, F12)+1&gt;=10, "0"&amp;COUNTIFS($C$3:C11, C12, $F$3:F11, F12)+1, "00"&amp;COUNTIFS($C$3:C11, C12, $F$3:F11, F12)+1))</f>
        <v>einc_F01_C_Titancore_001</v>
      </c>
      <c r="B12" s="16"/>
      <c r="C12" s="16" t="s">
        <v>44</v>
      </c>
      <c r="D12" s="17" t="str">
        <f t="shared" si="0"/>
        <v>타이탄의 코어</v>
      </c>
      <c r="E12" s="17" t="str">
        <f>VLOOKUP($C12, Factor!$AM$4:$AY$12, 8, 0)</f>
        <v>B</v>
      </c>
      <c r="F12" s="17" t="s">
        <v>89</v>
      </c>
      <c r="G12" s="20">
        <v>8</v>
      </c>
      <c r="H12" s="17" t="s">
        <v>54</v>
      </c>
      <c r="I12" s="17" t="str">
        <f>VLOOKUP($C12, Factor!$AM$4:$AY$12, 11, 0)</f>
        <v>C</v>
      </c>
      <c r="J12" s="17" t="str">
        <f>VLOOKUP($C12, Factor!$AM$4:$AY$12, 12, 0)</f>
        <v>ml</v>
      </c>
      <c r="K12" s="17" t="str">
        <f>VLOOKUP($C12, Factor!$AM$4:$AY$12, 13, 0)</f>
        <v>L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17" t="str">
        <f>VLOOKUP($C12, Factor!$AM$4:$AY$12, 9, 0)</f>
        <v>Big</v>
      </c>
      <c r="S12" s="17" t="s">
        <v>201</v>
      </c>
      <c r="T12" s="17" t="str">
        <f>VLOOKUP($C12, Factor!$AM$4:$AY$12, 10, 0)</f>
        <v>einc</v>
      </c>
      <c r="U12" s="17" cm="1">
        <f t="array" ref="U12">L12*VLOOKUP($I12, Factor!$B$4:$G$8, 2, 0)*VLOOKUP($J12, Factor!$B$12:$G$13, 2, 0)*VLOOKUP($K12, Factor!$B$17:$G$18, 2, 0)*VLOOKUP($H12, Factor!$J$4:$O$7, 2, 0)*VLOOKUP($F12, Factor!$Q$4:$V$15, 2, 0)*IF(MOD($G12,10)=0, 10, MOD($G12, 10))*((INDEX(Factor!$X$4:$AC$13, _xlfn.XMATCH($G12, Factor!$X$4:$X$13, 1),2)*IF(MOD(G12, 10) = 0, 10, MOD(G12, 10)))+INDEX(Factor!$AE$4:$AJ$13, _xlfn.XMATCH(MonsterData!$G12, Factor!$AE$4:$AE$13, 1),2))</f>
        <v>7680</v>
      </c>
      <c r="V12" s="17" cm="1">
        <f t="array" ref="V12">M12*VLOOKUP($I12, Factor!$B$4:$G$8, 3, 0)*VLOOKUP($J12, Factor!$B$12:$G$13, 3, 0)*VLOOKUP($K12, Factor!$B$17:$G$18, 3, 0)*VLOOKUP($H12, Factor!$J$4:$O$7, 3, 0)*VLOOKUP($F12, Factor!$Q$4:$V$15, 3, 0)*IF(MOD($G12,10)=0, 10, MOD($G12, 10))*((INDEX(Factor!$X$4:$AC$13, _xlfn.XMATCH($G12, Factor!$X$4:$X$13, 1),3)*IF(MOD(G12, 10) = 0, 10, MOD(G12, 10)))+INDEX(Factor!$AE$4:$AJ$13, _xlfn.XMATCH(MonsterData!$G12, Factor!$AE$4:$AE$13, 1),3))</f>
        <v>384</v>
      </c>
      <c r="W12" s="17" cm="1">
        <f t="array" ref="W12">N12*VLOOKUP($I12, Factor!$B$4:$G$8, 4, 0)*VLOOKUP($J12, Factor!$B$12:$G$13, 4, 0)*VLOOKUP($K12, Factor!$B$17:$G$18, 4, 0)*VLOOKUP($H12, Factor!$J$4:$O$7, 4, 0)*VLOOKUP($F12, Factor!$Q$4:$V$15, 4, 0)*IF(MOD($G12,10)=0, 10, MOD($G12, 10))*((INDEX(Factor!$X$4:$AC$13, _xlfn.XMATCH($G12, Factor!$X$4:$X$13, 1),4)*IF(MOD(G12, 10) = 0, 10, MOD(G12, 10)))+INDEX(Factor!$AE$4:$AJ$13, _xlfn.XMATCH(MonsterData!$G12, Factor!$AE$4:$AE$13, 1),4))</f>
        <v>384</v>
      </c>
      <c r="X12" s="17" cm="1">
        <f t="array" ref="X12">O12*VLOOKUP($I12, Factor!$B$4:$G$8, 5, 0)*VLOOKUP($J12, Factor!$B$12:$G$13, 5, 0)*VLOOKUP($K12, Factor!$B$17:$G$18, 5, 0)*VLOOKUP($H12, Factor!$J$4:$O$7, 5, 0)*VLOOKUP($F12, Factor!$Q$4:$V$15, 5, 0)*IF(MOD($G12,10)=0, 10, MOD($G12, 10))*((INDEX(Factor!$X$4:$AC$13, _xlfn.XMATCH($G12, Factor!$X$4:$X$13, 1),5)*IF(MOD(G12, 10) = 0, 10, MOD(G12, 10)))+INDEX(Factor!$AE$4:$AJ$13, _xlfn.XMATCH(MonsterData!$G12, Factor!$AE$4:$AE$13, 1),5))</f>
        <v>19.200000000000003</v>
      </c>
      <c r="Y12" s="17" cm="1">
        <f t="array" ref="Y12">P12*VLOOKUP($I12, Factor!$B$4:$G$8, 6, 0)*VLOOKUP($J12, Factor!$B$12:$G$13, 6, 0)*VLOOKUP($K12, Factor!$B$17:$G$18, 6, 0)*VLOOKUP($H12, Factor!$J$4:$O$7, 2, 0)*VLOOKUP($F12, Factor!$Q$4:$V$15, 6, 0)*IF(MOD($G12,10)=0, 10, MOD($G12, 10))*((INDEX(Factor!$X$4:$AC$13, _xlfn.XMATCH($G12, Factor!$X$4:$X$13, 1),6)*IF(MOD(G12, 10) = 0, 10, MOD(G12, 10)))+INDEX(Factor!$AE$4:$AJ$13, _xlfn.XMATCH(MonsterData!$G12, Factor!$AE$4:$AE$13, 1),6))</f>
        <v>15.360000000000003</v>
      </c>
      <c r="Z12" s="17">
        <f>$Q12*VLOOKUP($J12, Factor!$B$12:$H$13, 7, 0)</f>
        <v>1</v>
      </c>
      <c r="AA12" s="17">
        <v>8</v>
      </c>
      <c r="AB12" s="17">
        <f t="shared" si="1"/>
        <v>0</v>
      </c>
      <c r="AC12" s="17" t="s">
        <v>139</v>
      </c>
      <c r="AD12" s="19" t="s">
        <v>139</v>
      </c>
    </row>
    <row r="13" spans="1:32" ht="15.75" customHeight="1">
      <c r="A13" s="13" t="str">
        <f>T13&amp;"_"&amp;F13&amp;VLOOKUP($C13, Factor!$AM$4:$AY$14, 7, 0)&amp;IF(COUNTIFS($C$3:C12, C13, $F$3:F12, F13)+1&gt;=100, COUNTIFS($C$3:C12, C13, $F$3:F12, F13)+1,IF(COUNTIFS($C$3:C12, C13, $F$3:F12, F13)+1&gt;=10, "0"&amp;COUNTIFS($C$3:C12, C13, $F$3:F12, F13)+1, "00"&amp;COUNTIFS($C$3:C12, C13, $F$3:F12, F13)+1))</f>
        <v>ecre_F01_A_Rock_001</v>
      </c>
      <c r="B13" s="13"/>
      <c r="C13" s="13" t="s">
        <v>45</v>
      </c>
      <c r="D13" s="21" t="str">
        <f t="shared" si="0"/>
        <v>바위</v>
      </c>
      <c r="E13" s="21" t="str">
        <f>VLOOKUP($C13, Factor!$AM$4:$AY$12, 8, 0)</f>
        <v>M</v>
      </c>
      <c r="F13" s="21" t="s">
        <v>89</v>
      </c>
      <c r="G13" s="22">
        <v>9</v>
      </c>
      <c r="H13" s="21" t="s">
        <v>54</v>
      </c>
      <c r="I13" s="21" t="str">
        <f>VLOOKUP($C13, Factor!$AM$4:$AY$12, 11, 0)</f>
        <v>A</v>
      </c>
      <c r="J13" s="21" t="str">
        <f>VLOOKUP($C13, Factor!$AM$4:$AY$12, 12, 0)</f>
        <v>ml</v>
      </c>
      <c r="K13" s="21" t="str">
        <f>VLOOKUP($C13, Factor!$AM$4:$AY$12, 13, 0)</f>
        <v>L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21" t="str">
        <f>VLOOKUP($C13, Factor!$AM$4:$AY$12, 9, 0)</f>
        <v>Midium</v>
      </c>
      <c r="S13" s="13" t="s">
        <v>301</v>
      </c>
      <c r="T13" s="21" t="str">
        <f>VLOOKUP($C13, Factor!$AM$4:$AY$12, 10, 0)</f>
        <v>ecre</v>
      </c>
      <c r="U13" s="21" cm="1">
        <f t="array" ref="U13">L13*VLOOKUP($I13, Factor!$B$4:$G$8, 2, 0)*VLOOKUP($J13, Factor!$B$12:$G$13, 2, 0)*VLOOKUP($K13, Factor!$B$17:$G$18, 2, 0)*VLOOKUP($H13, Factor!$J$4:$O$7, 2, 0)*VLOOKUP($F13, Factor!$Q$4:$V$15, 2, 0)*IF(MOD($G13,10)=0, 10, MOD($G13, 10))*((INDEX(Factor!$X$4:$AC$13, _xlfn.XMATCH($G13, Factor!$X$4:$X$13, 1),2)*IF(MOD(G13, 10) = 0, 10, MOD(G13, 10)))+INDEX(Factor!$AE$4:$AJ$13, _xlfn.XMATCH(MonsterData!$G13, Factor!$AE$4:$AE$13, 1),2))</f>
        <v>972</v>
      </c>
      <c r="V13" s="21" cm="1">
        <f t="array" ref="V13">M13*VLOOKUP($I13, Factor!$B$4:$G$8, 3, 0)*VLOOKUP($J13, Factor!$B$12:$G$13, 3, 0)*VLOOKUP($K13, Factor!$B$17:$G$18, 3, 0)*VLOOKUP($H13, Factor!$J$4:$O$7, 3, 0)*VLOOKUP($F13, Factor!$Q$4:$V$15, 3, 0)*IF(MOD($G13,10)=0, 10, MOD($G13, 10))*((INDEX(Factor!$X$4:$AC$13, _xlfn.XMATCH($G13, Factor!$X$4:$X$13, 1),3)*IF(MOD(G13, 10) = 0, 10, MOD(G13, 10)))+INDEX(Factor!$AE$4:$AJ$13, _xlfn.XMATCH(MonsterData!$G13, Factor!$AE$4:$AE$13, 1),3))</f>
        <v>48.6</v>
      </c>
      <c r="W13" s="21" cm="1">
        <f t="array" ref="W13">N13*VLOOKUP($I13, Factor!$B$4:$G$8, 4, 0)*VLOOKUP($J13, Factor!$B$12:$G$13, 4, 0)*VLOOKUP($K13, Factor!$B$17:$G$18, 4, 0)*VLOOKUP($H13, Factor!$J$4:$O$7, 4, 0)*VLOOKUP($F13, Factor!$Q$4:$V$15, 4, 0)*IF(MOD($G13,10)=0, 10, MOD($G13, 10))*((INDEX(Factor!$X$4:$AC$13, _xlfn.XMATCH($G13, Factor!$X$4:$X$13, 1),4)*IF(MOD(G13, 10) = 0, 10, MOD(G13, 10)))+INDEX(Factor!$AE$4:$AJ$13, _xlfn.XMATCH(MonsterData!$G13, Factor!$AE$4:$AE$13, 1),4))</f>
        <v>29.16</v>
      </c>
      <c r="X13" s="21" cm="1">
        <f t="array" ref="X13">O13*VLOOKUP($I13, Factor!$B$4:$G$8, 5, 0)*VLOOKUP($J13, Factor!$B$12:$G$13, 5, 0)*VLOOKUP($K13, Factor!$B$17:$G$18, 5, 0)*VLOOKUP($H13, Factor!$J$4:$O$7, 5, 0)*VLOOKUP($F13, Factor!$Q$4:$V$15, 5, 0)*IF(MOD($G13,10)=0, 10, MOD($G13, 10))*((INDEX(Factor!$X$4:$AC$13, _xlfn.XMATCH($G13, Factor!$X$4:$X$13, 1),5)*IF(MOD(G13, 10) = 0, 10, MOD(G13, 10)))+INDEX(Factor!$AE$4:$AJ$13, _xlfn.XMATCH(MonsterData!$G13, Factor!$AE$4:$AE$13, 1),5))</f>
        <v>8.1</v>
      </c>
      <c r="Y13" s="21" cm="1">
        <f t="array" ref="Y13">P13*VLOOKUP($I13, Factor!$B$4:$G$8, 6, 0)*VLOOKUP($J13, Factor!$B$12:$G$13, 6, 0)*VLOOKUP($K13, Factor!$B$17:$G$18, 6, 0)*VLOOKUP($H13, Factor!$J$4:$O$7, 2, 0)*VLOOKUP($F13, Factor!$Q$4:$V$15, 6, 0)*IF(MOD($G13,10)=0, 10, MOD($G13, 10))*((INDEX(Factor!$X$4:$AC$13, _xlfn.XMATCH($G13, Factor!$X$4:$X$13, 1),6)*IF(MOD(G13, 10) = 0, 10, MOD(G13, 10)))+INDEX(Factor!$AE$4:$AJ$13, _xlfn.XMATCH(MonsterData!$G13, Factor!$AE$4:$AE$13, 1),6))</f>
        <v>32.4</v>
      </c>
      <c r="Z13" s="21">
        <f>$Q13*VLOOKUP($J13, Factor!$B$12:$H$13, 7, 0)</f>
        <v>1</v>
      </c>
      <c r="AA13" s="21">
        <v>9</v>
      </c>
      <c r="AB13" s="21">
        <f t="shared" si="1"/>
        <v>0</v>
      </c>
      <c r="AC13" s="21" t="s">
        <v>139</v>
      </c>
      <c r="AD13" s="23" t="s">
        <v>139</v>
      </c>
    </row>
  </sheetData>
  <mergeCells count="1">
    <mergeCell ref="A1:V1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6561-FC30-4602-A6E2-001B39F39311}">
  <dimension ref="A1:F24"/>
  <sheetViews>
    <sheetView zoomScale="75" zoomScaleNormal="75" workbookViewId="0">
      <pane ySplit="4" topLeftCell="A5" activePane="bottomLeft" state="frozen"/>
      <selection pane="bottomLeft" activeCell="N31" sqref="N31"/>
    </sheetView>
  </sheetViews>
  <sheetFormatPr defaultRowHeight="12.75"/>
  <cols>
    <col min="1" max="1" width="31.5703125" style="1" customWidth="1"/>
    <col min="2" max="2" width="29.5703125" style="1" customWidth="1"/>
    <col min="3" max="3" width="30.7109375" style="1" customWidth="1"/>
    <col min="4" max="4" width="22.28515625" style="78" customWidth="1"/>
    <col min="5" max="5" width="20.85546875" style="78" customWidth="1"/>
    <col min="6" max="6" width="16.28515625" style="78" customWidth="1"/>
    <col min="7" max="16384" width="9.140625" style="1"/>
  </cols>
  <sheetData>
    <row r="1" spans="1:6" ht="129.94999999999999" customHeight="1">
      <c r="A1" s="69" t="s">
        <v>346</v>
      </c>
      <c r="B1" s="58"/>
      <c r="C1" s="58"/>
      <c r="D1" s="58"/>
      <c r="E1" s="58"/>
      <c r="F1" s="58"/>
    </row>
    <row r="2" spans="1:6">
      <c r="A2" s="26" t="s">
        <v>347</v>
      </c>
      <c r="B2" s="26" t="s">
        <v>348</v>
      </c>
      <c r="C2" s="26" t="s">
        <v>349</v>
      </c>
      <c r="D2" s="26" t="s">
        <v>350</v>
      </c>
      <c r="E2" s="26" t="s">
        <v>351</v>
      </c>
      <c r="F2" s="26" t="s">
        <v>352</v>
      </c>
    </row>
    <row r="3" spans="1:6">
      <c r="A3" s="28" t="s">
        <v>6</v>
      </c>
      <c r="B3" s="28" t="s">
        <v>6</v>
      </c>
      <c r="C3" s="28" t="s">
        <v>6</v>
      </c>
      <c r="D3" s="28" t="s">
        <v>6</v>
      </c>
      <c r="E3" s="28" t="s">
        <v>6</v>
      </c>
      <c r="F3" s="28" t="s">
        <v>147</v>
      </c>
    </row>
    <row r="4" spans="1:6">
      <c r="A4" s="6" t="s">
        <v>129</v>
      </c>
      <c r="B4" s="6" t="s">
        <v>130</v>
      </c>
      <c r="C4" s="6" t="s">
        <v>131</v>
      </c>
      <c r="D4" s="6" t="s">
        <v>132</v>
      </c>
      <c r="E4" s="6" t="s">
        <v>133</v>
      </c>
      <c r="F4" s="6" t="s">
        <v>153</v>
      </c>
    </row>
    <row r="5" spans="1:6">
      <c r="A5" s="70" t="s">
        <v>154</v>
      </c>
      <c r="B5" s="71" t="s">
        <v>155</v>
      </c>
      <c r="C5" s="71" t="s">
        <v>134</v>
      </c>
      <c r="D5" s="72">
        <f>IFERROR(Factor!$B$22*F5, "데이터 없음")</f>
        <v>0</v>
      </c>
      <c r="E5" s="72">
        <f>IFERROR(F5*Factor!$C$22, "데이터 없음")</f>
        <v>0</v>
      </c>
      <c r="F5" s="73">
        <f>IFERROR(SUMIF(SpawnData!$A:$A,$B5,SpawnData!$G:$G)/COUNTIF(SpawnData!$A:$A,$B5), "데이터 없음")</f>
        <v>0</v>
      </c>
    </row>
    <row r="6" spans="1:6">
      <c r="A6" s="74" t="s">
        <v>156</v>
      </c>
      <c r="B6" s="75" t="s">
        <v>157</v>
      </c>
      <c r="C6" s="75" t="s">
        <v>134</v>
      </c>
      <c r="D6" s="76">
        <f>IFERROR(Factor!$B$22*F6, "데이터 없음")</f>
        <v>0</v>
      </c>
      <c r="E6" s="76">
        <f>IFERROR(F6*Factor!$C$22, "데이터 없음")</f>
        <v>0</v>
      </c>
      <c r="F6" s="77">
        <f>IFERROR(SUMIF(SpawnData!$A:$A,$B6,SpawnData!$G:$G)/COUNTIF(SpawnData!$A:$A,$B6), "데이터 없음")</f>
        <v>0</v>
      </c>
    </row>
    <row r="7" spans="1:6">
      <c r="A7" s="70" t="s">
        <v>158</v>
      </c>
      <c r="B7" s="71" t="s">
        <v>159</v>
      </c>
      <c r="C7" s="71" t="s">
        <v>134</v>
      </c>
      <c r="D7" s="72">
        <f>IFERROR(Factor!$B$22*F7, "데이터 없음")</f>
        <v>0</v>
      </c>
      <c r="E7" s="72">
        <f>IFERROR(F7*Factor!$C$22, "데이터 없음")</f>
        <v>0</v>
      </c>
      <c r="F7" s="73">
        <f>IFERROR(SUMIF(SpawnData!$A:$A,$B7,SpawnData!$G:$G)/COUNTIF(SpawnData!$A:$A,$B7), "데이터 없음")</f>
        <v>0</v>
      </c>
    </row>
    <row r="8" spans="1:6">
      <c r="A8" s="74" t="s">
        <v>160</v>
      </c>
      <c r="B8" s="75" t="s">
        <v>161</v>
      </c>
      <c r="C8" s="75" t="s">
        <v>134</v>
      </c>
      <c r="D8" s="76">
        <f>IFERROR(Factor!$B$22*F8, "데이터 없음")</f>
        <v>0</v>
      </c>
      <c r="E8" s="76">
        <f>IFERROR(F8*Factor!$C$22, "데이터 없음")</f>
        <v>0</v>
      </c>
      <c r="F8" s="77">
        <f>IFERROR(SUMIF(SpawnData!$A:$A,$B8,SpawnData!$G:$G)/COUNTIF(SpawnData!$A:$A,$B8), "데이터 없음")</f>
        <v>0</v>
      </c>
    </row>
    <row r="9" spans="1:6">
      <c r="A9" s="70" t="s">
        <v>162</v>
      </c>
      <c r="B9" s="71" t="s">
        <v>163</v>
      </c>
      <c r="C9" s="71" t="s">
        <v>134</v>
      </c>
      <c r="D9" s="72">
        <f>IFERROR(Factor!$B$22*F9, "데이터 없음")</f>
        <v>0</v>
      </c>
      <c r="E9" s="72">
        <f>IFERROR(F9*Factor!$C$22, "데이터 없음")</f>
        <v>0</v>
      </c>
      <c r="F9" s="73">
        <f>IFERROR(SUMIF(SpawnData!$A:$A,$B9,SpawnData!$G:$G)/COUNTIF(SpawnData!$A:$A,$B9), "데이터 없음")</f>
        <v>0</v>
      </c>
    </row>
    <row r="10" spans="1:6">
      <c r="A10" s="74" t="s">
        <v>164</v>
      </c>
      <c r="B10" s="75" t="s">
        <v>165</v>
      </c>
      <c r="C10" s="75" t="s">
        <v>134</v>
      </c>
      <c r="D10" s="76">
        <f>IFERROR(Factor!$B$22*F10, "데이터 없음")</f>
        <v>0</v>
      </c>
      <c r="E10" s="76">
        <f>IFERROR(F10*Factor!$C$22, "데이터 없음")</f>
        <v>0</v>
      </c>
      <c r="F10" s="77">
        <f>IFERROR(SUMIF(SpawnData!$A:$A,$B10,SpawnData!$G:$G)/COUNTIF(SpawnData!$A:$A,$B10), "데이터 없음")</f>
        <v>0</v>
      </c>
    </row>
    <row r="11" spans="1:6">
      <c r="A11" s="70" t="s">
        <v>166</v>
      </c>
      <c r="B11" s="71" t="s">
        <v>167</v>
      </c>
      <c r="C11" s="71" t="s">
        <v>134</v>
      </c>
      <c r="D11" s="72">
        <f>IFERROR(Factor!$B$22*F11, "데이터 없음")</f>
        <v>0</v>
      </c>
      <c r="E11" s="72">
        <f>IFERROR(F11*Factor!$C$22, "데이터 없음")</f>
        <v>0</v>
      </c>
      <c r="F11" s="73">
        <f>IFERROR(SUMIF(SpawnData!$A:$A,$B11,SpawnData!$G:$G)/COUNTIF(SpawnData!$A:$A,$B11), "데이터 없음")</f>
        <v>0</v>
      </c>
    </row>
    <row r="12" spans="1:6">
      <c r="A12" s="74" t="s">
        <v>168</v>
      </c>
      <c r="B12" s="75" t="s">
        <v>169</v>
      </c>
      <c r="C12" s="75" t="s">
        <v>134</v>
      </c>
      <c r="D12" s="76">
        <f>IFERROR(Factor!$B$22*F12, "데이터 없음")</f>
        <v>0</v>
      </c>
      <c r="E12" s="76">
        <f>IFERROR(F12*Factor!$C$22, "데이터 없음")</f>
        <v>0</v>
      </c>
      <c r="F12" s="77">
        <f>IFERROR(SUMIF(SpawnData!$A:$A,$B12,SpawnData!$G:$G)/COUNTIF(SpawnData!$A:$A,$B12), "데이터 없음")</f>
        <v>0</v>
      </c>
    </row>
    <row r="13" spans="1:6">
      <c r="A13" s="70" t="s">
        <v>170</v>
      </c>
      <c r="B13" s="71" t="s">
        <v>171</v>
      </c>
      <c r="C13" s="71" t="s">
        <v>134</v>
      </c>
      <c r="D13" s="72">
        <f>IFERROR(Factor!$B$22*F13, "데이터 없음")</f>
        <v>0</v>
      </c>
      <c r="E13" s="72">
        <f>IFERROR(F13*Factor!$C$22, "데이터 없음")</f>
        <v>0</v>
      </c>
      <c r="F13" s="73">
        <f>IFERROR(SUMIF(SpawnData!$A:$A,$B13,SpawnData!$G:$G)/COUNTIF(SpawnData!$A:$A,$B13), "데이터 없음")</f>
        <v>0</v>
      </c>
    </row>
    <row r="14" spans="1:6">
      <c r="A14" s="74" t="s">
        <v>172</v>
      </c>
      <c r="B14" s="75" t="s">
        <v>173</v>
      </c>
      <c r="C14" s="75" t="s">
        <v>134</v>
      </c>
      <c r="D14" s="76">
        <f>IFERROR(Factor!$B$22*F14, "데이터 없음")</f>
        <v>0</v>
      </c>
      <c r="E14" s="76">
        <f>IFERROR(F14*Factor!$C$22, "데이터 없음")</f>
        <v>0</v>
      </c>
      <c r="F14" s="77">
        <f>IFERROR(SUMIF(SpawnData!$A:$A,$B14,SpawnData!$G:$G)/COUNTIF(SpawnData!$A:$A,$B14), "데이터 없음")</f>
        <v>0</v>
      </c>
    </row>
    <row r="15" spans="1:6">
      <c r="A15" s="70" t="s">
        <v>174</v>
      </c>
      <c r="B15" s="71" t="s">
        <v>175</v>
      </c>
      <c r="C15" s="71" t="s">
        <v>134</v>
      </c>
      <c r="D15" s="72">
        <f>IFERROR(Factor!$B$22*F15, "데이터 없음")</f>
        <v>0</v>
      </c>
      <c r="E15" s="72">
        <f>IFERROR(F15*Factor!$C$22, "데이터 없음")</f>
        <v>0</v>
      </c>
      <c r="F15" s="73">
        <f>IFERROR(SUMIF(SpawnData!$A:$A,$B15,SpawnData!$G:$G)/COUNTIF(SpawnData!$A:$A,$B15), "데이터 없음")</f>
        <v>0</v>
      </c>
    </row>
    <row r="16" spans="1:6">
      <c r="A16" s="74" t="s">
        <v>176</v>
      </c>
      <c r="B16" s="75" t="s">
        <v>177</v>
      </c>
      <c r="C16" s="75" t="s">
        <v>134</v>
      </c>
      <c r="D16" s="76">
        <f>IFERROR(Factor!$B$22*F16, "데이터 없음")</f>
        <v>0</v>
      </c>
      <c r="E16" s="76">
        <f>IFERROR(F16*Factor!$C$22, "데이터 없음")</f>
        <v>0</v>
      </c>
      <c r="F16" s="77">
        <f>IFERROR(SUMIF(SpawnData!$A:$A,$B16,SpawnData!$G:$G)/COUNTIF(SpawnData!$A:$A,$B16), "데이터 없음")</f>
        <v>0</v>
      </c>
    </row>
    <row r="17" spans="1:6">
      <c r="A17" s="70" t="s">
        <v>178</v>
      </c>
      <c r="B17" s="71" t="s">
        <v>179</v>
      </c>
      <c r="C17" s="71" t="s">
        <v>134</v>
      </c>
      <c r="D17" s="72">
        <f>IFERROR(Factor!$B$22*F17, "데이터 없음")</f>
        <v>0</v>
      </c>
      <c r="E17" s="72">
        <f>IFERROR(F17*Factor!$C$22, "데이터 없음")</f>
        <v>0</v>
      </c>
      <c r="F17" s="73">
        <f>IFERROR(SUMIF(SpawnData!$A:$A,$B17,SpawnData!$G:$G)/COUNTIF(SpawnData!$A:$A,$B17), "데이터 없음")</f>
        <v>0</v>
      </c>
    </row>
    <row r="18" spans="1:6">
      <c r="A18" s="74" t="s">
        <v>180</v>
      </c>
      <c r="B18" s="75" t="s">
        <v>181</v>
      </c>
      <c r="C18" s="75" t="s">
        <v>134</v>
      </c>
      <c r="D18" s="76">
        <f>IFERROR(Factor!$B$22*F18, "데이터 없음")</f>
        <v>0</v>
      </c>
      <c r="E18" s="76">
        <f>IFERROR(F18*Factor!$C$22, "데이터 없음")</f>
        <v>0</v>
      </c>
      <c r="F18" s="77">
        <f>IFERROR(SUMIF(SpawnData!$A:$A,$B18,SpawnData!$G:$G)/COUNTIF(SpawnData!$A:$A,$B18), "데이터 없음")</f>
        <v>0</v>
      </c>
    </row>
    <row r="19" spans="1:6">
      <c r="A19" s="70" t="s">
        <v>182</v>
      </c>
      <c r="B19" s="71" t="s">
        <v>183</v>
      </c>
      <c r="C19" s="71" t="s">
        <v>134</v>
      </c>
      <c r="D19" s="72">
        <f>IFERROR(Factor!$B$22*F19, "데이터 없음")</f>
        <v>0</v>
      </c>
      <c r="E19" s="72">
        <f>IFERROR(F19*Factor!$C$22, "데이터 없음")</f>
        <v>0</v>
      </c>
      <c r="F19" s="73">
        <f>IFERROR(SUMIF(SpawnData!$A:$A,$B19,SpawnData!$G:$G)/COUNTIF(SpawnData!$A:$A,$B19), "데이터 없음")</f>
        <v>0</v>
      </c>
    </row>
    <row r="20" spans="1:6">
      <c r="A20" s="74" t="s">
        <v>184</v>
      </c>
      <c r="B20" s="75" t="s">
        <v>185</v>
      </c>
      <c r="C20" s="75" t="s">
        <v>134</v>
      </c>
      <c r="D20" s="76">
        <f>IFERROR(Factor!$B$22*F20, "데이터 없음")</f>
        <v>0</v>
      </c>
      <c r="E20" s="76">
        <f>IFERROR(F20*Factor!$C$22, "데이터 없음")</f>
        <v>0</v>
      </c>
      <c r="F20" s="77">
        <f>IFERROR(SUMIF(SpawnData!$A:$A,$B20,SpawnData!$G:$G)/COUNTIF(SpawnData!$A:$A,$B20), "데이터 없음")</f>
        <v>0</v>
      </c>
    </row>
    <row r="21" spans="1:6">
      <c r="A21" s="70" t="s">
        <v>186</v>
      </c>
      <c r="B21" s="71" t="s">
        <v>187</v>
      </c>
      <c r="C21" s="71" t="s">
        <v>134</v>
      </c>
      <c r="D21" s="72">
        <f>IFERROR(Factor!$B$22*F21, "데이터 없음")</f>
        <v>0</v>
      </c>
      <c r="E21" s="72">
        <f>IFERROR(F21*Factor!$C$22, "데이터 없음")</f>
        <v>0</v>
      </c>
      <c r="F21" s="73">
        <f>IFERROR(SUMIF(SpawnData!$A:$A,$B21,SpawnData!$G:$G)/COUNTIF(SpawnData!$A:$A,$B21), "데이터 없음")</f>
        <v>0</v>
      </c>
    </row>
    <row r="22" spans="1:6">
      <c r="A22" s="74" t="s">
        <v>188</v>
      </c>
      <c r="B22" s="75" t="s">
        <v>189</v>
      </c>
      <c r="C22" s="75" t="s">
        <v>134</v>
      </c>
      <c r="D22" s="76">
        <f>IFERROR(Factor!$B$22*F22, "데이터 없음")</f>
        <v>0</v>
      </c>
      <c r="E22" s="76">
        <f>IFERROR(F22*Factor!$C$22, "데이터 없음")</f>
        <v>0</v>
      </c>
      <c r="F22" s="77">
        <f>IFERROR(SUMIF(SpawnData!$A:$A,$B22,SpawnData!$G:$G)/COUNTIF(SpawnData!$A:$A,$B22), "데이터 없음")</f>
        <v>0</v>
      </c>
    </row>
    <row r="23" spans="1:6">
      <c r="A23" s="70" t="s">
        <v>190</v>
      </c>
      <c r="B23" s="71" t="s">
        <v>191</v>
      </c>
      <c r="C23" s="71" t="s">
        <v>134</v>
      </c>
      <c r="D23" s="72">
        <f>IFERROR(Factor!$B$22*F23, "데이터 없음")</f>
        <v>0</v>
      </c>
      <c r="E23" s="72">
        <f>IFERROR(F23*Factor!$C$22, "데이터 없음")</f>
        <v>0</v>
      </c>
      <c r="F23" s="73">
        <f>IFERROR(SUMIF(SpawnData!$A:$A,$B23,SpawnData!$G:$G)/COUNTIF(SpawnData!$A:$A,$B23), "데이터 없음")</f>
        <v>0</v>
      </c>
    </row>
    <row r="24" spans="1:6">
      <c r="A24" s="74" t="s">
        <v>192</v>
      </c>
      <c r="B24" s="75" t="s">
        <v>193</v>
      </c>
      <c r="C24" s="75" t="s">
        <v>134</v>
      </c>
      <c r="D24" s="76">
        <f>IFERROR(Factor!$B$22*F24, "데이터 없음")</f>
        <v>0</v>
      </c>
      <c r="E24" s="76">
        <f>IFERROR(F24*Factor!$C$22, "데이터 없음")</f>
        <v>0</v>
      </c>
      <c r="F24" s="77">
        <f>IFERROR(SUMIF(SpawnData!$A:$A,$B24,SpawnData!$G:$G)/COUNTIF(SpawnData!$A:$A,$B24), "데이터 없음")</f>
        <v>0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CCA9-790E-47DF-8634-3A2F97842053}">
  <dimension ref="A1:G444"/>
  <sheetViews>
    <sheetView tabSelected="1" zoomScale="75" zoomScaleNormal="75" workbookViewId="0">
      <pane ySplit="4" topLeftCell="A5" activePane="bottomLeft" state="frozen"/>
      <selection pane="bottomLeft" activeCell="R22" sqref="R22"/>
    </sheetView>
  </sheetViews>
  <sheetFormatPr defaultRowHeight="12.75"/>
  <cols>
    <col min="1" max="1" width="29.42578125" style="1" customWidth="1"/>
    <col min="2" max="2" width="22.85546875" style="1" customWidth="1"/>
    <col min="3" max="3" width="24.7109375" style="1" customWidth="1"/>
    <col min="4" max="4" width="22" style="1" customWidth="1"/>
    <col min="5" max="5" width="30.28515625" style="1" customWidth="1"/>
    <col min="6" max="6" width="26.85546875" style="1" customWidth="1"/>
    <col min="7" max="7" width="15.7109375" style="1" customWidth="1"/>
    <col min="8" max="16384" width="9.140625" style="1"/>
  </cols>
  <sheetData>
    <row r="1" spans="1:7" ht="129.94999999999999" customHeight="1">
      <c r="A1" s="69" t="s">
        <v>353</v>
      </c>
      <c r="B1" s="58"/>
      <c r="C1" s="58"/>
      <c r="D1" s="58"/>
      <c r="E1" s="58"/>
      <c r="F1" s="58"/>
      <c r="G1" s="58"/>
    </row>
    <row r="2" spans="1:7">
      <c r="A2" s="26" t="s">
        <v>354</v>
      </c>
      <c r="B2" s="26" t="s">
        <v>355</v>
      </c>
      <c r="C2" s="26" t="s">
        <v>356</v>
      </c>
      <c r="D2" s="26" t="s">
        <v>357</v>
      </c>
      <c r="E2" s="26" t="s">
        <v>358</v>
      </c>
      <c r="F2" s="26" t="s">
        <v>359</v>
      </c>
    </row>
    <row r="3" spans="1:7">
      <c r="A3" s="29" t="s">
        <v>6</v>
      </c>
      <c r="B3" s="29" t="s">
        <v>14</v>
      </c>
      <c r="C3" s="29" t="s">
        <v>6</v>
      </c>
      <c r="D3" s="29" t="s">
        <v>122</v>
      </c>
      <c r="E3" s="29" t="s">
        <v>6</v>
      </c>
      <c r="F3" s="29" t="s">
        <v>21</v>
      </c>
      <c r="G3" s="79" t="s">
        <v>360</v>
      </c>
    </row>
    <row r="4" spans="1:7">
      <c r="A4" s="7" t="s">
        <v>123</v>
      </c>
      <c r="B4" s="7" t="s">
        <v>124</v>
      </c>
      <c r="C4" s="7" t="s">
        <v>230</v>
      </c>
      <c r="D4" s="7" t="s">
        <v>126</v>
      </c>
      <c r="E4" s="7" t="s">
        <v>127</v>
      </c>
      <c r="F4" s="7" t="s">
        <v>128</v>
      </c>
      <c r="G4" s="7" t="s">
        <v>361</v>
      </c>
    </row>
    <row r="5" spans="1:7">
      <c r="A5" s="70" t="s">
        <v>155</v>
      </c>
      <c r="B5" s="71">
        <v>0</v>
      </c>
      <c r="C5" s="71" t="s">
        <v>205</v>
      </c>
      <c r="D5" s="71" t="s">
        <v>206</v>
      </c>
      <c r="E5" s="71" t="s">
        <v>207</v>
      </c>
      <c r="F5" s="71">
        <v>1</v>
      </c>
      <c r="G5" s="80" t="str">
        <f>VLOOKUP($E5, MonsterData!$A$5:$G$13, 5, 0)</f>
        <v>S</v>
      </c>
    </row>
    <row r="6" spans="1:7">
      <c r="A6" s="74" t="s">
        <v>204</v>
      </c>
      <c r="B6" s="75">
        <v>1</v>
      </c>
      <c r="C6" s="75" t="s">
        <v>205</v>
      </c>
      <c r="D6" s="75" t="s">
        <v>206</v>
      </c>
      <c r="E6" s="75" t="s">
        <v>208</v>
      </c>
      <c r="F6" s="75">
        <v>1</v>
      </c>
      <c r="G6" s="81" t="str">
        <f>VLOOKUP($E6, MonsterData!$A$5:$G$13, 5, 0)</f>
        <v>M</v>
      </c>
    </row>
    <row r="7" spans="1:7">
      <c r="A7" s="70" t="s">
        <v>155</v>
      </c>
      <c r="B7" s="71">
        <v>2</v>
      </c>
      <c r="C7" s="71" t="s">
        <v>205</v>
      </c>
      <c r="D7" s="71" t="s">
        <v>206</v>
      </c>
      <c r="E7" s="71" t="s">
        <v>209</v>
      </c>
      <c r="F7" s="71">
        <v>1</v>
      </c>
      <c r="G7" s="80" t="str">
        <f>VLOOKUP($E7, MonsterData!$A$5:$G$13, 5, 0)</f>
        <v>M</v>
      </c>
    </row>
    <row r="8" spans="1:7">
      <c r="A8" s="74" t="s">
        <v>204</v>
      </c>
      <c r="B8" s="75">
        <v>3</v>
      </c>
      <c r="C8" s="75" t="s">
        <v>205</v>
      </c>
      <c r="D8" s="75" t="s">
        <v>206</v>
      </c>
      <c r="E8" s="75" t="s">
        <v>210</v>
      </c>
      <c r="F8" s="75">
        <v>1</v>
      </c>
      <c r="G8" s="81" t="str">
        <f>VLOOKUP($E8, MonsterData!$A$5:$G$13, 5, 0)</f>
        <v>S</v>
      </c>
    </row>
    <row r="9" spans="1:7">
      <c r="A9" s="70" t="s">
        <v>155</v>
      </c>
      <c r="B9" s="71">
        <v>4</v>
      </c>
      <c r="C9" s="71" t="s">
        <v>205</v>
      </c>
      <c r="D9" s="71" t="s">
        <v>206</v>
      </c>
      <c r="E9" s="71" t="s">
        <v>208</v>
      </c>
      <c r="F9" s="71">
        <v>1</v>
      </c>
      <c r="G9" s="80" t="str">
        <f>VLOOKUP($E9, MonsterData!$A$5:$G$13, 5, 0)</f>
        <v>M</v>
      </c>
    </row>
    <row r="10" spans="1:7">
      <c r="A10" s="74" t="s">
        <v>204</v>
      </c>
      <c r="B10" s="75">
        <v>5</v>
      </c>
      <c r="C10" s="75" t="s">
        <v>205</v>
      </c>
      <c r="D10" s="75" t="s">
        <v>206</v>
      </c>
      <c r="E10" s="75" t="s">
        <v>207</v>
      </c>
      <c r="F10" s="75">
        <v>1</v>
      </c>
      <c r="G10" s="81" t="str">
        <f>VLOOKUP($E10, MonsterData!$A$5:$G$13, 5, 0)</f>
        <v>S</v>
      </c>
    </row>
    <row r="11" spans="1:7">
      <c r="A11" s="70" t="s">
        <v>155</v>
      </c>
      <c r="B11" s="71">
        <v>6</v>
      </c>
      <c r="C11" s="71" t="s">
        <v>205</v>
      </c>
      <c r="D11" s="71" t="s">
        <v>206</v>
      </c>
      <c r="E11" s="71" t="s">
        <v>208</v>
      </c>
      <c r="F11" s="71">
        <v>1</v>
      </c>
      <c r="G11" s="80" t="str">
        <f>VLOOKUP($E11, MonsterData!$A$5:$G$13, 5, 0)</f>
        <v>M</v>
      </c>
    </row>
    <row r="12" spans="1:7">
      <c r="A12" s="74" t="s">
        <v>204</v>
      </c>
      <c r="B12" s="75">
        <v>7</v>
      </c>
      <c r="C12" s="75" t="s">
        <v>205</v>
      </c>
      <c r="D12" s="75" t="s">
        <v>206</v>
      </c>
      <c r="E12" s="75" t="s">
        <v>209</v>
      </c>
      <c r="F12" s="75">
        <v>1</v>
      </c>
      <c r="G12" s="81" t="str">
        <f>VLOOKUP($E12, MonsterData!$A$5:$G$13, 5, 0)</f>
        <v>M</v>
      </c>
    </row>
    <row r="13" spans="1:7">
      <c r="A13" s="70" t="s">
        <v>155</v>
      </c>
      <c r="B13" s="71">
        <v>8</v>
      </c>
      <c r="C13" s="71" t="s">
        <v>205</v>
      </c>
      <c r="D13" s="71" t="s">
        <v>206</v>
      </c>
      <c r="E13" s="71" t="s">
        <v>210</v>
      </c>
      <c r="F13" s="71">
        <v>1</v>
      </c>
      <c r="G13" s="80" t="str">
        <f>VLOOKUP($E13, MonsterData!$A$5:$G$13, 5, 0)</f>
        <v>S</v>
      </c>
    </row>
    <row r="14" spans="1:7">
      <c r="A14" s="74" t="s">
        <v>204</v>
      </c>
      <c r="B14" s="75">
        <v>9</v>
      </c>
      <c r="C14" s="75" t="s">
        <v>205</v>
      </c>
      <c r="D14" s="75" t="s">
        <v>206</v>
      </c>
      <c r="E14" s="75" t="s">
        <v>208</v>
      </c>
      <c r="F14" s="75">
        <v>1</v>
      </c>
      <c r="G14" s="81" t="str">
        <f>VLOOKUP($E14, MonsterData!$A$5:$G$13, 5, 0)</f>
        <v>M</v>
      </c>
    </row>
    <row r="15" spans="1:7">
      <c r="A15" s="70" t="s">
        <v>155</v>
      </c>
      <c r="B15" s="71">
        <v>10</v>
      </c>
      <c r="C15" s="71" t="s">
        <v>205</v>
      </c>
      <c r="D15" s="71" t="s">
        <v>206</v>
      </c>
      <c r="E15" s="71" t="s">
        <v>273</v>
      </c>
      <c r="F15" s="71">
        <v>1</v>
      </c>
      <c r="G15" s="80" t="str">
        <f>VLOOKUP($E15, MonsterData!$A$5:$G$13, 5, 0)</f>
        <v>B</v>
      </c>
    </row>
    <row r="16" spans="1:7">
      <c r="A16" s="74" t="s">
        <v>204</v>
      </c>
      <c r="B16" s="75">
        <v>11</v>
      </c>
      <c r="C16" s="75" t="s">
        <v>205</v>
      </c>
      <c r="D16" s="75" t="s">
        <v>206</v>
      </c>
      <c r="E16" s="75" t="s">
        <v>207</v>
      </c>
      <c r="F16" s="75">
        <v>1</v>
      </c>
      <c r="G16" s="81" t="str">
        <f>VLOOKUP($E16, MonsterData!$A$5:$G$13, 5, 0)</f>
        <v>S</v>
      </c>
    </row>
    <row r="17" spans="1:7">
      <c r="A17" s="70" t="s">
        <v>155</v>
      </c>
      <c r="B17" s="71">
        <v>12</v>
      </c>
      <c r="C17" s="71" t="s">
        <v>205</v>
      </c>
      <c r="D17" s="71" t="s">
        <v>206</v>
      </c>
      <c r="E17" s="71" t="s">
        <v>208</v>
      </c>
      <c r="F17" s="71">
        <v>1</v>
      </c>
      <c r="G17" s="80" t="str">
        <f>VLOOKUP($E17, MonsterData!$A$5:$G$13, 5, 0)</f>
        <v>M</v>
      </c>
    </row>
    <row r="18" spans="1:7">
      <c r="A18" s="74" t="s">
        <v>204</v>
      </c>
      <c r="B18" s="75">
        <v>13</v>
      </c>
      <c r="C18" s="75" t="s">
        <v>205</v>
      </c>
      <c r="D18" s="75" t="s">
        <v>206</v>
      </c>
      <c r="E18" s="75" t="s">
        <v>209</v>
      </c>
      <c r="F18" s="75">
        <v>1</v>
      </c>
      <c r="G18" s="81" t="str">
        <f>VLOOKUP($E18, MonsterData!$A$5:$G$13, 5, 0)</f>
        <v>M</v>
      </c>
    </row>
    <row r="19" spans="1:7">
      <c r="A19" s="70" t="s">
        <v>155</v>
      </c>
      <c r="B19" s="71">
        <v>14</v>
      </c>
      <c r="C19" s="71" t="s">
        <v>205</v>
      </c>
      <c r="D19" s="71" t="s">
        <v>206</v>
      </c>
      <c r="E19" s="71" t="s">
        <v>210</v>
      </c>
      <c r="F19" s="71">
        <v>1</v>
      </c>
      <c r="G19" s="80" t="str">
        <f>VLOOKUP($E19, MonsterData!$A$5:$G$13, 5, 0)</f>
        <v>S</v>
      </c>
    </row>
    <row r="20" spans="1:7">
      <c r="A20" s="74" t="s">
        <v>204</v>
      </c>
      <c r="B20" s="75">
        <v>15</v>
      </c>
      <c r="C20" s="75" t="s">
        <v>205</v>
      </c>
      <c r="D20" s="75" t="s">
        <v>206</v>
      </c>
      <c r="E20" s="75" t="s">
        <v>208</v>
      </c>
      <c r="F20" s="75">
        <v>1</v>
      </c>
      <c r="G20" s="81" t="str">
        <f>VLOOKUP($E20, MonsterData!$A$5:$G$13, 5, 0)</f>
        <v>M</v>
      </c>
    </row>
    <row r="21" spans="1:7">
      <c r="A21" s="70" t="s">
        <v>155</v>
      </c>
      <c r="B21" s="71">
        <v>16</v>
      </c>
      <c r="C21" s="71" t="s">
        <v>205</v>
      </c>
      <c r="D21" s="71" t="s">
        <v>206</v>
      </c>
      <c r="E21" s="71" t="s">
        <v>207</v>
      </c>
      <c r="F21" s="71">
        <v>1</v>
      </c>
      <c r="G21" s="80" t="str">
        <f>VLOOKUP($E21, MonsterData!$A$5:$G$13, 5, 0)</f>
        <v>S</v>
      </c>
    </row>
    <row r="22" spans="1:7">
      <c r="A22" s="74" t="s">
        <v>204</v>
      </c>
      <c r="B22" s="75">
        <v>17</v>
      </c>
      <c r="C22" s="75" t="s">
        <v>205</v>
      </c>
      <c r="D22" s="75" t="s">
        <v>206</v>
      </c>
      <c r="E22" s="75" t="s">
        <v>208</v>
      </c>
      <c r="F22" s="75">
        <v>1</v>
      </c>
      <c r="G22" s="81" t="str">
        <f>VLOOKUP($E22, MonsterData!$A$5:$G$13, 5, 0)</f>
        <v>M</v>
      </c>
    </row>
    <row r="23" spans="1:7">
      <c r="A23" s="70" t="s">
        <v>155</v>
      </c>
      <c r="B23" s="71">
        <v>18</v>
      </c>
      <c r="C23" s="71" t="s">
        <v>205</v>
      </c>
      <c r="D23" s="71" t="s">
        <v>206</v>
      </c>
      <c r="E23" s="71" t="s">
        <v>209</v>
      </c>
      <c r="F23" s="71">
        <v>1</v>
      </c>
      <c r="G23" s="80" t="str">
        <f>VLOOKUP($E23, MonsterData!$A$5:$G$13, 5, 0)</f>
        <v>M</v>
      </c>
    </row>
    <row r="24" spans="1:7">
      <c r="A24" s="74" t="s">
        <v>204</v>
      </c>
      <c r="B24" s="75">
        <v>19</v>
      </c>
      <c r="C24" s="75" t="s">
        <v>205</v>
      </c>
      <c r="D24" s="75" t="s">
        <v>206</v>
      </c>
      <c r="E24" s="75" t="s">
        <v>210</v>
      </c>
      <c r="F24" s="75">
        <v>1</v>
      </c>
      <c r="G24" s="81" t="str">
        <f>VLOOKUP($E24, MonsterData!$A$5:$G$13, 5, 0)</f>
        <v>S</v>
      </c>
    </row>
    <row r="25" spans="1:7">
      <c r="A25" s="70" t="s">
        <v>155</v>
      </c>
      <c r="B25" s="71">
        <v>20</v>
      </c>
      <c r="C25" s="71" t="s">
        <v>205</v>
      </c>
      <c r="D25" s="71" t="s">
        <v>206</v>
      </c>
      <c r="E25" s="71" t="s">
        <v>208</v>
      </c>
      <c r="F25" s="71">
        <v>1</v>
      </c>
      <c r="G25" s="80" t="str">
        <f>VLOOKUP($E25, MonsterData!$A$5:$G$13, 5, 0)</f>
        <v>M</v>
      </c>
    </row>
    <row r="26" spans="1:7">
      <c r="A26" s="74" t="s">
        <v>204</v>
      </c>
      <c r="B26" s="75">
        <v>21</v>
      </c>
      <c r="C26" s="75" t="s">
        <v>205</v>
      </c>
      <c r="D26" s="75" t="s">
        <v>206</v>
      </c>
      <c r="E26" s="75" t="s">
        <v>274</v>
      </c>
      <c r="F26" s="75">
        <v>1</v>
      </c>
      <c r="G26" s="81" t="str">
        <f>VLOOKUP($E26, MonsterData!$A$5:$G$13, 5, 0)</f>
        <v>M</v>
      </c>
    </row>
    <row r="27" spans="1:7">
      <c r="A27" s="70" t="s">
        <v>211</v>
      </c>
      <c r="B27" s="71">
        <v>0</v>
      </c>
      <c r="C27" s="71" t="s">
        <v>205</v>
      </c>
      <c r="D27" s="71" t="s">
        <v>206</v>
      </c>
      <c r="E27" s="71" t="s">
        <v>209</v>
      </c>
      <c r="F27" s="71">
        <v>1</v>
      </c>
      <c r="G27" s="80" t="str">
        <f>VLOOKUP($E27, MonsterData!$A$5:$G$13, 5, 0)</f>
        <v>M</v>
      </c>
    </row>
    <row r="28" spans="1:7">
      <c r="A28" s="74" t="s">
        <v>157</v>
      </c>
      <c r="B28" s="75">
        <v>1</v>
      </c>
      <c r="C28" s="75" t="s">
        <v>205</v>
      </c>
      <c r="D28" s="75" t="s">
        <v>206</v>
      </c>
      <c r="E28" s="75" t="s">
        <v>210</v>
      </c>
      <c r="F28" s="75">
        <v>1</v>
      </c>
      <c r="G28" s="81" t="str">
        <f>VLOOKUP($E28, MonsterData!$A$5:$G$13, 5, 0)</f>
        <v>S</v>
      </c>
    </row>
    <row r="29" spans="1:7">
      <c r="A29" s="70" t="s">
        <v>211</v>
      </c>
      <c r="B29" s="71">
        <v>2</v>
      </c>
      <c r="C29" s="71" t="s">
        <v>205</v>
      </c>
      <c r="D29" s="71" t="s">
        <v>206</v>
      </c>
      <c r="E29" s="71" t="s">
        <v>208</v>
      </c>
      <c r="F29" s="71">
        <v>1</v>
      </c>
      <c r="G29" s="80" t="str">
        <f>VLOOKUP($E29, MonsterData!$A$5:$G$13, 5, 0)</f>
        <v>M</v>
      </c>
    </row>
    <row r="30" spans="1:7">
      <c r="A30" s="74" t="s">
        <v>157</v>
      </c>
      <c r="B30" s="75">
        <v>3</v>
      </c>
      <c r="C30" s="75" t="s">
        <v>205</v>
      </c>
      <c r="D30" s="75" t="s">
        <v>206</v>
      </c>
      <c r="E30" s="75" t="s">
        <v>207</v>
      </c>
      <c r="F30" s="75">
        <v>1</v>
      </c>
      <c r="G30" s="81" t="str">
        <f>VLOOKUP($E30, MonsterData!$A$5:$G$13, 5, 0)</f>
        <v>S</v>
      </c>
    </row>
    <row r="31" spans="1:7">
      <c r="A31" s="70" t="s">
        <v>211</v>
      </c>
      <c r="B31" s="71">
        <v>4</v>
      </c>
      <c r="C31" s="71" t="s">
        <v>205</v>
      </c>
      <c r="D31" s="71" t="s">
        <v>206</v>
      </c>
      <c r="E31" s="71" t="s">
        <v>208</v>
      </c>
      <c r="F31" s="71">
        <v>1</v>
      </c>
      <c r="G31" s="80" t="str">
        <f>VLOOKUP($E31, MonsterData!$A$5:$G$13, 5, 0)</f>
        <v>M</v>
      </c>
    </row>
    <row r="32" spans="1:7">
      <c r="A32" s="74" t="s">
        <v>157</v>
      </c>
      <c r="B32" s="75">
        <v>5</v>
      </c>
      <c r="C32" s="75" t="s">
        <v>205</v>
      </c>
      <c r="D32" s="75" t="s">
        <v>206</v>
      </c>
      <c r="E32" s="75" t="s">
        <v>209</v>
      </c>
      <c r="F32" s="75">
        <v>1</v>
      </c>
      <c r="G32" s="81" t="str">
        <f>VLOOKUP($E32, MonsterData!$A$5:$G$13, 5, 0)</f>
        <v>M</v>
      </c>
    </row>
    <row r="33" spans="1:7">
      <c r="A33" s="70" t="s">
        <v>211</v>
      </c>
      <c r="B33" s="71">
        <v>6</v>
      </c>
      <c r="C33" s="71" t="s">
        <v>205</v>
      </c>
      <c r="D33" s="71" t="s">
        <v>206</v>
      </c>
      <c r="E33" s="71" t="s">
        <v>210</v>
      </c>
      <c r="F33" s="71">
        <v>1</v>
      </c>
      <c r="G33" s="80" t="str">
        <f>VLOOKUP($E33, MonsterData!$A$5:$G$13, 5, 0)</f>
        <v>S</v>
      </c>
    </row>
    <row r="34" spans="1:7">
      <c r="A34" s="74" t="s">
        <v>157</v>
      </c>
      <c r="B34" s="75">
        <v>7</v>
      </c>
      <c r="C34" s="75" t="s">
        <v>205</v>
      </c>
      <c r="D34" s="75" t="s">
        <v>206</v>
      </c>
      <c r="E34" s="75" t="s">
        <v>208</v>
      </c>
      <c r="F34" s="75">
        <v>1</v>
      </c>
      <c r="G34" s="81" t="str">
        <f>VLOOKUP($E34, MonsterData!$A$5:$G$13, 5, 0)</f>
        <v>M</v>
      </c>
    </row>
    <row r="35" spans="1:7">
      <c r="A35" s="70" t="s">
        <v>211</v>
      </c>
      <c r="B35" s="71">
        <v>8</v>
      </c>
      <c r="C35" s="71" t="s">
        <v>205</v>
      </c>
      <c r="D35" s="71" t="s">
        <v>206</v>
      </c>
      <c r="E35" s="71" t="s">
        <v>207</v>
      </c>
      <c r="F35" s="71">
        <v>1</v>
      </c>
      <c r="G35" s="80" t="str">
        <f>VLOOKUP($E35, MonsterData!$A$5:$G$13, 5, 0)</f>
        <v>S</v>
      </c>
    </row>
    <row r="36" spans="1:7">
      <c r="A36" s="74" t="s">
        <v>157</v>
      </c>
      <c r="B36" s="75">
        <v>9</v>
      </c>
      <c r="C36" s="75" t="s">
        <v>205</v>
      </c>
      <c r="D36" s="75" t="s">
        <v>206</v>
      </c>
      <c r="E36" s="75" t="s">
        <v>208</v>
      </c>
      <c r="F36" s="75">
        <v>1</v>
      </c>
      <c r="G36" s="81" t="str">
        <f>VLOOKUP($E36, MonsterData!$A$5:$G$13, 5, 0)</f>
        <v>M</v>
      </c>
    </row>
    <row r="37" spans="1:7">
      <c r="A37" s="70" t="s">
        <v>211</v>
      </c>
      <c r="B37" s="71">
        <v>10</v>
      </c>
      <c r="C37" s="71" t="s">
        <v>205</v>
      </c>
      <c r="D37" s="71" t="s">
        <v>206</v>
      </c>
      <c r="E37" s="71" t="s">
        <v>281</v>
      </c>
      <c r="F37" s="71">
        <v>1</v>
      </c>
      <c r="G37" s="80" t="str">
        <f>VLOOKUP($E37, MonsterData!$A$5:$G$13, 5, 0)</f>
        <v>M</v>
      </c>
    </row>
    <row r="38" spans="1:7">
      <c r="A38" s="74" t="s">
        <v>157</v>
      </c>
      <c r="B38" s="75">
        <v>11</v>
      </c>
      <c r="C38" s="75" t="s">
        <v>205</v>
      </c>
      <c r="D38" s="75" t="s">
        <v>206</v>
      </c>
      <c r="E38" s="75" t="s">
        <v>209</v>
      </c>
      <c r="F38" s="75">
        <v>1</v>
      </c>
      <c r="G38" s="81" t="str">
        <f>VLOOKUP($E38, MonsterData!$A$5:$G$13, 5, 0)</f>
        <v>M</v>
      </c>
    </row>
    <row r="39" spans="1:7">
      <c r="A39" s="70" t="s">
        <v>211</v>
      </c>
      <c r="B39" s="71">
        <v>12</v>
      </c>
      <c r="C39" s="71" t="s">
        <v>205</v>
      </c>
      <c r="D39" s="71" t="s">
        <v>206</v>
      </c>
      <c r="E39" s="71" t="s">
        <v>210</v>
      </c>
      <c r="F39" s="71">
        <v>1</v>
      </c>
      <c r="G39" s="80" t="str">
        <f>VLOOKUP($E39, MonsterData!$A$5:$G$13, 5, 0)</f>
        <v>S</v>
      </c>
    </row>
    <row r="40" spans="1:7">
      <c r="A40" s="74" t="s">
        <v>157</v>
      </c>
      <c r="B40" s="75">
        <v>13</v>
      </c>
      <c r="C40" s="75" t="s">
        <v>205</v>
      </c>
      <c r="D40" s="75" t="s">
        <v>206</v>
      </c>
      <c r="E40" s="75" t="s">
        <v>208</v>
      </c>
      <c r="F40" s="75">
        <v>1</v>
      </c>
      <c r="G40" s="81" t="str">
        <f>VLOOKUP($E40, MonsterData!$A$5:$G$13, 5, 0)</f>
        <v>M</v>
      </c>
    </row>
    <row r="41" spans="1:7">
      <c r="A41" s="70" t="s">
        <v>211</v>
      </c>
      <c r="B41" s="71">
        <v>14</v>
      </c>
      <c r="C41" s="71" t="s">
        <v>205</v>
      </c>
      <c r="D41" s="71" t="s">
        <v>206</v>
      </c>
      <c r="E41" s="71" t="s">
        <v>207</v>
      </c>
      <c r="F41" s="71">
        <v>1</v>
      </c>
      <c r="G41" s="80" t="str">
        <f>VLOOKUP($E41, MonsterData!$A$5:$G$13, 5, 0)</f>
        <v>S</v>
      </c>
    </row>
    <row r="42" spans="1:7">
      <c r="A42" s="74" t="s">
        <v>157</v>
      </c>
      <c r="B42" s="75">
        <v>15</v>
      </c>
      <c r="C42" s="75" t="s">
        <v>205</v>
      </c>
      <c r="D42" s="75" t="s">
        <v>206</v>
      </c>
      <c r="E42" s="75" t="s">
        <v>208</v>
      </c>
      <c r="F42" s="75">
        <v>1</v>
      </c>
      <c r="G42" s="81" t="str">
        <f>VLOOKUP($E42, MonsterData!$A$5:$G$13, 5, 0)</f>
        <v>M</v>
      </c>
    </row>
    <row r="43" spans="1:7">
      <c r="A43" s="70" t="s">
        <v>211</v>
      </c>
      <c r="B43" s="71">
        <v>16</v>
      </c>
      <c r="C43" s="71" t="s">
        <v>205</v>
      </c>
      <c r="D43" s="71" t="s">
        <v>206</v>
      </c>
      <c r="E43" s="71" t="s">
        <v>209</v>
      </c>
      <c r="F43" s="71">
        <v>1</v>
      </c>
      <c r="G43" s="80" t="str">
        <f>VLOOKUP($E43, MonsterData!$A$5:$G$13, 5, 0)</f>
        <v>M</v>
      </c>
    </row>
    <row r="44" spans="1:7">
      <c r="A44" s="74" t="s">
        <v>157</v>
      </c>
      <c r="B44" s="75">
        <v>17</v>
      </c>
      <c r="C44" s="75" t="s">
        <v>205</v>
      </c>
      <c r="D44" s="75" t="s">
        <v>206</v>
      </c>
      <c r="E44" s="75" t="s">
        <v>210</v>
      </c>
      <c r="F44" s="75">
        <v>1</v>
      </c>
      <c r="G44" s="81" t="str">
        <f>VLOOKUP($E44, MonsterData!$A$5:$G$13, 5, 0)</f>
        <v>S</v>
      </c>
    </row>
    <row r="45" spans="1:7">
      <c r="A45" s="70" t="s">
        <v>211</v>
      </c>
      <c r="B45" s="71">
        <v>18</v>
      </c>
      <c r="C45" s="71" t="s">
        <v>205</v>
      </c>
      <c r="D45" s="71" t="s">
        <v>206</v>
      </c>
      <c r="E45" s="71" t="s">
        <v>208</v>
      </c>
      <c r="F45" s="71">
        <v>1</v>
      </c>
      <c r="G45" s="80" t="str">
        <f>VLOOKUP($E45, MonsterData!$A$5:$G$13, 5, 0)</f>
        <v>M</v>
      </c>
    </row>
    <row r="46" spans="1:7">
      <c r="A46" s="74" t="s">
        <v>157</v>
      </c>
      <c r="B46" s="75">
        <v>19</v>
      </c>
      <c r="C46" s="75" t="s">
        <v>205</v>
      </c>
      <c r="D46" s="75" t="s">
        <v>206</v>
      </c>
      <c r="E46" s="75" t="s">
        <v>207</v>
      </c>
      <c r="F46" s="75">
        <v>1</v>
      </c>
      <c r="G46" s="81" t="str">
        <f>VLOOKUP($E46, MonsterData!$A$5:$G$13, 5, 0)</f>
        <v>S</v>
      </c>
    </row>
    <row r="47" spans="1:7">
      <c r="A47" s="70" t="s">
        <v>211</v>
      </c>
      <c r="B47" s="71">
        <v>20</v>
      </c>
      <c r="C47" s="71" t="s">
        <v>205</v>
      </c>
      <c r="D47" s="71" t="s">
        <v>206</v>
      </c>
      <c r="E47" s="71" t="s">
        <v>208</v>
      </c>
      <c r="F47" s="71">
        <v>1</v>
      </c>
      <c r="G47" s="80" t="str">
        <f>VLOOKUP($E47, MonsterData!$A$5:$G$13, 5, 0)</f>
        <v>M</v>
      </c>
    </row>
    <row r="48" spans="1:7">
      <c r="A48" s="74" t="s">
        <v>157</v>
      </c>
      <c r="B48" s="75">
        <v>21</v>
      </c>
      <c r="C48" s="75" t="s">
        <v>205</v>
      </c>
      <c r="D48" s="75" t="s">
        <v>206</v>
      </c>
      <c r="E48" s="75" t="s">
        <v>280</v>
      </c>
      <c r="F48" s="75">
        <v>1</v>
      </c>
      <c r="G48" s="81" t="str">
        <f>VLOOKUP($E48, MonsterData!$A$5:$G$13, 5, 0)</f>
        <v>B</v>
      </c>
    </row>
    <row r="49" spans="1:7">
      <c r="A49" s="70" t="s">
        <v>212</v>
      </c>
      <c r="B49" s="71">
        <v>0</v>
      </c>
      <c r="C49" s="71" t="s">
        <v>205</v>
      </c>
      <c r="D49" s="71" t="s">
        <v>206</v>
      </c>
      <c r="E49" s="71" t="s">
        <v>208</v>
      </c>
      <c r="F49" s="71">
        <v>1</v>
      </c>
      <c r="G49" s="80" t="str">
        <f>VLOOKUP($E49, MonsterData!$A$5:$G$13, 5, 0)</f>
        <v>M</v>
      </c>
    </row>
    <row r="50" spans="1:7">
      <c r="A50" s="74" t="s">
        <v>159</v>
      </c>
      <c r="B50" s="75">
        <v>1</v>
      </c>
      <c r="C50" s="75" t="s">
        <v>205</v>
      </c>
      <c r="D50" s="75" t="s">
        <v>206</v>
      </c>
      <c r="E50" s="75" t="s">
        <v>207</v>
      </c>
      <c r="F50" s="75">
        <v>1</v>
      </c>
      <c r="G50" s="81" t="str">
        <f>VLOOKUP($E50, MonsterData!$A$5:$G$13, 5, 0)</f>
        <v>S</v>
      </c>
    </row>
    <row r="51" spans="1:7">
      <c r="A51" s="70" t="s">
        <v>212</v>
      </c>
      <c r="B51" s="71">
        <v>2</v>
      </c>
      <c r="C51" s="71" t="s">
        <v>205</v>
      </c>
      <c r="D51" s="71" t="s">
        <v>206</v>
      </c>
      <c r="E51" s="71" t="s">
        <v>208</v>
      </c>
      <c r="F51" s="71">
        <v>1</v>
      </c>
      <c r="G51" s="80" t="str">
        <f>VLOOKUP($E51, MonsterData!$A$5:$G$13, 5, 0)</f>
        <v>M</v>
      </c>
    </row>
    <row r="52" spans="1:7">
      <c r="A52" s="74" t="s">
        <v>159</v>
      </c>
      <c r="B52" s="75">
        <v>3</v>
      </c>
      <c r="C52" s="75" t="s">
        <v>205</v>
      </c>
      <c r="D52" s="75" t="s">
        <v>206</v>
      </c>
      <c r="E52" s="75" t="s">
        <v>209</v>
      </c>
      <c r="F52" s="75">
        <v>1</v>
      </c>
      <c r="G52" s="81" t="str">
        <f>VLOOKUP($E52, MonsterData!$A$5:$G$13, 5, 0)</f>
        <v>M</v>
      </c>
    </row>
    <row r="53" spans="1:7">
      <c r="A53" s="70" t="s">
        <v>212</v>
      </c>
      <c r="B53" s="71">
        <v>4</v>
      </c>
      <c r="C53" s="71" t="s">
        <v>205</v>
      </c>
      <c r="D53" s="71" t="s">
        <v>206</v>
      </c>
      <c r="E53" s="71" t="s">
        <v>210</v>
      </c>
      <c r="F53" s="71">
        <v>1</v>
      </c>
      <c r="G53" s="80" t="str">
        <f>VLOOKUP($E53, MonsterData!$A$5:$G$13, 5, 0)</f>
        <v>S</v>
      </c>
    </row>
    <row r="54" spans="1:7">
      <c r="A54" s="74" t="s">
        <v>159</v>
      </c>
      <c r="B54" s="75">
        <v>5</v>
      </c>
      <c r="C54" s="75" t="s">
        <v>205</v>
      </c>
      <c r="D54" s="75" t="s">
        <v>206</v>
      </c>
      <c r="E54" s="75" t="s">
        <v>208</v>
      </c>
      <c r="F54" s="75">
        <v>1</v>
      </c>
      <c r="G54" s="81" t="str">
        <f>VLOOKUP($E54, MonsterData!$A$5:$G$13, 5, 0)</f>
        <v>M</v>
      </c>
    </row>
    <row r="55" spans="1:7">
      <c r="A55" s="70" t="s">
        <v>212</v>
      </c>
      <c r="B55" s="71">
        <v>6</v>
      </c>
      <c r="C55" s="71" t="s">
        <v>205</v>
      </c>
      <c r="D55" s="71" t="s">
        <v>206</v>
      </c>
      <c r="E55" s="71" t="s">
        <v>207</v>
      </c>
      <c r="F55" s="71">
        <v>1</v>
      </c>
      <c r="G55" s="80" t="str">
        <f>VLOOKUP($E55, MonsterData!$A$5:$G$13, 5, 0)</f>
        <v>S</v>
      </c>
    </row>
    <row r="56" spans="1:7">
      <c r="A56" s="74" t="s">
        <v>159</v>
      </c>
      <c r="B56" s="75">
        <v>7</v>
      </c>
      <c r="C56" s="75" t="s">
        <v>205</v>
      </c>
      <c r="D56" s="75" t="s">
        <v>206</v>
      </c>
      <c r="E56" s="75" t="s">
        <v>208</v>
      </c>
      <c r="F56" s="75">
        <v>1</v>
      </c>
      <c r="G56" s="81" t="str">
        <f>VLOOKUP($E56, MonsterData!$A$5:$G$13, 5, 0)</f>
        <v>M</v>
      </c>
    </row>
    <row r="57" spans="1:7">
      <c r="A57" s="70" t="s">
        <v>212</v>
      </c>
      <c r="B57" s="71">
        <v>8</v>
      </c>
      <c r="C57" s="71" t="s">
        <v>205</v>
      </c>
      <c r="D57" s="71" t="s">
        <v>206</v>
      </c>
      <c r="E57" s="71" t="s">
        <v>209</v>
      </c>
      <c r="F57" s="71">
        <v>1</v>
      </c>
      <c r="G57" s="80" t="str">
        <f>VLOOKUP($E57, MonsterData!$A$5:$G$13, 5, 0)</f>
        <v>M</v>
      </c>
    </row>
    <row r="58" spans="1:7">
      <c r="A58" s="74" t="s">
        <v>159</v>
      </c>
      <c r="B58" s="75">
        <v>9</v>
      </c>
      <c r="C58" s="75" t="s">
        <v>205</v>
      </c>
      <c r="D58" s="75" t="s">
        <v>206</v>
      </c>
      <c r="E58" s="75" t="s">
        <v>210</v>
      </c>
      <c r="F58" s="75">
        <v>1</v>
      </c>
      <c r="G58" s="81" t="str">
        <f>VLOOKUP($E58, MonsterData!$A$5:$G$13, 5, 0)</f>
        <v>S</v>
      </c>
    </row>
    <row r="59" spans="1:7">
      <c r="A59" s="70" t="s">
        <v>212</v>
      </c>
      <c r="B59" s="71">
        <v>10</v>
      </c>
      <c r="C59" s="71" t="s">
        <v>205</v>
      </c>
      <c r="D59" s="71" t="s">
        <v>206</v>
      </c>
      <c r="E59" s="71" t="s">
        <v>280</v>
      </c>
      <c r="F59" s="71">
        <v>1</v>
      </c>
      <c r="G59" s="80" t="str">
        <f>VLOOKUP($E59, MonsterData!$A$5:$G$13, 5, 0)</f>
        <v>B</v>
      </c>
    </row>
    <row r="60" spans="1:7">
      <c r="A60" s="74" t="s">
        <v>159</v>
      </c>
      <c r="B60" s="75">
        <v>11</v>
      </c>
      <c r="C60" s="75" t="s">
        <v>205</v>
      </c>
      <c r="D60" s="75" t="s">
        <v>206</v>
      </c>
      <c r="E60" s="75" t="s">
        <v>208</v>
      </c>
      <c r="F60" s="75">
        <v>1</v>
      </c>
      <c r="G60" s="81" t="str">
        <f>VLOOKUP($E60, MonsterData!$A$5:$G$13, 5, 0)</f>
        <v>M</v>
      </c>
    </row>
    <row r="61" spans="1:7">
      <c r="A61" s="70" t="s">
        <v>212</v>
      </c>
      <c r="B61" s="71">
        <v>12</v>
      </c>
      <c r="C61" s="71" t="s">
        <v>205</v>
      </c>
      <c r="D61" s="71" t="s">
        <v>206</v>
      </c>
      <c r="E61" s="71" t="s">
        <v>207</v>
      </c>
      <c r="F61" s="71">
        <v>1</v>
      </c>
      <c r="G61" s="80" t="str">
        <f>VLOOKUP($E61, MonsterData!$A$5:$G$13, 5, 0)</f>
        <v>S</v>
      </c>
    </row>
    <row r="62" spans="1:7">
      <c r="A62" s="74" t="s">
        <v>159</v>
      </c>
      <c r="B62" s="75">
        <v>13</v>
      </c>
      <c r="C62" s="75" t="s">
        <v>205</v>
      </c>
      <c r="D62" s="75" t="s">
        <v>206</v>
      </c>
      <c r="E62" s="75" t="s">
        <v>208</v>
      </c>
      <c r="F62" s="75">
        <v>1</v>
      </c>
      <c r="G62" s="81" t="str">
        <f>VLOOKUP($E62, MonsterData!$A$5:$G$13, 5, 0)</f>
        <v>M</v>
      </c>
    </row>
    <row r="63" spans="1:7">
      <c r="A63" s="70" t="s">
        <v>212</v>
      </c>
      <c r="B63" s="71">
        <v>14</v>
      </c>
      <c r="C63" s="71" t="s">
        <v>205</v>
      </c>
      <c r="D63" s="71" t="s">
        <v>206</v>
      </c>
      <c r="E63" s="71" t="s">
        <v>209</v>
      </c>
      <c r="F63" s="71">
        <v>1</v>
      </c>
      <c r="G63" s="80" t="str">
        <f>VLOOKUP($E63, MonsterData!$A$5:$G$13, 5, 0)</f>
        <v>M</v>
      </c>
    </row>
    <row r="64" spans="1:7">
      <c r="A64" s="74" t="s">
        <v>159</v>
      </c>
      <c r="B64" s="75">
        <v>15</v>
      </c>
      <c r="C64" s="75" t="s">
        <v>205</v>
      </c>
      <c r="D64" s="75" t="s">
        <v>206</v>
      </c>
      <c r="E64" s="75" t="s">
        <v>210</v>
      </c>
      <c r="F64" s="75">
        <v>1</v>
      </c>
      <c r="G64" s="81" t="str">
        <f>VLOOKUP($E64, MonsterData!$A$5:$G$13, 5, 0)</f>
        <v>S</v>
      </c>
    </row>
    <row r="65" spans="1:7">
      <c r="A65" s="70" t="s">
        <v>212</v>
      </c>
      <c r="B65" s="71">
        <v>16</v>
      </c>
      <c r="C65" s="71" t="s">
        <v>205</v>
      </c>
      <c r="D65" s="71" t="s">
        <v>206</v>
      </c>
      <c r="E65" s="71" t="s">
        <v>208</v>
      </c>
      <c r="F65" s="71">
        <v>1</v>
      </c>
      <c r="G65" s="80" t="str">
        <f>VLOOKUP($E65, MonsterData!$A$5:$G$13, 5, 0)</f>
        <v>M</v>
      </c>
    </row>
    <row r="66" spans="1:7">
      <c r="A66" s="74" t="s">
        <v>159</v>
      </c>
      <c r="B66" s="75">
        <v>17</v>
      </c>
      <c r="C66" s="75" t="s">
        <v>205</v>
      </c>
      <c r="D66" s="75" t="s">
        <v>206</v>
      </c>
      <c r="E66" s="75" t="s">
        <v>207</v>
      </c>
      <c r="F66" s="75">
        <v>1</v>
      </c>
      <c r="G66" s="81" t="str">
        <f>VLOOKUP($E66, MonsterData!$A$5:$G$13, 5, 0)</f>
        <v>S</v>
      </c>
    </row>
    <row r="67" spans="1:7">
      <c r="A67" s="70" t="s">
        <v>212</v>
      </c>
      <c r="B67" s="71">
        <v>18</v>
      </c>
      <c r="C67" s="71" t="s">
        <v>205</v>
      </c>
      <c r="D67" s="71" t="s">
        <v>206</v>
      </c>
      <c r="E67" s="71" t="s">
        <v>208</v>
      </c>
      <c r="F67" s="71">
        <v>1</v>
      </c>
      <c r="G67" s="80" t="str">
        <f>VLOOKUP($E67, MonsterData!$A$5:$G$13, 5, 0)</f>
        <v>M</v>
      </c>
    </row>
    <row r="68" spans="1:7">
      <c r="A68" s="74" t="s">
        <v>159</v>
      </c>
      <c r="B68" s="75">
        <v>19</v>
      </c>
      <c r="C68" s="75" t="s">
        <v>205</v>
      </c>
      <c r="D68" s="75" t="s">
        <v>206</v>
      </c>
      <c r="E68" s="75" t="s">
        <v>209</v>
      </c>
      <c r="F68" s="75">
        <v>1</v>
      </c>
      <c r="G68" s="81" t="str">
        <f>VLOOKUP($E68, MonsterData!$A$5:$G$13, 5, 0)</f>
        <v>M</v>
      </c>
    </row>
    <row r="69" spans="1:7">
      <c r="A69" s="70" t="s">
        <v>212</v>
      </c>
      <c r="B69" s="71">
        <v>20</v>
      </c>
      <c r="C69" s="71" t="s">
        <v>205</v>
      </c>
      <c r="D69" s="71" t="s">
        <v>206</v>
      </c>
      <c r="E69" s="71" t="s">
        <v>210</v>
      </c>
      <c r="F69" s="71">
        <v>1</v>
      </c>
      <c r="G69" s="80" t="str">
        <f>VLOOKUP($E69, MonsterData!$A$5:$G$13, 5, 0)</f>
        <v>S</v>
      </c>
    </row>
    <row r="70" spans="1:7">
      <c r="A70" s="74" t="s">
        <v>159</v>
      </c>
      <c r="B70" s="75">
        <v>21</v>
      </c>
      <c r="C70" s="75" t="s">
        <v>205</v>
      </c>
      <c r="D70" s="75" t="s">
        <v>206</v>
      </c>
      <c r="E70" s="75" t="s">
        <v>281</v>
      </c>
      <c r="F70" s="75">
        <v>1</v>
      </c>
      <c r="G70" s="81" t="str">
        <f>VLOOKUP($E70, MonsterData!$A$5:$G$13, 5, 0)</f>
        <v>M</v>
      </c>
    </row>
    <row r="71" spans="1:7">
      <c r="A71" s="70" t="s">
        <v>213</v>
      </c>
      <c r="B71" s="71">
        <v>0</v>
      </c>
      <c r="C71" s="71" t="s">
        <v>205</v>
      </c>
      <c r="D71" s="71" t="s">
        <v>206</v>
      </c>
      <c r="E71" s="71" t="s">
        <v>208</v>
      </c>
      <c r="F71" s="71">
        <v>1</v>
      </c>
      <c r="G71" s="80" t="str">
        <f>VLOOKUP($E71, MonsterData!$A$5:$G$13, 5, 0)</f>
        <v>M</v>
      </c>
    </row>
    <row r="72" spans="1:7">
      <c r="A72" s="74" t="s">
        <v>161</v>
      </c>
      <c r="B72" s="75">
        <v>1</v>
      </c>
      <c r="C72" s="75" t="s">
        <v>205</v>
      </c>
      <c r="D72" s="75" t="s">
        <v>206</v>
      </c>
      <c r="E72" s="75" t="s">
        <v>209</v>
      </c>
      <c r="F72" s="75">
        <v>1</v>
      </c>
      <c r="G72" s="81" t="str">
        <f>VLOOKUP($E72, MonsterData!$A$5:$G$13, 5, 0)</f>
        <v>M</v>
      </c>
    </row>
    <row r="73" spans="1:7">
      <c r="A73" s="70" t="s">
        <v>213</v>
      </c>
      <c r="B73" s="71">
        <v>2</v>
      </c>
      <c r="C73" s="71" t="s">
        <v>205</v>
      </c>
      <c r="D73" s="71" t="s">
        <v>206</v>
      </c>
      <c r="E73" s="71" t="s">
        <v>210</v>
      </c>
      <c r="F73" s="71">
        <v>1</v>
      </c>
      <c r="G73" s="80" t="str">
        <f>VLOOKUP($E73, MonsterData!$A$5:$G$13, 5, 0)</f>
        <v>S</v>
      </c>
    </row>
    <row r="74" spans="1:7">
      <c r="A74" s="74" t="s">
        <v>161</v>
      </c>
      <c r="B74" s="75">
        <v>3</v>
      </c>
      <c r="C74" s="75" t="s">
        <v>205</v>
      </c>
      <c r="D74" s="75" t="s">
        <v>206</v>
      </c>
      <c r="E74" s="75" t="s">
        <v>208</v>
      </c>
      <c r="F74" s="75">
        <v>1</v>
      </c>
      <c r="G74" s="81" t="str">
        <f>VLOOKUP($E74, MonsterData!$A$5:$G$13, 5, 0)</f>
        <v>M</v>
      </c>
    </row>
    <row r="75" spans="1:7">
      <c r="A75" s="70" t="s">
        <v>213</v>
      </c>
      <c r="B75" s="71">
        <v>4</v>
      </c>
      <c r="C75" s="71" t="s">
        <v>205</v>
      </c>
      <c r="D75" s="71" t="s">
        <v>206</v>
      </c>
      <c r="E75" s="71" t="s">
        <v>207</v>
      </c>
      <c r="F75" s="71">
        <v>1</v>
      </c>
      <c r="G75" s="80" t="str">
        <f>VLOOKUP($E75, MonsterData!$A$5:$G$13, 5, 0)</f>
        <v>S</v>
      </c>
    </row>
    <row r="76" spans="1:7">
      <c r="A76" s="74" t="s">
        <v>161</v>
      </c>
      <c r="B76" s="75">
        <v>5</v>
      </c>
      <c r="C76" s="75" t="s">
        <v>205</v>
      </c>
      <c r="D76" s="75" t="s">
        <v>206</v>
      </c>
      <c r="E76" s="75" t="s">
        <v>208</v>
      </c>
      <c r="F76" s="75">
        <v>1</v>
      </c>
      <c r="G76" s="81" t="str">
        <f>VLOOKUP($E76, MonsterData!$A$5:$G$13, 5, 0)</f>
        <v>M</v>
      </c>
    </row>
    <row r="77" spans="1:7">
      <c r="A77" s="70" t="s">
        <v>213</v>
      </c>
      <c r="B77" s="71">
        <v>6</v>
      </c>
      <c r="C77" s="71" t="s">
        <v>205</v>
      </c>
      <c r="D77" s="71" t="s">
        <v>206</v>
      </c>
      <c r="E77" s="71" t="s">
        <v>209</v>
      </c>
      <c r="F77" s="71">
        <v>1</v>
      </c>
      <c r="G77" s="80" t="str">
        <f>VLOOKUP($E77, MonsterData!$A$5:$G$13, 5, 0)</f>
        <v>M</v>
      </c>
    </row>
    <row r="78" spans="1:7">
      <c r="A78" s="74" t="s">
        <v>161</v>
      </c>
      <c r="B78" s="75">
        <v>7</v>
      </c>
      <c r="C78" s="75" t="s">
        <v>205</v>
      </c>
      <c r="D78" s="75" t="s">
        <v>206</v>
      </c>
      <c r="E78" s="75" t="s">
        <v>210</v>
      </c>
      <c r="F78" s="75">
        <v>1</v>
      </c>
      <c r="G78" s="81" t="str">
        <f>VLOOKUP($E78, MonsterData!$A$5:$G$13, 5, 0)</f>
        <v>S</v>
      </c>
    </row>
    <row r="79" spans="1:7">
      <c r="A79" s="70" t="s">
        <v>213</v>
      </c>
      <c r="B79" s="71">
        <v>8</v>
      </c>
      <c r="C79" s="71" t="s">
        <v>205</v>
      </c>
      <c r="D79" s="71" t="s">
        <v>206</v>
      </c>
      <c r="E79" s="71" t="s">
        <v>208</v>
      </c>
      <c r="F79" s="71">
        <v>1</v>
      </c>
      <c r="G79" s="80" t="str">
        <f>VLOOKUP($E79, MonsterData!$A$5:$G$13, 5, 0)</f>
        <v>M</v>
      </c>
    </row>
    <row r="80" spans="1:7">
      <c r="A80" s="74" t="s">
        <v>161</v>
      </c>
      <c r="B80" s="75">
        <v>9</v>
      </c>
      <c r="C80" s="75" t="s">
        <v>205</v>
      </c>
      <c r="D80" s="75" t="s">
        <v>206</v>
      </c>
      <c r="E80" s="75" t="s">
        <v>207</v>
      </c>
      <c r="F80" s="75">
        <v>1</v>
      </c>
      <c r="G80" s="81" t="str">
        <f>VLOOKUP($E80, MonsterData!$A$5:$G$13, 5, 0)</f>
        <v>S</v>
      </c>
    </row>
    <row r="81" spans="1:7">
      <c r="A81" s="70" t="s">
        <v>213</v>
      </c>
      <c r="B81" s="71">
        <v>10</v>
      </c>
      <c r="C81" s="71" t="s">
        <v>205</v>
      </c>
      <c r="D81" s="71" t="s">
        <v>206</v>
      </c>
      <c r="E81" s="71" t="s">
        <v>281</v>
      </c>
      <c r="F81" s="71">
        <v>1</v>
      </c>
      <c r="G81" s="80" t="str">
        <f>VLOOKUP($E81, MonsterData!$A$5:$G$13, 5, 0)</f>
        <v>M</v>
      </c>
    </row>
    <row r="82" spans="1:7">
      <c r="A82" s="74" t="s">
        <v>161</v>
      </c>
      <c r="B82" s="75">
        <v>11</v>
      </c>
      <c r="C82" s="75" t="s">
        <v>205</v>
      </c>
      <c r="D82" s="75" t="s">
        <v>206</v>
      </c>
      <c r="E82" s="75" t="s">
        <v>208</v>
      </c>
      <c r="F82" s="75">
        <v>1</v>
      </c>
      <c r="G82" s="81" t="str">
        <f>VLOOKUP($E82, MonsterData!$A$5:$G$13, 5, 0)</f>
        <v>M</v>
      </c>
    </row>
    <row r="83" spans="1:7">
      <c r="A83" s="70" t="s">
        <v>213</v>
      </c>
      <c r="B83" s="71">
        <v>12</v>
      </c>
      <c r="C83" s="71" t="s">
        <v>205</v>
      </c>
      <c r="D83" s="71" t="s">
        <v>206</v>
      </c>
      <c r="E83" s="71" t="s">
        <v>209</v>
      </c>
      <c r="F83" s="71">
        <v>1</v>
      </c>
      <c r="G83" s="80" t="str">
        <f>VLOOKUP($E83, MonsterData!$A$5:$G$13, 5, 0)</f>
        <v>M</v>
      </c>
    </row>
    <row r="84" spans="1:7">
      <c r="A84" s="74" t="s">
        <v>161</v>
      </c>
      <c r="B84" s="75">
        <v>13</v>
      </c>
      <c r="C84" s="75" t="s">
        <v>205</v>
      </c>
      <c r="D84" s="75" t="s">
        <v>206</v>
      </c>
      <c r="E84" s="75" t="s">
        <v>210</v>
      </c>
      <c r="F84" s="75">
        <v>1</v>
      </c>
      <c r="G84" s="81" t="str">
        <f>VLOOKUP($E84, MonsterData!$A$5:$G$13, 5, 0)</f>
        <v>S</v>
      </c>
    </row>
    <row r="85" spans="1:7">
      <c r="A85" s="70" t="s">
        <v>213</v>
      </c>
      <c r="B85" s="71">
        <v>14</v>
      </c>
      <c r="C85" s="71" t="s">
        <v>205</v>
      </c>
      <c r="D85" s="71" t="s">
        <v>206</v>
      </c>
      <c r="E85" s="71" t="s">
        <v>208</v>
      </c>
      <c r="F85" s="71">
        <v>1</v>
      </c>
      <c r="G85" s="80" t="str">
        <f>VLOOKUP($E85, MonsterData!$A$5:$G$13, 5, 0)</f>
        <v>M</v>
      </c>
    </row>
    <row r="86" spans="1:7">
      <c r="A86" s="74" t="s">
        <v>161</v>
      </c>
      <c r="B86" s="75">
        <v>15</v>
      </c>
      <c r="C86" s="75" t="s">
        <v>205</v>
      </c>
      <c r="D86" s="75" t="s">
        <v>206</v>
      </c>
      <c r="E86" s="75" t="s">
        <v>207</v>
      </c>
      <c r="F86" s="75">
        <v>1</v>
      </c>
      <c r="G86" s="81" t="str">
        <f>VLOOKUP($E86, MonsterData!$A$5:$G$13, 5, 0)</f>
        <v>S</v>
      </c>
    </row>
    <row r="87" spans="1:7">
      <c r="A87" s="70" t="s">
        <v>213</v>
      </c>
      <c r="B87" s="71">
        <v>16</v>
      </c>
      <c r="C87" s="71" t="s">
        <v>205</v>
      </c>
      <c r="D87" s="71" t="s">
        <v>206</v>
      </c>
      <c r="E87" s="71" t="s">
        <v>208</v>
      </c>
      <c r="F87" s="71">
        <v>1</v>
      </c>
      <c r="G87" s="80" t="str">
        <f>VLOOKUP($E87, MonsterData!$A$5:$G$13, 5, 0)</f>
        <v>M</v>
      </c>
    </row>
    <row r="88" spans="1:7">
      <c r="A88" s="74" t="s">
        <v>161</v>
      </c>
      <c r="B88" s="75">
        <v>17</v>
      </c>
      <c r="C88" s="75" t="s">
        <v>205</v>
      </c>
      <c r="D88" s="75" t="s">
        <v>206</v>
      </c>
      <c r="E88" s="75" t="s">
        <v>209</v>
      </c>
      <c r="F88" s="75">
        <v>1</v>
      </c>
      <c r="G88" s="81" t="str">
        <f>VLOOKUP($E88, MonsterData!$A$5:$G$13, 5, 0)</f>
        <v>M</v>
      </c>
    </row>
    <row r="89" spans="1:7">
      <c r="A89" s="70" t="s">
        <v>213</v>
      </c>
      <c r="B89" s="71">
        <v>18</v>
      </c>
      <c r="C89" s="71" t="s">
        <v>205</v>
      </c>
      <c r="D89" s="71" t="s">
        <v>206</v>
      </c>
      <c r="E89" s="71" t="s">
        <v>210</v>
      </c>
      <c r="F89" s="71">
        <v>1</v>
      </c>
      <c r="G89" s="80" t="str">
        <f>VLOOKUP($E89, MonsterData!$A$5:$G$13, 5, 0)</f>
        <v>S</v>
      </c>
    </row>
    <row r="90" spans="1:7">
      <c r="A90" s="74" t="s">
        <v>161</v>
      </c>
      <c r="B90" s="75">
        <v>19</v>
      </c>
      <c r="C90" s="75" t="s">
        <v>205</v>
      </c>
      <c r="D90" s="75" t="s">
        <v>206</v>
      </c>
      <c r="E90" s="75" t="s">
        <v>208</v>
      </c>
      <c r="F90" s="75">
        <v>1</v>
      </c>
      <c r="G90" s="81" t="str">
        <f>VLOOKUP($E90, MonsterData!$A$5:$G$13, 5, 0)</f>
        <v>M</v>
      </c>
    </row>
    <row r="91" spans="1:7">
      <c r="A91" s="70" t="s">
        <v>213</v>
      </c>
      <c r="B91" s="71">
        <v>20</v>
      </c>
      <c r="C91" s="71" t="s">
        <v>205</v>
      </c>
      <c r="D91" s="71" t="s">
        <v>206</v>
      </c>
      <c r="E91" s="71" t="s">
        <v>207</v>
      </c>
      <c r="F91" s="71">
        <v>1</v>
      </c>
      <c r="G91" s="80" t="str">
        <f>VLOOKUP($E91, MonsterData!$A$5:$G$13, 5, 0)</f>
        <v>S</v>
      </c>
    </row>
    <row r="92" spans="1:7">
      <c r="A92" s="74" t="s">
        <v>161</v>
      </c>
      <c r="B92" s="75">
        <v>21</v>
      </c>
      <c r="C92" s="75" t="s">
        <v>205</v>
      </c>
      <c r="D92" s="75" t="s">
        <v>206</v>
      </c>
      <c r="E92" s="75" t="s">
        <v>280</v>
      </c>
      <c r="F92" s="75">
        <v>1</v>
      </c>
      <c r="G92" s="81" t="str">
        <f>VLOOKUP($E92, MonsterData!$A$5:$G$13, 5, 0)</f>
        <v>B</v>
      </c>
    </row>
    <row r="93" spans="1:7">
      <c r="A93" s="70" t="s">
        <v>214</v>
      </c>
      <c r="B93" s="71">
        <v>0</v>
      </c>
      <c r="C93" s="71" t="s">
        <v>205</v>
      </c>
      <c r="D93" s="71" t="s">
        <v>206</v>
      </c>
      <c r="E93" s="71" t="s">
        <v>210</v>
      </c>
      <c r="F93" s="71">
        <v>1</v>
      </c>
      <c r="G93" s="80" t="str">
        <f>VLOOKUP($E93, MonsterData!$A$5:$G$13, 5, 0)</f>
        <v>S</v>
      </c>
    </row>
    <row r="94" spans="1:7">
      <c r="A94" s="74" t="s">
        <v>163</v>
      </c>
      <c r="B94" s="75">
        <v>1</v>
      </c>
      <c r="C94" s="75" t="s">
        <v>205</v>
      </c>
      <c r="D94" s="75" t="s">
        <v>206</v>
      </c>
      <c r="E94" s="75" t="s">
        <v>208</v>
      </c>
      <c r="F94" s="75">
        <v>1</v>
      </c>
      <c r="G94" s="81" t="str">
        <f>VLOOKUP($E94, MonsterData!$A$5:$G$13, 5, 0)</f>
        <v>M</v>
      </c>
    </row>
    <row r="95" spans="1:7">
      <c r="A95" s="70" t="s">
        <v>214</v>
      </c>
      <c r="B95" s="71">
        <v>2</v>
      </c>
      <c r="C95" s="71" t="s">
        <v>205</v>
      </c>
      <c r="D95" s="71" t="s">
        <v>206</v>
      </c>
      <c r="E95" s="71" t="s">
        <v>207</v>
      </c>
      <c r="F95" s="71">
        <v>1</v>
      </c>
      <c r="G95" s="80" t="str">
        <f>VLOOKUP($E95, MonsterData!$A$5:$G$13, 5, 0)</f>
        <v>S</v>
      </c>
    </row>
    <row r="96" spans="1:7">
      <c r="A96" s="74" t="s">
        <v>163</v>
      </c>
      <c r="B96" s="75">
        <v>3</v>
      </c>
      <c r="C96" s="75" t="s">
        <v>205</v>
      </c>
      <c r="D96" s="75" t="s">
        <v>206</v>
      </c>
      <c r="E96" s="75" t="s">
        <v>208</v>
      </c>
      <c r="F96" s="75">
        <v>1</v>
      </c>
      <c r="G96" s="81" t="str">
        <f>VLOOKUP($E96, MonsterData!$A$5:$G$13, 5, 0)</f>
        <v>M</v>
      </c>
    </row>
    <row r="97" spans="1:7">
      <c r="A97" s="70" t="s">
        <v>214</v>
      </c>
      <c r="B97" s="71">
        <v>4</v>
      </c>
      <c r="C97" s="71" t="s">
        <v>205</v>
      </c>
      <c r="D97" s="71" t="s">
        <v>206</v>
      </c>
      <c r="E97" s="71" t="s">
        <v>209</v>
      </c>
      <c r="F97" s="71">
        <v>1</v>
      </c>
      <c r="G97" s="80" t="str">
        <f>VLOOKUP($E97, MonsterData!$A$5:$G$13, 5, 0)</f>
        <v>M</v>
      </c>
    </row>
    <row r="98" spans="1:7">
      <c r="A98" s="74" t="s">
        <v>163</v>
      </c>
      <c r="B98" s="75">
        <v>5</v>
      </c>
      <c r="C98" s="75" t="s">
        <v>205</v>
      </c>
      <c r="D98" s="75" t="s">
        <v>206</v>
      </c>
      <c r="E98" s="75" t="s">
        <v>210</v>
      </c>
      <c r="F98" s="75">
        <v>1</v>
      </c>
      <c r="G98" s="81" t="str">
        <f>VLOOKUP($E98, MonsterData!$A$5:$G$13, 5, 0)</f>
        <v>S</v>
      </c>
    </row>
    <row r="99" spans="1:7">
      <c r="A99" s="70" t="s">
        <v>214</v>
      </c>
      <c r="B99" s="71">
        <v>6</v>
      </c>
      <c r="C99" s="71" t="s">
        <v>205</v>
      </c>
      <c r="D99" s="71" t="s">
        <v>206</v>
      </c>
      <c r="E99" s="71" t="s">
        <v>208</v>
      </c>
      <c r="F99" s="71">
        <v>1</v>
      </c>
      <c r="G99" s="80" t="str">
        <f>VLOOKUP($E99, MonsterData!$A$5:$G$13, 5, 0)</f>
        <v>M</v>
      </c>
    </row>
    <row r="100" spans="1:7">
      <c r="A100" s="74" t="s">
        <v>163</v>
      </c>
      <c r="B100" s="75">
        <v>7</v>
      </c>
      <c r="C100" s="75" t="s">
        <v>205</v>
      </c>
      <c r="D100" s="75" t="s">
        <v>206</v>
      </c>
      <c r="E100" s="75" t="s">
        <v>207</v>
      </c>
      <c r="F100" s="75">
        <v>1</v>
      </c>
      <c r="G100" s="81" t="str">
        <f>VLOOKUP($E100, MonsterData!$A$5:$G$13, 5, 0)</f>
        <v>S</v>
      </c>
    </row>
    <row r="101" spans="1:7">
      <c r="A101" s="70" t="s">
        <v>214</v>
      </c>
      <c r="B101" s="71">
        <v>8</v>
      </c>
      <c r="C101" s="71" t="s">
        <v>205</v>
      </c>
      <c r="D101" s="71" t="s">
        <v>206</v>
      </c>
      <c r="E101" s="71" t="s">
        <v>208</v>
      </c>
      <c r="F101" s="71">
        <v>1</v>
      </c>
      <c r="G101" s="80" t="str">
        <f>VLOOKUP($E101, MonsterData!$A$5:$G$13, 5, 0)</f>
        <v>M</v>
      </c>
    </row>
    <row r="102" spans="1:7">
      <c r="A102" s="74" t="s">
        <v>163</v>
      </c>
      <c r="B102" s="75">
        <v>9</v>
      </c>
      <c r="C102" s="75" t="s">
        <v>205</v>
      </c>
      <c r="D102" s="75" t="s">
        <v>206</v>
      </c>
      <c r="E102" s="75" t="s">
        <v>209</v>
      </c>
      <c r="F102" s="75">
        <v>1</v>
      </c>
      <c r="G102" s="81" t="str">
        <f>VLOOKUP($E102, MonsterData!$A$5:$G$13, 5, 0)</f>
        <v>M</v>
      </c>
    </row>
    <row r="103" spans="1:7">
      <c r="A103" s="70" t="s">
        <v>214</v>
      </c>
      <c r="B103" s="71">
        <v>10</v>
      </c>
      <c r="C103" s="71" t="s">
        <v>205</v>
      </c>
      <c r="D103" s="71" t="s">
        <v>206</v>
      </c>
      <c r="E103" s="71" t="s">
        <v>280</v>
      </c>
      <c r="F103" s="71">
        <v>1</v>
      </c>
      <c r="G103" s="80" t="str">
        <f>VLOOKUP($E103, MonsterData!$A$5:$G$13, 5, 0)</f>
        <v>B</v>
      </c>
    </row>
    <row r="104" spans="1:7">
      <c r="A104" s="74" t="s">
        <v>163</v>
      </c>
      <c r="B104" s="75">
        <v>11</v>
      </c>
      <c r="C104" s="75" t="s">
        <v>205</v>
      </c>
      <c r="D104" s="75" t="s">
        <v>206</v>
      </c>
      <c r="E104" s="75" t="s">
        <v>210</v>
      </c>
      <c r="F104" s="75">
        <v>1</v>
      </c>
      <c r="G104" s="81" t="str">
        <f>VLOOKUP($E104, MonsterData!$A$5:$G$13, 5, 0)</f>
        <v>S</v>
      </c>
    </row>
    <row r="105" spans="1:7">
      <c r="A105" s="70" t="s">
        <v>214</v>
      </c>
      <c r="B105" s="71">
        <v>12</v>
      </c>
      <c r="C105" s="71" t="s">
        <v>205</v>
      </c>
      <c r="D105" s="71" t="s">
        <v>206</v>
      </c>
      <c r="E105" s="71" t="s">
        <v>208</v>
      </c>
      <c r="F105" s="71">
        <v>1</v>
      </c>
      <c r="G105" s="80" t="str">
        <f>VLOOKUP($E105, MonsterData!$A$5:$G$13, 5, 0)</f>
        <v>M</v>
      </c>
    </row>
    <row r="106" spans="1:7">
      <c r="A106" s="74" t="s">
        <v>163</v>
      </c>
      <c r="B106" s="75">
        <v>13</v>
      </c>
      <c r="C106" s="75" t="s">
        <v>205</v>
      </c>
      <c r="D106" s="75" t="s">
        <v>206</v>
      </c>
      <c r="E106" s="75" t="s">
        <v>207</v>
      </c>
      <c r="F106" s="75">
        <v>1</v>
      </c>
      <c r="G106" s="81" t="str">
        <f>VLOOKUP($E106, MonsterData!$A$5:$G$13, 5, 0)</f>
        <v>S</v>
      </c>
    </row>
    <row r="107" spans="1:7">
      <c r="A107" s="70" t="s">
        <v>214</v>
      </c>
      <c r="B107" s="71">
        <v>14</v>
      </c>
      <c r="C107" s="71" t="s">
        <v>205</v>
      </c>
      <c r="D107" s="71" t="s">
        <v>206</v>
      </c>
      <c r="E107" s="71" t="s">
        <v>208</v>
      </c>
      <c r="F107" s="71">
        <v>1</v>
      </c>
      <c r="G107" s="80" t="str">
        <f>VLOOKUP($E107, MonsterData!$A$5:$G$13, 5, 0)</f>
        <v>M</v>
      </c>
    </row>
    <row r="108" spans="1:7">
      <c r="A108" s="74" t="s">
        <v>163</v>
      </c>
      <c r="B108" s="75">
        <v>15</v>
      </c>
      <c r="C108" s="75" t="s">
        <v>205</v>
      </c>
      <c r="D108" s="75" t="s">
        <v>206</v>
      </c>
      <c r="E108" s="75" t="s">
        <v>209</v>
      </c>
      <c r="F108" s="75">
        <v>1</v>
      </c>
      <c r="G108" s="81" t="str">
        <f>VLOOKUP($E108, MonsterData!$A$5:$G$13, 5, 0)</f>
        <v>M</v>
      </c>
    </row>
    <row r="109" spans="1:7">
      <c r="A109" s="70" t="s">
        <v>214</v>
      </c>
      <c r="B109" s="71">
        <v>16</v>
      </c>
      <c r="C109" s="71" t="s">
        <v>205</v>
      </c>
      <c r="D109" s="71" t="s">
        <v>206</v>
      </c>
      <c r="E109" s="71" t="s">
        <v>210</v>
      </c>
      <c r="F109" s="71">
        <v>1</v>
      </c>
      <c r="G109" s="80" t="str">
        <f>VLOOKUP($E109, MonsterData!$A$5:$G$13, 5, 0)</f>
        <v>S</v>
      </c>
    </row>
    <row r="110" spans="1:7">
      <c r="A110" s="74" t="s">
        <v>163</v>
      </c>
      <c r="B110" s="75">
        <v>17</v>
      </c>
      <c r="C110" s="75" t="s">
        <v>205</v>
      </c>
      <c r="D110" s="75" t="s">
        <v>206</v>
      </c>
      <c r="E110" s="75" t="s">
        <v>208</v>
      </c>
      <c r="F110" s="75">
        <v>1</v>
      </c>
      <c r="G110" s="81" t="str">
        <f>VLOOKUP($E110, MonsterData!$A$5:$G$13, 5, 0)</f>
        <v>M</v>
      </c>
    </row>
    <row r="111" spans="1:7">
      <c r="A111" s="70" t="s">
        <v>214</v>
      </c>
      <c r="B111" s="71">
        <v>18</v>
      </c>
      <c r="C111" s="71" t="s">
        <v>205</v>
      </c>
      <c r="D111" s="71" t="s">
        <v>206</v>
      </c>
      <c r="E111" s="71" t="s">
        <v>207</v>
      </c>
      <c r="F111" s="71">
        <v>1</v>
      </c>
      <c r="G111" s="80" t="str">
        <f>VLOOKUP($E111, MonsterData!$A$5:$G$13, 5, 0)</f>
        <v>S</v>
      </c>
    </row>
    <row r="112" spans="1:7">
      <c r="A112" s="74" t="s">
        <v>163</v>
      </c>
      <c r="B112" s="75">
        <v>19</v>
      </c>
      <c r="C112" s="75" t="s">
        <v>205</v>
      </c>
      <c r="D112" s="75" t="s">
        <v>206</v>
      </c>
      <c r="E112" s="75" t="s">
        <v>208</v>
      </c>
      <c r="F112" s="75">
        <v>1</v>
      </c>
      <c r="G112" s="81" t="str">
        <f>VLOOKUP($E112, MonsterData!$A$5:$G$13, 5, 0)</f>
        <v>M</v>
      </c>
    </row>
    <row r="113" spans="1:7">
      <c r="A113" s="70" t="s">
        <v>214</v>
      </c>
      <c r="B113" s="71">
        <v>20</v>
      </c>
      <c r="C113" s="71" t="s">
        <v>205</v>
      </c>
      <c r="D113" s="71" t="s">
        <v>206</v>
      </c>
      <c r="E113" s="71" t="s">
        <v>209</v>
      </c>
      <c r="F113" s="71">
        <v>1</v>
      </c>
      <c r="G113" s="80" t="str">
        <f>VLOOKUP($E113, MonsterData!$A$5:$G$13, 5, 0)</f>
        <v>M</v>
      </c>
    </row>
    <row r="114" spans="1:7">
      <c r="A114" s="74" t="s">
        <v>163</v>
      </c>
      <c r="B114" s="75">
        <v>21</v>
      </c>
      <c r="C114" s="75" t="s">
        <v>205</v>
      </c>
      <c r="D114" s="75" t="s">
        <v>206</v>
      </c>
      <c r="E114" s="75" t="s">
        <v>281</v>
      </c>
      <c r="F114" s="75">
        <v>1</v>
      </c>
      <c r="G114" s="81" t="str">
        <f>VLOOKUP($E114, MonsterData!$A$5:$G$13, 5, 0)</f>
        <v>M</v>
      </c>
    </row>
    <row r="115" spans="1:7">
      <c r="A115" s="70" t="s">
        <v>215</v>
      </c>
      <c r="B115" s="71">
        <v>0</v>
      </c>
      <c r="C115" s="71" t="s">
        <v>205</v>
      </c>
      <c r="D115" s="71" t="s">
        <v>206</v>
      </c>
      <c r="E115" s="71" t="s">
        <v>207</v>
      </c>
      <c r="F115" s="71">
        <v>1</v>
      </c>
      <c r="G115" s="80" t="str">
        <f>VLOOKUP($E115, MonsterData!$A$5:$G$13, 5, 0)</f>
        <v>S</v>
      </c>
    </row>
    <row r="116" spans="1:7">
      <c r="A116" s="74" t="s">
        <v>165</v>
      </c>
      <c r="B116" s="75">
        <v>1</v>
      </c>
      <c r="C116" s="75" t="s">
        <v>205</v>
      </c>
      <c r="D116" s="75" t="s">
        <v>206</v>
      </c>
      <c r="E116" s="75" t="s">
        <v>208</v>
      </c>
      <c r="F116" s="75">
        <v>1</v>
      </c>
      <c r="G116" s="81" t="str">
        <f>VLOOKUP($E116, MonsterData!$A$5:$G$13, 5, 0)</f>
        <v>M</v>
      </c>
    </row>
    <row r="117" spans="1:7">
      <c r="A117" s="70" t="s">
        <v>215</v>
      </c>
      <c r="B117" s="71">
        <v>2</v>
      </c>
      <c r="C117" s="71" t="s">
        <v>205</v>
      </c>
      <c r="D117" s="71" t="s">
        <v>206</v>
      </c>
      <c r="E117" s="71" t="s">
        <v>209</v>
      </c>
      <c r="F117" s="71">
        <v>1</v>
      </c>
      <c r="G117" s="80" t="str">
        <f>VLOOKUP($E117, MonsterData!$A$5:$G$13, 5, 0)</f>
        <v>M</v>
      </c>
    </row>
    <row r="118" spans="1:7">
      <c r="A118" s="74" t="s">
        <v>165</v>
      </c>
      <c r="B118" s="75">
        <v>3</v>
      </c>
      <c r="C118" s="75" t="s">
        <v>205</v>
      </c>
      <c r="D118" s="75" t="s">
        <v>206</v>
      </c>
      <c r="E118" s="75" t="s">
        <v>210</v>
      </c>
      <c r="F118" s="75">
        <v>1</v>
      </c>
      <c r="G118" s="81" t="str">
        <f>VLOOKUP($E118, MonsterData!$A$5:$G$13, 5, 0)</f>
        <v>S</v>
      </c>
    </row>
    <row r="119" spans="1:7">
      <c r="A119" s="70" t="s">
        <v>215</v>
      </c>
      <c r="B119" s="71">
        <v>4</v>
      </c>
      <c r="C119" s="71" t="s">
        <v>205</v>
      </c>
      <c r="D119" s="71" t="s">
        <v>206</v>
      </c>
      <c r="E119" s="71" t="s">
        <v>208</v>
      </c>
      <c r="F119" s="71">
        <v>1</v>
      </c>
      <c r="G119" s="80" t="str">
        <f>VLOOKUP($E119, MonsterData!$A$5:$G$13, 5, 0)</f>
        <v>M</v>
      </c>
    </row>
    <row r="120" spans="1:7">
      <c r="A120" s="74" t="s">
        <v>165</v>
      </c>
      <c r="B120" s="75">
        <v>5</v>
      </c>
      <c r="C120" s="75" t="s">
        <v>205</v>
      </c>
      <c r="D120" s="75" t="s">
        <v>206</v>
      </c>
      <c r="E120" s="75" t="s">
        <v>207</v>
      </c>
      <c r="F120" s="75">
        <v>1</v>
      </c>
      <c r="G120" s="81" t="str">
        <f>VLOOKUP($E120, MonsterData!$A$5:$G$13, 5, 0)</f>
        <v>S</v>
      </c>
    </row>
    <row r="121" spans="1:7">
      <c r="A121" s="70" t="s">
        <v>215</v>
      </c>
      <c r="B121" s="71">
        <v>6</v>
      </c>
      <c r="C121" s="71" t="s">
        <v>205</v>
      </c>
      <c r="D121" s="71" t="s">
        <v>206</v>
      </c>
      <c r="E121" s="71" t="s">
        <v>208</v>
      </c>
      <c r="F121" s="71">
        <v>1</v>
      </c>
      <c r="G121" s="80" t="str">
        <f>VLOOKUP($E121, MonsterData!$A$5:$G$13, 5, 0)</f>
        <v>M</v>
      </c>
    </row>
    <row r="122" spans="1:7">
      <c r="A122" s="74" t="s">
        <v>165</v>
      </c>
      <c r="B122" s="75">
        <v>7</v>
      </c>
      <c r="C122" s="75" t="s">
        <v>205</v>
      </c>
      <c r="D122" s="75" t="s">
        <v>206</v>
      </c>
      <c r="E122" s="75" t="s">
        <v>209</v>
      </c>
      <c r="F122" s="75">
        <v>1</v>
      </c>
      <c r="G122" s="81" t="str">
        <f>VLOOKUP($E122, MonsterData!$A$5:$G$13, 5, 0)</f>
        <v>M</v>
      </c>
    </row>
    <row r="123" spans="1:7">
      <c r="A123" s="70" t="s">
        <v>215</v>
      </c>
      <c r="B123" s="71">
        <v>8</v>
      </c>
      <c r="C123" s="71" t="s">
        <v>205</v>
      </c>
      <c r="D123" s="71" t="s">
        <v>206</v>
      </c>
      <c r="E123" s="71" t="s">
        <v>210</v>
      </c>
      <c r="F123" s="71">
        <v>1</v>
      </c>
      <c r="G123" s="80" t="str">
        <f>VLOOKUP($E123, MonsterData!$A$5:$G$13, 5, 0)</f>
        <v>S</v>
      </c>
    </row>
    <row r="124" spans="1:7">
      <c r="A124" s="74" t="s">
        <v>165</v>
      </c>
      <c r="B124" s="75">
        <v>9</v>
      </c>
      <c r="C124" s="75" t="s">
        <v>205</v>
      </c>
      <c r="D124" s="75" t="s">
        <v>206</v>
      </c>
      <c r="E124" s="75" t="s">
        <v>208</v>
      </c>
      <c r="F124" s="75">
        <v>1</v>
      </c>
      <c r="G124" s="81" t="str">
        <f>VLOOKUP($E124, MonsterData!$A$5:$G$13, 5, 0)</f>
        <v>M</v>
      </c>
    </row>
    <row r="125" spans="1:7">
      <c r="A125" s="70" t="s">
        <v>215</v>
      </c>
      <c r="B125" s="71">
        <v>10</v>
      </c>
      <c r="C125" s="71" t="s">
        <v>205</v>
      </c>
      <c r="D125" s="71" t="s">
        <v>206</v>
      </c>
      <c r="E125" s="71" t="s">
        <v>281</v>
      </c>
      <c r="F125" s="71">
        <v>1</v>
      </c>
      <c r="G125" s="80" t="str">
        <f>VLOOKUP($E125, MonsterData!$A$5:$G$13, 5, 0)</f>
        <v>M</v>
      </c>
    </row>
    <row r="126" spans="1:7">
      <c r="A126" s="74" t="s">
        <v>165</v>
      </c>
      <c r="B126" s="75">
        <v>11</v>
      </c>
      <c r="C126" s="75" t="s">
        <v>205</v>
      </c>
      <c r="D126" s="75" t="s">
        <v>206</v>
      </c>
      <c r="E126" s="75" t="s">
        <v>207</v>
      </c>
      <c r="F126" s="75">
        <v>1</v>
      </c>
      <c r="G126" s="81" t="str">
        <f>VLOOKUP($E126, MonsterData!$A$5:$G$13, 5, 0)</f>
        <v>S</v>
      </c>
    </row>
    <row r="127" spans="1:7">
      <c r="A127" s="70" t="s">
        <v>215</v>
      </c>
      <c r="B127" s="71">
        <v>12</v>
      </c>
      <c r="C127" s="71" t="s">
        <v>205</v>
      </c>
      <c r="D127" s="71" t="s">
        <v>206</v>
      </c>
      <c r="E127" s="71" t="s">
        <v>208</v>
      </c>
      <c r="F127" s="71">
        <v>1</v>
      </c>
      <c r="G127" s="80" t="str">
        <f>VLOOKUP($E127, MonsterData!$A$5:$G$13, 5, 0)</f>
        <v>M</v>
      </c>
    </row>
    <row r="128" spans="1:7">
      <c r="A128" s="74" t="s">
        <v>165</v>
      </c>
      <c r="B128" s="75">
        <v>13</v>
      </c>
      <c r="C128" s="75" t="s">
        <v>205</v>
      </c>
      <c r="D128" s="75" t="s">
        <v>206</v>
      </c>
      <c r="E128" s="75" t="s">
        <v>209</v>
      </c>
      <c r="F128" s="75">
        <v>1</v>
      </c>
      <c r="G128" s="81" t="str">
        <f>VLOOKUP($E128, MonsterData!$A$5:$G$13, 5, 0)</f>
        <v>M</v>
      </c>
    </row>
    <row r="129" spans="1:7">
      <c r="A129" s="70" t="s">
        <v>215</v>
      </c>
      <c r="B129" s="71">
        <v>14</v>
      </c>
      <c r="C129" s="71" t="s">
        <v>205</v>
      </c>
      <c r="D129" s="71" t="s">
        <v>206</v>
      </c>
      <c r="E129" s="71" t="s">
        <v>210</v>
      </c>
      <c r="F129" s="71">
        <v>1</v>
      </c>
      <c r="G129" s="80" t="str">
        <f>VLOOKUP($E129, MonsterData!$A$5:$G$13, 5, 0)</f>
        <v>S</v>
      </c>
    </row>
    <row r="130" spans="1:7">
      <c r="A130" s="74" t="s">
        <v>165</v>
      </c>
      <c r="B130" s="75">
        <v>15</v>
      </c>
      <c r="C130" s="75" t="s">
        <v>205</v>
      </c>
      <c r="D130" s="75" t="s">
        <v>206</v>
      </c>
      <c r="E130" s="75" t="s">
        <v>208</v>
      </c>
      <c r="F130" s="75">
        <v>1</v>
      </c>
      <c r="G130" s="81" t="str">
        <f>VLOOKUP($E130, MonsterData!$A$5:$G$13, 5, 0)</f>
        <v>M</v>
      </c>
    </row>
    <row r="131" spans="1:7">
      <c r="A131" s="70" t="s">
        <v>215</v>
      </c>
      <c r="B131" s="71">
        <v>16</v>
      </c>
      <c r="C131" s="71" t="s">
        <v>205</v>
      </c>
      <c r="D131" s="71" t="s">
        <v>206</v>
      </c>
      <c r="E131" s="71" t="s">
        <v>207</v>
      </c>
      <c r="F131" s="71">
        <v>1</v>
      </c>
      <c r="G131" s="80" t="str">
        <f>VLOOKUP($E131, MonsterData!$A$5:$G$13, 5, 0)</f>
        <v>S</v>
      </c>
    </row>
    <row r="132" spans="1:7">
      <c r="A132" s="74" t="s">
        <v>165</v>
      </c>
      <c r="B132" s="75">
        <v>17</v>
      </c>
      <c r="C132" s="75" t="s">
        <v>205</v>
      </c>
      <c r="D132" s="75" t="s">
        <v>206</v>
      </c>
      <c r="E132" s="75" t="s">
        <v>208</v>
      </c>
      <c r="F132" s="75">
        <v>1</v>
      </c>
      <c r="G132" s="81" t="str">
        <f>VLOOKUP($E132, MonsterData!$A$5:$G$13, 5, 0)</f>
        <v>M</v>
      </c>
    </row>
    <row r="133" spans="1:7">
      <c r="A133" s="70" t="s">
        <v>215</v>
      </c>
      <c r="B133" s="71">
        <v>18</v>
      </c>
      <c r="C133" s="71" t="s">
        <v>205</v>
      </c>
      <c r="D133" s="71" t="s">
        <v>206</v>
      </c>
      <c r="E133" s="71" t="s">
        <v>209</v>
      </c>
      <c r="F133" s="71">
        <v>1</v>
      </c>
      <c r="G133" s="80" t="str">
        <f>VLOOKUP($E133, MonsterData!$A$5:$G$13, 5, 0)</f>
        <v>M</v>
      </c>
    </row>
    <row r="134" spans="1:7">
      <c r="A134" s="74" t="s">
        <v>165</v>
      </c>
      <c r="B134" s="75">
        <v>19</v>
      </c>
      <c r="C134" s="75" t="s">
        <v>205</v>
      </c>
      <c r="D134" s="75" t="s">
        <v>206</v>
      </c>
      <c r="E134" s="75" t="s">
        <v>210</v>
      </c>
      <c r="F134" s="75">
        <v>1</v>
      </c>
      <c r="G134" s="81" t="str">
        <f>VLOOKUP($E134, MonsterData!$A$5:$G$13, 5, 0)</f>
        <v>S</v>
      </c>
    </row>
    <row r="135" spans="1:7">
      <c r="A135" s="70" t="s">
        <v>215</v>
      </c>
      <c r="B135" s="71">
        <v>20</v>
      </c>
      <c r="C135" s="71" t="s">
        <v>205</v>
      </c>
      <c r="D135" s="71" t="s">
        <v>206</v>
      </c>
      <c r="E135" s="71" t="s">
        <v>208</v>
      </c>
      <c r="F135" s="71">
        <v>1</v>
      </c>
      <c r="G135" s="80" t="str">
        <f>VLOOKUP($E135, MonsterData!$A$5:$G$13, 5, 0)</f>
        <v>M</v>
      </c>
    </row>
    <row r="136" spans="1:7">
      <c r="A136" s="74" t="s">
        <v>165</v>
      </c>
      <c r="B136" s="75">
        <v>21</v>
      </c>
      <c r="C136" s="75" t="s">
        <v>205</v>
      </c>
      <c r="D136" s="75" t="s">
        <v>206</v>
      </c>
      <c r="E136" s="75" t="s">
        <v>280</v>
      </c>
      <c r="F136" s="75">
        <v>1</v>
      </c>
      <c r="G136" s="81" t="str">
        <f>VLOOKUP($E136, MonsterData!$A$5:$G$13, 5, 0)</f>
        <v>B</v>
      </c>
    </row>
    <row r="137" spans="1:7">
      <c r="A137" s="70" t="s">
        <v>216</v>
      </c>
      <c r="B137" s="71">
        <v>0</v>
      </c>
      <c r="C137" s="71" t="s">
        <v>205</v>
      </c>
      <c r="D137" s="71" t="s">
        <v>206</v>
      </c>
      <c r="E137" s="71" t="s">
        <v>209</v>
      </c>
      <c r="F137" s="71">
        <v>1</v>
      </c>
      <c r="G137" s="80" t="str">
        <f>VLOOKUP($E137, MonsterData!$A$5:$G$13, 5, 0)</f>
        <v>M</v>
      </c>
    </row>
    <row r="138" spans="1:7">
      <c r="A138" s="74" t="s">
        <v>167</v>
      </c>
      <c r="B138" s="75">
        <v>1</v>
      </c>
      <c r="C138" s="75" t="s">
        <v>205</v>
      </c>
      <c r="D138" s="75" t="s">
        <v>206</v>
      </c>
      <c r="E138" s="75" t="s">
        <v>210</v>
      </c>
      <c r="F138" s="75">
        <v>1</v>
      </c>
      <c r="G138" s="81" t="str">
        <f>VLOOKUP($E138, MonsterData!$A$5:$G$13, 5, 0)</f>
        <v>S</v>
      </c>
    </row>
    <row r="139" spans="1:7">
      <c r="A139" s="70" t="s">
        <v>216</v>
      </c>
      <c r="B139" s="71">
        <v>2</v>
      </c>
      <c r="C139" s="71" t="s">
        <v>205</v>
      </c>
      <c r="D139" s="71" t="s">
        <v>206</v>
      </c>
      <c r="E139" s="71" t="s">
        <v>208</v>
      </c>
      <c r="F139" s="71">
        <v>1</v>
      </c>
      <c r="G139" s="80" t="str">
        <f>VLOOKUP($E139, MonsterData!$A$5:$G$13, 5, 0)</f>
        <v>M</v>
      </c>
    </row>
    <row r="140" spans="1:7">
      <c r="A140" s="74" t="s">
        <v>167</v>
      </c>
      <c r="B140" s="75">
        <v>3</v>
      </c>
      <c r="C140" s="75" t="s">
        <v>205</v>
      </c>
      <c r="D140" s="75" t="s">
        <v>206</v>
      </c>
      <c r="E140" s="75" t="s">
        <v>207</v>
      </c>
      <c r="F140" s="75">
        <v>1</v>
      </c>
      <c r="G140" s="81" t="str">
        <f>VLOOKUP($E140, MonsterData!$A$5:$G$13, 5, 0)</f>
        <v>S</v>
      </c>
    </row>
    <row r="141" spans="1:7">
      <c r="A141" s="70" t="s">
        <v>216</v>
      </c>
      <c r="B141" s="71">
        <v>4</v>
      </c>
      <c r="C141" s="71" t="s">
        <v>205</v>
      </c>
      <c r="D141" s="71" t="s">
        <v>206</v>
      </c>
      <c r="E141" s="71" t="s">
        <v>208</v>
      </c>
      <c r="F141" s="71">
        <v>1</v>
      </c>
      <c r="G141" s="80" t="str">
        <f>VLOOKUP($E141, MonsterData!$A$5:$G$13, 5, 0)</f>
        <v>M</v>
      </c>
    </row>
    <row r="142" spans="1:7">
      <c r="A142" s="74" t="s">
        <v>167</v>
      </c>
      <c r="B142" s="75">
        <v>5</v>
      </c>
      <c r="C142" s="75" t="s">
        <v>205</v>
      </c>
      <c r="D142" s="75" t="s">
        <v>206</v>
      </c>
      <c r="E142" s="75" t="s">
        <v>209</v>
      </c>
      <c r="F142" s="75">
        <v>1</v>
      </c>
      <c r="G142" s="81" t="str">
        <f>VLOOKUP($E142, MonsterData!$A$5:$G$13, 5, 0)</f>
        <v>M</v>
      </c>
    </row>
    <row r="143" spans="1:7">
      <c r="A143" s="70" t="s">
        <v>216</v>
      </c>
      <c r="B143" s="71">
        <v>6</v>
      </c>
      <c r="C143" s="71" t="s">
        <v>205</v>
      </c>
      <c r="D143" s="71" t="s">
        <v>206</v>
      </c>
      <c r="E143" s="71" t="s">
        <v>210</v>
      </c>
      <c r="F143" s="71">
        <v>1</v>
      </c>
      <c r="G143" s="80" t="str">
        <f>VLOOKUP($E143, MonsterData!$A$5:$G$13, 5, 0)</f>
        <v>S</v>
      </c>
    </row>
    <row r="144" spans="1:7">
      <c r="A144" s="74" t="s">
        <v>167</v>
      </c>
      <c r="B144" s="75">
        <v>7</v>
      </c>
      <c r="C144" s="75" t="s">
        <v>205</v>
      </c>
      <c r="D144" s="75" t="s">
        <v>206</v>
      </c>
      <c r="E144" s="75" t="s">
        <v>208</v>
      </c>
      <c r="F144" s="75">
        <v>1</v>
      </c>
      <c r="G144" s="81" t="str">
        <f>VLOOKUP($E144, MonsterData!$A$5:$G$13, 5, 0)</f>
        <v>M</v>
      </c>
    </row>
    <row r="145" spans="1:7">
      <c r="A145" s="70" t="s">
        <v>216</v>
      </c>
      <c r="B145" s="71">
        <v>8</v>
      </c>
      <c r="C145" s="71" t="s">
        <v>205</v>
      </c>
      <c r="D145" s="71" t="s">
        <v>206</v>
      </c>
      <c r="E145" s="71" t="s">
        <v>207</v>
      </c>
      <c r="F145" s="71">
        <v>1</v>
      </c>
      <c r="G145" s="80" t="str">
        <f>VLOOKUP($E145, MonsterData!$A$5:$G$13, 5, 0)</f>
        <v>S</v>
      </c>
    </row>
    <row r="146" spans="1:7">
      <c r="A146" s="74" t="s">
        <v>167</v>
      </c>
      <c r="B146" s="75">
        <v>9</v>
      </c>
      <c r="C146" s="75" t="s">
        <v>205</v>
      </c>
      <c r="D146" s="75" t="s">
        <v>206</v>
      </c>
      <c r="E146" s="75" t="s">
        <v>208</v>
      </c>
      <c r="F146" s="75">
        <v>1</v>
      </c>
      <c r="G146" s="81" t="str">
        <f>VLOOKUP($E146, MonsterData!$A$5:$G$13, 5, 0)</f>
        <v>M</v>
      </c>
    </row>
    <row r="147" spans="1:7">
      <c r="A147" s="70" t="s">
        <v>216</v>
      </c>
      <c r="B147" s="71">
        <v>10</v>
      </c>
      <c r="C147" s="71" t="s">
        <v>205</v>
      </c>
      <c r="D147" s="71" t="s">
        <v>206</v>
      </c>
      <c r="E147" s="71" t="s">
        <v>280</v>
      </c>
      <c r="F147" s="71">
        <v>1</v>
      </c>
      <c r="G147" s="80" t="str">
        <f>VLOOKUP($E147, MonsterData!$A$5:$G$13, 5, 0)</f>
        <v>B</v>
      </c>
    </row>
    <row r="148" spans="1:7">
      <c r="A148" s="74" t="s">
        <v>167</v>
      </c>
      <c r="B148" s="75">
        <v>11</v>
      </c>
      <c r="C148" s="75" t="s">
        <v>205</v>
      </c>
      <c r="D148" s="75" t="s">
        <v>206</v>
      </c>
      <c r="E148" s="75" t="s">
        <v>209</v>
      </c>
      <c r="F148" s="75">
        <v>1</v>
      </c>
      <c r="G148" s="81" t="str">
        <f>VLOOKUP($E148, MonsterData!$A$5:$G$13, 5, 0)</f>
        <v>M</v>
      </c>
    </row>
    <row r="149" spans="1:7">
      <c r="A149" s="70" t="s">
        <v>216</v>
      </c>
      <c r="B149" s="71">
        <v>12</v>
      </c>
      <c r="C149" s="71" t="s">
        <v>205</v>
      </c>
      <c r="D149" s="71" t="s">
        <v>206</v>
      </c>
      <c r="E149" s="71" t="s">
        <v>210</v>
      </c>
      <c r="F149" s="71">
        <v>1</v>
      </c>
      <c r="G149" s="80" t="str">
        <f>VLOOKUP($E149, MonsterData!$A$5:$G$13, 5, 0)</f>
        <v>S</v>
      </c>
    </row>
    <row r="150" spans="1:7">
      <c r="A150" s="74" t="s">
        <v>167</v>
      </c>
      <c r="B150" s="75">
        <v>13</v>
      </c>
      <c r="C150" s="75" t="s">
        <v>205</v>
      </c>
      <c r="D150" s="75" t="s">
        <v>206</v>
      </c>
      <c r="E150" s="75" t="s">
        <v>208</v>
      </c>
      <c r="F150" s="75">
        <v>1</v>
      </c>
      <c r="G150" s="81" t="str">
        <f>VLOOKUP($E150, MonsterData!$A$5:$G$13, 5, 0)</f>
        <v>M</v>
      </c>
    </row>
    <row r="151" spans="1:7">
      <c r="A151" s="70" t="s">
        <v>216</v>
      </c>
      <c r="B151" s="71">
        <v>14</v>
      </c>
      <c r="C151" s="71" t="s">
        <v>205</v>
      </c>
      <c r="D151" s="71" t="s">
        <v>206</v>
      </c>
      <c r="E151" s="71" t="s">
        <v>207</v>
      </c>
      <c r="F151" s="71">
        <v>1</v>
      </c>
      <c r="G151" s="80" t="str">
        <f>VLOOKUP($E151, MonsterData!$A$5:$G$13, 5, 0)</f>
        <v>S</v>
      </c>
    </row>
    <row r="152" spans="1:7">
      <c r="A152" s="74" t="s">
        <v>167</v>
      </c>
      <c r="B152" s="75">
        <v>15</v>
      </c>
      <c r="C152" s="75" t="s">
        <v>205</v>
      </c>
      <c r="D152" s="75" t="s">
        <v>206</v>
      </c>
      <c r="E152" s="75" t="s">
        <v>208</v>
      </c>
      <c r="F152" s="75">
        <v>1</v>
      </c>
      <c r="G152" s="81" t="str">
        <f>VLOOKUP($E152, MonsterData!$A$5:$G$13, 5, 0)</f>
        <v>M</v>
      </c>
    </row>
    <row r="153" spans="1:7">
      <c r="A153" s="70" t="s">
        <v>216</v>
      </c>
      <c r="B153" s="71">
        <v>16</v>
      </c>
      <c r="C153" s="71" t="s">
        <v>205</v>
      </c>
      <c r="D153" s="71" t="s">
        <v>206</v>
      </c>
      <c r="E153" s="71" t="s">
        <v>209</v>
      </c>
      <c r="F153" s="71">
        <v>1</v>
      </c>
      <c r="G153" s="80" t="str">
        <f>VLOOKUP($E153, MonsterData!$A$5:$G$13, 5, 0)</f>
        <v>M</v>
      </c>
    </row>
    <row r="154" spans="1:7">
      <c r="A154" s="74" t="s">
        <v>167</v>
      </c>
      <c r="B154" s="75">
        <v>17</v>
      </c>
      <c r="C154" s="75" t="s">
        <v>205</v>
      </c>
      <c r="D154" s="75" t="s">
        <v>206</v>
      </c>
      <c r="E154" s="75" t="s">
        <v>210</v>
      </c>
      <c r="F154" s="75">
        <v>1</v>
      </c>
      <c r="G154" s="81" t="str">
        <f>VLOOKUP($E154, MonsterData!$A$5:$G$13, 5, 0)</f>
        <v>S</v>
      </c>
    </row>
    <row r="155" spans="1:7">
      <c r="A155" s="70" t="s">
        <v>216</v>
      </c>
      <c r="B155" s="71">
        <v>18</v>
      </c>
      <c r="C155" s="71" t="s">
        <v>205</v>
      </c>
      <c r="D155" s="71" t="s">
        <v>206</v>
      </c>
      <c r="E155" s="71" t="s">
        <v>208</v>
      </c>
      <c r="F155" s="71">
        <v>1</v>
      </c>
      <c r="G155" s="80" t="str">
        <f>VLOOKUP($E155, MonsterData!$A$5:$G$13, 5, 0)</f>
        <v>M</v>
      </c>
    </row>
    <row r="156" spans="1:7">
      <c r="A156" s="74" t="s">
        <v>167</v>
      </c>
      <c r="B156" s="75">
        <v>19</v>
      </c>
      <c r="C156" s="75" t="s">
        <v>205</v>
      </c>
      <c r="D156" s="75" t="s">
        <v>206</v>
      </c>
      <c r="E156" s="75" t="s">
        <v>207</v>
      </c>
      <c r="F156" s="75">
        <v>1</v>
      </c>
      <c r="G156" s="81" t="str">
        <f>VLOOKUP($E156, MonsterData!$A$5:$G$13, 5, 0)</f>
        <v>S</v>
      </c>
    </row>
    <row r="157" spans="1:7">
      <c r="A157" s="70" t="s">
        <v>216</v>
      </c>
      <c r="B157" s="71">
        <v>20</v>
      </c>
      <c r="C157" s="71" t="s">
        <v>205</v>
      </c>
      <c r="D157" s="71" t="s">
        <v>206</v>
      </c>
      <c r="E157" s="71" t="s">
        <v>208</v>
      </c>
      <c r="F157" s="71">
        <v>1</v>
      </c>
      <c r="G157" s="80" t="str">
        <f>VLOOKUP($E157, MonsterData!$A$5:$G$13, 5, 0)</f>
        <v>M</v>
      </c>
    </row>
    <row r="158" spans="1:7">
      <c r="A158" s="74" t="s">
        <v>167</v>
      </c>
      <c r="B158" s="75">
        <v>21</v>
      </c>
      <c r="C158" s="75" t="s">
        <v>205</v>
      </c>
      <c r="D158" s="75" t="s">
        <v>206</v>
      </c>
      <c r="E158" s="75" t="s">
        <v>281</v>
      </c>
      <c r="F158" s="75">
        <v>1</v>
      </c>
      <c r="G158" s="81" t="str">
        <f>VLOOKUP($E158, MonsterData!$A$5:$G$13, 5, 0)</f>
        <v>M</v>
      </c>
    </row>
    <row r="159" spans="1:7">
      <c r="A159" s="70" t="s">
        <v>217</v>
      </c>
      <c r="B159" s="71">
        <v>0</v>
      </c>
      <c r="C159" s="71" t="s">
        <v>205</v>
      </c>
      <c r="D159" s="71" t="s">
        <v>206</v>
      </c>
      <c r="E159" s="71" t="s">
        <v>208</v>
      </c>
      <c r="F159" s="71">
        <v>1</v>
      </c>
      <c r="G159" s="80" t="str">
        <f>VLOOKUP($E159, MonsterData!$A$5:$G$13, 5, 0)</f>
        <v>M</v>
      </c>
    </row>
    <row r="160" spans="1:7">
      <c r="A160" s="74" t="s">
        <v>169</v>
      </c>
      <c r="B160" s="75">
        <v>1</v>
      </c>
      <c r="C160" s="75" t="s">
        <v>205</v>
      </c>
      <c r="D160" s="75" t="s">
        <v>206</v>
      </c>
      <c r="E160" s="75" t="s">
        <v>207</v>
      </c>
      <c r="F160" s="75">
        <v>1</v>
      </c>
      <c r="G160" s="81" t="str">
        <f>VLOOKUP($E160, MonsterData!$A$5:$G$13, 5, 0)</f>
        <v>S</v>
      </c>
    </row>
    <row r="161" spans="1:7">
      <c r="A161" s="70" t="s">
        <v>217</v>
      </c>
      <c r="B161" s="71">
        <v>2</v>
      </c>
      <c r="C161" s="71" t="s">
        <v>205</v>
      </c>
      <c r="D161" s="71" t="s">
        <v>206</v>
      </c>
      <c r="E161" s="71" t="s">
        <v>208</v>
      </c>
      <c r="F161" s="71">
        <v>1</v>
      </c>
      <c r="G161" s="80" t="str">
        <f>VLOOKUP($E161, MonsterData!$A$5:$G$13, 5, 0)</f>
        <v>M</v>
      </c>
    </row>
    <row r="162" spans="1:7">
      <c r="A162" s="74" t="s">
        <v>169</v>
      </c>
      <c r="B162" s="75">
        <v>3</v>
      </c>
      <c r="C162" s="75" t="s">
        <v>205</v>
      </c>
      <c r="D162" s="75" t="s">
        <v>206</v>
      </c>
      <c r="E162" s="75" t="s">
        <v>209</v>
      </c>
      <c r="F162" s="75">
        <v>1</v>
      </c>
      <c r="G162" s="81" t="str">
        <f>VLOOKUP($E162, MonsterData!$A$5:$G$13, 5, 0)</f>
        <v>M</v>
      </c>
    </row>
    <row r="163" spans="1:7">
      <c r="A163" s="70" t="s">
        <v>217</v>
      </c>
      <c r="B163" s="71">
        <v>4</v>
      </c>
      <c r="C163" s="71" t="s">
        <v>205</v>
      </c>
      <c r="D163" s="71" t="s">
        <v>206</v>
      </c>
      <c r="E163" s="71" t="s">
        <v>210</v>
      </c>
      <c r="F163" s="71">
        <v>1</v>
      </c>
      <c r="G163" s="80" t="str">
        <f>VLOOKUP($E163, MonsterData!$A$5:$G$13, 5, 0)</f>
        <v>S</v>
      </c>
    </row>
    <row r="164" spans="1:7">
      <c r="A164" s="74" t="s">
        <v>169</v>
      </c>
      <c r="B164" s="75">
        <v>5</v>
      </c>
      <c r="C164" s="75" t="s">
        <v>205</v>
      </c>
      <c r="D164" s="75" t="s">
        <v>206</v>
      </c>
      <c r="E164" s="75" t="s">
        <v>208</v>
      </c>
      <c r="F164" s="75">
        <v>1</v>
      </c>
      <c r="G164" s="81" t="str">
        <f>VLOOKUP($E164, MonsterData!$A$5:$G$13, 5, 0)</f>
        <v>M</v>
      </c>
    </row>
    <row r="165" spans="1:7">
      <c r="A165" s="70" t="s">
        <v>217</v>
      </c>
      <c r="B165" s="71">
        <v>6</v>
      </c>
      <c r="C165" s="71" t="s">
        <v>205</v>
      </c>
      <c r="D165" s="71" t="s">
        <v>206</v>
      </c>
      <c r="E165" s="71" t="s">
        <v>207</v>
      </c>
      <c r="F165" s="71">
        <v>1</v>
      </c>
      <c r="G165" s="80" t="str">
        <f>VLOOKUP($E165, MonsterData!$A$5:$G$13, 5, 0)</f>
        <v>S</v>
      </c>
    </row>
    <row r="166" spans="1:7">
      <c r="A166" s="74" t="s">
        <v>169</v>
      </c>
      <c r="B166" s="75">
        <v>7</v>
      </c>
      <c r="C166" s="75" t="s">
        <v>205</v>
      </c>
      <c r="D166" s="75" t="s">
        <v>206</v>
      </c>
      <c r="E166" s="75" t="s">
        <v>208</v>
      </c>
      <c r="F166" s="75">
        <v>1</v>
      </c>
      <c r="G166" s="81" t="str">
        <f>VLOOKUP($E166, MonsterData!$A$5:$G$13, 5, 0)</f>
        <v>M</v>
      </c>
    </row>
    <row r="167" spans="1:7">
      <c r="A167" s="70" t="s">
        <v>217</v>
      </c>
      <c r="B167" s="71">
        <v>8</v>
      </c>
      <c r="C167" s="71" t="s">
        <v>205</v>
      </c>
      <c r="D167" s="71" t="s">
        <v>206</v>
      </c>
      <c r="E167" s="71" t="s">
        <v>209</v>
      </c>
      <c r="F167" s="71">
        <v>1</v>
      </c>
      <c r="G167" s="80" t="str">
        <f>VLOOKUP($E167, MonsterData!$A$5:$G$13, 5, 0)</f>
        <v>M</v>
      </c>
    </row>
    <row r="168" spans="1:7">
      <c r="A168" s="74" t="s">
        <v>169</v>
      </c>
      <c r="B168" s="75">
        <v>9</v>
      </c>
      <c r="C168" s="75" t="s">
        <v>205</v>
      </c>
      <c r="D168" s="75" t="s">
        <v>206</v>
      </c>
      <c r="E168" s="75" t="s">
        <v>210</v>
      </c>
      <c r="F168" s="75">
        <v>1</v>
      </c>
      <c r="G168" s="81" t="str">
        <f>VLOOKUP($E168, MonsterData!$A$5:$G$13, 5, 0)</f>
        <v>S</v>
      </c>
    </row>
    <row r="169" spans="1:7">
      <c r="A169" s="70" t="s">
        <v>217</v>
      </c>
      <c r="B169" s="71">
        <v>10</v>
      </c>
      <c r="C169" s="71" t="s">
        <v>205</v>
      </c>
      <c r="D169" s="71" t="s">
        <v>206</v>
      </c>
      <c r="E169" s="71" t="s">
        <v>281</v>
      </c>
      <c r="F169" s="71">
        <v>1</v>
      </c>
      <c r="G169" s="80" t="str">
        <f>VLOOKUP($E169, MonsterData!$A$5:$G$13, 5, 0)</f>
        <v>M</v>
      </c>
    </row>
    <row r="170" spans="1:7">
      <c r="A170" s="74" t="s">
        <v>169</v>
      </c>
      <c r="B170" s="75">
        <v>11</v>
      </c>
      <c r="C170" s="75" t="s">
        <v>205</v>
      </c>
      <c r="D170" s="75" t="s">
        <v>206</v>
      </c>
      <c r="E170" s="75" t="s">
        <v>208</v>
      </c>
      <c r="F170" s="75">
        <v>1</v>
      </c>
      <c r="G170" s="81" t="str">
        <f>VLOOKUP($E170, MonsterData!$A$5:$G$13, 5, 0)</f>
        <v>M</v>
      </c>
    </row>
    <row r="171" spans="1:7">
      <c r="A171" s="70" t="s">
        <v>217</v>
      </c>
      <c r="B171" s="71">
        <v>12</v>
      </c>
      <c r="C171" s="71" t="s">
        <v>205</v>
      </c>
      <c r="D171" s="71" t="s">
        <v>206</v>
      </c>
      <c r="E171" s="71" t="s">
        <v>207</v>
      </c>
      <c r="F171" s="71">
        <v>1</v>
      </c>
      <c r="G171" s="80" t="str">
        <f>VLOOKUP($E171, MonsterData!$A$5:$G$13, 5, 0)</f>
        <v>S</v>
      </c>
    </row>
    <row r="172" spans="1:7">
      <c r="A172" s="74" t="s">
        <v>169</v>
      </c>
      <c r="B172" s="75">
        <v>13</v>
      </c>
      <c r="C172" s="75" t="s">
        <v>205</v>
      </c>
      <c r="D172" s="75" t="s">
        <v>206</v>
      </c>
      <c r="E172" s="75" t="s">
        <v>208</v>
      </c>
      <c r="F172" s="75">
        <v>1</v>
      </c>
      <c r="G172" s="81" t="str">
        <f>VLOOKUP($E172, MonsterData!$A$5:$G$13, 5, 0)</f>
        <v>M</v>
      </c>
    </row>
    <row r="173" spans="1:7">
      <c r="A173" s="70" t="s">
        <v>217</v>
      </c>
      <c r="B173" s="71">
        <v>14</v>
      </c>
      <c r="C173" s="71" t="s">
        <v>205</v>
      </c>
      <c r="D173" s="71" t="s">
        <v>206</v>
      </c>
      <c r="E173" s="71" t="s">
        <v>209</v>
      </c>
      <c r="F173" s="71">
        <v>1</v>
      </c>
      <c r="G173" s="80" t="str">
        <f>VLOOKUP($E173, MonsterData!$A$5:$G$13, 5, 0)</f>
        <v>M</v>
      </c>
    </row>
    <row r="174" spans="1:7">
      <c r="A174" s="74" t="s">
        <v>169</v>
      </c>
      <c r="B174" s="75">
        <v>15</v>
      </c>
      <c r="C174" s="75" t="s">
        <v>205</v>
      </c>
      <c r="D174" s="75" t="s">
        <v>206</v>
      </c>
      <c r="E174" s="75" t="s">
        <v>210</v>
      </c>
      <c r="F174" s="75">
        <v>1</v>
      </c>
      <c r="G174" s="81" t="str">
        <f>VLOOKUP($E174, MonsterData!$A$5:$G$13, 5, 0)</f>
        <v>S</v>
      </c>
    </row>
    <row r="175" spans="1:7">
      <c r="A175" s="70" t="s">
        <v>217</v>
      </c>
      <c r="B175" s="71">
        <v>16</v>
      </c>
      <c r="C175" s="71" t="s">
        <v>205</v>
      </c>
      <c r="D175" s="71" t="s">
        <v>206</v>
      </c>
      <c r="E175" s="71" t="s">
        <v>208</v>
      </c>
      <c r="F175" s="71">
        <v>1</v>
      </c>
      <c r="G175" s="80" t="str">
        <f>VLOOKUP($E175, MonsterData!$A$5:$G$13, 5, 0)</f>
        <v>M</v>
      </c>
    </row>
    <row r="176" spans="1:7">
      <c r="A176" s="74" t="s">
        <v>169</v>
      </c>
      <c r="B176" s="75">
        <v>17</v>
      </c>
      <c r="C176" s="75" t="s">
        <v>205</v>
      </c>
      <c r="D176" s="75" t="s">
        <v>206</v>
      </c>
      <c r="E176" s="75" t="s">
        <v>207</v>
      </c>
      <c r="F176" s="75">
        <v>1</v>
      </c>
      <c r="G176" s="81" t="str">
        <f>VLOOKUP($E176, MonsterData!$A$5:$G$13, 5, 0)</f>
        <v>S</v>
      </c>
    </row>
    <row r="177" spans="1:7">
      <c r="A177" s="70" t="s">
        <v>217</v>
      </c>
      <c r="B177" s="71">
        <v>18</v>
      </c>
      <c r="C177" s="71" t="s">
        <v>205</v>
      </c>
      <c r="D177" s="71" t="s">
        <v>206</v>
      </c>
      <c r="E177" s="71" t="s">
        <v>208</v>
      </c>
      <c r="F177" s="71">
        <v>1</v>
      </c>
      <c r="G177" s="80" t="str">
        <f>VLOOKUP($E177, MonsterData!$A$5:$G$13, 5, 0)</f>
        <v>M</v>
      </c>
    </row>
    <row r="178" spans="1:7">
      <c r="A178" s="74" t="s">
        <v>169</v>
      </c>
      <c r="B178" s="75">
        <v>19</v>
      </c>
      <c r="C178" s="75" t="s">
        <v>205</v>
      </c>
      <c r="D178" s="75" t="s">
        <v>206</v>
      </c>
      <c r="E178" s="75" t="s">
        <v>209</v>
      </c>
      <c r="F178" s="75">
        <v>1</v>
      </c>
      <c r="G178" s="81" t="str">
        <f>VLOOKUP($E178, MonsterData!$A$5:$G$13, 5, 0)</f>
        <v>M</v>
      </c>
    </row>
    <row r="179" spans="1:7">
      <c r="A179" s="70" t="s">
        <v>217</v>
      </c>
      <c r="B179" s="71">
        <v>20</v>
      </c>
      <c r="C179" s="71" t="s">
        <v>205</v>
      </c>
      <c r="D179" s="71" t="s">
        <v>206</v>
      </c>
      <c r="E179" s="71" t="s">
        <v>210</v>
      </c>
      <c r="F179" s="71">
        <v>1</v>
      </c>
      <c r="G179" s="80" t="str">
        <f>VLOOKUP($E179, MonsterData!$A$5:$G$13, 5, 0)</f>
        <v>S</v>
      </c>
    </row>
    <row r="180" spans="1:7">
      <c r="A180" s="74" t="s">
        <v>169</v>
      </c>
      <c r="B180" s="75">
        <v>21</v>
      </c>
      <c r="C180" s="75" t="s">
        <v>205</v>
      </c>
      <c r="D180" s="75" t="s">
        <v>206</v>
      </c>
      <c r="E180" s="75" t="s">
        <v>280</v>
      </c>
      <c r="F180" s="75">
        <v>1</v>
      </c>
      <c r="G180" s="81" t="str">
        <f>VLOOKUP($E180, MonsterData!$A$5:$G$13, 5, 0)</f>
        <v>B</v>
      </c>
    </row>
    <row r="181" spans="1:7">
      <c r="A181" s="70" t="s">
        <v>218</v>
      </c>
      <c r="B181" s="71">
        <v>0</v>
      </c>
      <c r="C181" s="71" t="s">
        <v>205</v>
      </c>
      <c r="D181" s="71" t="s">
        <v>206</v>
      </c>
      <c r="E181" s="71" t="s">
        <v>208</v>
      </c>
      <c r="F181" s="71">
        <v>1</v>
      </c>
      <c r="G181" s="80" t="str">
        <f>VLOOKUP($E181, MonsterData!$A$5:$G$13, 5, 0)</f>
        <v>M</v>
      </c>
    </row>
    <row r="182" spans="1:7">
      <c r="A182" s="74" t="s">
        <v>171</v>
      </c>
      <c r="B182" s="75">
        <v>1</v>
      </c>
      <c r="C182" s="75" t="s">
        <v>205</v>
      </c>
      <c r="D182" s="75" t="s">
        <v>206</v>
      </c>
      <c r="E182" s="75" t="s">
        <v>209</v>
      </c>
      <c r="F182" s="75">
        <v>1</v>
      </c>
      <c r="G182" s="81" t="str">
        <f>VLOOKUP($E182, MonsterData!$A$5:$G$13, 5, 0)</f>
        <v>M</v>
      </c>
    </row>
    <row r="183" spans="1:7">
      <c r="A183" s="70" t="s">
        <v>218</v>
      </c>
      <c r="B183" s="71">
        <v>2</v>
      </c>
      <c r="C183" s="71" t="s">
        <v>205</v>
      </c>
      <c r="D183" s="71" t="s">
        <v>206</v>
      </c>
      <c r="E183" s="71" t="s">
        <v>210</v>
      </c>
      <c r="F183" s="71">
        <v>1</v>
      </c>
      <c r="G183" s="80" t="str">
        <f>VLOOKUP($E183, MonsterData!$A$5:$G$13, 5, 0)</f>
        <v>S</v>
      </c>
    </row>
    <row r="184" spans="1:7">
      <c r="A184" s="74" t="s">
        <v>171</v>
      </c>
      <c r="B184" s="75">
        <v>3</v>
      </c>
      <c r="C184" s="75" t="s">
        <v>205</v>
      </c>
      <c r="D184" s="75" t="s">
        <v>206</v>
      </c>
      <c r="E184" s="75" t="s">
        <v>208</v>
      </c>
      <c r="F184" s="75">
        <v>1</v>
      </c>
      <c r="G184" s="81" t="str">
        <f>VLOOKUP($E184, MonsterData!$A$5:$G$13, 5, 0)</f>
        <v>M</v>
      </c>
    </row>
    <row r="185" spans="1:7">
      <c r="A185" s="70" t="s">
        <v>218</v>
      </c>
      <c r="B185" s="71">
        <v>4</v>
      </c>
      <c r="C185" s="71" t="s">
        <v>205</v>
      </c>
      <c r="D185" s="71" t="s">
        <v>206</v>
      </c>
      <c r="E185" s="71" t="s">
        <v>207</v>
      </c>
      <c r="F185" s="71">
        <v>1</v>
      </c>
      <c r="G185" s="80" t="str">
        <f>VLOOKUP($E185, MonsterData!$A$5:$G$13, 5, 0)</f>
        <v>S</v>
      </c>
    </row>
    <row r="186" spans="1:7">
      <c r="A186" s="74" t="s">
        <v>171</v>
      </c>
      <c r="B186" s="75">
        <v>5</v>
      </c>
      <c r="C186" s="75" t="s">
        <v>205</v>
      </c>
      <c r="D186" s="75" t="s">
        <v>206</v>
      </c>
      <c r="E186" s="75" t="s">
        <v>208</v>
      </c>
      <c r="F186" s="75">
        <v>1</v>
      </c>
      <c r="G186" s="81" t="str">
        <f>VLOOKUP($E186, MonsterData!$A$5:$G$13, 5, 0)</f>
        <v>M</v>
      </c>
    </row>
    <row r="187" spans="1:7">
      <c r="A187" s="70" t="s">
        <v>218</v>
      </c>
      <c r="B187" s="71">
        <v>6</v>
      </c>
      <c r="C187" s="71" t="s">
        <v>205</v>
      </c>
      <c r="D187" s="71" t="s">
        <v>206</v>
      </c>
      <c r="E187" s="71" t="s">
        <v>209</v>
      </c>
      <c r="F187" s="71">
        <v>1</v>
      </c>
      <c r="G187" s="80" t="str">
        <f>VLOOKUP($E187, MonsterData!$A$5:$G$13, 5, 0)</f>
        <v>M</v>
      </c>
    </row>
    <row r="188" spans="1:7">
      <c r="A188" s="74" t="s">
        <v>171</v>
      </c>
      <c r="B188" s="75">
        <v>7</v>
      </c>
      <c r="C188" s="75" t="s">
        <v>205</v>
      </c>
      <c r="D188" s="75" t="s">
        <v>206</v>
      </c>
      <c r="E188" s="75" t="s">
        <v>210</v>
      </c>
      <c r="F188" s="75">
        <v>1</v>
      </c>
      <c r="G188" s="81" t="str">
        <f>VLOOKUP($E188, MonsterData!$A$5:$G$13, 5, 0)</f>
        <v>S</v>
      </c>
    </row>
    <row r="189" spans="1:7">
      <c r="A189" s="70" t="s">
        <v>218</v>
      </c>
      <c r="B189" s="71">
        <v>8</v>
      </c>
      <c r="C189" s="71" t="s">
        <v>205</v>
      </c>
      <c r="D189" s="71" t="s">
        <v>206</v>
      </c>
      <c r="E189" s="71" t="s">
        <v>208</v>
      </c>
      <c r="F189" s="71">
        <v>1</v>
      </c>
      <c r="G189" s="80" t="str">
        <f>VLOOKUP($E189, MonsterData!$A$5:$G$13, 5, 0)</f>
        <v>M</v>
      </c>
    </row>
    <row r="190" spans="1:7">
      <c r="A190" s="74" t="s">
        <v>171</v>
      </c>
      <c r="B190" s="75">
        <v>9</v>
      </c>
      <c r="C190" s="75" t="s">
        <v>205</v>
      </c>
      <c r="D190" s="75" t="s">
        <v>206</v>
      </c>
      <c r="E190" s="75" t="s">
        <v>207</v>
      </c>
      <c r="F190" s="75">
        <v>1</v>
      </c>
      <c r="G190" s="81" t="str">
        <f>VLOOKUP($E190, MonsterData!$A$5:$G$13, 5, 0)</f>
        <v>S</v>
      </c>
    </row>
    <row r="191" spans="1:7">
      <c r="A191" s="70" t="s">
        <v>218</v>
      </c>
      <c r="B191" s="71">
        <v>10</v>
      </c>
      <c r="C191" s="71" t="s">
        <v>205</v>
      </c>
      <c r="D191" s="71" t="s">
        <v>206</v>
      </c>
      <c r="E191" s="71" t="s">
        <v>280</v>
      </c>
      <c r="F191" s="71">
        <v>1</v>
      </c>
      <c r="G191" s="80" t="str">
        <f>VLOOKUP($E191, MonsterData!$A$5:$G$13, 5, 0)</f>
        <v>B</v>
      </c>
    </row>
    <row r="192" spans="1:7">
      <c r="A192" s="74" t="s">
        <v>171</v>
      </c>
      <c r="B192" s="75">
        <v>11</v>
      </c>
      <c r="C192" s="75" t="s">
        <v>205</v>
      </c>
      <c r="D192" s="75" t="s">
        <v>206</v>
      </c>
      <c r="E192" s="75" t="s">
        <v>208</v>
      </c>
      <c r="F192" s="75">
        <v>1</v>
      </c>
      <c r="G192" s="81" t="str">
        <f>VLOOKUP($E192, MonsterData!$A$5:$G$13, 5, 0)</f>
        <v>M</v>
      </c>
    </row>
    <row r="193" spans="1:7">
      <c r="A193" s="70" t="s">
        <v>218</v>
      </c>
      <c r="B193" s="71">
        <v>12</v>
      </c>
      <c r="C193" s="71" t="s">
        <v>205</v>
      </c>
      <c r="D193" s="71" t="s">
        <v>206</v>
      </c>
      <c r="E193" s="71" t="s">
        <v>209</v>
      </c>
      <c r="F193" s="71">
        <v>1</v>
      </c>
      <c r="G193" s="80" t="str">
        <f>VLOOKUP($E193, MonsterData!$A$5:$G$13, 5, 0)</f>
        <v>M</v>
      </c>
    </row>
    <row r="194" spans="1:7">
      <c r="A194" s="74" t="s">
        <v>171</v>
      </c>
      <c r="B194" s="75">
        <v>13</v>
      </c>
      <c r="C194" s="75" t="s">
        <v>205</v>
      </c>
      <c r="D194" s="75" t="s">
        <v>206</v>
      </c>
      <c r="E194" s="75" t="s">
        <v>210</v>
      </c>
      <c r="F194" s="75">
        <v>1</v>
      </c>
      <c r="G194" s="81" t="str">
        <f>VLOOKUP($E194, MonsterData!$A$5:$G$13, 5, 0)</f>
        <v>S</v>
      </c>
    </row>
    <row r="195" spans="1:7">
      <c r="A195" s="70" t="s">
        <v>218</v>
      </c>
      <c r="B195" s="71">
        <v>14</v>
      </c>
      <c r="C195" s="71" t="s">
        <v>205</v>
      </c>
      <c r="D195" s="71" t="s">
        <v>206</v>
      </c>
      <c r="E195" s="71" t="s">
        <v>208</v>
      </c>
      <c r="F195" s="71">
        <v>1</v>
      </c>
      <c r="G195" s="80" t="str">
        <f>VLOOKUP($E195, MonsterData!$A$5:$G$13, 5, 0)</f>
        <v>M</v>
      </c>
    </row>
    <row r="196" spans="1:7">
      <c r="A196" s="74" t="s">
        <v>171</v>
      </c>
      <c r="B196" s="75">
        <v>15</v>
      </c>
      <c r="C196" s="75" t="s">
        <v>205</v>
      </c>
      <c r="D196" s="75" t="s">
        <v>206</v>
      </c>
      <c r="E196" s="75" t="s">
        <v>207</v>
      </c>
      <c r="F196" s="75">
        <v>1</v>
      </c>
      <c r="G196" s="81" t="str">
        <f>VLOOKUP($E196, MonsterData!$A$5:$G$13, 5, 0)</f>
        <v>S</v>
      </c>
    </row>
    <row r="197" spans="1:7">
      <c r="A197" s="70" t="s">
        <v>218</v>
      </c>
      <c r="B197" s="71">
        <v>16</v>
      </c>
      <c r="C197" s="71" t="s">
        <v>205</v>
      </c>
      <c r="D197" s="71" t="s">
        <v>206</v>
      </c>
      <c r="E197" s="71" t="s">
        <v>208</v>
      </c>
      <c r="F197" s="71">
        <v>1</v>
      </c>
      <c r="G197" s="80" t="str">
        <f>VLOOKUP($E197, MonsterData!$A$5:$G$13, 5, 0)</f>
        <v>M</v>
      </c>
    </row>
    <row r="198" spans="1:7">
      <c r="A198" s="74" t="s">
        <v>171</v>
      </c>
      <c r="B198" s="75">
        <v>17</v>
      </c>
      <c r="C198" s="75" t="s">
        <v>205</v>
      </c>
      <c r="D198" s="75" t="s">
        <v>206</v>
      </c>
      <c r="E198" s="75" t="s">
        <v>209</v>
      </c>
      <c r="F198" s="75">
        <v>1</v>
      </c>
      <c r="G198" s="81" t="str">
        <f>VLOOKUP($E198, MonsterData!$A$5:$G$13, 5, 0)</f>
        <v>M</v>
      </c>
    </row>
    <row r="199" spans="1:7">
      <c r="A199" s="70" t="s">
        <v>218</v>
      </c>
      <c r="B199" s="71">
        <v>18</v>
      </c>
      <c r="C199" s="71" t="s">
        <v>205</v>
      </c>
      <c r="D199" s="71" t="s">
        <v>206</v>
      </c>
      <c r="E199" s="71" t="s">
        <v>210</v>
      </c>
      <c r="F199" s="71">
        <v>1</v>
      </c>
      <c r="G199" s="80" t="str">
        <f>VLOOKUP($E199, MonsterData!$A$5:$G$13, 5, 0)</f>
        <v>S</v>
      </c>
    </row>
    <row r="200" spans="1:7">
      <c r="A200" s="74" t="s">
        <v>171</v>
      </c>
      <c r="B200" s="75">
        <v>19</v>
      </c>
      <c r="C200" s="75" t="s">
        <v>205</v>
      </c>
      <c r="D200" s="75" t="s">
        <v>206</v>
      </c>
      <c r="E200" s="75" t="s">
        <v>208</v>
      </c>
      <c r="F200" s="75">
        <v>1</v>
      </c>
      <c r="G200" s="81" t="str">
        <f>VLOOKUP($E200, MonsterData!$A$5:$G$13, 5, 0)</f>
        <v>M</v>
      </c>
    </row>
    <row r="201" spans="1:7">
      <c r="A201" s="70" t="s">
        <v>218</v>
      </c>
      <c r="B201" s="71">
        <v>20</v>
      </c>
      <c r="C201" s="71" t="s">
        <v>205</v>
      </c>
      <c r="D201" s="71" t="s">
        <v>206</v>
      </c>
      <c r="E201" s="71" t="s">
        <v>207</v>
      </c>
      <c r="F201" s="71">
        <v>1</v>
      </c>
      <c r="G201" s="80" t="str">
        <f>VLOOKUP($E201, MonsterData!$A$5:$G$13, 5, 0)</f>
        <v>S</v>
      </c>
    </row>
    <row r="202" spans="1:7">
      <c r="A202" s="74" t="s">
        <v>171</v>
      </c>
      <c r="B202" s="75">
        <v>21</v>
      </c>
      <c r="C202" s="75" t="s">
        <v>205</v>
      </c>
      <c r="D202" s="75" t="s">
        <v>206</v>
      </c>
      <c r="E202" s="75" t="s">
        <v>281</v>
      </c>
      <c r="F202" s="75">
        <v>1</v>
      </c>
      <c r="G202" s="81" t="str">
        <f>VLOOKUP($E202, MonsterData!$A$5:$G$13, 5, 0)</f>
        <v>M</v>
      </c>
    </row>
    <row r="203" spans="1:7">
      <c r="A203" s="70" t="s">
        <v>219</v>
      </c>
      <c r="B203" s="71">
        <v>0</v>
      </c>
      <c r="C203" s="71" t="s">
        <v>205</v>
      </c>
      <c r="D203" s="71" t="s">
        <v>206</v>
      </c>
      <c r="E203" s="71" t="s">
        <v>210</v>
      </c>
      <c r="F203" s="71">
        <v>1</v>
      </c>
      <c r="G203" s="80" t="str">
        <f>VLOOKUP($E203, MonsterData!$A$5:$G$13, 5, 0)</f>
        <v>S</v>
      </c>
    </row>
    <row r="204" spans="1:7">
      <c r="A204" s="74" t="s">
        <v>173</v>
      </c>
      <c r="B204" s="75">
        <v>1</v>
      </c>
      <c r="C204" s="75" t="s">
        <v>205</v>
      </c>
      <c r="D204" s="75" t="s">
        <v>206</v>
      </c>
      <c r="E204" s="75" t="s">
        <v>208</v>
      </c>
      <c r="F204" s="75">
        <v>1</v>
      </c>
      <c r="G204" s="81" t="str">
        <f>VLOOKUP($E204, MonsterData!$A$5:$G$13, 5, 0)</f>
        <v>M</v>
      </c>
    </row>
    <row r="205" spans="1:7">
      <c r="A205" s="70" t="s">
        <v>219</v>
      </c>
      <c r="B205" s="71">
        <v>2</v>
      </c>
      <c r="C205" s="71" t="s">
        <v>205</v>
      </c>
      <c r="D205" s="71" t="s">
        <v>206</v>
      </c>
      <c r="E205" s="71" t="s">
        <v>207</v>
      </c>
      <c r="F205" s="71">
        <v>1</v>
      </c>
      <c r="G205" s="80" t="str">
        <f>VLOOKUP($E205, MonsterData!$A$5:$G$13, 5, 0)</f>
        <v>S</v>
      </c>
    </row>
    <row r="206" spans="1:7">
      <c r="A206" s="74" t="s">
        <v>173</v>
      </c>
      <c r="B206" s="75">
        <v>3</v>
      </c>
      <c r="C206" s="75" t="s">
        <v>205</v>
      </c>
      <c r="D206" s="75" t="s">
        <v>206</v>
      </c>
      <c r="E206" s="75" t="s">
        <v>208</v>
      </c>
      <c r="F206" s="75">
        <v>1</v>
      </c>
      <c r="G206" s="81" t="str">
        <f>VLOOKUP($E206, MonsterData!$A$5:$G$13, 5, 0)</f>
        <v>M</v>
      </c>
    </row>
    <row r="207" spans="1:7">
      <c r="A207" s="70" t="s">
        <v>219</v>
      </c>
      <c r="B207" s="71">
        <v>4</v>
      </c>
      <c r="C207" s="71" t="s">
        <v>205</v>
      </c>
      <c r="D207" s="71" t="s">
        <v>206</v>
      </c>
      <c r="E207" s="71" t="s">
        <v>209</v>
      </c>
      <c r="F207" s="71">
        <v>1</v>
      </c>
      <c r="G207" s="80" t="str">
        <f>VLOOKUP($E207, MonsterData!$A$5:$G$13, 5, 0)</f>
        <v>M</v>
      </c>
    </row>
    <row r="208" spans="1:7">
      <c r="A208" s="74" t="s">
        <v>173</v>
      </c>
      <c r="B208" s="75">
        <v>5</v>
      </c>
      <c r="C208" s="75" t="s">
        <v>205</v>
      </c>
      <c r="D208" s="75" t="s">
        <v>206</v>
      </c>
      <c r="E208" s="75" t="s">
        <v>210</v>
      </c>
      <c r="F208" s="75">
        <v>1</v>
      </c>
      <c r="G208" s="81" t="str">
        <f>VLOOKUP($E208, MonsterData!$A$5:$G$13, 5, 0)</f>
        <v>S</v>
      </c>
    </row>
    <row r="209" spans="1:7">
      <c r="A209" s="70" t="s">
        <v>219</v>
      </c>
      <c r="B209" s="71">
        <v>6</v>
      </c>
      <c r="C209" s="71" t="s">
        <v>205</v>
      </c>
      <c r="D209" s="71" t="s">
        <v>206</v>
      </c>
      <c r="E209" s="71" t="s">
        <v>208</v>
      </c>
      <c r="F209" s="71">
        <v>1</v>
      </c>
      <c r="G209" s="80" t="str">
        <f>VLOOKUP($E209, MonsterData!$A$5:$G$13, 5, 0)</f>
        <v>M</v>
      </c>
    </row>
    <row r="210" spans="1:7">
      <c r="A210" s="74" t="s">
        <v>173</v>
      </c>
      <c r="B210" s="75">
        <v>7</v>
      </c>
      <c r="C210" s="75" t="s">
        <v>205</v>
      </c>
      <c r="D210" s="75" t="s">
        <v>206</v>
      </c>
      <c r="E210" s="75" t="s">
        <v>207</v>
      </c>
      <c r="F210" s="75">
        <v>1</v>
      </c>
      <c r="G210" s="81" t="str">
        <f>VLOOKUP($E210, MonsterData!$A$5:$G$13, 5, 0)</f>
        <v>S</v>
      </c>
    </row>
    <row r="211" spans="1:7">
      <c r="A211" s="70" t="s">
        <v>219</v>
      </c>
      <c r="B211" s="71">
        <v>8</v>
      </c>
      <c r="C211" s="71" t="s">
        <v>205</v>
      </c>
      <c r="D211" s="71" t="s">
        <v>206</v>
      </c>
      <c r="E211" s="71" t="s">
        <v>208</v>
      </c>
      <c r="F211" s="71">
        <v>1</v>
      </c>
      <c r="G211" s="80" t="str">
        <f>VLOOKUP($E211, MonsterData!$A$5:$G$13, 5, 0)</f>
        <v>M</v>
      </c>
    </row>
    <row r="212" spans="1:7">
      <c r="A212" s="74" t="s">
        <v>173</v>
      </c>
      <c r="B212" s="75">
        <v>9</v>
      </c>
      <c r="C212" s="75" t="s">
        <v>205</v>
      </c>
      <c r="D212" s="75" t="s">
        <v>206</v>
      </c>
      <c r="E212" s="75" t="s">
        <v>209</v>
      </c>
      <c r="F212" s="75">
        <v>1</v>
      </c>
      <c r="G212" s="81" t="str">
        <f>VLOOKUP($E212, MonsterData!$A$5:$G$13, 5, 0)</f>
        <v>M</v>
      </c>
    </row>
    <row r="213" spans="1:7">
      <c r="A213" s="70" t="s">
        <v>219</v>
      </c>
      <c r="B213" s="71">
        <v>10</v>
      </c>
      <c r="C213" s="71" t="s">
        <v>205</v>
      </c>
      <c r="D213" s="71" t="s">
        <v>206</v>
      </c>
      <c r="E213" s="71" t="s">
        <v>281</v>
      </c>
      <c r="F213" s="71">
        <v>1</v>
      </c>
      <c r="G213" s="80" t="str">
        <f>VLOOKUP($E213, MonsterData!$A$5:$G$13, 5, 0)</f>
        <v>M</v>
      </c>
    </row>
    <row r="214" spans="1:7">
      <c r="A214" s="74" t="s">
        <v>173</v>
      </c>
      <c r="B214" s="75">
        <v>11</v>
      </c>
      <c r="C214" s="75" t="s">
        <v>205</v>
      </c>
      <c r="D214" s="75" t="s">
        <v>206</v>
      </c>
      <c r="E214" s="75" t="s">
        <v>210</v>
      </c>
      <c r="F214" s="75">
        <v>1</v>
      </c>
      <c r="G214" s="81" t="str">
        <f>VLOOKUP($E214, MonsterData!$A$5:$G$13, 5, 0)</f>
        <v>S</v>
      </c>
    </row>
    <row r="215" spans="1:7">
      <c r="A215" s="70" t="s">
        <v>219</v>
      </c>
      <c r="B215" s="71">
        <v>12</v>
      </c>
      <c r="C215" s="71" t="s">
        <v>205</v>
      </c>
      <c r="D215" s="71" t="s">
        <v>206</v>
      </c>
      <c r="E215" s="71" t="s">
        <v>208</v>
      </c>
      <c r="F215" s="71">
        <v>1</v>
      </c>
      <c r="G215" s="80" t="str">
        <f>VLOOKUP($E215, MonsterData!$A$5:$G$13, 5, 0)</f>
        <v>M</v>
      </c>
    </row>
    <row r="216" spans="1:7">
      <c r="A216" s="74" t="s">
        <v>173</v>
      </c>
      <c r="B216" s="75">
        <v>13</v>
      </c>
      <c r="C216" s="75" t="s">
        <v>205</v>
      </c>
      <c r="D216" s="75" t="s">
        <v>206</v>
      </c>
      <c r="E216" s="75" t="s">
        <v>207</v>
      </c>
      <c r="F216" s="75">
        <v>1</v>
      </c>
      <c r="G216" s="81" t="str">
        <f>VLOOKUP($E216, MonsterData!$A$5:$G$13, 5, 0)</f>
        <v>S</v>
      </c>
    </row>
    <row r="217" spans="1:7">
      <c r="A217" s="70" t="s">
        <v>219</v>
      </c>
      <c r="B217" s="71">
        <v>14</v>
      </c>
      <c r="C217" s="71" t="s">
        <v>205</v>
      </c>
      <c r="D217" s="71" t="s">
        <v>206</v>
      </c>
      <c r="E217" s="71" t="s">
        <v>208</v>
      </c>
      <c r="F217" s="71">
        <v>1</v>
      </c>
      <c r="G217" s="80" t="str">
        <f>VLOOKUP($E217, MonsterData!$A$5:$G$13, 5, 0)</f>
        <v>M</v>
      </c>
    </row>
    <row r="218" spans="1:7">
      <c r="A218" s="74" t="s">
        <v>173</v>
      </c>
      <c r="B218" s="75">
        <v>15</v>
      </c>
      <c r="C218" s="75" t="s">
        <v>205</v>
      </c>
      <c r="D218" s="75" t="s">
        <v>206</v>
      </c>
      <c r="E218" s="75" t="s">
        <v>209</v>
      </c>
      <c r="F218" s="75">
        <v>1</v>
      </c>
      <c r="G218" s="81" t="str">
        <f>VLOOKUP($E218, MonsterData!$A$5:$G$13, 5, 0)</f>
        <v>M</v>
      </c>
    </row>
    <row r="219" spans="1:7">
      <c r="A219" s="70" t="s">
        <v>219</v>
      </c>
      <c r="B219" s="71">
        <v>16</v>
      </c>
      <c r="C219" s="71" t="s">
        <v>205</v>
      </c>
      <c r="D219" s="71" t="s">
        <v>206</v>
      </c>
      <c r="E219" s="71" t="s">
        <v>210</v>
      </c>
      <c r="F219" s="71">
        <v>1</v>
      </c>
      <c r="G219" s="80" t="str">
        <f>VLOOKUP($E219, MonsterData!$A$5:$G$13, 5, 0)</f>
        <v>S</v>
      </c>
    </row>
    <row r="220" spans="1:7">
      <c r="A220" s="74" t="s">
        <v>173</v>
      </c>
      <c r="B220" s="75">
        <v>17</v>
      </c>
      <c r="C220" s="75" t="s">
        <v>205</v>
      </c>
      <c r="D220" s="75" t="s">
        <v>206</v>
      </c>
      <c r="E220" s="75" t="s">
        <v>208</v>
      </c>
      <c r="F220" s="75">
        <v>1</v>
      </c>
      <c r="G220" s="81" t="str">
        <f>VLOOKUP($E220, MonsterData!$A$5:$G$13, 5, 0)</f>
        <v>M</v>
      </c>
    </row>
    <row r="221" spans="1:7">
      <c r="A221" s="70" t="s">
        <v>219</v>
      </c>
      <c r="B221" s="71">
        <v>18</v>
      </c>
      <c r="C221" s="71" t="s">
        <v>205</v>
      </c>
      <c r="D221" s="71" t="s">
        <v>206</v>
      </c>
      <c r="E221" s="71" t="s">
        <v>207</v>
      </c>
      <c r="F221" s="71">
        <v>1</v>
      </c>
      <c r="G221" s="80" t="str">
        <f>VLOOKUP($E221, MonsterData!$A$5:$G$13, 5, 0)</f>
        <v>S</v>
      </c>
    </row>
    <row r="222" spans="1:7">
      <c r="A222" s="74" t="s">
        <v>173</v>
      </c>
      <c r="B222" s="75">
        <v>19</v>
      </c>
      <c r="C222" s="75" t="s">
        <v>205</v>
      </c>
      <c r="D222" s="75" t="s">
        <v>206</v>
      </c>
      <c r="E222" s="75" t="s">
        <v>208</v>
      </c>
      <c r="F222" s="75">
        <v>1</v>
      </c>
      <c r="G222" s="81" t="str">
        <f>VLOOKUP($E222, MonsterData!$A$5:$G$13, 5, 0)</f>
        <v>M</v>
      </c>
    </row>
    <row r="223" spans="1:7">
      <c r="A223" s="70" t="s">
        <v>219</v>
      </c>
      <c r="B223" s="71">
        <v>20</v>
      </c>
      <c r="C223" s="71" t="s">
        <v>205</v>
      </c>
      <c r="D223" s="71" t="s">
        <v>206</v>
      </c>
      <c r="E223" s="71" t="s">
        <v>209</v>
      </c>
      <c r="F223" s="71">
        <v>1</v>
      </c>
      <c r="G223" s="80" t="str">
        <f>VLOOKUP($E223, MonsterData!$A$5:$G$13, 5, 0)</f>
        <v>M</v>
      </c>
    </row>
    <row r="224" spans="1:7">
      <c r="A224" s="74" t="s">
        <v>173</v>
      </c>
      <c r="B224" s="75">
        <v>21</v>
      </c>
      <c r="C224" s="75" t="s">
        <v>205</v>
      </c>
      <c r="D224" s="75" t="s">
        <v>206</v>
      </c>
      <c r="E224" s="75" t="s">
        <v>280</v>
      </c>
      <c r="F224" s="75">
        <v>1</v>
      </c>
      <c r="G224" s="81" t="str">
        <f>VLOOKUP($E224, MonsterData!$A$5:$G$13, 5, 0)</f>
        <v>B</v>
      </c>
    </row>
    <row r="225" spans="1:7">
      <c r="A225" s="70" t="s">
        <v>220</v>
      </c>
      <c r="B225" s="71">
        <v>0</v>
      </c>
      <c r="C225" s="71" t="s">
        <v>205</v>
      </c>
      <c r="D225" s="71" t="s">
        <v>206</v>
      </c>
      <c r="E225" s="71" t="s">
        <v>207</v>
      </c>
      <c r="F225" s="71">
        <v>1</v>
      </c>
      <c r="G225" s="80" t="str">
        <f>VLOOKUP($E225, MonsterData!$A$5:$G$13, 5, 0)</f>
        <v>S</v>
      </c>
    </row>
    <row r="226" spans="1:7">
      <c r="A226" s="74" t="s">
        <v>175</v>
      </c>
      <c r="B226" s="75">
        <v>1</v>
      </c>
      <c r="C226" s="75" t="s">
        <v>205</v>
      </c>
      <c r="D226" s="75" t="s">
        <v>206</v>
      </c>
      <c r="E226" s="75" t="s">
        <v>208</v>
      </c>
      <c r="F226" s="75">
        <v>1</v>
      </c>
      <c r="G226" s="81" t="str">
        <f>VLOOKUP($E226, MonsterData!$A$5:$G$13, 5, 0)</f>
        <v>M</v>
      </c>
    </row>
    <row r="227" spans="1:7">
      <c r="A227" s="70" t="s">
        <v>220</v>
      </c>
      <c r="B227" s="71">
        <v>2</v>
      </c>
      <c r="C227" s="71" t="s">
        <v>205</v>
      </c>
      <c r="D227" s="71" t="s">
        <v>206</v>
      </c>
      <c r="E227" s="71" t="s">
        <v>209</v>
      </c>
      <c r="F227" s="71">
        <v>1</v>
      </c>
      <c r="G227" s="80" t="str">
        <f>VLOOKUP($E227, MonsterData!$A$5:$G$13, 5, 0)</f>
        <v>M</v>
      </c>
    </row>
    <row r="228" spans="1:7">
      <c r="A228" s="74" t="s">
        <v>175</v>
      </c>
      <c r="B228" s="75">
        <v>3</v>
      </c>
      <c r="C228" s="75" t="s">
        <v>205</v>
      </c>
      <c r="D228" s="75" t="s">
        <v>206</v>
      </c>
      <c r="E228" s="75" t="s">
        <v>210</v>
      </c>
      <c r="F228" s="75">
        <v>1</v>
      </c>
      <c r="G228" s="81" t="str">
        <f>VLOOKUP($E228, MonsterData!$A$5:$G$13, 5, 0)</f>
        <v>S</v>
      </c>
    </row>
    <row r="229" spans="1:7">
      <c r="A229" s="70" t="s">
        <v>220</v>
      </c>
      <c r="B229" s="71">
        <v>4</v>
      </c>
      <c r="C229" s="71" t="s">
        <v>205</v>
      </c>
      <c r="D229" s="71" t="s">
        <v>206</v>
      </c>
      <c r="E229" s="71" t="s">
        <v>208</v>
      </c>
      <c r="F229" s="71">
        <v>1</v>
      </c>
      <c r="G229" s="80" t="str">
        <f>VLOOKUP($E229, MonsterData!$A$5:$G$13, 5, 0)</f>
        <v>M</v>
      </c>
    </row>
    <row r="230" spans="1:7">
      <c r="A230" s="74" t="s">
        <v>175</v>
      </c>
      <c r="B230" s="75">
        <v>5</v>
      </c>
      <c r="C230" s="75" t="s">
        <v>205</v>
      </c>
      <c r="D230" s="75" t="s">
        <v>206</v>
      </c>
      <c r="E230" s="75" t="s">
        <v>207</v>
      </c>
      <c r="F230" s="75">
        <v>1</v>
      </c>
      <c r="G230" s="81" t="str">
        <f>VLOOKUP($E230, MonsterData!$A$5:$G$13, 5, 0)</f>
        <v>S</v>
      </c>
    </row>
    <row r="231" spans="1:7">
      <c r="A231" s="70" t="s">
        <v>220</v>
      </c>
      <c r="B231" s="71">
        <v>6</v>
      </c>
      <c r="C231" s="71" t="s">
        <v>205</v>
      </c>
      <c r="D231" s="71" t="s">
        <v>206</v>
      </c>
      <c r="E231" s="71" t="s">
        <v>208</v>
      </c>
      <c r="F231" s="71">
        <v>1</v>
      </c>
      <c r="G231" s="80" t="str">
        <f>VLOOKUP($E231, MonsterData!$A$5:$G$13, 5, 0)</f>
        <v>M</v>
      </c>
    </row>
    <row r="232" spans="1:7">
      <c r="A232" s="74" t="s">
        <v>175</v>
      </c>
      <c r="B232" s="75">
        <v>7</v>
      </c>
      <c r="C232" s="75" t="s">
        <v>205</v>
      </c>
      <c r="D232" s="75" t="s">
        <v>206</v>
      </c>
      <c r="E232" s="75" t="s">
        <v>209</v>
      </c>
      <c r="F232" s="75">
        <v>1</v>
      </c>
      <c r="G232" s="81" t="str">
        <f>VLOOKUP($E232, MonsterData!$A$5:$G$13, 5, 0)</f>
        <v>M</v>
      </c>
    </row>
    <row r="233" spans="1:7">
      <c r="A233" s="70" t="s">
        <v>220</v>
      </c>
      <c r="B233" s="71">
        <v>8</v>
      </c>
      <c r="C233" s="71" t="s">
        <v>205</v>
      </c>
      <c r="D233" s="71" t="s">
        <v>206</v>
      </c>
      <c r="E233" s="71" t="s">
        <v>210</v>
      </c>
      <c r="F233" s="71">
        <v>1</v>
      </c>
      <c r="G233" s="80" t="str">
        <f>VLOOKUP($E233, MonsterData!$A$5:$G$13, 5, 0)</f>
        <v>S</v>
      </c>
    </row>
    <row r="234" spans="1:7">
      <c r="A234" s="74" t="s">
        <v>175</v>
      </c>
      <c r="B234" s="75">
        <v>9</v>
      </c>
      <c r="C234" s="75" t="s">
        <v>205</v>
      </c>
      <c r="D234" s="75" t="s">
        <v>206</v>
      </c>
      <c r="E234" s="75" t="s">
        <v>208</v>
      </c>
      <c r="F234" s="75">
        <v>1</v>
      </c>
      <c r="G234" s="81" t="str">
        <f>VLOOKUP($E234, MonsterData!$A$5:$G$13, 5, 0)</f>
        <v>M</v>
      </c>
    </row>
    <row r="235" spans="1:7">
      <c r="A235" s="70" t="s">
        <v>220</v>
      </c>
      <c r="B235" s="71">
        <v>10</v>
      </c>
      <c r="C235" s="71" t="s">
        <v>205</v>
      </c>
      <c r="D235" s="71" t="s">
        <v>206</v>
      </c>
      <c r="E235" s="71" t="s">
        <v>280</v>
      </c>
      <c r="F235" s="71">
        <v>1</v>
      </c>
      <c r="G235" s="80" t="str">
        <f>VLOOKUP($E235, MonsterData!$A$5:$G$13, 5, 0)</f>
        <v>B</v>
      </c>
    </row>
    <row r="236" spans="1:7">
      <c r="A236" s="74" t="s">
        <v>175</v>
      </c>
      <c r="B236" s="75">
        <v>11</v>
      </c>
      <c r="C236" s="75" t="s">
        <v>205</v>
      </c>
      <c r="D236" s="75" t="s">
        <v>206</v>
      </c>
      <c r="E236" s="75" t="s">
        <v>207</v>
      </c>
      <c r="F236" s="75">
        <v>1</v>
      </c>
      <c r="G236" s="81" t="str">
        <f>VLOOKUP($E236, MonsterData!$A$5:$G$13, 5, 0)</f>
        <v>S</v>
      </c>
    </row>
    <row r="237" spans="1:7">
      <c r="A237" s="70" t="s">
        <v>220</v>
      </c>
      <c r="B237" s="71">
        <v>12</v>
      </c>
      <c r="C237" s="71" t="s">
        <v>205</v>
      </c>
      <c r="D237" s="71" t="s">
        <v>206</v>
      </c>
      <c r="E237" s="71" t="s">
        <v>208</v>
      </c>
      <c r="F237" s="71">
        <v>1</v>
      </c>
      <c r="G237" s="80" t="str">
        <f>VLOOKUP($E237, MonsterData!$A$5:$G$13, 5, 0)</f>
        <v>M</v>
      </c>
    </row>
    <row r="238" spans="1:7">
      <c r="A238" s="74" t="s">
        <v>175</v>
      </c>
      <c r="B238" s="75">
        <v>13</v>
      </c>
      <c r="C238" s="75" t="s">
        <v>205</v>
      </c>
      <c r="D238" s="75" t="s">
        <v>206</v>
      </c>
      <c r="E238" s="75" t="s">
        <v>209</v>
      </c>
      <c r="F238" s="75">
        <v>1</v>
      </c>
      <c r="G238" s="81" t="str">
        <f>VLOOKUP($E238, MonsterData!$A$5:$G$13, 5, 0)</f>
        <v>M</v>
      </c>
    </row>
    <row r="239" spans="1:7">
      <c r="A239" s="70" t="s">
        <v>220</v>
      </c>
      <c r="B239" s="71">
        <v>14</v>
      </c>
      <c r="C239" s="71" t="s">
        <v>205</v>
      </c>
      <c r="D239" s="71" t="s">
        <v>206</v>
      </c>
      <c r="E239" s="71" t="s">
        <v>210</v>
      </c>
      <c r="F239" s="71">
        <v>1</v>
      </c>
      <c r="G239" s="80" t="str">
        <f>VLOOKUP($E239, MonsterData!$A$5:$G$13, 5, 0)</f>
        <v>S</v>
      </c>
    </row>
    <row r="240" spans="1:7">
      <c r="A240" s="74" t="s">
        <v>175</v>
      </c>
      <c r="B240" s="75">
        <v>15</v>
      </c>
      <c r="C240" s="75" t="s">
        <v>205</v>
      </c>
      <c r="D240" s="75" t="s">
        <v>206</v>
      </c>
      <c r="E240" s="75" t="s">
        <v>208</v>
      </c>
      <c r="F240" s="75">
        <v>1</v>
      </c>
      <c r="G240" s="81" t="str">
        <f>VLOOKUP($E240, MonsterData!$A$5:$G$13, 5, 0)</f>
        <v>M</v>
      </c>
    </row>
    <row r="241" spans="1:7">
      <c r="A241" s="70" t="s">
        <v>220</v>
      </c>
      <c r="B241" s="71">
        <v>16</v>
      </c>
      <c r="C241" s="71" t="s">
        <v>205</v>
      </c>
      <c r="D241" s="71" t="s">
        <v>206</v>
      </c>
      <c r="E241" s="71" t="s">
        <v>207</v>
      </c>
      <c r="F241" s="71">
        <v>1</v>
      </c>
      <c r="G241" s="80" t="str">
        <f>VLOOKUP($E241, MonsterData!$A$5:$G$13, 5, 0)</f>
        <v>S</v>
      </c>
    </row>
    <row r="242" spans="1:7">
      <c r="A242" s="74" t="s">
        <v>175</v>
      </c>
      <c r="B242" s="75">
        <v>17</v>
      </c>
      <c r="C242" s="75" t="s">
        <v>205</v>
      </c>
      <c r="D242" s="75" t="s">
        <v>206</v>
      </c>
      <c r="E242" s="75" t="s">
        <v>208</v>
      </c>
      <c r="F242" s="75">
        <v>1</v>
      </c>
      <c r="G242" s="81" t="str">
        <f>VLOOKUP($E242, MonsterData!$A$5:$G$13, 5, 0)</f>
        <v>M</v>
      </c>
    </row>
    <row r="243" spans="1:7">
      <c r="A243" s="70" t="s">
        <v>220</v>
      </c>
      <c r="B243" s="71">
        <v>18</v>
      </c>
      <c r="C243" s="71" t="s">
        <v>205</v>
      </c>
      <c r="D243" s="71" t="s">
        <v>206</v>
      </c>
      <c r="E243" s="71" t="s">
        <v>209</v>
      </c>
      <c r="F243" s="71">
        <v>1</v>
      </c>
      <c r="G243" s="80" t="str">
        <f>VLOOKUP($E243, MonsterData!$A$5:$G$13, 5, 0)</f>
        <v>M</v>
      </c>
    </row>
    <row r="244" spans="1:7">
      <c r="A244" s="74" t="s">
        <v>175</v>
      </c>
      <c r="B244" s="75">
        <v>19</v>
      </c>
      <c r="C244" s="75" t="s">
        <v>205</v>
      </c>
      <c r="D244" s="75" t="s">
        <v>206</v>
      </c>
      <c r="E244" s="75" t="s">
        <v>210</v>
      </c>
      <c r="F244" s="75">
        <v>1</v>
      </c>
      <c r="G244" s="81" t="str">
        <f>VLOOKUP($E244, MonsterData!$A$5:$G$13, 5, 0)</f>
        <v>S</v>
      </c>
    </row>
    <row r="245" spans="1:7">
      <c r="A245" s="70" t="s">
        <v>220</v>
      </c>
      <c r="B245" s="71">
        <v>20</v>
      </c>
      <c r="C245" s="71" t="s">
        <v>205</v>
      </c>
      <c r="D245" s="71" t="s">
        <v>206</v>
      </c>
      <c r="E245" s="71" t="s">
        <v>208</v>
      </c>
      <c r="F245" s="71">
        <v>1</v>
      </c>
      <c r="G245" s="80" t="str">
        <f>VLOOKUP($E245, MonsterData!$A$5:$G$13, 5, 0)</f>
        <v>M</v>
      </c>
    </row>
    <row r="246" spans="1:7">
      <c r="A246" s="74" t="s">
        <v>175</v>
      </c>
      <c r="B246" s="75">
        <v>21</v>
      </c>
      <c r="C246" s="75" t="s">
        <v>205</v>
      </c>
      <c r="D246" s="75" t="s">
        <v>206</v>
      </c>
      <c r="E246" s="75" t="s">
        <v>281</v>
      </c>
      <c r="F246" s="75">
        <v>1</v>
      </c>
      <c r="G246" s="81" t="str">
        <f>VLOOKUP($E246, MonsterData!$A$5:$G$13, 5, 0)</f>
        <v>M</v>
      </c>
    </row>
    <row r="247" spans="1:7">
      <c r="A247" s="70" t="s">
        <v>221</v>
      </c>
      <c r="B247" s="71">
        <v>0</v>
      </c>
      <c r="C247" s="71" t="s">
        <v>205</v>
      </c>
      <c r="D247" s="71" t="s">
        <v>206</v>
      </c>
      <c r="E247" s="71" t="s">
        <v>209</v>
      </c>
      <c r="F247" s="71">
        <v>1</v>
      </c>
      <c r="G247" s="80" t="str">
        <f>VLOOKUP($E247, MonsterData!$A$5:$G$13, 5, 0)</f>
        <v>M</v>
      </c>
    </row>
    <row r="248" spans="1:7">
      <c r="A248" s="74" t="s">
        <v>177</v>
      </c>
      <c r="B248" s="75">
        <v>1</v>
      </c>
      <c r="C248" s="75" t="s">
        <v>205</v>
      </c>
      <c r="D248" s="75" t="s">
        <v>206</v>
      </c>
      <c r="E248" s="75" t="s">
        <v>210</v>
      </c>
      <c r="F248" s="75">
        <v>1</v>
      </c>
      <c r="G248" s="81" t="str">
        <f>VLOOKUP($E248, MonsterData!$A$5:$G$13, 5, 0)</f>
        <v>S</v>
      </c>
    </row>
    <row r="249" spans="1:7">
      <c r="A249" s="70" t="s">
        <v>221</v>
      </c>
      <c r="B249" s="71">
        <v>2</v>
      </c>
      <c r="C249" s="71" t="s">
        <v>205</v>
      </c>
      <c r="D249" s="71" t="s">
        <v>206</v>
      </c>
      <c r="E249" s="71" t="s">
        <v>208</v>
      </c>
      <c r="F249" s="71">
        <v>1</v>
      </c>
      <c r="G249" s="80" t="str">
        <f>VLOOKUP($E249, MonsterData!$A$5:$G$13, 5, 0)</f>
        <v>M</v>
      </c>
    </row>
    <row r="250" spans="1:7">
      <c r="A250" s="74" t="s">
        <v>177</v>
      </c>
      <c r="B250" s="75">
        <v>3</v>
      </c>
      <c r="C250" s="75" t="s">
        <v>205</v>
      </c>
      <c r="D250" s="75" t="s">
        <v>206</v>
      </c>
      <c r="E250" s="75" t="s">
        <v>207</v>
      </c>
      <c r="F250" s="75">
        <v>1</v>
      </c>
      <c r="G250" s="81" t="str">
        <f>VLOOKUP($E250, MonsterData!$A$5:$G$13, 5, 0)</f>
        <v>S</v>
      </c>
    </row>
    <row r="251" spans="1:7">
      <c r="A251" s="70" t="s">
        <v>221</v>
      </c>
      <c r="B251" s="71">
        <v>4</v>
      </c>
      <c r="C251" s="71" t="s">
        <v>205</v>
      </c>
      <c r="D251" s="71" t="s">
        <v>206</v>
      </c>
      <c r="E251" s="71" t="s">
        <v>208</v>
      </c>
      <c r="F251" s="71">
        <v>1</v>
      </c>
      <c r="G251" s="80" t="str">
        <f>VLOOKUP($E251, MonsterData!$A$5:$G$13, 5, 0)</f>
        <v>M</v>
      </c>
    </row>
    <row r="252" spans="1:7">
      <c r="A252" s="74" t="s">
        <v>177</v>
      </c>
      <c r="B252" s="75">
        <v>5</v>
      </c>
      <c r="C252" s="75" t="s">
        <v>205</v>
      </c>
      <c r="D252" s="75" t="s">
        <v>206</v>
      </c>
      <c r="E252" s="75" t="s">
        <v>209</v>
      </c>
      <c r="F252" s="75">
        <v>1</v>
      </c>
      <c r="G252" s="81" t="str">
        <f>VLOOKUP($E252, MonsterData!$A$5:$G$13, 5, 0)</f>
        <v>M</v>
      </c>
    </row>
    <row r="253" spans="1:7">
      <c r="A253" s="70" t="s">
        <v>221</v>
      </c>
      <c r="B253" s="71">
        <v>6</v>
      </c>
      <c r="C253" s="71" t="s">
        <v>205</v>
      </c>
      <c r="D253" s="71" t="s">
        <v>206</v>
      </c>
      <c r="E253" s="71" t="s">
        <v>210</v>
      </c>
      <c r="F253" s="71">
        <v>1</v>
      </c>
      <c r="G253" s="80" t="str">
        <f>VLOOKUP($E253, MonsterData!$A$5:$G$13, 5, 0)</f>
        <v>S</v>
      </c>
    </row>
    <row r="254" spans="1:7">
      <c r="A254" s="74" t="s">
        <v>177</v>
      </c>
      <c r="B254" s="75">
        <v>7</v>
      </c>
      <c r="C254" s="75" t="s">
        <v>205</v>
      </c>
      <c r="D254" s="75" t="s">
        <v>206</v>
      </c>
      <c r="E254" s="75" t="s">
        <v>208</v>
      </c>
      <c r="F254" s="75">
        <v>1</v>
      </c>
      <c r="G254" s="81" t="str">
        <f>VLOOKUP($E254, MonsterData!$A$5:$G$13, 5, 0)</f>
        <v>M</v>
      </c>
    </row>
    <row r="255" spans="1:7">
      <c r="A255" s="70" t="s">
        <v>221</v>
      </c>
      <c r="B255" s="71">
        <v>8</v>
      </c>
      <c r="C255" s="71" t="s">
        <v>205</v>
      </c>
      <c r="D255" s="71" t="s">
        <v>206</v>
      </c>
      <c r="E255" s="71" t="s">
        <v>207</v>
      </c>
      <c r="F255" s="71">
        <v>1</v>
      </c>
      <c r="G255" s="80" t="str">
        <f>VLOOKUP($E255, MonsterData!$A$5:$G$13, 5, 0)</f>
        <v>S</v>
      </c>
    </row>
    <row r="256" spans="1:7">
      <c r="A256" s="74" t="s">
        <v>177</v>
      </c>
      <c r="B256" s="75">
        <v>9</v>
      </c>
      <c r="C256" s="75" t="s">
        <v>205</v>
      </c>
      <c r="D256" s="75" t="s">
        <v>206</v>
      </c>
      <c r="E256" s="75" t="s">
        <v>208</v>
      </c>
      <c r="F256" s="75">
        <v>1</v>
      </c>
      <c r="G256" s="81" t="str">
        <f>VLOOKUP($E256, MonsterData!$A$5:$G$13, 5, 0)</f>
        <v>M</v>
      </c>
    </row>
    <row r="257" spans="1:7">
      <c r="A257" s="70" t="s">
        <v>221</v>
      </c>
      <c r="B257" s="71">
        <v>10</v>
      </c>
      <c r="C257" s="71" t="s">
        <v>205</v>
      </c>
      <c r="D257" s="71" t="s">
        <v>206</v>
      </c>
      <c r="E257" s="71" t="s">
        <v>281</v>
      </c>
      <c r="F257" s="71">
        <v>1</v>
      </c>
      <c r="G257" s="80" t="str">
        <f>VLOOKUP($E257, MonsterData!$A$5:$G$13, 5, 0)</f>
        <v>M</v>
      </c>
    </row>
    <row r="258" spans="1:7">
      <c r="A258" s="74" t="s">
        <v>177</v>
      </c>
      <c r="B258" s="75">
        <v>11</v>
      </c>
      <c r="C258" s="75" t="s">
        <v>205</v>
      </c>
      <c r="D258" s="75" t="s">
        <v>206</v>
      </c>
      <c r="E258" s="75" t="s">
        <v>209</v>
      </c>
      <c r="F258" s="75">
        <v>1</v>
      </c>
      <c r="G258" s="81" t="str">
        <f>VLOOKUP($E258, MonsterData!$A$5:$G$13, 5, 0)</f>
        <v>M</v>
      </c>
    </row>
    <row r="259" spans="1:7">
      <c r="A259" s="70" t="s">
        <v>221</v>
      </c>
      <c r="B259" s="71">
        <v>12</v>
      </c>
      <c r="C259" s="71" t="s">
        <v>205</v>
      </c>
      <c r="D259" s="71" t="s">
        <v>206</v>
      </c>
      <c r="E259" s="71" t="s">
        <v>210</v>
      </c>
      <c r="F259" s="71">
        <v>1</v>
      </c>
      <c r="G259" s="80" t="str">
        <f>VLOOKUP($E259, MonsterData!$A$5:$G$13, 5, 0)</f>
        <v>S</v>
      </c>
    </row>
    <row r="260" spans="1:7">
      <c r="A260" s="74" t="s">
        <v>177</v>
      </c>
      <c r="B260" s="75">
        <v>13</v>
      </c>
      <c r="C260" s="75" t="s">
        <v>205</v>
      </c>
      <c r="D260" s="75" t="s">
        <v>206</v>
      </c>
      <c r="E260" s="75" t="s">
        <v>208</v>
      </c>
      <c r="F260" s="75">
        <v>1</v>
      </c>
      <c r="G260" s="81" t="str">
        <f>VLOOKUP($E260, MonsterData!$A$5:$G$13, 5, 0)</f>
        <v>M</v>
      </c>
    </row>
    <row r="261" spans="1:7">
      <c r="A261" s="70" t="s">
        <v>221</v>
      </c>
      <c r="B261" s="71">
        <v>14</v>
      </c>
      <c r="C261" s="71" t="s">
        <v>205</v>
      </c>
      <c r="D261" s="71" t="s">
        <v>206</v>
      </c>
      <c r="E261" s="71" t="s">
        <v>207</v>
      </c>
      <c r="F261" s="71">
        <v>1</v>
      </c>
      <c r="G261" s="80" t="str">
        <f>VLOOKUP($E261, MonsterData!$A$5:$G$13, 5, 0)</f>
        <v>S</v>
      </c>
    </row>
    <row r="262" spans="1:7">
      <c r="A262" s="74" t="s">
        <v>177</v>
      </c>
      <c r="B262" s="75">
        <v>15</v>
      </c>
      <c r="C262" s="75" t="s">
        <v>205</v>
      </c>
      <c r="D262" s="75" t="s">
        <v>206</v>
      </c>
      <c r="E262" s="75" t="s">
        <v>208</v>
      </c>
      <c r="F262" s="75">
        <v>1</v>
      </c>
      <c r="G262" s="81" t="str">
        <f>VLOOKUP($E262, MonsterData!$A$5:$G$13, 5, 0)</f>
        <v>M</v>
      </c>
    </row>
    <row r="263" spans="1:7">
      <c r="A263" s="70" t="s">
        <v>221</v>
      </c>
      <c r="B263" s="71">
        <v>16</v>
      </c>
      <c r="C263" s="71" t="s">
        <v>205</v>
      </c>
      <c r="D263" s="71" t="s">
        <v>206</v>
      </c>
      <c r="E263" s="71" t="s">
        <v>209</v>
      </c>
      <c r="F263" s="71">
        <v>1</v>
      </c>
      <c r="G263" s="80" t="str">
        <f>VLOOKUP($E263, MonsterData!$A$5:$G$13, 5, 0)</f>
        <v>M</v>
      </c>
    </row>
    <row r="264" spans="1:7">
      <c r="A264" s="74" t="s">
        <v>177</v>
      </c>
      <c r="B264" s="75">
        <v>17</v>
      </c>
      <c r="C264" s="75" t="s">
        <v>205</v>
      </c>
      <c r="D264" s="75" t="s">
        <v>206</v>
      </c>
      <c r="E264" s="75" t="s">
        <v>210</v>
      </c>
      <c r="F264" s="75">
        <v>1</v>
      </c>
      <c r="G264" s="81" t="str">
        <f>VLOOKUP($E264, MonsterData!$A$5:$G$13, 5, 0)</f>
        <v>S</v>
      </c>
    </row>
    <row r="265" spans="1:7">
      <c r="A265" s="70" t="s">
        <v>221</v>
      </c>
      <c r="B265" s="71">
        <v>18</v>
      </c>
      <c r="C265" s="71" t="s">
        <v>205</v>
      </c>
      <c r="D265" s="71" t="s">
        <v>206</v>
      </c>
      <c r="E265" s="71" t="s">
        <v>208</v>
      </c>
      <c r="F265" s="71">
        <v>1</v>
      </c>
      <c r="G265" s="80" t="str">
        <f>VLOOKUP($E265, MonsterData!$A$5:$G$13, 5, 0)</f>
        <v>M</v>
      </c>
    </row>
    <row r="266" spans="1:7">
      <c r="A266" s="74" t="s">
        <v>177</v>
      </c>
      <c r="B266" s="75">
        <v>19</v>
      </c>
      <c r="C266" s="75" t="s">
        <v>205</v>
      </c>
      <c r="D266" s="75" t="s">
        <v>206</v>
      </c>
      <c r="E266" s="75" t="s">
        <v>207</v>
      </c>
      <c r="F266" s="75">
        <v>1</v>
      </c>
      <c r="G266" s="81" t="str">
        <f>VLOOKUP($E266, MonsterData!$A$5:$G$13, 5, 0)</f>
        <v>S</v>
      </c>
    </row>
    <row r="267" spans="1:7">
      <c r="A267" s="70" t="s">
        <v>221</v>
      </c>
      <c r="B267" s="71">
        <v>20</v>
      </c>
      <c r="C267" s="71" t="s">
        <v>205</v>
      </c>
      <c r="D267" s="71" t="s">
        <v>206</v>
      </c>
      <c r="E267" s="71" t="s">
        <v>208</v>
      </c>
      <c r="F267" s="71">
        <v>1</v>
      </c>
      <c r="G267" s="80" t="str">
        <f>VLOOKUP($E267, MonsterData!$A$5:$G$13, 5, 0)</f>
        <v>M</v>
      </c>
    </row>
    <row r="268" spans="1:7">
      <c r="A268" s="74" t="s">
        <v>177</v>
      </c>
      <c r="B268" s="75">
        <v>21</v>
      </c>
      <c r="C268" s="75" t="s">
        <v>205</v>
      </c>
      <c r="D268" s="75" t="s">
        <v>206</v>
      </c>
      <c r="E268" s="75" t="s">
        <v>280</v>
      </c>
      <c r="F268" s="75">
        <v>1</v>
      </c>
      <c r="G268" s="81" t="str">
        <f>VLOOKUP($E268, MonsterData!$A$5:$G$13, 5, 0)</f>
        <v>B</v>
      </c>
    </row>
    <row r="269" spans="1:7">
      <c r="A269" s="70" t="s">
        <v>222</v>
      </c>
      <c r="B269" s="71">
        <v>0</v>
      </c>
      <c r="C269" s="71" t="s">
        <v>205</v>
      </c>
      <c r="D269" s="71" t="s">
        <v>206</v>
      </c>
      <c r="E269" s="71" t="s">
        <v>208</v>
      </c>
      <c r="F269" s="71">
        <v>1</v>
      </c>
      <c r="G269" s="80" t="str">
        <f>VLOOKUP($E269, MonsterData!$A$5:$G$13, 5, 0)</f>
        <v>M</v>
      </c>
    </row>
    <row r="270" spans="1:7">
      <c r="A270" s="74" t="s">
        <v>179</v>
      </c>
      <c r="B270" s="75">
        <v>1</v>
      </c>
      <c r="C270" s="75" t="s">
        <v>205</v>
      </c>
      <c r="D270" s="75" t="s">
        <v>206</v>
      </c>
      <c r="E270" s="75" t="s">
        <v>207</v>
      </c>
      <c r="F270" s="75">
        <v>1</v>
      </c>
      <c r="G270" s="81" t="str">
        <f>VLOOKUP($E270, MonsterData!$A$5:$G$13, 5, 0)</f>
        <v>S</v>
      </c>
    </row>
    <row r="271" spans="1:7">
      <c r="A271" s="70" t="s">
        <v>222</v>
      </c>
      <c r="B271" s="71">
        <v>2</v>
      </c>
      <c r="C271" s="71" t="s">
        <v>205</v>
      </c>
      <c r="D271" s="71" t="s">
        <v>206</v>
      </c>
      <c r="E271" s="71" t="s">
        <v>208</v>
      </c>
      <c r="F271" s="71">
        <v>1</v>
      </c>
      <c r="G271" s="80" t="str">
        <f>VLOOKUP($E271, MonsterData!$A$5:$G$13, 5, 0)</f>
        <v>M</v>
      </c>
    </row>
    <row r="272" spans="1:7">
      <c r="A272" s="74" t="s">
        <v>179</v>
      </c>
      <c r="B272" s="75">
        <v>3</v>
      </c>
      <c r="C272" s="75" t="s">
        <v>205</v>
      </c>
      <c r="D272" s="75" t="s">
        <v>206</v>
      </c>
      <c r="E272" s="75" t="s">
        <v>209</v>
      </c>
      <c r="F272" s="75">
        <v>1</v>
      </c>
      <c r="G272" s="81" t="str">
        <f>VLOOKUP($E272, MonsterData!$A$5:$G$13, 5, 0)</f>
        <v>M</v>
      </c>
    </row>
    <row r="273" spans="1:7">
      <c r="A273" s="70" t="s">
        <v>222</v>
      </c>
      <c r="B273" s="71">
        <v>4</v>
      </c>
      <c r="C273" s="71" t="s">
        <v>205</v>
      </c>
      <c r="D273" s="71" t="s">
        <v>206</v>
      </c>
      <c r="E273" s="71" t="s">
        <v>210</v>
      </c>
      <c r="F273" s="71">
        <v>1</v>
      </c>
      <c r="G273" s="80" t="str">
        <f>VLOOKUP($E273, MonsterData!$A$5:$G$13, 5, 0)</f>
        <v>S</v>
      </c>
    </row>
    <row r="274" spans="1:7">
      <c r="A274" s="74" t="s">
        <v>179</v>
      </c>
      <c r="B274" s="75">
        <v>5</v>
      </c>
      <c r="C274" s="75" t="s">
        <v>205</v>
      </c>
      <c r="D274" s="75" t="s">
        <v>206</v>
      </c>
      <c r="E274" s="75" t="s">
        <v>208</v>
      </c>
      <c r="F274" s="75">
        <v>1</v>
      </c>
      <c r="G274" s="81" t="str">
        <f>VLOOKUP($E274, MonsterData!$A$5:$G$13, 5, 0)</f>
        <v>M</v>
      </c>
    </row>
    <row r="275" spans="1:7">
      <c r="A275" s="70" t="s">
        <v>222</v>
      </c>
      <c r="B275" s="71">
        <v>6</v>
      </c>
      <c r="C275" s="71" t="s">
        <v>205</v>
      </c>
      <c r="D275" s="71" t="s">
        <v>206</v>
      </c>
      <c r="E275" s="71" t="s">
        <v>207</v>
      </c>
      <c r="F275" s="71">
        <v>1</v>
      </c>
      <c r="G275" s="80" t="str">
        <f>VLOOKUP($E275, MonsterData!$A$5:$G$13, 5, 0)</f>
        <v>S</v>
      </c>
    </row>
    <row r="276" spans="1:7">
      <c r="A276" s="74" t="s">
        <v>179</v>
      </c>
      <c r="B276" s="75">
        <v>7</v>
      </c>
      <c r="C276" s="75" t="s">
        <v>205</v>
      </c>
      <c r="D276" s="75" t="s">
        <v>206</v>
      </c>
      <c r="E276" s="75" t="s">
        <v>208</v>
      </c>
      <c r="F276" s="75">
        <v>1</v>
      </c>
      <c r="G276" s="81" t="str">
        <f>VLOOKUP($E276, MonsterData!$A$5:$G$13, 5, 0)</f>
        <v>M</v>
      </c>
    </row>
    <row r="277" spans="1:7">
      <c r="A277" s="70" t="s">
        <v>222</v>
      </c>
      <c r="B277" s="71">
        <v>8</v>
      </c>
      <c r="C277" s="71" t="s">
        <v>205</v>
      </c>
      <c r="D277" s="71" t="s">
        <v>206</v>
      </c>
      <c r="E277" s="71" t="s">
        <v>209</v>
      </c>
      <c r="F277" s="71">
        <v>1</v>
      </c>
      <c r="G277" s="80" t="str">
        <f>VLOOKUP($E277, MonsterData!$A$5:$G$13, 5, 0)</f>
        <v>M</v>
      </c>
    </row>
    <row r="278" spans="1:7">
      <c r="A278" s="74" t="s">
        <v>179</v>
      </c>
      <c r="B278" s="75">
        <v>9</v>
      </c>
      <c r="C278" s="75" t="s">
        <v>205</v>
      </c>
      <c r="D278" s="75" t="s">
        <v>206</v>
      </c>
      <c r="E278" s="75" t="s">
        <v>210</v>
      </c>
      <c r="F278" s="75">
        <v>1</v>
      </c>
      <c r="G278" s="81" t="str">
        <f>VLOOKUP($E278, MonsterData!$A$5:$G$13, 5, 0)</f>
        <v>S</v>
      </c>
    </row>
    <row r="279" spans="1:7">
      <c r="A279" s="70" t="s">
        <v>222</v>
      </c>
      <c r="B279" s="71">
        <v>10</v>
      </c>
      <c r="C279" s="71" t="s">
        <v>205</v>
      </c>
      <c r="D279" s="71" t="s">
        <v>206</v>
      </c>
      <c r="E279" s="71" t="s">
        <v>280</v>
      </c>
      <c r="F279" s="71">
        <v>1</v>
      </c>
      <c r="G279" s="80" t="str">
        <f>VLOOKUP($E279, MonsterData!$A$5:$G$13, 5, 0)</f>
        <v>B</v>
      </c>
    </row>
    <row r="280" spans="1:7">
      <c r="A280" s="74" t="s">
        <v>179</v>
      </c>
      <c r="B280" s="75">
        <v>11</v>
      </c>
      <c r="C280" s="75" t="s">
        <v>205</v>
      </c>
      <c r="D280" s="75" t="s">
        <v>206</v>
      </c>
      <c r="E280" s="75" t="s">
        <v>208</v>
      </c>
      <c r="F280" s="75">
        <v>1</v>
      </c>
      <c r="G280" s="81" t="str">
        <f>VLOOKUP($E280, MonsterData!$A$5:$G$13, 5, 0)</f>
        <v>M</v>
      </c>
    </row>
    <row r="281" spans="1:7">
      <c r="A281" s="70" t="s">
        <v>222</v>
      </c>
      <c r="B281" s="71">
        <v>12</v>
      </c>
      <c r="C281" s="71" t="s">
        <v>205</v>
      </c>
      <c r="D281" s="71" t="s">
        <v>206</v>
      </c>
      <c r="E281" s="71" t="s">
        <v>207</v>
      </c>
      <c r="F281" s="71">
        <v>1</v>
      </c>
      <c r="G281" s="80" t="str">
        <f>VLOOKUP($E281, MonsterData!$A$5:$G$13, 5, 0)</f>
        <v>S</v>
      </c>
    </row>
    <row r="282" spans="1:7">
      <c r="A282" s="74" t="s">
        <v>179</v>
      </c>
      <c r="B282" s="75">
        <v>13</v>
      </c>
      <c r="C282" s="75" t="s">
        <v>205</v>
      </c>
      <c r="D282" s="75" t="s">
        <v>206</v>
      </c>
      <c r="E282" s="75" t="s">
        <v>208</v>
      </c>
      <c r="F282" s="75">
        <v>1</v>
      </c>
      <c r="G282" s="81" t="str">
        <f>VLOOKUP($E282, MonsterData!$A$5:$G$13, 5, 0)</f>
        <v>M</v>
      </c>
    </row>
    <row r="283" spans="1:7">
      <c r="A283" s="70" t="s">
        <v>222</v>
      </c>
      <c r="B283" s="71">
        <v>14</v>
      </c>
      <c r="C283" s="71" t="s">
        <v>205</v>
      </c>
      <c r="D283" s="71" t="s">
        <v>206</v>
      </c>
      <c r="E283" s="71" t="s">
        <v>209</v>
      </c>
      <c r="F283" s="71">
        <v>1</v>
      </c>
      <c r="G283" s="80" t="str">
        <f>VLOOKUP($E283, MonsterData!$A$5:$G$13, 5, 0)</f>
        <v>M</v>
      </c>
    </row>
    <row r="284" spans="1:7">
      <c r="A284" s="74" t="s">
        <v>179</v>
      </c>
      <c r="B284" s="75">
        <v>15</v>
      </c>
      <c r="C284" s="75" t="s">
        <v>205</v>
      </c>
      <c r="D284" s="75" t="s">
        <v>206</v>
      </c>
      <c r="E284" s="75" t="s">
        <v>210</v>
      </c>
      <c r="F284" s="75">
        <v>1</v>
      </c>
      <c r="G284" s="81" t="str">
        <f>VLOOKUP($E284, MonsterData!$A$5:$G$13, 5, 0)</f>
        <v>S</v>
      </c>
    </row>
    <row r="285" spans="1:7">
      <c r="A285" s="70" t="s">
        <v>222</v>
      </c>
      <c r="B285" s="71">
        <v>16</v>
      </c>
      <c r="C285" s="71" t="s">
        <v>205</v>
      </c>
      <c r="D285" s="71" t="s">
        <v>206</v>
      </c>
      <c r="E285" s="71" t="s">
        <v>208</v>
      </c>
      <c r="F285" s="71">
        <v>1</v>
      </c>
      <c r="G285" s="80" t="str">
        <f>VLOOKUP($E285, MonsterData!$A$5:$G$13, 5, 0)</f>
        <v>M</v>
      </c>
    </row>
    <row r="286" spans="1:7">
      <c r="A286" s="74" t="s">
        <v>179</v>
      </c>
      <c r="B286" s="75">
        <v>17</v>
      </c>
      <c r="C286" s="75" t="s">
        <v>205</v>
      </c>
      <c r="D286" s="75" t="s">
        <v>206</v>
      </c>
      <c r="E286" s="75" t="s">
        <v>207</v>
      </c>
      <c r="F286" s="75">
        <v>1</v>
      </c>
      <c r="G286" s="81" t="str">
        <f>VLOOKUP($E286, MonsterData!$A$5:$G$13, 5, 0)</f>
        <v>S</v>
      </c>
    </row>
    <row r="287" spans="1:7">
      <c r="A287" s="70" t="s">
        <v>222</v>
      </c>
      <c r="B287" s="71">
        <v>18</v>
      </c>
      <c r="C287" s="71" t="s">
        <v>205</v>
      </c>
      <c r="D287" s="71" t="s">
        <v>206</v>
      </c>
      <c r="E287" s="71" t="s">
        <v>208</v>
      </c>
      <c r="F287" s="71">
        <v>1</v>
      </c>
      <c r="G287" s="80" t="str">
        <f>VLOOKUP($E287, MonsterData!$A$5:$G$13, 5, 0)</f>
        <v>M</v>
      </c>
    </row>
    <row r="288" spans="1:7">
      <c r="A288" s="74" t="s">
        <v>179</v>
      </c>
      <c r="B288" s="75">
        <v>19</v>
      </c>
      <c r="C288" s="75" t="s">
        <v>205</v>
      </c>
      <c r="D288" s="75" t="s">
        <v>206</v>
      </c>
      <c r="E288" s="75" t="s">
        <v>209</v>
      </c>
      <c r="F288" s="75">
        <v>1</v>
      </c>
      <c r="G288" s="81" t="str">
        <f>VLOOKUP($E288, MonsterData!$A$5:$G$13, 5, 0)</f>
        <v>M</v>
      </c>
    </row>
    <row r="289" spans="1:7">
      <c r="A289" s="70" t="s">
        <v>222</v>
      </c>
      <c r="B289" s="71">
        <v>20</v>
      </c>
      <c r="C289" s="71" t="s">
        <v>205</v>
      </c>
      <c r="D289" s="71" t="s">
        <v>206</v>
      </c>
      <c r="E289" s="71" t="s">
        <v>210</v>
      </c>
      <c r="F289" s="71">
        <v>1</v>
      </c>
      <c r="G289" s="80" t="str">
        <f>VLOOKUP($E289, MonsterData!$A$5:$G$13, 5, 0)</f>
        <v>S</v>
      </c>
    </row>
    <row r="290" spans="1:7">
      <c r="A290" s="74" t="s">
        <v>179</v>
      </c>
      <c r="B290" s="75">
        <v>21</v>
      </c>
      <c r="C290" s="75" t="s">
        <v>205</v>
      </c>
      <c r="D290" s="75" t="s">
        <v>206</v>
      </c>
      <c r="E290" s="75" t="s">
        <v>281</v>
      </c>
      <c r="F290" s="75">
        <v>1</v>
      </c>
      <c r="G290" s="81" t="str">
        <f>VLOOKUP($E290, MonsterData!$A$5:$G$13, 5, 0)</f>
        <v>M</v>
      </c>
    </row>
    <row r="291" spans="1:7">
      <c r="A291" s="70" t="s">
        <v>223</v>
      </c>
      <c r="B291" s="71">
        <v>0</v>
      </c>
      <c r="C291" s="71" t="s">
        <v>205</v>
      </c>
      <c r="D291" s="71" t="s">
        <v>206</v>
      </c>
      <c r="E291" s="71" t="s">
        <v>208</v>
      </c>
      <c r="F291" s="71">
        <v>1</v>
      </c>
      <c r="G291" s="80" t="str">
        <f>VLOOKUP($E291, MonsterData!$A$5:$G$13, 5, 0)</f>
        <v>M</v>
      </c>
    </row>
    <row r="292" spans="1:7">
      <c r="A292" s="74" t="s">
        <v>181</v>
      </c>
      <c r="B292" s="75">
        <v>1</v>
      </c>
      <c r="C292" s="75" t="s">
        <v>205</v>
      </c>
      <c r="D292" s="75" t="s">
        <v>206</v>
      </c>
      <c r="E292" s="75" t="s">
        <v>209</v>
      </c>
      <c r="F292" s="75">
        <v>1</v>
      </c>
      <c r="G292" s="81" t="str">
        <f>VLOOKUP($E292, MonsterData!$A$5:$G$13, 5, 0)</f>
        <v>M</v>
      </c>
    </row>
    <row r="293" spans="1:7">
      <c r="A293" s="70" t="s">
        <v>223</v>
      </c>
      <c r="B293" s="71">
        <v>2</v>
      </c>
      <c r="C293" s="71" t="s">
        <v>205</v>
      </c>
      <c r="D293" s="71" t="s">
        <v>206</v>
      </c>
      <c r="E293" s="71" t="s">
        <v>210</v>
      </c>
      <c r="F293" s="71">
        <v>1</v>
      </c>
      <c r="G293" s="80" t="str">
        <f>VLOOKUP($E293, MonsterData!$A$5:$G$13, 5, 0)</f>
        <v>S</v>
      </c>
    </row>
    <row r="294" spans="1:7">
      <c r="A294" s="74" t="s">
        <v>181</v>
      </c>
      <c r="B294" s="75">
        <v>3</v>
      </c>
      <c r="C294" s="75" t="s">
        <v>205</v>
      </c>
      <c r="D294" s="75" t="s">
        <v>206</v>
      </c>
      <c r="E294" s="75" t="s">
        <v>208</v>
      </c>
      <c r="F294" s="75">
        <v>1</v>
      </c>
      <c r="G294" s="81" t="str">
        <f>VLOOKUP($E294, MonsterData!$A$5:$G$13, 5, 0)</f>
        <v>M</v>
      </c>
    </row>
    <row r="295" spans="1:7">
      <c r="A295" s="70" t="s">
        <v>223</v>
      </c>
      <c r="B295" s="71">
        <v>4</v>
      </c>
      <c r="C295" s="71" t="s">
        <v>205</v>
      </c>
      <c r="D295" s="71" t="s">
        <v>206</v>
      </c>
      <c r="E295" s="71" t="s">
        <v>207</v>
      </c>
      <c r="F295" s="71">
        <v>1</v>
      </c>
      <c r="G295" s="80" t="str">
        <f>VLOOKUP($E295, MonsterData!$A$5:$G$13, 5, 0)</f>
        <v>S</v>
      </c>
    </row>
    <row r="296" spans="1:7">
      <c r="A296" s="74" t="s">
        <v>181</v>
      </c>
      <c r="B296" s="75">
        <v>5</v>
      </c>
      <c r="C296" s="75" t="s">
        <v>205</v>
      </c>
      <c r="D296" s="75" t="s">
        <v>206</v>
      </c>
      <c r="E296" s="75" t="s">
        <v>208</v>
      </c>
      <c r="F296" s="75">
        <v>1</v>
      </c>
      <c r="G296" s="81" t="str">
        <f>VLOOKUP($E296, MonsterData!$A$5:$G$13, 5, 0)</f>
        <v>M</v>
      </c>
    </row>
    <row r="297" spans="1:7">
      <c r="A297" s="70" t="s">
        <v>223</v>
      </c>
      <c r="B297" s="71">
        <v>6</v>
      </c>
      <c r="C297" s="71" t="s">
        <v>205</v>
      </c>
      <c r="D297" s="71" t="s">
        <v>206</v>
      </c>
      <c r="E297" s="71" t="s">
        <v>209</v>
      </c>
      <c r="F297" s="71">
        <v>1</v>
      </c>
      <c r="G297" s="80" t="str">
        <f>VLOOKUP($E297, MonsterData!$A$5:$G$13, 5, 0)</f>
        <v>M</v>
      </c>
    </row>
    <row r="298" spans="1:7">
      <c r="A298" s="74" t="s">
        <v>181</v>
      </c>
      <c r="B298" s="75">
        <v>7</v>
      </c>
      <c r="C298" s="75" t="s">
        <v>205</v>
      </c>
      <c r="D298" s="75" t="s">
        <v>206</v>
      </c>
      <c r="E298" s="75" t="s">
        <v>210</v>
      </c>
      <c r="F298" s="75">
        <v>1</v>
      </c>
      <c r="G298" s="81" t="str">
        <f>VLOOKUP($E298, MonsterData!$A$5:$G$13, 5, 0)</f>
        <v>S</v>
      </c>
    </row>
    <row r="299" spans="1:7">
      <c r="A299" s="70" t="s">
        <v>223</v>
      </c>
      <c r="B299" s="71">
        <v>8</v>
      </c>
      <c r="C299" s="71" t="s">
        <v>205</v>
      </c>
      <c r="D299" s="71" t="s">
        <v>206</v>
      </c>
      <c r="E299" s="71" t="s">
        <v>208</v>
      </c>
      <c r="F299" s="71">
        <v>1</v>
      </c>
      <c r="G299" s="80" t="str">
        <f>VLOOKUP($E299, MonsterData!$A$5:$G$13, 5, 0)</f>
        <v>M</v>
      </c>
    </row>
    <row r="300" spans="1:7">
      <c r="A300" s="74" t="s">
        <v>181</v>
      </c>
      <c r="B300" s="75">
        <v>9</v>
      </c>
      <c r="C300" s="75" t="s">
        <v>205</v>
      </c>
      <c r="D300" s="75" t="s">
        <v>206</v>
      </c>
      <c r="E300" s="75" t="s">
        <v>207</v>
      </c>
      <c r="F300" s="75">
        <v>1</v>
      </c>
      <c r="G300" s="81" t="str">
        <f>VLOOKUP($E300, MonsterData!$A$5:$G$13, 5, 0)</f>
        <v>S</v>
      </c>
    </row>
    <row r="301" spans="1:7">
      <c r="A301" s="70" t="s">
        <v>223</v>
      </c>
      <c r="B301" s="71">
        <v>10</v>
      </c>
      <c r="C301" s="71" t="s">
        <v>205</v>
      </c>
      <c r="D301" s="71" t="s">
        <v>206</v>
      </c>
      <c r="E301" s="71" t="s">
        <v>281</v>
      </c>
      <c r="F301" s="71">
        <v>1</v>
      </c>
      <c r="G301" s="80" t="str">
        <f>VLOOKUP($E301, MonsterData!$A$5:$G$13, 5, 0)</f>
        <v>M</v>
      </c>
    </row>
    <row r="302" spans="1:7">
      <c r="A302" s="74" t="s">
        <v>181</v>
      </c>
      <c r="B302" s="75">
        <v>11</v>
      </c>
      <c r="C302" s="75" t="s">
        <v>205</v>
      </c>
      <c r="D302" s="75" t="s">
        <v>206</v>
      </c>
      <c r="E302" s="75" t="s">
        <v>208</v>
      </c>
      <c r="F302" s="75">
        <v>1</v>
      </c>
      <c r="G302" s="81" t="str">
        <f>VLOOKUP($E302, MonsterData!$A$5:$G$13, 5, 0)</f>
        <v>M</v>
      </c>
    </row>
    <row r="303" spans="1:7">
      <c r="A303" s="70" t="s">
        <v>223</v>
      </c>
      <c r="B303" s="71">
        <v>12</v>
      </c>
      <c r="C303" s="71" t="s">
        <v>205</v>
      </c>
      <c r="D303" s="71" t="s">
        <v>206</v>
      </c>
      <c r="E303" s="71" t="s">
        <v>209</v>
      </c>
      <c r="F303" s="71">
        <v>1</v>
      </c>
      <c r="G303" s="80" t="str">
        <f>VLOOKUP($E303, MonsterData!$A$5:$G$13, 5, 0)</f>
        <v>M</v>
      </c>
    </row>
    <row r="304" spans="1:7">
      <c r="A304" s="74" t="s">
        <v>181</v>
      </c>
      <c r="B304" s="75">
        <v>13</v>
      </c>
      <c r="C304" s="75" t="s">
        <v>205</v>
      </c>
      <c r="D304" s="75" t="s">
        <v>206</v>
      </c>
      <c r="E304" s="75" t="s">
        <v>210</v>
      </c>
      <c r="F304" s="75">
        <v>1</v>
      </c>
      <c r="G304" s="81" t="str">
        <f>VLOOKUP($E304, MonsterData!$A$5:$G$13, 5, 0)</f>
        <v>S</v>
      </c>
    </row>
    <row r="305" spans="1:7">
      <c r="A305" s="70" t="s">
        <v>223</v>
      </c>
      <c r="B305" s="71">
        <v>14</v>
      </c>
      <c r="C305" s="71" t="s">
        <v>205</v>
      </c>
      <c r="D305" s="71" t="s">
        <v>206</v>
      </c>
      <c r="E305" s="71" t="s">
        <v>208</v>
      </c>
      <c r="F305" s="71">
        <v>1</v>
      </c>
      <c r="G305" s="80" t="str">
        <f>VLOOKUP($E305, MonsterData!$A$5:$G$13, 5, 0)</f>
        <v>M</v>
      </c>
    </row>
    <row r="306" spans="1:7">
      <c r="A306" s="74" t="s">
        <v>181</v>
      </c>
      <c r="B306" s="75">
        <v>15</v>
      </c>
      <c r="C306" s="75" t="s">
        <v>205</v>
      </c>
      <c r="D306" s="75" t="s">
        <v>206</v>
      </c>
      <c r="E306" s="75" t="s">
        <v>207</v>
      </c>
      <c r="F306" s="75">
        <v>1</v>
      </c>
      <c r="G306" s="81" t="str">
        <f>VLOOKUP($E306, MonsterData!$A$5:$G$13, 5, 0)</f>
        <v>S</v>
      </c>
    </row>
    <row r="307" spans="1:7">
      <c r="A307" s="70" t="s">
        <v>223</v>
      </c>
      <c r="B307" s="71">
        <v>16</v>
      </c>
      <c r="C307" s="71" t="s">
        <v>205</v>
      </c>
      <c r="D307" s="71" t="s">
        <v>206</v>
      </c>
      <c r="E307" s="71" t="s">
        <v>208</v>
      </c>
      <c r="F307" s="71">
        <v>1</v>
      </c>
      <c r="G307" s="80" t="str">
        <f>VLOOKUP($E307, MonsterData!$A$5:$G$13, 5, 0)</f>
        <v>M</v>
      </c>
    </row>
    <row r="308" spans="1:7">
      <c r="A308" s="74" t="s">
        <v>181</v>
      </c>
      <c r="B308" s="75">
        <v>17</v>
      </c>
      <c r="C308" s="75" t="s">
        <v>205</v>
      </c>
      <c r="D308" s="75" t="s">
        <v>206</v>
      </c>
      <c r="E308" s="75" t="s">
        <v>209</v>
      </c>
      <c r="F308" s="75">
        <v>1</v>
      </c>
      <c r="G308" s="81" t="str">
        <f>VLOOKUP($E308, MonsterData!$A$5:$G$13, 5, 0)</f>
        <v>M</v>
      </c>
    </row>
    <row r="309" spans="1:7">
      <c r="A309" s="70" t="s">
        <v>223</v>
      </c>
      <c r="B309" s="71">
        <v>18</v>
      </c>
      <c r="C309" s="71" t="s">
        <v>205</v>
      </c>
      <c r="D309" s="71" t="s">
        <v>206</v>
      </c>
      <c r="E309" s="71" t="s">
        <v>210</v>
      </c>
      <c r="F309" s="71">
        <v>1</v>
      </c>
      <c r="G309" s="80" t="str">
        <f>VLOOKUP($E309, MonsterData!$A$5:$G$13, 5, 0)</f>
        <v>S</v>
      </c>
    </row>
    <row r="310" spans="1:7">
      <c r="A310" s="74" t="s">
        <v>181</v>
      </c>
      <c r="B310" s="75">
        <v>19</v>
      </c>
      <c r="C310" s="75" t="s">
        <v>205</v>
      </c>
      <c r="D310" s="75" t="s">
        <v>206</v>
      </c>
      <c r="E310" s="75" t="s">
        <v>208</v>
      </c>
      <c r="F310" s="75">
        <v>1</v>
      </c>
      <c r="G310" s="81" t="str">
        <f>VLOOKUP($E310, MonsterData!$A$5:$G$13, 5, 0)</f>
        <v>M</v>
      </c>
    </row>
    <row r="311" spans="1:7">
      <c r="A311" s="70" t="s">
        <v>223</v>
      </c>
      <c r="B311" s="71">
        <v>20</v>
      </c>
      <c r="C311" s="71" t="s">
        <v>205</v>
      </c>
      <c r="D311" s="71" t="s">
        <v>206</v>
      </c>
      <c r="E311" s="71" t="s">
        <v>207</v>
      </c>
      <c r="F311" s="71">
        <v>1</v>
      </c>
      <c r="G311" s="80" t="str">
        <f>VLOOKUP($E311, MonsterData!$A$5:$G$13, 5, 0)</f>
        <v>S</v>
      </c>
    </row>
    <row r="312" spans="1:7">
      <c r="A312" s="74" t="s">
        <v>181</v>
      </c>
      <c r="B312" s="75">
        <v>21</v>
      </c>
      <c r="C312" s="75" t="s">
        <v>205</v>
      </c>
      <c r="D312" s="75" t="s">
        <v>206</v>
      </c>
      <c r="E312" s="75" t="s">
        <v>280</v>
      </c>
      <c r="F312" s="75">
        <v>1</v>
      </c>
      <c r="G312" s="81" t="str">
        <f>VLOOKUP($E312, MonsterData!$A$5:$G$13, 5, 0)</f>
        <v>B</v>
      </c>
    </row>
    <row r="313" spans="1:7">
      <c r="A313" s="70" t="s">
        <v>224</v>
      </c>
      <c r="B313" s="71">
        <v>0</v>
      </c>
      <c r="C313" s="71" t="s">
        <v>205</v>
      </c>
      <c r="D313" s="71" t="s">
        <v>206</v>
      </c>
      <c r="E313" s="71" t="s">
        <v>210</v>
      </c>
      <c r="F313" s="71">
        <v>1</v>
      </c>
      <c r="G313" s="80" t="str">
        <f>VLOOKUP($E313, MonsterData!$A$5:$G$13, 5, 0)</f>
        <v>S</v>
      </c>
    </row>
    <row r="314" spans="1:7">
      <c r="A314" s="74" t="s">
        <v>183</v>
      </c>
      <c r="B314" s="75">
        <v>1</v>
      </c>
      <c r="C314" s="75" t="s">
        <v>205</v>
      </c>
      <c r="D314" s="75" t="s">
        <v>206</v>
      </c>
      <c r="E314" s="75" t="s">
        <v>208</v>
      </c>
      <c r="F314" s="75">
        <v>1</v>
      </c>
      <c r="G314" s="81" t="str">
        <f>VLOOKUP($E314, MonsterData!$A$5:$G$13, 5, 0)</f>
        <v>M</v>
      </c>
    </row>
    <row r="315" spans="1:7">
      <c r="A315" s="70" t="s">
        <v>224</v>
      </c>
      <c r="B315" s="71">
        <v>2</v>
      </c>
      <c r="C315" s="71" t="s">
        <v>205</v>
      </c>
      <c r="D315" s="71" t="s">
        <v>206</v>
      </c>
      <c r="E315" s="71" t="s">
        <v>207</v>
      </c>
      <c r="F315" s="71">
        <v>1</v>
      </c>
      <c r="G315" s="80" t="str">
        <f>VLOOKUP($E315, MonsterData!$A$5:$G$13, 5, 0)</f>
        <v>S</v>
      </c>
    </row>
    <row r="316" spans="1:7">
      <c r="A316" s="74" t="s">
        <v>183</v>
      </c>
      <c r="B316" s="75">
        <v>3</v>
      </c>
      <c r="C316" s="75" t="s">
        <v>205</v>
      </c>
      <c r="D316" s="75" t="s">
        <v>206</v>
      </c>
      <c r="E316" s="75" t="s">
        <v>208</v>
      </c>
      <c r="F316" s="75">
        <v>1</v>
      </c>
      <c r="G316" s="81" t="str">
        <f>VLOOKUP($E316, MonsterData!$A$5:$G$13, 5, 0)</f>
        <v>M</v>
      </c>
    </row>
    <row r="317" spans="1:7">
      <c r="A317" s="70" t="s">
        <v>224</v>
      </c>
      <c r="B317" s="71">
        <v>4</v>
      </c>
      <c r="C317" s="71" t="s">
        <v>205</v>
      </c>
      <c r="D317" s="71" t="s">
        <v>206</v>
      </c>
      <c r="E317" s="71" t="s">
        <v>209</v>
      </c>
      <c r="F317" s="71">
        <v>1</v>
      </c>
      <c r="G317" s="80" t="str">
        <f>VLOOKUP($E317, MonsterData!$A$5:$G$13, 5, 0)</f>
        <v>M</v>
      </c>
    </row>
    <row r="318" spans="1:7">
      <c r="A318" s="74" t="s">
        <v>183</v>
      </c>
      <c r="B318" s="75">
        <v>5</v>
      </c>
      <c r="C318" s="75" t="s">
        <v>205</v>
      </c>
      <c r="D318" s="75" t="s">
        <v>206</v>
      </c>
      <c r="E318" s="75" t="s">
        <v>210</v>
      </c>
      <c r="F318" s="75">
        <v>1</v>
      </c>
      <c r="G318" s="81" t="str">
        <f>VLOOKUP($E318, MonsterData!$A$5:$G$13, 5, 0)</f>
        <v>S</v>
      </c>
    </row>
    <row r="319" spans="1:7">
      <c r="A319" s="70" t="s">
        <v>224</v>
      </c>
      <c r="B319" s="71">
        <v>6</v>
      </c>
      <c r="C319" s="71" t="s">
        <v>205</v>
      </c>
      <c r="D319" s="71" t="s">
        <v>206</v>
      </c>
      <c r="E319" s="71" t="s">
        <v>208</v>
      </c>
      <c r="F319" s="71">
        <v>1</v>
      </c>
      <c r="G319" s="80" t="str">
        <f>VLOOKUP($E319, MonsterData!$A$5:$G$13, 5, 0)</f>
        <v>M</v>
      </c>
    </row>
    <row r="320" spans="1:7">
      <c r="A320" s="74" t="s">
        <v>183</v>
      </c>
      <c r="B320" s="75">
        <v>7</v>
      </c>
      <c r="C320" s="75" t="s">
        <v>205</v>
      </c>
      <c r="D320" s="75" t="s">
        <v>206</v>
      </c>
      <c r="E320" s="75" t="s">
        <v>207</v>
      </c>
      <c r="F320" s="75">
        <v>1</v>
      </c>
      <c r="G320" s="81" t="str">
        <f>VLOOKUP($E320, MonsterData!$A$5:$G$13, 5, 0)</f>
        <v>S</v>
      </c>
    </row>
    <row r="321" spans="1:7">
      <c r="A321" s="70" t="s">
        <v>224</v>
      </c>
      <c r="B321" s="71">
        <v>8</v>
      </c>
      <c r="C321" s="71" t="s">
        <v>205</v>
      </c>
      <c r="D321" s="71" t="s">
        <v>206</v>
      </c>
      <c r="E321" s="71" t="s">
        <v>208</v>
      </c>
      <c r="F321" s="71">
        <v>1</v>
      </c>
      <c r="G321" s="80" t="str">
        <f>VLOOKUP($E321, MonsterData!$A$5:$G$13, 5, 0)</f>
        <v>M</v>
      </c>
    </row>
    <row r="322" spans="1:7">
      <c r="A322" s="74" t="s">
        <v>183</v>
      </c>
      <c r="B322" s="75">
        <v>9</v>
      </c>
      <c r="C322" s="75" t="s">
        <v>205</v>
      </c>
      <c r="D322" s="75" t="s">
        <v>206</v>
      </c>
      <c r="E322" s="75" t="s">
        <v>209</v>
      </c>
      <c r="F322" s="75">
        <v>1</v>
      </c>
      <c r="G322" s="81" t="str">
        <f>VLOOKUP($E322, MonsterData!$A$5:$G$13, 5, 0)</f>
        <v>M</v>
      </c>
    </row>
    <row r="323" spans="1:7">
      <c r="A323" s="70" t="s">
        <v>224</v>
      </c>
      <c r="B323" s="71">
        <v>10</v>
      </c>
      <c r="C323" s="71" t="s">
        <v>205</v>
      </c>
      <c r="D323" s="71" t="s">
        <v>206</v>
      </c>
      <c r="E323" s="71" t="s">
        <v>280</v>
      </c>
      <c r="F323" s="71">
        <v>1</v>
      </c>
      <c r="G323" s="80" t="str">
        <f>VLOOKUP($E323, MonsterData!$A$5:$G$13, 5, 0)</f>
        <v>B</v>
      </c>
    </row>
    <row r="324" spans="1:7">
      <c r="A324" s="74" t="s">
        <v>183</v>
      </c>
      <c r="B324" s="75">
        <v>11</v>
      </c>
      <c r="C324" s="75" t="s">
        <v>205</v>
      </c>
      <c r="D324" s="75" t="s">
        <v>206</v>
      </c>
      <c r="E324" s="75" t="s">
        <v>210</v>
      </c>
      <c r="F324" s="75">
        <v>1</v>
      </c>
      <c r="G324" s="81" t="str">
        <f>VLOOKUP($E324, MonsterData!$A$5:$G$13, 5, 0)</f>
        <v>S</v>
      </c>
    </row>
    <row r="325" spans="1:7">
      <c r="A325" s="70" t="s">
        <v>224</v>
      </c>
      <c r="B325" s="71">
        <v>12</v>
      </c>
      <c r="C325" s="71" t="s">
        <v>205</v>
      </c>
      <c r="D325" s="71" t="s">
        <v>206</v>
      </c>
      <c r="E325" s="71" t="s">
        <v>208</v>
      </c>
      <c r="F325" s="71">
        <v>1</v>
      </c>
      <c r="G325" s="80" t="str">
        <f>VLOOKUP($E325, MonsterData!$A$5:$G$13, 5, 0)</f>
        <v>M</v>
      </c>
    </row>
    <row r="326" spans="1:7">
      <c r="A326" s="74" t="s">
        <v>183</v>
      </c>
      <c r="B326" s="75">
        <v>13</v>
      </c>
      <c r="C326" s="75" t="s">
        <v>205</v>
      </c>
      <c r="D326" s="75" t="s">
        <v>206</v>
      </c>
      <c r="E326" s="75" t="s">
        <v>207</v>
      </c>
      <c r="F326" s="75">
        <v>1</v>
      </c>
      <c r="G326" s="81" t="str">
        <f>VLOOKUP($E326, MonsterData!$A$5:$G$13, 5, 0)</f>
        <v>S</v>
      </c>
    </row>
    <row r="327" spans="1:7">
      <c r="A327" s="70" t="s">
        <v>224</v>
      </c>
      <c r="B327" s="71">
        <v>14</v>
      </c>
      <c r="C327" s="71" t="s">
        <v>205</v>
      </c>
      <c r="D327" s="71" t="s">
        <v>206</v>
      </c>
      <c r="E327" s="71" t="s">
        <v>208</v>
      </c>
      <c r="F327" s="71">
        <v>1</v>
      </c>
      <c r="G327" s="80" t="str">
        <f>VLOOKUP($E327, MonsterData!$A$5:$G$13, 5, 0)</f>
        <v>M</v>
      </c>
    </row>
    <row r="328" spans="1:7">
      <c r="A328" s="74" t="s">
        <v>183</v>
      </c>
      <c r="B328" s="75">
        <v>15</v>
      </c>
      <c r="C328" s="75" t="s">
        <v>205</v>
      </c>
      <c r="D328" s="75" t="s">
        <v>206</v>
      </c>
      <c r="E328" s="75" t="s">
        <v>209</v>
      </c>
      <c r="F328" s="75">
        <v>1</v>
      </c>
      <c r="G328" s="81" t="str">
        <f>VLOOKUP($E328, MonsterData!$A$5:$G$13, 5, 0)</f>
        <v>M</v>
      </c>
    </row>
    <row r="329" spans="1:7">
      <c r="A329" s="70" t="s">
        <v>224</v>
      </c>
      <c r="B329" s="71">
        <v>16</v>
      </c>
      <c r="C329" s="71" t="s">
        <v>205</v>
      </c>
      <c r="D329" s="71" t="s">
        <v>206</v>
      </c>
      <c r="E329" s="71" t="s">
        <v>210</v>
      </c>
      <c r="F329" s="71">
        <v>1</v>
      </c>
      <c r="G329" s="80" t="str">
        <f>VLOOKUP($E329, MonsterData!$A$5:$G$13, 5, 0)</f>
        <v>S</v>
      </c>
    </row>
    <row r="330" spans="1:7">
      <c r="A330" s="74" t="s">
        <v>183</v>
      </c>
      <c r="B330" s="75">
        <v>17</v>
      </c>
      <c r="C330" s="75" t="s">
        <v>205</v>
      </c>
      <c r="D330" s="75" t="s">
        <v>206</v>
      </c>
      <c r="E330" s="75" t="s">
        <v>208</v>
      </c>
      <c r="F330" s="75">
        <v>1</v>
      </c>
      <c r="G330" s="81" t="str">
        <f>VLOOKUP($E330, MonsterData!$A$5:$G$13, 5, 0)</f>
        <v>M</v>
      </c>
    </row>
    <row r="331" spans="1:7">
      <c r="A331" s="70" t="s">
        <v>224</v>
      </c>
      <c r="B331" s="71">
        <v>18</v>
      </c>
      <c r="C331" s="71" t="s">
        <v>205</v>
      </c>
      <c r="D331" s="71" t="s">
        <v>206</v>
      </c>
      <c r="E331" s="71" t="s">
        <v>207</v>
      </c>
      <c r="F331" s="71">
        <v>1</v>
      </c>
      <c r="G331" s="80" t="str">
        <f>VLOOKUP($E331, MonsterData!$A$5:$G$13, 5, 0)</f>
        <v>S</v>
      </c>
    </row>
    <row r="332" spans="1:7">
      <c r="A332" s="74" t="s">
        <v>183</v>
      </c>
      <c r="B332" s="75">
        <v>19</v>
      </c>
      <c r="C332" s="75" t="s">
        <v>205</v>
      </c>
      <c r="D332" s="75" t="s">
        <v>206</v>
      </c>
      <c r="E332" s="75" t="s">
        <v>208</v>
      </c>
      <c r="F332" s="75">
        <v>1</v>
      </c>
      <c r="G332" s="81" t="str">
        <f>VLOOKUP($E332, MonsterData!$A$5:$G$13, 5, 0)</f>
        <v>M</v>
      </c>
    </row>
    <row r="333" spans="1:7">
      <c r="A333" s="70" t="s">
        <v>224</v>
      </c>
      <c r="B333" s="71">
        <v>20</v>
      </c>
      <c r="C333" s="71" t="s">
        <v>205</v>
      </c>
      <c r="D333" s="71" t="s">
        <v>206</v>
      </c>
      <c r="E333" s="71" t="s">
        <v>209</v>
      </c>
      <c r="F333" s="71">
        <v>1</v>
      </c>
      <c r="G333" s="80" t="str">
        <f>VLOOKUP($E333, MonsterData!$A$5:$G$13, 5, 0)</f>
        <v>M</v>
      </c>
    </row>
    <row r="334" spans="1:7">
      <c r="A334" s="74" t="s">
        <v>183</v>
      </c>
      <c r="B334" s="75">
        <v>21</v>
      </c>
      <c r="C334" s="75" t="s">
        <v>205</v>
      </c>
      <c r="D334" s="75" t="s">
        <v>206</v>
      </c>
      <c r="E334" s="75" t="s">
        <v>281</v>
      </c>
      <c r="F334" s="75">
        <v>1</v>
      </c>
      <c r="G334" s="81" t="str">
        <f>VLOOKUP($E334, MonsterData!$A$5:$G$13, 5, 0)</f>
        <v>M</v>
      </c>
    </row>
    <row r="335" spans="1:7">
      <c r="A335" s="70" t="s">
        <v>225</v>
      </c>
      <c r="B335" s="71">
        <v>0</v>
      </c>
      <c r="C335" s="71" t="s">
        <v>205</v>
      </c>
      <c r="D335" s="71" t="s">
        <v>206</v>
      </c>
      <c r="E335" s="71" t="s">
        <v>207</v>
      </c>
      <c r="F335" s="71">
        <v>1</v>
      </c>
      <c r="G335" s="80" t="str">
        <f>VLOOKUP($E335, MonsterData!$A$5:$G$13, 5, 0)</f>
        <v>S</v>
      </c>
    </row>
    <row r="336" spans="1:7">
      <c r="A336" s="74" t="s">
        <v>185</v>
      </c>
      <c r="B336" s="75">
        <v>1</v>
      </c>
      <c r="C336" s="75" t="s">
        <v>205</v>
      </c>
      <c r="D336" s="75" t="s">
        <v>206</v>
      </c>
      <c r="E336" s="75" t="s">
        <v>208</v>
      </c>
      <c r="F336" s="75">
        <v>1</v>
      </c>
      <c r="G336" s="81" t="str">
        <f>VLOOKUP($E336, MonsterData!$A$5:$G$13, 5, 0)</f>
        <v>M</v>
      </c>
    </row>
    <row r="337" spans="1:7">
      <c r="A337" s="70" t="s">
        <v>225</v>
      </c>
      <c r="B337" s="71">
        <v>2</v>
      </c>
      <c r="C337" s="71" t="s">
        <v>205</v>
      </c>
      <c r="D337" s="71" t="s">
        <v>206</v>
      </c>
      <c r="E337" s="71" t="s">
        <v>209</v>
      </c>
      <c r="F337" s="71">
        <v>1</v>
      </c>
      <c r="G337" s="80" t="str">
        <f>VLOOKUP($E337, MonsterData!$A$5:$G$13, 5, 0)</f>
        <v>M</v>
      </c>
    </row>
    <row r="338" spans="1:7">
      <c r="A338" s="74" t="s">
        <v>185</v>
      </c>
      <c r="B338" s="75">
        <v>3</v>
      </c>
      <c r="C338" s="75" t="s">
        <v>205</v>
      </c>
      <c r="D338" s="75" t="s">
        <v>206</v>
      </c>
      <c r="E338" s="75" t="s">
        <v>210</v>
      </c>
      <c r="F338" s="75">
        <v>1</v>
      </c>
      <c r="G338" s="81" t="str">
        <f>VLOOKUP($E338, MonsterData!$A$5:$G$13, 5, 0)</f>
        <v>S</v>
      </c>
    </row>
    <row r="339" spans="1:7">
      <c r="A339" s="70" t="s">
        <v>225</v>
      </c>
      <c r="B339" s="71">
        <v>4</v>
      </c>
      <c r="C339" s="71" t="s">
        <v>205</v>
      </c>
      <c r="D339" s="71" t="s">
        <v>206</v>
      </c>
      <c r="E339" s="71" t="s">
        <v>208</v>
      </c>
      <c r="F339" s="71">
        <v>1</v>
      </c>
      <c r="G339" s="80" t="str">
        <f>VLOOKUP($E339, MonsterData!$A$5:$G$13, 5, 0)</f>
        <v>M</v>
      </c>
    </row>
    <row r="340" spans="1:7">
      <c r="A340" s="74" t="s">
        <v>185</v>
      </c>
      <c r="B340" s="75">
        <v>5</v>
      </c>
      <c r="C340" s="75" t="s">
        <v>205</v>
      </c>
      <c r="D340" s="75" t="s">
        <v>206</v>
      </c>
      <c r="E340" s="75" t="s">
        <v>207</v>
      </c>
      <c r="F340" s="75">
        <v>1</v>
      </c>
      <c r="G340" s="81" t="str">
        <f>VLOOKUP($E340, MonsterData!$A$5:$G$13, 5, 0)</f>
        <v>S</v>
      </c>
    </row>
    <row r="341" spans="1:7">
      <c r="A341" s="70" t="s">
        <v>225</v>
      </c>
      <c r="B341" s="71">
        <v>6</v>
      </c>
      <c r="C341" s="71" t="s">
        <v>205</v>
      </c>
      <c r="D341" s="71" t="s">
        <v>206</v>
      </c>
      <c r="E341" s="71" t="s">
        <v>208</v>
      </c>
      <c r="F341" s="71">
        <v>1</v>
      </c>
      <c r="G341" s="80" t="str">
        <f>VLOOKUP($E341, MonsterData!$A$5:$G$13, 5, 0)</f>
        <v>M</v>
      </c>
    </row>
    <row r="342" spans="1:7">
      <c r="A342" s="74" t="s">
        <v>185</v>
      </c>
      <c r="B342" s="75">
        <v>7</v>
      </c>
      <c r="C342" s="75" t="s">
        <v>205</v>
      </c>
      <c r="D342" s="75" t="s">
        <v>206</v>
      </c>
      <c r="E342" s="75" t="s">
        <v>209</v>
      </c>
      <c r="F342" s="75">
        <v>1</v>
      </c>
      <c r="G342" s="81" t="str">
        <f>VLOOKUP($E342, MonsterData!$A$5:$G$13, 5, 0)</f>
        <v>M</v>
      </c>
    </row>
    <row r="343" spans="1:7">
      <c r="A343" s="70" t="s">
        <v>225</v>
      </c>
      <c r="B343" s="71">
        <v>8</v>
      </c>
      <c r="C343" s="71" t="s">
        <v>205</v>
      </c>
      <c r="D343" s="71" t="s">
        <v>206</v>
      </c>
      <c r="E343" s="71" t="s">
        <v>210</v>
      </c>
      <c r="F343" s="71">
        <v>1</v>
      </c>
      <c r="G343" s="80" t="str">
        <f>VLOOKUP($E343, MonsterData!$A$5:$G$13, 5, 0)</f>
        <v>S</v>
      </c>
    </row>
    <row r="344" spans="1:7">
      <c r="A344" s="74" t="s">
        <v>185</v>
      </c>
      <c r="B344" s="75">
        <v>9</v>
      </c>
      <c r="C344" s="75" t="s">
        <v>205</v>
      </c>
      <c r="D344" s="75" t="s">
        <v>206</v>
      </c>
      <c r="E344" s="75" t="s">
        <v>208</v>
      </c>
      <c r="F344" s="75">
        <v>1</v>
      </c>
      <c r="G344" s="81" t="str">
        <f>VLOOKUP($E344, MonsterData!$A$5:$G$13, 5, 0)</f>
        <v>M</v>
      </c>
    </row>
    <row r="345" spans="1:7">
      <c r="A345" s="70" t="s">
        <v>225</v>
      </c>
      <c r="B345" s="71">
        <v>10</v>
      </c>
      <c r="C345" s="71" t="s">
        <v>205</v>
      </c>
      <c r="D345" s="71" t="s">
        <v>206</v>
      </c>
      <c r="E345" s="71" t="s">
        <v>281</v>
      </c>
      <c r="F345" s="71">
        <v>1</v>
      </c>
      <c r="G345" s="80" t="str">
        <f>VLOOKUP($E345, MonsterData!$A$5:$G$13, 5, 0)</f>
        <v>M</v>
      </c>
    </row>
    <row r="346" spans="1:7">
      <c r="A346" s="74" t="s">
        <v>185</v>
      </c>
      <c r="B346" s="75">
        <v>11</v>
      </c>
      <c r="C346" s="75" t="s">
        <v>205</v>
      </c>
      <c r="D346" s="75" t="s">
        <v>206</v>
      </c>
      <c r="E346" s="75" t="s">
        <v>207</v>
      </c>
      <c r="F346" s="75">
        <v>1</v>
      </c>
      <c r="G346" s="81" t="str">
        <f>VLOOKUP($E346, MonsterData!$A$5:$G$13, 5, 0)</f>
        <v>S</v>
      </c>
    </row>
    <row r="347" spans="1:7">
      <c r="A347" s="70" t="s">
        <v>225</v>
      </c>
      <c r="B347" s="71">
        <v>12</v>
      </c>
      <c r="C347" s="71" t="s">
        <v>205</v>
      </c>
      <c r="D347" s="71" t="s">
        <v>206</v>
      </c>
      <c r="E347" s="71" t="s">
        <v>208</v>
      </c>
      <c r="F347" s="71">
        <v>1</v>
      </c>
      <c r="G347" s="80" t="str">
        <f>VLOOKUP($E347, MonsterData!$A$5:$G$13, 5, 0)</f>
        <v>M</v>
      </c>
    </row>
    <row r="348" spans="1:7">
      <c r="A348" s="74" t="s">
        <v>185</v>
      </c>
      <c r="B348" s="75">
        <v>13</v>
      </c>
      <c r="C348" s="75" t="s">
        <v>205</v>
      </c>
      <c r="D348" s="75" t="s">
        <v>206</v>
      </c>
      <c r="E348" s="75" t="s">
        <v>209</v>
      </c>
      <c r="F348" s="75">
        <v>1</v>
      </c>
      <c r="G348" s="81" t="str">
        <f>VLOOKUP($E348, MonsterData!$A$5:$G$13, 5, 0)</f>
        <v>M</v>
      </c>
    </row>
    <row r="349" spans="1:7">
      <c r="A349" s="70" t="s">
        <v>225</v>
      </c>
      <c r="B349" s="71">
        <v>14</v>
      </c>
      <c r="C349" s="71" t="s">
        <v>205</v>
      </c>
      <c r="D349" s="71" t="s">
        <v>206</v>
      </c>
      <c r="E349" s="71" t="s">
        <v>210</v>
      </c>
      <c r="F349" s="71">
        <v>1</v>
      </c>
      <c r="G349" s="80" t="str">
        <f>VLOOKUP($E349, MonsterData!$A$5:$G$13, 5, 0)</f>
        <v>S</v>
      </c>
    </row>
    <row r="350" spans="1:7">
      <c r="A350" s="74" t="s">
        <v>185</v>
      </c>
      <c r="B350" s="75">
        <v>15</v>
      </c>
      <c r="C350" s="75" t="s">
        <v>205</v>
      </c>
      <c r="D350" s="75" t="s">
        <v>206</v>
      </c>
      <c r="E350" s="75" t="s">
        <v>208</v>
      </c>
      <c r="F350" s="75">
        <v>1</v>
      </c>
      <c r="G350" s="81" t="str">
        <f>VLOOKUP($E350, MonsterData!$A$5:$G$13, 5, 0)</f>
        <v>M</v>
      </c>
    </row>
    <row r="351" spans="1:7">
      <c r="A351" s="70" t="s">
        <v>225</v>
      </c>
      <c r="B351" s="71">
        <v>16</v>
      </c>
      <c r="C351" s="71" t="s">
        <v>205</v>
      </c>
      <c r="D351" s="71" t="s">
        <v>206</v>
      </c>
      <c r="E351" s="71" t="s">
        <v>207</v>
      </c>
      <c r="F351" s="71">
        <v>1</v>
      </c>
      <c r="G351" s="80" t="str">
        <f>VLOOKUP($E351, MonsterData!$A$5:$G$13, 5, 0)</f>
        <v>S</v>
      </c>
    </row>
    <row r="352" spans="1:7">
      <c r="A352" s="74" t="s">
        <v>185</v>
      </c>
      <c r="B352" s="75">
        <v>17</v>
      </c>
      <c r="C352" s="75" t="s">
        <v>205</v>
      </c>
      <c r="D352" s="75" t="s">
        <v>206</v>
      </c>
      <c r="E352" s="75" t="s">
        <v>208</v>
      </c>
      <c r="F352" s="75">
        <v>1</v>
      </c>
      <c r="G352" s="81" t="str">
        <f>VLOOKUP($E352, MonsterData!$A$5:$G$13, 5, 0)</f>
        <v>M</v>
      </c>
    </row>
    <row r="353" spans="1:7">
      <c r="A353" s="70" t="s">
        <v>225</v>
      </c>
      <c r="B353" s="71">
        <v>18</v>
      </c>
      <c r="C353" s="71" t="s">
        <v>205</v>
      </c>
      <c r="D353" s="71" t="s">
        <v>206</v>
      </c>
      <c r="E353" s="71" t="s">
        <v>209</v>
      </c>
      <c r="F353" s="71">
        <v>1</v>
      </c>
      <c r="G353" s="80" t="str">
        <f>VLOOKUP($E353, MonsterData!$A$5:$G$13, 5, 0)</f>
        <v>M</v>
      </c>
    </row>
    <row r="354" spans="1:7">
      <c r="A354" s="74" t="s">
        <v>185</v>
      </c>
      <c r="B354" s="75">
        <v>19</v>
      </c>
      <c r="C354" s="75" t="s">
        <v>205</v>
      </c>
      <c r="D354" s="75" t="s">
        <v>206</v>
      </c>
      <c r="E354" s="75" t="s">
        <v>210</v>
      </c>
      <c r="F354" s="75">
        <v>1</v>
      </c>
      <c r="G354" s="81" t="str">
        <f>VLOOKUP($E354, MonsterData!$A$5:$G$13, 5, 0)</f>
        <v>S</v>
      </c>
    </row>
    <row r="355" spans="1:7">
      <c r="A355" s="70" t="s">
        <v>225</v>
      </c>
      <c r="B355" s="71">
        <v>20</v>
      </c>
      <c r="C355" s="71" t="s">
        <v>205</v>
      </c>
      <c r="D355" s="71" t="s">
        <v>206</v>
      </c>
      <c r="E355" s="71" t="s">
        <v>208</v>
      </c>
      <c r="F355" s="71">
        <v>1</v>
      </c>
      <c r="G355" s="80" t="str">
        <f>VLOOKUP($E355, MonsterData!$A$5:$G$13, 5, 0)</f>
        <v>M</v>
      </c>
    </row>
    <row r="356" spans="1:7">
      <c r="A356" s="74" t="s">
        <v>185</v>
      </c>
      <c r="B356" s="75">
        <v>21</v>
      </c>
      <c r="C356" s="75" t="s">
        <v>205</v>
      </c>
      <c r="D356" s="75" t="s">
        <v>206</v>
      </c>
      <c r="E356" s="75" t="s">
        <v>280</v>
      </c>
      <c r="F356" s="75">
        <v>1</v>
      </c>
      <c r="G356" s="81" t="str">
        <f>VLOOKUP($E356, MonsterData!$A$5:$G$13, 5, 0)</f>
        <v>B</v>
      </c>
    </row>
    <row r="357" spans="1:7">
      <c r="A357" s="70" t="s">
        <v>226</v>
      </c>
      <c r="B357" s="71">
        <v>0</v>
      </c>
      <c r="C357" s="71" t="s">
        <v>205</v>
      </c>
      <c r="D357" s="71" t="s">
        <v>206</v>
      </c>
      <c r="E357" s="71" t="s">
        <v>209</v>
      </c>
      <c r="F357" s="71">
        <v>1</v>
      </c>
      <c r="G357" s="80" t="str">
        <f>VLOOKUP($E357, MonsterData!$A$5:$G$13, 5, 0)</f>
        <v>M</v>
      </c>
    </row>
    <row r="358" spans="1:7">
      <c r="A358" s="74" t="s">
        <v>187</v>
      </c>
      <c r="B358" s="75">
        <v>1</v>
      </c>
      <c r="C358" s="75" t="s">
        <v>205</v>
      </c>
      <c r="D358" s="75" t="s">
        <v>206</v>
      </c>
      <c r="E358" s="75" t="s">
        <v>210</v>
      </c>
      <c r="F358" s="75">
        <v>1</v>
      </c>
      <c r="G358" s="81" t="str">
        <f>VLOOKUP($E358, MonsterData!$A$5:$G$13, 5, 0)</f>
        <v>S</v>
      </c>
    </row>
    <row r="359" spans="1:7">
      <c r="A359" s="70" t="s">
        <v>226</v>
      </c>
      <c r="B359" s="71">
        <v>2</v>
      </c>
      <c r="C359" s="71" t="s">
        <v>205</v>
      </c>
      <c r="D359" s="71" t="s">
        <v>206</v>
      </c>
      <c r="E359" s="71" t="s">
        <v>208</v>
      </c>
      <c r="F359" s="71">
        <v>1</v>
      </c>
      <c r="G359" s="80" t="str">
        <f>VLOOKUP($E359, MonsterData!$A$5:$G$13, 5, 0)</f>
        <v>M</v>
      </c>
    </row>
    <row r="360" spans="1:7">
      <c r="A360" s="74" t="s">
        <v>187</v>
      </c>
      <c r="B360" s="75">
        <v>3</v>
      </c>
      <c r="C360" s="75" t="s">
        <v>205</v>
      </c>
      <c r="D360" s="75" t="s">
        <v>206</v>
      </c>
      <c r="E360" s="75" t="s">
        <v>207</v>
      </c>
      <c r="F360" s="75">
        <v>1</v>
      </c>
      <c r="G360" s="81" t="str">
        <f>VLOOKUP($E360, MonsterData!$A$5:$G$13, 5, 0)</f>
        <v>S</v>
      </c>
    </row>
    <row r="361" spans="1:7">
      <c r="A361" s="70" t="s">
        <v>226</v>
      </c>
      <c r="B361" s="71">
        <v>4</v>
      </c>
      <c r="C361" s="71" t="s">
        <v>205</v>
      </c>
      <c r="D361" s="71" t="s">
        <v>206</v>
      </c>
      <c r="E361" s="71" t="s">
        <v>208</v>
      </c>
      <c r="F361" s="71">
        <v>1</v>
      </c>
      <c r="G361" s="80" t="str">
        <f>VLOOKUP($E361, MonsterData!$A$5:$G$13, 5, 0)</f>
        <v>M</v>
      </c>
    </row>
    <row r="362" spans="1:7">
      <c r="A362" s="74" t="s">
        <v>187</v>
      </c>
      <c r="B362" s="75">
        <v>5</v>
      </c>
      <c r="C362" s="75" t="s">
        <v>205</v>
      </c>
      <c r="D362" s="75" t="s">
        <v>206</v>
      </c>
      <c r="E362" s="75" t="s">
        <v>209</v>
      </c>
      <c r="F362" s="75">
        <v>1</v>
      </c>
      <c r="G362" s="81" t="str">
        <f>VLOOKUP($E362, MonsterData!$A$5:$G$13, 5, 0)</f>
        <v>M</v>
      </c>
    </row>
    <row r="363" spans="1:7">
      <c r="A363" s="70" t="s">
        <v>226</v>
      </c>
      <c r="B363" s="71">
        <v>6</v>
      </c>
      <c r="C363" s="71" t="s">
        <v>205</v>
      </c>
      <c r="D363" s="71" t="s">
        <v>206</v>
      </c>
      <c r="E363" s="71" t="s">
        <v>210</v>
      </c>
      <c r="F363" s="71">
        <v>1</v>
      </c>
      <c r="G363" s="80" t="str">
        <f>VLOOKUP($E363, MonsterData!$A$5:$G$13, 5, 0)</f>
        <v>S</v>
      </c>
    </row>
    <row r="364" spans="1:7">
      <c r="A364" s="74" t="s">
        <v>187</v>
      </c>
      <c r="B364" s="75">
        <v>7</v>
      </c>
      <c r="C364" s="75" t="s">
        <v>205</v>
      </c>
      <c r="D364" s="75" t="s">
        <v>206</v>
      </c>
      <c r="E364" s="75" t="s">
        <v>208</v>
      </c>
      <c r="F364" s="75">
        <v>1</v>
      </c>
      <c r="G364" s="81" t="str">
        <f>VLOOKUP($E364, MonsterData!$A$5:$G$13, 5, 0)</f>
        <v>M</v>
      </c>
    </row>
    <row r="365" spans="1:7">
      <c r="A365" s="70" t="s">
        <v>226</v>
      </c>
      <c r="B365" s="71">
        <v>8</v>
      </c>
      <c r="C365" s="71" t="s">
        <v>205</v>
      </c>
      <c r="D365" s="71" t="s">
        <v>206</v>
      </c>
      <c r="E365" s="71" t="s">
        <v>207</v>
      </c>
      <c r="F365" s="71">
        <v>1</v>
      </c>
      <c r="G365" s="80" t="str">
        <f>VLOOKUP($E365, MonsterData!$A$5:$G$13, 5, 0)</f>
        <v>S</v>
      </c>
    </row>
    <row r="366" spans="1:7">
      <c r="A366" s="74" t="s">
        <v>187</v>
      </c>
      <c r="B366" s="75">
        <v>9</v>
      </c>
      <c r="C366" s="75" t="s">
        <v>205</v>
      </c>
      <c r="D366" s="75" t="s">
        <v>206</v>
      </c>
      <c r="E366" s="75" t="s">
        <v>208</v>
      </c>
      <c r="F366" s="75">
        <v>1</v>
      </c>
      <c r="G366" s="81" t="str">
        <f>VLOOKUP($E366, MonsterData!$A$5:$G$13, 5, 0)</f>
        <v>M</v>
      </c>
    </row>
    <row r="367" spans="1:7">
      <c r="A367" s="70" t="s">
        <v>226</v>
      </c>
      <c r="B367" s="71">
        <v>10</v>
      </c>
      <c r="C367" s="71" t="s">
        <v>205</v>
      </c>
      <c r="D367" s="71" t="s">
        <v>206</v>
      </c>
      <c r="E367" s="71" t="s">
        <v>280</v>
      </c>
      <c r="F367" s="71">
        <v>1</v>
      </c>
      <c r="G367" s="80" t="str">
        <f>VLOOKUP($E367, MonsterData!$A$5:$G$13, 5, 0)</f>
        <v>B</v>
      </c>
    </row>
    <row r="368" spans="1:7">
      <c r="A368" s="74" t="s">
        <v>187</v>
      </c>
      <c r="B368" s="75">
        <v>11</v>
      </c>
      <c r="C368" s="75" t="s">
        <v>205</v>
      </c>
      <c r="D368" s="75" t="s">
        <v>206</v>
      </c>
      <c r="E368" s="75" t="s">
        <v>209</v>
      </c>
      <c r="F368" s="75">
        <v>1</v>
      </c>
      <c r="G368" s="81" t="str">
        <f>VLOOKUP($E368, MonsterData!$A$5:$G$13, 5, 0)</f>
        <v>M</v>
      </c>
    </row>
    <row r="369" spans="1:7">
      <c r="A369" s="70" t="s">
        <v>226</v>
      </c>
      <c r="B369" s="71">
        <v>12</v>
      </c>
      <c r="C369" s="71" t="s">
        <v>205</v>
      </c>
      <c r="D369" s="71" t="s">
        <v>206</v>
      </c>
      <c r="E369" s="71" t="s">
        <v>210</v>
      </c>
      <c r="F369" s="71">
        <v>1</v>
      </c>
      <c r="G369" s="80" t="str">
        <f>VLOOKUP($E369, MonsterData!$A$5:$G$13, 5, 0)</f>
        <v>S</v>
      </c>
    </row>
    <row r="370" spans="1:7">
      <c r="A370" s="74" t="s">
        <v>187</v>
      </c>
      <c r="B370" s="75">
        <v>13</v>
      </c>
      <c r="C370" s="75" t="s">
        <v>205</v>
      </c>
      <c r="D370" s="75" t="s">
        <v>206</v>
      </c>
      <c r="E370" s="75" t="s">
        <v>208</v>
      </c>
      <c r="F370" s="75">
        <v>1</v>
      </c>
      <c r="G370" s="81" t="str">
        <f>VLOOKUP($E370, MonsterData!$A$5:$G$13, 5, 0)</f>
        <v>M</v>
      </c>
    </row>
    <row r="371" spans="1:7">
      <c r="A371" s="70" t="s">
        <v>226</v>
      </c>
      <c r="B371" s="71">
        <v>14</v>
      </c>
      <c r="C371" s="71" t="s">
        <v>205</v>
      </c>
      <c r="D371" s="71" t="s">
        <v>206</v>
      </c>
      <c r="E371" s="71" t="s">
        <v>207</v>
      </c>
      <c r="F371" s="71">
        <v>1</v>
      </c>
      <c r="G371" s="80" t="str">
        <f>VLOOKUP($E371, MonsterData!$A$5:$G$13, 5, 0)</f>
        <v>S</v>
      </c>
    </row>
    <row r="372" spans="1:7">
      <c r="A372" s="74" t="s">
        <v>187</v>
      </c>
      <c r="B372" s="75">
        <v>15</v>
      </c>
      <c r="C372" s="75" t="s">
        <v>205</v>
      </c>
      <c r="D372" s="75" t="s">
        <v>206</v>
      </c>
      <c r="E372" s="75" t="s">
        <v>208</v>
      </c>
      <c r="F372" s="75">
        <v>1</v>
      </c>
      <c r="G372" s="81" t="str">
        <f>VLOOKUP($E372, MonsterData!$A$5:$G$13, 5, 0)</f>
        <v>M</v>
      </c>
    </row>
    <row r="373" spans="1:7">
      <c r="A373" s="70" t="s">
        <v>226</v>
      </c>
      <c r="B373" s="71">
        <v>16</v>
      </c>
      <c r="C373" s="71" t="s">
        <v>205</v>
      </c>
      <c r="D373" s="71" t="s">
        <v>206</v>
      </c>
      <c r="E373" s="71" t="s">
        <v>209</v>
      </c>
      <c r="F373" s="71">
        <v>1</v>
      </c>
      <c r="G373" s="80" t="str">
        <f>VLOOKUP($E373, MonsterData!$A$5:$G$13, 5, 0)</f>
        <v>M</v>
      </c>
    </row>
    <row r="374" spans="1:7">
      <c r="A374" s="74" t="s">
        <v>187</v>
      </c>
      <c r="B374" s="75">
        <v>17</v>
      </c>
      <c r="C374" s="75" t="s">
        <v>205</v>
      </c>
      <c r="D374" s="75" t="s">
        <v>206</v>
      </c>
      <c r="E374" s="75" t="s">
        <v>210</v>
      </c>
      <c r="F374" s="75">
        <v>1</v>
      </c>
      <c r="G374" s="81" t="str">
        <f>VLOOKUP($E374, MonsterData!$A$5:$G$13, 5, 0)</f>
        <v>S</v>
      </c>
    </row>
    <row r="375" spans="1:7">
      <c r="A375" s="70" t="s">
        <v>226</v>
      </c>
      <c r="B375" s="71">
        <v>18</v>
      </c>
      <c r="C375" s="71" t="s">
        <v>205</v>
      </c>
      <c r="D375" s="71" t="s">
        <v>206</v>
      </c>
      <c r="E375" s="71" t="s">
        <v>208</v>
      </c>
      <c r="F375" s="71">
        <v>1</v>
      </c>
      <c r="G375" s="80" t="str">
        <f>VLOOKUP($E375, MonsterData!$A$5:$G$13, 5, 0)</f>
        <v>M</v>
      </c>
    </row>
    <row r="376" spans="1:7">
      <c r="A376" s="74" t="s">
        <v>187</v>
      </c>
      <c r="B376" s="75">
        <v>19</v>
      </c>
      <c r="C376" s="75" t="s">
        <v>205</v>
      </c>
      <c r="D376" s="75" t="s">
        <v>206</v>
      </c>
      <c r="E376" s="75" t="s">
        <v>207</v>
      </c>
      <c r="F376" s="75">
        <v>1</v>
      </c>
      <c r="G376" s="81" t="str">
        <f>VLOOKUP($E376, MonsterData!$A$5:$G$13, 5, 0)</f>
        <v>S</v>
      </c>
    </row>
    <row r="377" spans="1:7">
      <c r="A377" s="70" t="s">
        <v>226</v>
      </c>
      <c r="B377" s="71">
        <v>20</v>
      </c>
      <c r="C377" s="71" t="s">
        <v>205</v>
      </c>
      <c r="D377" s="71" t="s">
        <v>206</v>
      </c>
      <c r="E377" s="71" t="s">
        <v>208</v>
      </c>
      <c r="F377" s="71">
        <v>1</v>
      </c>
      <c r="G377" s="80" t="str">
        <f>VLOOKUP($E377, MonsterData!$A$5:$G$13, 5, 0)</f>
        <v>M</v>
      </c>
    </row>
    <row r="378" spans="1:7">
      <c r="A378" s="74" t="s">
        <v>187</v>
      </c>
      <c r="B378" s="75">
        <v>21</v>
      </c>
      <c r="C378" s="75" t="s">
        <v>205</v>
      </c>
      <c r="D378" s="75" t="s">
        <v>206</v>
      </c>
      <c r="E378" s="75" t="s">
        <v>281</v>
      </c>
      <c r="F378" s="75">
        <v>1</v>
      </c>
      <c r="G378" s="81" t="str">
        <f>VLOOKUP($E378, MonsterData!$A$5:$G$13, 5, 0)</f>
        <v>M</v>
      </c>
    </row>
    <row r="379" spans="1:7">
      <c r="A379" s="70" t="s">
        <v>227</v>
      </c>
      <c r="B379" s="71">
        <v>0</v>
      </c>
      <c r="C379" s="71" t="s">
        <v>205</v>
      </c>
      <c r="D379" s="71" t="s">
        <v>206</v>
      </c>
      <c r="E379" s="71" t="s">
        <v>208</v>
      </c>
      <c r="F379" s="71">
        <v>1</v>
      </c>
      <c r="G379" s="80" t="str">
        <f>VLOOKUP($E379, MonsterData!$A$5:$G$13, 5, 0)</f>
        <v>M</v>
      </c>
    </row>
    <row r="380" spans="1:7">
      <c r="A380" s="74" t="s">
        <v>189</v>
      </c>
      <c r="B380" s="75">
        <v>1</v>
      </c>
      <c r="C380" s="75" t="s">
        <v>205</v>
      </c>
      <c r="D380" s="75" t="s">
        <v>206</v>
      </c>
      <c r="E380" s="75" t="s">
        <v>207</v>
      </c>
      <c r="F380" s="75">
        <v>1</v>
      </c>
      <c r="G380" s="81" t="str">
        <f>VLOOKUP($E380, MonsterData!$A$5:$G$13, 5, 0)</f>
        <v>S</v>
      </c>
    </row>
    <row r="381" spans="1:7">
      <c r="A381" s="70" t="s">
        <v>227</v>
      </c>
      <c r="B381" s="71">
        <v>2</v>
      </c>
      <c r="C381" s="71" t="s">
        <v>205</v>
      </c>
      <c r="D381" s="71" t="s">
        <v>206</v>
      </c>
      <c r="E381" s="71" t="s">
        <v>208</v>
      </c>
      <c r="F381" s="71">
        <v>1</v>
      </c>
      <c r="G381" s="80" t="str">
        <f>VLOOKUP($E381, MonsterData!$A$5:$G$13, 5, 0)</f>
        <v>M</v>
      </c>
    </row>
    <row r="382" spans="1:7">
      <c r="A382" s="74" t="s">
        <v>189</v>
      </c>
      <c r="B382" s="75">
        <v>3</v>
      </c>
      <c r="C382" s="75" t="s">
        <v>205</v>
      </c>
      <c r="D382" s="75" t="s">
        <v>206</v>
      </c>
      <c r="E382" s="75" t="s">
        <v>209</v>
      </c>
      <c r="F382" s="75">
        <v>1</v>
      </c>
      <c r="G382" s="81" t="str">
        <f>VLOOKUP($E382, MonsterData!$A$5:$G$13, 5, 0)</f>
        <v>M</v>
      </c>
    </row>
    <row r="383" spans="1:7">
      <c r="A383" s="70" t="s">
        <v>227</v>
      </c>
      <c r="B383" s="71">
        <v>4</v>
      </c>
      <c r="C383" s="71" t="s">
        <v>205</v>
      </c>
      <c r="D383" s="71" t="s">
        <v>206</v>
      </c>
      <c r="E383" s="71" t="s">
        <v>210</v>
      </c>
      <c r="F383" s="71">
        <v>1</v>
      </c>
      <c r="G383" s="80" t="str">
        <f>VLOOKUP($E383, MonsterData!$A$5:$G$13, 5, 0)</f>
        <v>S</v>
      </c>
    </row>
    <row r="384" spans="1:7">
      <c r="A384" s="74" t="s">
        <v>189</v>
      </c>
      <c r="B384" s="75">
        <v>5</v>
      </c>
      <c r="C384" s="75" t="s">
        <v>205</v>
      </c>
      <c r="D384" s="75" t="s">
        <v>206</v>
      </c>
      <c r="E384" s="75" t="s">
        <v>208</v>
      </c>
      <c r="F384" s="75">
        <v>1</v>
      </c>
      <c r="G384" s="81" t="str">
        <f>VLOOKUP($E384, MonsterData!$A$5:$G$13, 5, 0)</f>
        <v>M</v>
      </c>
    </row>
    <row r="385" spans="1:7">
      <c r="A385" s="70" t="s">
        <v>227</v>
      </c>
      <c r="B385" s="71">
        <v>6</v>
      </c>
      <c r="C385" s="71" t="s">
        <v>205</v>
      </c>
      <c r="D385" s="71" t="s">
        <v>206</v>
      </c>
      <c r="E385" s="71" t="s">
        <v>207</v>
      </c>
      <c r="F385" s="71">
        <v>1</v>
      </c>
      <c r="G385" s="80" t="str">
        <f>VLOOKUP($E385, MonsterData!$A$5:$G$13, 5, 0)</f>
        <v>S</v>
      </c>
    </row>
    <row r="386" spans="1:7">
      <c r="A386" s="74" t="s">
        <v>189</v>
      </c>
      <c r="B386" s="75">
        <v>7</v>
      </c>
      <c r="C386" s="75" t="s">
        <v>205</v>
      </c>
      <c r="D386" s="75" t="s">
        <v>206</v>
      </c>
      <c r="E386" s="75" t="s">
        <v>208</v>
      </c>
      <c r="F386" s="75">
        <v>1</v>
      </c>
      <c r="G386" s="81" t="str">
        <f>VLOOKUP($E386, MonsterData!$A$5:$G$13, 5, 0)</f>
        <v>M</v>
      </c>
    </row>
    <row r="387" spans="1:7">
      <c r="A387" s="70" t="s">
        <v>227</v>
      </c>
      <c r="B387" s="71">
        <v>8</v>
      </c>
      <c r="C387" s="71" t="s">
        <v>205</v>
      </c>
      <c r="D387" s="71" t="s">
        <v>206</v>
      </c>
      <c r="E387" s="71" t="s">
        <v>209</v>
      </c>
      <c r="F387" s="71">
        <v>1</v>
      </c>
      <c r="G387" s="80" t="str">
        <f>VLOOKUP($E387, MonsterData!$A$5:$G$13, 5, 0)</f>
        <v>M</v>
      </c>
    </row>
    <row r="388" spans="1:7">
      <c r="A388" s="74" t="s">
        <v>189</v>
      </c>
      <c r="B388" s="75">
        <v>9</v>
      </c>
      <c r="C388" s="75" t="s">
        <v>205</v>
      </c>
      <c r="D388" s="75" t="s">
        <v>206</v>
      </c>
      <c r="E388" s="75" t="s">
        <v>210</v>
      </c>
      <c r="F388" s="75">
        <v>1</v>
      </c>
      <c r="G388" s="81" t="str">
        <f>VLOOKUP($E388, MonsterData!$A$5:$G$13, 5, 0)</f>
        <v>S</v>
      </c>
    </row>
    <row r="389" spans="1:7">
      <c r="A389" s="70" t="s">
        <v>227</v>
      </c>
      <c r="B389" s="71">
        <v>10</v>
      </c>
      <c r="C389" s="71" t="s">
        <v>205</v>
      </c>
      <c r="D389" s="71" t="s">
        <v>206</v>
      </c>
      <c r="E389" s="71" t="s">
        <v>281</v>
      </c>
      <c r="F389" s="71">
        <v>1</v>
      </c>
      <c r="G389" s="80" t="str">
        <f>VLOOKUP($E389, MonsterData!$A$5:$G$13, 5, 0)</f>
        <v>M</v>
      </c>
    </row>
    <row r="390" spans="1:7">
      <c r="A390" s="74" t="s">
        <v>189</v>
      </c>
      <c r="B390" s="75">
        <v>11</v>
      </c>
      <c r="C390" s="75" t="s">
        <v>205</v>
      </c>
      <c r="D390" s="75" t="s">
        <v>206</v>
      </c>
      <c r="E390" s="75" t="s">
        <v>208</v>
      </c>
      <c r="F390" s="75">
        <v>1</v>
      </c>
      <c r="G390" s="81" t="str">
        <f>VLOOKUP($E390, MonsterData!$A$5:$G$13, 5, 0)</f>
        <v>M</v>
      </c>
    </row>
    <row r="391" spans="1:7">
      <c r="A391" s="70" t="s">
        <v>227</v>
      </c>
      <c r="B391" s="71">
        <v>12</v>
      </c>
      <c r="C391" s="71" t="s">
        <v>205</v>
      </c>
      <c r="D391" s="71" t="s">
        <v>206</v>
      </c>
      <c r="E391" s="71" t="s">
        <v>207</v>
      </c>
      <c r="F391" s="71">
        <v>1</v>
      </c>
      <c r="G391" s="80" t="str">
        <f>VLOOKUP($E391, MonsterData!$A$5:$G$13, 5, 0)</f>
        <v>S</v>
      </c>
    </row>
    <row r="392" spans="1:7">
      <c r="A392" s="74" t="s">
        <v>189</v>
      </c>
      <c r="B392" s="75">
        <v>13</v>
      </c>
      <c r="C392" s="75" t="s">
        <v>205</v>
      </c>
      <c r="D392" s="75" t="s">
        <v>206</v>
      </c>
      <c r="E392" s="75" t="s">
        <v>208</v>
      </c>
      <c r="F392" s="75">
        <v>1</v>
      </c>
      <c r="G392" s="81" t="str">
        <f>VLOOKUP($E392, MonsterData!$A$5:$G$13, 5, 0)</f>
        <v>M</v>
      </c>
    </row>
    <row r="393" spans="1:7">
      <c r="A393" s="70" t="s">
        <v>227</v>
      </c>
      <c r="B393" s="71">
        <v>14</v>
      </c>
      <c r="C393" s="71" t="s">
        <v>205</v>
      </c>
      <c r="D393" s="71" t="s">
        <v>206</v>
      </c>
      <c r="E393" s="71" t="s">
        <v>209</v>
      </c>
      <c r="F393" s="71">
        <v>1</v>
      </c>
      <c r="G393" s="80" t="str">
        <f>VLOOKUP($E393, MonsterData!$A$5:$G$13, 5, 0)</f>
        <v>M</v>
      </c>
    </row>
    <row r="394" spans="1:7">
      <c r="A394" s="74" t="s">
        <v>189</v>
      </c>
      <c r="B394" s="75">
        <v>15</v>
      </c>
      <c r="C394" s="75" t="s">
        <v>205</v>
      </c>
      <c r="D394" s="75" t="s">
        <v>206</v>
      </c>
      <c r="E394" s="75" t="s">
        <v>210</v>
      </c>
      <c r="F394" s="75">
        <v>1</v>
      </c>
      <c r="G394" s="81" t="str">
        <f>VLOOKUP($E394, MonsterData!$A$5:$G$13, 5, 0)</f>
        <v>S</v>
      </c>
    </row>
    <row r="395" spans="1:7">
      <c r="A395" s="70" t="s">
        <v>227</v>
      </c>
      <c r="B395" s="71">
        <v>16</v>
      </c>
      <c r="C395" s="71" t="s">
        <v>205</v>
      </c>
      <c r="D395" s="71" t="s">
        <v>206</v>
      </c>
      <c r="E395" s="71" t="s">
        <v>208</v>
      </c>
      <c r="F395" s="71">
        <v>1</v>
      </c>
      <c r="G395" s="80" t="str">
        <f>VLOOKUP($E395, MonsterData!$A$5:$G$13, 5, 0)</f>
        <v>M</v>
      </c>
    </row>
    <row r="396" spans="1:7">
      <c r="A396" s="74" t="s">
        <v>189</v>
      </c>
      <c r="B396" s="75">
        <v>17</v>
      </c>
      <c r="C396" s="75" t="s">
        <v>205</v>
      </c>
      <c r="D396" s="75" t="s">
        <v>206</v>
      </c>
      <c r="E396" s="75" t="s">
        <v>207</v>
      </c>
      <c r="F396" s="75">
        <v>1</v>
      </c>
      <c r="G396" s="81" t="str">
        <f>VLOOKUP($E396, MonsterData!$A$5:$G$13, 5, 0)</f>
        <v>S</v>
      </c>
    </row>
    <row r="397" spans="1:7">
      <c r="A397" s="70" t="s">
        <v>227</v>
      </c>
      <c r="B397" s="71">
        <v>18</v>
      </c>
      <c r="C397" s="71" t="s">
        <v>205</v>
      </c>
      <c r="D397" s="71" t="s">
        <v>206</v>
      </c>
      <c r="E397" s="71" t="s">
        <v>208</v>
      </c>
      <c r="F397" s="71">
        <v>1</v>
      </c>
      <c r="G397" s="80" t="str">
        <f>VLOOKUP($E397, MonsterData!$A$5:$G$13, 5, 0)</f>
        <v>M</v>
      </c>
    </row>
    <row r="398" spans="1:7">
      <c r="A398" s="74" t="s">
        <v>189</v>
      </c>
      <c r="B398" s="75">
        <v>19</v>
      </c>
      <c r="C398" s="75" t="s">
        <v>205</v>
      </c>
      <c r="D398" s="75" t="s">
        <v>206</v>
      </c>
      <c r="E398" s="75" t="s">
        <v>209</v>
      </c>
      <c r="F398" s="75">
        <v>1</v>
      </c>
      <c r="G398" s="81" t="str">
        <f>VLOOKUP($E398, MonsterData!$A$5:$G$13, 5, 0)</f>
        <v>M</v>
      </c>
    </row>
    <row r="399" spans="1:7">
      <c r="A399" s="70" t="s">
        <v>227</v>
      </c>
      <c r="B399" s="71">
        <v>20</v>
      </c>
      <c r="C399" s="71" t="s">
        <v>205</v>
      </c>
      <c r="D399" s="71" t="s">
        <v>206</v>
      </c>
      <c r="E399" s="71" t="s">
        <v>210</v>
      </c>
      <c r="F399" s="71">
        <v>1</v>
      </c>
      <c r="G399" s="80" t="str">
        <f>VLOOKUP($E399, MonsterData!$A$5:$G$13, 5, 0)</f>
        <v>S</v>
      </c>
    </row>
    <row r="400" spans="1:7">
      <c r="A400" s="74" t="s">
        <v>189</v>
      </c>
      <c r="B400" s="75">
        <v>21</v>
      </c>
      <c r="C400" s="75" t="s">
        <v>205</v>
      </c>
      <c r="D400" s="75" t="s">
        <v>206</v>
      </c>
      <c r="E400" s="75" t="s">
        <v>280</v>
      </c>
      <c r="F400" s="75">
        <v>1</v>
      </c>
      <c r="G400" s="81" t="str">
        <f>VLOOKUP($E400, MonsterData!$A$5:$G$13, 5, 0)</f>
        <v>B</v>
      </c>
    </row>
    <row r="401" spans="1:7">
      <c r="A401" s="70" t="s">
        <v>228</v>
      </c>
      <c r="B401" s="71">
        <v>0</v>
      </c>
      <c r="C401" s="71" t="s">
        <v>205</v>
      </c>
      <c r="D401" s="71" t="s">
        <v>206</v>
      </c>
      <c r="E401" s="71" t="s">
        <v>208</v>
      </c>
      <c r="F401" s="71">
        <v>1</v>
      </c>
      <c r="G401" s="80" t="str">
        <f>VLOOKUP($E401, MonsterData!$A$5:$G$13, 5, 0)</f>
        <v>M</v>
      </c>
    </row>
    <row r="402" spans="1:7">
      <c r="A402" s="74" t="s">
        <v>191</v>
      </c>
      <c r="B402" s="75">
        <v>1</v>
      </c>
      <c r="C402" s="75" t="s">
        <v>205</v>
      </c>
      <c r="D402" s="75" t="s">
        <v>206</v>
      </c>
      <c r="E402" s="75" t="s">
        <v>209</v>
      </c>
      <c r="F402" s="75">
        <v>1</v>
      </c>
      <c r="G402" s="81" t="str">
        <f>VLOOKUP($E402, MonsterData!$A$5:$G$13, 5, 0)</f>
        <v>M</v>
      </c>
    </row>
    <row r="403" spans="1:7">
      <c r="A403" s="70" t="s">
        <v>228</v>
      </c>
      <c r="B403" s="71">
        <v>2</v>
      </c>
      <c r="C403" s="71" t="s">
        <v>205</v>
      </c>
      <c r="D403" s="71" t="s">
        <v>206</v>
      </c>
      <c r="E403" s="71" t="s">
        <v>210</v>
      </c>
      <c r="F403" s="71">
        <v>1</v>
      </c>
      <c r="G403" s="80" t="str">
        <f>VLOOKUP($E403, MonsterData!$A$5:$G$13, 5, 0)</f>
        <v>S</v>
      </c>
    </row>
    <row r="404" spans="1:7">
      <c r="A404" s="74" t="s">
        <v>191</v>
      </c>
      <c r="B404" s="75">
        <v>3</v>
      </c>
      <c r="C404" s="75" t="s">
        <v>205</v>
      </c>
      <c r="D404" s="75" t="s">
        <v>206</v>
      </c>
      <c r="E404" s="75" t="s">
        <v>208</v>
      </c>
      <c r="F404" s="75">
        <v>1</v>
      </c>
      <c r="G404" s="81" t="str">
        <f>VLOOKUP($E404, MonsterData!$A$5:$G$13, 5, 0)</f>
        <v>M</v>
      </c>
    </row>
    <row r="405" spans="1:7">
      <c r="A405" s="70" t="s">
        <v>228</v>
      </c>
      <c r="B405" s="71">
        <v>4</v>
      </c>
      <c r="C405" s="71" t="s">
        <v>205</v>
      </c>
      <c r="D405" s="71" t="s">
        <v>206</v>
      </c>
      <c r="E405" s="71" t="s">
        <v>207</v>
      </c>
      <c r="F405" s="71">
        <v>1</v>
      </c>
      <c r="G405" s="80" t="str">
        <f>VLOOKUP($E405, MonsterData!$A$5:$G$13, 5, 0)</f>
        <v>S</v>
      </c>
    </row>
    <row r="406" spans="1:7">
      <c r="A406" s="74" t="s">
        <v>191</v>
      </c>
      <c r="B406" s="75">
        <v>5</v>
      </c>
      <c r="C406" s="75" t="s">
        <v>205</v>
      </c>
      <c r="D406" s="75" t="s">
        <v>206</v>
      </c>
      <c r="E406" s="75" t="s">
        <v>208</v>
      </c>
      <c r="F406" s="75">
        <v>1</v>
      </c>
      <c r="G406" s="81" t="str">
        <f>VLOOKUP($E406, MonsterData!$A$5:$G$13, 5, 0)</f>
        <v>M</v>
      </c>
    </row>
    <row r="407" spans="1:7">
      <c r="A407" s="70" t="s">
        <v>228</v>
      </c>
      <c r="B407" s="71">
        <v>6</v>
      </c>
      <c r="C407" s="71" t="s">
        <v>205</v>
      </c>
      <c r="D407" s="71" t="s">
        <v>206</v>
      </c>
      <c r="E407" s="71" t="s">
        <v>209</v>
      </c>
      <c r="F407" s="71">
        <v>1</v>
      </c>
      <c r="G407" s="80" t="str">
        <f>VLOOKUP($E407, MonsterData!$A$5:$G$13, 5, 0)</f>
        <v>M</v>
      </c>
    </row>
    <row r="408" spans="1:7">
      <c r="A408" s="74" t="s">
        <v>191</v>
      </c>
      <c r="B408" s="75">
        <v>7</v>
      </c>
      <c r="C408" s="75" t="s">
        <v>205</v>
      </c>
      <c r="D408" s="75" t="s">
        <v>206</v>
      </c>
      <c r="E408" s="75" t="s">
        <v>210</v>
      </c>
      <c r="F408" s="75">
        <v>1</v>
      </c>
      <c r="G408" s="81" t="str">
        <f>VLOOKUP($E408, MonsterData!$A$5:$G$13, 5, 0)</f>
        <v>S</v>
      </c>
    </row>
    <row r="409" spans="1:7">
      <c r="A409" s="70" t="s">
        <v>228</v>
      </c>
      <c r="B409" s="71">
        <v>8</v>
      </c>
      <c r="C409" s="71" t="s">
        <v>205</v>
      </c>
      <c r="D409" s="71" t="s">
        <v>206</v>
      </c>
      <c r="E409" s="71" t="s">
        <v>208</v>
      </c>
      <c r="F409" s="71">
        <v>1</v>
      </c>
      <c r="G409" s="80" t="str">
        <f>VLOOKUP($E409, MonsterData!$A$5:$G$13, 5, 0)</f>
        <v>M</v>
      </c>
    </row>
    <row r="410" spans="1:7">
      <c r="A410" s="74" t="s">
        <v>191</v>
      </c>
      <c r="B410" s="75">
        <v>9</v>
      </c>
      <c r="C410" s="75" t="s">
        <v>205</v>
      </c>
      <c r="D410" s="75" t="s">
        <v>206</v>
      </c>
      <c r="E410" s="75" t="s">
        <v>207</v>
      </c>
      <c r="F410" s="75">
        <v>1</v>
      </c>
      <c r="G410" s="81" t="str">
        <f>VLOOKUP($E410, MonsterData!$A$5:$G$13, 5, 0)</f>
        <v>S</v>
      </c>
    </row>
    <row r="411" spans="1:7">
      <c r="A411" s="70" t="s">
        <v>228</v>
      </c>
      <c r="B411" s="71">
        <v>10</v>
      </c>
      <c r="C411" s="71" t="s">
        <v>205</v>
      </c>
      <c r="D411" s="71" t="s">
        <v>206</v>
      </c>
      <c r="E411" s="71" t="s">
        <v>280</v>
      </c>
      <c r="F411" s="71">
        <v>1</v>
      </c>
      <c r="G411" s="80" t="str">
        <f>VLOOKUP($E411, MonsterData!$A$5:$G$13, 5, 0)</f>
        <v>B</v>
      </c>
    </row>
    <row r="412" spans="1:7">
      <c r="A412" s="74" t="s">
        <v>191</v>
      </c>
      <c r="B412" s="75">
        <v>11</v>
      </c>
      <c r="C412" s="75" t="s">
        <v>205</v>
      </c>
      <c r="D412" s="75" t="s">
        <v>206</v>
      </c>
      <c r="E412" s="75" t="s">
        <v>208</v>
      </c>
      <c r="F412" s="75">
        <v>1</v>
      </c>
      <c r="G412" s="81" t="str">
        <f>VLOOKUP($E412, MonsterData!$A$5:$G$13, 5, 0)</f>
        <v>M</v>
      </c>
    </row>
    <row r="413" spans="1:7">
      <c r="A413" s="70" t="s">
        <v>228</v>
      </c>
      <c r="B413" s="71">
        <v>12</v>
      </c>
      <c r="C413" s="71" t="s">
        <v>205</v>
      </c>
      <c r="D413" s="71" t="s">
        <v>206</v>
      </c>
      <c r="E413" s="71" t="s">
        <v>209</v>
      </c>
      <c r="F413" s="71">
        <v>1</v>
      </c>
      <c r="G413" s="80" t="str">
        <f>VLOOKUP($E413, MonsterData!$A$5:$G$13, 5, 0)</f>
        <v>M</v>
      </c>
    </row>
    <row r="414" spans="1:7">
      <c r="A414" s="74" t="s">
        <v>191</v>
      </c>
      <c r="B414" s="75">
        <v>13</v>
      </c>
      <c r="C414" s="75" t="s">
        <v>205</v>
      </c>
      <c r="D414" s="75" t="s">
        <v>206</v>
      </c>
      <c r="E414" s="75" t="s">
        <v>210</v>
      </c>
      <c r="F414" s="75">
        <v>1</v>
      </c>
      <c r="G414" s="81" t="str">
        <f>VLOOKUP($E414, MonsterData!$A$5:$G$13, 5, 0)</f>
        <v>S</v>
      </c>
    </row>
    <row r="415" spans="1:7">
      <c r="A415" s="70" t="s">
        <v>228</v>
      </c>
      <c r="B415" s="71">
        <v>14</v>
      </c>
      <c r="C415" s="71" t="s">
        <v>205</v>
      </c>
      <c r="D415" s="71" t="s">
        <v>206</v>
      </c>
      <c r="E415" s="71" t="s">
        <v>208</v>
      </c>
      <c r="F415" s="71">
        <v>1</v>
      </c>
      <c r="G415" s="80" t="str">
        <f>VLOOKUP($E415, MonsterData!$A$5:$G$13, 5, 0)</f>
        <v>M</v>
      </c>
    </row>
    <row r="416" spans="1:7">
      <c r="A416" s="74" t="s">
        <v>191</v>
      </c>
      <c r="B416" s="75">
        <v>15</v>
      </c>
      <c r="C416" s="75" t="s">
        <v>205</v>
      </c>
      <c r="D416" s="75" t="s">
        <v>206</v>
      </c>
      <c r="E416" s="75" t="s">
        <v>207</v>
      </c>
      <c r="F416" s="75">
        <v>1</v>
      </c>
      <c r="G416" s="81" t="str">
        <f>VLOOKUP($E416, MonsterData!$A$5:$G$13, 5, 0)</f>
        <v>S</v>
      </c>
    </row>
    <row r="417" spans="1:7">
      <c r="A417" s="70" t="s">
        <v>228</v>
      </c>
      <c r="B417" s="71">
        <v>16</v>
      </c>
      <c r="C417" s="71" t="s">
        <v>205</v>
      </c>
      <c r="D417" s="71" t="s">
        <v>206</v>
      </c>
      <c r="E417" s="71" t="s">
        <v>208</v>
      </c>
      <c r="F417" s="71">
        <v>1</v>
      </c>
      <c r="G417" s="80" t="str">
        <f>VLOOKUP($E417, MonsterData!$A$5:$G$13, 5, 0)</f>
        <v>M</v>
      </c>
    </row>
    <row r="418" spans="1:7">
      <c r="A418" s="74" t="s">
        <v>191</v>
      </c>
      <c r="B418" s="75">
        <v>17</v>
      </c>
      <c r="C418" s="75" t="s">
        <v>205</v>
      </c>
      <c r="D418" s="75" t="s">
        <v>206</v>
      </c>
      <c r="E418" s="75" t="s">
        <v>209</v>
      </c>
      <c r="F418" s="75">
        <v>1</v>
      </c>
      <c r="G418" s="81" t="str">
        <f>VLOOKUP($E418, MonsterData!$A$5:$G$13, 5, 0)</f>
        <v>M</v>
      </c>
    </row>
    <row r="419" spans="1:7">
      <c r="A419" s="70" t="s">
        <v>228</v>
      </c>
      <c r="B419" s="71">
        <v>18</v>
      </c>
      <c r="C419" s="71" t="s">
        <v>205</v>
      </c>
      <c r="D419" s="71" t="s">
        <v>206</v>
      </c>
      <c r="E419" s="71" t="s">
        <v>210</v>
      </c>
      <c r="F419" s="71">
        <v>1</v>
      </c>
      <c r="G419" s="80" t="str">
        <f>VLOOKUP($E419, MonsterData!$A$5:$G$13, 5, 0)</f>
        <v>S</v>
      </c>
    </row>
    <row r="420" spans="1:7">
      <c r="A420" s="74" t="s">
        <v>191</v>
      </c>
      <c r="B420" s="75">
        <v>19</v>
      </c>
      <c r="C420" s="75" t="s">
        <v>205</v>
      </c>
      <c r="D420" s="75" t="s">
        <v>206</v>
      </c>
      <c r="E420" s="75" t="s">
        <v>208</v>
      </c>
      <c r="F420" s="75">
        <v>1</v>
      </c>
      <c r="G420" s="81" t="str">
        <f>VLOOKUP($E420, MonsterData!$A$5:$G$13, 5, 0)</f>
        <v>M</v>
      </c>
    </row>
    <row r="421" spans="1:7">
      <c r="A421" s="70" t="s">
        <v>228</v>
      </c>
      <c r="B421" s="71">
        <v>20</v>
      </c>
      <c r="C421" s="71" t="s">
        <v>205</v>
      </c>
      <c r="D421" s="71" t="s">
        <v>206</v>
      </c>
      <c r="E421" s="71" t="s">
        <v>207</v>
      </c>
      <c r="F421" s="71">
        <v>1</v>
      </c>
      <c r="G421" s="80" t="str">
        <f>VLOOKUP($E421, MonsterData!$A$5:$G$13, 5, 0)</f>
        <v>S</v>
      </c>
    </row>
    <row r="422" spans="1:7">
      <c r="A422" s="74" t="s">
        <v>191</v>
      </c>
      <c r="B422" s="75">
        <v>21</v>
      </c>
      <c r="C422" s="75" t="s">
        <v>205</v>
      </c>
      <c r="D422" s="75" t="s">
        <v>206</v>
      </c>
      <c r="E422" s="75" t="s">
        <v>281</v>
      </c>
      <c r="F422" s="75">
        <v>1</v>
      </c>
      <c r="G422" s="81" t="str">
        <f>VLOOKUP($E422, MonsterData!$A$5:$G$13, 5, 0)</f>
        <v>M</v>
      </c>
    </row>
    <row r="423" spans="1:7">
      <c r="A423" s="70" t="s">
        <v>229</v>
      </c>
      <c r="B423" s="71">
        <v>0</v>
      </c>
      <c r="C423" s="71" t="s">
        <v>205</v>
      </c>
      <c r="D423" s="71" t="s">
        <v>206</v>
      </c>
      <c r="E423" s="71" t="s">
        <v>210</v>
      </c>
      <c r="F423" s="71">
        <v>1</v>
      </c>
      <c r="G423" s="80" t="str">
        <f>VLOOKUP($E423, MonsterData!$A$5:$G$13, 5, 0)</f>
        <v>S</v>
      </c>
    </row>
    <row r="424" spans="1:7">
      <c r="A424" s="74" t="s">
        <v>193</v>
      </c>
      <c r="B424" s="75">
        <v>1</v>
      </c>
      <c r="C424" s="75" t="s">
        <v>205</v>
      </c>
      <c r="D424" s="75" t="s">
        <v>206</v>
      </c>
      <c r="E424" s="75" t="s">
        <v>208</v>
      </c>
      <c r="F424" s="75">
        <v>1</v>
      </c>
      <c r="G424" s="81" t="str">
        <f>VLOOKUP($E424, MonsterData!$A$5:$G$13, 5, 0)</f>
        <v>M</v>
      </c>
    </row>
    <row r="425" spans="1:7">
      <c r="A425" s="70" t="s">
        <v>229</v>
      </c>
      <c r="B425" s="71">
        <v>2</v>
      </c>
      <c r="C425" s="71" t="s">
        <v>205</v>
      </c>
      <c r="D425" s="71" t="s">
        <v>206</v>
      </c>
      <c r="E425" s="71" t="s">
        <v>207</v>
      </c>
      <c r="F425" s="71">
        <v>1</v>
      </c>
      <c r="G425" s="80" t="str">
        <f>VLOOKUP($E425, MonsterData!$A$5:$G$13, 5, 0)</f>
        <v>S</v>
      </c>
    </row>
    <row r="426" spans="1:7">
      <c r="A426" s="74" t="s">
        <v>193</v>
      </c>
      <c r="B426" s="75">
        <v>3</v>
      </c>
      <c r="C426" s="75" t="s">
        <v>205</v>
      </c>
      <c r="D426" s="75" t="s">
        <v>206</v>
      </c>
      <c r="E426" s="75" t="s">
        <v>208</v>
      </c>
      <c r="F426" s="75">
        <v>1</v>
      </c>
      <c r="G426" s="81" t="str">
        <f>VLOOKUP($E426, MonsterData!$A$5:$G$13, 5, 0)</f>
        <v>M</v>
      </c>
    </row>
    <row r="427" spans="1:7">
      <c r="A427" s="70" t="s">
        <v>229</v>
      </c>
      <c r="B427" s="71">
        <v>4</v>
      </c>
      <c r="C427" s="71" t="s">
        <v>205</v>
      </c>
      <c r="D427" s="71" t="s">
        <v>206</v>
      </c>
      <c r="E427" s="71" t="s">
        <v>209</v>
      </c>
      <c r="F427" s="71">
        <v>1</v>
      </c>
      <c r="G427" s="80" t="str">
        <f>VLOOKUP($E427, MonsterData!$A$5:$G$13, 5, 0)</f>
        <v>M</v>
      </c>
    </row>
    <row r="428" spans="1:7">
      <c r="A428" s="74" t="s">
        <v>193</v>
      </c>
      <c r="B428" s="75">
        <v>5</v>
      </c>
      <c r="C428" s="75" t="s">
        <v>205</v>
      </c>
      <c r="D428" s="75" t="s">
        <v>206</v>
      </c>
      <c r="E428" s="75" t="s">
        <v>210</v>
      </c>
      <c r="F428" s="75">
        <v>1</v>
      </c>
      <c r="G428" s="81" t="str">
        <f>VLOOKUP($E428, MonsterData!$A$5:$G$13, 5, 0)</f>
        <v>S</v>
      </c>
    </row>
    <row r="429" spans="1:7">
      <c r="A429" s="70" t="s">
        <v>229</v>
      </c>
      <c r="B429" s="71">
        <v>6</v>
      </c>
      <c r="C429" s="71" t="s">
        <v>205</v>
      </c>
      <c r="D429" s="71" t="s">
        <v>206</v>
      </c>
      <c r="E429" s="71" t="s">
        <v>208</v>
      </c>
      <c r="F429" s="71">
        <v>1</v>
      </c>
      <c r="G429" s="80" t="str">
        <f>VLOOKUP($E429, MonsterData!$A$5:$G$13, 5, 0)</f>
        <v>M</v>
      </c>
    </row>
    <row r="430" spans="1:7">
      <c r="A430" s="74" t="s">
        <v>193</v>
      </c>
      <c r="B430" s="75">
        <v>7</v>
      </c>
      <c r="C430" s="75" t="s">
        <v>205</v>
      </c>
      <c r="D430" s="75" t="s">
        <v>206</v>
      </c>
      <c r="E430" s="75" t="s">
        <v>207</v>
      </c>
      <c r="F430" s="75">
        <v>1</v>
      </c>
      <c r="G430" s="81" t="str">
        <f>VLOOKUP($E430, MonsterData!$A$5:$G$13, 5, 0)</f>
        <v>S</v>
      </c>
    </row>
    <row r="431" spans="1:7">
      <c r="A431" s="70" t="s">
        <v>229</v>
      </c>
      <c r="B431" s="71">
        <v>8</v>
      </c>
      <c r="C431" s="71" t="s">
        <v>205</v>
      </c>
      <c r="D431" s="71" t="s">
        <v>206</v>
      </c>
      <c r="E431" s="71" t="s">
        <v>208</v>
      </c>
      <c r="F431" s="71">
        <v>1</v>
      </c>
      <c r="G431" s="80" t="str">
        <f>VLOOKUP($E431, MonsterData!$A$5:$G$13, 5, 0)</f>
        <v>M</v>
      </c>
    </row>
    <row r="432" spans="1:7">
      <c r="A432" s="74" t="s">
        <v>193</v>
      </c>
      <c r="B432" s="75">
        <v>9</v>
      </c>
      <c r="C432" s="75" t="s">
        <v>205</v>
      </c>
      <c r="D432" s="75" t="s">
        <v>206</v>
      </c>
      <c r="E432" s="75" t="s">
        <v>209</v>
      </c>
      <c r="F432" s="75">
        <v>1</v>
      </c>
      <c r="G432" s="81" t="str">
        <f>VLOOKUP($E432, MonsterData!$A$5:$G$13, 5, 0)</f>
        <v>M</v>
      </c>
    </row>
    <row r="433" spans="1:7">
      <c r="A433" s="70" t="s">
        <v>229</v>
      </c>
      <c r="B433" s="71">
        <v>10</v>
      </c>
      <c r="C433" s="71" t="s">
        <v>205</v>
      </c>
      <c r="D433" s="71" t="s">
        <v>206</v>
      </c>
      <c r="E433" s="71" t="s">
        <v>281</v>
      </c>
      <c r="F433" s="71">
        <v>1</v>
      </c>
      <c r="G433" s="80" t="str">
        <f>VLOOKUP($E433, MonsterData!$A$5:$G$13, 5, 0)</f>
        <v>M</v>
      </c>
    </row>
    <row r="434" spans="1:7">
      <c r="A434" s="74" t="s">
        <v>193</v>
      </c>
      <c r="B434" s="75">
        <v>11</v>
      </c>
      <c r="C434" s="75" t="s">
        <v>205</v>
      </c>
      <c r="D434" s="75" t="s">
        <v>206</v>
      </c>
      <c r="E434" s="75" t="s">
        <v>210</v>
      </c>
      <c r="F434" s="75">
        <v>1</v>
      </c>
      <c r="G434" s="81" t="str">
        <f>VLOOKUP($E434, MonsterData!$A$5:$G$13, 5, 0)</f>
        <v>S</v>
      </c>
    </row>
    <row r="435" spans="1:7">
      <c r="A435" s="70" t="s">
        <v>229</v>
      </c>
      <c r="B435" s="71">
        <v>12</v>
      </c>
      <c r="C435" s="71" t="s">
        <v>205</v>
      </c>
      <c r="D435" s="71" t="s">
        <v>206</v>
      </c>
      <c r="E435" s="71" t="s">
        <v>208</v>
      </c>
      <c r="F435" s="71">
        <v>1</v>
      </c>
      <c r="G435" s="80" t="str">
        <f>VLOOKUP($E435, MonsterData!$A$5:$G$13, 5, 0)</f>
        <v>M</v>
      </c>
    </row>
    <row r="436" spans="1:7">
      <c r="A436" s="74" t="s">
        <v>193</v>
      </c>
      <c r="B436" s="75">
        <v>13</v>
      </c>
      <c r="C436" s="75" t="s">
        <v>205</v>
      </c>
      <c r="D436" s="75" t="s">
        <v>206</v>
      </c>
      <c r="E436" s="75" t="s">
        <v>207</v>
      </c>
      <c r="F436" s="75">
        <v>1</v>
      </c>
      <c r="G436" s="81" t="str">
        <f>VLOOKUP($E436, MonsterData!$A$5:$G$13, 5, 0)</f>
        <v>S</v>
      </c>
    </row>
    <row r="437" spans="1:7">
      <c r="A437" s="70" t="s">
        <v>229</v>
      </c>
      <c r="B437" s="71">
        <v>14</v>
      </c>
      <c r="C437" s="71" t="s">
        <v>205</v>
      </c>
      <c r="D437" s="71" t="s">
        <v>206</v>
      </c>
      <c r="E437" s="71" t="s">
        <v>208</v>
      </c>
      <c r="F437" s="71">
        <v>1</v>
      </c>
      <c r="G437" s="80" t="str">
        <f>VLOOKUP($E437, MonsterData!$A$5:$G$13, 5, 0)</f>
        <v>M</v>
      </c>
    </row>
    <row r="438" spans="1:7">
      <c r="A438" s="74" t="s">
        <v>193</v>
      </c>
      <c r="B438" s="75">
        <v>15</v>
      </c>
      <c r="C438" s="75" t="s">
        <v>205</v>
      </c>
      <c r="D438" s="75" t="s">
        <v>206</v>
      </c>
      <c r="E438" s="75" t="s">
        <v>209</v>
      </c>
      <c r="F438" s="75">
        <v>1</v>
      </c>
      <c r="G438" s="81" t="str">
        <f>VLOOKUP($E438, MonsterData!$A$5:$G$13, 5, 0)</f>
        <v>M</v>
      </c>
    </row>
    <row r="439" spans="1:7">
      <c r="A439" s="70" t="s">
        <v>229</v>
      </c>
      <c r="B439" s="71">
        <v>16</v>
      </c>
      <c r="C439" s="71" t="s">
        <v>205</v>
      </c>
      <c r="D439" s="71" t="s">
        <v>206</v>
      </c>
      <c r="E439" s="71" t="s">
        <v>210</v>
      </c>
      <c r="F439" s="71">
        <v>1</v>
      </c>
      <c r="G439" s="80" t="str">
        <f>VLOOKUP($E439, MonsterData!$A$5:$G$13, 5, 0)</f>
        <v>S</v>
      </c>
    </row>
    <row r="440" spans="1:7">
      <c r="A440" s="74" t="s">
        <v>193</v>
      </c>
      <c r="B440" s="75">
        <v>17</v>
      </c>
      <c r="C440" s="75" t="s">
        <v>205</v>
      </c>
      <c r="D440" s="75" t="s">
        <v>206</v>
      </c>
      <c r="E440" s="75" t="s">
        <v>208</v>
      </c>
      <c r="F440" s="75">
        <v>1</v>
      </c>
      <c r="G440" s="81" t="str">
        <f>VLOOKUP($E440, MonsterData!$A$5:$G$13, 5, 0)</f>
        <v>M</v>
      </c>
    </row>
    <row r="441" spans="1:7">
      <c r="A441" s="70" t="s">
        <v>229</v>
      </c>
      <c r="B441" s="71">
        <v>18</v>
      </c>
      <c r="C441" s="71" t="s">
        <v>205</v>
      </c>
      <c r="D441" s="71" t="s">
        <v>206</v>
      </c>
      <c r="E441" s="71" t="s">
        <v>207</v>
      </c>
      <c r="F441" s="71">
        <v>1</v>
      </c>
      <c r="G441" s="80" t="str">
        <f>VLOOKUP($E441, MonsterData!$A$5:$G$13, 5, 0)</f>
        <v>S</v>
      </c>
    </row>
    <row r="442" spans="1:7">
      <c r="A442" s="74" t="s">
        <v>193</v>
      </c>
      <c r="B442" s="75">
        <v>19</v>
      </c>
      <c r="C442" s="75" t="s">
        <v>205</v>
      </c>
      <c r="D442" s="75" t="s">
        <v>206</v>
      </c>
      <c r="E442" s="75" t="s">
        <v>208</v>
      </c>
      <c r="F442" s="75">
        <v>1</v>
      </c>
      <c r="G442" s="81" t="str">
        <f>VLOOKUP($E442, MonsterData!$A$5:$G$13, 5, 0)</f>
        <v>M</v>
      </c>
    </row>
    <row r="443" spans="1:7">
      <c r="A443" s="70" t="s">
        <v>229</v>
      </c>
      <c r="B443" s="71">
        <v>20</v>
      </c>
      <c r="C443" s="71" t="s">
        <v>205</v>
      </c>
      <c r="D443" s="71" t="s">
        <v>206</v>
      </c>
      <c r="E443" s="71" t="s">
        <v>209</v>
      </c>
      <c r="F443" s="71">
        <v>1</v>
      </c>
      <c r="G443" s="80" t="str">
        <f>VLOOKUP($E443, MonsterData!$A$5:$G$13, 5, 0)</f>
        <v>M</v>
      </c>
    </row>
    <row r="444" spans="1:7">
      <c r="A444" s="74" t="s">
        <v>193</v>
      </c>
      <c r="B444" s="75">
        <v>21</v>
      </c>
      <c r="C444" s="75" t="s">
        <v>205</v>
      </c>
      <c r="D444" s="75" t="s">
        <v>206</v>
      </c>
      <c r="E444" s="75" t="s">
        <v>280</v>
      </c>
      <c r="F444" s="75">
        <v>1</v>
      </c>
      <c r="G444" s="81" t="str">
        <f>VLOOKUP($E444, MonsterData!$A$5:$G$13, 5, 0)</f>
        <v>B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Factor</vt:lpstr>
      <vt:lpstr>MonsterData</vt:lpstr>
      <vt:lpstr>BattleArea</vt:lpstr>
      <vt:lpstr>SpawnData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해욱 정</cp:lastModifiedBy>
  <dcterms:modified xsi:type="dcterms:W3CDTF">2026-08-15T17:14:30Z</dcterms:modified>
</cp:coreProperties>
</file>